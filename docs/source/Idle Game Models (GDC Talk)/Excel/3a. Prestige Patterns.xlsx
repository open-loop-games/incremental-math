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240" yWindow="680" windowWidth="25360" windowHeight="15380" tabRatio="500"/>
  </bookViews>
  <sheets>
    <sheet name="Prestige Patterns" sheetId="1" r:id="rId1"/>
    <sheet name="Calc for Prestige Patterns" sheetId="2" r:id="rId2"/>
  </sheets>
  <calcPr calcId="140001" concurrentCalc="0"/>
  <fileRecoveryPr repairLoad="1"/>
  <extLst>
    <ext xmlns:mx="http://schemas.microsoft.com/office/mac/excel/2008/main" uri="{7523E5D3-25F3-A5E0-1632-64F254C22452}">
      <mx:ArchID Flags="2"/>
    </ext>
  </extLst>
</workbook>
</file>

<file path=xl/calcChain.xml><?xml version="1.0" encoding="utf-8"?>
<calcChain xmlns="http://schemas.openxmlformats.org/spreadsheetml/2006/main">
  <c r="K3" i="2" l="1"/>
  <c r="L3" i="2"/>
  <c r="E3" i="2"/>
  <c r="P3" i="2"/>
  <c r="O3" i="2"/>
  <c r="H3" i="2"/>
  <c r="I3" i="2"/>
  <c r="N3" i="2"/>
  <c r="K4" i="2"/>
  <c r="J4" i="2"/>
  <c r="J3" i="2"/>
  <c r="L4" i="2"/>
  <c r="D3" i="2"/>
  <c r="G4" i="2"/>
  <c r="E4" i="2"/>
  <c r="P4" i="2"/>
  <c r="O4" i="2"/>
  <c r="H4" i="2"/>
  <c r="I4" i="2"/>
  <c r="N4" i="2"/>
  <c r="K5" i="2"/>
  <c r="J5" i="2"/>
  <c r="L5" i="2"/>
  <c r="F4" i="2"/>
  <c r="D4" i="2"/>
  <c r="G5" i="2"/>
  <c r="E5" i="2"/>
  <c r="P5" i="2"/>
  <c r="O5" i="2"/>
  <c r="H5" i="2"/>
  <c r="I5" i="2"/>
  <c r="N5" i="2"/>
  <c r="K6" i="2"/>
  <c r="J6" i="2"/>
  <c r="L6" i="2"/>
  <c r="F5" i="2"/>
  <c r="D5" i="2"/>
  <c r="G6" i="2"/>
  <c r="E6" i="2"/>
  <c r="P6" i="2"/>
  <c r="O6" i="2"/>
  <c r="H6" i="2"/>
  <c r="I6" i="2"/>
  <c r="N6" i="2"/>
  <c r="K7" i="2"/>
  <c r="J7" i="2"/>
  <c r="L7" i="2"/>
  <c r="F6" i="2"/>
  <c r="D6" i="2"/>
  <c r="G7" i="2"/>
  <c r="E7" i="2"/>
  <c r="P7" i="2"/>
  <c r="O7" i="2"/>
  <c r="H7" i="2"/>
  <c r="I7" i="2"/>
  <c r="N7" i="2"/>
  <c r="K8" i="2"/>
  <c r="J8" i="2"/>
  <c r="L8" i="2"/>
  <c r="F7" i="2"/>
  <c r="D7" i="2"/>
  <c r="G8" i="2"/>
  <c r="E8" i="2"/>
  <c r="P8" i="2"/>
  <c r="O8" i="2"/>
  <c r="H8" i="2"/>
  <c r="I8" i="2"/>
  <c r="N8" i="2"/>
  <c r="K9" i="2"/>
  <c r="J9" i="2"/>
  <c r="L9" i="2"/>
  <c r="F8" i="2"/>
  <c r="D8" i="2"/>
  <c r="G9" i="2"/>
  <c r="E9" i="2"/>
  <c r="P9" i="2"/>
  <c r="O9" i="2"/>
  <c r="H9" i="2"/>
  <c r="I9" i="2"/>
  <c r="N9" i="2"/>
  <c r="K10" i="2"/>
  <c r="J10" i="2"/>
  <c r="L10" i="2"/>
  <c r="F9" i="2"/>
  <c r="D9" i="2"/>
  <c r="G10" i="2"/>
  <c r="E10" i="2"/>
  <c r="P10" i="2"/>
  <c r="O10" i="2"/>
  <c r="H10" i="2"/>
  <c r="I10" i="2"/>
  <c r="N10" i="2"/>
  <c r="K11" i="2"/>
  <c r="J11" i="2"/>
  <c r="L11" i="2"/>
  <c r="F10" i="2"/>
  <c r="D10" i="2"/>
  <c r="G11" i="2"/>
  <c r="E11" i="2"/>
  <c r="P11" i="2"/>
  <c r="O11" i="2"/>
  <c r="H11" i="2"/>
  <c r="I11" i="2"/>
  <c r="N11" i="2"/>
  <c r="K12" i="2"/>
  <c r="J12" i="2"/>
  <c r="L12" i="2"/>
  <c r="F11" i="2"/>
  <c r="D11" i="2"/>
  <c r="G12" i="2"/>
  <c r="E12" i="2"/>
  <c r="P12" i="2"/>
  <c r="O12" i="2"/>
  <c r="H12" i="2"/>
  <c r="I12" i="2"/>
  <c r="N12" i="2"/>
  <c r="K13" i="2"/>
  <c r="J13" i="2"/>
  <c r="L13" i="2"/>
  <c r="F12" i="2"/>
  <c r="D12" i="2"/>
  <c r="G13" i="2"/>
  <c r="E13" i="2"/>
  <c r="P13" i="2"/>
  <c r="O13" i="2"/>
  <c r="H13" i="2"/>
  <c r="I13" i="2"/>
  <c r="N13" i="2"/>
  <c r="K14" i="2"/>
  <c r="J14" i="2"/>
  <c r="L14" i="2"/>
  <c r="F13" i="2"/>
  <c r="D13" i="2"/>
  <c r="G14" i="2"/>
  <c r="E14" i="2"/>
  <c r="P14" i="2"/>
  <c r="O14" i="2"/>
  <c r="H14" i="2"/>
  <c r="I14" i="2"/>
  <c r="N14" i="2"/>
  <c r="K15" i="2"/>
  <c r="J15" i="2"/>
  <c r="L15" i="2"/>
  <c r="F14" i="2"/>
  <c r="D14" i="2"/>
  <c r="G15" i="2"/>
  <c r="E15" i="2"/>
  <c r="P15" i="2"/>
  <c r="O15" i="2"/>
  <c r="H15" i="2"/>
  <c r="I15" i="2"/>
  <c r="N15" i="2"/>
  <c r="K16" i="2"/>
  <c r="J16" i="2"/>
  <c r="L16" i="2"/>
  <c r="F15" i="2"/>
  <c r="D15" i="2"/>
  <c r="G16" i="2"/>
  <c r="E16" i="2"/>
  <c r="P16" i="2"/>
  <c r="O16" i="2"/>
  <c r="H16" i="2"/>
  <c r="I16" i="2"/>
  <c r="N16" i="2"/>
  <c r="K17" i="2"/>
  <c r="J17" i="2"/>
  <c r="L17" i="2"/>
  <c r="F16" i="2"/>
  <c r="D16" i="2"/>
  <c r="G17" i="2"/>
  <c r="E17" i="2"/>
  <c r="P17" i="2"/>
  <c r="O17" i="2"/>
  <c r="H17" i="2"/>
  <c r="I17" i="2"/>
  <c r="N17" i="2"/>
  <c r="K18" i="2"/>
  <c r="J18" i="2"/>
  <c r="L18" i="2"/>
  <c r="F17" i="2"/>
  <c r="D17" i="2"/>
  <c r="G18" i="2"/>
  <c r="E18" i="2"/>
  <c r="P18" i="2"/>
  <c r="O18" i="2"/>
  <c r="H18" i="2"/>
  <c r="I18" i="2"/>
  <c r="N18" i="2"/>
  <c r="K19" i="2"/>
  <c r="J19" i="2"/>
  <c r="L19" i="2"/>
  <c r="F18" i="2"/>
  <c r="D18" i="2"/>
  <c r="G19" i="2"/>
  <c r="E19" i="2"/>
  <c r="P19" i="2"/>
  <c r="O19" i="2"/>
  <c r="H19" i="2"/>
  <c r="I19" i="2"/>
  <c r="N19" i="2"/>
  <c r="K20" i="2"/>
  <c r="J20" i="2"/>
  <c r="L20" i="2"/>
  <c r="F19" i="2"/>
  <c r="D19" i="2"/>
  <c r="G20" i="2"/>
  <c r="E20" i="2"/>
  <c r="P20" i="2"/>
  <c r="O20" i="2"/>
  <c r="H20" i="2"/>
  <c r="I20" i="2"/>
  <c r="N20" i="2"/>
  <c r="K21" i="2"/>
  <c r="J21" i="2"/>
  <c r="L21" i="2"/>
  <c r="F20" i="2"/>
  <c r="D20" i="2"/>
  <c r="G21" i="2"/>
  <c r="E21" i="2"/>
  <c r="P21" i="2"/>
  <c r="O21" i="2"/>
  <c r="H21" i="2"/>
  <c r="I21" i="2"/>
  <c r="N21" i="2"/>
  <c r="K22" i="2"/>
  <c r="J22" i="2"/>
  <c r="L22" i="2"/>
  <c r="F21" i="2"/>
  <c r="D21" i="2"/>
  <c r="G22" i="2"/>
  <c r="E22" i="2"/>
  <c r="P22" i="2"/>
  <c r="O22" i="2"/>
  <c r="H22" i="2"/>
  <c r="I22" i="2"/>
  <c r="N22" i="2"/>
  <c r="K23" i="2"/>
  <c r="J23" i="2"/>
  <c r="L23" i="2"/>
  <c r="F22" i="2"/>
  <c r="D22" i="2"/>
  <c r="G23" i="2"/>
  <c r="E23" i="2"/>
  <c r="P23" i="2"/>
  <c r="O23" i="2"/>
  <c r="H23" i="2"/>
  <c r="I23" i="2"/>
  <c r="N23" i="2"/>
  <c r="K24" i="2"/>
  <c r="J24" i="2"/>
  <c r="L24" i="2"/>
  <c r="F23" i="2"/>
  <c r="D23" i="2"/>
  <c r="G24" i="2"/>
  <c r="E24" i="2"/>
  <c r="P24" i="2"/>
  <c r="O24" i="2"/>
  <c r="H24" i="2"/>
  <c r="I24" i="2"/>
  <c r="N24" i="2"/>
  <c r="K25" i="2"/>
  <c r="J25" i="2"/>
  <c r="L25" i="2"/>
  <c r="F24" i="2"/>
  <c r="D24" i="2"/>
  <c r="G25" i="2"/>
  <c r="E25" i="2"/>
  <c r="P25" i="2"/>
  <c r="O25" i="2"/>
  <c r="H25" i="2"/>
  <c r="I25" i="2"/>
  <c r="N25" i="2"/>
  <c r="K26" i="2"/>
  <c r="J26" i="2"/>
  <c r="L26" i="2"/>
  <c r="F25" i="2"/>
  <c r="D25" i="2"/>
  <c r="G26" i="2"/>
  <c r="E26" i="2"/>
  <c r="P26" i="2"/>
  <c r="O26" i="2"/>
  <c r="H26" i="2"/>
  <c r="I26" i="2"/>
  <c r="N26" i="2"/>
  <c r="K27" i="2"/>
  <c r="J27" i="2"/>
  <c r="L27" i="2"/>
  <c r="F26" i="2"/>
  <c r="D26" i="2"/>
  <c r="G27" i="2"/>
  <c r="E27" i="2"/>
  <c r="P27" i="2"/>
  <c r="O27" i="2"/>
  <c r="H27" i="2"/>
  <c r="I27" i="2"/>
  <c r="N27" i="2"/>
  <c r="K28" i="2"/>
  <c r="J28" i="2"/>
  <c r="L28" i="2"/>
  <c r="F27" i="2"/>
  <c r="D27" i="2"/>
  <c r="G28" i="2"/>
  <c r="E28" i="2"/>
  <c r="P28" i="2"/>
  <c r="O28" i="2"/>
  <c r="H28" i="2"/>
  <c r="I28" i="2"/>
  <c r="N28" i="2"/>
  <c r="K29" i="2"/>
  <c r="J29" i="2"/>
  <c r="L29" i="2"/>
  <c r="F28" i="2"/>
  <c r="D28" i="2"/>
  <c r="G29" i="2"/>
  <c r="E29" i="2"/>
  <c r="P29" i="2"/>
  <c r="O29" i="2"/>
  <c r="H29" i="2"/>
  <c r="I29" i="2"/>
  <c r="N29" i="2"/>
  <c r="K30" i="2"/>
  <c r="J30" i="2"/>
  <c r="L30" i="2"/>
  <c r="F29" i="2"/>
  <c r="D29" i="2"/>
  <c r="G30" i="2"/>
  <c r="E30" i="2"/>
  <c r="P30" i="2"/>
  <c r="O30" i="2"/>
  <c r="H30" i="2"/>
  <c r="I30" i="2"/>
  <c r="N30" i="2"/>
  <c r="K31" i="2"/>
  <c r="J31" i="2"/>
  <c r="L31" i="2"/>
  <c r="F30" i="2"/>
  <c r="D30" i="2"/>
  <c r="G31" i="2"/>
  <c r="E31" i="2"/>
  <c r="P31" i="2"/>
  <c r="O31" i="2"/>
  <c r="H31" i="2"/>
  <c r="I31" i="2"/>
  <c r="N31" i="2"/>
  <c r="K32" i="2"/>
  <c r="J32" i="2"/>
  <c r="L32" i="2"/>
  <c r="F31" i="2"/>
  <c r="D31" i="2"/>
  <c r="G32" i="2"/>
  <c r="E32" i="2"/>
  <c r="P32" i="2"/>
  <c r="O32" i="2"/>
  <c r="H32" i="2"/>
  <c r="I32" i="2"/>
  <c r="N32" i="2"/>
  <c r="K33" i="2"/>
  <c r="J33" i="2"/>
  <c r="L33" i="2"/>
  <c r="F32" i="2"/>
  <c r="D32" i="2"/>
  <c r="G33" i="2"/>
  <c r="E33" i="2"/>
  <c r="P33" i="2"/>
  <c r="O33" i="2"/>
  <c r="H33" i="2"/>
  <c r="I33" i="2"/>
  <c r="N33" i="2"/>
  <c r="K34" i="2"/>
  <c r="J34" i="2"/>
  <c r="L34" i="2"/>
  <c r="F33" i="2"/>
  <c r="D33" i="2"/>
  <c r="G34" i="2"/>
  <c r="E34" i="2"/>
  <c r="P34" i="2"/>
  <c r="O34" i="2"/>
  <c r="H34" i="2"/>
  <c r="I34" i="2"/>
  <c r="N34" i="2"/>
  <c r="K35" i="2"/>
  <c r="J35" i="2"/>
  <c r="L35" i="2"/>
  <c r="F34" i="2"/>
  <c r="D34" i="2"/>
  <c r="G35" i="2"/>
  <c r="E35" i="2"/>
  <c r="P35" i="2"/>
  <c r="O35" i="2"/>
  <c r="H35" i="2"/>
  <c r="I35" i="2"/>
  <c r="N35" i="2"/>
  <c r="K36" i="2"/>
  <c r="J36" i="2"/>
  <c r="L36" i="2"/>
  <c r="F35" i="2"/>
  <c r="D35" i="2"/>
  <c r="G36" i="2"/>
  <c r="E36" i="2"/>
  <c r="P36" i="2"/>
  <c r="O36" i="2"/>
  <c r="H36" i="2"/>
  <c r="I36" i="2"/>
  <c r="N36" i="2"/>
  <c r="K37" i="2"/>
  <c r="J37" i="2"/>
  <c r="L37" i="2"/>
  <c r="F36" i="2"/>
  <c r="D36" i="2"/>
  <c r="G37" i="2"/>
  <c r="E37" i="2"/>
  <c r="P37" i="2"/>
  <c r="O37" i="2"/>
  <c r="H37" i="2"/>
  <c r="I37" i="2"/>
  <c r="N37" i="2"/>
  <c r="K38" i="2"/>
  <c r="J38" i="2"/>
  <c r="L38" i="2"/>
  <c r="F37" i="2"/>
  <c r="D37" i="2"/>
  <c r="G38" i="2"/>
  <c r="E38" i="2"/>
  <c r="P38" i="2"/>
  <c r="O38" i="2"/>
  <c r="H38" i="2"/>
  <c r="I38" i="2"/>
  <c r="N38" i="2"/>
  <c r="K39" i="2"/>
  <c r="J39" i="2"/>
  <c r="L39" i="2"/>
  <c r="F38" i="2"/>
  <c r="D38" i="2"/>
  <c r="G39" i="2"/>
  <c r="E39" i="2"/>
  <c r="P39" i="2"/>
  <c r="O39" i="2"/>
  <c r="H39" i="2"/>
  <c r="I39" i="2"/>
  <c r="N39" i="2"/>
  <c r="K40" i="2"/>
  <c r="J40" i="2"/>
  <c r="L40" i="2"/>
  <c r="F39" i="2"/>
  <c r="D39" i="2"/>
  <c r="G40" i="2"/>
  <c r="E40" i="2"/>
  <c r="P40" i="2"/>
  <c r="O40" i="2"/>
  <c r="H40" i="2"/>
  <c r="I40" i="2"/>
  <c r="N40" i="2"/>
  <c r="K41" i="2"/>
  <c r="J41" i="2"/>
  <c r="L41" i="2"/>
  <c r="F40" i="2"/>
  <c r="D40" i="2"/>
  <c r="G41" i="2"/>
  <c r="E41" i="2"/>
  <c r="P41" i="2"/>
  <c r="O41" i="2"/>
  <c r="H41" i="2"/>
  <c r="I41" i="2"/>
  <c r="N41" i="2"/>
  <c r="K42" i="2"/>
  <c r="J42" i="2"/>
  <c r="L42" i="2"/>
  <c r="F41" i="2"/>
  <c r="D41" i="2"/>
  <c r="G42" i="2"/>
  <c r="E42" i="2"/>
  <c r="P42" i="2"/>
  <c r="O42" i="2"/>
  <c r="H42" i="2"/>
  <c r="I42" i="2"/>
  <c r="N42" i="2"/>
  <c r="K43" i="2"/>
  <c r="J43" i="2"/>
  <c r="L43" i="2"/>
  <c r="F42" i="2"/>
  <c r="D42" i="2"/>
  <c r="G43" i="2"/>
  <c r="E43" i="2"/>
  <c r="P43" i="2"/>
  <c r="O43" i="2"/>
  <c r="H43" i="2"/>
  <c r="I43" i="2"/>
  <c r="N43" i="2"/>
  <c r="K44" i="2"/>
  <c r="J44" i="2"/>
  <c r="L44" i="2"/>
  <c r="F43" i="2"/>
  <c r="D43" i="2"/>
  <c r="G44" i="2"/>
  <c r="E44" i="2"/>
  <c r="P44" i="2"/>
  <c r="O44" i="2"/>
  <c r="H44" i="2"/>
  <c r="I44" i="2"/>
  <c r="N44" i="2"/>
  <c r="K45" i="2"/>
  <c r="J45" i="2"/>
  <c r="L45" i="2"/>
  <c r="F44" i="2"/>
  <c r="D44" i="2"/>
  <c r="G45" i="2"/>
  <c r="E45" i="2"/>
  <c r="P45" i="2"/>
  <c r="O45" i="2"/>
  <c r="H45" i="2"/>
  <c r="I45" i="2"/>
  <c r="N45" i="2"/>
  <c r="K46" i="2"/>
  <c r="J46" i="2"/>
  <c r="L46" i="2"/>
  <c r="F45" i="2"/>
  <c r="D45" i="2"/>
  <c r="G46" i="2"/>
  <c r="E46" i="2"/>
  <c r="P46" i="2"/>
  <c r="O46" i="2"/>
  <c r="H46" i="2"/>
  <c r="I46" i="2"/>
  <c r="N46" i="2"/>
  <c r="K47" i="2"/>
  <c r="J47" i="2"/>
  <c r="L47" i="2"/>
  <c r="F46" i="2"/>
  <c r="D46" i="2"/>
  <c r="G47" i="2"/>
  <c r="E47" i="2"/>
  <c r="P47" i="2"/>
  <c r="O47" i="2"/>
  <c r="H47" i="2"/>
  <c r="I47" i="2"/>
  <c r="N47" i="2"/>
  <c r="K48" i="2"/>
  <c r="J48" i="2"/>
  <c r="L48" i="2"/>
  <c r="F47" i="2"/>
  <c r="D47" i="2"/>
  <c r="G48" i="2"/>
  <c r="E48" i="2"/>
  <c r="P48" i="2"/>
  <c r="O48" i="2"/>
  <c r="H48" i="2"/>
  <c r="I48" i="2"/>
  <c r="N48" i="2"/>
  <c r="K49" i="2"/>
  <c r="J49" i="2"/>
  <c r="L49" i="2"/>
  <c r="F48" i="2"/>
  <c r="D48" i="2"/>
  <c r="G49" i="2"/>
  <c r="E49" i="2"/>
  <c r="P49" i="2"/>
  <c r="O49" i="2"/>
  <c r="H49" i="2"/>
  <c r="I49" i="2"/>
  <c r="N49" i="2"/>
  <c r="K50" i="2"/>
  <c r="J50" i="2"/>
  <c r="L50" i="2"/>
  <c r="F49" i="2"/>
  <c r="D49" i="2"/>
  <c r="G50" i="2"/>
  <c r="E50" i="2"/>
  <c r="P50" i="2"/>
  <c r="O50" i="2"/>
  <c r="H50" i="2"/>
  <c r="I50" i="2"/>
  <c r="N50" i="2"/>
  <c r="K51" i="2"/>
  <c r="J51" i="2"/>
  <c r="L51" i="2"/>
  <c r="F50" i="2"/>
  <c r="D50" i="2"/>
  <c r="G51" i="2"/>
  <c r="E51" i="2"/>
  <c r="P51" i="2"/>
  <c r="O51" i="2"/>
  <c r="H51" i="2"/>
  <c r="I51" i="2"/>
  <c r="N51" i="2"/>
  <c r="K52" i="2"/>
  <c r="J52" i="2"/>
  <c r="L52" i="2"/>
  <c r="F51" i="2"/>
  <c r="D51" i="2"/>
  <c r="G52" i="2"/>
  <c r="E52" i="2"/>
  <c r="P52" i="2"/>
  <c r="O52" i="2"/>
  <c r="H52" i="2"/>
  <c r="I52" i="2"/>
  <c r="N52" i="2"/>
  <c r="K53" i="2"/>
  <c r="J53" i="2"/>
  <c r="L53" i="2"/>
  <c r="F52" i="2"/>
  <c r="D52" i="2"/>
  <c r="G53" i="2"/>
  <c r="E53" i="2"/>
  <c r="P53" i="2"/>
  <c r="O53" i="2"/>
  <c r="H53" i="2"/>
  <c r="I53" i="2"/>
  <c r="N53" i="2"/>
  <c r="K54" i="2"/>
  <c r="J54" i="2"/>
  <c r="L54" i="2"/>
  <c r="F53" i="2"/>
  <c r="D53" i="2"/>
  <c r="G54" i="2"/>
  <c r="E54" i="2"/>
  <c r="P54" i="2"/>
  <c r="O54" i="2"/>
  <c r="H54" i="2"/>
  <c r="I54" i="2"/>
  <c r="N54" i="2"/>
  <c r="K55" i="2"/>
  <c r="J55" i="2"/>
  <c r="L55" i="2"/>
  <c r="F54" i="2"/>
  <c r="D54" i="2"/>
  <c r="G55" i="2"/>
  <c r="E55" i="2"/>
  <c r="P55" i="2"/>
  <c r="O55" i="2"/>
  <c r="H55" i="2"/>
  <c r="I55" i="2"/>
  <c r="N55" i="2"/>
  <c r="K56" i="2"/>
  <c r="J56" i="2"/>
  <c r="L56" i="2"/>
  <c r="F55" i="2"/>
  <c r="D55" i="2"/>
  <c r="G56" i="2"/>
  <c r="E56" i="2"/>
  <c r="P56" i="2"/>
  <c r="O56" i="2"/>
  <c r="H56" i="2"/>
  <c r="I56" i="2"/>
  <c r="N56" i="2"/>
  <c r="K57" i="2"/>
  <c r="J57" i="2"/>
  <c r="L57" i="2"/>
  <c r="F56" i="2"/>
  <c r="D56" i="2"/>
  <c r="G57" i="2"/>
  <c r="E57" i="2"/>
  <c r="P57" i="2"/>
  <c r="O57" i="2"/>
  <c r="H57" i="2"/>
  <c r="I57" i="2"/>
  <c r="N57" i="2"/>
  <c r="K58" i="2"/>
  <c r="J58" i="2"/>
  <c r="L58" i="2"/>
  <c r="F57" i="2"/>
  <c r="D57" i="2"/>
  <c r="G58" i="2"/>
  <c r="E58" i="2"/>
  <c r="P58" i="2"/>
  <c r="O58" i="2"/>
  <c r="H58" i="2"/>
  <c r="I58" i="2"/>
  <c r="N58" i="2"/>
  <c r="K59" i="2"/>
  <c r="J59" i="2"/>
  <c r="L59" i="2"/>
  <c r="F58" i="2"/>
  <c r="D58" i="2"/>
  <c r="G59" i="2"/>
  <c r="E59" i="2"/>
  <c r="P59" i="2"/>
  <c r="O59" i="2"/>
  <c r="H59" i="2"/>
  <c r="I59" i="2"/>
  <c r="N59" i="2"/>
  <c r="K60" i="2"/>
  <c r="J60" i="2"/>
  <c r="L60" i="2"/>
  <c r="F59" i="2"/>
  <c r="D59" i="2"/>
  <c r="G60" i="2"/>
  <c r="E60" i="2"/>
  <c r="P60" i="2"/>
  <c r="O60" i="2"/>
  <c r="H60" i="2"/>
  <c r="I60" i="2"/>
  <c r="N60" i="2"/>
  <c r="K61" i="2"/>
  <c r="J61" i="2"/>
  <c r="L61" i="2"/>
  <c r="F60" i="2"/>
  <c r="D60" i="2"/>
  <c r="G61" i="2"/>
  <c r="E61" i="2"/>
  <c r="P61" i="2"/>
  <c r="O61" i="2"/>
  <c r="H61" i="2"/>
  <c r="I61" i="2"/>
  <c r="N61" i="2"/>
  <c r="K62" i="2"/>
  <c r="J62" i="2"/>
  <c r="L62" i="2"/>
  <c r="F61" i="2"/>
  <c r="D61" i="2"/>
  <c r="G62" i="2"/>
  <c r="E62" i="2"/>
  <c r="P62" i="2"/>
  <c r="O62" i="2"/>
  <c r="H62" i="2"/>
  <c r="I62" i="2"/>
  <c r="N62" i="2"/>
  <c r="K63" i="2"/>
  <c r="J63" i="2"/>
  <c r="L63" i="2"/>
  <c r="F62" i="2"/>
  <c r="D62" i="2"/>
  <c r="G63" i="2"/>
  <c r="E63" i="2"/>
  <c r="P63" i="2"/>
  <c r="O63" i="2"/>
  <c r="H63" i="2"/>
  <c r="I63" i="2"/>
  <c r="N63" i="2"/>
  <c r="K64" i="2"/>
  <c r="J64" i="2"/>
  <c r="L64" i="2"/>
  <c r="F63" i="2"/>
  <c r="D63" i="2"/>
  <c r="G64" i="2"/>
  <c r="E64" i="2"/>
  <c r="P64" i="2"/>
  <c r="O64" i="2"/>
  <c r="H64" i="2"/>
  <c r="I64" i="2"/>
  <c r="N64" i="2"/>
  <c r="K65" i="2"/>
  <c r="J65" i="2"/>
  <c r="L65" i="2"/>
  <c r="F64" i="2"/>
  <c r="D64" i="2"/>
  <c r="G65" i="2"/>
  <c r="E65" i="2"/>
  <c r="P65" i="2"/>
  <c r="O65" i="2"/>
  <c r="H65" i="2"/>
  <c r="I65" i="2"/>
  <c r="N65" i="2"/>
  <c r="K66" i="2"/>
  <c r="J66" i="2"/>
  <c r="L66" i="2"/>
  <c r="F65" i="2"/>
  <c r="D65" i="2"/>
  <c r="G66" i="2"/>
  <c r="E66" i="2"/>
  <c r="P66" i="2"/>
  <c r="O66" i="2"/>
  <c r="H66" i="2"/>
  <c r="I66" i="2"/>
  <c r="N66" i="2"/>
  <c r="K67" i="2"/>
  <c r="J67" i="2"/>
  <c r="L67" i="2"/>
  <c r="F66" i="2"/>
  <c r="D66" i="2"/>
  <c r="G67" i="2"/>
  <c r="E67" i="2"/>
  <c r="P67" i="2"/>
  <c r="O67" i="2"/>
  <c r="H67" i="2"/>
  <c r="I67" i="2"/>
  <c r="N67" i="2"/>
  <c r="K68" i="2"/>
  <c r="J68" i="2"/>
  <c r="L68" i="2"/>
  <c r="F67" i="2"/>
  <c r="D67" i="2"/>
  <c r="G68" i="2"/>
  <c r="E68" i="2"/>
  <c r="P68" i="2"/>
  <c r="O68" i="2"/>
  <c r="H68" i="2"/>
  <c r="I68" i="2"/>
  <c r="N68" i="2"/>
  <c r="K69" i="2"/>
  <c r="J69" i="2"/>
  <c r="L69" i="2"/>
  <c r="F68" i="2"/>
  <c r="D68" i="2"/>
  <c r="G69" i="2"/>
  <c r="E69" i="2"/>
  <c r="P69" i="2"/>
  <c r="O69" i="2"/>
  <c r="H69" i="2"/>
  <c r="I69" i="2"/>
  <c r="N69" i="2"/>
  <c r="K70" i="2"/>
  <c r="J70" i="2"/>
  <c r="L70" i="2"/>
  <c r="F69" i="2"/>
  <c r="D69" i="2"/>
  <c r="G70" i="2"/>
  <c r="E70" i="2"/>
  <c r="P70" i="2"/>
  <c r="O70" i="2"/>
  <c r="H70" i="2"/>
  <c r="I70" i="2"/>
  <c r="N70" i="2"/>
  <c r="K71" i="2"/>
  <c r="J71" i="2"/>
  <c r="L71" i="2"/>
  <c r="F70" i="2"/>
  <c r="D70" i="2"/>
  <c r="G71" i="2"/>
  <c r="E71" i="2"/>
  <c r="P71" i="2"/>
  <c r="O71" i="2"/>
  <c r="H71" i="2"/>
  <c r="I71" i="2"/>
  <c r="N71" i="2"/>
  <c r="K72" i="2"/>
  <c r="J72" i="2"/>
  <c r="L72" i="2"/>
  <c r="F71" i="2"/>
  <c r="D71" i="2"/>
  <c r="G72" i="2"/>
  <c r="E72" i="2"/>
  <c r="P72" i="2"/>
  <c r="O72" i="2"/>
  <c r="H72" i="2"/>
  <c r="I72" i="2"/>
  <c r="N72" i="2"/>
  <c r="K73" i="2"/>
  <c r="J73" i="2"/>
  <c r="L73" i="2"/>
  <c r="F72" i="2"/>
  <c r="D72" i="2"/>
  <c r="G73" i="2"/>
  <c r="E73" i="2"/>
  <c r="P73" i="2"/>
  <c r="O73" i="2"/>
  <c r="H73" i="2"/>
  <c r="I73" i="2"/>
  <c r="N73" i="2"/>
  <c r="K74" i="2"/>
  <c r="J74" i="2"/>
  <c r="L74" i="2"/>
  <c r="F73" i="2"/>
  <c r="D73" i="2"/>
  <c r="G74" i="2"/>
  <c r="E74" i="2"/>
  <c r="P74" i="2"/>
  <c r="O74" i="2"/>
  <c r="H74" i="2"/>
  <c r="I74" i="2"/>
  <c r="N74" i="2"/>
  <c r="K75" i="2"/>
  <c r="J75" i="2"/>
  <c r="L75" i="2"/>
  <c r="F74" i="2"/>
  <c r="D74" i="2"/>
  <c r="G75" i="2"/>
  <c r="E75" i="2"/>
  <c r="P75" i="2"/>
  <c r="O75" i="2"/>
  <c r="H75" i="2"/>
  <c r="I75" i="2"/>
  <c r="N75" i="2"/>
  <c r="K76" i="2"/>
  <c r="J76" i="2"/>
  <c r="L76" i="2"/>
  <c r="F75" i="2"/>
  <c r="D75" i="2"/>
  <c r="G76" i="2"/>
  <c r="E76" i="2"/>
  <c r="P76" i="2"/>
  <c r="O76" i="2"/>
  <c r="H76" i="2"/>
  <c r="I76" i="2"/>
  <c r="N76" i="2"/>
  <c r="K77" i="2"/>
  <c r="J77" i="2"/>
  <c r="L77" i="2"/>
  <c r="F76" i="2"/>
  <c r="D76" i="2"/>
  <c r="G77" i="2"/>
  <c r="E77" i="2"/>
  <c r="P77" i="2"/>
  <c r="O77" i="2"/>
  <c r="H77" i="2"/>
  <c r="I77" i="2"/>
  <c r="N77" i="2"/>
  <c r="K78" i="2"/>
  <c r="J78" i="2"/>
  <c r="L78" i="2"/>
  <c r="F77" i="2"/>
  <c r="D77" i="2"/>
  <c r="G78" i="2"/>
  <c r="E78" i="2"/>
  <c r="P78" i="2"/>
  <c r="O78" i="2"/>
  <c r="H78" i="2"/>
  <c r="I78" i="2"/>
  <c r="N78" i="2"/>
  <c r="K79" i="2"/>
  <c r="J79" i="2"/>
  <c r="L79" i="2"/>
  <c r="F78" i="2"/>
  <c r="D78" i="2"/>
  <c r="G79" i="2"/>
  <c r="E79" i="2"/>
  <c r="P79" i="2"/>
  <c r="O79" i="2"/>
  <c r="H79" i="2"/>
  <c r="I79" i="2"/>
  <c r="N79" i="2"/>
  <c r="K80" i="2"/>
  <c r="J80" i="2"/>
  <c r="L80" i="2"/>
  <c r="F79" i="2"/>
  <c r="D79" i="2"/>
  <c r="G80" i="2"/>
  <c r="E80" i="2"/>
  <c r="P80" i="2"/>
  <c r="O80" i="2"/>
  <c r="H80" i="2"/>
  <c r="I80" i="2"/>
  <c r="N80" i="2"/>
  <c r="K81" i="2"/>
  <c r="J81" i="2"/>
  <c r="L81" i="2"/>
  <c r="F80" i="2"/>
  <c r="D80" i="2"/>
  <c r="G81" i="2"/>
  <c r="E81" i="2"/>
  <c r="P81" i="2"/>
  <c r="O81" i="2"/>
  <c r="H81" i="2"/>
  <c r="I81" i="2"/>
  <c r="N81" i="2"/>
  <c r="K82" i="2"/>
  <c r="J82" i="2"/>
  <c r="L82" i="2"/>
  <c r="F81" i="2"/>
  <c r="D81" i="2"/>
  <c r="G82" i="2"/>
  <c r="E82" i="2"/>
  <c r="P82" i="2"/>
  <c r="O82" i="2"/>
  <c r="H82" i="2"/>
  <c r="I82" i="2"/>
  <c r="N82" i="2"/>
  <c r="K83" i="2"/>
  <c r="J83" i="2"/>
  <c r="L83" i="2"/>
  <c r="F82" i="2"/>
  <c r="D82" i="2"/>
  <c r="G83" i="2"/>
  <c r="E83" i="2"/>
  <c r="P83" i="2"/>
  <c r="O83" i="2"/>
  <c r="H83" i="2"/>
  <c r="I83" i="2"/>
  <c r="N83" i="2"/>
  <c r="K84" i="2"/>
  <c r="J84" i="2"/>
  <c r="L84" i="2"/>
  <c r="F83" i="2"/>
  <c r="D83" i="2"/>
  <c r="G84" i="2"/>
  <c r="E84" i="2"/>
  <c r="P84" i="2"/>
  <c r="O84" i="2"/>
  <c r="H84" i="2"/>
  <c r="I84" i="2"/>
  <c r="N84" i="2"/>
  <c r="K85" i="2"/>
  <c r="J85" i="2"/>
  <c r="L85" i="2"/>
  <c r="F84" i="2"/>
  <c r="D84" i="2"/>
  <c r="G85" i="2"/>
  <c r="E85" i="2"/>
  <c r="P85" i="2"/>
  <c r="O85" i="2"/>
  <c r="H85" i="2"/>
  <c r="I85" i="2"/>
  <c r="N85" i="2"/>
  <c r="K86" i="2"/>
  <c r="J86" i="2"/>
  <c r="L86" i="2"/>
  <c r="F85" i="2"/>
  <c r="D85" i="2"/>
  <c r="G86" i="2"/>
  <c r="E86" i="2"/>
  <c r="P86" i="2"/>
  <c r="O86" i="2"/>
  <c r="H86" i="2"/>
  <c r="I86" i="2"/>
  <c r="N86" i="2"/>
  <c r="K87" i="2"/>
  <c r="J87" i="2"/>
  <c r="L87" i="2"/>
  <c r="F86" i="2"/>
  <c r="D86" i="2"/>
  <c r="G87" i="2"/>
  <c r="E87" i="2"/>
  <c r="P87" i="2"/>
  <c r="O87" i="2"/>
  <c r="H87" i="2"/>
  <c r="I87" i="2"/>
  <c r="N87" i="2"/>
  <c r="K88" i="2"/>
  <c r="J88" i="2"/>
  <c r="L88" i="2"/>
  <c r="F87" i="2"/>
  <c r="D87" i="2"/>
  <c r="G88" i="2"/>
  <c r="E88" i="2"/>
  <c r="P88" i="2"/>
  <c r="O88" i="2"/>
  <c r="H88" i="2"/>
  <c r="I88" i="2"/>
  <c r="N88" i="2"/>
  <c r="K89" i="2"/>
  <c r="J89" i="2"/>
  <c r="L89" i="2"/>
  <c r="F88" i="2"/>
  <c r="D88" i="2"/>
  <c r="G89" i="2"/>
  <c r="E89" i="2"/>
  <c r="P89" i="2"/>
  <c r="O89" i="2"/>
  <c r="H89" i="2"/>
  <c r="I89" i="2"/>
  <c r="N89" i="2"/>
  <c r="K90" i="2"/>
  <c r="J90" i="2"/>
  <c r="L90" i="2"/>
  <c r="F89" i="2"/>
  <c r="D89" i="2"/>
  <c r="G90" i="2"/>
  <c r="E90" i="2"/>
  <c r="P90" i="2"/>
  <c r="O90" i="2"/>
  <c r="H90" i="2"/>
  <c r="I90" i="2"/>
  <c r="N90" i="2"/>
  <c r="K91" i="2"/>
  <c r="J91" i="2"/>
  <c r="L91" i="2"/>
  <c r="F90" i="2"/>
  <c r="D90" i="2"/>
  <c r="G91" i="2"/>
  <c r="E91" i="2"/>
  <c r="P91" i="2"/>
  <c r="O91" i="2"/>
  <c r="H91" i="2"/>
  <c r="I91" i="2"/>
  <c r="N91" i="2"/>
  <c r="K92" i="2"/>
  <c r="J92" i="2"/>
  <c r="L92" i="2"/>
  <c r="F91" i="2"/>
  <c r="D91" i="2"/>
  <c r="G92" i="2"/>
  <c r="E92" i="2"/>
  <c r="P92" i="2"/>
  <c r="O92" i="2"/>
  <c r="H92" i="2"/>
  <c r="I92" i="2"/>
  <c r="N92" i="2"/>
  <c r="K93" i="2"/>
  <c r="J93" i="2"/>
  <c r="L93" i="2"/>
  <c r="F92" i="2"/>
  <c r="D92" i="2"/>
  <c r="G93" i="2"/>
  <c r="E93" i="2"/>
  <c r="P93" i="2"/>
  <c r="O93" i="2"/>
  <c r="H93" i="2"/>
  <c r="I93" i="2"/>
  <c r="N93" i="2"/>
  <c r="K94" i="2"/>
  <c r="J94" i="2"/>
  <c r="L94" i="2"/>
  <c r="F93" i="2"/>
  <c r="D93" i="2"/>
  <c r="G94" i="2"/>
  <c r="E94" i="2"/>
  <c r="P94" i="2"/>
  <c r="O94" i="2"/>
  <c r="H94" i="2"/>
  <c r="I94" i="2"/>
  <c r="N94" i="2"/>
  <c r="K95" i="2"/>
  <c r="J95" i="2"/>
  <c r="L95" i="2"/>
  <c r="F94" i="2"/>
  <c r="D94" i="2"/>
  <c r="G95" i="2"/>
  <c r="E95" i="2"/>
  <c r="P95" i="2"/>
  <c r="O95" i="2"/>
  <c r="H95" i="2"/>
  <c r="I95" i="2"/>
  <c r="N95" i="2"/>
  <c r="K96" i="2"/>
  <c r="J96" i="2"/>
  <c r="L96" i="2"/>
  <c r="F95" i="2"/>
  <c r="D95" i="2"/>
  <c r="G96" i="2"/>
  <c r="E96" i="2"/>
  <c r="P96" i="2"/>
  <c r="O96" i="2"/>
  <c r="H96" i="2"/>
  <c r="I96" i="2"/>
  <c r="N96" i="2"/>
  <c r="K97" i="2"/>
  <c r="J97" i="2"/>
  <c r="L97" i="2"/>
  <c r="F96" i="2"/>
  <c r="D96" i="2"/>
  <c r="G97" i="2"/>
  <c r="E97" i="2"/>
  <c r="P97" i="2"/>
  <c r="O97" i="2"/>
  <c r="H97" i="2"/>
  <c r="I97" i="2"/>
  <c r="N97" i="2"/>
  <c r="K98" i="2"/>
  <c r="J98" i="2"/>
  <c r="L98" i="2"/>
  <c r="F97" i="2"/>
  <c r="D97" i="2"/>
  <c r="G98" i="2"/>
  <c r="E98" i="2"/>
  <c r="P98" i="2"/>
  <c r="O98" i="2"/>
  <c r="H98" i="2"/>
  <c r="I98" i="2"/>
  <c r="N98" i="2"/>
  <c r="K99" i="2"/>
  <c r="J99" i="2"/>
  <c r="L99" i="2"/>
  <c r="F98" i="2"/>
  <c r="D98" i="2"/>
  <c r="G99" i="2"/>
  <c r="E99" i="2"/>
  <c r="P99" i="2"/>
  <c r="O99" i="2"/>
  <c r="H99" i="2"/>
  <c r="I99" i="2"/>
  <c r="N99" i="2"/>
  <c r="K100" i="2"/>
  <c r="J100" i="2"/>
  <c r="L100" i="2"/>
  <c r="F99" i="2"/>
  <c r="D99" i="2"/>
  <c r="G100" i="2"/>
  <c r="E100" i="2"/>
  <c r="P100" i="2"/>
  <c r="O100" i="2"/>
  <c r="H100" i="2"/>
  <c r="I100" i="2"/>
  <c r="N100" i="2"/>
  <c r="K101" i="2"/>
  <c r="J101" i="2"/>
  <c r="L101" i="2"/>
  <c r="F100" i="2"/>
  <c r="D100" i="2"/>
  <c r="G101" i="2"/>
  <c r="E101" i="2"/>
  <c r="P101" i="2"/>
  <c r="O101" i="2"/>
  <c r="H101" i="2"/>
  <c r="I101" i="2"/>
  <c r="N101" i="2"/>
  <c r="K102" i="2"/>
  <c r="J102" i="2"/>
  <c r="L102" i="2"/>
  <c r="F101" i="2"/>
  <c r="D101" i="2"/>
  <c r="G102" i="2"/>
  <c r="E102" i="2"/>
  <c r="P102" i="2"/>
  <c r="O102" i="2"/>
  <c r="H102" i="2"/>
  <c r="I102" i="2"/>
  <c r="N102" i="2"/>
  <c r="K103" i="2"/>
  <c r="J103" i="2"/>
  <c r="L103" i="2"/>
  <c r="F102" i="2"/>
  <c r="D102" i="2"/>
  <c r="G103" i="2"/>
  <c r="E103" i="2"/>
  <c r="P103" i="2"/>
  <c r="O103" i="2"/>
  <c r="H103" i="2"/>
  <c r="I103" i="2"/>
  <c r="N103" i="2"/>
  <c r="K104" i="2"/>
  <c r="J104" i="2"/>
  <c r="L104" i="2"/>
  <c r="F103" i="2"/>
  <c r="D103" i="2"/>
  <c r="G104" i="2"/>
  <c r="E104" i="2"/>
  <c r="P104" i="2"/>
  <c r="O104" i="2"/>
  <c r="H104" i="2"/>
  <c r="I104" i="2"/>
  <c r="N104" i="2"/>
  <c r="K105" i="2"/>
  <c r="J105" i="2"/>
  <c r="L105" i="2"/>
  <c r="F104" i="2"/>
  <c r="D104" i="2"/>
  <c r="G105" i="2"/>
  <c r="E105" i="2"/>
  <c r="P105" i="2"/>
  <c r="O105" i="2"/>
  <c r="H105" i="2"/>
  <c r="I105" i="2"/>
  <c r="N105" i="2"/>
  <c r="K106" i="2"/>
  <c r="J106" i="2"/>
  <c r="L106" i="2"/>
  <c r="F105" i="2"/>
  <c r="D105" i="2"/>
  <c r="G106" i="2"/>
  <c r="E106" i="2"/>
  <c r="P106" i="2"/>
  <c r="O106" i="2"/>
  <c r="H106" i="2"/>
  <c r="I106" i="2"/>
  <c r="N106" i="2"/>
  <c r="K107" i="2"/>
  <c r="J107" i="2"/>
  <c r="L107" i="2"/>
  <c r="F106" i="2"/>
  <c r="D106" i="2"/>
  <c r="G107" i="2"/>
  <c r="E107" i="2"/>
  <c r="P107" i="2"/>
  <c r="O107" i="2"/>
  <c r="H107" i="2"/>
  <c r="I107" i="2"/>
  <c r="N107" i="2"/>
  <c r="K108" i="2"/>
  <c r="J108" i="2"/>
  <c r="L108" i="2"/>
  <c r="F107" i="2"/>
  <c r="D107" i="2"/>
  <c r="G108" i="2"/>
  <c r="E108" i="2"/>
  <c r="P108" i="2"/>
  <c r="O108" i="2"/>
  <c r="H108" i="2"/>
  <c r="I108" i="2"/>
  <c r="N108" i="2"/>
  <c r="K109" i="2"/>
  <c r="J109" i="2"/>
  <c r="L109" i="2"/>
  <c r="F108" i="2"/>
  <c r="D108" i="2"/>
  <c r="G109" i="2"/>
  <c r="E109" i="2"/>
  <c r="P109" i="2"/>
  <c r="O109" i="2"/>
  <c r="H109" i="2"/>
  <c r="I109" i="2"/>
  <c r="N109" i="2"/>
  <c r="K110" i="2"/>
  <c r="J110" i="2"/>
  <c r="L110" i="2"/>
  <c r="F109" i="2"/>
  <c r="D109" i="2"/>
  <c r="G110" i="2"/>
  <c r="E110" i="2"/>
  <c r="P110" i="2"/>
  <c r="O110" i="2"/>
  <c r="H110" i="2"/>
  <c r="I110" i="2"/>
  <c r="N110" i="2"/>
  <c r="K111" i="2"/>
  <c r="J111" i="2"/>
  <c r="L111" i="2"/>
  <c r="F110" i="2"/>
  <c r="D110" i="2"/>
  <c r="G111" i="2"/>
  <c r="E111" i="2"/>
  <c r="P111" i="2"/>
  <c r="O111" i="2"/>
  <c r="H111" i="2"/>
  <c r="I111" i="2"/>
  <c r="N111" i="2"/>
  <c r="K112" i="2"/>
  <c r="J112" i="2"/>
  <c r="L112" i="2"/>
  <c r="F111" i="2"/>
  <c r="D111" i="2"/>
  <c r="G112" i="2"/>
  <c r="E112" i="2"/>
  <c r="P112" i="2"/>
  <c r="O112" i="2"/>
  <c r="H112" i="2"/>
  <c r="I112" i="2"/>
  <c r="N112" i="2"/>
  <c r="K113" i="2"/>
  <c r="J113" i="2"/>
  <c r="L113" i="2"/>
  <c r="F112" i="2"/>
  <c r="D112" i="2"/>
  <c r="G113" i="2"/>
  <c r="E113" i="2"/>
  <c r="P113" i="2"/>
  <c r="O113" i="2"/>
  <c r="H113" i="2"/>
  <c r="I113" i="2"/>
  <c r="N113" i="2"/>
  <c r="K114" i="2"/>
  <c r="J114" i="2"/>
  <c r="L114" i="2"/>
  <c r="F113" i="2"/>
  <c r="D113" i="2"/>
  <c r="G114" i="2"/>
  <c r="E114" i="2"/>
  <c r="P114" i="2"/>
  <c r="O114" i="2"/>
  <c r="H114" i="2"/>
  <c r="I114" i="2"/>
  <c r="N114" i="2"/>
  <c r="K115" i="2"/>
  <c r="J115" i="2"/>
  <c r="L115" i="2"/>
  <c r="F114" i="2"/>
  <c r="D114" i="2"/>
  <c r="G115" i="2"/>
  <c r="E115" i="2"/>
  <c r="P115" i="2"/>
  <c r="O115" i="2"/>
  <c r="H115" i="2"/>
  <c r="I115" i="2"/>
  <c r="N115" i="2"/>
  <c r="K116" i="2"/>
  <c r="J116" i="2"/>
  <c r="L116" i="2"/>
  <c r="F115" i="2"/>
  <c r="D115" i="2"/>
  <c r="G116" i="2"/>
  <c r="E116" i="2"/>
  <c r="P116" i="2"/>
  <c r="O116" i="2"/>
  <c r="H116" i="2"/>
  <c r="I116" i="2"/>
  <c r="N116" i="2"/>
  <c r="K117" i="2"/>
  <c r="J117" i="2"/>
  <c r="L117" i="2"/>
  <c r="F116" i="2"/>
  <c r="D116" i="2"/>
  <c r="G117" i="2"/>
  <c r="E117" i="2"/>
  <c r="P117" i="2"/>
  <c r="O117" i="2"/>
  <c r="H117" i="2"/>
  <c r="I117" i="2"/>
  <c r="N117" i="2"/>
  <c r="K118" i="2"/>
  <c r="J118" i="2"/>
  <c r="L118" i="2"/>
  <c r="F117" i="2"/>
  <c r="D117" i="2"/>
  <c r="G118" i="2"/>
  <c r="E118" i="2"/>
  <c r="P118" i="2"/>
  <c r="O118" i="2"/>
  <c r="H118" i="2"/>
  <c r="I118" i="2"/>
  <c r="N118" i="2"/>
  <c r="K119" i="2"/>
  <c r="J119" i="2"/>
  <c r="L119" i="2"/>
  <c r="F118" i="2"/>
  <c r="D118" i="2"/>
  <c r="G119" i="2"/>
  <c r="E119" i="2"/>
  <c r="P119" i="2"/>
  <c r="O119" i="2"/>
  <c r="H119" i="2"/>
  <c r="I119" i="2"/>
  <c r="N119" i="2"/>
  <c r="K120" i="2"/>
  <c r="J120" i="2"/>
  <c r="L120" i="2"/>
  <c r="F119" i="2"/>
  <c r="D119" i="2"/>
  <c r="G120" i="2"/>
  <c r="E120" i="2"/>
  <c r="P120" i="2"/>
  <c r="O120" i="2"/>
  <c r="H120" i="2"/>
  <c r="I120" i="2"/>
  <c r="N120" i="2"/>
  <c r="K121" i="2"/>
  <c r="J121" i="2"/>
  <c r="L121" i="2"/>
  <c r="F120" i="2"/>
  <c r="D120" i="2"/>
  <c r="G121" i="2"/>
  <c r="E121" i="2"/>
  <c r="P121" i="2"/>
  <c r="O121" i="2"/>
  <c r="H121" i="2"/>
  <c r="I121" i="2"/>
  <c r="N121" i="2"/>
  <c r="K122" i="2"/>
  <c r="J122" i="2"/>
  <c r="L122" i="2"/>
  <c r="F121" i="2"/>
  <c r="D121" i="2"/>
  <c r="G122" i="2"/>
  <c r="E122" i="2"/>
  <c r="P122" i="2"/>
  <c r="O122" i="2"/>
  <c r="H122" i="2"/>
  <c r="I122" i="2"/>
  <c r="N122" i="2"/>
  <c r="K123" i="2"/>
  <c r="J123" i="2"/>
  <c r="L123" i="2"/>
  <c r="F122" i="2"/>
  <c r="D122" i="2"/>
  <c r="G123" i="2"/>
  <c r="E123" i="2"/>
  <c r="P123" i="2"/>
  <c r="O123" i="2"/>
  <c r="H123" i="2"/>
  <c r="I123" i="2"/>
  <c r="N123" i="2"/>
  <c r="K124" i="2"/>
  <c r="J124" i="2"/>
  <c r="L124" i="2"/>
  <c r="F123" i="2"/>
  <c r="D123" i="2"/>
  <c r="G124" i="2"/>
  <c r="E124" i="2"/>
  <c r="P124" i="2"/>
  <c r="O124" i="2"/>
  <c r="H124" i="2"/>
  <c r="I124" i="2"/>
  <c r="N124" i="2"/>
  <c r="K125" i="2"/>
  <c r="J125" i="2"/>
  <c r="L125" i="2"/>
  <c r="F124" i="2"/>
  <c r="D124" i="2"/>
  <c r="G125" i="2"/>
  <c r="E125" i="2"/>
  <c r="P125" i="2"/>
  <c r="O125" i="2"/>
  <c r="H125" i="2"/>
  <c r="I125" i="2"/>
  <c r="N125" i="2"/>
  <c r="K126" i="2"/>
  <c r="J126" i="2"/>
  <c r="L126" i="2"/>
  <c r="F125" i="2"/>
  <c r="D125" i="2"/>
  <c r="G126" i="2"/>
  <c r="E126" i="2"/>
  <c r="P126" i="2"/>
  <c r="O126" i="2"/>
  <c r="H126" i="2"/>
  <c r="I126" i="2"/>
  <c r="N126" i="2"/>
  <c r="K127" i="2"/>
  <c r="J127" i="2"/>
  <c r="L127" i="2"/>
  <c r="F126" i="2"/>
  <c r="D126" i="2"/>
  <c r="G127" i="2"/>
  <c r="E127" i="2"/>
  <c r="P127" i="2"/>
  <c r="O127" i="2"/>
  <c r="H127" i="2"/>
  <c r="I127" i="2"/>
  <c r="N127" i="2"/>
  <c r="K128" i="2"/>
  <c r="J128" i="2"/>
  <c r="L128" i="2"/>
  <c r="F127" i="2"/>
  <c r="D127" i="2"/>
  <c r="G128" i="2"/>
  <c r="E128" i="2"/>
  <c r="P128" i="2"/>
  <c r="O128" i="2"/>
  <c r="H128" i="2"/>
  <c r="I128" i="2"/>
  <c r="N128" i="2"/>
  <c r="K129" i="2"/>
  <c r="J129" i="2"/>
  <c r="L129" i="2"/>
  <c r="F128" i="2"/>
  <c r="D128" i="2"/>
  <c r="G129" i="2"/>
  <c r="E129" i="2"/>
  <c r="P129" i="2"/>
  <c r="O129" i="2"/>
  <c r="H129" i="2"/>
  <c r="I129" i="2"/>
  <c r="N129" i="2"/>
  <c r="K130" i="2"/>
  <c r="J130" i="2"/>
  <c r="L130" i="2"/>
  <c r="F129" i="2"/>
  <c r="D129" i="2"/>
  <c r="G130" i="2"/>
  <c r="E130" i="2"/>
  <c r="P130" i="2"/>
  <c r="O130" i="2"/>
  <c r="H130" i="2"/>
  <c r="I130" i="2"/>
  <c r="N130" i="2"/>
  <c r="K131" i="2"/>
  <c r="J131" i="2"/>
  <c r="L131" i="2"/>
  <c r="F130" i="2"/>
  <c r="D130" i="2"/>
  <c r="G131" i="2"/>
  <c r="E131" i="2"/>
  <c r="P131" i="2"/>
  <c r="O131" i="2"/>
  <c r="H131" i="2"/>
  <c r="I131" i="2"/>
  <c r="N131" i="2"/>
  <c r="K132" i="2"/>
  <c r="J132" i="2"/>
  <c r="L132" i="2"/>
  <c r="F131" i="2"/>
  <c r="D131" i="2"/>
  <c r="G132" i="2"/>
  <c r="E132" i="2"/>
  <c r="P132" i="2"/>
  <c r="O132" i="2"/>
  <c r="H132" i="2"/>
  <c r="I132" i="2"/>
  <c r="N132" i="2"/>
  <c r="K133" i="2"/>
  <c r="J133" i="2"/>
  <c r="L133" i="2"/>
  <c r="F132" i="2"/>
  <c r="D132" i="2"/>
  <c r="G133" i="2"/>
  <c r="E133" i="2"/>
  <c r="P133" i="2"/>
  <c r="O133" i="2"/>
  <c r="H133" i="2"/>
  <c r="I133" i="2"/>
  <c r="N133" i="2"/>
  <c r="K134" i="2"/>
  <c r="J134" i="2"/>
  <c r="L134" i="2"/>
  <c r="F133" i="2"/>
  <c r="D133" i="2"/>
  <c r="G134" i="2"/>
  <c r="E134" i="2"/>
  <c r="P134" i="2"/>
  <c r="O134" i="2"/>
  <c r="H134" i="2"/>
  <c r="I134" i="2"/>
  <c r="N134" i="2"/>
  <c r="K135" i="2"/>
  <c r="J135" i="2"/>
  <c r="L135" i="2"/>
  <c r="F134" i="2"/>
  <c r="D134" i="2"/>
  <c r="G135" i="2"/>
  <c r="E135" i="2"/>
  <c r="P135" i="2"/>
  <c r="O135" i="2"/>
  <c r="H135" i="2"/>
  <c r="I135" i="2"/>
  <c r="N135" i="2"/>
  <c r="K136" i="2"/>
  <c r="J136" i="2"/>
  <c r="L136" i="2"/>
  <c r="F135" i="2"/>
  <c r="D135" i="2"/>
  <c r="G136" i="2"/>
  <c r="E136" i="2"/>
  <c r="P136" i="2"/>
  <c r="O136" i="2"/>
  <c r="H136" i="2"/>
  <c r="I136" i="2"/>
  <c r="N136" i="2"/>
  <c r="K137" i="2"/>
  <c r="J137" i="2"/>
  <c r="L137" i="2"/>
  <c r="F136" i="2"/>
  <c r="D136" i="2"/>
  <c r="G137" i="2"/>
  <c r="E137" i="2"/>
  <c r="P137" i="2"/>
  <c r="O137" i="2"/>
  <c r="H137" i="2"/>
  <c r="I137" i="2"/>
  <c r="N137" i="2"/>
  <c r="K138" i="2"/>
  <c r="J138" i="2"/>
  <c r="L138" i="2"/>
  <c r="F137" i="2"/>
  <c r="D137" i="2"/>
  <c r="G138" i="2"/>
  <c r="E138" i="2"/>
  <c r="P138" i="2"/>
  <c r="O138" i="2"/>
  <c r="H138" i="2"/>
  <c r="I138" i="2"/>
  <c r="N138" i="2"/>
  <c r="K139" i="2"/>
  <c r="J139" i="2"/>
  <c r="L139" i="2"/>
  <c r="F138" i="2"/>
  <c r="D138" i="2"/>
  <c r="G139" i="2"/>
  <c r="E139" i="2"/>
  <c r="P139" i="2"/>
  <c r="O139" i="2"/>
  <c r="H139" i="2"/>
  <c r="I139" i="2"/>
  <c r="N139" i="2"/>
  <c r="K140" i="2"/>
  <c r="J140" i="2"/>
  <c r="L140" i="2"/>
  <c r="F139" i="2"/>
  <c r="D139" i="2"/>
  <c r="G140" i="2"/>
  <c r="E140" i="2"/>
  <c r="P140" i="2"/>
  <c r="O140" i="2"/>
  <c r="H140" i="2"/>
  <c r="I140" i="2"/>
  <c r="N140" i="2"/>
  <c r="K141" i="2"/>
  <c r="J141" i="2"/>
  <c r="L141" i="2"/>
  <c r="F140" i="2"/>
  <c r="D140" i="2"/>
  <c r="G141" i="2"/>
  <c r="E141" i="2"/>
  <c r="P141" i="2"/>
  <c r="O141" i="2"/>
  <c r="H141" i="2"/>
  <c r="I141" i="2"/>
  <c r="N141" i="2"/>
  <c r="K142" i="2"/>
  <c r="J142" i="2"/>
  <c r="L142" i="2"/>
  <c r="F141" i="2"/>
  <c r="D141" i="2"/>
  <c r="G142" i="2"/>
  <c r="E142" i="2"/>
  <c r="P142" i="2"/>
  <c r="O142" i="2"/>
  <c r="H142" i="2"/>
  <c r="I142" i="2"/>
  <c r="N142" i="2"/>
  <c r="K143" i="2"/>
  <c r="J143" i="2"/>
  <c r="L143" i="2"/>
  <c r="F142" i="2"/>
  <c r="D142" i="2"/>
  <c r="G143" i="2"/>
  <c r="E143" i="2"/>
  <c r="P143" i="2"/>
  <c r="O143" i="2"/>
  <c r="H143" i="2"/>
  <c r="I143" i="2"/>
  <c r="N143" i="2"/>
  <c r="K144" i="2"/>
  <c r="J144" i="2"/>
  <c r="L144" i="2"/>
  <c r="F143" i="2"/>
  <c r="D143" i="2"/>
  <c r="G144" i="2"/>
  <c r="E144" i="2"/>
  <c r="P144" i="2"/>
  <c r="O144" i="2"/>
  <c r="H144" i="2"/>
  <c r="I144" i="2"/>
  <c r="N144" i="2"/>
  <c r="K145" i="2"/>
  <c r="J145" i="2"/>
  <c r="L145" i="2"/>
  <c r="F144" i="2"/>
  <c r="D144" i="2"/>
  <c r="G145" i="2"/>
  <c r="E145" i="2"/>
  <c r="P145" i="2"/>
  <c r="O145" i="2"/>
  <c r="H145" i="2"/>
  <c r="I145" i="2"/>
  <c r="N145" i="2"/>
  <c r="K146" i="2"/>
  <c r="J146" i="2"/>
  <c r="L146" i="2"/>
  <c r="F145" i="2"/>
  <c r="D145" i="2"/>
  <c r="G146" i="2"/>
  <c r="E146" i="2"/>
  <c r="P146" i="2"/>
  <c r="O146" i="2"/>
  <c r="H146" i="2"/>
  <c r="I146" i="2"/>
  <c r="N146" i="2"/>
  <c r="K147" i="2"/>
  <c r="J147" i="2"/>
  <c r="L147" i="2"/>
  <c r="F146" i="2"/>
  <c r="D146" i="2"/>
  <c r="G147" i="2"/>
  <c r="E147" i="2"/>
  <c r="P147" i="2"/>
  <c r="O147" i="2"/>
  <c r="H147" i="2"/>
  <c r="I147" i="2"/>
  <c r="N147" i="2"/>
  <c r="K148" i="2"/>
  <c r="J148" i="2"/>
  <c r="L148" i="2"/>
  <c r="F147" i="2"/>
  <c r="D147" i="2"/>
  <c r="G148" i="2"/>
  <c r="E148" i="2"/>
  <c r="P148" i="2"/>
  <c r="O148" i="2"/>
  <c r="H148" i="2"/>
  <c r="I148" i="2"/>
  <c r="N148" i="2"/>
  <c r="K149" i="2"/>
  <c r="J149" i="2"/>
  <c r="L149" i="2"/>
  <c r="F148" i="2"/>
  <c r="D148" i="2"/>
  <c r="G149" i="2"/>
  <c r="E149" i="2"/>
  <c r="P149" i="2"/>
  <c r="O149" i="2"/>
  <c r="H149" i="2"/>
  <c r="I149" i="2"/>
  <c r="N149" i="2"/>
  <c r="K150" i="2"/>
  <c r="J150" i="2"/>
  <c r="L150" i="2"/>
  <c r="F149" i="2"/>
  <c r="D149" i="2"/>
  <c r="G150" i="2"/>
  <c r="E150" i="2"/>
  <c r="P150" i="2"/>
  <c r="O150" i="2"/>
  <c r="H150" i="2"/>
  <c r="I150" i="2"/>
  <c r="N150" i="2"/>
  <c r="K151" i="2"/>
  <c r="J151" i="2"/>
  <c r="L151" i="2"/>
  <c r="F150" i="2"/>
  <c r="D150" i="2"/>
  <c r="G151" i="2"/>
  <c r="E151" i="2"/>
  <c r="P151" i="2"/>
  <c r="O151" i="2"/>
  <c r="H151" i="2"/>
  <c r="I151" i="2"/>
  <c r="N151" i="2"/>
  <c r="K152" i="2"/>
  <c r="J152" i="2"/>
  <c r="L152" i="2"/>
  <c r="F151" i="2"/>
  <c r="D151" i="2"/>
  <c r="G152" i="2"/>
  <c r="E152" i="2"/>
  <c r="P152" i="2"/>
  <c r="O152" i="2"/>
  <c r="H152" i="2"/>
  <c r="I152" i="2"/>
  <c r="N152" i="2"/>
  <c r="K153" i="2"/>
  <c r="J153" i="2"/>
  <c r="L153" i="2"/>
  <c r="F152" i="2"/>
  <c r="D152" i="2"/>
  <c r="G153" i="2"/>
  <c r="E153" i="2"/>
  <c r="P153" i="2"/>
  <c r="O153" i="2"/>
  <c r="H153" i="2"/>
  <c r="I153" i="2"/>
  <c r="N153" i="2"/>
  <c r="K154" i="2"/>
  <c r="J154" i="2"/>
  <c r="L154" i="2"/>
  <c r="F153" i="2"/>
  <c r="D153" i="2"/>
  <c r="G154" i="2"/>
  <c r="E154" i="2"/>
  <c r="P154" i="2"/>
  <c r="O154" i="2"/>
  <c r="H154" i="2"/>
  <c r="I154" i="2"/>
  <c r="N154" i="2"/>
  <c r="K155" i="2"/>
  <c r="J155" i="2"/>
  <c r="L155" i="2"/>
  <c r="F154" i="2"/>
  <c r="D154" i="2"/>
  <c r="G155" i="2"/>
  <c r="E155" i="2"/>
  <c r="P155" i="2"/>
  <c r="O155" i="2"/>
  <c r="H155" i="2"/>
  <c r="I155" i="2"/>
  <c r="N155" i="2"/>
  <c r="K156" i="2"/>
  <c r="J156" i="2"/>
  <c r="L156" i="2"/>
  <c r="F155" i="2"/>
  <c r="D155" i="2"/>
  <c r="G156" i="2"/>
  <c r="E156" i="2"/>
  <c r="P156" i="2"/>
  <c r="O156" i="2"/>
  <c r="H156" i="2"/>
  <c r="I156" i="2"/>
  <c r="N156" i="2"/>
  <c r="K157" i="2"/>
  <c r="J157" i="2"/>
  <c r="L157" i="2"/>
  <c r="F156" i="2"/>
  <c r="D156" i="2"/>
  <c r="G157" i="2"/>
  <c r="E157" i="2"/>
  <c r="P157" i="2"/>
  <c r="O157" i="2"/>
  <c r="H157" i="2"/>
  <c r="I157" i="2"/>
  <c r="N157" i="2"/>
  <c r="K158" i="2"/>
  <c r="J158" i="2"/>
  <c r="L158" i="2"/>
  <c r="F157" i="2"/>
  <c r="D157" i="2"/>
  <c r="G158" i="2"/>
  <c r="E158" i="2"/>
  <c r="P158" i="2"/>
  <c r="O158" i="2"/>
  <c r="H158" i="2"/>
  <c r="I158" i="2"/>
  <c r="N158" i="2"/>
  <c r="K159" i="2"/>
  <c r="J159" i="2"/>
  <c r="L159" i="2"/>
  <c r="F158" i="2"/>
  <c r="D158" i="2"/>
  <c r="G159" i="2"/>
  <c r="E159" i="2"/>
  <c r="P159" i="2"/>
  <c r="O159" i="2"/>
  <c r="H159" i="2"/>
  <c r="I159" i="2"/>
  <c r="N159" i="2"/>
  <c r="K160" i="2"/>
  <c r="J160" i="2"/>
  <c r="L160" i="2"/>
  <c r="F159" i="2"/>
  <c r="D159" i="2"/>
  <c r="G160" i="2"/>
  <c r="E160" i="2"/>
  <c r="P160" i="2"/>
  <c r="O160" i="2"/>
  <c r="H160" i="2"/>
  <c r="I160" i="2"/>
  <c r="N160" i="2"/>
  <c r="K161" i="2"/>
  <c r="J161" i="2"/>
  <c r="L161" i="2"/>
  <c r="F160" i="2"/>
  <c r="D160" i="2"/>
  <c r="G161" i="2"/>
  <c r="E161" i="2"/>
  <c r="P161" i="2"/>
  <c r="O161" i="2"/>
  <c r="H161" i="2"/>
  <c r="I161" i="2"/>
  <c r="N161" i="2"/>
  <c r="K162" i="2"/>
  <c r="J162" i="2"/>
  <c r="L162" i="2"/>
  <c r="F161" i="2"/>
  <c r="D161" i="2"/>
  <c r="G162" i="2"/>
  <c r="E162" i="2"/>
  <c r="P162" i="2"/>
  <c r="O162" i="2"/>
  <c r="H162" i="2"/>
  <c r="I162" i="2"/>
  <c r="N162" i="2"/>
  <c r="K163" i="2"/>
  <c r="J163" i="2"/>
  <c r="L163" i="2"/>
  <c r="F162" i="2"/>
  <c r="D162" i="2"/>
  <c r="G163" i="2"/>
  <c r="E163" i="2"/>
  <c r="P163" i="2"/>
  <c r="O163" i="2"/>
  <c r="H163" i="2"/>
  <c r="I163" i="2"/>
  <c r="N163" i="2"/>
  <c r="K164" i="2"/>
  <c r="J164" i="2"/>
  <c r="L164" i="2"/>
  <c r="F163" i="2"/>
  <c r="D163" i="2"/>
  <c r="G164" i="2"/>
  <c r="E164" i="2"/>
  <c r="P164" i="2"/>
  <c r="O164" i="2"/>
  <c r="H164" i="2"/>
  <c r="I164" i="2"/>
  <c r="N164" i="2"/>
  <c r="K165" i="2"/>
  <c r="J165" i="2"/>
  <c r="L165" i="2"/>
  <c r="F164" i="2"/>
  <c r="D164" i="2"/>
  <c r="G165" i="2"/>
  <c r="E165" i="2"/>
  <c r="P165" i="2"/>
  <c r="O165" i="2"/>
  <c r="H165" i="2"/>
  <c r="I165" i="2"/>
  <c r="N165" i="2"/>
  <c r="K166" i="2"/>
  <c r="J166" i="2"/>
  <c r="L166" i="2"/>
  <c r="F165" i="2"/>
  <c r="D165" i="2"/>
  <c r="G166" i="2"/>
  <c r="E166" i="2"/>
  <c r="P166" i="2"/>
  <c r="O166" i="2"/>
  <c r="H166" i="2"/>
  <c r="I166" i="2"/>
  <c r="N166" i="2"/>
  <c r="K167" i="2"/>
  <c r="J167" i="2"/>
  <c r="L167" i="2"/>
  <c r="F166" i="2"/>
  <c r="D166" i="2"/>
  <c r="G167" i="2"/>
  <c r="E167" i="2"/>
  <c r="P167" i="2"/>
  <c r="O167" i="2"/>
  <c r="H167" i="2"/>
  <c r="I167" i="2"/>
  <c r="N167" i="2"/>
  <c r="K168" i="2"/>
  <c r="J168" i="2"/>
  <c r="L168" i="2"/>
  <c r="F167" i="2"/>
  <c r="D167" i="2"/>
  <c r="G168" i="2"/>
  <c r="E168" i="2"/>
  <c r="P168" i="2"/>
  <c r="O168" i="2"/>
  <c r="H168" i="2"/>
  <c r="I168" i="2"/>
  <c r="N168" i="2"/>
  <c r="K169" i="2"/>
  <c r="J169" i="2"/>
  <c r="L169" i="2"/>
  <c r="F168" i="2"/>
  <c r="D168" i="2"/>
  <c r="G169" i="2"/>
  <c r="E169" i="2"/>
  <c r="P169" i="2"/>
  <c r="O169" i="2"/>
  <c r="H169" i="2"/>
  <c r="I169" i="2"/>
  <c r="N169" i="2"/>
  <c r="K170" i="2"/>
  <c r="J170" i="2"/>
  <c r="L170" i="2"/>
  <c r="F169" i="2"/>
  <c r="D169" i="2"/>
  <c r="G170" i="2"/>
  <c r="E170" i="2"/>
  <c r="P170" i="2"/>
  <c r="O170" i="2"/>
  <c r="H170" i="2"/>
  <c r="I170" i="2"/>
  <c r="N170" i="2"/>
  <c r="K171" i="2"/>
  <c r="J171" i="2"/>
  <c r="L171" i="2"/>
  <c r="F170" i="2"/>
  <c r="D170" i="2"/>
  <c r="G171" i="2"/>
  <c r="E171" i="2"/>
  <c r="P171" i="2"/>
  <c r="O171" i="2"/>
  <c r="H171" i="2"/>
  <c r="I171" i="2"/>
  <c r="N171" i="2"/>
  <c r="K172" i="2"/>
  <c r="J172" i="2"/>
  <c r="L172" i="2"/>
  <c r="F171" i="2"/>
  <c r="D171" i="2"/>
  <c r="G172" i="2"/>
  <c r="E172" i="2"/>
  <c r="P172" i="2"/>
  <c r="O172" i="2"/>
  <c r="H172" i="2"/>
  <c r="I172" i="2"/>
  <c r="N172" i="2"/>
  <c r="K173" i="2"/>
  <c r="J173" i="2"/>
  <c r="L173" i="2"/>
  <c r="F172" i="2"/>
  <c r="D172" i="2"/>
  <c r="G173" i="2"/>
  <c r="E173" i="2"/>
  <c r="P173" i="2"/>
  <c r="O173" i="2"/>
  <c r="H173" i="2"/>
  <c r="I173" i="2"/>
  <c r="N173" i="2"/>
  <c r="K174" i="2"/>
  <c r="J174" i="2"/>
  <c r="L174" i="2"/>
  <c r="F173" i="2"/>
  <c r="D173" i="2"/>
  <c r="G174" i="2"/>
  <c r="E174" i="2"/>
  <c r="P174" i="2"/>
  <c r="O174" i="2"/>
  <c r="H174" i="2"/>
  <c r="I174" i="2"/>
  <c r="N174" i="2"/>
  <c r="K175" i="2"/>
  <c r="J175" i="2"/>
  <c r="L175" i="2"/>
  <c r="F174" i="2"/>
  <c r="D174" i="2"/>
  <c r="G175" i="2"/>
  <c r="E175" i="2"/>
  <c r="P175" i="2"/>
  <c r="O175" i="2"/>
  <c r="H175" i="2"/>
  <c r="I175" i="2"/>
  <c r="N175" i="2"/>
  <c r="K176" i="2"/>
  <c r="J176" i="2"/>
  <c r="L176" i="2"/>
  <c r="F175" i="2"/>
  <c r="D175" i="2"/>
  <c r="G176" i="2"/>
  <c r="E176" i="2"/>
  <c r="P176" i="2"/>
  <c r="O176" i="2"/>
  <c r="H176" i="2"/>
  <c r="I176" i="2"/>
  <c r="N176" i="2"/>
  <c r="K177" i="2"/>
  <c r="J177" i="2"/>
  <c r="L177" i="2"/>
  <c r="F176" i="2"/>
  <c r="D176" i="2"/>
  <c r="G177" i="2"/>
  <c r="E177" i="2"/>
  <c r="P177" i="2"/>
  <c r="O177" i="2"/>
  <c r="H177" i="2"/>
  <c r="I177" i="2"/>
  <c r="N177" i="2"/>
  <c r="K178" i="2"/>
  <c r="J178" i="2"/>
  <c r="L178" i="2"/>
  <c r="F177" i="2"/>
  <c r="D177" i="2"/>
  <c r="G178" i="2"/>
  <c r="E178" i="2"/>
  <c r="P178" i="2"/>
  <c r="O178" i="2"/>
  <c r="H178" i="2"/>
  <c r="I178" i="2"/>
  <c r="N178" i="2"/>
  <c r="K179" i="2"/>
  <c r="J179" i="2"/>
  <c r="L179" i="2"/>
  <c r="F178" i="2"/>
  <c r="D178" i="2"/>
  <c r="G179" i="2"/>
  <c r="E179" i="2"/>
  <c r="P179" i="2"/>
  <c r="O179" i="2"/>
  <c r="H179" i="2"/>
  <c r="I179" i="2"/>
  <c r="N179" i="2"/>
  <c r="K180" i="2"/>
  <c r="J180" i="2"/>
  <c r="L180" i="2"/>
  <c r="F179" i="2"/>
  <c r="D179" i="2"/>
  <c r="G180" i="2"/>
  <c r="E180" i="2"/>
  <c r="P180" i="2"/>
  <c r="O180" i="2"/>
  <c r="H180" i="2"/>
  <c r="I180" i="2"/>
  <c r="N180" i="2"/>
  <c r="K181" i="2"/>
  <c r="J181" i="2"/>
  <c r="L181" i="2"/>
  <c r="F180" i="2"/>
  <c r="D180" i="2"/>
  <c r="G181" i="2"/>
  <c r="E181" i="2"/>
  <c r="P181" i="2"/>
  <c r="O181" i="2"/>
  <c r="H181" i="2"/>
  <c r="I181" i="2"/>
  <c r="N181" i="2"/>
  <c r="K182" i="2"/>
  <c r="J182" i="2"/>
  <c r="L182" i="2"/>
  <c r="F181" i="2"/>
  <c r="D181" i="2"/>
  <c r="G182" i="2"/>
  <c r="E182" i="2"/>
  <c r="P182" i="2"/>
  <c r="O182" i="2"/>
  <c r="H182" i="2"/>
  <c r="I182" i="2"/>
  <c r="N182" i="2"/>
  <c r="K183" i="2"/>
  <c r="J183" i="2"/>
  <c r="L183" i="2"/>
  <c r="F182" i="2"/>
  <c r="D182" i="2"/>
  <c r="G183" i="2"/>
  <c r="E183" i="2"/>
  <c r="P183" i="2"/>
  <c r="O183" i="2"/>
  <c r="H183" i="2"/>
  <c r="I183" i="2"/>
  <c r="N183" i="2"/>
  <c r="K184" i="2"/>
  <c r="J184" i="2"/>
  <c r="L184" i="2"/>
  <c r="F183" i="2"/>
  <c r="D183" i="2"/>
  <c r="G184" i="2"/>
  <c r="E184" i="2"/>
  <c r="P184" i="2"/>
  <c r="O184" i="2"/>
  <c r="H184" i="2"/>
  <c r="I184" i="2"/>
  <c r="N184" i="2"/>
  <c r="K185" i="2"/>
  <c r="J185" i="2"/>
  <c r="L185" i="2"/>
  <c r="F184" i="2"/>
  <c r="D184" i="2"/>
  <c r="G185" i="2"/>
  <c r="E185" i="2"/>
  <c r="P185" i="2"/>
  <c r="O185" i="2"/>
  <c r="H185" i="2"/>
  <c r="I185" i="2"/>
  <c r="N185" i="2"/>
  <c r="K186" i="2"/>
  <c r="J186" i="2"/>
  <c r="L186" i="2"/>
  <c r="F185" i="2"/>
  <c r="D185" i="2"/>
  <c r="G186" i="2"/>
  <c r="E186" i="2"/>
  <c r="P186" i="2"/>
  <c r="O186" i="2"/>
  <c r="H186" i="2"/>
  <c r="I186" i="2"/>
  <c r="N186" i="2"/>
  <c r="K187" i="2"/>
  <c r="J187" i="2"/>
  <c r="L187" i="2"/>
  <c r="F186" i="2"/>
  <c r="D186" i="2"/>
  <c r="G187" i="2"/>
  <c r="E187" i="2"/>
  <c r="P187" i="2"/>
  <c r="O187" i="2"/>
  <c r="H187" i="2"/>
  <c r="I187" i="2"/>
  <c r="N187" i="2"/>
  <c r="K188" i="2"/>
  <c r="J188" i="2"/>
  <c r="L188" i="2"/>
  <c r="F187" i="2"/>
  <c r="D187" i="2"/>
  <c r="G188" i="2"/>
  <c r="E188" i="2"/>
  <c r="P188" i="2"/>
  <c r="O188" i="2"/>
  <c r="H188" i="2"/>
  <c r="I188" i="2"/>
  <c r="N188" i="2"/>
  <c r="K189" i="2"/>
  <c r="J189" i="2"/>
  <c r="L189" i="2"/>
  <c r="F188" i="2"/>
  <c r="D188" i="2"/>
  <c r="G189" i="2"/>
  <c r="E189" i="2"/>
  <c r="P189" i="2"/>
  <c r="O189" i="2"/>
  <c r="H189" i="2"/>
  <c r="I189" i="2"/>
  <c r="N189" i="2"/>
  <c r="K190" i="2"/>
  <c r="J190" i="2"/>
  <c r="L190" i="2"/>
  <c r="F189" i="2"/>
  <c r="D189" i="2"/>
  <c r="G190" i="2"/>
  <c r="E190" i="2"/>
  <c r="P190" i="2"/>
  <c r="O190" i="2"/>
  <c r="H190" i="2"/>
  <c r="I190" i="2"/>
  <c r="N190" i="2"/>
  <c r="K191" i="2"/>
  <c r="J191" i="2"/>
  <c r="L191" i="2"/>
  <c r="F190" i="2"/>
  <c r="D190" i="2"/>
  <c r="G191" i="2"/>
  <c r="E191" i="2"/>
  <c r="P191" i="2"/>
  <c r="O191" i="2"/>
  <c r="H191" i="2"/>
  <c r="I191" i="2"/>
  <c r="N191" i="2"/>
  <c r="K192" i="2"/>
  <c r="J192" i="2"/>
  <c r="L192" i="2"/>
  <c r="F191" i="2"/>
  <c r="D191" i="2"/>
  <c r="G192" i="2"/>
  <c r="E192" i="2"/>
  <c r="P192" i="2"/>
  <c r="O192" i="2"/>
  <c r="H192" i="2"/>
  <c r="I192" i="2"/>
  <c r="N192" i="2"/>
  <c r="K193" i="2"/>
  <c r="J193" i="2"/>
  <c r="L193" i="2"/>
  <c r="F192" i="2"/>
  <c r="D192" i="2"/>
  <c r="G193" i="2"/>
  <c r="E193" i="2"/>
  <c r="P193" i="2"/>
  <c r="O193" i="2"/>
  <c r="H193" i="2"/>
  <c r="I193" i="2"/>
  <c r="N193" i="2"/>
  <c r="K194" i="2"/>
  <c r="J194" i="2"/>
  <c r="L194" i="2"/>
  <c r="F193" i="2"/>
  <c r="D193" i="2"/>
  <c r="G194" i="2"/>
  <c r="E194" i="2"/>
  <c r="P194" i="2"/>
  <c r="O194" i="2"/>
  <c r="H194" i="2"/>
  <c r="I194" i="2"/>
  <c r="N194" i="2"/>
  <c r="K195" i="2"/>
  <c r="J195" i="2"/>
  <c r="L195" i="2"/>
  <c r="F194" i="2"/>
  <c r="D194" i="2"/>
  <c r="G195" i="2"/>
  <c r="E195" i="2"/>
  <c r="P195" i="2"/>
  <c r="O195" i="2"/>
  <c r="H195" i="2"/>
  <c r="I195" i="2"/>
  <c r="N195" i="2"/>
  <c r="K196" i="2"/>
  <c r="J196" i="2"/>
  <c r="L196" i="2"/>
  <c r="F195" i="2"/>
  <c r="D195" i="2"/>
  <c r="G196" i="2"/>
  <c r="E196" i="2"/>
  <c r="P196" i="2"/>
  <c r="O196" i="2"/>
  <c r="H196" i="2"/>
  <c r="I196" i="2"/>
  <c r="N196" i="2"/>
  <c r="K197" i="2"/>
  <c r="J197" i="2"/>
  <c r="L197" i="2"/>
  <c r="F196" i="2"/>
  <c r="D196" i="2"/>
  <c r="G197" i="2"/>
  <c r="E197" i="2"/>
  <c r="P197" i="2"/>
  <c r="O197" i="2"/>
  <c r="H197" i="2"/>
  <c r="I197" i="2"/>
  <c r="N197" i="2"/>
  <c r="K198" i="2"/>
  <c r="J198" i="2"/>
  <c r="L198" i="2"/>
  <c r="F197" i="2"/>
  <c r="D197" i="2"/>
  <c r="G198" i="2"/>
  <c r="E198" i="2"/>
  <c r="P198" i="2"/>
  <c r="O198" i="2"/>
  <c r="H198" i="2"/>
  <c r="I198" i="2"/>
  <c r="N198" i="2"/>
  <c r="K199" i="2"/>
  <c r="J199" i="2"/>
  <c r="L199" i="2"/>
  <c r="F198" i="2"/>
  <c r="D198" i="2"/>
  <c r="G199" i="2"/>
  <c r="E199" i="2"/>
  <c r="P199" i="2"/>
  <c r="O199" i="2"/>
  <c r="H199" i="2"/>
  <c r="I199" i="2"/>
  <c r="N199" i="2"/>
  <c r="K200" i="2"/>
  <c r="J200" i="2"/>
  <c r="L200" i="2"/>
  <c r="F199" i="2"/>
  <c r="D199" i="2"/>
  <c r="G200" i="2"/>
  <c r="E200" i="2"/>
  <c r="P200" i="2"/>
  <c r="O200" i="2"/>
  <c r="H200" i="2"/>
  <c r="I200" i="2"/>
  <c r="N200" i="2"/>
  <c r="K201" i="2"/>
  <c r="J201" i="2"/>
  <c r="L201" i="2"/>
  <c r="F200" i="2"/>
  <c r="D200" i="2"/>
  <c r="G201" i="2"/>
  <c r="E201" i="2"/>
  <c r="P201" i="2"/>
  <c r="O201" i="2"/>
  <c r="H201" i="2"/>
  <c r="I201" i="2"/>
  <c r="N201" i="2"/>
  <c r="K202" i="2"/>
  <c r="J202" i="2"/>
  <c r="L202" i="2"/>
  <c r="F201" i="2"/>
  <c r="D201" i="2"/>
  <c r="G202" i="2"/>
  <c r="E202" i="2"/>
  <c r="P202" i="2"/>
  <c r="O202" i="2"/>
  <c r="H202" i="2"/>
  <c r="I202" i="2"/>
  <c r="N202" i="2"/>
  <c r="K203" i="2"/>
  <c r="J203" i="2"/>
  <c r="L203" i="2"/>
  <c r="F202" i="2"/>
  <c r="D202" i="2"/>
  <c r="G203" i="2"/>
  <c r="E203" i="2"/>
  <c r="P203" i="2"/>
  <c r="O203" i="2"/>
  <c r="H203" i="2"/>
  <c r="I203" i="2"/>
  <c r="N203" i="2"/>
  <c r="K204" i="2"/>
  <c r="J204" i="2"/>
  <c r="L204" i="2"/>
  <c r="F203" i="2"/>
  <c r="D203" i="2"/>
  <c r="G204" i="2"/>
  <c r="E204" i="2"/>
  <c r="P204" i="2"/>
  <c r="O204" i="2"/>
  <c r="H204" i="2"/>
  <c r="I204" i="2"/>
  <c r="N204" i="2"/>
  <c r="K205" i="2"/>
  <c r="J205" i="2"/>
  <c r="L205" i="2"/>
  <c r="F204" i="2"/>
  <c r="D204" i="2"/>
  <c r="G205" i="2"/>
  <c r="E205" i="2"/>
  <c r="P205" i="2"/>
  <c r="O205" i="2"/>
  <c r="H205" i="2"/>
  <c r="I205" i="2"/>
  <c r="N205" i="2"/>
  <c r="K206" i="2"/>
  <c r="J206" i="2"/>
  <c r="L206" i="2"/>
  <c r="F205" i="2"/>
  <c r="D205" i="2"/>
  <c r="G206" i="2"/>
  <c r="E206" i="2"/>
  <c r="P206" i="2"/>
  <c r="O206" i="2"/>
  <c r="H206" i="2"/>
  <c r="I206" i="2"/>
  <c r="N206" i="2"/>
  <c r="K207" i="2"/>
  <c r="J207" i="2"/>
  <c r="L207" i="2"/>
  <c r="F206" i="2"/>
  <c r="D206" i="2"/>
  <c r="G207" i="2"/>
  <c r="E207" i="2"/>
  <c r="P207" i="2"/>
  <c r="O207" i="2"/>
  <c r="H207" i="2"/>
  <c r="I207" i="2"/>
  <c r="N207" i="2"/>
  <c r="K208" i="2"/>
  <c r="J208" i="2"/>
  <c r="L208" i="2"/>
  <c r="F207" i="2"/>
  <c r="D207" i="2"/>
  <c r="G208" i="2"/>
  <c r="E208" i="2"/>
  <c r="P208" i="2"/>
  <c r="O208" i="2"/>
  <c r="H208" i="2"/>
  <c r="I208" i="2"/>
  <c r="N208" i="2"/>
  <c r="K209" i="2"/>
  <c r="J209" i="2"/>
  <c r="L209" i="2"/>
  <c r="F208" i="2"/>
  <c r="D208" i="2"/>
  <c r="G209" i="2"/>
  <c r="E209" i="2"/>
  <c r="P209" i="2"/>
  <c r="O209" i="2"/>
  <c r="H209" i="2"/>
  <c r="I209" i="2"/>
  <c r="N209" i="2"/>
  <c r="K210" i="2"/>
  <c r="J210" i="2"/>
  <c r="L210" i="2"/>
  <c r="F209" i="2"/>
  <c r="D209" i="2"/>
  <c r="G210" i="2"/>
  <c r="E210" i="2"/>
  <c r="P210" i="2"/>
  <c r="O210" i="2"/>
  <c r="H210" i="2"/>
  <c r="I210" i="2"/>
  <c r="N210" i="2"/>
  <c r="K211" i="2"/>
  <c r="J211" i="2"/>
  <c r="L211" i="2"/>
  <c r="F210" i="2"/>
  <c r="D210" i="2"/>
  <c r="G211" i="2"/>
  <c r="E211" i="2"/>
  <c r="P211" i="2"/>
  <c r="O211" i="2"/>
  <c r="H211" i="2"/>
  <c r="I211" i="2"/>
  <c r="N211" i="2"/>
  <c r="K212" i="2"/>
  <c r="J212" i="2"/>
  <c r="L212" i="2"/>
  <c r="F211" i="2"/>
  <c r="D211" i="2"/>
  <c r="G212" i="2"/>
  <c r="E212" i="2"/>
  <c r="P212" i="2"/>
  <c r="O212" i="2"/>
  <c r="H212" i="2"/>
  <c r="I212" i="2"/>
  <c r="N212" i="2"/>
  <c r="K213" i="2"/>
  <c r="J213" i="2"/>
  <c r="L213" i="2"/>
  <c r="F212" i="2"/>
  <c r="D212" i="2"/>
  <c r="G213" i="2"/>
  <c r="E213" i="2"/>
  <c r="P213" i="2"/>
  <c r="O213" i="2"/>
  <c r="H213" i="2"/>
  <c r="I213" i="2"/>
  <c r="N213" i="2"/>
  <c r="K214" i="2"/>
  <c r="J214" i="2"/>
  <c r="L214" i="2"/>
  <c r="F213" i="2"/>
  <c r="D213" i="2"/>
  <c r="G214" i="2"/>
  <c r="E214" i="2"/>
  <c r="P214" i="2"/>
  <c r="O214" i="2"/>
  <c r="H214" i="2"/>
  <c r="I214" i="2"/>
  <c r="N214" i="2"/>
  <c r="K215" i="2"/>
  <c r="J215" i="2"/>
  <c r="L215" i="2"/>
  <c r="F214" i="2"/>
  <c r="D214" i="2"/>
  <c r="G215" i="2"/>
  <c r="E215" i="2"/>
  <c r="P215" i="2"/>
  <c r="O215" i="2"/>
  <c r="H215" i="2"/>
  <c r="I215" i="2"/>
  <c r="N215" i="2"/>
  <c r="K216" i="2"/>
  <c r="J216" i="2"/>
  <c r="L216" i="2"/>
  <c r="F215" i="2"/>
  <c r="D215" i="2"/>
  <c r="G216" i="2"/>
  <c r="E216" i="2"/>
  <c r="P216" i="2"/>
  <c r="O216" i="2"/>
  <c r="H216" i="2"/>
  <c r="I216" i="2"/>
  <c r="N216" i="2"/>
  <c r="K217" i="2"/>
  <c r="J217" i="2"/>
  <c r="L217" i="2"/>
  <c r="F216" i="2"/>
  <c r="D216" i="2"/>
  <c r="G217" i="2"/>
  <c r="E217" i="2"/>
  <c r="P217" i="2"/>
  <c r="O217" i="2"/>
  <c r="H217" i="2"/>
  <c r="I217" i="2"/>
  <c r="N217" i="2"/>
  <c r="K218" i="2"/>
  <c r="J218" i="2"/>
  <c r="L218" i="2"/>
  <c r="F217" i="2"/>
  <c r="D217" i="2"/>
  <c r="G218" i="2"/>
  <c r="E218" i="2"/>
  <c r="P218" i="2"/>
  <c r="O218" i="2"/>
  <c r="H218" i="2"/>
  <c r="I218" i="2"/>
  <c r="N218" i="2"/>
  <c r="K219" i="2"/>
  <c r="J219" i="2"/>
  <c r="L219" i="2"/>
  <c r="F218" i="2"/>
  <c r="D218" i="2"/>
  <c r="G219" i="2"/>
  <c r="E219" i="2"/>
  <c r="P219" i="2"/>
  <c r="O219" i="2"/>
  <c r="H219" i="2"/>
  <c r="I219" i="2"/>
  <c r="N219" i="2"/>
  <c r="K220" i="2"/>
  <c r="J220" i="2"/>
  <c r="L220" i="2"/>
  <c r="F219" i="2"/>
  <c r="D219" i="2"/>
  <c r="G220" i="2"/>
  <c r="E220" i="2"/>
  <c r="P220" i="2"/>
  <c r="O220" i="2"/>
  <c r="H220" i="2"/>
  <c r="I220" i="2"/>
  <c r="N220" i="2"/>
  <c r="K221" i="2"/>
  <c r="J221" i="2"/>
  <c r="L221" i="2"/>
  <c r="F220" i="2"/>
  <c r="D220" i="2"/>
  <c r="G221" i="2"/>
  <c r="E221" i="2"/>
  <c r="P221" i="2"/>
  <c r="O221" i="2"/>
  <c r="H221" i="2"/>
  <c r="I221" i="2"/>
  <c r="N221" i="2"/>
  <c r="K222" i="2"/>
  <c r="J222" i="2"/>
  <c r="L222" i="2"/>
  <c r="F221" i="2"/>
  <c r="D221" i="2"/>
  <c r="G222" i="2"/>
  <c r="E222" i="2"/>
  <c r="P222" i="2"/>
  <c r="O222" i="2"/>
  <c r="H222" i="2"/>
  <c r="I222" i="2"/>
  <c r="N222" i="2"/>
  <c r="K223" i="2"/>
  <c r="J223" i="2"/>
  <c r="L223" i="2"/>
  <c r="F222" i="2"/>
  <c r="D222" i="2"/>
  <c r="G223" i="2"/>
  <c r="E223" i="2"/>
  <c r="P223" i="2"/>
  <c r="O223" i="2"/>
  <c r="H223" i="2"/>
  <c r="I223" i="2"/>
  <c r="N223" i="2"/>
  <c r="K224" i="2"/>
  <c r="J224" i="2"/>
  <c r="L224" i="2"/>
  <c r="F223" i="2"/>
  <c r="D223" i="2"/>
  <c r="G224" i="2"/>
  <c r="E224" i="2"/>
  <c r="P224" i="2"/>
  <c r="O224" i="2"/>
  <c r="H224" i="2"/>
  <c r="I224" i="2"/>
  <c r="N224" i="2"/>
  <c r="K225" i="2"/>
  <c r="J225" i="2"/>
  <c r="L225" i="2"/>
  <c r="F224" i="2"/>
  <c r="D224" i="2"/>
  <c r="G225" i="2"/>
  <c r="E225" i="2"/>
  <c r="P225" i="2"/>
  <c r="O225" i="2"/>
  <c r="H225" i="2"/>
  <c r="I225" i="2"/>
  <c r="N225" i="2"/>
  <c r="K226" i="2"/>
  <c r="J226" i="2"/>
  <c r="L226" i="2"/>
  <c r="F225" i="2"/>
  <c r="D225" i="2"/>
  <c r="G226" i="2"/>
  <c r="E226" i="2"/>
  <c r="P226" i="2"/>
  <c r="O226" i="2"/>
  <c r="H226" i="2"/>
  <c r="I226" i="2"/>
  <c r="N226" i="2"/>
  <c r="K227" i="2"/>
  <c r="J227" i="2"/>
  <c r="L227" i="2"/>
  <c r="F226" i="2"/>
  <c r="D226" i="2"/>
  <c r="G227" i="2"/>
  <c r="E227" i="2"/>
  <c r="P227" i="2"/>
  <c r="O227" i="2"/>
  <c r="H227" i="2"/>
  <c r="I227" i="2"/>
  <c r="N227" i="2"/>
  <c r="K228" i="2"/>
  <c r="J228" i="2"/>
  <c r="L228" i="2"/>
  <c r="F227" i="2"/>
  <c r="D227" i="2"/>
  <c r="G228" i="2"/>
  <c r="E228" i="2"/>
  <c r="P228" i="2"/>
  <c r="O228" i="2"/>
  <c r="H228" i="2"/>
  <c r="I228" i="2"/>
  <c r="N228" i="2"/>
  <c r="K229" i="2"/>
  <c r="J229" i="2"/>
  <c r="L229" i="2"/>
  <c r="F228" i="2"/>
  <c r="D228" i="2"/>
  <c r="G229" i="2"/>
  <c r="E229" i="2"/>
  <c r="P229" i="2"/>
  <c r="O229" i="2"/>
  <c r="H229" i="2"/>
  <c r="I229" i="2"/>
  <c r="N229" i="2"/>
  <c r="K230" i="2"/>
  <c r="J230" i="2"/>
  <c r="L230" i="2"/>
  <c r="F229" i="2"/>
  <c r="D229" i="2"/>
  <c r="G230" i="2"/>
  <c r="E230" i="2"/>
  <c r="P230" i="2"/>
  <c r="O230" i="2"/>
  <c r="H230" i="2"/>
  <c r="I230" i="2"/>
  <c r="N230" i="2"/>
  <c r="K231" i="2"/>
  <c r="J231" i="2"/>
  <c r="L231" i="2"/>
  <c r="F230" i="2"/>
  <c r="D230" i="2"/>
  <c r="G231" i="2"/>
  <c r="E231" i="2"/>
  <c r="P231" i="2"/>
  <c r="O231" i="2"/>
  <c r="H231" i="2"/>
  <c r="I231" i="2"/>
  <c r="N231" i="2"/>
  <c r="K232" i="2"/>
  <c r="J232" i="2"/>
  <c r="L232" i="2"/>
  <c r="F231" i="2"/>
  <c r="D231" i="2"/>
  <c r="G232" i="2"/>
  <c r="E232" i="2"/>
  <c r="P232" i="2"/>
  <c r="O232" i="2"/>
  <c r="H232" i="2"/>
  <c r="I232" i="2"/>
  <c r="N232" i="2"/>
  <c r="K233" i="2"/>
  <c r="J233" i="2"/>
  <c r="L233" i="2"/>
  <c r="F232" i="2"/>
  <c r="D232" i="2"/>
  <c r="G233" i="2"/>
  <c r="E233" i="2"/>
  <c r="P233" i="2"/>
  <c r="O233" i="2"/>
  <c r="H233" i="2"/>
  <c r="I233" i="2"/>
  <c r="N233" i="2"/>
  <c r="K234" i="2"/>
  <c r="J234" i="2"/>
  <c r="L234" i="2"/>
  <c r="F233" i="2"/>
  <c r="D233" i="2"/>
  <c r="G234" i="2"/>
  <c r="E234" i="2"/>
  <c r="P234" i="2"/>
  <c r="O234" i="2"/>
  <c r="H234" i="2"/>
  <c r="I234" i="2"/>
  <c r="N234" i="2"/>
  <c r="K235" i="2"/>
  <c r="J235" i="2"/>
  <c r="L235" i="2"/>
  <c r="F234" i="2"/>
  <c r="D234" i="2"/>
  <c r="G235" i="2"/>
  <c r="E235" i="2"/>
  <c r="P235" i="2"/>
  <c r="O235" i="2"/>
  <c r="H235" i="2"/>
  <c r="I235" i="2"/>
  <c r="N235" i="2"/>
  <c r="K236" i="2"/>
  <c r="J236" i="2"/>
  <c r="L236" i="2"/>
  <c r="F235" i="2"/>
  <c r="D235" i="2"/>
  <c r="G236" i="2"/>
  <c r="E236" i="2"/>
  <c r="P236" i="2"/>
  <c r="O236" i="2"/>
  <c r="H236" i="2"/>
  <c r="I236" i="2"/>
  <c r="N236" i="2"/>
  <c r="K237" i="2"/>
  <c r="J237" i="2"/>
  <c r="L237" i="2"/>
  <c r="F236" i="2"/>
  <c r="D236" i="2"/>
  <c r="G237" i="2"/>
  <c r="E237" i="2"/>
  <c r="P237" i="2"/>
  <c r="O237" i="2"/>
  <c r="H237" i="2"/>
  <c r="I237" i="2"/>
  <c r="N237" i="2"/>
  <c r="K238" i="2"/>
  <c r="J238" i="2"/>
  <c r="L238" i="2"/>
  <c r="F237" i="2"/>
  <c r="D237" i="2"/>
  <c r="G238" i="2"/>
  <c r="E238" i="2"/>
  <c r="P238" i="2"/>
  <c r="O238" i="2"/>
  <c r="H238" i="2"/>
  <c r="I238" i="2"/>
  <c r="N238" i="2"/>
  <c r="K239" i="2"/>
  <c r="J239" i="2"/>
  <c r="L239" i="2"/>
  <c r="F238" i="2"/>
  <c r="D238" i="2"/>
  <c r="G239" i="2"/>
  <c r="E239" i="2"/>
  <c r="P239" i="2"/>
  <c r="O239" i="2"/>
  <c r="H239" i="2"/>
  <c r="I239" i="2"/>
  <c r="N239" i="2"/>
  <c r="K240" i="2"/>
  <c r="J240" i="2"/>
  <c r="L240" i="2"/>
  <c r="F239" i="2"/>
  <c r="D239" i="2"/>
  <c r="G240" i="2"/>
  <c r="E240" i="2"/>
  <c r="P240" i="2"/>
  <c r="O240" i="2"/>
  <c r="H240" i="2"/>
  <c r="I240" i="2"/>
  <c r="N240" i="2"/>
  <c r="K241" i="2"/>
  <c r="J241" i="2"/>
  <c r="L241" i="2"/>
  <c r="F240" i="2"/>
  <c r="D240" i="2"/>
  <c r="G241" i="2"/>
  <c r="E241" i="2"/>
  <c r="P241" i="2"/>
  <c r="O241" i="2"/>
  <c r="H241" i="2"/>
  <c r="I241" i="2"/>
  <c r="N241" i="2"/>
  <c r="K242" i="2"/>
  <c r="J242" i="2"/>
  <c r="L242" i="2"/>
  <c r="F241" i="2"/>
  <c r="D241" i="2"/>
  <c r="G242" i="2"/>
  <c r="E242" i="2"/>
  <c r="P242" i="2"/>
  <c r="O242" i="2"/>
  <c r="H242" i="2"/>
  <c r="I242" i="2"/>
  <c r="N242" i="2"/>
  <c r="K243" i="2"/>
  <c r="J243" i="2"/>
  <c r="L243" i="2"/>
  <c r="F242" i="2"/>
  <c r="D242" i="2"/>
  <c r="G243" i="2"/>
  <c r="E243" i="2"/>
  <c r="P243" i="2"/>
  <c r="O243" i="2"/>
  <c r="H243" i="2"/>
  <c r="I243" i="2"/>
  <c r="N243" i="2"/>
  <c r="K244" i="2"/>
  <c r="J244" i="2"/>
  <c r="L244" i="2"/>
  <c r="F243" i="2"/>
  <c r="D243" i="2"/>
  <c r="G244" i="2"/>
  <c r="E244" i="2"/>
  <c r="P244" i="2"/>
  <c r="O244" i="2"/>
  <c r="H244" i="2"/>
  <c r="I244" i="2"/>
  <c r="N244" i="2"/>
  <c r="K245" i="2"/>
  <c r="J245" i="2"/>
  <c r="L245" i="2"/>
  <c r="F244" i="2"/>
  <c r="D244" i="2"/>
  <c r="G245" i="2"/>
  <c r="E245" i="2"/>
  <c r="P245" i="2"/>
  <c r="O245" i="2"/>
  <c r="H245" i="2"/>
  <c r="I245" i="2"/>
  <c r="N245" i="2"/>
  <c r="K246" i="2"/>
  <c r="J246" i="2"/>
  <c r="L246" i="2"/>
  <c r="F245" i="2"/>
  <c r="D245" i="2"/>
  <c r="G246" i="2"/>
  <c r="E246" i="2"/>
  <c r="P246" i="2"/>
  <c r="O246" i="2"/>
  <c r="H246" i="2"/>
  <c r="I246" i="2"/>
  <c r="N246" i="2"/>
  <c r="K247" i="2"/>
  <c r="J247" i="2"/>
  <c r="L247" i="2"/>
  <c r="F246" i="2"/>
  <c r="D246" i="2"/>
  <c r="G247" i="2"/>
  <c r="E247" i="2"/>
  <c r="P247" i="2"/>
  <c r="O247" i="2"/>
  <c r="H247" i="2"/>
  <c r="I247" i="2"/>
  <c r="N247" i="2"/>
  <c r="K248" i="2"/>
  <c r="J248" i="2"/>
  <c r="L248" i="2"/>
  <c r="F247" i="2"/>
  <c r="D247" i="2"/>
  <c r="G248" i="2"/>
  <c r="E248" i="2"/>
  <c r="P248" i="2"/>
  <c r="O248" i="2"/>
  <c r="H248" i="2"/>
  <c r="I248" i="2"/>
  <c r="N248" i="2"/>
  <c r="K249" i="2"/>
  <c r="J249" i="2"/>
  <c r="L249" i="2"/>
  <c r="F248" i="2"/>
  <c r="D248" i="2"/>
  <c r="G249" i="2"/>
  <c r="E249" i="2"/>
  <c r="P249" i="2"/>
  <c r="O249" i="2"/>
  <c r="H249" i="2"/>
  <c r="I249" i="2"/>
  <c r="N249" i="2"/>
  <c r="K250" i="2"/>
  <c r="J250" i="2"/>
  <c r="L250" i="2"/>
  <c r="F249" i="2"/>
  <c r="D249" i="2"/>
  <c r="G250" i="2"/>
  <c r="E250" i="2"/>
  <c r="P250" i="2"/>
  <c r="O250" i="2"/>
  <c r="H250" i="2"/>
  <c r="I250" i="2"/>
  <c r="N250" i="2"/>
  <c r="K251" i="2"/>
  <c r="J251" i="2"/>
  <c r="L251" i="2"/>
  <c r="F250" i="2"/>
  <c r="D250" i="2"/>
  <c r="G251" i="2"/>
  <c r="E251" i="2"/>
  <c r="P251" i="2"/>
  <c r="O251" i="2"/>
  <c r="H251" i="2"/>
  <c r="I251" i="2"/>
  <c r="N251" i="2"/>
  <c r="K252" i="2"/>
  <c r="J252" i="2"/>
  <c r="L252" i="2"/>
  <c r="F251" i="2"/>
  <c r="D251" i="2"/>
  <c r="G252" i="2"/>
  <c r="E252" i="2"/>
  <c r="P252" i="2"/>
  <c r="O252" i="2"/>
  <c r="H252" i="2"/>
  <c r="I252" i="2"/>
  <c r="N252" i="2"/>
  <c r="K253" i="2"/>
  <c r="J253" i="2"/>
  <c r="L253" i="2"/>
  <c r="F252" i="2"/>
  <c r="D252" i="2"/>
  <c r="G253" i="2"/>
  <c r="E253" i="2"/>
  <c r="P253" i="2"/>
  <c r="O253" i="2"/>
  <c r="H253" i="2"/>
  <c r="I253" i="2"/>
  <c r="N253" i="2"/>
  <c r="K254" i="2"/>
  <c r="J254" i="2"/>
  <c r="L254" i="2"/>
  <c r="F253" i="2"/>
  <c r="D253" i="2"/>
  <c r="G254" i="2"/>
  <c r="E254" i="2"/>
  <c r="P254" i="2"/>
  <c r="O254" i="2"/>
  <c r="H254" i="2"/>
  <c r="I254" i="2"/>
  <c r="N254" i="2"/>
  <c r="K255" i="2"/>
  <c r="J255" i="2"/>
  <c r="L255" i="2"/>
  <c r="F254" i="2"/>
  <c r="D254" i="2"/>
  <c r="G255" i="2"/>
  <c r="E255" i="2"/>
  <c r="P255" i="2"/>
  <c r="O255" i="2"/>
  <c r="H255" i="2"/>
  <c r="I255" i="2"/>
  <c r="N255" i="2"/>
  <c r="K256" i="2"/>
  <c r="J256" i="2"/>
  <c r="L256" i="2"/>
  <c r="F255" i="2"/>
  <c r="D255" i="2"/>
  <c r="G256" i="2"/>
  <c r="E256" i="2"/>
  <c r="P256" i="2"/>
  <c r="O256" i="2"/>
  <c r="H256" i="2"/>
  <c r="I256" i="2"/>
  <c r="N256" i="2"/>
  <c r="K257" i="2"/>
  <c r="J257" i="2"/>
  <c r="L257" i="2"/>
  <c r="F256" i="2"/>
  <c r="D256" i="2"/>
  <c r="G257" i="2"/>
  <c r="E257" i="2"/>
  <c r="P257" i="2"/>
  <c r="O257" i="2"/>
  <c r="H257" i="2"/>
  <c r="I257" i="2"/>
  <c r="N257" i="2"/>
  <c r="K258" i="2"/>
  <c r="J258" i="2"/>
  <c r="L258" i="2"/>
  <c r="F257" i="2"/>
  <c r="D257" i="2"/>
  <c r="G258" i="2"/>
  <c r="E258" i="2"/>
  <c r="P258" i="2"/>
  <c r="O258" i="2"/>
  <c r="H258" i="2"/>
  <c r="I258" i="2"/>
  <c r="N258" i="2"/>
  <c r="K259" i="2"/>
  <c r="J259" i="2"/>
  <c r="L259" i="2"/>
  <c r="F258" i="2"/>
  <c r="D258" i="2"/>
  <c r="G259" i="2"/>
  <c r="E259" i="2"/>
  <c r="P259" i="2"/>
  <c r="O259" i="2"/>
  <c r="H259" i="2"/>
  <c r="I259" i="2"/>
  <c r="N259" i="2"/>
  <c r="K260" i="2"/>
  <c r="J260" i="2"/>
  <c r="L260" i="2"/>
  <c r="F259" i="2"/>
  <c r="D259" i="2"/>
  <c r="G260" i="2"/>
  <c r="E260" i="2"/>
  <c r="P260" i="2"/>
  <c r="O260" i="2"/>
  <c r="H260" i="2"/>
  <c r="I260" i="2"/>
  <c r="N260" i="2"/>
  <c r="K261" i="2"/>
  <c r="J261" i="2"/>
  <c r="L261" i="2"/>
  <c r="F260" i="2"/>
  <c r="D260" i="2"/>
  <c r="G261" i="2"/>
  <c r="E261" i="2"/>
  <c r="P261" i="2"/>
  <c r="O261" i="2"/>
  <c r="H261" i="2"/>
  <c r="I261" i="2"/>
  <c r="N261" i="2"/>
  <c r="K262" i="2"/>
  <c r="J262" i="2"/>
  <c r="L262" i="2"/>
  <c r="F261" i="2"/>
  <c r="D261" i="2"/>
  <c r="G262" i="2"/>
  <c r="E262" i="2"/>
  <c r="P262" i="2"/>
  <c r="O262" i="2"/>
  <c r="H262" i="2"/>
  <c r="I262" i="2"/>
  <c r="N262" i="2"/>
  <c r="K263" i="2"/>
  <c r="J263" i="2"/>
  <c r="L263" i="2"/>
  <c r="F262" i="2"/>
  <c r="D262" i="2"/>
  <c r="G263" i="2"/>
  <c r="E263" i="2"/>
  <c r="P263" i="2"/>
  <c r="O263" i="2"/>
  <c r="H263" i="2"/>
  <c r="I263" i="2"/>
  <c r="N263" i="2"/>
  <c r="K264" i="2"/>
  <c r="J264" i="2"/>
  <c r="L264" i="2"/>
  <c r="F263" i="2"/>
  <c r="D263" i="2"/>
  <c r="G264" i="2"/>
  <c r="E264" i="2"/>
  <c r="P264" i="2"/>
  <c r="O264" i="2"/>
  <c r="H264" i="2"/>
  <c r="I264" i="2"/>
  <c r="N264" i="2"/>
  <c r="K265" i="2"/>
  <c r="J265" i="2"/>
  <c r="L265" i="2"/>
  <c r="F264" i="2"/>
  <c r="D264" i="2"/>
  <c r="G265" i="2"/>
  <c r="E265" i="2"/>
  <c r="P265" i="2"/>
  <c r="O265" i="2"/>
  <c r="H265" i="2"/>
  <c r="I265" i="2"/>
  <c r="N265" i="2"/>
  <c r="K266" i="2"/>
  <c r="J266" i="2"/>
  <c r="L266" i="2"/>
  <c r="F265" i="2"/>
  <c r="D265" i="2"/>
  <c r="G266" i="2"/>
  <c r="E266" i="2"/>
  <c r="P266" i="2"/>
  <c r="O266" i="2"/>
  <c r="H266" i="2"/>
  <c r="I266" i="2"/>
  <c r="N266" i="2"/>
  <c r="K267" i="2"/>
  <c r="J267" i="2"/>
  <c r="L267" i="2"/>
  <c r="F266" i="2"/>
  <c r="D266" i="2"/>
  <c r="G267" i="2"/>
  <c r="E267" i="2"/>
  <c r="P267" i="2"/>
  <c r="O267" i="2"/>
  <c r="H267" i="2"/>
  <c r="I267" i="2"/>
  <c r="N267" i="2"/>
  <c r="K268" i="2"/>
  <c r="J268" i="2"/>
  <c r="L268" i="2"/>
  <c r="F267" i="2"/>
  <c r="D267" i="2"/>
  <c r="G268" i="2"/>
  <c r="E268" i="2"/>
  <c r="P268" i="2"/>
  <c r="O268" i="2"/>
  <c r="H268" i="2"/>
  <c r="I268" i="2"/>
  <c r="N268" i="2"/>
  <c r="K269" i="2"/>
  <c r="J269" i="2"/>
  <c r="L269" i="2"/>
  <c r="F268" i="2"/>
  <c r="D268" i="2"/>
  <c r="G269" i="2"/>
  <c r="E269" i="2"/>
  <c r="P269" i="2"/>
  <c r="O269" i="2"/>
  <c r="H269" i="2"/>
  <c r="I269" i="2"/>
  <c r="N269" i="2"/>
  <c r="K270" i="2"/>
  <c r="J270" i="2"/>
  <c r="L270" i="2"/>
  <c r="F269" i="2"/>
  <c r="D269" i="2"/>
  <c r="G270" i="2"/>
  <c r="E270" i="2"/>
  <c r="P270" i="2"/>
  <c r="O270" i="2"/>
  <c r="H270" i="2"/>
  <c r="I270" i="2"/>
  <c r="N270" i="2"/>
  <c r="K271" i="2"/>
  <c r="J271" i="2"/>
  <c r="L271" i="2"/>
  <c r="F270" i="2"/>
  <c r="D270" i="2"/>
  <c r="G271" i="2"/>
  <c r="E271" i="2"/>
  <c r="P271" i="2"/>
  <c r="O271" i="2"/>
  <c r="H271" i="2"/>
  <c r="I271" i="2"/>
  <c r="N271" i="2"/>
  <c r="K272" i="2"/>
  <c r="J272" i="2"/>
  <c r="L272" i="2"/>
  <c r="F271" i="2"/>
  <c r="D271" i="2"/>
  <c r="G272" i="2"/>
  <c r="E272" i="2"/>
  <c r="P272" i="2"/>
  <c r="O272" i="2"/>
  <c r="H272" i="2"/>
  <c r="I272" i="2"/>
  <c r="N272" i="2"/>
  <c r="K273" i="2"/>
  <c r="J273" i="2"/>
  <c r="L273" i="2"/>
  <c r="F272" i="2"/>
  <c r="D272" i="2"/>
  <c r="G273" i="2"/>
  <c r="E273" i="2"/>
  <c r="P273" i="2"/>
  <c r="O273" i="2"/>
  <c r="H273" i="2"/>
  <c r="I273" i="2"/>
  <c r="N273" i="2"/>
  <c r="K274" i="2"/>
  <c r="J274" i="2"/>
  <c r="L274" i="2"/>
  <c r="F273" i="2"/>
  <c r="D273" i="2"/>
  <c r="G274" i="2"/>
  <c r="E274" i="2"/>
  <c r="P274" i="2"/>
  <c r="O274" i="2"/>
  <c r="H274" i="2"/>
  <c r="I274" i="2"/>
  <c r="N274" i="2"/>
  <c r="K275" i="2"/>
  <c r="J275" i="2"/>
  <c r="L275" i="2"/>
  <c r="F274" i="2"/>
  <c r="D274" i="2"/>
  <c r="G275" i="2"/>
  <c r="E275" i="2"/>
  <c r="P275" i="2"/>
  <c r="O275" i="2"/>
  <c r="H275" i="2"/>
  <c r="I275" i="2"/>
  <c r="N275" i="2"/>
  <c r="K276" i="2"/>
  <c r="J276" i="2"/>
  <c r="L276" i="2"/>
  <c r="F275" i="2"/>
  <c r="D275" i="2"/>
  <c r="G276" i="2"/>
  <c r="E276" i="2"/>
  <c r="P276" i="2"/>
  <c r="O276" i="2"/>
  <c r="H276" i="2"/>
  <c r="I276" i="2"/>
  <c r="N276" i="2"/>
  <c r="K277" i="2"/>
  <c r="J277" i="2"/>
  <c r="L277" i="2"/>
  <c r="F276" i="2"/>
  <c r="D276" i="2"/>
  <c r="G277" i="2"/>
  <c r="E277" i="2"/>
  <c r="P277" i="2"/>
  <c r="O277" i="2"/>
  <c r="H277" i="2"/>
  <c r="I277" i="2"/>
  <c r="N277" i="2"/>
  <c r="K278" i="2"/>
  <c r="J278" i="2"/>
  <c r="L278" i="2"/>
  <c r="F277" i="2"/>
  <c r="D277" i="2"/>
  <c r="G278" i="2"/>
  <c r="E278" i="2"/>
  <c r="P278" i="2"/>
  <c r="O278" i="2"/>
  <c r="H278" i="2"/>
  <c r="I278" i="2"/>
  <c r="N278" i="2"/>
  <c r="K279" i="2"/>
  <c r="J279" i="2"/>
  <c r="L279" i="2"/>
  <c r="F278" i="2"/>
  <c r="D278" i="2"/>
  <c r="G279" i="2"/>
  <c r="E279" i="2"/>
  <c r="P279" i="2"/>
  <c r="O279" i="2"/>
  <c r="H279" i="2"/>
  <c r="I279" i="2"/>
  <c r="N279" i="2"/>
  <c r="K280" i="2"/>
  <c r="J280" i="2"/>
  <c r="L280" i="2"/>
  <c r="F279" i="2"/>
  <c r="D279" i="2"/>
  <c r="G280" i="2"/>
  <c r="E280" i="2"/>
  <c r="P280" i="2"/>
  <c r="O280" i="2"/>
  <c r="H280" i="2"/>
  <c r="I280" i="2"/>
  <c r="N280" i="2"/>
  <c r="K281" i="2"/>
  <c r="J281" i="2"/>
  <c r="L281" i="2"/>
  <c r="F280" i="2"/>
  <c r="D280" i="2"/>
  <c r="G281" i="2"/>
  <c r="E281" i="2"/>
  <c r="P281" i="2"/>
  <c r="O281" i="2"/>
  <c r="H281" i="2"/>
  <c r="I281" i="2"/>
  <c r="N281" i="2"/>
  <c r="K282" i="2"/>
  <c r="J282" i="2"/>
  <c r="L282" i="2"/>
  <c r="F281" i="2"/>
  <c r="D281" i="2"/>
  <c r="G282" i="2"/>
  <c r="E282" i="2"/>
  <c r="P282" i="2"/>
  <c r="O282" i="2"/>
  <c r="H282" i="2"/>
  <c r="I282" i="2"/>
  <c r="N282" i="2"/>
  <c r="K283" i="2"/>
  <c r="J283" i="2"/>
  <c r="L283" i="2"/>
  <c r="F282" i="2"/>
  <c r="D282" i="2"/>
  <c r="G283" i="2"/>
  <c r="E283" i="2"/>
  <c r="P283" i="2"/>
  <c r="O283" i="2"/>
  <c r="H283" i="2"/>
  <c r="I283" i="2"/>
  <c r="N283" i="2"/>
  <c r="K284" i="2"/>
  <c r="J284" i="2"/>
  <c r="L284" i="2"/>
  <c r="F283" i="2"/>
  <c r="D283" i="2"/>
  <c r="G284" i="2"/>
  <c r="E284" i="2"/>
  <c r="P284" i="2"/>
  <c r="O284" i="2"/>
  <c r="H284" i="2"/>
  <c r="I284" i="2"/>
  <c r="N284" i="2"/>
  <c r="K285" i="2"/>
  <c r="J285" i="2"/>
  <c r="L285" i="2"/>
  <c r="F284" i="2"/>
  <c r="D284" i="2"/>
  <c r="G285" i="2"/>
  <c r="E285" i="2"/>
  <c r="P285" i="2"/>
  <c r="O285" i="2"/>
  <c r="H285" i="2"/>
  <c r="I285" i="2"/>
  <c r="N285" i="2"/>
  <c r="K286" i="2"/>
  <c r="J286" i="2"/>
  <c r="L286" i="2"/>
  <c r="F285" i="2"/>
  <c r="D285" i="2"/>
  <c r="G286" i="2"/>
  <c r="E286" i="2"/>
  <c r="P286" i="2"/>
  <c r="O286" i="2"/>
  <c r="H286" i="2"/>
  <c r="I286" i="2"/>
  <c r="N286" i="2"/>
  <c r="K287" i="2"/>
  <c r="J287" i="2"/>
  <c r="L287" i="2"/>
  <c r="F286" i="2"/>
  <c r="D286" i="2"/>
  <c r="G287" i="2"/>
  <c r="E287" i="2"/>
  <c r="P287" i="2"/>
  <c r="O287" i="2"/>
  <c r="H287" i="2"/>
  <c r="I287" i="2"/>
  <c r="N287" i="2"/>
  <c r="K288" i="2"/>
  <c r="J288" i="2"/>
  <c r="L288" i="2"/>
  <c r="F287" i="2"/>
  <c r="D287" i="2"/>
  <c r="G288" i="2"/>
  <c r="E288" i="2"/>
  <c r="P288" i="2"/>
  <c r="O288" i="2"/>
  <c r="H288" i="2"/>
  <c r="I288" i="2"/>
  <c r="N288" i="2"/>
  <c r="K289" i="2"/>
  <c r="J289" i="2"/>
  <c r="L289" i="2"/>
  <c r="F288" i="2"/>
  <c r="D288" i="2"/>
  <c r="G289" i="2"/>
  <c r="E289" i="2"/>
  <c r="P289" i="2"/>
  <c r="O289" i="2"/>
  <c r="H289" i="2"/>
  <c r="I289" i="2"/>
  <c r="N289" i="2"/>
  <c r="K290" i="2"/>
  <c r="J290" i="2"/>
  <c r="L290" i="2"/>
  <c r="F289" i="2"/>
  <c r="D289" i="2"/>
  <c r="G290" i="2"/>
  <c r="E290" i="2"/>
  <c r="P290" i="2"/>
  <c r="O290" i="2"/>
  <c r="H290" i="2"/>
  <c r="I290" i="2"/>
  <c r="N290" i="2"/>
  <c r="K291" i="2"/>
  <c r="J291" i="2"/>
  <c r="L291" i="2"/>
  <c r="F290" i="2"/>
  <c r="D290" i="2"/>
  <c r="G291" i="2"/>
  <c r="E291" i="2"/>
  <c r="P291" i="2"/>
  <c r="O291" i="2"/>
  <c r="H291" i="2"/>
  <c r="I291" i="2"/>
  <c r="N291" i="2"/>
  <c r="K292" i="2"/>
  <c r="J292" i="2"/>
  <c r="L292" i="2"/>
  <c r="F291" i="2"/>
  <c r="D291" i="2"/>
  <c r="G292" i="2"/>
  <c r="E292" i="2"/>
  <c r="P292" i="2"/>
  <c r="O292" i="2"/>
  <c r="H292" i="2"/>
  <c r="I292" i="2"/>
  <c r="N292" i="2"/>
  <c r="K293" i="2"/>
  <c r="J293" i="2"/>
  <c r="L293" i="2"/>
  <c r="F292" i="2"/>
  <c r="D292" i="2"/>
  <c r="G293" i="2"/>
  <c r="E293" i="2"/>
  <c r="P293" i="2"/>
  <c r="O293" i="2"/>
  <c r="H293" i="2"/>
  <c r="I293" i="2"/>
  <c r="N293" i="2"/>
  <c r="K294" i="2"/>
  <c r="J294" i="2"/>
  <c r="L294" i="2"/>
  <c r="F293" i="2"/>
  <c r="D293" i="2"/>
  <c r="G294" i="2"/>
  <c r="E294" i="2"/>
  <c r="P294" i="2"/>
  <c r="O294" i="2"/>
  <c r="H294" i="2"/>
  <c r="I294" i="2"/>
  <c r="N294" i="2"/>
  <c r="K295" i="2"/>
  <c r="J295" i="2"/>
  <c r="L295" i="2"/>
  <c r="F294" i="2"/>
  <c r="D294" i="2"/>
  <c r="G295" i="2"/>
  <c r="E295" i="2"/>
  <c r="P295" i="2"/>
  <c r="O295" i="2"/>
  <c r="H295" i="2"/>
  <c r="I295" i="2"/>
  <c r="N295" i="2"/>
  <c r="K296" i="2"/>
  <c r="J296" i="2"/>
  <c r="L296" i="2"/>
  <c r="F295" i="2"/>
  <c r="D295" i="2"/>
  <c r="G296" i="2"/>
  <c r="E296" i="2"/>
  <c r="P296" i="2"/>
  <c r="O296" i="2"/>
  <c r="H296" i="2"/>
  <c r="I296" i="2"/>
  <c r="N296" i="2"/>
  <c r="K297" i="2"/>
  <c r="J297" i="2"/>
  <c r="L297" i="2"/>
  <c r="F296" i="2"/>
  <c r="D296" i="2"/>
  <c r="G297" i="2"/>
  <c r="E297" i="2"/>
  <c r="P297" i="2"/>
  <c r="O297" i="2"/>
  <c r="H297" i="2"/>
  <c r="I297" i="2"/>
  <c r="N297" i="2"/>
  <c r="K298" i="2"/>
  <c r="J298" i="2"/>
  <c r="L298" i="2"/>
  <c r="F297" i="2"/>
  <c r="D297" i="2"/>
  <c r="G298" i="2"/>
  <c r="E298" i="2"/>
  <c r="P298" i="2"/>
  <c r="O298" i="2"/>
  <c r="H298" i="2"/>
  <c r="I298" i="2"/>
  <c r="N298" i="2"/>
  <c r="K299" i="2"/>
  <c r="J299" i="2"/>
  <c r="L299" i="2"/>
  <c r="F298" i="2"/>
  <c r="D298" i="2"/>
  <c r="G299" i="2"/>
  <c r="E299" i="2"/>
  <c r="P299" i="2"/>
  <c r="O299" i="2"/>
  <c r="H299" i="2"/>
  <c r="I299" i="2"/>
  <c r="N299" i="2"/>
  <c r="K300" i="2"/>
  <c r="J300" i="2"/>
  <c r="L300" i="2"/>
  <c r="F299" i="2"/>
  <c r="D299" i="2"/>
  <c r="G300" i="2"/>
  <c r="E300" i="2"/>
  <c r="P300" i="2"/>
  <c r="O300" i="2"/>
  <c r="H300" i="2"/>
  <c r="I300" i="2"/>
  <c r="N300" i="2"/>
  <c r="K301" i="2"/>
  <c r="J301" i="2"/>
  <c r="L301" i="2"/>
  <c r="F300" i="2"/>
  <c r="D300" i="2"/>
  <c r="G301" i="2"/>
  <c r="E301" i="2"/>
  <c r="P301" i="2"/>
  <c r="O301" i="2"/>
  <c r="H301" i="2"/>
  <c r="I301" i="2"/>
  <c r="N301" i="2"/>
  <c r="K302" i="2"/>
  <c r="J302" i="2"/>
  <c r="L302" i="2"/>
  <c r="F301" i="2"/>
  <c r="D301" i="2"/>
  <c r="G302" i="2"/>
  <c r="E302" i="2"/>
  <c r="P302" i="2"/>
  <c r="O302" i="2"/>
  <c r="H302" i="2"/>
  <c r="I302" i="2"/>
  <c r="N302" i="2"/>
  <c r="K303" i="2"/>
  <c r="J303" i="2"/>
  <c r="L303" i="2"/>
  <c r="F302" i="2"/>
  <c r="D302" i="2"/>
  <c r="G303" i="2"/>
  <c r="E303" i="2"/>
  <c r="P303" i="2"/>
  <c r="O303" i="2"/>
  <c r="H303" i="2"/>
  <c r="I303" i="2"/>
  <c r="N303" i="2"/>
  <c r="K304" i="2"/>
  <c r="J304" i="2"/>
  <c r="L304" i="2"/>
  <c r="F303" i="2"/>
  <c r="D303" i="2"/>
  <c r="G304" i="2"/>
  <c r="E304" i="2"/>
  <c r="P304" i="2"/>
  <c r="O304" i="2"/>
  <c r="H304" i="2"/>
  <c r="I304" i="2"/>
  <c r="N304" i="2"/>
  <c r="K305" i="2"/>
  <c r="J305" i="2"/>
  <c r="L305" i="2"/>
  <c r="F304" i="2"/>
  <c r="D304" i="2"/>
  <c r="G305" i="2"/>
  <c r="E305" i="2"/>
  <c r="P305" i="2"/>
  <c r="O305" i="2"/>
  <c r="H305" i="2"/>
  <c r="I305" i="2"/>
  <c r="N305" i="2"/>
  <c r="K306" i="2"/>
  <c r="J306" i="2"/>
  <c r="L306" i="2"/>
  <c r="F305" i="2"/>
  <c r="D305" i="2"/>
  <c r="G306" i="2"/>
  <c r="E306" i="2"/>
  <c r="P306" i="2"/>
  <c r="O306" i="2"/>
  <c r="H306" i="2"/>
  <c r="I306" i="2"/>
  <c r="N306" i="2"/>
  <c r="K307" i="2"/>
  <c r="J307" i="2"/>
  <c r="L307" i="2"/>
  <c r="F306" i="2"/>
  <c r="D306" i="2"/>
  <c r="G307" i="2"/>
  <c r="E307" i="2"/>
  <c r="P307" i="2"/>
  <c r="O307" i="2"/>
  <c r="H307" i="2"/>
  <c r="I307" i="2"/>
  <c r="N307" i="2"/>
  <c r="K308" i="2"/>
  <c r="J308" i="2"/>
  <c r="L308" i="2"/>
  <c r="F307" i="2"/>
  <c r="D307" i="2"/>
  <c r="G308" i="2"/>
  <c r="E308" i="2"/>
  <c r="P308" i="2"/>
  <c r="O308" i="2"/>
  <c r="H308" i="2"/>
  <c r="I308" i="2"/>
  <c r="N308" i="2"/>
  <c r="K309" i="2"/>
  <c r="J309" i="2"/>
  <c r="L309" i="2"/>
  <c r="F308" i="2"/>
  <c r="D308" i="2"/>
  <c r="G309" i="2"/>
  <c r="E309" i="2"/>
  <c r="P309" i="2"/>
  <c r="O309" i="2"/>
  <c r="H309" i="2"/>
  <c r="I309" i="2"/>
  <c r="N309" i="2"/>
  <c r="K310" i="2"/>
  <c r="J310" i="2"/>
  <c r="L310" i="2"/>
  <c r="F309" i="2"/>
  <c r="D309" i="2"/>
  <c r="G310" i="2"/>
  <c r="E310" i="2"/>
  <c r="P310" i="2"/>
  <c r="O310" i="2"/>
  <c r="H310" i="2"/>
  <c r="I310" i="2"/>
  <c r="N310" i="2"/>
  <c r="K311" i="2"/>
  <c r="J311" i="2"/>
  <c r="L311" i="2"/>
  <c r="F310" i="2"/>
  <c r="D310" i="2"/>
  <c r="G311" i="2"/>
  <c r="E311" i="2"/>
  <c r="P311" i="2"/>
  <c r="O311" i="2"/>
  <c r="H311" i="2"/>
  <c r="I311" i="2"/>
  <c r="N311" i="2"/>
  <c r="K312" i="2"/>
  <c r="J312" i="2"/>
  <c r="L312" i="2"/>
  <c r="F311" i="2"/>
  <c r="D311" i="2"/>
  <c r="G312" i="2"/>
  <c r="E312" i="2"/>
  <c r="P312" i="2"/>
  <c r="O312" i="2"/>
  <c r="H312" i="2"/>
  <c r="I312" i="2"/>
  <c r="N312" i="2"/>
  <c r="K313" i="2"/>
  <c r="J313" i="2"/>
  <c r="L313" i="2"/>
  <c r="F312" i="2"/>
  <c r="D312" i="2"/>
  <c r="G313" i="2"/>
  <c r="E313" i="2"/>
  <c r="P313" i="2"/>
  <c r="O313" i="2"/>
  <c r="H313" i="2"/>
  <c r="I313" i="2"/>
  <c r="N313" i="2"/>
  <c r="K314" i="2"/>
  <c r="J314" i="2"/>
  <c r="L314" i="2"/>
  <c r="F313" i="2"/>
  <c r="D313" i="2"/>
  <c r="G314" i="2"/>
  <c r="E314" i="2"/>
  <c r="P314" i="2"/>
  <c r="O314" i="2"/>
  <c r="H314" i="2"/>
  <c r="I314" i="2"/>
  <c r="N314" i="2"/>
  <c r="K315" i="2"/>
  <c r="J315" i="2"/>
  <c r="L315" i="2"/>
  <c r="F314" i="2"/>
  <c r="D314" i="2"/>
  <c r="G315" i="2"/>
  <c r="E315" i="2"/>
  <c r="P315" i="2"/>
  <c r="O315" i="2"/>
  <c r="H315" i="2"/>
  <c r="I315" i="2"/>
  <c r="N315" i="2"/>
  <c r="K316" i="2"/>
  <c r="J316" i="2"/>
  <c r="L316" i="2"/>
  <c r="F315" i="2"/>
  <c r="D315" i="2"/>
  <c r="G316" i="2"/>
  <c r="E316" i="2"/>
  <c r="P316" i="2"/>
  <c r="O316" i="2"/>
  <c r="H316" i="2"/>
  <c r="I316" i="2"/>
  <c r="N316" i="2"/>
  <c r="K317" i="2"/>
  <c r="J317" i="2"/>
  <c r="L317" i="2"/>
  <c r="F316" i="2"/>
  <c r="D316" i="2"/>
  <c r="G317" i="2"/>
  <c r="E317" i="2"/>
  <c r="P317" i="2"/>
  <c r="O317" i="2"/>
  <c r="H317" i="2"/>
  <c r="I317" i="2"/>
  <c r="N317" i="2"/>
  <c r="K318" i="2"/>
  <c r="J318" i="2"/>
  <c r="L318" i="2"/>
  <c r="F317" i="2"/>
  <c r="D317" i="2"/>
  <c r="G318" i="2"/>
  <c r="E318" i="2"/>
  <c r="P318" i="2"/>
  <c r="O318" i="2"/>
  <c r="H318" i="2"/>
  <c r="I318" i="2"/>
  <c r="N318" i="2"/>
  <c r="K319" i="2"/>
  <c r="J319" i="2"/>
  <c r="L319" i="2"/>
  <c r="F318" i="2"/>
  <c r="D318" i="2"/>
  <c r="G319" i="2"/>
  <c r="E319" i="2"/>
  <c r="P319" i="2"/>
  <c r="O319" i="2"/>
  <c r="H319" i="2"/>
  <c r="I319" i="2"/>
  <c r="N319" i="2"/>
  <c r="K320" i="2"/>
  <c r="J320" i="2"/>
  <c r="L320" i="2"/>
  <c r="F319" i="2"/>
  <c r="D319" i="2"/>
  <c r="G320" i="2"/>
  <c r="E320" i="2"/>
  <c r="P320" i="2"/>
  <c r="O320" i="2"/>
  <c r="H320" i="2"/>
  <c r="I320" i="2"/>
  <c r="N320" i="2"/>
  <c r="K321" i="2"/>
  <c r="J321" i="2"/>
  <c r="L321" i="2"/>
  <c r="F320" i="2"/>
  <c r="D320" i="2"/>
  <c r="G321" i="2"/>
  <c r="E321" i="2"/>
  <c r="P321" i="2"/>
  <c r="O321" i="2"/>
  <c r="H321" i="2"/>
  <c r="I321" i="2"/>
  <c r="N321" i="2"/>
  <c r="K322" i="2"/>
  <c r="J322" i="2"/>
  <c r="L322" i="2"/>
  <c r="F321" i="2"/>
  <c r="D321" i="2"/>
  <c r="G322" i="2"/>
  <c r="E322" i="2"/>
  <c r="P322" i="2"/>
  <c r="O322" i="2"/>
  <c r="H322" i="2"/>
  <c r="I322" i="2"/>
  <c r="N322" i="2"/>
  <c r="K323" i="2"/>
  <c r="J323" i="2"/>
  <c r="L323" i="2"/>
  <c r="F322" i="2"/>
  <c r="D322" i="2"/>
  <c r="G323" i="2"/>
  <c r="E323" i="2"/>
  <c r="P323" i="2"/>
  <c r="O323" i="2"/>
  <c r="H323" i="2"/>
  <c r="I323" i="2"/>
  <c r="N323" i="2"/>
  <c r="K324" i="2"/>
  <c r="J324" i="2"/>
  <c r="L324" i="2"/>
  <c r="F323" i="2"/>
  <c r="D323" i="2"/>
  <c r="G324" i="2"/>
  <c r="E324" i="2"/>
  <c r="P324" i="2"/>
  <c r="O324" i="2"/>
  <c r="H324" i="2"/>
  <c r="I324" i="2"/>
  <c r="N324" i="2"/>
  <c r="K325" i="2"/>
  <c r="J325" i="2"/>
  <c r="L325" i="2"/>
  <c r="F324" i="2"/>
  <c r="D324" i="2"/>
  <c r="G325" i="2"/>
  <c r="E325" i="2"/>
  <c r="P325" i="2"/>
  <c r="O325" i="2"/>
  <c r="H325" i="2"/>
  <c r="I325" i="2"/>
  <c r="N325" i="2"/>
  <c r="K326" i="2"/>
  <c r="J326" i="2"/>
  <c r="L326" i="2"/>
  <c r="F325" i="2"/>
  <c r="D325" i="2"/>
  <c r="G326" i="2"/>
  <c r="E326" i="2"/>
  <c r="P326" i="2"/>
  <c r="O326" i="2"/>
  <c r="H326" i="2"/>
  <c r="I326" i="2"/>
  <c r="N326" i="2"/>
  <c r="K327" i="2"/>
  <c r="J327" i="2"/>
  <c r="L327" i="2"/>
  <c r="F326" i="2"/>
  <c r="D326" i="2"/>
  <c r="G327" i="2"/>
  <c r="E327" i="2"/>
  <c r="P327" i="2"/>
  <c r="O327" i="2"/>
  <c r="H327" i="2"/>
  <c r="I327" i="2"/>
  <c r="N327" i="2"/>
  <c r="K328" i="2"/>
  <c r="J328" i="2"/>
  <c r="L328" i="2"/>
  <c r="F327" i="2"/>
  <c r="D327" i="2"/>
  <c r="G328" i="2"/>
  <c r="E328" i="2"/>
  <c r="P328" i="2"/>
  <c r="O328" i="2"/>
  <c r="H328" i="2"/>
  <c r="I328" i="2"/>
  <c r="N328" i="2"/>
  <c r="K329" i="2"/>
  <c r="J329" i="2"/>
  <c r="L329" i="2"/>
  <c r="F328" i="2"/>
  <c r="D328" i="2"/>
  <c r="G329" i="2"/>
  <c r="E329" i="2"/>
  <c r="P329" i="2"/>
  <c r="O329" i="2"/>
  <c r="H329" i="2"/>
  <c r="I329" i="2"/>
  <c r="N329" i="2"/>
  <c r="K330" i="2"/>
  <c r="J330" i="2"/>
  <c r="L330" i="2"/>
  <c r="F329" i="2"/>
  <c r="D329" i="2"/>
  <c r="G330" i="2"/>
  <c r="E330" i="2"/>
  <c r="P330" i="2"/>
  <c r="O330" i="2"/>
  <c r="H330" i="2"/>
  <c r="I330" i="2"/>
  <c r="N330" i="2"/>
  <c r="K331" i="2"/>
  <c r="J331" i="2"/>
  <c r="L331" i="2"/>
  <c r="F330" i="2"/>
  <c r="D330" i="2"/>
  <c r="G331" i="2"/>
  <c r="E331" i="2"/>
  <c r="P331" i="2"/>
  <c r="O331" i="2"/>
  <c r="H331" i="2"/>
  <c r="I331" i="2"/>
  <c r="N331" i="2"/>
  <c r="K332" i="2"/>
  <c r="J332" i="2"/>
  <c r="L332" i="2"/>
  <c r="F331" i="2"/>
  <c r="D331" i="2"/>
  <c r="G332" i="2"/>
  <c r="E332" i="2"/>
  <c r="P332" i="2"/>
  <c r="O332" i="2"/>
  <c r="H332" i="2"/>
  <c r="I332" i="2"/>
  <c r="N332" i="2"/>
  <c r="K333" i="2"/>
  <c r="J333" i="2"/>
  <c r="L333" i="2"/>
  <c r="F332" i="2"/>
  <c r="D332" i="2"/>
  <c r="G333" i="2"/>
  <c r="E333" i="2"/>
  <c r="P333" i="2"/>
  <c r="O333" i="2"/>
  <c r="H333" i="2"/>
  <c r="I333" i="2"/>
  <c r="N333" i="2"/>
  <c r="K334" i="2"/>
  <c r="J334" i="2"/>
  <c r="L334" i="2"/>
  <c r="F333" i="2"/>
  <c r="D333" i="2"/>
  <c r="G334" i="2"/>
  <c r="E334" i="2"/>
  <c r="P334" i="2"/>
  <c r="O334" i="2"/>
  <c r="H334" i="2"/>
  <c r="I334" i="2"/>
  <c r="N334" i="2"/>
  <c r="K335" i="2"/>
  <c r="J335" i="2"/>
  <c r="L335" i="2"/>
  <c r="F334" i="2"/>
  <c r="D334" i="2"/>
  <c r="G335" i="2"/>
  <c r="E335" i="2"/>
  <c r="P335" i="2"/>
  <c r="O335" i="2"/>
  <c r="H335" i="2"/>
  <c r="I335" i="2"/>
  <c r="N335" i="2"/>
  <c r="K336" i="2"/>
  <c r="J336" i="2"/>
  <c r="L336" i="2"/>
  <c r="F335" i="2"/>
  <c r="D335" i="2"/>
  <c r="G336" i="2"/>
  <c r="E336" i="2"/>
  <c r="P336" i="2"/>
  <c r="O336" i="2"/>
  <c r="H336" i="2"/>
  <c r="I336" i="2"/>
  <c r="N336" i="2"/>
  <c r="K337" i="2"/>
  <c r="J337" i="2"/>
  <c r="L337" i="2"/>
  <c r="F336" i="2"/>
  <c r="D336" i="2"/>
  <c r="G337" i="2"/>
  <c r="E337" i="2"/>
  <c r="P337" i="2"/>
  <c r="O337" i="2"/>
  <c r="H337" i="2"/>
  <c r="I337" i="2"/>
  <c r="N337" i="2"/>
  <c r="K338" i="2"/>
  <c r="J338" i="2"/>
  <c r="L338" i="2"/>
  <c r="F337" i="2"/>
  <c r="D337" i="2"/>
  <c r="G338" i="2"/>
  <c r="E338" i="2"/>
  <c r="P338" i="2"/>
  <c r="O338" i="2"/>
  <c r="H338" i="2"/>
  <c r="I338" i="2"/>
  <c r="N338" i="2"/>
  <c r="K339" i="2"/>
  <c r="J339" i="2"/>
  <c r="L339" i="2"/>
  <c r="F338" i="2"/>
  <c r="D338" i="2"/>
  <c r="G339" i="2"/>
  <c r="E339" i="2"/>
  <c r="P339" i="2"/>
  <c r="O339" i="2"/>
  <c r="H339" i="2"/>
  <c r="I339" i="2"/>
  <c r="N339" i="2"/>
  <c r="K340" i="2"/>
  <c r="J340" i="2"/>
  <c r="L340" i="2"/>
  <c r="F339" i="2"/>
  <c r="D339" i="2"/>
  <c r="G340" i="2"/>
  <c r="E340" i="2"/>
  <c r="P340" i="2"/>
  <c r="O340" i="2"/>
  <c r="H340" i="2"/>
  <c r="I340" i="2"/>
  <c r="N340" i="2"/>
  <c r="K341" i="2"/>
  <c r="J341" i="2"/>
  <c r="L341" i="2"/>
  <c r="F340" i="2"/>
  <c r="D340" i="2"/>
  <c r="G341" i="2"/>
  <c r="E341" i="2"/>
  <c r="P341" i="2"/>
  <c r="O341" i="2"/>
  <c r="H341" i="2"/>
  <c r="I341" i="2"/>
  <c r="N341" i="2"/>
  <c r="K342" i="2"/>
  <c r="J342" i="2"/>
  <c r="L342" i="2"/>
  <c r="F341" i="2"/>
  <c r="D341" i="2"/>
  <c r="G342" i="2"/>
  <c r="E342" i="2"/>
  <c r="P342" i="2"/>
  <c r="O342" i="2"/>
  <c r="H342" i="2"/>
  <c r="I342" i="2"/>
  <c r="N342" i="2"/>
  <c r="K343" i="2"/>
  <c r="J343" i="2"/>
  <c r="L343" i="2"/>
  <c r="F342" i="2"/>
  <c r="D342" i="2"/>
  <c r="G343" i="2"/>
  <c r="E343" i="2"/>
  <c r="P343" i="2"/>
  <c r="O343" i="2"/>
  <c r="H343" i="2"/>
  <c r="I343" i="2"/>
  <c r="N343" i="2"/>
  <c r="K344" i="2"/>
  <c r="J344" i="2"/>
  <c r="L344" i="2"/>
  <c r="F343" i="2"/>
  <c r="D343" i="2"/>
  <c r="G344" i="2"/>
  <c r="E344" i="2"/>
  <c r="P344" i="2"/>
  <c r="O344" i="2"/>
  <c r="H344" i="2"/>
  <c r="I344" i="2"/>
  <c r="N344" i="2"/>
  <c r="K345" i="2"/>
  <c r="J345" i="2"/>
  <c r="L345" i="2"/>
  <c r="F344" i="2"/>
  <c r="D344" i="2"/>
  <c r="G345" i="2"/>
  <c r="E345" i="2"/>
  <c r="P345" i="2"/>
  <c r="O345" i="2"/>
  <c r="H345" i="2"/>
  <c r="I345" i="2"/>
  <c r="N345" i="2"/>
  <c r="K346" i="2"/>
  <c r="J346" i="2"/>
  <c r="L346" i="2"/>
  <c r="F345" i="2"/>
  <c r="D345" i="2"/>
  <c r="G346" i="2"/>
  <c r="E346" i="2"/>
  <c r="P346" i="2"/>
  <c r="O346" i="2"/>
  <c r="H346" i="2"/>
  <c r="I346" i="2"/>
  <c r="N346" i="2"/>
  <c r="K347" i="2"/>
  <c r="J347" i="2"/>
  <c r="L347" i="2"/>
  <c r="F346" i="2"/>
  <c r="D346" i="2"/>
  <c r="G347" i="2"/>
  <c r="E347" i="2"/>
  <c r="P347" i="2"/>
  <c r="O347" i="2"/>
  <c r="H347" i="2"/>
  <c r="I347" i="2"/>
  <c r="N347" i="2"/>
  <c r="K348" i="2"/>
  <c r="J348" i="2"/>
  <c r="L348" i="2"/>
  <c r="F347" i="2"/>
  <c r="D347" i="2"/>
  <c r="G348" i="2"/>
  <c r="E348" i="2"/>
  <c r="P348" i="2"/>
  <c r="O348" i="2"/>
  <c r="H348" i="2"/>
  <c r="I348" i="2"/>
  <c r="N348" i="2"/>
  <c r="K349" i="2"/>
  <c r="J349" i="2"/>
  <c r="L349" i="2"/>
  <c r="F348" i="2"/>
  <c r="D348" i="2"/>
  <c r="G349" i="2"/>
  <c r="E349" i="2"/>
  <c r="P349" i="2"/>
  <c r="O349" i="2"/>
  <c r="H349" i="2"/>
  <c r="I349" i="2"/>
  <c r="N349" i="2"/>
  <c r="K350" i="2"/>
  <c r="J350" i="2"/>
  <c r="L350" i="2"/>
  <c r="F349" i="2"/>
  <c r="D349" i="2"/>
  <c r="G350" i="2"/>
  <c r="E350" i="2"/>
  <c r="P350" i="2"/>
  <c r="O350" i="2"/>
  <c r="H350" i="2"/>
  <c r="I350" i="2"/>
  <c r="N350" i="2"/>
  <c r="K351" i="2"/>
  <c r="J351" i="2"/>
  <c r="L351" i="2"/>
  <c r="F350" i="2"/>
  <c r="D350" i="2"/>
  <c r="G351" i="2"/>
  <c r="E351" i="2"/>
  <c r="P351" i="2"/>
  <c r="O351" i="2"/>
  <c r="H351" i="2"/>
  <c r="I351" i="2"/>
  <c r="N351" i="2"/>
  <c r="K352" i="2"/>
  <c r="J352" i="2"/>
  <c r="L352" i="2"/>
  <c r="F351" i="2"/>
  <c r="D351" i="2"/>
  <c r="G352" i="2"/>
  <c r="E352" i="2"/>
  <c r="P352" i="2"/>
  <c r="O352" i="2"/>
  <c r="H352" i="2"/>
  <c r="I352" i="2"/>
  <c r="N352" i="2"/>
  <c r="K353" i="2"/>
  <c r="J353" i="2"/>
  <c r="L353" i="2"/>
  <c r="F352" i="2"/>
  <c r="D352" i="2"/>
  <c r="G353" i="2"/>
  <c r="E353" i="2"/>
  <c r="P353" i="2"/>
  <c r="O353" i="2"/>
  <c r="H353" i="2"/>
  <c r="I353" i="2"/>
  <c r="N353" i="2"/>
  <c r="K354" i="2"/>
  <c r="J354" i="2"/>
  <c r="L354" i="2"/>
  <c r="F353" i="2"/>
  <c r="D353" i="2"/>
  <c r="G354" i="2"/>
  <c r="E354" i="2"/>
  <c r="P354" i="2"/>
  <c r="O354" i="2"/>
  <c r="H354" i="2"/>
  <c r="I354" i="2"/>
  <c r="N354" i="2"/>
  <c r="K355" i="2"/>
  <c r="J355" i="2"/>
  <c r="L355" i="2"/>
  <c r="F354" i="2"/>
  <c r="D354" i="2"/>
  <c r="G355" i="2"/>
  <c r="E355" i="2"/>
  <c r="P355" i="2"/>
  <c r="O355" i="2"/>
  <c r="H355" i="2"/>
  <c r="I355" i="2"/>
  <c r="N355" i="2"/>
  <c r="K356" i="2"/>
  <c r="J356" i="2"/>
  <c r="L356" i="2"/>
  <c r="F355" i="2"/>
  <c r="D355" i="2"/>
  <c r="G356" i="2"/>
  <c r="E356" i="2"/>
  <c r="P356" i="2"/>
  <c r="O356" i="2"/>
  <c r="H356" i="2"/>
  <c r="I356" i="2"/>
  <c r="N356" i="2"/>
  <c r="K357" i="2"/>
  <c r="J357" i="2"/>
  <c r="L357" i="2"/>
  <c r="F356" i="2"/>
  <c r="D356" i="2"/>
  <c r="G357" i="2"/>
  <c r="E357" i="2"/>
  <c r="P357" i="2"/>
  <c r="O357" i="2"/>
  <c r="H357" i="2"/>
  <c r="I357" i="2"/>
  <c r="N357" i="2"/>
  <c r="K358" i="2"/>
  <c r="J358" i="2"/>
  <c r="L358" i="2"/>
  <c r="F357" i="2"/>
  <c r="D357" i="2"/>
  <c r="G358" i="2"/>
  <c r="E358" i="2"/>
  <c r="P358" i="2"/>
  <c r="O358" i="2"/>
  <c r="H358" i="2"/>
  <c r="I358" i="2"/>
  <c r="N358" i="2"/>
  <c r="K359" i="2"/>
  <c r="J359" i="2"/>
  <c r="L359" i="2"/>
  <c r="F358" i="2"/>
  <c r="D358" i="2"/>
  <c r="G359" i="2"/>
  <c r="E359" i="2"/>
  <c r="P359" i="2"/>
  <c r="O359" i="2"/>
  <c r="H359" i="2"/>
  <c r="I359" i="2"/>
  <c r="N359" i="2"/>
  <c r="K360" i="2"/>
  <c r="J360" i="2"/>
  <c r="L360" i="2"/>
  <c r="F359" i="2"/>
  <c r="D359" i="2"/>
  <c r="G360" i="2"/>
  <c r="E360" i="2"/>
  <c r="P360" i="2"/>
  <c r="O360" i="2"/>
  <c r="H360" i="2"/>
  <c r="I360" i="2"/>
  <c r="N360" i="2"/>
  <c r="K361" i="2"/>
  <c r="J361" i="2"/>
  <c r="L361" i="2"/>
  <c r="F360" i="2"/>
  <c r="D360" i="2"/>
  <c r="G361" i="2"/>
  <c r="E361" i="2"/>
  <c r="P361" i="2"/>
  <c r="O361" i="2"/>
  <c r="H361" i="2"/>
  <c r="I361" i="2"/>
  <c r="N361" i="2"/>
  <c r="K362" i="2"/>
  <c r="J362" i="2"/>
  <c r="L362" i="2"/>
  <c r="F361" i="2"/>
  <c r="D361" i="2"/>
  <c r="G362" i="2"/>
  <c r="E362" i="2"/>
  <c r="P362" i="2"/>
  <c r="O362" i="2"/>
  <c r="H362" i="2"/>
  <c r="I362" i="2"/>
  <c r="N362" i="2"/>
  <c r="K363" i="2"/>
  <c r="J363" i="2"/>
  <c r="L363" i="2"/>
  <c r="F362" i="2"/>
  <c r="D362" i="2"/>
  <c r="G363" i="2"/>
  <c r="E363" i="2"/>
  <c r="P363" i="2"/>
  <c r="O363" i="2"/>
  <c r="H363" i="2"/>
  <c r="I363" i="2"/>
  <c r="N363" i="2"/>
  <c r="K364" i="2"/>
  <c r="J364" i="2"/>
  <c r="L364" i="2"/>
  <c r="F363" i="2"/>
  <c r="D363" i="2"/>
  <c r="G364" i="2"/>
  <c r="E364" i="2"/>
  <c r="P364" i="2"/>
  <c r="O364" i="2"/>
  <c r="H364" i="2"/>
  <c r="I364" i="2"/>
  <c r="N364" i="2"/>
  <c r="K365" i="2"/>
  <c r="J365" i="2"/>
  <c r="L365" i="2"/>
  <c r="F364" i="2"/>
  <c r="D364" i="2"/>
  <c r="G365" i="2"/>
  <c r="E365" i="2"/>
  <c r="P365" i="2"/>
  <c r="O365" i="2"/>
  <c r="H365" i="2"/>
  <c r="I365" i="2"/>
  <c r="N365" i="2"/>
  <c r="K366" i="2"/>
  <c r="J366" i="2"/>
  <c r="L366" i="2"/>
  <c r="F365" i="2"/>
  <c r="D365" i="2"/>
  <c r="G366" i="2"/>
  <c r="E366" i="2"/>
  <c r="P366" i="2"/>
  <c r="O366" i="2"/>
  <c r="H366" i="2"/>
  <c r="I366" i="2"/>
  <c r="N366" i="2"/>
  <c r="K367" i="2"/>
  <c r="J367" i="2"/>
  <c r="L367" i="2"/>
  <c r="F366" i="2"/>
  <c r="D366" i="2"/>
  <c r="G367" i="2"/>
  <c r="E367" i="2"/>
  <c r="P367" i="2"/>
  <c r="O367" i="2"/>
  <c r="H367" i="2"/>
  <c r="I367" i="2"/>
  <c r="N367" i="2"/>
  <c r="K368" i="2"/>
  <c r="J368" i="2"/>
  <c r="L368" i="2"/>
  <c r="F367" i="2"/>
  <c r="D367" i="2"/>
  <c r="G368" i="2"/>
  <c r="E368" i="2"/>
  <c r="P368" i="2"/>
  <c r="O368" i="2"/>
  <c r="H368" i="2"/>
  <c r="I368" i="2"/>
  <c r="N368" i="2"/>
  <c r="K369" i="2"/>
  <c r="J369" i="2"/>
  <c r="L369" i="2"/>
  <c r="F368" i="2"/>
  <c r="D368" i="2"/>
  <c r="G369" i="2"/>
  <c r="E369" i="2"/>
  <c r="P369" i="2"/>
  <c r="O369" i="2"/>
  <c r="H369" i="2"/>
  <c r="I369" i="2"/>
  <c r="N369" i="2"/>
  <c r="K370" i="2"/>
  <c r="J370" i="2"/>
  <c r="L370" i="2"/>
  <c r="F369" i="2"/>
  <c r="D369" i="2"/>
  <c r="G370" i="2"/>
  <c r="E370" i="2"/>
  <c r="P370" i="2"/>
  <c r="O370" i="2"/>
  <c r="H370" i="2"/>
  <c r="I370" i="2"/>
  <c r="N370" i="2"/>
  <c r="K371" i="2"/>
  <c r="J371" i="2"/>
  <c r="L371" i="2"/>
  <c r="F370" i="2"/>
  <c r="D370" i="2"/>
  <c r="G371" i="2"/>
  <c r="E371" i="2"/>
  <c r="P371" i="2"/>
  <c r="O371" i="2"/>
  <c r="H371" i="2"/>
  <c r="I371" i="2"/>
  <c r="N371" i="2"/>
  <c r="K372" i="2"/>
  <c r="J372" i="2"/>
  <c r="L372" i="2"/>
  <c r="F371" i="2"/>
  <c r="D371" i="2"/>
  <c r="G372" i="2"/>
  <c r="E372" i="2"/>
  <c r="P372" i="2"/>
  <c r="O372" i="2"/>
  <c r="H372" i="2"/>
  <c r="I372" i="2"/>
  <c r="N372" i="2"/>
  <c r="K373" i="2"/>
  <c r="J373" i="2"/>
  <c r="L373" i="2"/>
  <c r="F372" i="2"/>
  <c r="D372" i="2"/>
  <c r="G373" i="2"/>
  <c r="E373" i="2"/>
  <c r="P373" i="2"/>
  <c r="O373" i="2"/>
  <c r="H373" i="2"/>
  <c r="I373" i="2"/>
  <c r="N373" i="2"/>
  <c r="K374" i="2"/>
  <c r="J374" i="2"/>
  <c r="L374" i="2"/>
  <c r="F373" i="2"/>
  <c r="D373" i="2"/>
  <c r="G374" i="2"/>
  <c r="E374" i="2"/>
  <c r="P374" i="2"/>
  <c r="O374" i="2"/>
  <c r="H374" i="2"/>
  <c r="I374" i="2"/>
  <c r="N374" i="2"/>
  <c r="K375" i="2"/>
  <c r="J375" i="2"/>
  <c r="L375" i="2"/>
  <c r="F374" i="2"/>
  <c r="D374" i="2"/>
  <c r="G375" i="2"/>
  <c r="E375" i="2"/>
  <c r="P375" i="2"/>
  <c r="O375" i="2"/>
  <c r="H375" i="2"/>
  <c r="I375" i="2"/>
  <c r="N375" i="2"/>
  <c r="K376" i="2"/>
  <c r="J376" i="2"/>
  <c r="L376" i="2"/>
  <c r="F375" i="2"/>
  <c r="D375" i="2"/>
  <c r="G376" i="2"/>
  <c r="E376" i="2"/>
  <c r="P376" i="2"/>
  <c r="O376" i="2"/>
  <c r="H376" i="2"/>
  <c r="I376" i="2"/>
  <c r="N376" i="2"/>
  <c r="K377" i="2"/>
  <c r="J377" i="2"/>
  <c r="L377" i="2"/>
  <c r="F376" i="2"/>
  <c r="D376" i="2"/>
  <c r="G377" i="2"/>
  <c r="E377" i="2"/>
  <c r="P377" i="2"/>
  <c r="O377" i="2"/>
  <c r="H377" i="2"/>
  <c r="I377" i="2"/>
  <c r="N377" i="2"/>
  <c r="K378" i="2"/>
  <c r="J378" i="2"/>
  <c r="L378" i="2"/>
  <c r="F377" i="2"/>
  <c r="D377" i="2"/>
  <c r="G378" i="2"/>
  <c r="E378" i="2"/>
  <c r="P378" i="2"/>
  <c r="O378" i="2"/>
  <c r="H378" i="2"/>
  <c r="I378" i="2"/>
  <c r="N378" i="2"/>
  <c r="K379" i="2"/>
  <c r="J379" i="2"/>
  <c r="L379" i="2"/>
  <c r="F378" i="2"/>
  <c r="D378" i="2"/>
  <c r="G379" i="2"/>
  <c r="E379" i="2"/>
  <c r="P379" i="2"/>
  <c r="O379" i="2"/>
  <c r="H379" i="2"/>
  <c r="I379" i="2"/>
  <c r="N379" i="2"/>
  <c r="K380" i="2"/>
  <c r="J380" i="2"/>
  <c r="L380" i="2"/>
  <c r="F379" i="2"/>
  <c r="D379" i="2"/>
  <c r="G380" i="2"/>
  <c r="E380" i="2"/>
  <c r="P380" i="2"/>
  <c r="O380" i="2"/>
  <c r="H380" i="2"/>
  <c r="I380" i="2"/>
  <c r="N380" i="2"/>
  <c r="K381" i="2"/>
  <c r="J381" i="2"/>
  <c r="L381" i="2"/>
  <c r="F380" i="2"/>
  <c r="D380" i="2"/>
  <c r="G381" i="2"/>
  <c r="E381" i="2"/>
  <c r="P381" i="2"/>
  <c r="O381" i="2"/>
  <c r="H381" i="2"/>
  <c r="I381" i="2"/>
  <c r="N381" i="2"/>
  <c r="K382" i="2"/>
  <c r="J382" i="2"/>
  <c r="L382" i="2"/>
  <c r="F381" i="2"/>
  <c r="D381" i="2"/>
  <c r="G382" i="2"/>
  <c r="E382" i="2"/>
  <c r="P382" i="2"/>
  <c r="O382" i="2"/>
  <c r="H382" i="2"/>
  <c r="I382" i="2"/>
  <c r="N382" i="2"/>
  <c r="K383" i="2"/>
  <c r="J383" i="2"/>
  <c r="L383" i="2"/>
  <c r="F382" i="2"/>
  <c r="D382" i="2"/>
  <c r="G383" i="2"/>
  <c r="E383" i="2"/>
  <c r="P383" i="2"/>
  <c r="O383" i="2"/>
  <c r="H383" i="2"/>
  <c r="I383" i="2"/>
  <c r="N383" i="2"/>
  <c r="K384" i="2"/>
  <c r="J384" i="2"/>
  <c r="L384" i="2"/>
  <c r="F383" i="2"/>
  <c r="D383" i="2"/>
  <c r="G384" i="2"/>
  <c r="E384" i="2"/>
  <c r="P384" i="2"/>
  <c r="O384" i="2"/>
  <c r="H384" i="2"/>
  <c r="I384" i="2"/>
  <c r="N384" i="2"/>
  <c r="K385" i="2"/>
  <c r="J385" i="2"/>
  <c r="L385" i="2"/>
  <c r="F384" i="2"/>
  <c r="D384" i="2"/>
  <c r="G385" i="2"/>
  <c r="E385" i="2"/>
  <c r="P385" i="2"/>
  <c r="O385" i="2"/>
  <c r="H385" i="2"/>
  <c r="I385" i="2"/>
  <c r="N385" i="2"/>
  <c r="K386" i="2"/>
  <c r="J386" i="2"/>
  <c r="L386" i="2"/>
  <c r="F385" i="2"/>
  <c r="D385" i="2"/>
  <c r="G386" i="2"/>
  <c r="E386" i="2"/>
  <c r="P386" i="2"/>
  <c r="O386" i="2"/>
  <c r="H386" i="2"/>
  <c r="I386" i="2"/>
  <c r="N386" i="2"/>
  <c r="K387" i="2"/>
  <c r="J387" i="2"/>
  <c r="L387" i="2"/>
  <c r="F386" i="2"/>
  <c r="D386" i="2"/>
  <c r="G387" i="2"/>
  <c r="E387" i="2"/>
  <c r="P387" i="2"/>
  <c r="O387" i="2"/>
  <c r="H387" i="2"/>
  <c r="I387" i="2"/>
  <c r="N387" i="2"/>
  <c r="K388" i="2"/>
  <c r="J388" i="2"/>
  <c r="L388" i="2"/>
  <c r="F387" i="2"/>
  <c r="D387" i="2"/>
  <c r="G388" i="2"/>
  <c r="E388" i="2"/>
  <c r="P388" i="2"/>
  <c r="O388" i="2"/>
  <c r="H388" i="2"/>
  <c r="I388" i="2"/>
  <c r="N388" i="2"/>
  <c r="K389" i="2"/>
  <c r="J389" i="2"/>
  <c r="L389" i="2"/>
  <c r="F388" i="2"/>
  <c r="D388" i="2"/>
  <c r="G389" i="2"/>
  <c r="E389" i="2"/>
  <c r="P389" i="2"/>
  <c r="O389" i="2"/>
  <c r="H389" i="2"/>
  <c r="I389" i="2"/>
  <c r="N389" i="2"/>
  <c r="K390" i="2"/>
  <c r="J390" i="2"/>
  <c r="L390" i="2"/>
  <c r="F389" i="2"/>
  <c r="D389" i="2"/>
  <c r="G390" i="2"/>
  <c r="E390" i="2"/>
  <c r="P390" i="2"/>
  <c r="O390" i="2"/>
  <c r="H390" i="2"/>
  <c r="I390" i="2"/>
  <c r="N390" i="2"/>
  <c r="K391" i="2"/>
  <c r="J391" i="2"/>
  <c r="L391" i="2"/>
  <c r="F390" i="2"/>
  <c r="D390" i="2"/>
  <c r="G391" i="2"/>
  <c r="E391" i="2"/>
  <c r="P391" i="2"/>
  <c r="O391" i="2"/>
  <c r="H391" i="2"/>
  <c r="I391" i="2"/>
  <c r="N391" i="2"/>
  <c r="K392" i="2"/>
  <c r="J392" i="2"/>
  <c r="L392" i="2"/>
  <c r="F391" i="2"/>
  <c r="D391" i="2"/>
  <c r="G392" i="2"/>
  <c r="E392" i="2"/>
  <c r="P392" i="2"/>
  <c r="O392" i="2"/>
  <c r="H392" i="2"/>
  <c r="I392" i="2"/>
  <c r="N392" i="2"/>
  <c r="K393" i="2"/>
  <c r="J393" i="2"/>
  <c r="L393" i="2"/>
  <c r="F392" i="2"/>
  <c r="D392" i="2"/>
  <c r="G393" i="2"/>
  <c r="E393" i="2"/>
  <c r="P393" i="2"/>
  <c r="O393" i="2"/>
  <c r="H393" i="2"/>
  <c r="I393" i="2"/>
  <c r="N393" i="2"/>
  <c r="K394" i="2"/>
  <c r="J394" i="2"/>
  <c r="L394" i="2"/>
  <c r="F393" i="2"/>
  <c r="D393" i="2"/>
  <c r="G394" i="2"/>
  <c r="E394" i="2"/>
  <c r="P394" i="2"/>
  <c r="O394" i="2"/>
  <c r="H394" i="2"/>
  <c r="I394" i="2"/>
  <c r="N394" i="2"/>
  <c r="K395" i="2"/>
  <c r="J395" i="2"/>
  <c r="L395" i="2"/>
  <c r="F394" i="2"/>
  <c r="D394" i="2"/>
  <c r="G395" i="2"/>
  <c r="E395" i="2"/>
  <c r="P395" i="2"/>
  <c r="O395" i="2"/>
  <c r="H395" i="2"/>
  <c r="I395" i="2"/>
  <c r="N395" i="2"/>
  <c r="K396" i="2"/>
  <c r="J396" i="2"/>
  <c r="L396" i="2"/>
  <c r="F395" i="2"/>
  <c r="D395" i="2"/>
  <c r="G396" i="2"/>
  <c r="E396" i="2"/>
  <c r="P396" i="2"/>
  <c r="O396" i="2"/>
  <c r="H396" i="2"/>
  <c r="I396" i="2"/>
  <c r="N396" i="2"/>
  <c r="K397" i="2"/>
  <c r="J397" i="2"/>
  <c r="L397" i="2"/>
  <c r="F396" i="2"/>
  <c r="D396" i="2"/>
  <c r="G397" i="2"/>
  <c r="E397" i="2"/>
  <c r="P397" i="2"/>
  <c r="O397" i="2"/>
  <c r="H397" i="2"/>
  <c r="I397" i="2"/>
  <c r="N397" i="2"/>
  <c r="K398" i="2"/>
  <c r="J398" i="2"/>
  <c r="L398" i="2"/>
  <c r="F397" i="2"/>
  <c r="D397" i="2"/>
  <c r="G398" i="2"/>
  <c r="E398" i="2"/>
  <c r="P398" i="2"/>
  <c r="O398" i="2"/>
  <c r="H398" i="2"/>
  <c r="I398" i="2"/>
  <c r="N398" i="2"/>
  <c r="K399" i="2"/>
  <c r="J399" i="2"/>
  <c r="L399" i="2"/>
  <c r="F398" i="2"/>
  <c r="D398" i="2"/>
  <c r="G399" i="2"/>
  <c r="E399" i="2"/>
  <c r="P399" i="2"/>
  <c r="O399" i="2"/>
  <c r="H399" i="2"/>
  <c r="I399" i="2"/>
  <c r="N399" i="2"/>
  <c r="K400" i="2"/>
  <c r="J400" i="2"/>
  <c r="L400" i="2"/>
  <c r="F399" i="2"/>
  <c r="D399" i="2"/>
  <c r="G400" i="2"/>
  <c r="E400" i="2"/>
  <c r="P400" i="2"/>
  <c r="O400" i="2"/>
  <c r="H400" i="2"/>
  <c r="I400" i="2"/>
  <c r="N400" i="2"/>
  <c r="K401" i="2"/>
  <c r="J401" i="2"/>
  <c r="L401" i="2"/>
  <c r="F400" i="2"/>
  <c r="D400" i="2"/>
  <c r="G401" i="2"/>
  <c r="E401" i="2"/>
  <c r="P401" i="2"/>
  <c r="O401" i="2"/>
  <c r="H401" i="2"/>
  <c r="I401" i="2"/>
  <c r="N401" i="2"/>
  <c r="K402" i="2"/>
  <c r="J402" i="2"/>
  <c r="L402" i="2"/>
  <c r="F401" i="2"/>
  <c r="D401" i="2"/>
  <c r="G402" i="2"/>
  <c r="E402" i="2"/>
  <c r="P402" i="2"/>
  <c r="O402" i="2"/>
  <c r="H402" i="2"/>
  <c r="I402" i="2"/>
  <c r="N402" i="2"/>
  <c r="K403" i="2"/>
  <c r="J403" i="2"/>
  <c r="L403" i="2"/>
  <c r="F402" i="2"/>
  <c r="D402" i="2"/>
  <c r="G403" i="2"/>
  <c r="E403" i="2"/>
  <c r="P403" i="2"/>
  <c r="O403" i="2"/>
  <c r="H403" i="2"/>
  <c r="I403" i="2"/>
  <c r="N403" i="2"/>
  <c r="K404" i="2"/>
  <c r="J404" i="2"/>
  <c r="L404" i="2"/>
  <c r="F403" i="2"/>
  <c r="D403" i="2"/>
  <c r="G404" i="2"/>
  <c r="E404" i="2"/>
  <c r="P404" i="2"/>
  <c r="O404" i="2"/>
  <c r="H404" i="2"/>
  <c r="I404" i="2"/>
  <c r="N404" i="2"/>
  <c r="K405" i="2"/>
  <c r="J405" i="2"/>
  <c r="L405" i="2"/>
  <c r="F404" i="2"/>
  <c r="D404" i="2"/>
  <c r="G405" i="2"/>
  <c r="E405" i="2"/>
  <c r="P405" i="2"/>
  <c r="O405" i="2"/>
  <c r="H405" i="2"/>
  <c r="I405" i="2"/>
  <c r="N405" i="2"/>
  <c r="K406" i="2"/>
  <c r="J406" i="2"/>
  <c r="L406" i="2"/>
  <c r="F405" i="2"/>
  <c r="D405" i="2"/>
  <c r="G406" i="2"/>
  <c r="E406" i="2"/>
  <c r="P406" i="2"/>
  <c r="O406" i="2"/>
  <c r="H406" i="2"/>
  <c r="I406" i="2"/>
  <c r="N406" i="2"/>
  <c r="K407" i="2"/>
  <c r="J407" i="2"/>
  <c r="L407" i="2"/>
  <c r="F406" i="2"/>
  <c r="D406" i="2"/>
  <c r="G407" i="2"/>
  <c r="E407" i="2"/>
  <c r="P407" i="2"/>
  <c r="O407" i="2"/>
  <c r="H407" i="2"/>
  <c r="I407" i="2"/>
  <c r="N407" i="2"/>
  <c r="K408" i="2"/>
  <c r="J408" i="2"/>
  <c r="L408" i="2"/>
  <c r="F407" i="2"/>
  <c r="D407" i="2"/>
  <c r="G408" i="2"/>
  <c r="E408" i="2"/>
  <c r="P408" i="2"/>
  <c r="O408" i="2"/>
  <c r="H408" i="2"/>
  <c r="I408" i="2"/>
  <c r="N408" i="2"/>
  <c r="K409" i="2"/>
  <c r="J409" i="2"/>
  <c r="L409" i="2"/>
  <c r="F408" i="2"/>
  <c r="D408" i="2"/>
  <c r="G409" i="2"/>
  <c r="E409" i="2"/>
  <c r="P409" i="2"/>
  <c r="O409" i="2"/>
  <c r="H409" i="2"/>
  <c r="I409" i="2"/>
  <c r="N409" i="2"/>
  <c r="K410" i="2"/>
  <c r="J410" i="2"/>
  <c r="L410" i="2"/>
  <c r="F409" i="2"/>
  <c r="D409" i="2"/>
  <c r="G410" i="2"/>
  <c r="E410" i="2"/>
  <c r="P410" i="2"/>
  <c r="O410" i="2"/>
  <c r="H410" i="2"/>
  <c r="I410" i="2"/>
  <c r="N410" i="2"/>
  <c r="K411" i="2"/>
  <c r="J411" i="2"/>
  <c r="L411" i="2"/>
  <c r="F410" i="2"/>
  <c r="D410" i="2"/>
  <c r="G411" i="2"/>
  <c r="E411" i="2"/>
  <c r="P411" i="2"/>
  <c r="O411" i="2"/>
  <c r="H411" i="2"/>
  <c r="I411" i="2"/>
  <c r="N411" i="2"/>
  <c r="K412" i="2"/>
  <c r="J412" i="2"/>
  <c r="L412" i="2"/>
  <c r="F411" i="2"/>
  <c r="D411" i="2"/>
  <c r="G412" i="2"/>
  <c r="E412" i="2"/>
  <c r="P412" i="2"/>
  <c r="O412" i="2"/>
  <c r="H412" i="2"/>
  <c r="I412" i="2"/>
  <c r="N412" i="2"/>
  <c r="K413" i="2"/>
  <c r="J413" i="2"/>
  <c r="L413" i="2"/>
  <c r="F412" i="2"/>
  <c r="D412" i="2"/>
  <c r="G413" i="2"/>
  <c r="E413" i="2"/>
  <c r="P413" i="2"/>
  <c r="O413" i="2"/>
  <c r="H413" i="2"/>
  <c r="I413" i="2"/>
  <c r="N413" i="2"/>
  <c r="K414" i="2"/>
  <c r="J414" i="2"/>
  <c r="L414" i="2"/>
  <c r="F413" i="2"/>
  <c r="D413" i="2"/>
  <c r="G414" i="2"/>
  <c r="E414" i="2"/>
  <c r="P414" i="2"/>
  <c r="O414" i="2"/>
  <c r="H414" i="2"/>
  <c r="I414" i="2"/>
  <c r="N414" i="2"/>
  <c r="K415" i="2"/>
  <c r="J415" i="2"/>
  <c r="L415" i="2"/>
  <c r="F414" i="2"/>
  <c r="D414" i="2"/>
  <c r="G415" i="2"/>
  <c r="E415" i="2"/>
  <c r="P415" i="2"/>
  <c r="O415" i="2"/>
  <c r="H415" i="2"/>
  <c r="I415" i="2"/>
  <c r="N415" i="2"/>
  <c r="K416" i="2"/>
  <c r="J416" i="2"/>
  <c r="L416" i="2"/>
  <c r="F415" i="2"/>
  <c r="D415" i="2"/>
  <c r="G416" i="2"/>
  <c r="E416" i="2"/>
  <c r="P416" i="2"/>
  <c r="O416" i="2"/>
  <c r="H416" i="2"/>
  <c r="I416" i="2"/>
  <c r="N416" i="2"/>
  <c r="K417" i="2"/>
  <c r="J417" i="2"/>
  <c r="L417" i="2"/>
  <c r="F416" i="2"/>
  <c r="D416" i="2"/>
  <c r="G417" i="2"/>
  <c r="E417" i="2"/>
  <c r="P417" i="2"/>
  <c r="O417" i="2"/>
  <c r="H417" i="2"/>
  <c r="I417" i="2"/>
  <c r="N417" i="2"/>
  <c r="K418" i="2"/>
  <c r="J418" i="2"/>
  <c r="L418" i="2"/>
  <c r="F417" i="2"/>
  <c r="D417" i="2"/>
  <c r="G418" i="2"/>
  <c r="E418" i="2"/>
  <c r="P418" i="2"/>
  <c r="O418" i="2"/>
  <c r="H418" i="2"/>
  <c r="I418" i="2"/>
  <c r="N418" i="2"/>
  <c r="K419" i="2"/>
  <c r="J419" i="2"/>
  <c r="L419" i="2"/>
  <c r="F418" i="2"/>
  <c r="D418" i="2"/>
  <c r="G419" i="2"/>
  <c r="E419" i="2"/>
  <c r="P419" i="2"/>
  <c r="O419" i="2"/>
  <c r="H419" i="2"/>
  <c r="I419" i="2"/>
  <c r="N419" i="2"/>
  <c r="K420" i="2"/>
  <c r="J420" i="2"/>
  <c r="L420" i="2"/>
  <c r="F419" i="2"/>
  <c r="D419" i="2"/>
  <c r="G420" i="2"/>
  <c r="E420" i="2"/>
  <c r="P420" i="2"/>
  <c r="O420" i="2"/>
  <c r="H420" i="2"/>
  <c r="I420" i="2"/>
  <c r="N420" i="2"/>
  <c r="K421" i="2"/>
  <c r="J421" i="2"/>
  <c r="L421" i="2"/>
  <c r="F420" i="2"/>
  <c r="D420" i="2"/>
  <c r="G421" i="2"/>
  <c r="E421" i="2"/>
  <c r="P421" i="2"/>
  <c r="O421" i="2"/>
  <c r="H421" i="2"/>
  <c r="I421" i="2"/>
  <c r="N421" i="2"/>
  <c r="K422" i="2"/>
  <c r="J422" i="2"/>
  <c r="L422" i="2"/>
  <c r="F421" i="2"/>
  <c r="D421" i="2"/>
  <c r="G422" i="2"/>
  <c r="E422" i="2"/>
  <c r="P422" i="2"/>
  <c r="O422" i="2"/>
  <c r="H422" i="2"/>
  <c r="I422" i="2"/>
  <c r="N422" i="2"/>
  <c r="K423" i="2"/>
  <c r="J423" i="2"/>
  <c r="L423" i="2"/>
  <c r="F422" i="2"/>
  <c r="D422" i="2"/>
  <c r="G423" i="2"/>
  <c r="E423" i="2"/>
  <c r="P423" i="2"/>
  <c r="O423" i="2"/>
  <c r="H423" i="2"/>
  <c r="I423" i="2"/>
  <c r="N423" i="2"/>
  <c r="K424" i="2"/>
  <c r="J424" i="2"/>
  <c r="L424" i="2"/>
  <c r="F423" i="2"/>
  <c r="D423" i="2"/>
  <c r="G424" i="2"/>
  <c r="E424" i="2"/>
  <c r="P424" i="2"/>
  <c r="O424" i="2"/>
  <c r="H424" i="2"/>
  <c r="I424" i="2"/>
  <c r="N424" i="2"/>
  <c r="K425" i="2"/>
  <c r="J425" i="2"/>
  <c r="L425" i="2"/>
  <c r="F424" i="2"/>
  <c r="D424" i="2"/>
  <c r="G425" i="2"/>
  <c r="E425" i="2"/>
  <c r="P425" i="2"/>
  <c r="O425" i="2"/>
  <c r="H425" i="2"/>
  <c r="I425" i="2"/>
  <c r="N425" i="2"/>
  <c r="K426" i="2"/>
  <c r="J426" i="2"/>
  <c r="L426" i="2"/>
  <c r="F425" i="2"/>
  <c r="D425" i="2"/>
  <c r="G426" i="2"/>
  <c r="E426" i="2"/>
  <c r="P426" i="2"/>
  <c r="O426" i="2"/>
  <c r="H426" i="2"/>
  <c r="I426" i="2"/>
  <c r="N426" i="2"/>
  <c r="K427" i="2"/>
  <c r="J427" i="2"/>
  <c r="L427" i="2"/>
  <c r="F426" i="2"/>
  <c r="D426" i="2"/>
  <c r="G427" i="2"/>
  <c r="E427" i="2"/>
  <c r="P427" i="2"/>
  <c r="O427" i="2"/>
  <c r="H427" i="2"/>
  <c r="I427" i="2"/>
  <c r="N427" i="2"/>
  <c r="K428" i="2"/>
  <c r="J428" i="2"/>
  <c r="L428" i="2"/>
  <c r="F427" i="2"/>
  <c r="D427" i="2"/>
  <c r="G428" i="2"/>
  <c r="E428" i="2"/>
  <c r="P428" i="2"/>
  <c r="O428" i="2"/>
  <c r="H428" i="2"/>
  <c r="I428" i="2"/>
  <c r="N428" i="2"/>
  <c r="K429" i="2"/>
  <c r="J429" i="2"/>
  <c r="L429" i="2"/>
  <c r="F428" i="2"/>
  <c r="D428" i="2"/>
  <c r="G429" i="2"/>
  <c r="E429" i="2"/>
  <c r="P429" i="2"/>
  <c r="O429" i="2"/>
  <c r="H429" i="2"/>
  <c r="I429" i="2"/>
  <c r="N429" i="2"/>
  <c r="K430" i="2"/>
  <c r="J430" i="2"/>
  <c r="L430" i="2"/>
  <c r="F429" i="2"/>
  <c r="D429" i="2"/>
  <c r="G430" i="2"/>
  <c r="E430" i="2"/>
  <c r="P430" i="2"/>
  <c r="O430" i="2"/>
  <c r="H430" i="2"/>
  <c r="I430" i="2"/>
  <c r="N430" i="2"/>
  <c r="K431" i="2"/>
  <c r="J431" i="2"/>
  <c r="L431" i="2"/>
  <c r="F430" i="2"/>
  <c r="D430" i="2"/>
  <c r="G431" i="2"/>
  <c r="E431" i="2"/>
  <c r="P431" i="2"/>
  <c r="O431" i="2"/>
  <c r="H431" i="2"/>
  <c r="I431" i="2"/>
  <c r="N431" i="2"/>
  <c r="K432" i="2"/>
  <c r="J432" i="2"/>
  <c r="L432" i="2"/>
  <c r="F431" i="2"/>
  <c r="D431" i="2"/>
  <c r="G432" i="2"/>
  <c r="E432" i="2"/>
  <c r="P432" i="2"/>
  <c r="O432" i="2"/>
  <c r="H432" i="2"/>
  <c r="I432" i="2"/>
  <c r="N432" i="2"/>
  <c r="K433" i="2"/>
  <c r="J433" i="2"/>
  <c r="L433" i="2"/>
  <c r="F432" i="2"/>
  <c r="D432" i="2"/>
  <c r="G433" i="2"/>
  <c r="E433" i="2"/>
  <c r="P433" i="2"/>
  <c r="O433" i="2"/>
  <c r="H433" i="2"/>
  <c r="I433" i="2"/>
  <c r="N433" i="2"/>
  <c r="K434" i="2"/>
  <c r="J434" i="2"/>
  <c r="L434" i="2"/>
  <c r="F433" i="2"/>
  <c r="D433" i="2"/>
  <c r="G434" i="2"/>
  <c r="E434" i="2"/>
  <c r="P434" i="2"/>
  <c r="O434" i="2"/>
  <c r="H434" i="2"/>
  <c r="I434" i="2"/>
  <c r="N434" i="2"/>
  <c r="K435" i="2"/>
  <c r="J435" i="2"/>
  <c r="L435" i="2"/>
  <c r="F434" i="2"/>
  <c r="D434" i="2"/>
  <c r="G435" i="2"/>
  <c r="E435" i="2"/>
  <c r="P435" i="2"/>
  <c r="O435" i="2"/>
  <c r="H435" i="2"/>
  <c r="I435" i="2"/>
  <c r="N435" i="2"/>
  <c r="K436" i="2"/>
  <c r="J436" i="2"/>
  <c r="L436" i="2"/>
  <c r="F435" i="2"/>
  <c r="D435" i="2"/>
  <c r="G436" i="2"/>
  <c r="E436" i="2"/>
  <c r="P436" i="2"/>
  <c r="O436" i="2"/>
  <c r="H436" i="2"/>
  <c r="I436" i="2"/>
  <c r="N436" i="2"/>
  <c r="K437" i="2"/>
  <c r="J437" i="2"/>
  <c r="L437" i="2"/>
  <c r="F436" i="2"/>
  <c r="D436" i="2"/>
  <c r="G437" i="2"/>
  <c r="E437" i="2"/>
  <c r="P437" i="2"/>
  <c r="O437" i="2"/>
  <c r="H437" i="2"/>
  <c r="I437" i="2"/>
  <c r="N437" i="2"/>
  <c r="K438" i="2"/>
  <c r="J438" i="2"/>
  <c r="L438" i="2"/>
  <c r="F437" i="2"/>
  <c r="D437" i="2"/>
  <c r="G438" i="2"/>
  <c r="E438" i="2"/>
  <c r="P438" i="2"/>
  <c r="O438" i="2"/>
  <c r="H438" i="2"/>
  <c r="I438" i="2"/>
  <c r="N438" i="2"/>
  <c r="K439" i="2"/>
  <c r="J439" i="2"/>
  <c r="L439" i="2"/>
  <c r="F438" i="2"/>
  <c r="D438" i="2"/>
  <c r="G439" i="2"/>
  <c r="E439" i="2"/>
  <c r="P439" i="2"/>
  <c r="O439" i="2"/>
  <c r="H439" i="2"/>
  <c r="I439" i="2"/>
  <c r="N439" i="2"/>
  <c r="K440" i="2"/>
  <c r="J440" i="2"/>
  <c r="L440" i="2"/>
  <c r="F439" i="2"/>
  <c r="D439" i="2"/>
  <c r="G440" i="2"/>
  <c r="E440" i="2"/>
  <c r="P440" i="2"/>
  <c r="O440" i="2"/>
  <c r="H440" i="2"/>
  <c r="I440" i="2"/>
  <c r="N440" i="2"/>
  <c r="K441" i="2"/>
  <c r="J441" i="2"/>
  <c r="L441" i="2"/>
  <c r="F440" i="2"/>
  <c r="D440" i="2"/>
  <c r="G441" i="2"/>
  <c r="E441" i="2"/>
  <c r="P441" i="2"/>
  <c r="O441" i="2"/>
  <c r="H441" i="2"/>
  <c r="I441" i="2"/>
  <c r="N441" i="2"/>
  <c r="K442" i="2"/>
  <c r="J442" i="2"/>
  <c r="L442" i="2"/>
  <c r="F441" i="2"/>
  <c r="D441" i="2"/>
  <c r="G442" i="2"/>
  <c r="E442" i="2"/>
  <c r="P442" i="2"/>
  <c r="O442" i="2"/>
  <c r="H442" i="2"/>
  <c r="I442" i="2"/>
  <c r="N442" i="2"/>
  <c r="K443" i="2"/>
  <c r="J443" i="2"/>
  <c r="L443" i="2"/>
  <c r="F442" i="2"/>
  <c r="D442" i="2"/>
  <c r="G443" i="2"/>
  <c r="E443" i="2"/>
  <c r="P443" i="2"/>
  <c r="O443" i="2"/>
  <c r="H443" i="2"/>
  <c r="I443" i="2"/>
  <c r="N443" i="2"/>
  <c r="K444" i="2"/>
  <c r="J444" i="2"/>
  <c r="L444" i="2"/>
  <c r="F443" i="2"/>
  <c r="D443" i="2"/>
  <c r="G444" i="2"/>
  <c r="E444" i="2"/>
  <c r="P444" i="2"/>
  <c r="O444" i="2"/>
  <c r="H444" i="2"/>
  <c r="I444" i="2"/>
  <c r="N444" i="2"/>
  <c r="K445" i="2"/>
  <c r="J445" i="2"/>
  <c r="L445" i="2"/>
  <c r="F444" i="2"/>
  <c r="D444" i="2"/>
  <c r="G445" i="2"/>
  <c r="E445" i="2"/>
  <c r="P445" i="2"/>
  <c r="O445" i="2"/>
  <c r="H445" i="2"/>
  <c r="I445" i="2"/>
  <c r="N445" i="2"/>
  <c r="K446" i="2"/>
  <c r="J446" i="2"/>
  <c r="L446" i="2"/>
  <c r="F445" i="2"/>
  <c r="D445" i="2"/>
  <c r="G446" i="2"/>
  <c r="E446" i="2"/>
  <c r="P446" i="2"/>
  <c r="O446" i="2"/>
  <c r="H446" i="2"/>
  <c r="I446" i="2"/>
  <c r="N446" i="2"/>
  <c r="K447" i="2"/>
  <c r="J447" i="2"/>
  <c r="L447" i="2"/>
  <c r="F446" i="2"/>
  <c r="D446" i="2"/>
  <c r="G447" i="2"/>
  <c r="E447" i="2"/>
  <c r="P447" i="2"/>
  <c r="O447" i="2"/>
  <c r="H447" i="2"/>
  <c r="I447" i="2"/>
  <c r="N447" i="2"/>
  <c r="K448" i="2"/>
  <c r="J448" i="2"/>
  <c r="L448" i="2"/>
  <c r="F447" i="2"/>
  <c r="D447" i="2"/>
  <c r="G448" i="2"/>
  <c r="E448" i="2"/>
  <c r="P448" i="2"/>
  <c r="O448" i="2"/>
  <c r="H448" i="2"/>
  <c r="I448" i="2"/>
  <c r="N448" i="2"/>
  <c r="K449" i="2"/>
  <c r="J449" i="2"/>
  <c r="L449" i="2"/>
  <c r="F448" i="2"/>
  <c r="D448" i="2"/>
  <c r="G449" i="2"/>
  <c r="E449" i="2"/>
  <c r="P449" i="2"/>
  <c r="O449" i="2"/>
  <c r="H449" i="2"/>
  <c r="I449" i="2"/>
  <c r="N449" i="2"/>
  <c r="K450" i="2"/>
  <c r="J450" i="2"/>
  <c r="L450" i="2"/>
  <c r="F449" i="2"/>
  <c r="D449" i="2"/>
  <c r="G450" i="2"/>
  <c r="E450" i="2"/>
  <c r="P450" i="2"/>
  <c r="O450" i="2"/>
  <c r="H450" i="2"/>
  <c r="I450" i="2"/>
  <c r="N450" i="2"/>
  <c r="K451" i="2"/>
  <c r="J451" i="2"/>
  <c r="L451" i="2"/>
  <c r="F450" i="2"/>
  <c r="D450" i="2"/>
  <c r="G451" i="2"/>
  <c r="E451" i="2"/>
  <c r="P451" i="2"/>
  <c r="O451" i="2"/>
  <c r="H451" i="2"/>
  <c r="I451" i="2"/>
  <c r="N451" i="2"/>
  <c r="K452" i="2"/>
  <c r="J452" i="2"/>
  <c r="L452" i="2"/>
  <c r="F451" i="2"/>
  <c r="D451" i="2"/>
  <c r="G452" i="2"/>
  <c r="E452" i="2"/>
  <c r="P452" i="2"/>
  <c r="O452" i="2"/>
  <c r="H452" i="2"/>
  <c r="I452" i="2"/>
  <c r="N452" i="2"/>
  <c r="K453" i="2"/>
  <c r="J453" i="2"/>
  <c r="L453" i="2"/>
  <c r="F452" i="2"/>
  <c r="D452" i="2"/>
  <c r="G453" i="2"/>
  <c r="E453" i="2"/>
  <c r="P453" i="2"/>
  <c r="O453" i="2"/>
  <c r="H453" i="2"/>
  <c r="I453" i="2"/>
  <c r="N453" i="2"/>
  <c r="K454" i="2"/>
  <c r="J454" i="2"/>
  <c r="L454" i="2"/>
  <c r="F453" i="2"/>
  <c r="D453" i="2"/>
  <c r="G454" i="2"/>
  <c r="E454" i="2"/>
  <c r="P454" i="2"/>
  <c r="O454" i="2"/>
  <c r="H454" i="2"/>
  <c r="I454" i="2"/>
  <c r="N454" i="2"/>
  <c r="K455" i="2"/>
  <c r="J455" i="2"/>
  <c r="L455" i="2"/>
  <c r="F454" i="2"/>
  <c r="D454" i="2"/>
  <c r="G455" i="2"/>
  <c r="E455" i="2"/>
  <c r="P455" i="2"/>
  <c r="O455" i="2"/>
  <c r="H455" i="2"/>
  <c r="I455" i="2"/>
  <c r="N455" i="2"/>
  <c r="K456" i="2"/>
  <c r="J456" i="2"/>
  <c r="L456" i="2"/>
  <c r="F455" i="2"/>
  <c r="D455" i="2"/>
  <c r="G456" i="2"/>
  <c r="E456" i="2"/>
  <c r="P456" i="2"/>
  <c r="O456" i="2"/>
  <c r="H456" i="2"/>
  <c r="I456" i="2"/>
  <c r="N456" i="2"/>
  <c r="K457" i="2"/>
  <c r="J457" i="2"/>
  <c r="L457" i="2"/>
  <c r="F456" i="2"/>
  <c r="D456" i="2"/>
  <c r="G457" i="2"/>
  <c r="E457" i="2"/>
  <c r="P457" i="2"/>
  <c r="O457" i="2"/>
  <c r="H457" i="2"/>
  <c r="I457" i="2"/>
  <c r="N457" i="2"/>
  <c r="K458" i="2"/>
  <c r="J458" i="2"/>
  <c r="L458" i="2"/>
  <c r="F457" i="2"/>
  <c r="D457" i="2"/>
  <c r="G458" i="2"/>
  <c r="E458" i="2"/>
  <c r="P458" i="2"/>
  <c r="O458" i="2"/>
  <c r="H458" i="2"/>
  <c r="I458" i="2"/>
  <c r="N458" i="2"/>
  <c r="K459" i="2"/>
  <c r="J459" i="2"/>
  <c r="L459" i="2"/>
  <c r="F458" i="2"/>
  <c r="D458" i="2"/>
  <c r="G459" i="2"/>
  <c r="E459" i="2"/>
  <c r="P459" i="2"/>
  <c r="O459" i="2"/>
  <c r="H459" i="2"/>
  <c r="I459" i="2"/>
  <c r="N459" i="2"/>
  <c r="K460" i="2"/>
  <c r="J460" i="2"/>
  <c r="L460" i="2"/>
  <c r="F459" i="2"/>
  <c r="D459" i="2"/>
  <c r="G460" i="2"/>
  <c r="E460" i="2"/>
  <c r="P460" i="2"/>
  <c r="O460" i="2"/>
  <c r="H460" i="2"/>
  <c r="I460" i="2"/>
  <c r="N460" i="2"/>
  <c r="K461" i="2"/>
  <c r="J461" i="2"/>
  <c r="L461" i="2"/>
  <c r="F460" i="2"/>
  <c r="D460" i="2"/>
  <c r="G461" i="2"/>
  <c r="E461" i="2"/>
  <c r="P461" i="2"/>
  <c r="O461" i="2"/>
  <c r="H461" i="2"/>
  <c r="I461" i="2"/>
  <c r="N461" i="2"/>
  <c r="K462" i="2"/>
  <c r="J462" i="2"/>
  <c r="L462" i="2"/>
  <c r="F461" i="2"/>
  <c r="D461" i="2"/>
  <c r="G462" i="2"/>
  <c r="E462" i="2"/>
  <c r="P462" i="2"/>
  <c r="O462" i="2"/>
  <c r="H462" i="2"/>
  <c r="I462" i="2"/>
  <c r="N462" i="2"/>
  <c r="K463" i="2"/>
  <c r="J463" i="2"/>
  <c r="L463" i="2"/>
  <c r="F462" i="2"/>
  <c r="D462" i="2"/>
  <c r="G463" i="2"/>
  <c r="E463" i="2"/>
  <c r="P463" i="2"/>
  <c r="O463" i="2"/>
  <c r="H463" i="2"/>
  <c r="I463" i="2"/>
  <c r="N463" i="2"/>
  <c r="K464" i="2"/>
  <c r="J464" i="2"/>
  <c r="L464" i="2"/>
  <c r="F463" i="2"/>
  <c r="D463" i="2"/>
  <c r="G464" i="2"/>
  <c r="E464" i="2"/>
  <c r="P464" i="2"/>
  <c r="O464" i="2"/>
  <c r="H464" i="2"/>
  <c r="I464" i="2"/>
  <c r="N464" i="2"/>
  <c r="K465" i="2"/>
  <c r="J465" i="2"/>
  <c r="L465" i="2"/>
  <c r="F464" i="2"/>
  <c r="D464" i="2"/>
  <c r="G465" i="2"/>
  <c r="E465" i="2"/>
  <c r="P465" i="2"/>
  <c r="O465" i="2"/>
  <c r="H465" i="2"/>
  <c r="I465" i="2"/>
  <c r="N465" i="2"/>
  <c r="K466" i="2"/>
  <c r="J466" i="2"/>
  <c r="L466" i="2"/>
  <c r="F465" i="2"/>
  <c r="D465" i="2"/>
  <c r="G466" i="2"/>
  <c r="E466" i="2"/>
  <c r="P466" i="2"/>
  <c r="O466" i="2"/>
  <c r="H466" i="2"/>
  <c r="I466" i="2"/>
  <c r="N466" i="2"/>
  <c r="K467" i="2"/>
  <c r="J467" i="2"/>
  <c r="L467" i="2"/>
  <c r="F466" i="2"/>
  <c r="D466" i="2"/>
  <c r="G467" i="2"/>
  <c r="E467" i="2"/>
  <c r="P467" i="2"/>
  <c r="O467" i="2"/>
  <c r="H467" i="2"/>
  <c r="I467" i="2"/>
  <c r="N467" i="2"/>
  <c r="K468" i="2"/>
  <c r="J468" i="2"/>
  <c r="L468" i="2"/>
  <c r="F467" i="2"/>
  <c r="D467" i="2"/>
  <c r="G468" i="2"/>
  <c r="E468" i="2"/>
  <c r="P468" i="2"/>
  <c r="O468" i="2"/>
  <c r="H468" i="2"/>
  <c r="I468" i="2"/>
  <c r="N468" i="2"/>
  <c r="K469" i="2"/>
  <c r="J469" i="2"/>
  <c r="L469" i="2"/>
  <c r="F468" i="2"/>
  <c r="D468" i="2"/>
  <c r="G469" i="2"/>
  <c r="E469" i="2"/>
  <c r="P469" i="2"/>
  <c r="O469" i="2"/>
  <c r="H469" i="2"/>
  <c r="I469" i="2"/>
  <c r="N469" i="2"/>
  <c r="K470" i="2"/>
  <c r="J470" i="2"/>
  <c r="L470" i="2"/>
  <c r="F469" i="2"/>
  <c r="D469" i="2"/>
  <c r="G470" i="2"/>
  <c r="E470" i="2"/>
  <c r="P470" i="2"/>
  <c r="O470" i="2"/>
  <c r="H470" i="2"/>
  <c r="I470" i="2"/>
  <c r="N470" i="2"/>
  <c r="K471" i="2"/>
  <c r="J471" i="2"/>
  <c r="L471" i="2"/>
  <c r="F470" i="2"/>
  <c r="D470" i="2"/>
  <c r="G471" i="2"/>
  <c r="E471" i="2"/>
  <c r="P471" i="2"/>
  <c r="O471" i="2"/>
  <c r="H471" i="2"/>
  <c r="I471" i="2"/>
  <c r="N471" i="2"/>
  <c r="K472" i="2"/>
  <c r="J472" i="2"/>
  <c r="L472" i="2"/>
  <c r="F471" i="2"/>
  <c r="D471" i="2"/>
  <c r="G472" i="2"/>
  <c r="E472" i="2"/>
  <c r="P472" i="2"/>
  <c r="O472" i="2"/>
  <c r="H472" i="2"/>
  <c r="I472" i="2"/>
  <c r="N472" i="2"/>
  <c r="K473" i="2"/>
  <c r="J473" i="2"/>
  <c r="L473" i="2"/>
  <c r="F472" i="2"/>
  <c r="D472" i="2"/>
  <c r="G473" i="2"/>
  <c r="E473" i="2"/>
  <c r="P473" i="2"/>
  <c r="O473" i="2"/>
  <c r="H473" i="2"/>
  <c r="I473" i="2"/>
  <c r="N473" i="2"/>
  <c r="K474" i="2"/>
  <c r="J474" i="2"/>
  <c r="L474" i="2"/>
  <c r="F473" i="2"/>
  <c r="D473" i="2"/>
  <c r="G474" i="2"/>
  <c r="E474" i="2"/>
  <c r="P474" i="2"/>
  <c r="O474" i="2"/>
  <c r="H474" i="2"/>
  <c r="I474" i="2"/>
  <c r="N474" i="2"/>
  <c r="K475" i="2"/>
  <c r="J475" i="2"/>
  <c r="L475" i="2"/>
  <c r="F474" i="2"/>
  <c r="D474" i="2"/>
  <c r="G475" i="2"/>
  <c r="E475" i="2"/>
  <c r="P475" i="2"/>
  <c r="O475" i="2"/>
  <c r="H475" i="2"/>
  <c r="I475" i="2"/>
  <c r="N475" i="2"/>
  <c r="K476" i="2"/>
  <c r="J476" i="2"/>
  <c r="L476" i="2"/>
  <c r="F475" i="2"/>
  <c r="D475" i="2"/>
  <c r="G476" i="2"/>
  <c r="E476" i="2"/>
  <c r="P476" i="2"/>
  <c r="O476" i="2"/>
  <c r="H476" i="2"/>
  <c r="I476" i="2"/>
  <c r="N476" i="2"/>
  <c r="K477" i="2"/>
  <c r="J477" i="2"/>
  <c r="L477" i="2"/>
  <c r="F476" i="2"/>
  <c r="D476" i="2"/>
  <c r="G477" i="2"/>
  <c r="E477" i="2"/>
  <c r="P477" i="2"/>
  <c r="O477" i="2"/>
  <c r="H477" i="2"/>
  <c r="I477" i="2"/>
  <c r="N477" i="2"/>
  <c r="K478" i="2"/>
  <c r="J478" i="2"/>
  <c r="L478" i="2"/>
  <c r="F477" i="2"/>
  <c r="D477" i="2"/>
  <c r="G478" i="2"/>
  <c r="E478" i="2"/>
  <c r="P478" i="2"/>
  <c r="O478" i="2"/>
  <c r="H478" i="2"/>
  <c r="I478" i="2"/>
  <c r="N478" i="2"/>
  <c r="K479" i="2"/>
  <c r="J479" i="2"/>
  <c r="L479" i="2"/>
  <c r="F478" i="2"/>
  <c r="D478" i="2"/>
  <c r="G479" i="2"/>
  <c r="E479" i="2"/>
  <c r="P479" i="2"/>
  <c r="O479" i="2"/>
  <c r="H479" i="2"/>
  <c r="I479" i="2"/>
  <c r="N479" i="2"/>
  <c r="K480" i="2"/>
  <c r="J480" i="2"/>
  <c r="L480" i="2"/>
  <c r="F479" i="2"/>
  <c r="D479" i="2"/>
  <c r="G480" i="2"/>
  <c r="E480" i="2"/>
  <c r="P480" i="2"/>
  <c r="O480" i="2"/>
  <c r="H480" i="2"/>
  <c r="I480" i="2"/>
  <c r="N480" i="2"/>
  <c r="K481" i="2"/>
  <c r="J481" i="2"/>
  <c r="L481" i="2"/>
  <c r="F480" i="2"/>
  <c r="D480" i="2"/>
  <c r="G481" i="2"/>
  <c r="E481" i="2"/>
  <c r="P481" i="2"/>
  <c r="O481" i="2"/>
  <c r="H481" i="2"/>
  <c r="I481" i="2"/>
  <c r="N481" i="2"/>
  <c r="K482" i="2"/>
  <c r="J482" i="2"/>
  <c r="L482" i="2"/>
  <c r="F481" i="2"/>
  <c r="D481" i="2"/>
  <c r="G482" i="2"/>
  <c r="E482" i="2"/>
  <c r="P482" i="2"/>
  <c r="O482" i="2"/>
  <c r="H482" i="2"/>
  <c r="I482" i="2"/>
  <c r="N482" i="2"/>
  <c r="K483" i="2"/>
  <c r="J483" i="2"/>
  <c r="L483" i="2"/>
  <c r="F482" i="2"/>
  <c r="D482" i="2"/>
  <c r="G483" i="2"/>
  <c r="E483" i="2"/>
  <c r="P483" i="2"/>
  <c r="O483" i="2"/>
  <c r="H483" i="2"/>
  <c r="I483" i="2"/>
  <c r="N483" i="2"/>
  <c r="K484" i="2"/>
  <c r="J484" i="2"/>
  <c r="L484" i="2"/>
  <c r="F483" i="2"/>
  <c r="D483" i="2"/>
  <c r="G484" i="2"/>
  <c r="E484" i="2"/>
  <c r="P484" i="2"/>
  <c r="O484" i="2"/>
  <c r="H484" i="2"/>
  <c r="I484" i="2"/>
  <c r="N484" i="2"/>
  <c r="K485" i="2"/>
  <c r="J485" i="2"/>
  <c r="L485" i="2"/>
  <c r="F484" i="2"/>
  <c r="D484" i="2"/>
  <c r="G485" i="2"/>
  <c r="E485" i="2"/>
  <c r="P485" i="2"/>
  <c r="O485" i="2"/>
  <c r="H485" i="2"/>
  <c r="I485" i="2"/>
  <c r="N485" i="2"/>
  <c r="K486" i="2"/>
  <c r="J486" i="2"/>
  <c r="L486" i="2"/>
  <c r="F485" i="2"/>
  <c r="D485" i="2"/>
  <c r="G486" i="2"/>
  <c r="E486" i="2"/>
  <c r="P486" i="2"/>
  <c r="O486" i="2"/>
  <c r="H486" i="2"/>
  <c r="I486" i="2"/>
  <c r="N486" i="2"/>
  <c r="K487" i="2"/>
  <c r="J487" i="2"/>
  <c r="L487" i="2"/>
  <c r="F486" i="2"/>
  <c r="D486" i="2"/>
  <c r="G487" i="2"/>
  <c r="E487" i="2"/>
  <c r="P487" i="2"/>
  <c r="O487" i="2"/>
  <c r="H487" i="2"/>
  <c r="I487" i="2"/>
  <c r="N487" i="2"/>
  <c r="K488" i="2"/>
  <c r="J488" i="2"/>
  <c r="L488" i="2"/>
  <c r="F487" i="2"/>
  <c r="D487" i="2"/>
  <c r="G488" i="2"/>
  <c r="E488" i="2"/>
  <c r="P488" i="2"/>
  <c r="O488" i="2"/>
  <c r="H488" i="2"/>
  <c r="I488" i="2"/>
  <c r="N488" i="2"/>
  <c r="K489" i="2"/>
  <c r="J489" i="2"/>
  <c r="L489" i="2"/>
  <c r="F488" i="2"/>
  <c r="D488" i="2"/>
  <c r="G489" i="2"/>
  <c r="E489" i="2"/>
  <c r="P489" i="2"/>
  <c r="O489" i="2"/>
  <c r="H489" i="2"/>
  <c r="I489" i="2"/>
  <c r="N489" i="2"/>
  <c r="K490" i="2"/>
  <c r="J490" i="2"/>
  <c r="L490" i="2"/>
  <c r="F489" i="2"/>
  <c r="D489" i="2"/>
  <c r="G490" i="2"/>
  <c r="E490" i="2"/>
  <c r="P490" i="2"/>
  <c r="O490" i="2"/>
  <c r="H490" i="2"/>
  <c r="I490" i="2"/>
  <c r="N490" i="2"/>
  <c r="K491" i="2"/>
  <c r="J491" i="2"/>
  <c r="L491" i="2"/>
  <c r="F490" i="2"/>
  <c r="D490" i="2"/>
  <c r="G491" i="2"/>
  <c r="E491" i="2"/>
  <c r="P491" i="2"/>
  <c r="O491" i="2"/>
  <c r="H491" i="2"/>
  <c r="I491" i="2"/>
  <c r="N491" i="2"/>
  <c r="K492" i="2"/>
  <c r="J492" i="2"/>
  <c r="L492" i="2"/>
  <c r="F491" i="2"/>
  <c r="D491" i="2"/>
  <c r="G492" i="2"/>
  <c r="E492" i="2"/>
  <c r="P492" i="2"/>
  <c r="O492" i="2"/>
  <c r="H492" i="2"/>
  <c r="I492" i="2"/>
  <c r="N492" i="2"/>
  <c r="K493" i="2"/>
  <c r="J493" i="2"/>
  <c r="L493" i="2"/>
  <c r="F492" i="2"/>
  <c r="D492" i="2"/>
  <c r="G493" i="2"/>
  <c r="E493" i="2"/>
  <c r="P493" i="2"/>
  <c r="O493" i="2"/>
  <c r="H493" i="2"/>
  <c r="I493" i="2"/>
  <c r="N493" i="2"/>
  <c r="K494" i="2"/>
  <c r="J494" i="2"/>
  <c r="L494" i="2"/>
  <c r="F493" i="2"/>
  <c r="D493" i="2"/>
  <c r="G494" i="2"/>
  <c r="E494" i="2"/>
  <c r="P494" i="2"/>
  <c r="O494" i="2"/>
  <c r="H494" i="2"/>
  <c r="I494" i="2"/>
  <c r="N494" i="2"/>
  <c r="K495" i="2"/>
  <c r="J495" i="2"/>
  <c r="L495" i="2"/>
  <c r="F494" i="2"/>
  <c r="D494" i="2"/>
  <c r="G495" i="2"/>
  <c r="E495" i="2"/>
  <c r="P495" i="2"/>
  <c r="O495" i="2"/>
  <c r="H495" i="2"/>
  <c r="I495" i="2"/>
  <c r="N495" i="2"/>
  <c r="K496" i="2"/>
  <c r="J496" i="2"/>
  <c r="L496" i="2"/>
  <c r="F495" i="2"/>
  <c r="D495" i="2"/>
  <c r="G496" i="2"/>
  <c r="E496" i="2"/>
  <c r="P496" i="2"/>
  <c r="O496" i="2"/>
  <c r="H496" i="2"/>
  <c r="I496" i="2"/>
  <c r="N496" i="2"/>
  <c r="K497" i="2"/>
  <c r="J497" i="2"/>
  <c r="L497" i="2"/>
  <c r="F496" i="2"/>
  <c r="D496" i="2"/>
  <c r="G497" i="2"/>
  <c r="E497" i="2"/>
  <c r="P497" i="2"/>
  <c r="O497" i="2"/>
  <c r="H497" i="2"/>
  <c r="I497" i="2"/>
  <c r="N497" i="2"/>
  <c r="K498" i="2"/>
  <c r="J498" i="2"/>
  <c r="L498" i="2"/>
  <c r="F497" i="2"/>
  <c r="D497" i="2"/>
  <c r="G498" i="2"/>
  <c r="E498" i="2"/>
  <c r="P498" i="2"/>
  <c r="O498" i="2"/>
  <c r="H498" i="2"/>
  <c r="I498" i="2"/>
  <c r="N498" i="2"/>
  <c r="K499" i="2"/>
  <c r="J499" i="2"/>
  <c r="L499" i="2"/>
  <c r="F498" i="2"/>
  <c r="D498" i="2"/>
  <c r="G499" i="2"/>
  <c r="E499" i="2"/>
  <c r="P499" i="2"/>
  <c r="O499" i="2"/>
  <c r="H499" i="2"/>
  <c r="I499" i="2"/>
  <c r="N499" i="2"/>
  <c r="K500" i="2"/>
  <c r="J500" i="2"/>
  <c r="L500" i="2"/>
  <c r="F499" i="2"/>
  <c r="D499" i="2"/>
  <c r="G500" i="2"/>
  <c r="E500" i="2"/>
  <c r="P500" i="2"/>
  <c r="O500" i="2"/>
  <c r="H500" i="2"/>
  <c r="I500" i="2"/>
  <c r="N500" i="2"/>
  <c r="K501" i="2"/>
  <c r="J501" i="2"/>
  <c r="L501" i="2"/>
  <c r="F500" i="2"/>
  <c r="D500" i="2"/>
  <c r="G501" i="2"/>
  <c r="E501" i="2"/>
  <c r="P501" i="2"/>
  <c r="O501" i="2"/>
  <c r="H501" i="2"/>
  <c r="I501" i="2"/>
  <c r="N501" i="2"/>
  <c r="K502" i="2"/>
  <c r="J502" i="2"/>
  <c r="L502" i="2"/>
  <c r="F501" i="2"/>
  <c r="D501" i="2"/>
  <c r="G502" i="2"/>
  <c r="E502" i="2"/>
  <c r="P502" i="2"/>
  <c r="O502" i="2"/>
  <c r="H502" i="2"/>
  <c r="I502" i="2"/>
  <c r="N502" i="2"/>
  <c r="K503" i="2"/>
  <c r="J503" i="2"/>
  <c r="L503" i="2"/>
  <c r="F502" i="2"/>
  <c r="D502" i="2"/>
  <c r="G503" i="2"/>
  <c r="E503" i="2"/>
  <c r="P503" i="2"/>
  <c r="O503" i="2"/>
  <c r="H503" i="2"/>
  <c r="I503" i="2"/>
  <c r="N503" i="2"/>
  <c r="K504" i="2"/>
  <c r="J504" i="2"/>
  <c r="L504" i="2"/>
  <c r="F503" i="2"/>
  <c r="D503" i="2"/>
  <c r="G504" i="2"/>
  <c r="E504" i="2"/>
  <c r="P504" i="2"/>
  <c r="O504" i="2"/>
  <c r="H504" i="2"/>
  <c r="I504" i="2"/>
  <c r="N504" i="2"/>
  <c r="K505" i="2"/>
  <c r="J505" i="2"/>
  <c r="L505" i="2"/>
  <c r="F504" i="2"/>
  <c r="D504" i="2"/>
  <c r="G505" i="2"/>
  <c r="E505" i="2"/>
  <c r="P505" i="2"/>
  <c r="O505" i="2"/>
  <c r="H505" i="2"/>
  <c r="I505" i="2"/>
  <c r="N505" i="2"/>
  <c r="K506" i="2"/>
  <c r="J506" i="2"/>
  <c r="L506" i="2"/>
  <c r="F505" i="2"/>
  <c r="D505" i="2"/>
  <c r="G506" i="2"/>
  <c r="E506" i="2"/>
  <c r="P506" i="2"/>
  <c r="O506" i="2"/>
  <c r="H506" i="2"/>
  <c r="I506" i="2"/>
  <c r="N506" i="2"/>
  <c r="K507" i="2"/>
  <c r="J507" i="2"/>
  <c r="L507" i="2"/>
  <c r="F506" i="2"/>
  <c r="D506" i="2"/>
  <c r="G507" i="2"/>
  <c r="E507" i="2"/>
  <c r="P507" i="2"/>
  <c r="O507" i="2"/>
  <c r="H507" i="2"/>
  <c r="I507" i="2"/>
  <c r="N507" i="2"/>
  <c r="K508" i="2"/>
  <c r="J508" i="2"/>
  <c r="L508" i="2"/>
  <c r="F507" i="2"/>
  <c r="D507" i="2"/>
  <c r="G508" i="2"/>
  <c r="E508" i="2"/>
  <c r="P508" i="2"/>
  <c r="O508" i="2"/>
  <c r="H508" i="2"/>
  <c r="I508" i="2"/>
  <c r="N508" i="2"/>
  <c r="K509" i="2"/>
  <c r="J509" i="2"/>
  <c r="L509" i="2"/>
  <c r="F508" i="2"/>
  <c r="D508" i="2"/>
  <c r="G509" i="2"/>
  <c r="E509" i="2"/>
  <c r="P509" i="2"/>
  <c r="O509" i="2"/>
  <c r="H509" i="2"/>
  <c r="I509" i="2"/>
  <c r="N509" i="2"/>
  <c r="K510" i="2"/>
  <c r="J510" i="2"/>
  <c r="L510" i="2"/>
  <c r="F509" i="2"/>
  <c r="D509" i="2"/>
  <c r="G510" i="2"/>
  <c r="E510" i="2"/>
  <c r="P510" i="2"/>
  <c r="O510" i="2"/>
  <c r="H510" i="2"/>
  <c r="I510" i="2"/>
  <c r="N510" i="2"/>
  <c r="K511" i="2"/>
  <c r="J511" i="2"/>
  <c r="L511" i="2"/>
  <c r="F510" i="2"/>
  <c r="D510" i="2"/>
  <c r="G511" i="2"/>
  <c r="E511" i="2"/>
  <c r="P511" i="2"/>
  <c r="O511" i="2"/>
  <c r="H511" i="2"/>
  <c r="I511" i="2"/>
  <c r="N511" i="2"/>
  <c r="K512" i="2"/>
  <c r="J512" i="2"/>
  <c r="L512" i="2"/>
  <c r="F511" i="2"/>
  <c r="D511" i="2"/>
  <c r="G512" i="2"/>
  <c r="E512" i="2"/>
  <c r="P512" i="2"/>
  <c r="O512" i="2"/>
  <c r="H512" i="2"/>
  <c r="I512" i="2"/>
  <c r="N512" i="2"/>
  <c r="K513" i="2"/>
  <c r="J513" i="2"/>
  <c r="L513" i="2"/>
  <c r="F512" i="2"/>
  <c r="D512" i="2"/>
  <c r="G513" i="2"/>
  <c r="E513" i="2"/>
  <c r="P513" i="2"/>
  <c r="O513" i="2"/>
  <c r="H513" i="2"/>
  <c r="I513" i="2"/>
  <c r="N513" i="2"/>
  <c r="K514" i="2"/>
  <c r="J514" i="2"/>
  <c r="L514" i="2"/>
  <c r="F513" i="2"/>
  <c r="D513" i="2"/>
  <c r="G514" i="2"/>
  <c r="E514" i="2"/>
  <c r="P514" i="2"/>
  <c r="O514" i="2"/>
  <c r="H514" i="2"/>
  <c r="I514" i="2"/>
  <c r="N514" i="2"/>
  <c r="K515" i="2"/>
  <c r="J515" i="2"/>
  <c r="L515" i="2"/>
  <c r="F514" i="2"/>
  <c r="D514" i="2"/>
  <c r="G515" i="2"/>
  <c r="E515" i="2"/>
  <c r="P515" i="2"/>
  <c r="O515" i="2"/>
  <c r="H515" i="2"/>
  <c r="I515" i="2"/>
  <c r="N515" i="2"/>
  <c r="K516" i="2"/>
  <c r="J516" i="2"/>
  <c r="L516" i="2"/>
  <c r="F515" i="2"/>
  <c r="D515" i="2"/>
  <c r="G516" i="2"/>
  <c r="E516" i="2"/>
  <c r="P516" i="2"/>
  <c r="O516" i="2"/>
  <c r="H516" i="2"/>
  <c r="I516" i="2"/>
  <c r="N516" i="2"/>
  <c r="K517" i="2"/>
  <c r="J517" i="2"/>
  <c r="L517" i="2"/>
  <c r="F516" i="2"/>
  <c r="D516" i="2"/>
  <c r="G517" i="2"/>
  <c r="E517" i="2"/>
  <c r="P517" i="2"/>
  <c r="O517" i="2"/>
  <c r="H517" i="2"/>
  <c r="I517" i="2"/>
  <c r="N517" i="2"/>
  <c r="K518" i="2"/>
  <c r="J518" i="2"/>
  <c r="L518" i="2"/>
  <c r="F517" i="2"/>
  <c r="D517" i="2"/>
  <c r="G518" i="2"/>
  <c r="E518" i="2"/>
  <c r="P518" i="2"/>
  <c r="O518" i="2"/>
  <c r="H518" i="2"/>
  <c r="I518" i="2"/>
  <c r="N518" i="2"/>
  <c r="K519" i="2"/>
  <c r="J519" i="2"/>
  <c r="L519" i="2"/>
  <c r="F518" i="2"/>
  <c r="D518" i="2"/>
  <c r="G519" i="2"/>
  <c r="E519" i="2"/>
  <c r="P519" i="2"/>
  <c r="O519" i="2"/>
  <c r="H519" i="2"/>
  <c r="I519" i="2"/>
  <c r="N519" i="2"/>
  <c r="K520" i="2"/>
  <c r="J520" i="2"/>
  <c r="L520" i="2"/>
  <c r="F519" i="2"/>
  <c r="D519" i="2"/>
  <c r="G520" i="2"/>
  <c r="E520" i="2"/>
  <c r="P520" i="2"/>
  <c r="O520" i="2"/>
  <c r="H520" i="2"/>
  <c r="I520" i="2"/>
  <c r="N520" i="2"/>
  <c r="K521" i="2"/>
  <c r="J521" i="2"/>
  <c r="L521" i="2"/>
  <c r="F520" i="2"/>
  <c r="D520" i="2"/>
  <c r="G521" i="2"/>
  <c r="E521" i="2"/>
  <c r="P521" i="2"/>
  <c r="O521" i="2"/>
  <c r="H521" i="2"/>
  <c r="I521" i="2"/>
  <c r="N521" i="2"/>
  <c r="K522" i="2"/>
  <c r="J522" i="2"/>
  <c r="L522" i="2"/>
  <c r="F521" i="2"/>
  <c r="D521" i="2"/>
  <c r="G522" i="2"/>
  <c r="E522" i="2"/>
  <c r="P522" i="2"/>
  <c r="O522" i="2"/>
  <c r="H522" i="2"/>
  <c r="I522" i="2"/>
  <c r="N522" i="2"/>
  <c r="K523" i="2"/>
  <c r="J523" i="2"/>
  <c r="L523" i="2"/>
  <c r="F522" i="2"/>
  <c r="D522" i="2"/>
  <c r="G523" i="2"/>
  <c r="E523" i="2"/>
  <c r="P523" i="2"/>
  <c r="O523" i="2"/>
  <c r="H523" i="2"/>
  <c r="I523" i="2"/>
  <c r="N523" i="2"/>
  <c r="K524" i="2"/>
  <c r="J524" i="2"/>
  <c r="L524" i="2"/>
  <c r="F523" i="2"/>
  <c r="D523" i="2"/>
  <c r="G524" i="2"/>
  <c r="E524" i="2"/>
  <c r="P524" i="2"/>
  <c r="O524" i="2"/>
  <c r="H524" i="2"/>
  <c r="I524" i="2"/>
  <c r="N524" i="2"/>
  <c r="K525" i="2"/>
  <c r="J525" i="2"/>
  <c r="L525" i="2"/>
  <c r="F524" i="2"/>
  <c r="D524" i="2"/>
  <c r="G525" i="2"/>
  <c r="E525" i="2"/>
  <c r="P525" i="2"/>
  <c r="O525" i="2"/>
  <c r="H525" i="2"/>
  <c r="I525" i="2"/>
  <c r="N525" i="2"/>
  <c r="K526" i="2"/>
  <c r="J526" i="2"/>
  <c r="L526" i="2"/>
  <c r="F525" i="2"/>
  <c r="D525" i="2"/>
  <c r="G526" i="2"/>
  <c r="E526" i="2"/>
  <c r="P526" i="2"/>
  <c r="O526" i="2"/>
  <c r="H526" i="2"/>
  <c r="I526" i="2"/>
  <c r="N526" i="2"/>
  <c r="K527" i="2"/>
  <c r="J527" i="2"/>
  <c r="L527" i="2"/>
  <c r="F526" i="2"/>
  <c r="D526" i="2"/>
  <c r="G527" i="2"/>
  <c r="E527" i="2"/>
  <c r="P527" i="2"/>
  <c r="O527" i="2"/>
  <c r="H527" i="2"/>
  <c r="I527" i="2"/>
  <c r="N527" i="2"/>
  <c r="K528" i="2"/>
  <c r="J528" i="2"/>
  <c r="L528" i="2"/>
  <c r="F527" i="2"/>
  <c r="D527" i="2"/>
  <c r="G528" i="2"/>
  <c r="E528" i="2"/>
  <c r="P528" i="2"/>
  <c r="O528" i="2"/>
  <c r="H528" i="2"/>
  <c r="I528" i="2"/>
  <c r="N528" i="2"/>
  <c r="K529" i="2"/>
  <c r="J529" i="2"/>
  <c r="L529" i="2"/>
  <c r="F528" i="2"/>
  <c r="D528" i="2"/>
  <c r="G529" i="2"/>
  <c r="E529" i="2"/>
  <c r="P529" i="2"/>
  <c r="O529" i="2"/>
  <c r="H529" i="2"/>
  <c r="I529" i="2"/>
  <c r="N529" i="2"/>
  <c r="K530" i="2"/>
  <c r="J530" i="2"/>
  <c r="L530" i="2"/>
  <c r="F529" i="2"/>
  <c r="D529" i="2"/>
  <c r="G530" i="2"/>
  <c r="E530" i="2"/>
  <c r="P530" i="2"/>
  <c r="O530" i="2"/>
  <c r="H530" i="2"/>
  <c r="I530" i="2"/>
  <c r="N530" i="2"/>
  <c r="K531" i="2"/>
  <c r="J531" i="2"/>
  <c r="L531" i="2"/>
  <c r="F530" i="2"/>
  <c r="D530" i="2"/>
  <c r="G531" i="2"/>
  <c r="E531" i="2"/>
  <c r="P531" i="2"/>
  <c r="O531" i="2"/>
  <c r="H531" i="2"/>
  <c r="I531" i="2"/>
  <c r="N531" i="2"/>
  <c r="K532" i="2"/>
  <c r="J532" i="2"/>
  <c r="L532" i="2"/>
  <c r="F531" i="2"/>
  <c r="D531" i="2"/>
  <c r="G532" i="2"/>
  <c r="E532" i="2"/>
  <c r="P532" i="2"/>
  <c r="O532" i="2"/>
  <c r="H532" i="2"/>
  <c r="I532" i="2"/>
  <c r="N532" i="2"/>
  <c r="K533" i="2"/>
  <c r="J533" i="2"/>
  <c r="L533" i="2"/>
  <c r="F532" i="2"/>
  <c r="D532" i="2"/>
  <c r="G533" i="2"/>
  <c r="E533" i="2"/>
  <c r="P533" i="2"/>
  <c r="O533" i="2"/>
  <c r="H533" i="2"/>
  <c r="I533" i="2"/>
  <c r="N533" i="2"/>
  <c r="K534" i="2"/>
  <c r="J534" i="2"/>
  <c r="L534" i="2"/>
  <c r="F533" i="2"/>
  <c r="D533" i="2"/>
  <c r="G534" i="2"/>
  <c r="E534" i="2"/>
  <c r="P534" i="2"/>
  <c r="O534" i="2"/>
  <c r="H534" i="2"/>
  <c r="I534" i="2"/>
  <c r="N534" i="2"/>
  <c r="K535" i="2"/>
  <c r="J535" i="2"/>
  <c r="L535" i="2"/>
  <c r="F534" i="2"/>
  <c r="D534" i="2"/>
  <c r="G535" i="2"/>
  <c r="E535" i="2"/>
  <c r="P535" i="2"/>
  <c r="O535" i="2"/>
  <c r="H535" i="2"/>
  <c r="I535" i="2"/>
  <c r="N535" i="2"/>
  <c r="K536" i="2"/>
  <c r="J536" i="2"/>
  <c r="L536" i="2"/>
  <c r="F535" i="2"/>
  <c r="D535" i="2"/>
  <c r="G536" i="2"/>
  <c r="E536" i="2"/>
  <c r="P536" i="2"/>
  <c r="O536" i="2"/>
  <c r="H536" i="2"/>
  <c r="I536" i="2"/>
  <c r="N536" i="2"/>
  <c r="K537" i="2"/>
  <c r="J537" i="2"/>
  <c r="L537" i="2"/>
  <c r="F536" i="2"/>
  <c r="D536" i="2"/>
  <c r="G537" i="2"/>
  <c r="E537" i="2"/>
  <c r="P537" i="2"/>
  <c r="O537" i="2"/>
  <c r="H537" i="2"/>
  <c r="I537" i="2"/>
  <c r="N537" i="2"/>
  <c r="K538" i="2"/>
  <c r="J538" i="2"/>
  <c r="L538" i="2"/>
  <c r="F537" i="2"/>
  <c r="D537" i="2"/>
  <c r="G538" i="2"/>
  <c r="E538" i="2"/>
  <c r="P538" i="2"/>
  <c r="O538" i="2"/>
  <c r="H538" i="2"/>
  <c r="I538" i="2"/>
  <c r="N538" i="2"/>
  <c r="K539" i="2"/>
  <c r="J539" i="2"/>
  <c r="L539" i="2"/>
  <c r="F538" i="2"/>
  <c r="D538" i="2"/>
  <c r="G539" i="2"/>
  <c r="E539" i="2"/>
  <c r="P539" i="2"/>
  <c r="O539" i="2"/>
  <c r="H539" i="2"/>
  <c r="I539" i="2"/>
  <c r="N539" i="2"/>
  <c r="K540" i="2"/>
  <c r="J540" i="2"/>
  <c r="L540" i="2"/>
  <c r="F539" i="2"/>
  <c r="D539" i="2"/>
  <c r="G540" i="2"/>
  <c r="E540" i="2"/>
  <c r="P540" i="2"/>
  <c r="O540" i="2"/>
  <c r="H540" i="2"/>
  <c r="I540" i="2"/>
  <c r="N540" i="2"/>
  <c r="K541" i="2"/>
  <c r="J541" i="2"/>
  <c r="L541" i="2"/>
  <c r="F540" i="2"/>
  <c r="D540" i="2"/>
  <c r="G541" i="2"/>
  <c r="E541" i="2"/>
  <c r="P541" i="2"/>
  <c r="O541" i="2"/>
  <c r="H541" i="2"/>
  <c r="I541" i="2"/>
  <c r="N541" i="2"/>
  <c r="K542" i="2"/>
  <c r="J542" i="2"/>
  <c r="L542" i="2"/>
  <c r="F541" i="2"/>
  <c r="D541" i="2"/>
  <c r="G542" i="2"/>
  <c r="E542" i="2"/>
  <c r="P542" i="2"/>
  <c r="O542" i="2"/>
  <c r="H542" i="2"/>
  <c r="I542" i="2"/>
  <c r="N542" i="2"/>
  <c r="K543" i="2"/>
  <c r="J543" i="2"/>
  <c r="L543" i="2"/>
  <c r="F542" i="2"/>
  <c r="D542" i="2"/>
  <c r="G543" i="2"/>
  <c r="E543" i="2"/>
  <c r="P543" i="2"/>
  <c r="O543" i="2"/>
  <c r="H543" i="2"/>
  <c r="I543" i="2"/>
  <c r="N543" i="2"/>
  <c r="K544" i="2"/>
  <c r="J544" i="2"/>
  <c r="L544" i="2"/>
  <c r="F543" i="2"/>
  <c r="D543" i="2"/>
  <c r="G544" i="2"/>
  <c r="E544" i="2"/>
  <c r="P544" i="2"/>
  <c r="O544" i="2"/>
  <c r="H544" i="2"/>
  <c r="I544" i="2"/>
  <c r="N544" i="2"/>
  <c r="K545" i="2"/>
  <c r="J545" i="2"/>
  <c r="L545" i="2"/>
  <c r="F544" i="2"/>
  <c r="D544" i="2"/>
  <c r="G545" i="2"/>
  <c r="E545" i="2"/>
  <c r="P545" i="2"/>
  <c r="O545" i="2"/>
  <c r="H545" i="2"/>
  <c r="I545" i="2"/>
  <c r="N545" i="2"/>
  <c r="K546" i="2"/>
  <c r="J546" i="2"/>
  <c r="L546" i="2"/>
  <c r="F545" i="2"/>
  <c r="D545" i="2"/>
  <c r="G546" i="2"/>
  <c r="E546" i="2"/>
  <c r="P546" i="2"/>
  <c r="O546" i="2"/>
  <c r="H546" i="2"/>
  <c r="I546" i="2"/>
  <c r="N546" i="2"/>
  <c r="K547" i="2"/>
  <c r="J547" i="2"/>
  <c r="L547" i="2"/>
  <c r="F546" i="2"/>
  <c r="D546" i="2"/>
  <c r="G547" i="2"/>
  <c r="E547" i="2"/>
  <c r="P547" i="2"/>
  <c r="O547" i="2"/>
  <c r="H547" i="2"/>
  <c r="I547" i="2"/>
  <c r="N547" i="2"/>
  <c r="K548" i="2"/>
  <c r="J548" i="2"/>
  <c r="L548" i="2"/>
  <c r="F547" i="2"/>
  <c r="D547" i="2"/>
  <c r="G548" i="2"/>
  <c r="E548" i="2"/>
  <c r="P548" i="2"/>
  <c r="O548" i="2"/>
  <c r="H548" i="2"/>
  <c r="I548" i="2"/>
  <c r="N548" i="2"/>
  <c r="K549" i="2"/>
  <c r="J549" i="2"/>
  <c r="L549" i="2"/>
  <c r="F548" i="2"/>
  <c r="D548" i="2"/>
  <c r="G549" i="2"/>
  <c r="E549" i="2"/>
  <c r="P549" i="2"/>
  <c r="O549" i="2"/>
  <c r="H549" i="2"/>
  <c r="I549" i="2"/>
  <c r="N549" i="2"/>
  <c r="K550" i="2"/>
  <c r="J550" i="2"/>
  <c r="L550" i="2"/>
  <c r="F549" i="2"/>
  <c r="D549" i="2"/>
  <c r="G550" i="2"/>
  <c r="E550" i="2"/>
  <c r="P550" i="2"/>
  <c r="O550" i="2"/>
  <c r="H550" i="2"/>
  <c r="I550" i="2"/>
  <c r="N550" i="2"/>
  <c r="K551" i="2"/>
  <c r="J551" i="2"/>
  <c r="L551" i="2"/>
  <c r="F550" i="2"/>
  <c r="D550" i="2"/>
  <c r="G551" i="2"/>
  <c r="E551" i="2"/>
  <c r="P551" i="2"/>
  <c r="O551" i="2"/>
  <c r="H551" i="2"/>
  <c r="I551" i="2"/>
  <c r="N551" i="2"/>
  <c r="K552" i="2"/>
  <c r="J552" i="2"/>
  <c r="L552" i="2"/>
  <c r="F551" i="2"/>
  <c r="D551" i="2"/>
  <c r="G552" i="2"/>
  <c r="E552" i="2"/>
  <c r="P552" i="2"/>
  <c r="O552" i="2"/>
  <c r="H552" i="2"/>
  <c r="I552" i="2"/>
  <c r="N552" i="2"/>
  <c r="K553" i="2"/>
  <c r="J553" i="2"/>
  <c r="L553" i="2"/>
  <c r="F552" i="2"/>
  <c r="D552" i="2"/>
  <c r="G553" i="2"/>
  <c r="E553" i="2"/>
  <c r="P553" i="2"/>
  <c r="O553" i="2"/>
  <c r="H553" i="2"/>
  <c r="I553" i="2"/>
  <c r="N553" i="2"/>
  <c r="K554" i="2"/>
  <c r="J554" i="2"/>
  <c r="L554" i="2"/>
  <c r="F553" i="2"/>
  <c r="D553" i="2"/>
  <c r="G554" i="2"/>
  <c r="E554" i="2"/>
  <c r="P554" i="2"/>
  <c r="O554" i="2"/>
  <c r="H554" i="2"/>
  <c r="I554" i="2"/>
  <c r="N554" i="2"/>
  <c r="K555" i="2"/>
  <c r="J555" i="2"/>
  <c r="L555" i="2"/>
  <c r="F554" i="2"/>
  <c r="D554" i="2"/>
  <c r="G555" i="2"/>
  <c r="E555" i="2"/>
  <c r="P555" i="2"/>
  <c r="O555" i="2"/>
  <c r="H555" i="2"/>
  <c r="I555" i="2"/>
  <c r="N555" i="2"/>
  <c r="K556" i="2"/>
  <c r="J556" i="2"/>
  <c r="L556" i="2"/>
  <c r="F555" i="2"/>
  <c r="D555" i="2"/>
  <c r="G556" i="2"/>
  <c r="E556" i="2"/>
  <c r="P556" i="2"/>
  <c r="O556" i="2"/>
  <c r="H556" i="2"/>
  <c r="I556" i="2"/>
  <c r="N556" i="2"/>
  <c r="K557" i="2"/>
  <c r="J557" i="2"/>
  <c r="L557" i="2"/>
  <c r="F556" i="2"/>
  <c r="D556" i="2"/>
  <c r="G557" i="2"/>
  <c r="E557" i="2"/>
  <c r="P557" i="2"/>
  <c r="O557" i="2"/>
  <c r="H557" i="2"/>
  <c r="I557" i="2"/>
  <c r="N557" i="2"/>
  <c r="K558" i="2"/>
  <c r="J558" i="2"/>
  <c r="L558" i="2"/>
  <c r="F557" i="2"/>
  <c r="D557" i="2"/>
  <c r="G558" i="2"/>
  <c r="E558" i="2"/>
  <c r="P558" i="2"/>
  <c r="O558" i="2"/>
  <c r="H558" i="2"/>
  <c r="I558" i="2"/>
  <c r="N558" i="2"/>
  <c r="K559" i="2"/>
  <c r="J559" i="2"/>
  <c r="L559" i="2"/>
  <c r="F558" i="2"/>
  <c r="D558" i="2"/>
  <c r="G559" i="2"/>
  <c r="E559" i="2"/>
  <c r="P559" i="2"/>
  <c r="O559" i="2"/>
  <c r="H559" i="2"/>
  <c r="I559" i="2"/>
  <c r="N559" i="2"/>
  <c r="K560" i="2"/>
  <c r="J560" i="2"/>
  <c r="L560" i="2"/>
  <c r="F559" i="2"/>
  <c r="D559" i="2"/>
  <c r="G560" i="2"/>
  <c r="E560" i="2"/>
  <c r="P560" i="2"/>
  <c r="O560" i="2"/>
  <c r="H560" i="2"/>
  <c r="I560" i="2"/>
  <c r="N560" i="2"/>
  <c r="K561" i="2"/>
  <c r="J561" i="2"/>
  <c r="L561" i="2"/>
  <c r="F560" i="2"/>
  <c r="D560" i="2"/>
  <c r="G561" i="2"/>
  <c r="E561" i="2"/>
  <c r="P561" i="2"/>
  <c r="O561" i="2"/>
  <c r="H561" i="2"/>
  <c r="I561" i="2"/>
  <c r="N561" i="2"/>
  <c r="K562" i="2"/>
  <c r="J562" i="2"/>
  <c r="L562" i="2"/>
  <c r="F561" i="2"/>
  <c r="D561" i="2"/>
  <c r="G562" i="2"/>
  <c r="E562" i="2"/>
  <c r="P562" i="2"/>
  <c r="O562" i="2"/>
  <c r="H562" i="2"/>
  <c r="I562" i="2"/>
  <c r="N562" i="2"/>
  <c r="K563" i="2"/>
  <c r="J563" i="2"/>
  <c r="L563" i="2"/>
  <c r="F562" i="2"/>
  <c r="D562" i="2"/>
  <c r="G563" i="2"/>
  <c r="E563" i="2"/>
  <c r="P563" i="2"/>
  <c r="O563" i="2"/>
  <c r="H563" i="2"/>
  <c r="I563" i="2"/>
  <c r="N563" i="2"/>
  <c r="K564" i="2"/>
  <c r="J564" i="2"/>
  <c r="L564" i="2"/>
  <c r="F563" i="2"/>
  <c r="D563" i="2"/>
  <c r="G564" i="2"/>
  <c r="E564" i="2"/>
  <c r="P564" i="2"/>
  <c r="O564" i="2"/>
  <c r="H564" i="2"/>
  <c r="I564" i="2"/>
  <c r="N564" i="2"/>
  <c r="K565" i="2"/>
  <c r="J565" i="2"/>
  <c r="L565" i="2"/>
  <c r="F564" i="2"/>
  <c r="D564" i="2"/>
  <c r="G565" i="2"/>
  <c r="E565" i="2"/>
  <c r="P565" i="2"/>
  <c r="O565" i="2"/>
  <c r="H565" i="2"/>
  <c r="I565" i="2"/>
  <c r="N565" i="2"/>
  <c r="K566" i="2"/>
  <c r="J566" i="2"/>
  <c r="L566" i="2"/>
  <c r="F565" i="2"/>
  <c r="D565" i="2"/>
  <c r="G566" i="2"/>
  <c r="E566" i="2"/>
  <c r="P566" i="2"/>
  <c r="O566" i="2"/>
  <c r="H566" i="2"/>
  <c r="I566" i="2"/>
  <c r="N566" i="2"/>
  <c r="K567" i="2"/>
  <c r="J567" i="2"/>
  <c r="L567" i="2"/>
  <c r="F566" i="2"/>
  <c r="D566" i="2"/>
  <c r="G567" i="2"/>
  <c r="E567" i="2"/>
  <c r="P567" i="2"/>
  <c r="O567" i="2"/>
  <c r="H567" i="2"/>
  <c r="I567" i="2"/>
  <c r="N567" i="2"/>
  <c r="K568" i="2"/>
  <c r="J568" i="2"/>
  <c r="L568" i="2"/>
  <c r="F567" i="2"/>
  <c r="D567" i="2"/>
  <c r="G568" i="2"/>
  <c r="E568" i="2"/>
  <c r="P568" i="2"/>
  <c r="O568" i="2"/>
  <c r="H568" i="2"/>
  <c r="I568" i="2"/>
  <c r="N568" i="2"/>
  <c r="K569" i="2"/>
  <c r="J569" i="2"/>
  <c r="L569" i="2"/>
  <c r="F568" i="2"/>
  <c r="D568" i="2"/>
  <c r="G569" i="2"/>
  <c r="E569" i="2"/>
  <c r="P569" i="2"/>
  <c r="O569" i="2"/>
  <c r="H569" i="2"/>
  <c r="I569" i="2"/>
  <c r="N569" i="2"/>
  <c r="K570" i="2"/>
  <c r="J570" i="2"/>
  <c r="L570" i="2"/>
  <c r="F569" i="2"/>
  <c r="D569" i="2"/>
  <c r="G570" i="2"/>
  <c r="E570" i="2"/>
  <c r="P570" i="2"/>
  <c r="O570" i="2"/>
  <c r="H570" i="2"/>
  <c r="I570" i="2"/>
  <c r="N570" i="2"/>
  <c r="K571" i="2"/>
  <c r="J571" i="2"/>
  <c r="L571" i="2"/>
  <c r="F570" i="2"/>
  <c r="D570" i="2"/>
  <c r="G571" i="2"/>
  <c r="E571" i="2"/>
  <c r="P571" i="2"/>
  <c r="O571" i="2"/>
  <c r="H571" i="2"/>
  <c r="I571" i="2"/>
  <c r="N571" i="2"/>
  <c r="K572" i="2"/>
  <c r="J572" i="2"/>
  <c r="L572" i="2"/>
  <c r="F571" i="2"/>
  <c r="D571" i="2"/>
  <c r="G572" i="2"/>
  <c r="E572" i="2"/>
  <c r="P572" i="2"/>
  <c r="O572" i="2"/>
  <c r="H572" i="2"/>
  <c r="I572" i="2"/>
  <c r="N572" i="2"/>
  <c r="K573" i="2"/>
  <c r="J573" i="2"/>
  <c r="L573" i="2"/>
  <c r="F572" i="2"/>
  <c r="D572" i="2"/>
  <c r="G573" i="2"/>
  <c r="E573" i="2"/>
  <c r="P573" i="2"/>
  <c r="O573" i="2"/>
  <c r="H573" i="2"/>
  <c r="I573" i="2"/>
  <c r="N573" i="2"/>
  <c r="K574" i="2"/>
  <c r="J574" i="2"/>
  <c r="L574" i="2"/>
  <c r="F573" i="2"/>
  <c r="D573" i="2"/>
  <c r="G574" i="2"/>
  <c r="E574" i="2"/>
  <c r="P574" i="2"/>
  <c r="O574" i="2"/>
  <c r="H574" i="2"/>
  <c r="I574" i="2"/>
  <c r="N574" i="2"/>
  <c r="K575" i="2"/>
  <c r="J575" i="2"/>
  <c r="L575" i="2"/>
  <c r="F574" i="2"/>
  <c r="D574" i="2"/>
  <c r="G575" i="2"/>
  <c r="E575" i="2"/>
  <c r="P575" i="2"/>
  <c r="O575" i="2"/>
  <c r="H575" i="2"/>
  <c r="I575" i="2"/>
  <c r="N575" i="2"/>
  <c r="K576" i="2"/>
  <c r="J576" i="2"/>
  <c r="L576" i="2"/>
  <c r="F575" i="2"/>
  <c r="D575" i="2"/>
  <c r="G576" i="2"/>
  <c r="E576" i="2"/>
  <c r="P576" i="2"/>
  <c r="O576" i="2"/>
  <c r="H576" i="2"/>
  <c r="I576" i="2"/>
  <c r="N576" i="2"/>
  <c r="K577" i="2"/>
  <c r="J577" i="2"/>
  <c r="L577" i="2"/>
  <c r="F576" i="2"/>
  <c r="D576" i="2"/>
  <c r="G577" i="2"/>
  <c r="E577" i="2"/>
  <c r="P577" i="2"/>
  <c r="O577" i="2"/>
  <c r="H577" i="2"/>
  <c r="I577" i="2"/>
  <c r="N577" i="2"/>
  <c r="K578" i="2"/>
  <c r="J578" i="2"/>
  <c r="L578" i="2"/>
  <c r="F577" i="2"/>
  <c r="D577" i="2"/>
  <c r="G578" i="2"/>
  <c r="E578" i="2"/>
  <c r="P578" i="2"/>
  <c r="O578" i="2"/>
  <c r="H578" i="2"/>
  <c r="I578" i="2"/>
  <c r="N578" i="2"/>
  <c r="K579" i="2"/>
  <c r="J579" i="2"/>
  <c r="L579" i="2"/>
  <c r="F578" i="2"/>
  <c r="D578" i="2"/>
  <c r="G579" i="2"/>
  <c r="E579" i="2"/>
  <c r="P579" i="2"/>
  <c r="O579" i="2"/>
  <c r="H579" i="2"/>
  <c r="I579" i="2"/>
  <c r="N579" i="2"/>
  <c r="K580" i="2"/>
  <c r="J580" i="2"/>
  <c r="L580" i="2"/>
  <c r="F579" i="2"/>
  <c r="D579" i="2"/>
  <c r="G580" i="2"/>
  <c r="E580" i="2"/>
  <c r="P580" i="2"/>
  <c r="O580" i="2"/>
  <c r="H580" i="2"/>
  <c r="I580" i="2"/>
  <c r="N580" i="2"/>
  <c r="K581" i="2"/>
  <c r="J581" i="2"/>
  <c r="L581" i="2"/>
  <c r="F580" i="2"/>
  <c r="D580" i="2"/>
  <c r="G581" i="2"/>
  <c r="E581" i="2"/>
  <c r="P581" i="2"/>
  <c r="O581" i="2"/>
  <c r="H581" i="2"/>
  <c r="I581" i="2"/>
  <c r="N581" i="2"/>
  <c r="K582" i="2"/>
  <c r="J582" i="2"/>
  <c r="L582" i="2"/>
  <c r="F581" i="2"/>
  <c r="D581" i="2"/>
  <c r="G582" i="2"/>
  <c r="E582" i="2"/>
  <c r="P582" i="2"/>
  <c r="O582" i="2"/>
  <c r="H582" i="2"/>
  <c r="I582" i="2"/>
  <c r="N582" i="2"/>
  <c r="K583" i="2"/>
  <c r="J583" i="2"/>
  <c r="L583" i="2"/>
  <c r="F582" i="2"/>
  <c r="D582" i="2"/>
  <c r="G583" i="2"/>
  <c r="E583" i="2"/>
  <c r="P583" i="2"/>
  <c r="O583" i="2"/>
  <c r="H583" i="2"/>
  <c r="I583" i="2"/>
  <c r="N583" i="2"/>
  <c r="K584" i="2"/>
  <c r="J584" i="2"/>
  <c r="L584" i="2"/>
  <c r="F583" i="2"/>
  <c r="D583" i="2"/>
  <c r="G584" i="2"/>
  <c r="E584" i="2"/>
  <c r="P584" i="2"/>
  <c r="O584" i="2"/>
  <c r="H584" i="2"/>
  <c r="I584" i="2"/>
  <c r="N584" i="2"/>
  <c r="K585" i="2"/>
  <c r="J585" i="2"/>
  <c r="L585" i="2"/>
  <c r="F584" i="2"/>
  <c r="D584" i="2"/>
  <c r="G585" i="2"/>
  <c r="E585" i="2"/>
  <c r="P585" i="2"/>
  <c r="O585" i="2"/>
  <c r="H585" i="2"/>
  <c r="I585" i="2"/>
  <c r="N585" i="2"/>
  <c r="K586" i="2"/>
  <c r="J586" i="2"/>
  <c r="L586" i="2"/>
  <c r="F585" i="2"/>
  <c r="D585" i="2"/>
  <c r="G586" i="2"/>
  <c r="E586" i="2"/>
  <c r="P586" i="2"/>
  <c r="O586" i="2"/>
  <c r="H586" i="2"/>
  <c r="I586" i="2"/>
  <c r="N586" i="2"/>
  <c r="K587" i="2"/>
  <c r="J587" i="2"/>
  <c r="L587" i="2"/>
  <c r="F586" i="2"/>
  <c r="D586" i="2"/>
  <c r="G587" i="2"/>
  <c r="E587" i="2"/>
  <c r="P587" i="2"/>
  <c r="O587" i="2"/>
  <c r="H587" i="2"/>
  <c r="I587" i="2"/>
  <c r="N587" i="2"/>
  <c r="K588" i="2"/>
  <c r="J588" i="2"/>
  <c r="L588" i="2"/>
  <c r="F587" i="2"/>
  <c r="D587" i="2"/>
  <c r="G588" i="2"/>
  <c r="E588" i="2"/>
  <c r="P588" i="2"/>
  <c r="O588" i="2"/>
  <c r="H588" i="2"/>
  <c r="I588" i="2"/>
  <c r="N588" i="2"/>
  <c r="K589" i="2"/>
  <c r="J589" i="2"/>
  <c r="L589" i="2"/>
  <c r="F588" i="2"/>
  <c r="D588" i="2"/>
  <c r="G589" i="2"/>
  <c r="E589" i="2"/>
  <c r="P589" i="2"/>
  <c r="O589" i="2"/>
  <c r="H589" i="2"/>
  <c r="I589" i="2"/>
  <c r="N589" i="2"/>
  <c r="K590" i="2"/>
  <c r="J590" i="2"/>
  <c r="L590" i="2"/>
  <c r="F589" i="2"/>
  <c r="D589" i="2"/>
  <c r="G590" i="2"/>
  <c r="E590" i="2"/>
  <c r="P590" i="2"/>
  <c r="O590" i="2"/>
  <c r="H590" i="2"/>
  <c r="I590" i="2"/>
  <c r="N590" i="2"/>
  <c r="K591" i="2"/>
  <c r="J591" i="2"/>
  <c r="L591" i="2"/>
  <c r="F590" i="2"/>
  <c r="D590" i="2"/>
  <c r="G591" i="2"/>
  <c r="E591" i="2"/>
  <c r="P591" i="2"/>
  <c r="O591" i="2"/>
  <c r="H591" i="2"/>
  <c r="I591" i="2"/>
  <c r="N591" i="2"/>
  <c r="K592" i="2"/>
  <c r="J592" i="2"/>
  <c r="L592" i="2"/>
  <c r="F591" i="2"/>
  <c r="D591" i="2"/>
  <c r="G592" i="2"/>
  <c r="E592" i="2"/>
  <c r="P592" i="2"/>
  <c r="O592" i="2"/>
  <c r="H592" i="2"/>
  <c r="I592" i="2"/>
  <c r="N592" i="2"/>
  <c r="K593" i="2"/>
  <c r="J593" i="2"/>
  <c r="L593" i="2"/>
  <c r="F592" i="2"/>
  <c r="D592" i="2"/>
  <c r="G593" i="2"/>
  <c r="E593" i="2"/>
  <c r="P593" i="2"/>
  <c r="O593" i="2"/>
  <c r="H593" i="2"/>
  <c r="I593" i="2"/>
  <c r="N593" i="2"/>
  <c r="K594" i="2"/>
  <c r="J594" i="2"/>
  <c r="L594" i="2"/>
  <c r="F593" i="2"/>
  <c r="D593" i="2"/>
  <c r="G594" i="2"/>
  <c r="E594" i="2"/>
  <c r="P594" i="2"/>
  <c r="O594" i="2"/>
  <c r="H594" i="2"/>
  <c r="I594" i="2"/>
  <c r="N594" i="2"/>
  <c r="K595" i="2"/>
  <c r="J595" i="2"/>
  <c r="L595" i="2"/>
  <c r="F594" i="2"/>
  <c r="D594" i="2"/>
  <c r="G595" i="2"/>
  <c r="E595" i="2"/>
  <c r="P595" i="2"/>
  <c r="O595" i="2"/>
  <c r="H595" i="2"/>
  <c r="I595" i="2"/>
  <c r="N595" i="2"/>
  <c r="K596" i="2"/>
  <c r="J596" i="2"/>
  <c r="L596" i="2"/>
  <c r="F595" i="2"/>
  <c r="D595" i="2"/>
  <c r="G596" i="2"/>
  <c r="E596" i="2"/>
  <c r="P596" i="2"/>
  <c r="O596" i="2"/>
  <c r="H596" i="2"/>
  <c r="I596" i="2"/>
  <c r="N596" i="2"/>
  <c r="K597" i="2"/>
  <c r="J597" i="2"/>
  <c r="L597" i="2"/>
  <c r="F596" i="2"/>
  <c r="D596" i="2"/>
  <c r="G597" i="2"/>
  <c r="E597" i="2"/>
  <c r="P597" i="2"/>
  <c r="O597" i="2"/>
  <c r="H597" i="2"/>
  <c r="I597" i="2"/>
  <c r="N597" i="2"/>
  <c r="K598" i="2"/>
  <c r="J598" i="2"/>
  <c r="L598" i="2"/>
  <c r="F597" i="2"/>
  <c r="D597" i="2"/>
  <c r="G598" i="2"/>
  <c r="E598" i="2"/>
  <c r="P598" i="2"/>
  <c r="O598" i="2"/>
  <c r="H598" i="2"/>
  <c r="I598" i="2"/>
  <c r="N598" i="2"/>
  <c r="K599" i="2"/>
  <c r="J599" i="2"/>
  <c r="L599" i="2"/>
  <c r="F598" i="2"/>
  <c r="D598" i="2"/>
  <c r="G599" i="2"/>
  <c r="E599" i="2"/>
  <c r="P599" i="2"/>
  <c r="O599" i="2"/>
  <c r="H599" i="2"/>
  <c r="I599" i="2"/>
  <c r="N599" i="2"/>
  <c r="K600" i="2"/>
  <c r="J600" i="2"/>
  <c r="L600" i="2"/>
  <c r="F599" i="2"/>
  <c r="D599" i="2"/>
  <c r="G600" i="2"/>
  <c r="E600" i="2"/>
  <c r="P600" i="2"/>
  <c r="O600" i="2"/>
  <c r="H600" i="2"/>
  <c r="I600" i="2"/>
  <c r="N600" i="2"/>
  <c r="K601" i="2"/>
  <c r="J601" i="2"/>
  <c r="L601" i="2"/>
  <c r="F600" i="2"/>
  <c r="D600" i="2"/>
  <c r="G601" i="2"/>
  <c r="E601" i="2"/>
  <c r="P601" i="2"/>
  <c r="O601" i="2"/>
  <c r="H601" i="2"/>
  <c r="I601" i="2"/>
  <c r="N601" i="2"/>
  <c r="K602" i="2"/>
  <c r="J602" i="2"/>
  <c r="L602" i="2"/>
  <c r="F601" i="2"/>
  <c r="D601" i="2"/>
  <c r="G602" i="2"/>
  <c r="E602" i="2"/>
  <c r="P602" i="2"/>
  <c r="O602" i="2"/>
  <c r="H602" i="2"/>
  <c r="I602" i="2"/>
  <c r="N602" i="2"/>
  <c r="K603" i="2"/>
  <c r="J603" i="2"/>
  <c r="L603" i="2"/>
  <c r="F602" i="2"/>
  <c r="D602" i="2"/>
  <c r="G603" i="2"/>
  <c r="E603" i="2"/>
  <c r="P603" i="2"/>
  <c r="O603" i="2"/>
  <c r="H603" i="2"/>
  <c r="I603" i="2"/>
  <c r="N603" i="2"/>
  <c r="K604" i="2"/>
  <c r="J604" i="2"/>
  <c r="L604" i="2"/>
  <c r="F603" i="2"/>
  <c r="D603" i="2"/>
  <c r="G604" i="2"/>
  <c r="E604" i="2"/>
  <c r="P604" i="2"/>
  <c r="O604" i="2"/>
  <c r="H604" i="2"/>
  <c r="I604" i="2"/>
  <c r="N604" i="2"/>
  <c r="K605" i="2"/>
  <c r="J605" i="2"/>
  <c r="L605" i="2"/>
  <c r="F604" i="2"/>
  <c r="D604" i="2"/>
  <c r="G605" i="2"/>
  <c r="E605" i="2"/>
  <c r="P605" i="2"/>
  <c r="O605" i="2"/>
  <c r="H605" i="2"/>
  <c r="I605" i="2"/>
  <c r="N605" i="2"/>
  <c r="K606" i="2"/>
  <c r="J606" i="2"/>
  <c r="L606" i="2"/>
  <c r="F605" i="2"/>
  <c r="D605" i="2"/>
  <c r="G606" i="2"/>
  <c r="E606" i="2"/>
  <c r="P606" i="2"/>
  <c r="O606" i="2"/>
  <c r="H606" i="2"/>
  <c r="I606" i="2"/>
  <c r="N606" i="2"/>
  <c r="K607" i="2"/>
  <c r="J607" i="2"/>
  <c r="L607" i="2"/>
  <c r="F606" i="2"/>
  <c r="D606" i="2"/>
  <c r="G607" i="2"/>
  <c r="E607" i="2"/>
  <c r="P607" i="2"/>
  <c r="O607" i="2"/>
  <c r="H607" i="2"/>
  <c r="I607" i="2"/>
  <c r="N607" i="2"/>
  <c r="K608" i="2"/>
  <c r="J608" i="2"/>
  <c r="L608" i="2"/>
  <c r="F607" i="2"/>
  <c r="D607" i="2"/>
  <c r="G608" i="2"/>
  <c r="E608" i="2"/>
  <c r="P608" i="2"/>
  <c r="O608" i="2"/>
  <c r="H608" i="2"/>
  <c r="I608" i="2"/>
  <c r="N608" i="2"/>
  <c r="K609" i="2"/>
  <c r="J609" i="2"/>
  <c r="L609" i="2"/>
  <c r="F608" i="2"/>
  <c r="D608" i="2"/>
  <c r="G609" i="2"/>
  <c r="E609" i="2"/>
  <c r="P609" i="2"/>
  <c r="O609" i="2"/>
  <c r="H609" i="2"/>
  <c r="I609" i="2"/>
  <c r="N609" i="2"/>
  <c r="K610" i="2"/>
  <c r="J610" i="2"/>
  <c r="L610" i="2"/>
  <c r="F609" i="2"/>
  <c r="D609" i="2"/>
  <c r="G610" i="2"/>
  <c r="E610" i="2"/>
  <c r="P610" i="2"/>
  <c r="O610" i="2"/>
  <c r="H610" i="2"/>
  <c r="I610" i="2"/>
  <c r="N610" i="2"/>
  <c r="K611" i="2"/>
  <c r="J611" i="2"/>
  <c r="L611" i="2"/>
  <c r="F610" i="2"/>
  <c r="D610" i="2"/>
  <c r="G611" i="2"/>
  <c r="E611" i="2"/>
  <c r="P611" i="2"/>
  <c r="O611" i="2"/>
  <c r="H611" i="2"/>
  <c r="I611" i="2"/>
  <c r="N611" i="2"/>
  <c r="K612" i="2"/>
  <c r="J612" i="2"/>
  <c r="L612" i="2"/>
  <c r="F611" i="2"/>
  <c r="D611" i="2"/>
  <c r="G612" i="2"/>
  <c r="E612" i="2"/>
  <c r="P612" i="2"/>
  <c r="O612" i="2"/>
  <c r="H612" i="2"/>
  <c r="I612" i="2"/>
  <c r="N612" i="2"/>
  <c r="K613" i="2"/>
  <c r="J613" i="2"/>
  <c r="L613" i="2"/>
  <c r="F612" i="2"/>
  <c r="D612" i="2"/>
  <c r="G613" i="2"/>
  <c r="E613" i="2"/>
  <c r="P613" i="2"/>
  <c r="O613" i="2"/>
  <c r="H613" i="2"/>
  <c r="I613" i="2"/>
  <c r="N613" i="2"/>
  <c r="K614" i="2"/>
  <c r="J614" i="2"/>
  <c r="L614" i="2"/>
  <c r="F613" i="2"/>
  <c r="D613" i="2"/>
  <c r="G614" i="2"/>
  <c r="E614" i="2"/>
  <c r="P614" i="2"/>
  <c r="O614" i="2"/>
  <c r="H614" i="2"/>
  <c r="I614" i="2"/>
  <c r="N614" i="2"/>
  <c r="K615" i="2"/>
  <c r="J615" i="2"/>
  <c r="L615" i="2"/>
  <c r="F614" i="2"/>
  <c r="D614" i="2"/>
  <c r="G615" i="2"/>
  <c r="E615" i="2"/>
  <c r="P615" i="2"/>
  <c r="O615" i="2"/>
  <c r="H615" i="2"/>
  <c r="I615" i="2"/>
  <c r="N615" i="2"/>
  <c r="K616" i="2"/>
  <c r="J616" i="2"/>
  <c r="L616" i="2"/>
  <c r="F615" i="2"/>
  <c r="D615" i="2"/>
  <c r="G616" i="2"/>
  <c r="E616" i="2"/>
  <c r="P616" i="2"/>
  <c r="O616" i="2"/>
  <c r="H616" i="2"/>
  <c r="I616" i="2"/>
  <c r="N616" i="2"/>
  <c r="K617" i="2"/>
  <c r="J617" i="2"/>
  <c r="L617" i="2"/>
  <c r="F616" i="2"/>
  <c r="D616" i="2"/>
  <c r="G617" i="2"/>
  <c r="E617" i="2"/>
  <c r="P617" i="2"/>
  <c r="O617" i="2"/>
  <c r="H617" i="2"/>
  <c r="I617" i="2"/>
  <c r="N617" i="2"/>
  <c r="K618" i="2"/>
  <c r="J618" i="2"/>
  <c r="L618" i="2"/>
  <c r="F617" i="2"/>
  <c r="D617" i="2"/>
  <c r="G618" i="2"/>
  <c r="E618" i="2"/>
  <c r="P618" i="2"/>
  <c r="O618" i="2"/>
  <c r="H618" i="2"/>
  <c r="I618" i="2"/>
  <c r="N618" i="2"/>
  <c r="K619" i="2"/>
  <c r="J619" i="2"/>
  <c r="L619" i="2"/>
  <c r="F618" i="2"/>
  <c r="D618" i="2"/>
  <c r="G619" i="2"/>
  <c r="E619" i="2"/>
  <c r="P619" i="2"/>
  <c r="O619" i="2"/>
  <c r="H619" i="2"/>
  <c r="I619" i="2"/>
  <c r="N619" i="2"/>
  <c r="K620" i="2"/>
  <c r="J620" i="2"/>
  <c r="L620" i="2"/>
  <c r="F619" i="2"/>
  <c r="D619" i="2"/>
  <c r="G620" i="2"/>
  <c r="E620" i="2"/>
  <c r="P620" i="2"/>
  <c r="O620" i="2"/>
  <c r="H620" i="2"/>
  <c r="I620" i="2"/>
  <c r="N620" i="2"/>
  <c r="K621" i="2"/>
  <c r="J621" i="2"/>
  <c r="L621" i="2"/>
  <c r="F620" i="2"/>
  <c r="D620" i="2"/>
  <c r="G621" i="2"/>
  <c r="E621" i="2"/>
  <c r="P621" i="2"/>
  <c r="O621" i="2"/>
  <c r="H621" i="2"/>
  <c r="I621" i="2"/>
  <c r="N621" i="2"/>
  <c r="K622" i="2"/>
  <c r="J622" i="2"/>
  <c r="L622" i="2"/>
  <c r="F621" i="2"/>
  <c r="D621" i="2"/>
  <c r="G622" i="2"/>
  <c r="E622" i="2"/>
  <c r="P622" i="2"/>
  <c r="O622" i="2"/>
  <c r="H622" i="2"/>
  <c r="I622" i="2"/>
  <c r="N622" i="2"/>
  <c r="K623" i="2"/>
  <c r="J623" i="2"/>
  <c r="L623" i="2"/>
  <c r="F622" i="2"/>
  <c r="D622" i="2"/>
  <c r="G623" i="2"/>
  <c r="E623" i="2"/>
  <c r="P623" i="2"/>
  <c r="O623" i="2"/>
  <c r="H623" i="2"/>
  <c r="I623" i="2"/>
  <c r="N623" i="2"/>
  <c r="K624" i="2"/>
  <c r="J624" i="2"/>
  <c r="L624" i="2"/>
  <c r="F623" i="2"/>
  <c r="D623" i="2"/>
  <c r="G624" i="2"/>
  <c r="E624" i="2"/>
  <c r="P624" i="2"/>
  <c r="O624" i="2"/>
  <c r="H624" i="2"/>
  <c r="I624" i="2"/>
  <c r="N624" i="2"/>
  <c r="K625" i="2"/>
  <c r="J625" i="2"/>
  <c r="L625" i="2"/>
  <c r="F624" i="2"/>
  <c r="D624" i="2"/>
  <c r="G625" i="2"/>
  <c r="E625" i="2"/>
  <c r="P625" i="2"/>
  <c r="O625" i="2"/>
  <c r="H625" i="2"/>
  <c r="I625" i="2"/>
  <c r="N625" i="2"/>
  <c r="K626" i="2"/>
  <c r="J626" i="2"/>
  <c r="L626" i="2"/>
  <c r="F625" i="2"/>
  <c r="D625" i="2"/>
  <c r="G626" i="2"/>
  <c r="E626" i="2"/>
  <c r="P626" i="2"/>
  <c r="O626" i="2"/>
  <c r="H626" i="2"/>
  <c r="I626" i="2"/>
  <c r="N626" i="2"/>
  <c r="K627" i="2"/>
  <c r="J627" i="2"/>
  <c r="L627" i="2"/>
  <c r="F626" i="2"/>
  <c r="D626" i="2"/>
  <c r="G627" i="2"/>
  <c r="E627" i="2"/>
  <c r="P627" i="2"/>
  <c r="O627" i="2"/>
  <c r="H627" i="2"/>
  <c r="I627" i="2"/>
  <c r="N627" i="2"/>
  <c r="K628" i="2"/>
  <c r="J628" i="2"/>
  <c r="L628" i="2"/>
  <c r="F627" i="2"/>
  <c r="D627" i="2"/>
  <c r="G628" i="2"/>
  <c r="E628" i="2"/>
  <c r="P628" i="2"/>
  <c r="O628" i="2"/>
  <c r="H628" i="2"/>
  <c r="I628" i="2"/>
  <c r="N628" i="2"/>
  <c r="K629" i="2"/>
  <c r="J629" i="2"/>
  <c r="L629" i="2"/>
  <c r="F628" i="2"/>
  <c r="D628" i="2"/>
  <c r="G629" i="2"/>
  <c r="E629" i="2"/>
  <c r="P629" i="2"/>
  <c r="O629" i="2"/>
  <c r="H629" i="2"/>
  <c r="I629" i="2"/>
  <c r="N629" i="2"/>
  <c r="K630" i="2"/>
  <c r="J630" i="2"/>
  <c r="L630" i="2"/>
  <c r="F629" i="2"/>
  <c r="D629" i="2"/>
  <c r="G630" i="2"/>
  <c r="E630" i="2"/>
  <c r="P630" i="2"/>
  <c r="O630" i="2"/>
  <c r="H630" i="2"/>
  <c r="I630" i="2"/>
  <c r="N630" i="2"/>
  <c r="K631" i="2"/>
  <c r="J631" i="2"/>
  <c r="L631" i="2"/>
  <c r="F630" i="2"/>
  <c r="D630" i="2"/>
  <c r="G631" i="2"/>
  <c r="E631" i="2"/>
  <c r="P631" i="2"/>
  <c r="O631" i="2"/>
  <c r="H631" i="2"/>
  <c r="I631" i="2"/>
  <c r="N631" i="2"/>
  <c r="K632" i="2"/>
  <c r="J632" i="2"/>
  <c r="L632" i="2"/>
  <c r="F631" i="2"/>
  <c r="D631" i="2"/>
  <c r="G632" i="2"/>
  <c r="E632" i="2"/>
  <c r="P632" i="2"/>
  <c r="O632" i="2"/>
  <c r="H632" i="2"/>
  <c r="I632" i="2"/>
  <c r="N632" i="2"/>
  <c r="K633" i="2"/>
  <c r="J633" i="2"/>
  <c r="L633" i="2"/>
  <c r="F632" i="2"/>
  <c r="D632" i="2"/>
  <c r="G633" i="2"/>
  <c r="E633" i="2"/>
  <c r="P633" i="2"/>
  <c r="O633" i="2"/>
  <c r="H633" i="2"/>
  <c r="I633" i="2"/>
  <c r="N633" i="2"/>
  <c r="K634" i="2"/>
  <c r="J634" i="2"/>
  <c r="L634" i="2"/>
  <c r="F633" i="2"/>
  <c r="D633" i="2"/>
  <c r="G634" i="2"/>
  <c r="E634" i="2"/>
  <c r="P634" i="2"/>
  <c r="O634" i="2"/>
  <c r="H634" i="2"/>
  <c r="I634" i="2"/>
  <c r="N634" i="2"/>
  <c r="K635" i="2"/>
  <c r="J635" i="2"/>
  <c r="L635" i="2"/>
  <c r="F634" i="2"/>
  <c r="D634" i="2"/>
  <c r="G635" i="2"/>
  <c r="E635" i="2"/>
  <c r="P635" i="2"/>
  <c r="O635" i="2"/>
  <c r="H635" i="2"/>
  <c r="I635" i="2"/>
  <c r="N635" i="2"/>
  <c r="K636" i="2"/>
  <c r="J636" i="2"/>
  <c r="L636" i="2"/>
  <c r="F635" i="2"/>
  <c r="D635" i="2"/>
  <c r="G636" i="2"/>
  <c r="E636" i="2"/>
  <c r="P636" i="2"/>
  <c r="O636" i="2"/>
  <c r="H636" i="2"/>
  <c r="I636" i="2"/>
  <c r="N636" i="2"/>
  <c r="K637" i="2"/>
  <c r="J637" i="2"/>
  <c r="L637" i="2"/>
  <c r="F636" i="2"/>
  <c r="D636" i="2"/>
  <c r="G637" i="2"/>
  <c r="E637" i="2"/>
  <c r="P637" i="2"/>
  <c r="O637" i="2"/>
  <c r="H637" i="2"/>
  <c r="I637" i="2"/>
  <c r="N637" i="2"/>
  <c r="K638" i="2"/>
  <c r="J638" i="2"/>
  <c r="L638" i="2"/>
  <c r="F637" i="2"/>
  <c r="D637" i="2"/>
  <c r="G638" i="2"/>
  <c r="E638" i="2"/>
  <c r="P638" i="2"/>
  <c r="O638" i="2"/>
  <c r="H638" i="2"/>
  <c r="I638" i="2"/>
  <c r="N638" i="2"/>
  <c r="K639" i="2"/>
  <c r="J639" i="2"/>
  <c r="L639" i="2"/>
  <c r="F638" i="2"/>
  <c r="D638" i="2"/>
  <c r="G639" i="2"/>
  <c r="E639" i="2"/>
  <c r="P639" i="2"/>
  <c r="O639" i="2"/>
  <c r="H639" i="2"/>
  <c r="I639" i="2"/>
  <c r="N639" i="2"/>
  <c r="K640" i="2"/>
  <c r="J640" i="2"/>
  <c r="L640" i="2"/>
  <c r="F639" i="2"/>
  <c r="D639" i="2"/>
  <c r="G640" i="2"/>
  <c r="E640" i="2"/>
  <c r="P640" i="2"/>
  <c r="O640" i="2"/>
  <c r="H640" i="2"/>
  <c r="I640" i="2"/>
  <c r="N640" i="2"/>
  <c r="K641" i="2"/>
  <c r="J641" i="2"/>
  <c r="L641" i="2"/>
  <c r="F640" i="2"/>
  <c r="D640" i="2"/>
  <c r="G641" i="2"/>
  <c r="E641" i="2"/>
  <c r="P641" i="2"/>
  <c r="O641" i="2"/>
  <c r="H641" i="2"/>
  <c r="I641" i="2"/>
  <c r="N641" i="2"/>
  <c r="K642" i="2"/>
  <c r="J642" i="2"/>
  <c r="L642" i="2"/>
  <c r="F641" i="2"/>
  <c r="D641" i="2"/>
  <c r="G642" i="2"/>
  <c r="E642" i="2"/>
  <c r="P642" i="2"/>
  <c r="O642" i="2"/>
  <c r="H642" i="2"/>
  <c r="I642" i="2"/>
  <c r="N642" i="2"/>
  <c r="K643" i="2"/>
  <c r="J643" i="2"/>
  <c r="L643" i="2"/>
  <c r="F642" i="2"/>
  <c r="D642" i="2"/>
  <c r="G643" i="2"/>
  <c r="E643" i="2"/>
  <c r="P643" i="2"/>
  <c r="O643" i="2"/>
  <c r="H643" i="2"/>
  <c r="I643" i="2"/>
  <c r="N643" i="2"/>
  <c r="K644" i="2"/>
  <c r="J644" i="2"/>
  <c r="L644" i="2"/>
  <c r="F643" i="2"/>
  <c r="D643" i="2"/>
  <c r="G644" i="2"/>
  <c r="E644" i="2"/>
  <c r="P644" i="2"/>
  <c r="O644" i="2"/>
  <c r="H644" i="2"/>
  <c r="I644" i="2"/>
  <c r="N644" i="2"/>
  <c r="K645" i="2"/>
  <c r="J645" i="2"/>
  <c r="L645" i="2"/>
  <c r="F644" i="2"/>
  <c r="D644" i="2"/>
  <c r="G645" i="2"/>
  <c r="E645" i="2"/>
  <c r="P645" i="2"/>
  <c r="O645" i="2"/>
  <c r="H645" i="2"/>
  <c r="I645" i="2"/>
  <c r="N645" i="2"/>
  <c r="K646" i="2"/>
  <c r="J646" i="2"/>
  <c r="L646" i="2"/>
  <c r="F645" i="2"/>
  <c r="D645" i="2"/>
  <c r="G646" i="2"/>
  <c r="E646" i="2"/>
  <c r="P646" i="2"/>
  <c r="O646" i="2"/>
  <c r="H646" i="2"/>
  <c r="I646" i="2"/>
  <c r="N646" i="2"/>
  <c r="K647" i="2"/>
  <c r="J647" i="2"/>
  <c r="L647" i="2"/>
  <c r="F646" i="2"/>
  <c r="D646" i="2"/>
  <c r="G647" i="2"/>
  <c r="E647" i="2"/>
  <c r="P647" i="2"/>
  <c r="O647" i="2"/>
  <c r="H647" i="2"/>
  <c r="I647" i="2"/>
  <c r="N647" i="2"/>
  <c r="K648" i="2"/>
  <c r="J648" i="2"/>
  <c r="L648" i="2"/>
  <c r="F647" i="2"/>
  <c r="D647" i="2"/>
  <c r="G648" i="2"/>
  <c r="E648" i="2"/>
  <c r="P648" i="2"/>
  <c r="O648" i="2"/>
  <c r="H648" i="2"/>
  <c r="I648" i="2"/>
  <c r="N648" i="2"/>
  <c r="K649" i="2"/>
  <c r="J649" i="2"/>
  <c r="L649" i="2"/>
  <c r="F648" i="2"/>
  <c r="D648" i="2"/>
  <c r="G649" i="2"/>
  <c r="E649" i="2"/>
  <c r="P649" i="2"/>
  <c r="O649" i="2"/>
  <c r="H649" i="2"/>
  <c r="I649" i="2"/>
  <c r="N649" i="2"/>
  <c r="K650" i="2"/>
  <c r="J650" i="2"/>
  <c r="L650" i="2"/>
  <c r="F649" i="2"/>
  <c r="D649" i="2"/>
  <c r="G650" i="2"/>
  <c r="E650" i="2"/>
  <c r="P650" i="2"/>
  <c r="O650" i="2"/>
  <c r="H650" i="2"/>
  <c r="I650" i="2"/>
  <c r="N650" i="2"/>
  <c r="K651" i="2"/>
  <c r="J651" i="2"/>
  <c r="L651" i="2"/>
  <c r="F650" i="2"/>
  <c r="D650" i="2"/>
  <c r="G651" i="2"/>
  <c r="E651" i="2"/>
  <c r="P651" i="2"/>
  <c r="O651" i="2"/>
  <c r="H651" i="2"/>
  <c r="I651" i="2"/>
  <c r="N651" i="2"/>
  <c r="K652" i="2"/>
  <c r="J652" i="2"/>
  <c r="L652" i="2"/>
  <c r="F651" i="2"/>
  <c r="D651" i="2"/>
  <c r="G652" i="2"/>
  <c r="E652" i="2"/>
  <c r="P652" i="2"/>
  <c r="O652" i="2"/>
  <c r="H652" i="2"/>
  <c r="I652" i="2"/>
  <c r="N652" i="2"/>
  <c r="K653" i="2"/>
  <c r="J653" i="2"/>
  <c r="L653" i="2"/>
  <c r="F652" i="2"/>
  <c r="D652" i="2"/>
  <c r="G653" i="2"/>
  <c r="E653" i="2"/>
  <c r="P653" i="2"/>
  <c r="O653" i="2"/>
  <c r="H653" i="2"/>
  <c r="I653" i="2"/>
  <c r="N653" i="2"/>
  <c r="K654" i="2"/>
  <c r="J654" i="2"/>
  <c r="L654" i="2"/>
  <c r="F653" i="2"/>
  <c r="D653" i="2"/>
  <c r="G654" i="2"/>
  <c r="E654" i="2"/>
  <c r="P654" i="2"/>
  <c r="O654" i="2"/>
  <c r="H654" i="2"/>
  <c r="I654" i="2"/>
  <c r="N654" i="2"/>
  <c r="K655" i="2"/>
  <c r="J655" i="2"/>
  <c r="L655" i="2"/>
  <c r="F654" i="2"/>
  <c r="D654" i="2"/>
  <c r="G655" i="2"/>
  <c r="E655" i="2"/>
  <c r="P655" i="2"/>
  <c r="O655" i="2"/>
  <c r="H655" i="2"/>
  <c r="I655" i="2"/>
  <c r="N655" i="2"/>
  <c r="K656" i="2"/>
  <c r="J656" i="2"/>
  <c r="L656" i="2"/>
  <c r="F655" i="2"/>
  <c r="D655" i="2"/>
  <c r="G656" i="2"/>
  <c r="E656" i="2"/>
  <c r="P656" i="2"/>
  <c r="O656" i="2"/>
  <c r="H656" i="2"/>
  <c r="I656" i="2"/>
  <c r="N656" i="2"/>
  <c r="K657" i="2"/>
  <c r="J657" i="2"/>
  <c r="L657" i="2"/>
  <c r="F656" i="2"/>
  <c r="D656" i="2"/>
  <c r="G657" i="2"/>
  <c r="E657" i="2"/>
  <c r="P657" i="2"/>
  <c r="O657" i="2"/>
  <c r="H657" i="2"/>
  <c r="I657" i="2"/>
  <c r="N657" i="2"/>
  <c r="K658" i="2"/>
  <c r="J658" i="2"/>
  <c r="L658" i="2"/>
  <c r="F657" i="2"/>
  <c r="D657" i="2"/>
  <c r="G658" i="2"/>
  <c r="E658" i="2"/>
  <c r="P658" i="2"/>
  <c r="O658" i="2"/>
  <c r="H658" i="2"/>
  <c r="I658" i="2"/>
  <c r="N658" i="2"/>
  <c r="K659" i="2"/>
  <c r="J659" i="2"/>
  <c r="L659" i="2"/>
  <c r="F658" i="2"/>
  <c r="D658" i="2"/>
  <c r="G659" i="2"/>
  <c r="E659" i="2"/>
  <c r="P659" i="2"/>
  <c r="O659" i="2"/>
  <c r="H659" i="2"/>
  <c r="I659" i="2"/>
  <c r="N659" i="2"/>
  <c r="K660" i="2"/>
  <c r="J660" i="2"/>
  <c r="L660" i="2"/>
  <c r="F659" i="2"/>
  <c r="D659" i="2"/>
  <c r="G660" i="2"/>
  <c r="E660" i="2"/>
  <c r="P660" i="2"/>
  <c r="O660" i="2"/>
  <c r="H660" i="2"/>
  <c r="I660" i="2"/>
  <c r="N660" i="2"/>
  <c r="K661" i="2"/>
  <c r="J661" i="2"/>
  <c r="L661" i="2"/>
  <c r="F660" i="2"/>
  <c r="D660" i="2"/>
  <c r="G661" i="2"/>
  <c r="E661" i="2"/>
  <c r="P661" i="2"/>
  <c r="O661" i="2"/>
  <c r="H661" i="2"/>
  <c r="I661" i="2"/>
  <c r="N661" i="2"/>
  <c r="K662" i="2"/>
  <c r="J662" i="2"/>
  <c r="L662" i="2"/>
  <c r="F661" i="2"/>
  <c r="D661" i="2"/>
  <c r="G662" i="2"/>
  <c r="E662" i="2"/>
  <c r="P662" i="2"/>
  <c r="O662" i="2"/>
  <c r="H662" i="2"/>
  <c r="I662" i="2"/>
  <c r="N662" i="2"/>
  <c r="K663" i="2"/>
  <c r="J663" i="2"/>
  <c r="L663" i="2"/>
  <c r="F662" i="2"/>
  <c r="D662" i="2"/>
  <c r="G663" i="2"/>
  <c r="E663" i="2"/>
  <c r="P663" i="2"/>
  <c r="O663" i="2"/>
  <c r="H663" i="2"/>
  <c r="I663" i="2"/>
  <c r="N663" i="2"/>
  <c r="K664" i="2"/>
  <c r="J664" i="2"/>
  <c r="L664" i="2"/>
  <c r="F663" i="2"/>
  <c r="D663" i="2"/>
  <c r="G664" i="2"/>
  <c r="E664" i="2"/>
  <c r="P664" i="2"/>
  <c r="O664" i="2"/>
  <c r="H664" i="2"/>
  <c r="I664" i="2"/>
  <c r="N664" i="2"/>
  <c r="K665" i="2"/>
  <c r="J665" i="2"/>
  <c r="L665" i="2"/>
  <c r="F664" i="2"/>
  <c r="D664" i="2"/>
  <c r="G665" i="2"/>
  <c r="E665" i="2"/>
  <c r="P665" i="2"/>
  <c r="O665" i="2"/>
  <c r="H665" i="2"/>
  <c r="I665" i="2"/>
  <c r="N665" i="2"/>
  <c r="K666" i="2"/>
  <c r="J666" i="2"/>
  <c r="L666" i="2"/>
  <c r="F665" i="2"/>
  <c r="D665" i="2"/>
  <c r="G666" i="2"/>
  <c r="E666" i="2"/>
  <c r="P666" i="2"/>
  <c r="O666" i="2"/>
  <c r="H666" i="2"/>
  <c r="I666" i="2"/>
  <c r="N666" i="2"/>
  <c r="K667" i="2"/>
  <c r="J667" i="2"/>
  <c r="L667" i="2"/>
  <c r="F666" i="2"/>
  <c r="D666" i="2"/>
  <c r="G667" i="2"/>
  <c r="E667" i="2"/>
  <c r="P667" i="2"/>
  <c r="O667" i="2"/>
  <c r="H667" i="2"/>
  <c r="I667" i="2"/>
  <c r="N667" i="2"/>
  <c r="K668" i="2"/>
  <c r="J668" i="2"/>
  <c r="L668" i="2"/>
  <c r="F667" i="2"/>
  <c r="D667" i="2"/>
  <c r="G668" i="2"/>
  <c r="E668" i="2"/>
  <c r="P668" i="2"/>
  <c r="O668" i="2"/>
  <c r="H668" i="2"/>
  <c r="I668" i="2"/>
  <c r="N668" i="2"/>
  <c r="K669" i="2"/>
  <c r="J669" i="2"/>
  <c r="L669" i="2"/>
  <c r="F668" i="2"/>
  <c r="D668" i="2"/>
  <c r="G669" i="2"/>
  <c r="E669" i="2"/>
  <c r="P669" i="2"/>
  <c r="O669" i="2"/>
  <c r="H669" i="2"/>
  <c r="I669" i="2"/>
  <c r="N669" i="2"/>
  <c r="K670" i="2"/>
  <c r="J670" i="2"/>
  <c r="L670" i="2"/>
  <c r="F669" i="2"/>
  <c r="D669" i="2"/>
  <c r="G670" i="2"/>
  <c r="E670" i="2"/>
  <c r="P670" i="2"/>
  <c r="O670" i="2"/>
  <c r="H670" i="2"/>
  <c r="I670" i="2"/>
  <c r="N670" i="2"/>
  <c r="K671" i="2"/>
  <c r="J671" i="2"/>
  <c r="L671" i="2"/>
  <c r="F670" i="2"/>
  <c r="D670" i="2"/>
  <c r="G671" i="2"/>
  <c r="E671" i="2"/>
  <c r="P671" i="2"/>
  <c r="O671" i="2"/>
  <c r="H671" i="2"/>
  <c r="I671" i="2"/>
  <c r="N671" i="2"/>
  <c r="K672" i="2"/>
  <c r="J672" i="2"/>
  <c r="L672" i="2"/>
  <c r="F671" i="2"/>
  <c r="D671" i="2"/>
  <c r="G672" i="2"/>
  <c r="E672" i="2"/>
  <c r="P672" i="2"/>
  <c r="O672" i="2"/>
  <c r="H672" i="2"/>
  <c r="I672" i="2"/>
  <c r="N672" i="2"/>
  <c r="K673" i="2"/>
  <c r="J673" i="2"/>
  <c r="L673" i="2"/>
  <c r="F672" i="2"/>
  <c r="D672" i="2"/>
  <c r="G673" i="2"/>
  <c r="E673" i="2"/>
  <c r="P673" i="2"/>
  <c r="O673" i="2"/>
  <c r="H673" i="2"/>
  <c r="I673" i="2"/>
  <c r="N673" i="2"/>
  <c r="K674" i="2"/>
  <c r="J674" i="2"/>
  <c r="L674" i="2"/>
  <c r="F673" i="2"/>
  <c r="D673" i="2"/>
  <c r="G674" i="2"/>
  <c r="E674" i="2"/>
  <c r="P674" i="2"/>
  <c r="O674" i="2"/>
  <c r="H674" i="2"/>
  <c r="I674" i="2"/>
  <c r="N674" i="2"/>
  <c r="K675" i="2"/>
  <c r="J675" i="2"/>
  <c r="L675" i="2"/>
  <c r="F674" i="2"/>
  <c r="D674" i="2"/>
  <c r="G675" i="2"/>
  <c r="E675" i="2"/>
  <c r="P675" i="2"/>
  <c r="O675" i="2"/>
  <c r="H675" i="2"/>
  <c r="I675" i="2"/>
  <c r="N675" i="2"/>
  <c r="K676" i="2"/>
  <c r="J676" i="2"/>
  <c r="L676" i="2"/>
  <c r="F675" i="2"/>
  <c r="D675" i="2"/>
  <c r="G676" i="2"/>
  <c r="E676" i="2"/>
  <c r="P676" i="2"/>
  <c r="O676" i="2"/>
  <c r="H676" i="2"/>
  <c r="I676" i="2"/>
  <c r="N676" i="2"/>
  <c r="K677" i="2"/>
  <c r="J677" i="2"/>
  <c r="L677" i="2"/>
  <c r="F676" i="2"/>
  <c r="D676" i="2"/>
  <c r="G677" i="2"/>
  <c r="E677" i="2"/>
  <c r="P677" i="2"/>
  <c r="O677" i="2"/>
  <c r="H677" i="2"/>
  <c r="I677" i="2"/>
  <c r="N677" i="2"/>
  <c r="K678" i="2"/>
  <c r="J678" i="2"/>
  <c r="L678" i="2"/>
  <c r="F677" i="2"/>
  <c r="D677" i="2"/>
  <c r="G678" i="2"/>
  <c r="E678" i="2"/>
  <c r="P678" i="2"/>
  <c r="O678" i="2"/>
  <c r="H678" i="2"/>
  <c r="I678" i="2"/>
  <c r="N678" i="2"/>
  <c r="K679" i="2"/>
  <c r="J679" i="2"/>
  <c r="L679" i="2"/>
  <c r="F678" i="2"/>
  <c r="D678" i="2"/>
  <c r="G679" i="2"/>
  <c r="E679" i="2"/>
  <c r="P679" i="2"/>
  <c r="O679" i="2"/>
  <c r="H679" i="2"/>
  <c r="I679" i="2"/>
  <c r="N679" i="2"/>
  <c r="K680" i="2"/>
  <c r="J680" i="2"/>
  <c r="L680" i="2"/>
  <c r="F679" i="2"/>
  <c r="D679" i="2"/>
  <c r="G680" i="2"/>
  <c r="E680" i="2"/>
  <c r="P680" i="2"/>
  <c r="O680" i="2"/>
  <c r="H680" i="2"/>
  <c r="I680" i="2"/>
  <c r="N680" i="2"/>
  <c r="K681" i="2"/>
  <c r="J681" i="2"/>
  <c r="L681" i="2"/>
  <c r="F680" i="2"/>
  <c r="D680" i="2"/>
  <c r="G681" i="2"/>
  <c r="E681" i="2"/>
  <c r="P681" i="2"/>
  <c r="O681" i="2"/>
  <c r="H681" i="2"/>
  <c r="I681" i="2"/>
  <c r="N681" i="2"/>
  <c r="K682" i="2"/>
  <c r="J682" i="2"/>
  <c r="L682" i="2"/>
  <c r="F681" i="2"/>
  <c r="D681" i="2"/>
  <c r="G682" i="2"/>
  <c r="E682" i="2"/>
  <c r="P682" i="2"/>
  <c r="O682" i="2"/>
  <c r="H682" i="2"/>
  <c r="I682" i="2"/>
  <c r="N682" i="2"/>
  <c r="K683" i="2"/>
  <c r="J683" i="2"/>
  <c r="L683" i="2"/>
  <c r="F682" i="2"/>
  <c r="D682" i="2"/>
  <c r="G683" i="2"/>
  <c r="E683" i="2"/>
  <c r="P683" i="2"/>
  <c r="O683" i="2"/>
  <c r="H683" i="2"/>
  <c r="I683" i="2"/>
  <c r="N683" i="2"/>
  <c r="K684" i="2"/>
  <c r="J684" i="2"/>
  <c r="L684" i="2"/>
  <c r="F683" i="2"/>
  <c r="D683" i="2"/>
  <c r="G684" i="2"/>
  <c r="E684" i="2"/>
  <c r="P684" i="2"/>
  <c r="O684" i="2"/>
  <c r="H684" i="2"/>
  <c r="I684" i="2"/>
  <c r="N684" i="2"/>
  <c r="K685" i="2"/>
  <c r="J685" i="2"/>
  <c r="L685" i="2"/>
  <c r="F684" i="2"/>
  <c r="D684" i="2"/>
  <c r="G685" i="2"/>
  <c r="E685" i="2"/>
  <c r="P685" i="2"/>
  <c r="O685" i="2"/>
  <c r="H685" i="2"/>
  <c r="I685" i="2"/>
  <c r="N685" i="2"/>
  <c r="K686" i="2"/>
  <c r="J686" i="2"/>
  <c r="L686" i="2"/>
  <c r="F685" i="2"/>
  <c r="D685" i="2"/>
  <c r="G686" i="2"/>
  <c r="E686" i="2"/>
  <c r="P686" i="2"/>
  <c r="O686" i="2"/>
  <c r="H686" i="2"/>
  <c r="I686" i="2"/>
  <c r="N686" i="2"/>
  <c r="K687" i="2"/>
  <c r="J687" i="2"/>
  <c r="L687" i="2"/>
  <c r="F686" i="2"/>
  <c r="D686" i="2"/>
  <c r="G687" i="2"/>
  <c r="E687" i="2"/>
  <c r="P687" i="2"/>
  <c r="O687" i="2"/>
  <c r="H687" i="2"/>
  <c r="I687" i="2"/>
  <c r="N687" i="2"/>
  <c r="K688" i="2"/>
  <c r="J688" i="2"/>
  <c r="L688" i="2"/>
  <c r="F687" i="2"/>
  <c r="D687" i="2"/>
  <c r="G688" i="2"/>
  <c r="E688" i="2"/>
  <c r="P688" i="2"/>
  <c r="O688" i="2"/>
  <c r="H688" i="2"/>
  <c r="I688" i="2"/>
  <c r="N688" i="2"/>
  <c r="K689" i="2"/>
  <c r="J689" i="2"/>
  <c r="L689" i="2"/>
  <c r="F688" i="2"/>
  <c r="D688" i="2"/>
  <c r="G689" i="2"/>
  <c r="E689" i="2"/>
  <c r="P689" i="2"/>
  <c r="O689" i="2"/>
  <c r="H689" i="2"/>
  <c r="I689" i="2"/>
  <c r="N689" i="2"/>
  <c r="K690" i="2"/>
  <c r="J690" i="2"/>
  <c r="L690" i="2"/>
  <c r="F689" i="2"/>
  <c r="D689" i="2"/>
  <c r="G690" i="2"/>
  <c r="E690" i="2"/>
  <c r="P690" i="2"/>
  <c r="O690" i="2"/>
  <c r="H690" i="2"/>
  <c r="I690" i="2"/>
  <c r="N690" i="2"/>
  <c r="K691" i="2"/>
  <c r="J691" i="2"/>
  <c r="L691" i="2"/>
  <c r="F690" i="2"/>
  <c r="D690" i="2"/>
  <c r="G691" i="2"/>
  <c r="E691" i="2"/>
  <c r="P691" i="2"/>
  <c r="O691" i="2"/>
  <c r="H691" i="2"/>
  <c r="I691" i="2"/>
  <c r="N691" i="2"/>
  <c r="K692" i="2"/>
  <c r="J692" i="2"/>
  <c r="L692" i="2"/>
  <c r="F691" i="2"/>
  <c r="D691" i="2"/>
  <c r="G692" i="2"/>
  <c r="E692" i="2"/>
  <c r="P692" i="2"/>
  <c r="O692" i="2"/>
  <c r="H692" i="2"/>
  <c r="I692" i="2"/>
  <c r="N692" i="2"/>
  <c r="K693" i="2"/>
  <c r="J693" i="2"/>
  <c r="L693" i="2"/>
  <c r="F692" i="2"/>
  <c r="D692" i="2"/>
  <c r="G693" i="2"/>
  <c r="E693" i="2"/>
  <c r="P693" i="2"/>
  <c r="O693" i="2"/>
  <c r="H693" i="2"/>
  <c r="I693" i="2"/>
  <c r="N693" i="2"/>
  <c r="K694" i="2"/>
  <c r="J694" i="2"/>
  <c r="L694" i="2"/>
  <c r="F693" i="2"/>
  <c r="D693" i="2"/>
  <c r="G694" i="2"/>
  <c r="E694" i="2"/>
  <c r="P694" i="2"/>
  <c r="O694" i="2"/>
  <c r="H694" i="2"/>
  <c r="I694" i="2"/>
  <c r="N694" i="2"/>
  <c r="K695" i="2"/>
  <c r="J695" i="2"/>
  <c r="L695" i="2"/>
  <c r="F694" i="2"/>
  <c r="D694" i="2"/>
  <c r="G695" i="2"/>
  <c r="E695" i="2"/>
  <c r="P695" i="2"/>
  <c r="O695" i="2"/>
  <c r="H695" i="2"/>
  <c r="I695" i="2"/>
  <c r="N695" i="2"/>
  <c r="K696" i="2"/>
  <c r="J696" i="2"/>
  <c r="L696" i="2"/>
  <c r="F695" i="2"/>
  <c r="D695" i="2"/>
  <c r="G696" i="2"/>
  <c r="E696" i="2"/>
  <c r="P696" i="2"/>
  <c r="O696" i="2"/>
  <c r="H696" i="2"/>
  <c r="I696" i="2"/>
  <c r="N696" i="2"/>
  <c r="K697" i="2"/>
  <c r="J697" i="2"/>
  <c r="L697" i="2"/>
  <c r="F696" i="2"/>
  <c r="D696" i="2"/>
  <c r="G697" i="2"/>
  <c r="E697" i="2"/>
  <c r="P697" i="2"/>
  <c r="O697" i="2"/>
  <c r="H697" i="2"/>
  <c r="I697" i="2"/>
  <c r="N697" i="2"/>
  <c r="K698" i="2"/>
  <c r="J698" i="2"/>
  <c r="L698" i="2"/>
  <c r="F697" i="2"/>
  <c r="D697" i="2"/>
  <c r="G698" i="2"/>
  <c r="E698" i="2"/>
  <c r="P698" i="2"/>
  <c r="O698" i="2"/>
  <c r="H698" i="2"/>
  <c r="I698" i="2"/>
  <c r="N698" i="2"/>
  <c r="K699" i="2"/>
  <c r="J699" i="2"/>
  <c r="L699" i="2"/>
  <c r="F698" i="2"/>
  <c r="D698" i="2"/>
  <c r="G699" i="2"/>
  <c r="E699" i="2"/>
  <c r="P699" i="2"/>
  <c r="O699" i="2"/>
  <c r="H699" i="2"/>
  <c r="I699" i="2"/>
  <c r="N699" i="2"/>
  <c r="K700" i="2"/>
  <c r="J700" i="2"/>
  <c r="L700" i="2"/>
  <c r="F699" i="2"/>
  <c r="D699" i="2"/>
  <c r="G700" i="2"/>
  <c r="E700" i="2"/>
  <c r="P700" i="2"/>
  <c r="O700" i="2"/>
  <c r="H700" i="2"/>
  <c r="I700" i="2"/>
  <c r="N700" i="2"/>
  <c r="K701" i="2"/>
  <c r="J701" i="2"/>
  <c r="L701" i="2"/>
  <c r="F700" i="2"/>
  <c r="D700" i="2"/>
  <c r="G701" i="2"/>
  <c r="E701" i="2"/>
  <c r="P701" i="2"/>
  <c r="O701" i="2"/>
  <c r="H701" i="2"/>
  <c r="I701" i="2"/>
  <c r="N701" i="2"/>
  <c r="K702" i="2"/>
  <c r="J702" i="2"/>
  <c r="L702" i="2"/>
  <c r="F701" i="2"/>
  <c r="D701" i="2"/>
  <c r="G702" i="2"/>
  <c r="E702" i="2"/>
  <c r="P702" i="2"/>
  <c r="O702" i="2"/>
  <c r="H702" i="2"/>
  <c r="I702" i="2"/>
  <c r="N702" i="2"/>
  <c r="K703" i="2"/>
  <c r="J703" i="2"/>
  <c r="L703" i="2"/>
  <c r="F702" i="2"/>
  <c r="D702" i="2"/>
  <c r="G703" i="2"/>
  <c r="E703" i="2"/>
  <c r="P703" i="2"/>
  <c r="O703" i="2"/>
  <c r="H703" i="2"/>
  <c r="I703" i="2"/>
  <c r="N703" i="2"/>
  <c r="K704" i="2"/>
  <c r="J704" i="2"/>
  <c r="L704" i="2"/>
  <c r="F703" i="2"/>
  <c r="D703" i="2"/>
  <c r="G704" i="2"/>
  <c r="E704" i="2"/>
  <c r="P704" i="2"/>
  <c r="O704" i="2"/>
  <c r="H704" i="2"/>
  <c r="I704" i="2"/>
  <c r="N704" i="2"/>
  <c r="K705" i="2"/>
  <c r="J705" i="2"/>
  <c r="L705" i="2"/>
  <c r="F704" i="2"/>
  <c r="D704" i="2"/>
  <c r="G705" i="2"/>
  <c r="E705" i="2"/>
  <c r="P705" i="2"/>
  <c r="O705" i="2"/>
  <c r="H705" i="2"/>
  <c r="I705" i="2"/>
  <c r="N705" i="2"/>
  <c r="K706" i="2"/>
  <c r="J706" i="2"/>
  <c r="L706" i="2"/>
  <c r="F705" i="2"/>
  <c r="D705" i="2"/>
  <c r="G706" i="2"/>
  <c r="E706" i="2"/>
  <c r="P706" i="2"/>
  <c r="O706" i="2"/>
  <c r="H706" i="2"/>
  <c r="I706" i="2"/>
  <c r="N706" i="2"/>
  <c r="K707" i="2"/>
  <c r="J707" i="2"/>
  <c r="L707" i="2"/>
  <c r="F706" i="2"/>
  <c r="D706" i="2"/>
  <c r="G707" i="2"/>
  <c r="E707" i="2"/>
  <c r="P707" i="2"/>
  <c r="O707" i="2"/>
  <c r="H707" i="2"/>
  <c r="I707" i="2"/>
  <c r="N707" i="2"/>
  <c r="K708" i="2"/>
  <c r="J708" i="2"/>
  <c r="L708" i="2"/>
  <c r="F707" i="2"/>
  <c r="D707" i="2"/>
  <c r="G708" i="2"/>
  <c r="E708" i="2"/>
  <c r="P708" i="2"/>
  <c r="O708" i="2"/>
  <c r="H708" i="2"/>
  <c r="I708" i="2"/>
  <c r="N708" i="2"/>
  <c r="K709" i="2"/>
  <c r="J709" i="2"/>
  <c r="L709" i="2"/>
  <c r="F708" i="2"/>
  <c r="D708" i="2"/>
  <c r="G709" i="2"/>
  <c r="E709" i="2"/>
  <c r="P709" i="2"/>
  <c r="O709" i="2"/>
  <c r="H709" i="2"/>
  <c r="I709" i="2"/>
  <c r="N709" i="2"/>
  <c r="K710" i="2"/>
  <c r="J710" i="2"/>
  <c r="L710" i="2"/>
  <c r="F709" i="2"/>
  <c r="D709" i="2"/>
  <c r="G710" i="2"/>
  <c r="E710" i="2"/>
  <c r="P710" i="2"/>
  <c r="O710" i="2"/>
  <c r="H710" i="2"/>
  <c r="I710" i="2"/>
  <c r="N710" i="2"/>
  <c r="K711" i="2"/>
  <c r="J711" i="2"/>
  <c r="L711" i="2"/>
  <c r="F710" i="2"/>
  <c r="D710" i="2"/>
  <c r="G711" i="2"/>
  <c r="E711" i="2"/>
  <c r="P711" i="2"/>
  <c r="O711" i="2"/>
  <c r="H711" i="2"/>
  <c r="I711" i="2"/>
  <c r="N711" i="2"/>
  <c r="K712" i="2"/>
  <c r="J712" i="2"/>
  <c r="L712" i="2"/>
  <c r="F711" i="2"/>
  <c r="D711" i="2"/>
  <c r="G712" i="2"/>
  <c r="E712" i="2"/>
  <c r="P712" i="2"/>
  <c r="O712" i="2"/>
  <c r="H712" i="2"/>
  <c r="I712" i="2"/>
  <c r="N712" i="2"/>
  <c r="K713" i="2"/>
  <c r="J713" i="2"/>
  <c r="L713" i="2"/>
  <c r="F712" i="2"/>
  <c r="D712" i="2"/>
  <c r="G713" i="2"/>
  <c r="E713" i="2"/>
  <c r="P713" i="2"/>
  <c r="O713" i="2"/>
  <c r="H713" i="2"/>
  <c r="I713" i="2"/>
  <c r="N713" i="2"/>
  <c r="K714" i="2"/>
  <c r="J714" i="2"/>
  <c r="L714" i="2"/>
  <c r="F713" i="2"/>
  <c r="D713" i="2"/>
  <c r="G714" i="2"/>
  <c r="E714" i="2"/>
  <c r="P714" i="2"/>
  <c r="O714" i="2"/>
  <c r="H714" i="2"/>
  <c r="I714" i="2"/>
  <c r="N714" i="2"/>
  <c r="K715" i="2"/>
  <c r="J715" i="2"/>
  <c r="L715" i="2"/>
  <c r="F714" i="2"/>
  <c r="D714" i="2"/>
  <c r="G715" i="2"/>
  <c r="E715" i="2"/>
  <c r="P715" i="2"/>
  <c r="O715" i="2"/>
  <c r="H715" i="2"/>
  <c r="I715" i="2"/>
  <c r="N715" i="2"/>
  <c r="K716" i="2"/>
  <c r="J716" i="2"/>
  <c r="L716" i="2"/>
  <c r="F715" i="2"/>
  <c r="D715" i="2"/>
  <c r="G716" i="2"/>
  <c r="E716" i="2"/>
  <c r="P716" i="2"/>
  <c r="O716" i="2"/>
  <c r="H716" i="2"/>
  <c r="I716" i="2"/>
  <c r="N716" i="2"/>
  <c r="K717" i="2"/>
  <c r="J717" i="2"/>
  <c r="L717" i="2"/>
  <c r="F716" i="2"/>
  <c r="D716" i="2"/>
  <c r="G717" i="2"/>
  <c r="E717" i="2"/>
  <c r="P717" i="2"/>
  <c r="O717" i="2"/>
  <c r="H717" i="2"/>
  <c r="I717" i="2"/>
  <c r="N717" i="2"/>
  <c r="K718" i="2"/>
  <c r="J718" i="2"/>
  <c r="L718" i="2"/>
  <c r="F717" i="2"/>
  <c r="D717" i="2"/>
  <c r="G718" i="2"/>
  <c r="E718" i="2"/>
  <c r="P718" i="2"/>
  <c r="O718" i="2"/>
  <c r="H718" i="2"/>
  <c r="I718" i="2"/>
  <c r="N718" i="2"/>
  <c r="K719" i="2"/>
  <c r="J719" i="2"/>
  <c r="L719" i="2"/>
  <c r="F718" i="2"/>
  <c r="D718" i="2"/>
  <c r="G719" i="2"/>
  <c r="E719" i="2"/>
  <c r="P719" i="2"/>
  <c r="O719" i="2"/>
  <c r="H719" i="2"/>
  <c r="I719" i="2"/>
  <c r="N719" i="2"/>
  <c r="K720" i="2"/>
  <c r="J720" i="2"/>
  <c r="L720" i="2"/>
  <c r="F719" i="2"/>
  <c r="D719" i="2"/>
  <c r="G720" i="2"/>
  <c r="E720" i="2"/>
  <c r="P720" i="2"/>
  <c r="O720" i="2"/>
  <c r="H720" i="2"/>
  <c r="I720" i="2"/>
  <c r="N720" i="2"/>
  <c r="K721" i="2"/>
  <c r="J721" i="2"/>
  <c r="L721" i="2"/>
  <c r="F720" i="2"/>
  <c r="D720" i="2"/>
  <c r="G721" i="2"/>
  <c r="E721" i="2"/>
  <c r="P721" i="2"/>
  <c r="O721" i="2"/>
  <c r="H721" i="2"/>
  <c r="I721" i="2"/>
  <c r="N721" i="2"/>
  <c r="K722" i="2"/>
  <c r="J722" i="2"/>
  <c r="L722" i="2"/>
  <c r="F721" i="2"/>
  <c r="D721" i="2"/>
  <c r="G722" i="2"/>
  <c r="E722" i="2"/>
  <c r="P722" i="2"/>
  <c r="O722" i="2"/>
  <c r="H722" i="2"/>
  <c r="I722" i="2"/>
  <c r="N722" i="2"/>
  <c r="K723" i="2"/>
  <c r="J723" i="2"/>
  <c r="L723" i="2"/>
  <c r="F722" i="2"/>
  <c r="D722" i="2"/>
  <c r="G723" i="2"/>
  <c r="E723" i="2"/>
  <c r="P723" i="2"/>
  <c r="O723" i="2"/>
  <c r="H723" i="2"/>
  <c r="I723" i="2"/>
  <c r="N723" i="2"/>
  <c r="K724" i="2"/>
  <c r="J724" i="2"/>
  <c r="L724" i="2"/>
  <c r="F723" i="2"/>
  <c r="D723" i="2"/>
  <c r="G724" i="2"/>
  <c r="E724" i="2"/>
  <c r="P724" i="2"/>
  <c r="O724" i="2"/>
  <c r="H724" i="2"/>
  <c r="I724" i="2"/>
  <c r="N724" i="2"/>
  <c r="K725" i="2"/>
  <c r="J725" i="2"/>
  <c r="L725" i="2"/>
  <c r="F724" i="2"/>
  <c r="D724" i="2"/>
  <c r="G725" i="2"/>
  <c r="E725" i="2"/>
  <c r="P725" i="2"/>
  <c r="O725" i="2"/>
  <c r="H725" i="2"/>
  <c r="I725" i="2"/>
  <c r="N725" i="2"/>
  <c r="K726" i="2"/>
  <c r="J726" i="2"/>
  <c r="L726" i="2"/>
  <c r="F725" i="2"/>
  <c r="D725" i="2"/>
  <c r="G726" i="2"/>
  <c r="E726" i="2"/>
  <c r="P726" i="2"/>
  <c r="O726" i="2"/>
  <c r="H726" i="2"/>
  <c r="I726" i="2"/>
  <c r="N726" i="2"/>
  <c r="K727" i="2"/>
  <c r="J727" i="2"/>
  <c r="L727" i="2"/>
  <c r="F726" i="2"/>
  <c r="D726" i="2"/>
  <c r="G727" i="2"/>
  <c r="E727" i="2"/>
  <c r="P727" i="2"/>
  <c r="O727" i="2"/>
  <c r="H727" i="2"/>
  <c r="I727" i="2"/>
  <c r="N727" i="2"/>
  <c r="K728" i="2"/>
  <c r="J728" i="2"/>
  <c r="L728" i="2"/>
  <c r="F727" i="2"/>
  <c r="D727" i="2"/>
  <c r="G728" i="2"/>
  <c r="E728" i="2"/>
  <c r="P728" i="2"/>
  <c r="O728" i="2"/>
  <c r="H728" i="2"/>
  <c r="I728" i="2"/>
  <c r="N728" i="2"/>
  <c r="K729" i="2"/>
  <c r="J729" i="2"/>
  <c r="L729" i="2"/>
  <c r="F728" i="2"/>
  <c r="D728" i="2"/>
  <c r="G729" i="2"/>
  <c r="E729" i="2"/>
  <c r="P729" i="2"/>
  <c r="O729" i="2"/>
  <c r="H729" i="2"/>
  <c r="I729" i="2"/>
  <c r="N729" i="2"/>
  <c r="K730" i="2"/>
  <c r="J730" i="2"/>
  <c r="L730" i="2"/>
  <c r="F729" i="2"/>
  <c r="D729" i="2"/>
  <c r="G730" i="2"/>
  <c r="E730" i="2"/>
  <c r="P730" i="2"/>
  <c r="O730" i="2"/>
  <c r="H730" i="2"/>
  <c r="I730" i="2"/>
  <c r="N730" i="2"/>
  <c r="K731" i="2"/>
  <c r="J731" i="2"/>
  <c r="L731" i="2"/>
  <c r="F730" i="2"/>
  <c r="D730" i="2"/>
  <c r="G731" i="2"/>
  <c r="E731" i="2"/>
  <c r="P731" i="2"/>
  <c r="O731" i="2"/>
  <c r="H731" i="2"/>
  <c r="I731" i="2"/>
  <c r="N731" i="2"/>
  <c r="K732" i="2"/>
  <c r="J732" i="2"/>
  <c r="L732" i="2"/>
  <c r="F731" i="2"/>
  <c r="D731" i="2"/>
  <c r="G732" i="2"/>
  <c r="E732" i="2"/>
  <c r="P732" i="2"/>
  <c r="O732" i="2"/>
  <c r="H732" i="2"/>
  <c r="I732" i="2"/>
  <c r="N732" i="2"/>
  <c r="K733" i="2"/>
  <c r="J733" i="2"/>
  <c r="L733" i="2"/>
  <c r="F732" i="2"/>
  <c r="D732" i="2"/>
  <c r="G733" i="2"/>
  <c r="E733" i="2"/>
  <c r="P733" i="2"/>
  <c r="O733" i="2"/>
  <c r="H733" i="2"/>
  <c r="I733" i="2"/>
  <c r="N733" i="2"/>
  <c r="K734" i="2"/>
  <c r="J734" i="2"/>
  <c r="L734" i="2"/>
  <c r="F733" i="2"/>
  <c r="D733" i="2"/>
  <c r="G734" i="2"/>
  <c r="E734" i="2"/>
  <c r="P734" i="2"/>
  <c r="O734" i="2"/>
  <c r="H734" i="2"/>
  <c r="I734" i="2"/>
  <c r="N734" i="2"/>
  <c r="K735" i="2"/>
  <c r="J735" i="2"/>
  <c r="L735" i="2"/>
  <c r="F734" i="2"/>
  <c r="D734" i="2"/>
  <c r="G735" i="2"/>
  <c r="E735" i="2"/>
  <c r="P735" i="2"/>
  <c r="O735" i="2"/>
  <c r="H735" i="2"/>
  <c r="I735" i="2"/>
  <c r="N735" i="2"/>
  <c r="K736" i="2"/>
  <c r="J736" i="2"/>
  <c r="L736" i="2"/>
  <c r="F735" i="2"/>
  <c r="D735" i="2"/>
  <c r="G736" i="2"/>
  <c r="E736" i="2"/>
  <c r="P736" i="2"/>
  <c r="O736" i="2"/>
  <c r="H736" i="2"/>
  <c r="I736" i="2"/>
  <c r="N736" i="2"/>
  <c r="K737" i="2"/>
  <c r="J737" i="2"/>
  <c r="L737" i="2"/>
  <c r="F736" i="2"/>
  <c r="D736" i="2"/>
  <c r="G737" i="2"/>
  <c r="E737" i="2"/>
  <c r="P737" i="2"/>
  <c r="O737" i="2"/>
  <c r="H737" i="2"/>
  <c r="I737" i="2"/>
  <c r="N737" i="2"/>
  <c r="K738" i="2"/>
  <c r="J738" i="2"/>
  <c r="L738" i="2"/>
  <c r="F737" i="2"/>
  <c r="D737" i="2"/>
  <c r="G738" i="2"/>
  <c r="E738" i="2"/>
  <c r="P738" i="2"/>
  <c r="O738" i="2"/>
  <c r="H738" i="2"/>
  <c r="I738" i="2"/>
  <c r="N738" i="2"/>
  <c r="K739" i="2"/>
  <c r="J739" i="2"/>
  <c r="L739" i="2"/>
  <c r="F738" i="2"/>
  <c r="D738" i="2"/>
  <c r="G739" i="2"/>
  <c r="E739" i="2"/>
  <c r="P739" i="2"/>
  <c r="O739" i="2"/>
  <c r="H739" i="2"/>
  <c r="I739" i="2"/>
  <c r="N739" i="2"/>
  <c r="K740" i="2"/>
  <c r="J740" i="2"/>
  <c r="L740" i="2"/>
  <c r="F739" i="2"/>
  <c r="D739" i="2"/>
  <c r="G740" i="2"/>
  <c r="E740" i="2"/>
  <c r="P740" i="2"/>
  <c r="O740" i="2"/>
  <c r="H740" i="2"/>
  <c r="I740" i="2"/>
  <c r="N740" i="2"/>
  <c r="K741" i="2"/>
  <c r="J741" i="2"/>
  <c r="L741" i="2"/>
  <c r="F740" i="2"/>
  <c r="D740" i="2"/>
  <c r="G741" i="2"/>
  <c r="E741" i="2"/>
  <c r="P741" i="2"/>
  <c r="O741" i="2"/>
  <c r="H741" i="2"/>
  <c r="I741" i="2"/>
  <c r="N741" i="2"/>
  <c r="K742" i="2"/>
  <c r="J742" i="2"/>
  <c r="L742" i="2"/>
  <c r="F741" i="2"/>
  <c r="D741" i="2"/>
  <c r="G742" i="2"/>
  <c r="E742" i="2"/>
  <c r="P742" i="2"/>
  <c r="O742" i="2"/>
  <c r="H742" i="2"/>
  <c r="I742" i="2"/>
  <c r="N742" i="2"/>
  <c r="K743" i="2"/>
  <c r="J743" i="2"/>
  <c r="L743" i="2"/>
  <c r="F742" i="2"/>
  <c r="D742" i="2"/>
  <c r="G743" i="2"/>
  <c r="E743" i="2"/>
  <c r="P743" i="2"/>
  <c r="O743" i="2"/>
  <c r="H743" i="2"/>
  <c r="I743" i="2"/>
  <c r="N743" i="2"/>
  <c r="K744" i="2"/>
  <c r="J744" i="2"/>
  <c r="L744" i="2"/>
  <c r="F743" i="2"/>
  <c r="D743" i="2"/>
  <c r="G744" i="2"/>
  <c r="E744" i="2"/>
  <c r="P744" i="2"/>
  <c r="O744" i="2"/>
  <c r="H744" i="2"/>
  <c r="I744" i="2"/>
  <c r="N744" i="2"/>
  <c r="K745" i="2"/>
  <c r="J745" i="2"/>
  <c r="L745" i="2"/>
  <c r="F744" i="2"/>
  <c r="D744" i="2"/>
  <c r="G745" i="2"/>
  <c r="E745" i="2"/>
  <c r="P745" i="2"/>
  <c r="O745" i="2"/>
  <c r="H745" i="2"/>
  <c r="I745" i="2"/>
  <c r="N745" i="2"/>
  <c r="K746" i="2"/>
  <c r="J746" i="2"/>
  <c r="L746" i="2"/>
  <c r="F745" i="2"/>
  <c r="D745" i="2"/>
  <c r="G746" i="2"/>
  <c r="E746" i="2"/>
  <c r="P746" i="2"/>
  <c r="O746" i="2"/>
  <c r="H746" i="2"/>
  <c r="I746" i="2"/>
  <c r="N746" i="2"/>
  <c r="K747" i="2"/>
  <c r="J747" i="2"/>
  <c r="L747" i="2"/>
  <c r="F746" i="2"/>
  <c r="D746" i="2"/>
  <c r="G747" i="2"/>
  <c r="E747" i="2"/>
  <c r="P747" i="2"/>
  <c r="O747" i="2"/>
  <c r="H747" i="2"/>
  <c r="I747" i="2"/>
  <c r="N747" i="2"/>
  <c r="K748" i="2"/>
  <c r="J748" i="2"/>
  <c r="L748" i="2"/>
  <c r="F747" i="2"/>
  <c r="D747" i="2"/>
  <c r="G748" i="2"/>
  <c r="E748" i="2"/>
  <c r="P748" i="2"/>
  <c r="O748" i="2"/>
  <c r="H748" i="2"/>
  <c r="I748" i="2"/>
  <c r="N748" i="2"/>
  <c r="K749" i="2"/>
  <c r="J749" i="2"/>
  <c r="L749" i="2"/>
  <c r="F748" i="2"/>
  <c r="D748" i="2"/>
  <c r="G749" i="2"/>
  <c r="E749" i="2"/>
  <c r="P749" i="2"/>
  <c r="O749" i="2"/>
  <c r="H749" i="2"/>
  <c r="I749" i="2"/>
  <c r="N749" i="2"/>
  <c r="K750" i="2"/>
  <c r="J750" i="2"/>
  <c r="L750" i="2"/>
  <c r="F749" i="2"/>
  <c r="D749" i="2"/>
  <c r="G750" i="2"/>
  <c r="E750" i="2"/>
  <c r="P750" i="2"/>
  <c r="O750" i="2"/>
  <c r="H750" i="2"/>
  <c r="I750" i="2"/>
  <c r="N750" i="2"/>
  <c r="K751" i="2"/>
  <c r="J751" i="2"/>
  <c r="V3" i="2"/>
  <c r="V4" i="2"/>
  <c r="V5" i="2"/>
  <c r="V6" i="2"/>
  <c r="V7" i="2"/>
  <c r="V8" i="2"/>
  <c r="V9" i="2"/>
  <c r="V10" i="2"/>
  <c r="V11" i="2"/>
  <c r="F750" i="2"/>
  <c r="D750" i="2"/>
  <c r="G751" i="2"/>
  <c r="G3" i="2"/>
  <c r="L751" i="2"/>
  <c r="E751" i="2"/>
  <c r="U7" i="2"/>
  <c r="U9" i="2"/>
  <c r="U10" i="2"/>
  <c r="U3" i="2"/>
  <c r="U4" i="2"/>
  <c r="U5" i="2"/>
  <c r="U6" i="2"/>
  <c r="U8" i="2"/>
  <c r="U11" i="2"/>
  <c r="P751" i="2"/>
  <c r="O751" i="2"/>
  <c r="H751" i="2"/>
  <c r="I751" i="2"/>
  <c r="N751" i="2"/>
  <c r="O2" i="2"/>
  <c r="N2" i="2"/>
  <c r="F751" i="2"/>
  <c r="D751"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F3" i="2"/>
  <c r="C7" i="2"/>
  <c r="C6" i="2"/>
  <c r="C5" i="2"/>
  <c r="C4" i="2"/>
  <c r="C3" i="2"/>
  <c r="C2" i="2"/>
</calcChain>
</file>

<file path=xl/comments1.xml><?xml version="1.0" encoding="utf-8"?>
<comments xmlns="http://schemas.openxmlformats.org/spreadsheetml/2006/main">
  <authors>
    <author/>
  </authors>
  <commentList>
    <comment ref="A3" authorId="0">
      <text>
        <r>
          <rPr>
            <sz val="10"/>
            <color rgb="FF000000"/>
            <rFont val="Arial"/>
          </rPr>
          <t>These are the standard parameters for an exponential growth Generator.
	-Anthony Pecorella</t>
        </r>
      </text>
    </comment>
    <comment ref="A9" authorId="0">
      <text>
        <r>
          <rPr>
            <sz val="10"/>
            <color rgb="FF000000"/>
            <rFont val="Arial"/>
          </rPr>
          <t>Multiplier bonuses given based on owning a certain number of generators.
	-Anthony Pecorella</t>
        </r>
      </text>
    </comment>
    <comment ref="A20" authorId="0">
      <text>
        <r>
          <rPr>
            <sz val="10"/>
            <color rgb="FF000000"/>
            <rFont val="Arial"/>
          </rPr>
          <t>Adjust this to scale the number of seconds per "tick" and see prestige patterns farther out.
	-Anthony Pecorella</t>
        </r>
      </text>
    </comment>
    <comment ref="A22" authorId="0">
      <text>
        <r>
          <rPr>
            <sz val="10"/>
            <color rgb="FF000000"/>
            <rFont val="Arial"/>
          </rPr>
          <t>Once your lifetime earnings hit this number you will be eligible to earn your first prestige currency. This is how to scale the start point at which you would introduce prestiging to players.
	-Anthony Pecorella</t>
        </r>
      </text>
    </comment>
    <comment ref="A23" authorId="0">
      <text>
        <r>
          <rPr>
            <sz val="10"/>
            <color rgb="FF000000"/>
            <rFont val="Arial"/>
          </rPr>
          <t>A value between 0 and 1 that adjusts how much "reigning in" you want to do of the Primary currency. It is the exponent that the currency is raised to after dividing by the Prestige Divisor. Closer to 0 will scale back much more. AdVenture Capitalist uses 0.5 (which is the square root).
	-Anthony Pecorella</t>
        </r>
      </text>
    </comment>
    <comment ref="A25" authorId="0">
      <text>
        <r>
          <rPr>
            <sz val="10"/>
            <color rgb="FF000000"/>
            <rFont val="Arial"/>
          </rPr>
          <t>How much bonus does each prestige currency give you to production?
	-Anthony Pecorella</t>
        </r>
      </text>
    </comment>
    <comment ref="A27" authorId="0">
      <text>
        <r>
          <rPr>
            <sz val="10"/>
            <color rgb="FF000000"/>
            <rFont val="Arial"/>
          </rPr>
          <t>The target increase in prestige currency at which a player will decide to prestige. Typically 50% - 200% feels good for players, but it can definitely shift drastically in some situations.
	-Anthony Pecorella</t>
        </r>
      </text>
    </comment>
    <comment ref="A28" authorId="0">
      <text>
        <r>
          <rPr>
            <sz val="10"/>
            <color rgb="FF000000"/>
            <rFont val="Arial"/>
          </rPr>
          <t>This is just a workaround for the first prestige since we can't calculate a percent increase. However, you should also use this number as the point in the game at which you guide players to prestige if they haven't already.
	-Anthony Pecorella</t>
        </r>
      </text>
    </comment>
  </commentList>
</comments>
</file>

<file path=xl/comments2.xml><?xml version="1.0" encoding="utf-8"?>
<comments xmlns="http://schemas.openxmlformats.org/spreadsheetml/2006/main">
  <authors>
    <author/>
  </authors>
  <commentList>
    <comment ref="H2" authorId="0">
      <text>
        <r>
          <rPr>
            <sz val="10"/>
            <color rgb="FF000000"/>
            <rFont val="Arial"/>
          </rPr>
          <t>Excel freaks out discplaying log(0), so this is set to 1 to avoid weird graphs.</t>
        </r>
      </text>
    </comment>
    <comment ref="U2" authorId="0">
      <text>
        <r>
          <rPr>
            <sz val="10"/>
            <color rgb="FF000000"/>
            <rFont val="Arial"/>
          </rPr>
          <t>Simplifies some calculations to just pre-calculate these here.
	-Anthony Pecorella</t>
        </r>
      </text>
    </comment>
  </commentList>
</comments>
</file>

<file path=xl/sharedStrings.xml><?xml version="1.0" encoding="utf-8"?>
<sst xmlns="http://schemas.openxmlformats.org/spreadsheetml/2006/main" count="27" uniqueCount="27">
  <si>
    <t>Time (minutes)</t>
  </si>
  <si>
    <t>Currency Balance</t>
  </si>
  <si>
    <t>Count</t>
  </si>
  <si>
    <t>Cost</t>
  </si>
  <si>
    <t>Max Afford</t>
  </si>
  <si>
    <t>Prestige Currency</t>
  </si>
  <si>
    <t>Prestige Mult</t>
  </si>
  <si>
    <t>Prestige to Gain</t>
  </si>
  <si>
    <t>Lifetime Earnings</t>
  </si>
  <si>
    <t>Prestige Number</t>
  </si>
  <si>
    <t>Income / sec</t>
  </si>
  <si>
    <t>Base Incom Value</t>
  </si>
  <si>
    <t>Bonus for Count</t>
  </si>
  <si>
    <t>Tick</t>
  </si>
  <si>
    <t>Cumulative Bonuses</t>
  </si>
  <si>
    <t>This sheet attempts to model prestige patterns for players, getting a sense of how the length of time between prestiges can be varied to keep things interesting. This is a simplified model with only a single generator but still functions as a demonstration of how these progressions look. A simple decision process is used for when to prestige: the player prestiges when gaining a target amount more prestige currency. For example, if set at 100% the player would prestige each time they would double their prestige currency. The currency gives a global bonus to production, and the "cost" of prestige currency is based on lifetime earnings in the game. Purchases and income are calculated per "tick", so if you have that longer than 1 second you won't be "optimal" in your growth, but should still be fine.</t>
  </si>
  <si>
    <t>Generator</t>
  </si>
  <si>
    <t>Base Income</t>
  </si>
  <si>
    <t>Starting Cost</t>
  </si>
  <si>
    <t xml:space="preserve">Cost Mult Factor </t>
  </si>
  <si>
    <t>Count Bonus (Non-Cumulative)</t>
  </si>
  <si>
    <t>Seconds / tick</t>
  </si>
  <si>
    <t>Prestige Divisor</t>
  </si>
  <si>
    <t>Prestige Fractional Exponent</t>
  </si>
  <si>
    <t>Prestige Currency Multiplier</t>
  </si>
  <si>
    <t>Prestige when gaining...</t>
  </si>
  <si>
    <t>First prestige to get X currency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</si>
</sst>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0.0"/>
    <numFmt numFmtId="166" formatCode="0.0%"/>
  </numFmts>
  <fonts count="6" x14ac:knownFonts="1">
    <font>
      <sz val="10"/>
      <color rgb="FF000000"/>
      <name val="Arial"/>
    </font>
    <font>
      <sz val="10"/>
      <name val="Arial"/>
    </font>
    <font>
      <b/>
      <sz val="10"/>
      <name val="Arial"/>
    </font>
    <font>
      <i/>
      <sz val="10"/>
      <name val="Arial"/>
    </font>
    <font>
      <u/>
      <sz val="10"/>
      <color theme="10"/>
      <name val="Arial"/>
    </font>
    <font>
      <u/>
      <sz val="10"/>
      <color theme="11"/>
      <name val="Arial"/>
    </font>
  </fonts>
  <fills count="4">
    <fill>
      <patternFill patternType="none"/>
    </fill>
    <fill>
      <patternFill patternType="gray125"/>
    </fill>
    <fill>
      <patternFill patternType="solid">
        <fgColor rgb="FFFFF2CC"/>
        <bgColor rgb="FFFFF2CC"/>
      </patternFill>
    </fill>
    <fill>
      <patternFill patternType="solid">
        <fgColor rgb="FFD9EAD3"/>
        <bgColor rgb="FFD9EAD3"/>
      </patternFill>
    </fill>
  </fills>
  <borders count="1">
    <border>
      <left/>
      <right/>
      <top/>
      <bottom/>
      <diagonal/>
    </border>
  </borders>
  <cellStyleXfs count="3">
    <xf numFmtId="0" fontId="0" fillId="0" borderId="0"/>
    <xf numFmtId="0" fontId="4" fillId="0" borderId="0" applyNumberFormat="0" applyFill="0" applyBorder="0" applyAlignment="0" applyProtection="0"/>
    <xf numFmtId="0" fontId="5" fillId="0" borderId="0" applyNumberFormat="0" applyFill="0" applyBorder="0" applyAlignment="0" applyProtection="0"/>
  </cellStyleXfs>
  <cellXfs count="17">
    <xf numFmtId="0" fontId="0" fillId="0" borderId="0" xfId="0" applyFont="1" applyAlignment="1"/>
    <xf numFmtId="164" fontId="1" fillId="0" borderId="0" xfId="0" applyNumberFormat="1" applyFont="1" applyAlignment="1"/>
    <xf numFmtId="1" fontId="1" fillId="0" borderId="0" xfId="0" applyNumberFormat="1" applyFont="1" applyAlignment="1"/>
    <xf numFmtId="0" fontId="1" fillId="0" borderId="0" xfId="0" applyFont="1" applyAlignment="1"/>
    <xf numFmtId="165" fontId="1" fillId="0" borderId="0" xfId="0" applyNumberFormat="1" applyFont="1" applyAlignment="1"/>
    <xf numFmtId="165" fontId="1" fillId="0" borderId="0" xfId="0" applyNumberFormat="1" applyFont="1"/>
    <xf numFmtId="0" fontId="1" fillId="2" borderId="0" xfId="0" applyFont="1" applyFill="1" applyAlignment="1"/>
    <xf numFmtId="2" fontId="1" fillId="0" borderId="0" xfId="0" applyNumberFormat="1" applyFont="1"/>
    <xf numFmtId="1" fontId="1" fillId="0" borderId="0" xfId="0" applyNumberFormat="1" applyFont="1"/>
    <xf numFmtId="0" fontId="2" fillId="2" borderId="0" xfId="0" applyFont="1" applyFill="1" applyAlignment="1"/>
    <xf numFmtId="0" fontId="3" fillId="0" borderId="0" xfId="0" applyFont="1" applyAlignment="1"/>
    <xf numFmtId="0" fontId="1" fillId="3" borderId="0" xfId="0" applyFont="1" applyFill="1" applyAlignment="1"/>
    <xf numFmtId="166" fontId="1" fillId="3" borderId="0" xfId="0" applyNumberFormat="1" applyFont="1" applyFill="1" applyAlignment="1"/>
    <xf numFmtId="164" fontId="1" fillId="0" borderId="0" xfId="0" applyNumberFormat="1" applyFont="1"/>
    <xf numFmtId="0" fontId="1" fillId="0" borderId="0" xfId="0" applyFont="1" applyAlignment="1">
      <alignment wrapText="1"/>
    </xf>
    <xf numFmtId="0" fontId="0" fillId="0" borderId="0" xfId="0" applyFont="1" applyAlignment="1"/>
    <xf numFmtId="1" fontId="0" fillId="0" borderId="0" xfId="0" applyNumberFormat="1" applyFont="1" applyAlignment="1"/>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Currency Balance and Generator Count</a:t>
            </a:r>
          </a:p>
        </c:rich>
      </c:tx>
      <c:layout/>
      <c:overlay val="0"/>
    </c:title>
    <c:autoTitleDeleted val="0"/>
    <c:plotArea>
      <c:layout/>
      <c:lineChart>
        <c:grouping val="standard"/>
        <c:varyColors val="0"/>
        <c:ser>
          <c:idx val="1"/>
          <c:order val="1"/>
          <c:tx>
            <c:strRef>
              <c:f>'Calc for Prestige Patterns'!$E$1</c:f>
              <c:strCache>
                <c:ptCount val="1"/>
                <c:pt idx="0">
                  <c:v>Count</c:v>
                </c:pt>
              </c:strCache>
            </c:strRef>
          </c:tx>
          <c:spPr>
            <a:ln w="25400" cmpd="sng">
              <a:solidFill>
                <a:srgbClr val="DC3912"/>
              </a:solidFill>
            </a:ln>
          </c:spPr>
          <c:marker>
            <c:symbol val="none"/>
          </c:marker>
          <c:cat>
            <c:numRef>
              <c:f>'Calc for Prestige Patterns'!$C$2:$C$750</c:f>
              <c:numCache>
                <c:formatCode>0</c:formatCode>
                <c:ptCount val="749"/>
                <c:pt idx="0">
                  <c:v>0.5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pt idx="19">
                  <c:v>10.0</c:v>
                </c:pt>
                <c:pt idx="20">
                  <c:v>10.5</c:v>
                </c:pt>
                <c:pt idx="21">
                  <c:v>11.0</c:v>
                </c:pt>
                <c:pt idx="22">
                  <c:v>11.5</c:v>
                </c:pt>
                <c:pt idx="23">
                  <c:v>12.0</c:v>
                </c:pt>
                <c:pt idx="24">
                  <c:v>12.5</c:v>
                </c:pt>
                <c:pt idx="25">
                  <c:v>13.0</c:v>
                </c:pt>
                <c:pt idx="26">
                  <c:v>13.5</c:v>
                </c:pt>
                <c:pt idx="27">
                  <c:v>14.0</c:v>
                </c:pt>
                <c:pt idx="28">
                  <c:v>14.5</c:v>
                </c:pt>
                <c:pt idx="29">
                  <c:v>15.0</c:v>
                </c:pt>
                <c:pt idx="30">
                  <c:v>15.5</c:v>
                </c:pt>
                <c:pt idx="31">
                  <c:v>16.0</c:v>
                </c:pt>
                <c:pt idx="32">
                  <c:v>16.5</c:v>
                </c:pt>
                <c:pt idx="33">
                  <c:v>17.0</c:v>
                </c:pt>
                <c:pt idx="34">
                  <c:v>17.5</c:v>
                </c:pt>
                <c:pt idx="35">
                  <c:v>18.0</c:v>
                </c:pt>
                <c:pt idx="36">
                  <c:v>18.5</c:v>
                </c:pt>
                <c:pt idx="37">
                  <c:v>19.0</c:v>
                </c:pt>
                <c:pt idx="38">
                  <c:v>19.5</c:v>
                </c:pt>
                <c:pt idx="39">
                  <c:v>20.0</c:v>
                </c:pt>
                <c:pt idx="40">
                  <c:v>20.5</c:v>
                </c:pt>
                <c:pt idx="41">
                  <c:v>21.0</c:v>
                </c:pt>
                <c:pt idx="42">
                  <c:v>21.5</c:v>
                </c:pt>
                <c:pt idx="43">
                  <c:v>22.0</c:v>
                </c:pt>
                <c:pt idx="44">
                  <c:v>22.5</c:v>
                </c:pt>
                <c:pt idx="45">
                  <c:v>23.0</c:v>
                </c:pt>
                <c:pt idx="46">
                  <c:v>23.5</c:v>
                </c:pt>
                <c:pt idx="47">
                  <c:v>24.0</c:v>
                </c:pt>
                <c:pt idx="48">
                  <c:v>24.5</c:v>
                </c:pt>
                <c:pt idx="49">
                  <c:v>25.0</c:v>
                </c:pt>
                <c:pt idx="50">
                  <c:v>25.5</c:v>
                </c:pt>
                <c:pt idx="51">
                  <c:v>26.0</c:v>
                </c:pt>
                <c:pt idx="52">
                  <c:v>26.5</c:v>
                </c:pt>
                <c:pt idx="53">
                  <c:v>27.0</c:v>
                </c:pt>
                <c:pt idx="54">
                  <c:v>27.5</c:v>
                </c:pt>
                <c:pt idx="55">
                  <c:v>28.0</c:v>
                </c:pt>
                <c:pt idx="56">
                  <c:v>28.5</c:v>
                </c:pt>
                <c:pt idx="57">
                  <c:v>29.0</c:v>
                </c:pt>
                <c:pt idx="58">
                  <c:v>29.5</c:v>
                </c:pt>
                <c:pt idx="59">
                  <c:v>30.0</c:v>
                </c:pt>
                <c:pt idx="60">
                  <c:v>30.5</c:v>
                </c:pt>
                <c:pt idx="61">
                  <c:v>31.0</c:v>
                </c:pt>
                <c:pt idx="62">
                  <c:v>31.5</c:v>
                </c:pt>
                <c:pt idx="63">
                  <c:v>32.0</c:v>
                </c:pt>
                <c:pt idx="64">
                  <c:v>32.5</c:v>
                </c:pt>
                <c:pt idx="65">
                  <c:v>33.0</c:v>
                </c:pt>
                <c:pt idx="66">
                  <c:v>33.5</c:v>
                </c:pt>
                <c:pt idx="67">
                  <c:v>34.0</c:v>
                </c:pt>
                <c:pt idx="68">
                  <c:v>34.5</c:v>
                </c:pt>
                <c:pt idx="69">
                  <c:v>35.0</c:v>
                </c:pt>
                <c:pt idx="70">
                  <c:v>35.5</c:v>
                </c:pt>
                <c:pt idx="71">
                  <c:v>36.0</c:v>
                </c:pt>
                <c:pt idx="72">
                  <c:v>36.5</c:v>
                </c:pt>
                <c:pt idx="73">
                  <c:v>37.0</c:v>
                </c:pt>
                <c:pt idx="74">
                  <c:v>37.5</c:v>
                </c:pt>
                <c:pt idx="75">
                  <c:v>38.0</c:v>
                </c:pt>
                <c:pt idx="76">
                  <c:v>38.5</c:v>
                </c:pt>
                <c:pt idx="77">
                  <c:v>39.0</c:v>
                </c:pt>
                <c:pt idx="78">
                  <c:v>39.5</c:v>
                </c:pt>
                <c:pt idx="79">
                  <c:v>40.0</c:v>
                </c:pt>
                <c:pt idx="80">
                  <c:v>40.5</c:v>
                </c:pt>
                <c:pt idx="81">
                  <c:v>41.0</c:v>
                </c:pt>
                <c:pt idx="82">
                  <c:v>41.5</c:v>
                </c:pt>
                <c:pt idx="83">
                  <c:v>42.0</c:v>
                </c:pt>
                <c:pt idx="84">
                  <c:v>42.5</c:v>
                </c:pt>
                <c:pt idx="85">
                  <c:v>43.0</c:v>
                </c:pt>
                <c:pt idx="86">
                  <c:v>43.5</c:v>
                </c:pt>
                <c:pt idx="87">
                  <c:v>44.0</c:v>
                </c:pt>
                <c:pt idx="88">
                  <c:v>44.5</c:v>
                </c:pt>
                <c:pt idx="89">
                  <c:v>45.0</c:v>
                </c:pt>
                <c:pt idx="90">
                  <c:v>45.5</c:v>
                </c:pt>
                <c:pt idx="91">
                  <c:v>46.0</c:v>
                </c:pt>
                <c:pt idx="92">
                  <c:v>46.5</c:v>
                </c:pt>
                <c:pt idx="93">
                  <c:v>47.0</c:v>
                </c:pt>
                <c:pt idx="94">
                  <c:v>47.5</c:v>
                </c:pt>
                <c:pt idx="95">
                  <c:v>48.0</c:v>
                </c:pt>
                <c:pt idx="96">
                  <c:v>48.5</c:v>
                </c:pt>
                <c:pt idx="97">
                  <c:v>49.0</c:v>
                </c:pt>
                <c:pt idx="98">
                  <c:v>49.5</c:v>
                </c:pt>
                <c:pt idx="99">
                  <c:v>50.0</c:v>
                </c:pt>
                <c:pt idx="100">
                  <c:v>50.5</c:v>
                </c:pt>
                <c:pt idx="101">
                  <c:v>51.0</c:v>
                </c:pt>
                <c:pt idx="102">
                  <c:v>51.5</c:v>
                </c:pt>
                <c:pt idx="103">
                  <c:v>52.0</c:v>
                </c:pt>
                <c:pt idx="104">
                  <c:v>52.5</c:v>
                </c:pt>
                <c:pt idx="105">
                  <c:v>53.0</c:v>
                </c:pt>
                <c:pt idx="106">
                  <c:v>53.5</c:v>
                </c:pt>
                <c:pt idx="107">
                  <c:v>54.0</c:v>
                </c:pt>
                <c:pt idx="108">
                  <c:v>54.5</c:v>
                </c:pt>
                <c:pt idx="109">
                  <c:v>55.0</c:v>
                </c:pt>
                <c:pt idx="110">
                  <c:v>55.5</c:v>
                </c:pt>
                <c:pt idx="111">
                  <c:v>56.0</c:v>
                </c:pt>
                <c:pt idx="112">
                  <c:v>56.5</c:v>
                </c:pt>
                <c:pt idx="113">
                  <c:v>57.0</c:v>
                </c:pt>
                <c:pt idx="114">
                  <c:v>57.5</c:v>
                </c:pt>
                <c:pt idx="115">
                  <c:v>58.0</c:v>
                </c:pt>
                <c:pt idx="116">
                  <c:v>58.5</c:v>
                </c:pt>
                <c:pt idx="117">
                  <c:v>59.0</c:v>
                </c:pt>
                <c:pt idx="118">
                  <c:v>59.5</c:v>
                </c:pt>
                <c:pt idx="119">
                  <c:v>60.0</c:v>
                </c:pt>
                <c:pt idx="120">
                  <c:v>60.5</c:v>
                </c:pt>
                <c:pt idx="121">
                  <c:v>61.0</c:v>
                </c:pt>
                <c:pt idx="122">
                  <c:v>61.5</c:v>
                </c:pt>
                <c:pt idx="123">
                  <c:v>62.0</c:v>
                </c:pt>
                <c:pt idx="124">
                  <c:v>62.5</c:v>
                </c:pt>
                <c:pt idx="125">
                  <c:v>63.0</c:v>
                </c:pt>
                <c:pt idx="126">
                  <c:v>63.5</c:v>
                </c:pt>
                <c:pt idx="127">
                  <c:v>64.0</c:v>
                </c:pt>
                <c:pt idx="128">
                  <c:v>64.5</c:v>
                </c:pt>
                <c:pt idx="129">
                  <c:v>65.0</c:v>
                </c:pt>
                <c:pt idx="130">
                  <c:v>65.5</c:v>
                </c:pt>
                <c:pt idx="131">
                  <c:v>66.0</c:v>
                </c:pt>
                <c:pt idx="132">
                  <c:v>66.5</c:v>
                </c:pt>
                <c:pt idx="133">
                  <c:v>67.0</c:v>
                </c:pt>
                <c:pt idx="134">
                  <c:v>67.5</c:v>
                </c:pt>
                <c:pt idx="135">
                  <c:v>68.0</c:v>
                </c:pt>
                <c:pt idx="136">
                  <c:v>68.5</c:v>
                </c:pt>
                <c:pt idx="137">
                  <c:v>69.0</c:v>
                </c:pt>
                <c:pt idx="138">
                  <c:v>69.5</c:v>
                </c:pt>
                <c:pt idx="139">
                  <c:v>70.0</c:v>
                </c:pt>
                <c:pt idx="140">
                  <c:v>70.5</c:v>
                </c:pt>
                <c:pt idx="141">
                  <c:v>71.0</c:v>
                </c:pt>
                <c:pt idx="142">
                  <c:v>71.5</c:v>
                </c:pt>
                <c:pt idx="143">
                  <c:v>72.0</c:v>
                </c:pt>
                <c:pt idx="144">
                  <c:v>72.5</c:v>
                </c:pt>
                <c:pt idx="145">
                  <c:v>73.0</c:v>
                </c:pt>
                <c:pt idx="146">
                  <c:v>73.5</c:v>
                </c:pt>
                <c:pt idx="147">
                  <c:v>74.0</c:v>
                </c:pt>
                <c:pt idx="148">
                  <c:v>74.5</c:v>
                </c:pt>
                <c:pt idx="149">
                  <c:v>75.0</c:v>
                </c:pt>
                <c:pt idx="150">
                  <c:v>75.5</c:v>
                </c:pt>
                <c:pt idx="151">
                  <c:v>76.0</c:v>
                </c:pt>
                <c:pt idx="152">
                  <c:v>76.5</c:v>
                </c:pt>
                <c:pt idx="153">
                  <c:v>77.0</c:v>
                </c:pt>
                <c:pt idx="154">
                  <c:v>77.5</c:v>
                </c:pt>
                <c:pt idx="155">
                  <c:v>78.0</c:v>
                </c:pt>
                <c:pt idx="156">
                  <c:v>78.5</c:v>
                </c:pt>
                <c:pt idx="157">
                  <c:v>79.0</c:v>
                </c:pt>
                <c:pt idx="158">
                  <c:v>79.5</c:v>
                </c:pt>
                <c:pt idx="159">
                  <c:v>80.0</c:v>
                </c:pt>
                <c:pt idx="160">
                  <c:v>80.5</c:v>
                </c:pt>
                <c:pt idx="161">
                  <c:v>81.0</c:v>
                </c:pt>
                <c:pt idx="162">
                  <c:v>81.5</c:v>
                </c:pt>
                <c:pt idx="163">
                  <c:v>82.0</c:v>
                </c:pt>
                <c:pt idx="164">
                  <c:v>82.5</c:v>
                </c:pt>
                <c:pt idx="165">
                  <c:v>83.0</c:v>
                </c:pt>
                <c:pt idx="166">
                  <c:v>83.5</c:v>
                </c:pt>
                <c:pt idx="167">
                  <c:v>84.0</c:v>
                </c:pt>
                <c:pt idx="168">
                  <c:v>84.5</c:v>
                </c:pt>
                <c:pt idx="169">
                  <c:v>85.0</c:v>
                </c:pt>
                <c:pt idx="170">
                  <c:v>85.5</c:v>
                </c:pt>
                <c:pt idx="171">
                  <c:v>86.0</c:v>
                </c:pt>
                <c:pt idx="172">
                  <c:v>86.5</c:v>
                </c:pt>
                <c:pt idx="173">
                  <c:v>87.0</c:v>
                </c:pt>
                <c:pt idx="174">
                  <c:v>87.5</c:v>
                </c:pt>
                <c:pt idx="175">
                  <c:v>88.0</c:v>
                </c:pt>
                <c:pt idx="176">
                  <c:v>88.5</c:v>
                </c:pt>
                <c:pt idx="177">
                  <c:v>89.0</c:v>
                </c:pt>
                <c:pt idx="178">
                  <c:v>89.5</c:v>
                </c:pt>
                <c:pt idx="179">
                  <c:v>90.0</c:v>
                </c:pt>
                <c:pt idx="180">
                  <c:v>90.5</c:v>
                </c:pt>
                <c:pt idx="181">
                  <c:v>91.0</c:v>
                </c:pt>
                <c:pt idx="182">
                  <c:v>91.5</c:v>
                </c:pt>
                <c:pt idx="183">
                  <c:v>92.0</c:v>
                </c:pt>
                <c:pt idx="184">
                  <c:v>92.5</c:v>
                </c:pt>
                <c:pt idx="185">
                  <c:v>93.0</c:v>
                </c:pt>
                <c:pt idx="186">
                  <c:v>93.5</c:v>
                </c:pt>
                <c:pt idx="187">
                  <c:v>94.0</c:v>
                </c:pt>
                <c:pt idx="188">
                  <c:v>94.5</c:v>
                </c:pt>
                <c:pt idx="189">
                  <c:v>95.0</c:v>
                </c:pt>
                <c:pt idx="190">
                  <c:v>95.5</c:v>
                </c:pt>
                <c:pt idx="191">
                  <c:v>96.0</c:v>
                </c:pt>
                <c:pt idx="192">
                  <c:v>96.5</c:v>
                </c:pt>
                <c:pt idx="193">
                  <c:v>97.0</c:v>
                </c:pt>
                <c:pt idx="194">
                  <c:v>97.5</c:v>
                </c:pt>
                <c:pt idx="195">
                  <c:v>98.0</c:v>
                </c:pt>
                <c:pt idx="196">
                  <c:v>98.5</c:v>
                </c:pt>
                <c:pt idx="197">
                  <c:v>99.0</c:v>
                </c:pt>
                <c:pt idx="198">
                  <c:v>99.5</c:v>
                </c:pt>
                <c:pt idx="199">
                  <c:v>100.0</c:v>
                </c:pt>
                <c:pt idx="200">
                  <c:v>100.5</c:v>
                </c:pt>
                <c:pt idx="201">
                  <c:v>101.0</c:v>
                </c:pt>
                <c:pt idx="202">
                  <c:v>101.5</c:v>
                </c:pt>
                <c:pt idx="203">
                  <c:v>102.0</c:v>
                </c:pt>
                <c:pt idx="204">
                  <c:v>102.5</c:v>
                </c:pt>
                <c:pt idx="205">
                  <c:v>103.0</c:v>
                </c:pt>
                <c:pt idx="206">
                  <c:v>103.5</c:v>
                </c:pt>
                <c:pt idx="207">
                  <c:v>104.0</c:v>
                </c:pt>
                <c:pt idx="208">
                  <c:v>104.5</c:v>
                </c:pt>
                <c:pt idx="209">
                  <c:v>105.0</c:v>
                </c:pt>
                <c:pt idx="210">
                  <c:v>105.5</c:v>
                </c:pt>
                <c:pt idx="211">
                  <c:v>106.0</c:v>
                </c:pt>
                <c:pt idx="212">
                  <c:v>106.5</c:v>
                </c:pt>
                <c:pt idx="213">
                  <c:v>107.0</c:v>
                </c:pt>
                <c:pt idx="214">
                  <c:v>107.5</c:v>
                </c:pt>
                <c:pt idx="215">
                  <c:v>108.0</c:v>
                </c:pt>
                <c:pt idx="216">
                  <c:v>108.5</c:v>
                </c:pt>
                <c:pt idx="217">
                  <c:v>109.0</c:v>
                </c:pt>
                <c:pt idx="218">
                  <c:v>109.5</c:v>
                </c:pt>
                <c:pt idx="219">
                  <c:v>110.0</c:v>
                </c:pt>
                <c:pt idx="220">
                  <c:v>110.5</c:v>
                </c:pt>
                <c:pt idx="221">
                  <c:v>111.0</c:v>
                </c:pt>
                <c:pt idx="222">
                  <c:v>111.5</c:v>
                </c:pt>
                <c:pt idx="223">
                  <c:v>112.0</c:v>
                </c:pt>
                <c:pt idx="224">
                  <c:v>112.5</c:v>
                </c:pt>
                <c:pt idx="225">
                  <c:v>113.0</c:v>
                </c:pt>
                <c:pt idx="226">
                  <c:v>113.5</c:v>
                </c:pt>
                <c:pt idx="227">
                  <c:v>114.0</c:v>
                </c:pt>
                <c:pt idx="228">
                  <c:v>114.5</c:v>
                </c:pt>
                <c:pt idx="229">
                  <c:v>115.0</c:v>
                </c:pt>
                <c:pt idx="230">
                  <c:v>115.5</c:v>
                </c:pt>
                <c:pt idx="231">
                  <c:v>116.0</c:v>
                </c:pt>
                <c:pt idx="232">
                  <c:v>116.5</c:v>
                </c:pt>
                <c:pt idx="233">
                  <c:v>117.0</c:v>
                </c:pt>
                <c:pt idx="234">
                  <c:v>117.5</c:v>
                </c:pt>
                <c:pt idx="235">
                  <c:v>118.0</c:v>
                </c:pt>
                <c:pt idx="236">
                  <c:v>118.5</c:v>
                </c:pt>
                <c:pt idx="237">
                  <c:v>119.0</c:v>
                </c:pt>
                <c:pt idx="238">
                  <c:v>119.5</c:v>
                </c:pt>
                <c:pt idx="239">
                  <c:v>120.0</c:v>
                </c:pt>
                <c:pt idx="240">
                  <c:v>120.5</c:v>
                </c:pt>
                <c:pt idx="241">
                  <c:v>121.0</c:v>
                </c:pt>
                <c:pt idx="242">
                  <c:v>121.5</c:v>
                </c:pt>
                <c:pt idx="243">
                  <c:v>122.0</c:v>
                </c:pt>
                <c:pt idx="244">
                  <c:v>122.5</c:v>
                </c:pt>
                <c:pt idx="245">
                  <c:v>123.0</c:v>
                </c:pt>
                <c:pt idx="246">
                  <c:v>123.5</c:v>
                </c:pt>
                <c:pt idx="247">
                  <c:v>124.0</c:v>
                </c:pt>
                <c:pt idx="248">
                  <c:v>124.5</c:v>
                </c:pt>
                <c:pt idx="249">
                  <c:v>125.0</c:v>
                </c:pt>
                <c:pt idx="250">
                  <c:v>125.5</c:v>
                </c:pt>
                <c:pt idx="251">
                  <c:v>126.0</c:v>
                </c:pt>
                <c:pt idx="252">
                  <c:v>126.5</c:v>
                </c:pt>
                <c:pt idx="253">
                  <c:v>127.0</c:v>
                </c:pt>
                <c:pt idx="254">
                  <c:v>127.5</c:v>
                </c:pt>
                <c:pt idx="255">
                  <c:v>128.0</c:v>
                </c:pt>
                <c:pt idx="256">
                  <c:v>128.5</c:v>
                </c:pt>
                <c:pt idx="257">
                  <c:v>129.0</c:v>
                </c:pt>
                <c:pt idx="258">
                  <c:v>129.5</c:v>
                </c:pt>
                <c:pt idx="259">
                  <c:v>130.0</c:v>
                </c:pt>
                <c:pt idx="260">
                  <c:v>130.5</c:v>
                </c:pt>
                <c:pt idx="261">
                  <c:v>131.0</c:v>
                </c:pt>
                <c:pt idx="262">
                  <c:v>131.5</c:v>
                </c:pt>
                <c:pt idx="263">
                  <c:v>132.0</c:v>
                </c:pt>
                <c:pt idx="264">
                  <c:v>132.5</c:v>
                </c:pt>
                <c:pt idx="265">
                  <c:v>133.0</c:v>
                </c:pt>
                <c:pt idx="266">
                  <c:v>133.5</c:v>
                </c:pt>
                <c:pt idx="267">
                  <c:v>134.0</c:v>
                </c:pt>
                <c:pt idx="268">
                  <c:v>134.5</c:v>
                </c:pt>
                <c:pt idx="269">
                  <c:v>135.0</c:v>
                </c:pt>
                <c:pt idx="270">
                  <c:v>135.5</c:v>
                </c:pt>
                <c:pt idx="271">
                  <c:v>136.0</c:v>
                </c:pt>
                <c:pt idx="272">
                  <c:v>136.5</c:v>
                </c:pt>
                <c:pt idx="273">
                  <c:v>137.0</c:v>
                </c:pt>
                <c:pt idx="274">
                  <c:v>137.5</c:v>
                </c:pt>
                <c:pt idx="275">
                  <c:v>138.0</c:v>
                </c:pt>
                <c:pt idx="276">
                  <c:v>138.5</c:v>
                </c:pt>
                <c:pt idx="277">
                  <c:v>139.0</c:v>
                </c:pt>
                <c:pt idx="278">
                  <c:v>139.5</c:v>
                </c:pt>
                <c:pt idx="279">
                  <c:v>140.0</c:v>
                </c:pt>
                <c:pt idx="280">
                  <c:v>140.5</c:v>
                </c:pt>
                <c:pt idx="281">
                  <c:v>141.0</c:v>
                </c:pt>
                <c:pt idx="282">
                  <c:v>141.5</c:v>
                </c:pt>
                <c:pt idx="283">
                  <c:v>142.0</c:v>
                </c:pt>
                <c:pt idx="284">
                  <c:v>142.5</c:v>
                </c:pt>
                <c:pt idx="285">
                  <c:v>143.0</c:v>
                </c:pt>
                <c:pt idx="286">
                  <c:v>143.5</c:v>
                </c:pt>
                <c:pt idx="287">
                  <c:v>144.0</c:v>
                </c:pt>
                <c:pt idx="288">
                  <c:v>144.5</c:v>
                </c:pt>
                <c:pt idx="289">
                  <c:v>145.0</c:v>
                </c:pt>
                <c:pt idx="290">
                  <c:v>145.5</c:v>
                </c:pt>
                <c:pt idx="291">
                  <c:v>146.0</c:v>
                </c:pt>
                <c:pt idx="292">
                  <c:v>146.5</c:v>
                </c:pt>
                <c:pt idx="293">
                  <c:v>147.0</c:v>
                </c:pt>
                <c:pt idx="294">
                  <c:v>147.5</c:v>
                </c:pt>
                <c:pt idx="295">
                  <c:v>148.0</c:v>
                </c:pt>
                <c:pt idx="296">
                  <c:v>148.5</c:v>
                </c:pt>
                <c:pt idx="297">
                  <c:v>149.0</c:v>
                </c:pt>
                <c:pt idx="298">
                  <c:v>149.5</c:v>
                </c:pt>
                <c:pt idx="299">
                  <c:v>150.0</c:v>
                </c:pt>
                <c:pt idx="300">
                  <c:v>150.5</c:v>
                </c:pt>
                <c:pt idx="301">
                  <c:v>151.0</c:v>
                </c:pt>
                <c:pt idx="302">
                  <c:v>151.5</c:v>
                </c:pt>
                <c:pt idx="303">
                  <c:v>152.0</c:v>
                </c:pt>
                <c:pt idx="304">
                  <c:v>152.5</c:v>
                </c:pt>
                <c:pt idx="305">
                  <c:v>153.0</c:v>
                </c:pt>
                <c:pt idx="306">
                  <c:v>153.5</c:v>
                </c:pt>
                <c:pt idx="307">
                  <c:v>154.0</c:v>
                </c:pt>
                <c:pt idx="308">
                  <c:v>154.5</c:v>
                </c:pt>
                <c:pt idx="309">
                  <c:v>155.0</c:v>
                </c:pt>
                <c:pt idx="310">
                  <c:v>155.5</c:v>
                </c:pt>
                <c:pt idx="311">
                  <c:v>156.0</c:v>
                </c:pt>
                <c:pt idx="312">
                  <c:v>156.5</c:v>
                </c:pt>
                <c:pt idx="313">
                  <c:v>157.0</c:v>
                </c:pt>
                <c:pt idx="314">
                  <c:v>157.5</c:v>
                </c:pt>
                <c:pt idx="315">
                  <c:v>158.0</c:v>
                </c:pt>
                <c:pt idx="316">
                  <c:v>158.5</c:v>
                </c:pt>
                <c:pt idx="317">
                  <c:v>159.0</c:v>
                </c:pt>
                <c:pt idx="318">
                  <c:v>159.5</c:v>
                </c:pt>
                <c:pt idx="319">
                  <c:v>160.0</c:v>
                </c:pt>
                <c:pt idx="320">
                  <c:v>160.5</c:v>
                </c:pt>
                <c:pt idx="321">
                  <c:v>161.0</c:v>
                </c:pt>
                <c:pt idx="322">
                  <c:v>161.5</c:v>
                </c:pt>
                <c:pt idx="323">
                  <c:v>162.0</c:v>
                </c:pt>
                <c:pt idx="324">
                  <c:v>162.5</c:v>
                </c:pt>
                <c:pt idx="325">
                  <c:v>163.0</c:v>
                </c:pt>
                <c:pt idx="326">
                  <c:v>163.5</c:v>
                </c:pt>
                <c:pt idx="327">
                  <c:v>164.0</c:v>
                </c:pt>
                <c:pt idx="328">
                  <c:v>164.5</c:v>
                </c:pt>
                <c:pt idx="329">
                  <c:v>165.0</c:v>
                </c:pt>
                <c:pt idx="330">
                  <c:v>165.5</c:v>
                </c:pt>
                <c:pt idx="331">
                  <c:v>166.0</c:v>
                </c:pt>
                <c:pt idx="332">
                  <c:v>166.5</c:v>
                </c:pt>
                <c:pt idx="333">
                  <c:v>167.0</c:v>
                </c:pt>
                <c:pt idx="334">
                  <c:v>167.5</c:v>
                </c:pt>
                <c:pt idx="335">
                  <c:v>168.0</c:v>
                </c:pt>
                <c:pt idx="336">
                  <c:v>168.5</c:v>
                </c:pt>
                <c:pt idx="337">
                  <c:v>169.0</c:v>
                </c:pt>
                <c:pt idx="338">
                  <c:v>169.5</c:v>
                </c:pt>
                <c:pt idx="339">
                  <c:v>170.0</c:v>
                </c:pt>
                <c:pt idx="340">
                  <c:v>170.5</c:v>
                </c:pt>
                <c:pt idx="341">
                  <c:v>171.0</c:v>
                </c:pt>
                <c:pt idx="342">
                  <c:v>171.5</c:v>
                </c:pt>
                <c:pt idx="343">
                  <c:v>172.0</c:v>
                </c:pt>
                <c:pt idx="344">
                  <c:v>172.5</c:v>
                </c:pt>
                <c:pt idx="345">
                  <c:v>173.0</c:v>
                </c:pt>
                <c:pt idx="346">
                  <c:v>173.5</c:v>
                </c:pt>
                <c:pt idx="347">
                  <c:v>174.0</c:v>
                </c:pt>
                <c:pt idx="348">
                  <c:v>174.5</c:v>
                </c:pt>
                <c:pt idx="349">
                  <c:v>175.0</c:v>
                </c:pt>
                <c:pt idx="350">
                  <c:v>175.5</c:v>
                </c:pt>
                <c:pt idx="351">
                  <c:v>176.0</c:v>
                </c:pt>
                <c:pt idx="352">
                  <c:v>176.5</c:v>
                </c:pt>
                <c:pt idx="353">
                  <c:v>177.0</c:v>
                </c:pt>
                <c:pt idx="354">
                  <c:v>177.5</c:v>
                </c:pt>
                <c:pt idx="355">
                  <c:v>178.0</c:v>
                </c:pt>
                <c:pt idx="356">
                  <c:v>178.5</c:v>
                </c:pt>
                <c:pt idx="357">
                  <c:v>179.0</c:v>
                </c:pt>
                <c:pt idx="358">
                  <c:v>179.5</c:v>
                </c:pt>
                <c:pt idx="359">
                  <c:v>180.0</c:v>
                </c:pt>
                <c:pt idx="360">
                  <c:v>180.5</c:v>
                </c:pt>
                <c:pt idx="361">
                  <c:v>181.0</c:v>
                </c:pt>
                <c:pt idx="362">
                  <c:v>181.5</c:v>
                </c:pt>
                <c:pt idx="363">
                  <c:v>182.0</c:v>
                </c:pt>
                <c:pt idx="364">
                  <c:v>182.5</c:v>
                </c:pt>
                <c:pt idx="365">
                  <c:v>183.0</c:v>
                </c:pt>
                <c:pt idx="366">
                  <c:v>183.5</c:v>
                </c:pt>
                <c:pt idx="367">
                  <c:v>184.0</c:v>
                </c:pt>
                <c:pt idx="368">
                  <c:v>184.5</c:v>
                </c:pt>
                <c:pt idx="369">
                  <c:v>185.0</c:v>
                </c:pt>
                <c:pt idx="370">
                  <c:v>185.5</c:v>
                </c:pt>
                <c:pt idx="371">
                  <c:v>186.0</c:v>
                </c:pt>
                <c:pt idx="372">
                  <c:v>186.5</c:v>
                </c:pt>
                <c:pt idx="373">
                  <c:v>187.0</c:v>
                </c:pt>
                <c:pt idx="374">
                  <c:v>187.5</c:v>
                </c:pt>
                <c:pt idx="375">
                  <c:v>188.0</c:v>
                </c:pt>
                <c:pt idx="376">
                  <c:v>188.5</c:v>
                </c:pt>
                <c:pt idx="377">
                  <c:v>189.0</c:v>
                </c:pt>
                <c:pt idx="378">
                  <c:v>189.5</c:v>
                </c:pt>
                <c:pt idx="379">
                  <c:v>190.0</c:v>
                </c:pt>
                <c:pt idx="380">
                  <c:v>190.5</c:v>
                </c:pt>
                <c:pt idx="381">
                  <c:v>191.0</c:v>
                </c:pt>
                <c:pt idx="382">
                  <c:v>191.5</c:v>
                </c:pt>
                <c:pt idx="383">
                  <c:v>192.0</c:v>
                </c:pt>
                <c:pt idx="384">
                  <c:v>192.5</c:v>
                </c:pt>
                <c:pt idx="385">
                  <c:v>193.0</c:v>
                </c:pt>
                <c:pt idx="386">
                  <c:v>193.5</c:v>
                </c:pt>
                <c:pt idx="387">
                  <c:v>194.0</c:v>
                </c:pt>
                <c:pt idx="388">
                  <c:v>194.5</c:v>
                </c:pt>
                <c:pt idx="389">
                  <c:v>195.0</c:v>
                </c:pt>
                <c:pt idx="390">
                  <c:v>195.5</c:v>
                </c:pt>
                <c:pt idx="391">
                  <c:v>196.0</c:v>
                </c:pt>
                <c:pt idx="392">
                  <c:v>196.5</c:v>
                </c:pt>
                <c:pt idx="393">
                  <c:v>197.0</c:v>
                </c:pt>
                <c:pt idx="394">
                  <c:v>197.5</c:v>
                </c:pt>
                <c:pt idx="395">
                  <c:v>198.0</c:v>
                </c:pt>
                <c:pt idx="396">
                  <c:v>198.5</c:v>
                </c:pt>
                <c:pt idx="397">
                  <c:v>199.0</c:v>
                </c:pt>
                <c:pt idx="398">
                  <c:v>199.5</c:v>
                </c:pt>
                <c:pt idx="399">
                  <c:v>200.0</c:v>
                </c:pt>
                <c:pt idx="400">
                  <c:v>200.5</c:v>
                </c:pt>
                <c:pt idx="401">
                  <c:v>201.0</c:v>
                </c:pt>
                <c:pt idx="402">
                  <c:v>201.5</c:v>
                </c:pt>
                <c:pt idx="403">
                  <c:v>202.0</c:v>
                </c:pt>
                <c:pt idx="404">
                  <c:v>202.5</c:v>
                </c:pt>
                <c:pt idx="405">
                  <c:v>203.0</c:v>
                </c:pt>
                <c:pt idx="406">
                  <c:v>203.5</c:v>
                </c:pt>
                <c:pt idx="407">
                  <c:v>204.0</c:v>
                </c:pt>
                <c:pt idx="408">
                  <c:v>204.5</c:v>
                </c:pt>
                <c:pt idx="409">
                  <c:v>205.0</c:v>
                </c:pt>
                <c:pt idx="410">
                  <c:v>205.5</c:v>
                </c:pt>
                <c:pt idx="411">
                  <c:v>206.0</c:v>
                </c:pt>
                <c:pt idx="412">
                  <c:v>206.5</c:v>
                </c:pt>
                <c:pt idx="413">
                  <c:v>207.0</c:v>
                </c:pt>
                <c:pt idx="414">
                  <c:v>207.5</c:v>
                </c:pt>
                <c:pt idx="415">
                  <c:v>208.0</c:v>
                </c:pt>
                <c:pt idx="416">
                  <c:v>208.5</c:v>
                </c:pt>
                <c:pt idx="417">
                  <c:v>209.0</c:v>
                </c:pt>
                <c:pt idx="418">
                  <c:v>209.5</c:v>
                </c:pt>
                <c:pt idx="419">
                  <c:v>210.0</c:v>
                </c:pt>
                <c:pt idx="420">
                  <c:v>210.5</c:v>
                </c:pt>
                <c:pt idx="421">
                  <c:v>211.0</c:v>
                </c:pt>
                <c:pt idx="422">
                  <c:v>211.5</c:v>
                </c:pt>
                <c:pt idx="423">
                  <c:v>212.0</c:v>
                </c:pt>
                <c:pt idx="424">
                  <c:v>212.5</c:v>
                </c:pt>
                <c:pt idx="425">
                  <c:v>213.0</c:v>
                </c:pt>
                <c:pt idx="426">
                  <c:v>213.5</c:v>
                </c:pt>
                <c:pt idx="427">
                  <c:v>214.0</c:v>
                </c:pt>
                <c:pt idx="428">
                  <c:v>214.5</c:v>
                </c:pt>
                <c:pt idx="429">
                  <c:v>215.0</c:v>
                </c:pt>
                <c:pt idx="430">
                  <c:v>215.5</c:v>
                </c:pt>
                <c:pt idx="431">
                  <c:v>216.0</c:v>
                </c:pt>
                <c:pt idx="432">
                  <c:v>216.5</c:v>
                </c:pt>
                <c:pt idx="433">
                  <c:v>217.0</c:v>
                </c:pt>
                <c:pt idx="434">
                  <c:v>217.5</c:v>
                </c:pt>
                <c:pt idx="435">
                  <c:v>218.0</c:v>
                </c:pt>
                <c:pt idx="436">
                  <c:v>218.5</c:v>
                </c:pt>
                <c:pt idx="437">
                  <c:v>219.0</c:v>
                </c:pt>
                <c:pt idx="438">
                  <c:v>219.5</c:v>
                </c:pt>
                <c:pt idx="439">
                  <c:v>220.0</c:v>
                </c:pt>
                <c:pt idx="440">
                  <c:v>220.5</c:v>
                </c:pt>
                <c:pt idx="441">
                  <c:v>221.0</c:v>
                </c:pt>
                <c:pt idx="442">
                  <c:v>221.5</c:v>
                </c:pt>
                <c:pt idx="443">
                  <c:v>222.0</c:v>
                </c:pt>
                <c:pt idx="444">
                  <c:v>222.5</c:v>
                </c:pt>
                <c:pt idx="445">
                  <c:v>223.0</c:v>
                </c:pt>
                <c:pt idx="446">
                  <c:v>223.5</c:v>
                </c:pt>
                <c:pt idx="447">
                  <c:v>224.0</c:v>
                </c:pt>
                <c:pt idx="448">
                  <c:v>224.5</c:v>
                </c:pt>
                <c:pt idx="449">
                  <c:v>225.0</c:v>
                </c:pt>
                <c:pt idx="450">
                  <c:v>225.5</c:v>
                </c:pt>
                <c:pt idx="451">
                  <c:v>226.0</c:v>
                </c:pt>
                <c:pt idx="452">
                  <c:v>226.5</c:v>
                </c:pt>
                <c:pt idx="453">
                  <c:v>227.0</c:v>
                </c:pt>
                <c:pt idx="454">
                  <c:v>227.5</c:v>
                </c:pt>
                <c:pt idx="455">
                  <c:v>228.0</c:v>
                </c:pt>
                <c:pt idx="456">
                  <c:v>228.5</c:v>
                </c:pt>
                <c:pt idx="457">
                  <c:v>229.0</c:v>
                </c:pt>
                <c:pt idx="458">
                  <c:v>229.5</c:v>
                </c:pt>
                <c:pt idx="459">
                  <c:v>230.0</c:v>
                </c:pt>
                <c:pt idx="460">
                  <c:v>230.5</c:v>
                </c:pt>
                <c:pt idx="461">
                  <c:v>231.0</c:v>
                </c:pt>
                <c:pt idx="462">
                  <c:v>231.5</c:v>
                </c:pt>
                <c:pt idx="463">
                  <c:v>232.0</c:v>
                </c:pt>
                <c:pt idx="464">
                  <c:v>232.5</c:v>
                </c:pt>
                <c:pt idx="465">
                  <c:v>233.0</c:v>
                </c:pt>
                <c:pt idx="466">
                  <c:v>233.5</c:v>
                </c:pt>
                <c:pt idx="467">
                  <c:v>234.0</c:v>
                </c:pt>
                <c:pt idx="468">
                  <c:v>234.5</c:v>
                </c:pt>
                <c:pt idx="469">
                  <c:v>235.0</c:v>
                </c:pt>
                <c:pt idx="470">
                  <c:v>235.5</c:v>
                </c:pt>
                <c:pt idx="471">
                  <c:v>236.0</c:v>
                </c:pt>
                <c:pt idx="472">
                  <c:v>236.5</c:v>
                </c:pt>
                <c:pt idx="473">
                  <c:v>237.0</c:v>
                </c:pt>
                <c:pt idx="474">
                  <c:v>237.5</c:v>
                </c:pt>
                <c:pt idx="475">
                  <c:v>238.0</c:v>
                </c:pt>
                <c:pt idx="476">
                  <c:v>238.5</c:v>
                </c:pt>
                <c:pt idx="477">
                  <c:v>239.0</c:v>
                </c:pt>
                <c:pt idx="478">
                  <c:v>239.5</c:v>
                </c:pt>
                <c:pt idx="479">
                  <c:v>240.0</c:v>
                </c:pt>
                <c:pt idx="480">
                  <c:v>240.5</c:v>
                </c:pt>
                <c:pt idx="481">
                  <c:v>241.0</c:v>
                </c:pt>
                <c:pt idx="482">
                  <c:v>241.5</c:v>
                </c:pt>
                <c:pt idx="483">
                  <c:v>242.0</c:v>
                </c:pt>
                <c:pt idx="484">
                  <c:v>242.5</c:v>
                </c:pt>
                <c:pt idx="485">
                  <c:v>243.0</c:v>
                </c:pt>
                <c:pt idx="486">
                  <c:v>243.5</c:v>
                </c:pt>
                <c:pt idx="487">
                  <c:v>244.0</c:v>
                </c:pt>
                <c:pt idx="488">
                  <c:v>244.5</c:v>
                </c:pt>
                <c:pt idx="489">
                  <c:v>245.0</c:v>
                </c:pt>
                <c:pt idx="490">
                  <c:v>245.5</c:v>
                </c:pt>
                <c:pt idx="491">
                  <c:v>246.0</c:v>
                </c:pt>
                <c:pt idx="492">
                  <c:v>246.5</c:v>
                </c:pt>
                <c:pt idx="493">
                  <c:v>247.0</c:v>
                </c:pt>
                <c:pt idx="494">
                  <c:v>247.5</c:v>
                </c:pt>
                <c:pt idx="495">
                  <c:v>248.0</c:v>
                </c:pt>
                <c:pt idx="496">
                  <c:v>248.5</c:v>
                </c:pt>
                <c:pt idx="497">
                  <c:v>249.0</c:v>
                </c:pt>
                <c:pt idx="498">
                  <c:v>249.5</c:v>
                </c:pt>
                <c:pt idx="499">
                  <c:v>250.0</c:v>
                </c:pt>
                <c:pt idx="500">
                  <c:v>250.5</c:v>
                </c:pt>
                <c:pt idx="501">
                  <c:v>251.0</c:v>
                </c:pt>
                <c:pt idx="502">
                  <c:v>251.5</c:v>
                </c:pt>
                <c:pt idx="503">
                  <c:v>252.0</c:v>
                </c:pt>
                <c:pt idx="504">
                  <c:v>252.5</c:v>
                </c:pt>
                <c:pt idx="505">
                  <c:v>253.0</c:v>
                </c:pt>
                <c:pt idx="506">
                  <c:v>253.5</c:v>
                </c:pt>
                <c:pt idx="507">
                  <c:v>254.0</c:v>
                </c:pt>
                <c:pt idx="508">
                  <c:v>254.5</c:v>
                </c:pt>
                <c:pt idx="509">
                  <c:v>255.0</c:v>
                </c:pt>
                <c:pt idx="510">
                  <c:v>255.5</c:v>
                </c:pt>
                <c:pt idx="511">
                  <c:v>256.0</c:v>
                </c:pt>
                <c:pt idx="512">
                  <c:v>256.5</c:v>
                </c:pt>
                <c:pt idx="513">
                  <c:v>257.0</c:v>
                </c:pt>
                <c:pt idx="514">
                  <c:v>257.5</c:v>
                </c:pt>
                <c:pt idx="515">
                  <c:v>258.0</c:v>
                </c:pt>
                <c:pt idx="516">
                  <c:v>258.5</c:v>
                </c:pt>
                <c:pt idx="517">
                  <c:v>259.0</c:v>
                </c:pt>
                <c:pt idx="518">
                  <c:v>259.5</c:v>
                </c:pt>
                <c:pt idx="519">
                  <c:v>260.0</c:v>
                </c:pt>
                <c:pt idx="520">
                  <c:v>260.5</c:v>
                </c:pt>
                <c:pt idx="521">
                  <c:v>261.0</c:v>
                </c:pt>
                <c:pt idx="522">
                  <c:v>261.5</c:v>
                </c:pt>
                <c:pt idx="523">
                  <c:v>262.0</c:v>
                </c:pt>
                <c:pt idx="524">
                  <c:v>262.5</c:v>
                </c:pt>
                <c:pt idx="525">
                  <c:v>263.0</c:v>
                </c:pt>
                <c:pt idx="526">
                  <c:v>263.5</c:v>
                </c:pt>
                <c:pt idx="527">
                  <c:v>264.0</c:v>
                </c:pt>
                <c:pt idx="528">
                  <c:v>264.5</c:v>
                </c:pt>
                <c:pt idx="529">
                  <c:v>265.0</c:v>
                </c:pt>
                <c:pt idx="530">
                  <c:v>265.5</c:v>
                </c:pt>
                <c:pt idx="531">
                  <c:v>266.0</c:v>
                </c:pt>
                <c:pt idx="532">
                  <c:v>266.5</c:v>
                </c:pt>
                <c:pt idx="533">
                  <c:v>267.0</c:v>
                </c:pt>
                <c:pt idx="534">
                  <c:v>267.5</c:v>
                </c:pt>
                <c:pt idx="535">
                  <c:v>268.0</c:v>
                </c:pt>
                <c:pt idx="536">
                  <c:v>268.5</c:v>
                </c:pt>
                <c:pt idx="537">
                  <c:v>269.0</c:v>
                </c:pt>
                <c:pt idx="538">
                  <c:v>269.5</c:v>
                </c:pt>
                <c:pt idx="539">
                  <c:v>270.0</c:v>
                </c:pt>
                <c:pt idx="540">
                  <c:v>270.5</c:v>
                </c:pt>
                <c:pt idx="541">
                  <c:v>271.0</c:v>
                </c:pt>
                <c:pt idx="542">
                  <c:v>271.5</c:v>
                </c:pt>
                <c:pt idx="543">
                  <c:v>272.0</c:v>
                </c:pt>
                <c:pt idx="544">
                  <c:v>272.5</c:v>
                </c:pt>
                <c:pt idx="545">
                  <c:v>273.0</c:v>
                </c:pt>
                <c:pt idx="546">
                  <c:v>273.5</c:v>
                </c:pt>
                <c:pt idx="547">
                  <c:v>274.0</c:v>
                </c:pt>
                <c:pt idx="548">
                  <c:v>274.5</c:v>
                </c:pt>
                <c:pt idx="549">
                  <c:v>275.0</c:v>
                </c:pt>
                <c:pt idx="550">
                  <c:v>275.5</c:v>
                </c:pt>
                <c:pt idx="551">
                  <c:v>276.0</c:v>
                </c:pt>
                <c:pt idx="552">
                  <c:v>276.5</c:v>
                </c:pt>
                <c:pt idx="553">
                  <c:v>277.0</c:v>
                </c:pt>
                <c:pt idx="554">
                  <c:v>277.5</c:v>
                </c:pt>
                <c:pt idx="555">
                  <c:v>278.0</c:v>
                </c:pt>
                <c:pt idx="556">
                  <c:v>278.5</c:v>
                </c:pt>
                <c:pt idx="557">
                  <c:v>279.0</c:v>
                </c:pt>
                <c:pt idx="558">
                  <c:v>279.5</c:v>
                </c:pt>
                <c:pt idx="559">
                  <c:v>280.0</c:v>
                </c:pt>
                <c:pt idx="560">
                  <c:v>280.5</c:v>
                </c:pt>
                <c:pt idx="561">
                  <c:v>281.0</c:v>
                </c:pt>
                <c:pt idx="562">
                  <c:v>281.5</c:v>
                </c:pt>
                <c:pt idx="563">
                  <c:v>282.0</c:v>
                </c:pt>
                <c:pt idx="564">
                  <c:v>282.5</c:v>
                </c:pt>
                <c:pt idx="565">
                  <c:v>283.0</c:v>
                </c:pt>
                <c:pt idx="566">
                  <c:v>283.5</c:v>
                </c:pt>
                <c:pt idx="567">
                  <c:v>284.0</c:v>
                </c:pt>
                <c:pt idx="568">
                  <c:v>284.5</c:v>
                </c:pt>
                <c:pt idx="569">
                  <c:v>285.0</c:v>
                </c:pt>
                <c:pt idx="570">
                  <c:v>285.5</c:v>
                </c:pt>
                <c:pt idx="571">
                  <c:v>286.0</c:v>
                </c:pt>
                <c:pt idx="572">
                  <c:v>286.5</c:v>
                </c:pt>
                <c:pt idx="573">
                  <c:v>287.0</c:v>
                </c:pt>
                <c:pt idx="574">
                  <c:v>287.5</c:v>
                </c:pt>
                <c:pt idx="575">
                  <c:v>288.0</c:v>
                </c:pt>
                <c:pt idx="576">
                  <c:v>288.5</c:v>
                </c:pt>
                <c:pt idx="577">
                  <c:v>289.0</c:v>
                </c:pt>
                <c:pt idx="578">
                  <c:v>289.5</c:v>
                </c:pt>
                <c:pt idx="579">
                  <c:v>290.0</c:v>
                </c:pt>
                <c:pt idx="580">
                  <c:v>290.5</c:v>
                </c:pt>
                <c:pt idx="581">
                  <c:v>291.0</c:v>
                </c:pt>
                <c:pt idx="582">
                  <c:v>291.5</c:v>
                </c:pt>
                <c:pt idx="583">
                  <c:v>292.0</c:v>
                </c:pt>
                <c:pt idx="584">
                  <c:v>292.5</c:v>
                </c:pt>
                <c:pt idx="585">
                  <c:v>293.0</c:v>
                </c:pt>
                <c:pt idx="586">
                  <c:v>293.5</c:v>
                </c:pt>
                <c:pt idx="587">
                  <c:v>294.0</c:v>
                </c:pt>
                <c:pt idx="588">
                  <c:v>294.5</c:v>
                </c:pt>
                <c:pt idx="589">
                  <c:v>295.0</c:v>
                </c:pt>
                <c:pt idx="590">
                  <c:v>295.5</c:v>
                </c:pt>
                <c:pt idx="591">
                  <c:v>296.0</c:v>
                </c:pt>
                <c:pt idx="592">
                  <c:v>296.5</c:v>
                </c:pt>
                <c:pt idx="593">
                  <c:v>297.0</c:v>
                </c:pt>
                <c:pt idx="594">
                  <c:v>297.5</c:v>
                </c:pt>
                <c:pt idx="595">
                  <c:v>298.0</c:v>
                </c:pt>
                <c:pt idx="596">
                  <c:v>298.5</c:v>
                </c:pt>
                <c:pt idx="597">
                  <c:v>299.0</c:v>
                </c:pt>
                <c:pt idx="598">
                  <c:v>299.5</c:v>
                </c:pt>
                <c:pt idx="599">
                  <c:v>300.0</c:v>
                </c:pt>
                <c:pt idx="600">
                  <c:v>300.5</c:v>
                </c:pt>
                <c:pt idx="601">
                  <c:v>301.0</c:v>
                </c:pt>
                <c:pt idx="602">
                  <c:v>301.5</c:v>
                </c:pt>
                <c:pt idx="603">
                  <c:v>302.0</c:v>
                </c:pt>
                <c:pt idx="604">
                  <c:v>302.5</c:v>
                </c:pt>
                <c:pt idx="605">
                  <c:v>303.0</c:v>
                </c:pt>
                <c:pt idx="606">
                  <c:v>303.5</c:v>
                </c:pt>
                <c:pt idx="607">
                  <c:v>304.0</c:v>
                </c:pt>
                <c:pt idx="608">
                  <c:v>304.5</c:v>
                </c:pt>
                <c:pt idx="609">
                  <c:v>305.0</c:v>
                </c:pt>
                <c:pt idx="610">
                  <c:v>305.5</c:v>
                </c:pt>
                <c:pt idx="611">
                  <c:v>306.0</c:v>
                </c:pt>
                <c:pt idx="612">
                  <c:v>306.5</c:v>
                </c:pt>
                <c:pt idx="613">
                  <c:v>307.0</c:v>
                </c:pt>
                <c:pt idx="614">
                  <c:v>307.5</c:v>
                </c:pt>
                <c:pt idx="615">
                  <c:v>308.0</c:v>
                </c:pt>
                <c:pt idx="616">
                  <c:v>308.5</c:v>
                </c:pt>
                <c:pt idx="617">
                  <c:v>309.0</c:v>
                </c:pt>
                <c:pt idx="618">
                  <c:v>309.5</c:v>
                </c:pt>
                <c:pt idx="619">
                  <c:v>310.0</c:v>
                </c:pt>
                <c:pt idx="620">
                  <c:v>310.5</c:v>
                </c:pt>
                <c:pt idx="621">
                  <c:v>311.0</c:v>
                </c:pt>
                <c:pt idx="622">
                  <c:v>311.5</c:v>
                </c:pt>
                <c:pt idx="623">
                  <c:v>312.0</c:v>
                </c:pt>
                <c:pt idx="624">
                  <c:v>312.5</c:v>
                </c:pt>
                <c:pt idx="625">
                  <c:v>313.0</c:v>
                </c:pt>
                <c:pt idx="626">
                  <c:v>313.5</c:v>
                </c:pt>
                <c:pt idx="627">
                  <c:v>314.0</c:v>
                </c:pt>
                <c:pt idx="628">
                  <c:v>314.5</c:v>
                </c:pt>
                <c:pt idx="629">
                  <c:v>315.0</c:v>
                </c:pt>
                <c:pt idx="630">
                  <c:v>315.5</c:v>
                </c:pt>
                <c:pt idx="631">
                  <c:v>316.0</c:v>
                </c:pt>
                <c:pt idx="632">
                  <c:v>316.5</c:v>
                </c:pt>
                <c:pt idx="633">
                  <c:v>317.0</c:v>
                </c:pt>
                <c:pt idx="634">
                  <c:v>317.5</c:v>
                </c:pt>
                <c:pt idx="635">
                  <c:v>318.0</c:v>
                </c:pt>
                <c:pt idx="636">
                  <c:v>318.5</c:v>
                </c:pt>
                <c:pt idx="637">
                  <c:v>319.0</c:v>
                </c:pt>
                <c:pt idx="638">
                  <c:v>319.5</c:v>
                </c:pt>
                <c:pt idx="639">
                  <c:v>320.0</c:v>
                </c:pt>
                <c:pt idx="640">
                  <c:v>320.5</c:v>
                </c:pt>
                <c:pt idx="641">
                  <c:v>321.0</c:v>
                </c:pt>
                <c:pt idx="642">
                  <c:v>321.5</c:v>
                </c:pt>
                <c:pt idx="643">
                  <c:v>322.0</c:v>
                </c:pt>
                <c:pt idx="644">
                  <c:v>322.5</c:v>
                </c:pt>
                <c:pt idx="645">
                  <c:v>323.0</c:v>
                </c:pt>
                <c:pt idx="646">
                  <c:v>323.5</c:v>
                </c:pt>
                <c:pt idx="647">
                  <c:v>324.0</c:v>
                </c:pt>
                <c:pt idx="648">
                  <c:v>324.5</c:v>
                </c:pt>
                <c:pt idx="649">
                  <c:v>325.0</c:v>
                </c:pt>
                <c:pt idx="650">
                  <c:v>325.5</c:v>
                </c:pt>
                <c:pt idx="651">
                  <c:v>326.0</c:v>
                </c:pt>
                <c:pt idx="652">
                  <c:v>326.5</c:v>
                </c:pt>
                <c:pt idx="653">
                  <c:v>327.0</c:v>
                </c:pt>
                <c:pt idx="654">
                  <c:v>327.5</c:v>
                </c:pt>
                <c:pt idx="655">
                  <c:v>328.0</c:v>
                </c:pt>
                <c:pt idx="656">
                  <c:v>328.5</c:v>
                </c:pt>
                <c:pt idx="657">
                  <c:v>329.0</c:v>
                </c:pt>
                <c:pt idx="658">
                  <c:v>329.5</c:v>
                </c:pt>
                <c:pt idx="659">
                  <c:v>330.0</c:v>
                </c:pt>
                <c:pt idx="660">
                  <c:v>330.5</c:v>
                </c:pt>
                <c:pt idx="661">
                  <c:v>331.0</c:v>
                </c:pt>
                <c:pt idx="662">
                  <c:v>331.5</c:v>
                </c:pt>
                <c:pt idx="663">
                  <c:v>332.0</c:v>
                </c:pt>
                <c:pt idx="664">
                  <c:v>332.5</c:v>
                </c:pt>
                <c:pt idx="665">
                  <c:v>333.0</c:v>
                </c:pt>
                <c:pt idx="666">
                  <c:v>333.5</c:v>
                </c:pt>
                <c:pt idx="667">
                  <c:v>334.0</c:v>
                </c:pt>
                <c:pt idx="668">
                  <c:v>334.5</c:v>
                </c:pt>
                <c:pt idx="669">
                  <c:v>335.0</c:v>
                </c:pt>
                <c:pt idx="670">
                  <c:v>335.5</c:v>
                </c:pt>
                <c:pt idx="671">
                  <c:v>336.0</c:v>
                </c:pt>
                <c:pt idx="672">
                  <c:v>336.5</c:v>
                </c:pt>
                <c:pt idx="673">
                  <c:v>337.0</c:v>
                </c:pt>
                <c:pt idx="674">
                  <c:v>337.5</c:v>
                </c:pt>
                <c:pt idx="675">
                  <c:v>338.0</c:v>
                </c:pt>
                <c:pt idx="676">
                  <c:v>338.5</c:v>
                </c:pt>
                <c:pt idx="677">
                  <c:v>339.0</c:v>
                </c:pt>
                <c:pt idx="678">
                  <c:v>339.5</c:v>
                </c:pt>
                <c:pt idx="679">
                  <c:v>340.0</c:v>
                </c:pt>
                <c:pt idx="680">
                  <c:v>340.5</c:v>
                </c:pt>
                <c:pt idx="681">
                  <c:v>341.0</c:v>
                </c:pt>
                <c:pt idx="682">
                  <c:v>341.5</c:v>
                </c:pt>
                <c:pt idx="683">
                  <c:v>342.0</c:v>
                </c:pt>
                <c:pt idx="684">
                  <c:v>342.5</c:v>
                </c:pt>
                <c:pt idx="685">
                  <c:v>343.0</c:v>
                </c:pt>
                <c:pt idx="686">
                  <c:v>343.5</c:v>
                </c:pt>
                <c:pt idx="687">
                  <c:v>344.0</c:v>
                </c:pt>
                <c:pt idx="688">
                  <c:v>344.5</c:v>
                </c:pt>
                <c:pt idx="689">
                  <c:v>345.0</c:v>
                </c:pt>
                <c:pt idx="690">
                  <c:v>345.5</c:v>
                </c:pt>
                <c:pt idx="691">
                  <c:v>346.0</c:v>
                </c:pt>
                <c:pt idx="692">
                  <c:v>346.5</c:v>
                </c:pt>
                <c:pt idx="693">
                  <c:v>347.0</c:v>
                </c:pt>
                <c:pt idx="694">
                  <c:v>347.5</c:v>
                </c:pt>
                <c:pt idx="695">
                  <c:v>348.0</c:v>
                </c:pt>
                <c:pt idx="696">
                  <c:v>348.5</c:v>
                </c:pt>
                <c:pt idx="697">
                  <c:v>349.0</c:v>
                </c:pt>
                <c:pt idx="698">
                  <c:v>349.5</c:v>
                </c:pt>
                <c:pt idx="699">
                  <c:v>350.0</c:v>
                </c:pt>
                <c:pt idx="700">
                  <c:v>350.5</c:v>
                </c:pt>
                <c:pt idx="701">
                  <c:v>351.0</c:v>
                </c:pt>
                <c:pt idx="702">
                  <c:v>351.5</c:v>
                </c:pt>
                <c:pt idx="703">
                  <c:v>352.0</c:v>
                </c:pt>
                <c:pt idx="704">
                  <c:v>352.5</c:v>
                </c:pt>
                <c:pt idx="705">
                  <c:v>353.0</c:v>
                </c:pt>
                <c:pt idx="706">
                  <c:v>353.5</c:v>
                </c:pt>
                <c:pt idx="707">
                  <c:v>354.0</c:v>
                </c:pt>
                <c:pt idx="708">
                  <c:v>354.5</c:v>
                </c:pt>
                <c:pt idx="709">
                  <c:v>355.0</c:v>
                </c:pt>
                <c:pt idx="710">
                  <c:v>355.5</c:v>
                </c:pt>
                <c:pt idx="711">
                  <c:v>356.0</c:v>
                </c:pt>
                <c:pt idx="712">
                  <c:v>356.5</c:v>
                </c:pt>
                <c:pt idx="713">
                  <c:v>357.0</c:v>
                </c:pt>
                <c:pt idx="714">
                  <c:v>357.5</c:v>
                </c:pt>
                <c:pt idx="715">
                  <c:v>358.0</c:v>
                </c:pt>
                <c:pt idx="716">
                  <c:v>358.5</c:v>
                </c:pt>
                <c:pt idx="717">
                  <c:v>359.0</c:v>
                </c:pt>
                <c:pt idx="718">
                  <c:v>359.5</c:v>
                </c:pt>
                <c:pt idx="719">
                  <c:v>360.0</c:v>
                </c:pt>
                <c:pt idx="720">
                  <c:v>360.5</c:v>
                </c:pt>
                <c:pt idx="721">
                  <c:v>361.0</c:v>
                </c:pt>
                <c:pt idx="722">
                  <c:v>361.5</c:v>
                </c:pt>
                <c:pt idx="723">
                  <c:v>362.0</c:v>
                </c:pt>
                <c:pt idx="724">
                  <c:v>362.5</c:v>
                </c:pt>
                <c:pt idx="725">
                  <c:v>363.0</c:v>
                </c:pt>
                <c:pt idx="726">
                  <c:v>363.5</c:v>
                </c:pt>
                <c:pt idx="727">
                  <c:v>364.0</c:v>
                </c:pt>
                <c:pt idx="728">
                  <c:v>364.5</c:v>
                </c:pt>
                <c:pt idx="729">
                  <c:v>365.0</c:v>
                </c:pt>
                <c:pt idx="730">
                  <c:v>365.5</c:v>
                </c:pt>
                <c:pt idx="731">
                  <c:v>366.0</c:v>
                </c:pt>
                <c:pt idx="732">
                  <c:v>366.5</c:v>
                </c:pt>
                <c:pt idx="733">
                  <c:v>367.0</c:v>
                </c:pt>
                <c:pt idx="734">
                  <c:v>367.5</c:v>
                </c:pt>
                <c:pt idx="735">
                  <c:v>368.0</c:v>
                </c:pt>
                <c:pt idx="736">
                  <c:v>368.5</c:v>
                </c:pt>
                <c:pt idx="737">
                  <c:v>369.0</c:v>
                </c:pt>
                <c:pt idx="738">
                  <c:v>369.5</c:v>
                </c:pt>
                <c:pt idx="739">
                  <c:v>370.0</c:v>
                </c:pt>
                <c:pt idx="740">
                  <c:v>370.5</c:v>
                </c:pt>
                <c:pt idx="741">
                  <c:v>371.0</c:v>
                </c:pt>
                <c:pt idx="742">
                  <c:v>371.5</c:v>
                </c:pt>
                <c:pt idx="743">
                  <c:v>372.0</c:v>
                </c:pt>
                <c:pt idx="744">
                  <c:v>372.5</c:v>
                </c:pt>
                <c:pt idx="745">
                  <c:v>373.0</c:v>
                </c:pt>
                <c:pt idx="746">
                  <c:v>373.5</c:v>
                </c:pt>
                <c:pt idx="747">
                  <c:v>374.0</c:v>
                </c:pt>
                <c:pt idx="748">
                  <c:v>374.5</c:v>
                </c:pt>
              </c:numCache>
            </c:numRef>
          </c:cat>
          <c:val>
            <c:numRef>
              <c:f>'Calc for Prestige Patterns'!$E$2:$E$750</c:f>
              <c:numCache>
                <c:formatCode>General</c:formatCode>
                <c:ptCount val="749"/>
                <c:pt idx="0">
                  <c:v>1.0</c:v>
                </c:pt>
                <c:pt idx="1">
                  <c:v>1.0</c:v>
                </c:pt>
                <c:pt idx="2">
                  <c:v>43.0</c:v>
                </c:pt>
                <c:pt idx="3">
                  <c:v>56.0</c:v>
                </c:pt>
                <c:pt idx="4">
                  <c:v>133.0</c:v>
                </c:pt>
                <c:pt idx="5">
                  <c:v>159.0</c:v>
                </c:pt>
                <c:pt idx="6">
                  <c:v>201.0</c:v>
                </c:pt>
                <c:pt idx="7">
                  <c:v>216.0</c:v>
                </c:pt>
                <c:pt idx="8">
                  <c:v>242.0</c:v>
                </c:pt>
                <c:pt idx="9">
                  <c:v>253.0</c:v>
                </c:pt>
                <c:pt idx="10">
                  <c:v>262.0</c:v>
                </c:pt>
                <c:pt idx="11">
                  <c:v>268.0</c:v>
                </c:pt>
                <c:pt idx="12">
                  <c:v>272.0</c:v>
                </c:pt>
                <c:pt idx="13">
                  <c:v>276.0</c:v>
                </c:pt>
                <c:pt idx="14">
                  <c:v>280.0</c:v>
                </c:pt>
                <c:pt idx="15">
                  <c:v>283.0</c:v>
                </c:pt>
                <c:pt idx="16">
                  <c:v>285.0</c:v>
                </c:pt>
                <c:pt idx="17">
                  <c:v>288.0</c:v>
                </c:pt>
                <c:pt idx="18">
                  <c:v>290.0</c:v>
                </c:pt>
                <c:pt idx="19">
                  <c:v>292.0</c:v>
                </c:pt>
                <c:pt idx="20">
                  <c:v>293.0</c:v>
                </c:pt>
                <c:pt idx="21">
                  <c:v>295.0</c:v>
                </c:pt>
                <c:pt idx="22">
                  <c:v>297.0</c:v>
                </c:pt>
                <c:pt idx="23">
                  <c:v>298.0</c:v>
                </c:pt>
                <c:pt idx="24">
                  <c:v>299.0</c:v>
                </c:pt>
                <c:pt idx="25">
                  <c:v>301.0</c:v>
                </c:pt>
                <c:pt idx="26">
                  <c:v>302.0</c:v>
                </c:pt>
                <c:pt idx="27">
                  <c:v>1.0</c:v>
                </c:pt>
                <c:pt idx="28">
                  <c:v>1.0</c:v>
                </c:pt>
                <c:pt idx="29">
                  <c:v>178.0</c:v>
                </c:pt>
                <c:pt idx="30">
                  <c:v>192.0</c:v>
                </c:pt>
                <c:pt idx="31">
                  <c:v>219.0</c:v>
                </c:pt>
                <c:pt idx="32">
                  <c:v>231.0</c:v>
                </c:pt>
                <c:pt idx="33">
                  <c:v>254.0</c:v>
                </c:pt>
                <c:pt idx="34">
                  <c:v>265.0</c:v>
                </c:pt>
                <c:pt idx="35">
                  <c:v>272.0</c:v>
                </c:pt>
                <c:pt idx="36">
                  <c:v>278.0</c:v>
                </c:pt>
                <c:pt idx="37">
                  <c:v>283.0</c:v>
                </c:pt>
                <c:pt idx="38">
                  <c:v>286.0</c:v>
                </c:pt>
                <c:pt idx="39">
                  <c:v>290.0</c:v>
                </c:pt>
                <c:pt idx="40">
                  <c:v>293.0</c:v>
                </c:pt>
                <c:pt idx="41">
                  <c:v>295.0</c:v>
                </c:pt>
                <c:pt idx="42">
                  <c:v>297.0</c:v>
                </c:pt>
                <c:pt idx="43">
                  <c:v>299.0</c:v>
                </c:pt>
                <c:pt idx="44">
                  <c:v>301.0</c:v>
                </c:pt>
                <c:pt idx="45">
                  <c:v>303.0</c:v>
                </c:pt>
                <c:pt idx="46">
                  <c:v>313.0</c:v>
                </c:pt>
                <c:pt idx="47">
                  <c:v>320.0</c:v>
                </c:pt>
                <c:pt idx="48">
                  <c:v>326.0</c:v>
                </c:pt>
                <c:pt idx="49">
                  <c:v>330.0</c:v>
                </c:pt>
                <c:pt idx="50">
                  <c:v>334.0</c:v>
                </c:pt>
                <c:pt idx="51">
                  <c:v>337.0</c:v>
                </c:pt>
                <c:pt idx="52">
                  <c:v>339.0</c:v>
                </c:pt>
                <c:pt idx="53">
                  <c:v>342.0</c:v>
                </c:pt>
                <c:pt idx="54">
                  <c:v>1.0</c:v>
                </c:pt>
                <c:pt idx="55">
                  <c:v>1.0</c:v>
                </c:pt>
                <c:pt idx="56">
                  <c:v>187.0</c:v>
                </c:pt>
                <c:pt idx="57">
                  <c:v>201.0</c:v>
                </c:pt>
                <c:pt idx="58">
                  <c:v>229.0</c:v>
                </c:pt>
                <c:pt idx="59">
                  <c:v>258.0</c:v>
                </c:pt>
                <c:pt idx="60">
                  <c:v>271.0</c:v>
                </c:pt>
                <c:pt idx="61">
                  <c:v>280.0</c:v>
                </c:pt>
                <c:pt idx="62">
                  <c:v>286.0</c:v>
                </c:pt>
                <c:pt idx="63">
                  <c:v>291.0</c:v>
                </c:pt>
                <c:pt idx="64">
                  <c:v>295.0</c:v>
                </c:pt>
                <c:pt idx="65">
                  <c:v>298.0</c:v>
                </c:pt>
                <c:pt idx="66">
                  <c:v>301.0</c:v>
                </c:pt>
                <c:pt idx="67">
                  <c:v>304.0</c:v>
                </c:pt>
                <c:pt idx="68">
                  <c:v>318.0</c:v>
                </c:pt>
                <c:pt idx="69">
                  <c:v>326.0</c:v>
                </c:pt>
                <c:pt idx="70">
                  <c:v>332.0</c:v>
                </c:pt>
                <c:pt idx="71">
                  <c:v>337.0</c:v>
                </c:pt>
                <c:pt idx="72">
                  <c:v>341.0</c:v>
                </c:pt>
                <c:pt idx="73">
                  <c:v>345.0</c:v>
                </c:pt>
                <c:pt idx="74">
                  <c:v>348.0</c:v>
                </c:pt>
                <c:pt idx="75">
                  <c:v>350.0</c:v>
                </c:pt>
                <c:pt idx="76">
                  <c:v>352.0</c:v>
                </c:pt>
                <c:pt idx="77">
                  <c:v>354.0</c:v>
                </c:pt>
                <c:pt idx="78">
                  <c:v>356.0</c:v>
                </c:pt>
                <c:pt idx="79">
                  <c:v>358.0</c:v>
                </c:pt>
                <c:pt idx="80">
                  <c:v>360.0</c:v>
                </c:pt>
                <c:pt idx="81">
                  <c:v>361.0</c:v>
                </c:pt>
                <c:pt idx="82">
                  <c:v>363.0</c:v>
                </c:pt>
                <c:pt idx="83">
                  <c:v>364.0</c:v>
                </c:pt>
                <c:pt idx="84">
                  <c:v>365.0</c:v>
                </c:pt>
                <c:pt idx="85">
                  <c:v>366.0</c:v>
                </c:pt>
                <c:pt idx="86">
                  <c:v>368.0</c:v>
                </c:pt>
                <c:pt idx="87">
                  <c:v>369.0</c:v>
                </c:pt>
                <c:pt idx="88">
                  <c:v>370.0</c:v>
                </c:pt>
                <c:pt idx="89">
                  <c:v>371.0</c:v>
                </c:pt>
                <c:pt idx="90">
                  <c:v>372.0</c:v>
                </c:pt>
                <c:pt idx="91">
                  <c:v>372.0</c:v>
                </c:pt>
                <c:pt idx="92">
                  <c:v>373.0</c:v>
                </c:pt>
                <c:pt idx="93">
                  <c:v>374.0</c:v>
                </c:pt>
                <c:pt idx="94">
                  <c:v>375.0</c:v>
                </c:pt>
                <c:pt idx="95">
                  <c:v>376.0</c:v>
                </c:pt>
                <c:pt idx="96">
                  <c:v>376.0</c:v>
                </c:pt>
                <c:pt idx="97">
                  <c:v>377.0</c:v>
                </c:pt>
                <c:pt idx="98">
                  <c:v>378.0</c:v>
                </c:pt>
                <c:pt idx="99">
                  <c:v>379.0</c:v>
                </c:pt>
                <c:pt idx="100">
                  <c:v>379.0</c:v>
                </c:pt>
                <c:pt idx="101">
                  <c:v>380.0</c:v>
                </c:pt>
                <c:pt idx="102">
                  <c:v>380.0</c:v>
                </c:pt>
                <c:pt idx="103">
                  <c:v>381.0</c:v>
                </c:pt>
                <c:pt idx="104">
                  <c:v>382.0</c:v>
                </c:pt>
                <c:pt idx="105">
                  <c:v>1.0</c:v>
                </c:pt>
                <c:pt idx="106">
                  <c:v>1.0</c:v>
                </c:pt>
                <c:pt idx="107">
                  <c:v>200.0</c:v>
                </c:pt>
                <c:pt idx="108">
                  <c:v>214.0</c:v>
                </c:pt>
                <c:pt idx="109">
                  <c:v>267.0</c:v>
                </c:pt>
                <c:pt idx="110">
                  <c:v>281.0</c:v>
                </c:pt>
                <c:pt idx="111">
                  <c:v>291.0</c:v>
                </c:pt>
                <c:pt idx="112">
                  <c:v>298.0</c:v>
                </c:pt>
                <c:pt idx="113">
                  <c:v>303.0</c:v>
                </c:pt>
                <c:pt idx="114">
                  <c:v>308.0</c:v>
                </c:pt>
                <c:pt idx="115">
                  <c:v>327.0</c:v>
                </c:pt>
                <c:pt idx="116">
                  <c:v>337.0</c:v>
                </c:pt>
                <c:pt idx="117">
                  <c:v>344.0</c:v>
                </c:pt>
                <c:pt idx="118">
                  <c:v>349.0</c:v>
                </c:pt>
                <c:pt idx="119">
                  <c:v>353.0</c:v>
                </c:pt>
                <c:pt idx="120">
                  <c:v>357.0</c:v>
                </c:pt>
                <c:pt idx="121">
                  <c:v>360.0</c:v>
                </c:pt>
                <c:pt idx="122">
                  <c:v>363.0</c:v>
                </c:pt>
                <c:pt idx="123">
                  <c:v>365.0</c:v>
                </c:pt>
                <c:pt idx="124">
                  <c:v>367.0</c:v>
                </c:pt>
                <c:pt idx="125">
                  <c:v>369.0</c:v>
                </c:pt>
                <c:pt idx="126">
                  <c:v>371.0</c:v>
                </c:pt>
                <c:pt idx="127">
                  <c:v>373.0</c:v>
                </c:pt>
                <c:pt idx="128">
                  <c:v>374.0</c:v>
                </c:pt>
                <c:pt idx="129">
                  <c:v>376.0</c:v>
                </c:pt>
                <c:pt idx="130">
                  <c:v>377.0</c:v>
                </c:pt>
                <c:pt idx="131">
                  <c:v>379.0</c:v>
                </c:pt>
                <c:pt idx="132">
                  <c:v>380.0</c:v>
                </c:pt>
                <c:pt idx="133">
                  <c:v>381.0</c:v>
                </c:pt>
                <c:pt idx="134">
                  <c:v>382.0</c:v>
                </c:pt>
                <c:pt idx="135">
                  <c:v>383.0</c:v>
                </c:pt>
                <c:pt idx="136">
                  <c:v>384.0</c:v>
                </c:pt>
                <c:pt idx="137">
                  <c:v>385.0</c:v>
                </c:pt>
                <c:pt idx="138">
                  <c:v>386.0</c:v>
                </c:pt>
                <c:pt idx="139">
                  <c:v>387.0</c:v>
                </c:pt>
                <c:pt idx="140">
                  <c:v>388.0</c:v>
                </c:pt>
                <c:pt idx="141">
                  <c:v>388.0</c:v>
                </c:pt>
                <c:pt idx="142">
                  <c:v>389.0</c:v>
                </c:pt>
                <c:pt idx="143">
                  <c:v>390.0</c:v>
                </c:pt>
                <c:pt idx="144">
                  <c:v>391.0</c:v>
                </c:pt>
                <c:pt idx="145">
                  <c:v>391.0</c:v>
                </c:pt>
                <c:pt idx="146">
                  <c:v>392.0</c:v>
                </c:pt>
                <c:pt idx="147">
                  <c:v>393.0</c:v>
                </c:pt>
                <c:pt idx="148">
                  <c:v>393.0</c:v>
                </c:pt>
                <c:pt idx="149">
                  <c:v>394.0</c:v>
                </c:pt>
                <c:pt idx="150">
                  <c:v>395.0</c:v>
                </c:pt>
                <c:pt idx="151">
                  <c:v>395.0</c:v>
                </c:pt>
                <c:pt idx="152">
                  <c:v>396.0</c:v>
                </c:pt>
                <c:pt idx="153">
                  <c:v>396.0</c:v>
                </c:pt>
                <c:pt idx="154">
                  <c:v>397.0</c:v>
                </c:pt>
                <c:pt idx="155">
                  <c:v>397.0</c:v>
                </c:pt>
                <c:pt idx="156">
                  <c:v>398.0</c:v>
                </c:pt>
                <c:pt idx="157">
                  <c:v>398.0</c:v>
                </c:pt>
                <c:pt idx="158">
                  <c:v>399.0</c:v>
                </c:pt>
                <c:pt idx="159">
                  <c:v>399.0</c:v>
                </c:pt>
                <c:pt idx="160">
                  <c:v>400.0</c:v>
                </c:pt>
                <c:pt idx="161">
                  <c:v>400.0</c:v>
                </c:pt>
                <c:pt idx="162">
                  <c:v>404.0</c:v>
                </c:pt>
                <c:pt idx="163">
                  <c:v>407.0</c:v>
                </c:pt>
                <c:pt idx="164">
                  <c:v>409.0</c:v>
                </c:pt>
                <c:pt idx="165">
                  <c:v>411.0</c:v>
                </c:pt>
                <c:pt idx="166">
                  <c:v>413.0</c:v>
                </c:pt>
                <c:pt idx="167">
                  <c:v>415.0</c:v>
                </c:pt>
                <c:pt idx="168">
                  <c:v>417.0</c:v>
                </c:pt>
                <c:pt idx="169">
                  <c:v>419.0</c:v>
                </c:pt>
                <c:pt idx="170">
                  <c:v>1.0</c:v>
                </c:pt>
                <c:pt idx="171">
                  <c:v>1.0</c:v>
                </c:pt>
                <c:pt idx="172">
                  <c:v>258.0</c:v>
                </c:pt>
                <c:pt idx="173">
                  <c:v>272.0</c:v>
                </c:pt>
                <c:pt idx="174">
                  <c:v>295.0</c:v>
                </c:pt>
                <c:pt idx="175">
                  <c:v>306.0</c:v>
                </c:pt>
                <c:pt idx="176">
                  <c:v>314.0</c:v>
                </c:pt>
                <c:pt idx="177">
                  <c:v>340.0</c:v>
                </c:pt>
                <c:pt idx="178">
                  <c:v>351.0</c:v>
                </c:pt>
                <c:pt idx="179">
                  <c:v>359.0</c:v>
                </c:pt>
                <c:pt idx="180">
                  <c:v>364.0</c:v>
                </c:pt>
                <c:pt idx="181">
                  <c:v>369.0</c:v>
                </c:pt>
                <c:pt idx="182">
                  <c:v>373.0</c:v>
                </c:pt>
                <c:pt idx="183">
                  <c:v>376.0</c:v>
                </c:pt>
                <c:pt idx="184">
                  <c:v>379.0</c:v>
                </c:pt>
                <c:pt idx="185">
                  <c:v>381.0</c:v>
                </c:pt>
                <c:pt idx="186">
                  <c:v>384.0</c:v>
                </c:pt>
                <c:pt idx="187">
                  <c:v>386.0</c:v>
                </c:pt>
                <c:pt idx="188">
                  <c:v>388.0</c:v>
                </c:pt>
                <c:pt idx="189">
                  <c:v>389.0</c:v>
                </c:pt>
                <c:pt idx="190">
                  <c:v>391.0</c:v>
                </c:pt>
                <c:pt idx="191">
                  <c:v>392.0</c:v>
                </c:pt>
                <c:pt idx="192">
                  <c:v>394.0</c:v>
                </c:pt>
                <c:pt idx="193">
                  <c:v>395.0</c:v>
                </c:pt>
                <c:pt idx="194">
                  <c:v>396.0</c:v>
                </c:pt>
                <c:pt idx="195">
                  <c:v>397.0</c:v>
                </c:pt>
                <c:pt idx="196">
                  <c:v>399.0</c:v>
                </c:pt>
                <c:pt idx="197">
                  <c:v>400.0</c:v>
                </c:pt>
                <c:pt idx="198">
                  <c:v>401.0</c:v>
                </c:pt>
                <c:pt idx="199">
                  <c:v>407.0</c:v>
                </c:pt>
                <c:pt idx="200">
                  <c:v>412.0</c:v>
                </c:pt>
                <c:pt idx="201">
                  <c:v>416.0</c:v>
                </c:pt>
                <c:pt idx="202">
                  <c:v>420.0</c:v>
                </c:pt>
                <c:pt idx="203">
                  <c:v>423.0</c:v>
                </c:pt>
                <c:pt idx="204">
                  <c:v>425.0</c:v>
                </c:pt>
                <c:pt idx="205">
                  <c:v>428.0</c:v>
                </c:pt>
                <c:pt idx="206">
                  <c:v>430.0</c:v>
                </c:pt>
                <c:pt idx="207">
                  <c:v>432.0</c:v>
                </c:pt>
                <c:pt idx="208">
                  <c:v>434.0</c:v>
                </c:pt>
                <c:pt idx="209">
                  <c:v>435.0</c:v>
                </c:pt>
                <c:pt idx="210">
                  <c:v>437.0</c:v>
                </c:pt>
                <c:pt idx="211">
                  <c:v>438.0</c:v>
                </c:pt>
                <c:pt idx="212">
                  <c:v>439.0</c:v>
                </c:pt>
                <c:pt idx="213">
                  <c:v>441.0</c:v>
                </c:pt>
                <c:pt idx="214">
                  <c:v>442.0</c:v>
                </c:pt>
                <c:pt idx="215">
                  <c:v>443.0</c:v>
                </c:pt>
                <c:pt idx="216">
                  <c:v>444.0</c:v>
                </c:pt>
                <c:pt idx="217">
                  <c:v>445.0</c:v>
                </c:pt>
                <c:pt idx="218">
                  <c:v>446.0</c:v>
                </c:pt>
                <c:pt idx="219">
                  <c:v>447.0</c:v>
                </c:pt>
                <c:pt idx="220">
                  <c:v>448.0</c:v>
                </c:pt>
                <c:pt idx="221">
                  <c:v>449.0</c:v>
                </c:pt>
                <c:pt idx="222">
                  <c:v>450.0</c:v>
                </c:pt>
                <c:pt idx="223">
                  <c:v>450.0</c:v>
                </c:pt>
                <c:pt idx="224">
                  <c:v>451.0</c:v>
                </c:pt>
                <c:pt idx="225">
                  <c:v>452.0</c:v>
                </c:pt>
                <c:pt idx="226">
                  <c:v>453.0</c:v>
                </c:pt>
                <c:pt idx="227">
                  <c:v>453.0</c:v>
                </c:pt>
                <c:pt idx="228">
                  <c:v>454.0</c:v>
                </c:pt>
                <c:pt idx="229">
                  <c:v>455.0</c:v>
                </c:pt>
                <c:pt idx="230">
                  <c:v>455.0</c:v>
                </c:pt>
                <c:pt idx="231">
                  <c:v>456.0</c:v>
                </c:pt>
                <c:pt idx="232">
                  <c:v>456.0</c:v>
                </c:pt>
                <c:pt idx="233">
                  <c:v>457.0</c:v>
                </c:pt>
                <c:pt idx="234">
                  <c:v>458.0</c:v>
                </c:pt>
                <c:pt idx="235">
                  <c:v>1.0</c:v>
                </c:pt>
                <c:pt idx="236">
                  <c:v>1.0</c:v>
                </c:pt>
                <c:pt idx="237">
                  <c:v>276.0</c:v>
                </c:pt>
                <c:pt idx="238">
                  <c:v>290.0</c:v>
                </c:pt>
                <c:pt idx="239">
                  <c:v>314.0</c:v>
                </c:pt>
                <c:pt idx="240">
                  <c:v>325.0</c:v>
                </c:pt>
                <c:pt idx="241">
                  <c:v>356.0</c:v>
                </c:pt>
                <c:pt idx="242">
                  <c:v>368.0</c:v>
                </c:pt>
                <c:pt idx="243">
                  <c:v>376.0</c:v>
                </c:pt>
                <c:pt idx="244">
                  <c:v>382.0</c:v>
                </c:pt>
                <c:pt idx="245">
                  <c:v>387.0</c:v>
                </c:pt>
                <c:pt idx="246">
                  <c:v>391.0</c:v>
                </c:pt>
                <c:pt idx="247">
                  <c:v>394.0</c:v>
                </c:pt>
                <c:pt idx="248">
                  <c:v>397.0</c:v>
                </c:pt>
                <c:pt idx="249">
                  <c:v>400.0</c:v>
                </c:pt>
                <c:pt idx="250">
                  <c:v>402.0</c:v>
                </c:pt>
                <c:pt idx="251">
                  <c:v>415.0</c:v>
                </c:pt>
                <c:pt idx="252">
                  <c:v>422.0</c:v>
                </c:pt>
                <c:pt idx="253">
                  <c:v>428.0</c:v>
                </c:pt>
                <c:pt idx="254">
                  <c:v>433.0</c:v>
                </c:pt>
                <c:pt idx="255">
                  <c:v>437.0</c:v>
                </c:pt>
                <c:pt idx="256">
                  <c:v>440.0</c:v>
                </c:pt>
                <c:pt idx="257">
                  <c:v>443.0</c:v>
                </c:pt>
                <c:pt idx="258">
                  <c:v>445.0</c:v>
                </c:pt>
                <c:pt idx="259">
                  <c:v>447.0</c:v>
                </c:pt>
                <c:pt idx="260">
                  <c:v>449.0</c:v>
                </c:pt>
                <c:pt idx="261">
                  <c:v>451.0</c:v>
                </c:pt>
                <c:pt idx="262">
                  <c:v>453.0</c:v>
                </c:pt>
                <c:pt idx="263">
                  <c:v>454.0</c:v>
                </c:pt>
                <c:pt idx="264">
                  <c:v>456.0</c:v>
                </c:pt>
                <c:pt idx="265">
                  <c:v>457.0</c:v>
                </c:pt>
                <c:pt idx="266">
                  <c:v>459.0</c:v>
                </c:pt>
                <c:pt idx="267">
                  <c:v>460.0</c:v>
                </c:pt>
                <c:pt idx="268">
                  <c:v>461.0</c:v>
                </c:pt>
                <c:pt idx="269">
                  <c:v>462.0</c:v>
                </c:pt>
                <c:pt idx="270">
                  <c:v>463.0</c:v>
                </c:pt>
                <c:pt idx="271">
                  <c:v>464.0</c:v>
                </c:pt>
                <c:pt idx="272">
                  <c:v>465.0</c:v>
                </c:pt>
                <c:pt idx="273">
                  <c:v>466.0</c:v>
                </c:pt>
                <c:pt idx="274">
                  <c:v>467.0</c:v>
                </c:pt>
                <c:pt idx="275">
                  <c:v>468.0</c:v>
                </c:pt>
                <c:pt idx="276">
                  <c:v>469.0</c:v>
                </c:pt>
                <c:pt idx="277">
                  <c:v>469.0</c:v>
                </c:pt>
                <c:pt idx="278">
                  <c:v>470.0</c:v>
                </c:pt>
                <c:pt idx="279">
                  <c:v>471.0</c:v>
                </c:pt>
                <c:pt idx="280">
                  <c:v>471.0</c:v>
                </c:pt>
                <c:pt idx="281">
                  <c:v>472.0</c:v>
                </c:pt>
                <c:pt idx="282">
                  <c:v>473.0</c:v>
                </c:pt>
                <c:pt idx="283">
                  <c:v>473.0</c:v>
                </c:pt>
                <c:pt idx="284">
                  <c:v>474.0</c:v>
                </c:pt>
                <c:pt idx="285">
                  <c:v>475.0</c:v>
                </c:pt>
                <c:pt idx="286">
                  <c:v>475.0</c:v>
                </c:pt>
                <c:pt idx="287">
                  <c:v>476.0</c:v>
                </c:pt>
                <c:pt idx="288">
                  <c:v>476.0</c:v>
                </c:pt>
                <c:pt idx="289">
                  <c:v>477.0</c:v>
                </c:pt>
                <c:pt idx="290">
                  <c:v>477.0</c:v>
                </c:pt>
                <c:pt idx="291">
                  <c:v>478.0</c:v>
                </c:pt>
                <c:pt idx="292">
                  <c:v>478.0</c:v>
                </c:pt>
                <c:pt idx="293">
                  <c:v>479.0</c:v>
                </c:pt>
                <c:pt idx="294">
                  <c:v>479.0</c:v>
                </c:pt>
                <c:pt idx="295">
                  <c:v>480.0</c:v>
                </c:pt>
                <c:pt idx="296">
                  <c:v>480.0</c:v>
                </c:pt>
                <c:pt idx="297">
                  <c:v>481.0</c:v>
                </c:pt>
                <c:pt idx="298">
                  <c:v>481.0</c:v>
                </c:pt>
                <c:pt idx="299">
                  <c:v>482.0</c:v>
                </c:pt>
                <c:pt idx="300">
                  <c:v>482.0</c:v>
                </c:pt>
                <c:pt idx="301">
                  <c:v>483.0</c:v>
                </c:pt>
                <c:pt idx="302">
                  <c:v>483.0</c:v>
                </c:pt>
                <c:pt idx="303">
                  <c:v>483.0</c:v>
                </c:pt>
                <c:pt idx="304">
                  <c:v>484.0</c:v>
                </c:pt>
                <c:pt idx="305">
                  <c:v>484.0</c:v>
                </c:pt>
                <c:pt idx="306">
                  <c:v>485.0</c:v>
                </c:pt>
                <c:pt idx="307">
                  <c:v>485.0</c:v>
                </c:pt>
                <c:pt idx="308">
                  <c:v>485.0</c:v>
                </c:pt>
                <c:pt idx="309">
                  <c:v>486.0</c:v>
                </c:pt>
                <c:pt idx="310">
                  <c:v>486.0</c:v>
                </c:pt>
                <c:pt idx="311">
                  <c:v>486.0</c:v>
                </c:pt>
                <c:pt idx="312">
                  <c:v>487.0</c:v>
                </c:pt>
                <c:pt idx="313">
                  <c:v>487.0</c:v>
                </c:pt>
                <c:pt idx="314">
                  <c:v>487.0</c:v>
                </c:pt>
                <c:pt idx="315">
                  <c:v>488.0</c:v>
                </c:pt>
                <c:pt idx="316">
                  <c:v>488.0</c:v>
                </c:pt>
                <c:pt idx="317">
                  <c:v>488.0</c:v>
                </c:pt>
                <c:pt idx="318">
                  <c:v>489.0</c:v>
                </c:pt>
                <c:pt idx="319">
                  <c:v>489.0</c:v>
                </c:pt>
                <c:pt idx="320">
                  <c:v>489.0</c:v>
                </c:pt>
                <c:pt idx="321">
                  <c:v>490.0</c:v>
                </c:pt>
                <c:pt idx="322">
                  <c:v>490.0</c:v>
                </c:pt>
                <c:pt idx="323">
                  <c:v>490.0</c:v>
                </c:pt>
                <c:pt idx="324">
                  <c:v>490.0</c:v>
                </c:pt>
                <c:pt idx="325">
                  <c:v>491.0</c:v>
                </c:pt>
                <c:pt idx="326">
                  <c:v>491.0</c:v>
                </c:pt>
                <c:pt idx="327">
                  <c:v>491.0</c:v>
                </c:pt>
                <c:pt idx="328">
                  <c:v>492.0</c:v>
                </c:pt>
                <c:pt idx="329">
                  <c:v>492.0</c:v>
                </c:pt>
                <c:pt idx="330">
                  <c:v>492.0</c:v>
                </c:pt>
                <c:pt idx="331">
                  <c:v>492.0</c:v>
                </c:pt>
                <c:pt idx="332">
                  <c:v>493.0</c:v>
                </c:pt>
                <c:pt idx="333">
                  <c:v>493.0</c:v>
                </c:pt>
                <c:pt idx="334">
                  <c:v>493.0</c:v>
                </c:pt>
                <c:pt idx="335">
                  <c:v>493.0</c:v>
                </c:pt>
                <c:pt idx="336">
                  <c:v>494.0</c:v>
                </c:pt>
                <c:pt idx="337">
                  <c:v>494.0</c:v>
                </c:pt>
                <c:pt idx="338">
                  <c:v>494.0</c:v>
                </c:pt>
                <c:pt idx="339">
                  <c:v>494.0</c:v>
                </c:pt>
                <c:pt idx="340">
                  <c:v>495.0</c:v>
                </c:pt>
                <c:pt idx="341">
                  <c:v>495.0</c:v>
                </c:pt>
                <c:pt idx="342">
                  <c:v>495.0</c:v>
                </c:pt>
                <c:pt idx="343">
                  <c:v>495.0</c:v>
                </c:pt>
                <c:pt idx="344">
                  <c:v>495.0</c:v>
                </c:pt>
                <c:pt idx="345">
                  <c:v>496.0</c:v>
                </c:pt>
                <c:pt idx="346">
                  <c:v>1.0</c:v>
                </c:pt>
                <c:pt idx="347">
                  <c:v>1.0</c:v>
                </c:pt>
                <c:pt idx="348">
                  <c:v>294.0</c:v>
                </c:pt>
                <c:pt idx="349">
                  <c:v>308.0</c:v>
                </c:pt>
                <c:pt idx="350">
                  <c:v>333.0</c:v>
                </c:pt>
                <c:pt idx="351">
                  <c:v>372.0</c:v>
                </c:pt>
                <c:pt idx="352">
                  <c:v>386.0</c:v>
                </c:pt>
                <c:pt idx="353">
                  <c:v>394.0</c:v>
                </c:pt>
                <c:pt idx="354">
                  <c:v>401.0</c:v>
                </c:pt>
                <c:pt idx="355">
                  <c:v>406.0</c:v>
                </c:pt>
                <c:pt idx="356">
                  <c:v>426.0</c:v>
                </c:pt>
                <c:pt idx="357">
                  <c:v>437.0</c:v>
                </c:pt>
                <c:pt idx="358">
                  <c:v>444.0</c:v>
                </c:pt>
                <c:pt idx="359">
                  <c:v>449.0</c:v>
                </c:pt>
                <c:pt idx="360">
                  <c:v>453.0</c:v>
                </c:pt>
                <c:pt idx="361">
                  <c:v>457.0</c:v>
                </c:pt>
                <c:pt idx="362">
                  <c:v>460.0</c:v>
                </c:pt>
                <c:pt idx="363">
                  <c:v>463.0</c:v>
                </c:pt>
                <c:pt idx="364">
                  <c:v>465.0</c:v>
                </c:pt>
                <c:pt idx="365">
                  <c:v>467.0</c:v>
                </c:pt>
                <c:pt idx="366">
                  <c:v>469.0</c:v>
                </c:pt>
                <c:pt idx="367">
                  <c:v>471.0</c:v>
                </c:pt>
                <c:pt idx="368">
                  <c:v>473.0</c:v>
                </c:pt>
                <c:pt idx="369">
                  <c:v>474.0</c:v>
                </c:pt>
                <c:pt idx="370">
                  <c:v>476.0</c:v>
                </c:pt>
                <c:pt idx="371">
                  <c:v>477.0</c:v>
                </c:pt>
                <c:pt idx="372">
                  <c:v>478.0</c:v>
                </c:pt>
                <c:pt idx="373">
                  <c:v>479.0</c:v>
                </c:pt>
                <c:pt idx="374">
                  <c:v>481.0</c:v>
                </c:pt>
                <c:pt idx="375">
                  <c:v>482.0</c:v>
                </c:pt>
                <c:pt idx="376">
                  <c:v>483.0</c:v>
                </c:pt>
                <c:pt idx="377">
                  <c:v>484.0</c:v>
                </c:pt>
                <c:pt idx="378">
                  <c:v>485.0</c:v>
                </c:pt>
                <c:pt idx="379">
                  <c:v>485.0</c:v>
                </c:pt>
                <c:pt idx="380">
                  <c:v>486.0</c:v>
                </c:pt>
                <c:pt idx="381">
                  <c:v>487.0</c:v>
                </c:pt>
                <c:pt idx="382">
                  <c:v>488.0</c:v>
                </c:pt>
                <c:pt idx="383">
                  <c:v>489.0</c:v>
                </c:pt>
                <c:pt idx="384">
                  <c:v>489.0</c:v>
                </c:pt>
                <c:pt idx="385">
                  <c:v>490.0</c:v>
                </c:pt>
                <c:pt idx="386">
                  <c:v>491.0</c:v>
                </c:pt>
                <c:pt idx="387">
                  <c:v>492.0</c:v>
                </c:pt>
                <c:pt idx="388">
                  <c:v>492.0</c:v>
                </c:pt>
                <c:pt idx="389">
                  <c:v>493.0</c:v>
                </c:pt>
                <c:pt idx="390">
                  <c:v>493.0</c:v>
                </c:pt>
                <c:pt idx="391">
                  <c:v>494.0</c:v>
                </c:pt>
                <c:pt idx="392">
                  <c:v>495.0</c:v>
                </c:pt>
                <c:pt idx="393">
                  <c:v>495.0</c:v>
                </c:pt>
                <c:pt idx="394">
                  <c:v>496.0</c:v>
                </c:pt>
                <c:pt idx="395">
                  <c:v>496.0</c:v>
                </c:pt>
                <c:pt idx="396">
                  <c:v>497.0</c:v>
                </c:pt>
                <c:pt idx="397">
                  <c:v>497.0</c:v>
                </c:pt>
                <c:pt idx="398">
                  <c:v>498.0</c:v>
                </c:pt>
                <c:pt idx="399">
                  <c:v>498.0</c:v>
                </c:pt>
                <c:pt idx="400">
                  <c:v>499.0</c:v>
                </c:pt>
                <c:pt idx="401">
                  <c:v>499.0</c:v>
                </c:pt>
                <c:pt idx="402">
                  <c:v>500.0</c:v>
                </c:pt>
                <c:pt idx="403">
                  <c:v>500.0</c:v>
                </c:pt>
                <c:pt idx="404">
                  <c:v>506.0</c:v>
                </c:pt>
                <c:pt idx="405">
                  <c:v>511.0</c:v>
                </c:pt>
                <c:pt idx="406">
                  <c:v>515.0</c:v>
                </c:pt>
                <c:pt idx="407">
                  <c:v>518.0</c:v>
                </c:pt>
                <c:pt idx="408">
                  <c:v>521.0</c:v>
                </c:pt>
                <c:pt idx="409">
                  <c:v>523.0</c:v>
                </c:pt>
                <c:pt idx="410">
                  <c:v>526.0</c:v>
                </c:pt>
                <c:pt idx="411">
                  <c:v>528.0</c:v>
                </c:pt>
                <c:pt idx="412">
                  <c:v>530.0</c:v>
                </c:pt>
                <c:pt idx="413">
                  <c:v>531.0</c:v>
                </c:pt>
                <c:pt idx="414">
                  <c:v>533.0</c:v>
                </c:pt>
                <c:pt idx="415">
                  <c:v>1.0</c:v>
                </c:pt>
                <c:pt idx="416">
                  <c:v>1.0</c:v>
                </c:pt>
                <c:pt idx="417">
                  <c:v>370.0</c:v>
                </c:pt>
                <c:pt idx="418">
                  <c:v>384.0</c:v>
                </c:pt>
                <c:pt idx="419">
                  <c:v>402.0</c:v>
                </c:pt>
                <c:pt idx="420">
                  <c:v>412.0</c:v>
                </c:pt>
                <c:pt idx="421">
                  <c:v>442.0</c:v>
                </c:pt>
                <c:pt idx="422">
                  <c:v>453.0</c:v>
                </c:pt>
                <c:pt idx="423">
                  <c:v>461.0</c:v>
                </c:pt>
                <c:pt idx="424">
                  <c:v>467.0</c:v>
                </c:pt>
                <c:pt idx="425">
                  <c:v>472.0</c:v>
                </c:pt>
                <c:pt idx="426">
                  <c:v>476.0</c:v>
                </c:pt>
                <c:pt idx="427">
                  <c:v>479.0</c:v>
                </c:pt>
                <c:pt idx="428">
                  <c:v>482.0</c:v>
                </c:pt>
                <c:pt idx="429">
                  <c:v>484.0</c:v>
                </c:pt>
                <c:pt idx="430">
                  <c:v>486.0</c:v>
                </c:pt>
                <c:pt idx="431">
                  <c:v>488.0</c:v>
                </c:pt>
                <c:pt idx="432">
                  <c:v>490.0</c:v>
                </c:pt>
                <c:pt idx="433">
                  <c:v>492.0</c:v>
                </c:pt>
                <c:pt idx="434">
                  <c:v>493.0</c:v>
                </c:pt>
                <c:pt idx="435">
                  <c:v>495.0</c:v>
                </c:pt>
                <c:pt idx="436">
                  <c:v>496.0</c:v>
                </c:pt>
                <c:pt idx="437">
                  <c:v>498.0</c:v>
                </c:pt>
                <c:pt idx="438">
                  <c:v>499.0</c:v>
                </c:pt>
                <c:pt idx="439">
                  <c:v>500.0</c:v>
                </c:pt>
                <c:pt idx="440">
                  <c:v>501.0</c:v>
                </c:pt>
                <c:pt idx="441">
                  <c:v>513.0</c:v>
                </c:pt>
                <c:pt idx="442">
                  <c:v>521.0</c:v>
                </c:pt>
                <c:pt idx="443">
                  <c:v>527.0</c:v>
                </c:pt>
                <c:pt idx="444">
                  <c:v>531.0</c:v>
                </c:pt>
                <c:pt idx="445">
                  <c:v>535.0</c:v>
                </c:pt>
                <c:pt idx="446">
                  <c:v>538.0</c:v>
                </c:pt>
                <c:pt idx="447">
                  <c:v>541.0</c:v>
                </c:pt>
                <c:pt idx="448">
                  <c:v>544.0</c:v>
                </c:pt>
                <c:pt idx="449">
                  <c:v>546.0</c:v>
                </c:pt>
                <c:pt idx="450">
                  <c:v>548.0</c:v>
                </c:pt>
                <c:pt idx="451">
                  <c:v>550.0</c:v>
                </c:pt>
                <c:pt idx="452">
                  <c:v>551.0</c:v>
                </c:pt>
                <c:pt idx="453">
                  <c:v>553.0</c:v>
                </c:pt>
                <c:pt idx="454">
                  <c:v>554.0</c:v>
                </c:pt>
                <c:pt idx="455">
                  <c:v>556.0</c:v>
                </c:pt>
                <c:pt idx="456">
                  <c:v>557.0</c:v>
                </c:pt>
                <c:pt idx="457">
                  <c:v>558.0</c:v>
                </c:pt>
                <c:pt idx="458">
                  <c:v>559.0</c:v>
                </c:pt>
                <c:pt idx="459">
                  <c:v>560.0</c:v>
                </c:pt>
                <c:pt idx="460">
                  <c:v>561.0</c:v>
                </c:pt>
                <c:pt idx="461">
                  <c:v>562.0</c:v>
                </c:pt>
                <c:pt idx="462">
                  <c:v>563.0</c:v>
                </c:pt>
                <c:pt idx="463">
                  <c:v>564.0</c:v>
                </c:pt>
                <c:pt idx="464">
                  <c:v>565.0</c:v>
                </c:pt>
                <c:pt idx="465">
                  <c:v>566.0</c:v>
                </c:pt>
                <c:pt idx="466">
                  <c:v>567.0</c:v>
                </c:pt>
                <c:pt idx="467">
                  <c:v>567.0</c:v>
                </c:pt>
                <c:pt idx="468">
                  <c:v>568.0</c:v>
                </c:pt>
                <c:pt idx="469">
                  <c:v>569.0</c:v>
                </c:pt>
                <c:pt idx="470">
                  <c:v>570.0</c:v>
                </c:pt>
                <c:pt idx="471">
                  <c:v>570.0</c:v>
                </c:pt>
                <c:pt idx="472">
                  <c:v>571.0</c:v>
                </c:pt>
                <c:pt idx="473">
                  <c:v>1.0</c:v>
                </c:pt>
                <c:pt idx="474">
                  <c:v>1.0</c:v>
                </c:pt>
                <c:pt idx="475">
                  <c:v>389.0</c:v>
                </c:pt>
                <c:pt idx="476">
                  <c:v>403.0</c:v>
                </c:pt>
                <c:pt idx="477">
                  <c:v>422.0</c:v>
                </c:pt>
                <c:pt idx="478">
                  <c:v>458.0</c:v>
                </c:pt>
                <c:pt idx="479">
                  <c:v>471.0</c:v>
                </c:pt>
                <c:pt idx="480">
                  <c:v>480.0</c:v>
                </c:pt>
                <c:pt idx="481">
                  <c:v>486.0</c:v>
                </c:pt>
                <c:pt idx="482">
                  <c:v>491.0</c:v>
                </c:pt>
                <c:pt idx="483">
                  <c:v>494.0</c:v>
                </c:pt>
                <c:pt idx="484">
                  <c:v>498.0</c:v>
                </c:pt>
                <c:pt idx="485">
                  <c:v>501.0</c:v>
                </c:pt>
                <c:pt idx="486">
                  <c:v>503.0</c:v>
                </c:pt>
                <c:pt idx="487">
                  <c:v>525.0</c:v>
                </c:pt>
                <c:pt idx="488">
                  <c:v>535.0</c:v>
                </c:pt>
                <c:pt idx="489">
                  <c:v>542.0</c:v>
                </c:pt>
                <c:pt idx="490">
                  <c:v>548.0</c:v>
                </c:pt>
                <c:pt idx="491">
                  <c:v>552.0</c:v>
                </c:pt>
                <c:pt idx="492">
                  <c:v>555.0</c:v>
                </c:pt>
                <c:pt idx="493">
                  <c:v>558.0</c:v>
                </c:pt>
                <c:pt idx="494">
                  <c:v>561.0</c:v>
                </c:pt>
                <c:pt idx="495">
                  <c:v>564.0</c:v>
                </c:pt>
                <c:pt idx="496">
                  <c:v>566.0</c:v>
                </c:pt>
                <c:pt idx="497">
                  <c:v>568.0</c:v>
                </c:pt>
                <c:pt idx="498">
                  <c:v>569.0</c:v>
                </c:pt>
                <c:pt idx="499">
                  <c:v>571.0</c:v>
                </c:pt>
                <c:pt idx="500">
                  <c:v>573.0</c:v>
                </c:pt>
                <c:pt idx="501">
                  <c:v>574.0</c:v>
                </c:pt>
                <c:pt idx="502">
                  <c:v>575.0</c:v>
                </c:pt>
                <c:pt idx="503">
                  <c:v>577.0</c:v>
                </c:pt>
                <c:pt idx="504">
                  <c:v>578.0</c:v>
                </c:pt>
                <c:pt idx="505">
                  <c:v>579.0</c:v>
                </c:pt>
                <c:pt idx="506">
                  <c:v>580.0</c:v>
                </c:pt>
                <c:pt idx="507">
                  <c:v>581.0</c:v>
                </c:pt>
                <c:pt idx="508">
                  <c:v>582.0</c:v>
                </c:pt>
                <c:pt idx="509">
                  <c:v>583.0</c:v>
                </c:pt>
                <c:pt idx="510">
                  <c:v>584.0</c:v>
                </c:pt>
                <c:pt idx="511">
                  <c:v>585.0</c:v>
                </c:pt>
                <c:pt idx="512">
                  <c:v>586.0</c:v>
                </c:pt>
                <c:pt idx="513">
                  <c:v>586.0</c:v>
                </c:pt>
                <c:pt idx="514">
                  <c:v>587.0</c:v>
                </c:pt>
                <c:pt idx="515">
                  <c:v>588.0</c:v>
                </c:pt>
                <c:pt idx="516">
                  <c:v>589.0</c:v>
                </c:pt>
                <c:pt idx="517">
                  <c:v>589.0</c:v>
                </c:pt>
                <c:pt idx="518">
                  <c:v>590.0</c:v>
                </c:pt>
                <c:pt idx="519">
                  <c:v>591.0</c:v>
                </c:pt>
                <c:pt idx="520">
                  <c:v>591.0</c:v>
                </c:pt>
                <c:pt idx="521">
                  <c:v>592.0</c:v>
                </c:pt>
                <c:pt idx="522">
                  <c:v>592.0</c:v>
                </c:pt>
                <c:pt idx="523">
                  <c:v>593.0</c:v>
                </c:pt>
                <c:pt idx="524">
                  <c:v>593.0</c:v>
                </c:pt>
                <c:pt idx="525">
                  <c:v>594.0</c:v>
                </c:pt>
                <c:pt idx="526">
                  <c:v>595.0</c:v>
                </c:pt>
                <c:pt idx="527">
                  <c:v>595.0</c:v>
                </c:pt>
                <c:pt idx="528">
                  <c:v>596.0</c:v>
                </c:pt>
                <c:pt idx="529">
                  <c:v>596.0</c:v>
                </c:pt>
                <c:pt idx="530">
                  <c:v>597.0</c:v>
                </c:pt>
                <c:pt idx="531">
                  <c:v>597.0</c:v>
                </c:pt>
                <c:pt idx="532">
                  <c:v>598.0</c:v>
                </c:pt>
                <c:pt idx="533">
                  <c:v>598.0</c:v>
                </c:pt>
                <c:pt idx="534">
                  <c:v>598.0</c:v>
                </c:pt>
                <c:pt idx="535">
                  <c:v>599.0</c:v>
                </c:pt>
                <c:pt idx="536">
                  <c:v>599.0</c:v>
                </c:pt>
                <c:pt idx="537">
                  <c:v>600.0</c:v>
                </c:pt>
                <c:pt idx="538">
                  <c:v>600.0</c:v>
                </c:pt>
                <c:pt idx="539">
                  <c:v>606.0</c:v>
                </c:pt>
                <c:pt idx="540">
                  <c:v>1.0</c:v>
                </c:pt>
                <c:pt idx="541">
                  <c:v>1.0</c:v>
                </c:pt>
                <c:pt idx="542">
                  <c:v>465.0</c:v>
                </c:pt>
                <c:pt idx="543">
                  <c:v>479.0</c:v>
                </c:pt>
                <c:pt idx="544">
                  <c:v>492.0</c:v>
                </c:pt>
                <c:pt idx="545">
                  <c:v>500.0</c:v>
                </c:pt>
                <c:pt idx="546">
                  <c:v>506.0</c:v>
                </c:pt>
                <c:pt idx="547">
                  <c:v>540.0</c:v>
                </c:pt>
                <c:pt idx="548">
                  <c:v>552.0</c:v>
                </c:pt>
                <c:pt idx="549">
                  <c:v>560.0</c:v>
                </c:pt>
                <c:pt idx="550">
                  <c:v>566.0</c:v>
                </c:pt>
                <c:pt idx="551">
                  <c:v>570.0</c:v>
                </c:pt>
                <c:pt idx="552">
                  <c:v>574.0</c:v>
                </c:pt>
                <c:pt idx="553">
                  <c:v>577.0</c:v>
                </c:pt>
                <c:pt idx="554">
                  <c:v>580.0</c:v>
                </c:pt>
                <c:pt idx="555">
                  <c:v>583.0</c:v>
                </c:pt>
                <c:pt idx="556">
                  <c:v>585.0</c:v>
                </c:pt>
                <c:pt idx="557">
                  <c:v>587.0</c:v>
                </c:pt>
                <c:pt idx="558">
                  <c:v>589.0</c:v>
                </c:pt>
                <c:pt idx="559">
                  <c:v>590.0</c:v>
                </c:pt>
                <c:pt idx="560">
                  <c:v>592.0</c:v>
                </c:pt>
                <c:pt idx="561">
                  <c:v>593.0</c:v>
                </c:pt>
                <c:pt idx="562">
                  <c:v>595.0</c:v>
                </c:pt>
                <c:pt idx="563">
                  <c:v>596.0</c:v>
                </c:pt>
                <c:pt idx="564">
                  <c:v>597.0</c:v>
                </c:pt>
                <c:pt idx="565">
                  <c:v>598.0</c:v>
                </c:pt>
                <c:pt idx="566">
                  <c:v>599.0</c:v>
                </c:pt>
                <c:pt idx="567">
                  <c:v>601.0</c:v>
                </c:pt>
                <c:pt idx="568">
                  <c:v>602.0</c:v>
                </c:pt>
                <c:pt idx="569">
                  <c:v>613.0</c:v>
                </c:pt>
                <c:pt idx="570">
                  <c:v>620.0</c:v>
                </c:pt>
                <c:pt idx="571">
                  <c:v>626.0</c:v>
                </c:pt>
                <c:pt idx="572">
                  <c:v>630.0</c:v>
                </c:pt>
                <c:pt idx="573">
                  <c:v>634.0</c:v>
                </c:pt>
                <c:pt idx="574">
                  <c:v>637.0</c:v>
                </c:pt>
                <c:pt idx="575">
                  <c:v>640.0</c:v>
                </c:pt>
                <c:pt idx="576">
                  <c:v>642.0</c:v>
                </c:pt>
                <c:pt idx="577">
                  <c:v>644.0</c:v>
                </c:pt>
                <c:pt idx="578">
                  <c:v>646.0</c:v>
                </c:pt>
                <c:pt idx="579">
                  <c:v>1.0</c:v>
                </c:pt>
                <c:pt idx="580">
                  <c:v>1.0</c:v>
                </c:pt>
                <c:pt idx="581">
                  <c:v>484.0</c:v>
                </c:pt>
                <c:pt idx="582">
                  <c:v>498.0</c:v>
                </c:pt>
                <c:pt idx="583">
                  <c:v>512.0</c:v>
                </c:pt>
                <c:pt idx="584">
                  <c:v>520.0</c:v>
                </c:pt>
                <c:pt idx="585">
                  <c:v>558.0</c:v>
                </c:pt>
                <c:pt idx="586">
                  <c:v>571.0</c:v>
                </c:pt>
                <c:pt idx="587">
                  <c:v>579.0</c:v>
                </c:pt>
                <c:pt idx="588">
                  <c:v>585.0</c:v>
                </c:pt>
                <c:pt idx="589">
                  <c:v>590.0</c:v>
                </c:pt>
                <c:pt idx="590">
                  <c:v>594.0</c:v>
                </c:pt>
                <c:pt idx="591">
                  <c:v>597.0</c:v>
                </c:pt>
                <c:pt idx="592">
                  <c:v>600.0</c:v>
                </c:pt>
                <c:pt idx="593">
                  <c:v>602.0</c:v>
                </c:pt>
                <c:pt idx="594">
                  <c:v>624.0</c:v>
                </c:pt>
                <c:pt idx="595">
                  <c:v>634.0</c:v>
                </c:pt>
                <c:pt idx="596">
                  <c:v>641.0</c:v>
                </c:pt>
                <c:pt idx="597">
                  <c:v>646.0</c:v>
                </c:pt>
                <c:pt idx="598">
                  <c:v>651.0</c:v>
                </c:pt>
                <c:pt idx="599">
                  <c:v>654.0</c:v>
                </c:pt>
                <c:pt idx="600">
                  <c:v>657.0</c:v>
                </c:pt>
                <c:pt idx="601">
                  <c:v>660.0</c:v>
                </c:pt>
                <c:pt idx="602">
                  <c:v>662.0</c:v>
                </c:pt>
                <c:pt idx="603">
                  <c:v>664.0</c:v>
                </c:pt>
                <c:pt idx="604">
                  <c:v>666.0</c:v>
                </c:pt>
                <c:pt idx="605">
                  <c:v>668.0</c:v>
                </c:pt>
                <c:pt idx="606">
                  <c:v>670.0</c:v>
                </c:pt>
                <c:pt idx="607">
                  <c:v>671.0</c:v>
                </c:pt>
                <c:pt idx="608">
                  <c:v>673.0</c:v>
                </c:pt>
                <c:pt idx="609">
                  <c:v>674.0</c:v>
                </c:pt>
                <c:pt idx="610">
                  <c:v>675.0</c:v>
                </c:pt>
                <c:pt idx="611">
                  <c:v>676.0</c:v>
                </c:pt>
                <c:pt idx="612">
                  <c:v>677.0</c:v>
                </c:pt>
                <c:pt idx="613">
                  <c:v>679.0</c:v>
                </c:pt>
                <c:pt idx="614">
                  <c:v>680.0</c:v>
                </c:pt>
                <c:pt idx="615">
                  <c:v>680.0</c:v>
                </c:pt>
                <c:pt idx="616">
                  <c:v>681.0</c:v>
                </c:pt>
                <c:pt idx="617">
                  <c:v>682.0</c:v>
                </c:pt>
                <c:pt idx="618">
                  <c:v>683.0</c:v>
                </c:pt>
                <c:pt idx="619">
                  <c:v>684.0</c:v>
                </c:pt>
                <c:pt idx="620">
                  <c:v>685.0</c:v>
                </c:pt>
                <c:pt idx="621">
                  <c:v>685.0</c:v>
                </c:pt>
                <c:pt idx="622">
                  <c:v>1.0</c:v>
                </c:pt>
                <c:pt idx="623">
                  <c:v>1.0</c:v>
                </c:pt>
                <c:pt idx="624">
                  <c:v>503.0</c:v>
                </c:pt>
                <c:pt idx="625">
                  <c:v>517.0</c:v>
                </c:pt>
                <c:pt idx="626">
                  <c:v>575.0</c:v>
                </c:pt>
                <c:pt idx="627">
                  <c:v>589.0</c:v>
                </c:pt>
                <c:pt idx="628">
                  <c:v>597.0</c:v>
                </c:pt>
                <c:pt idx="629">
                  <c:v>604.0</c:v>
                </c:pt>
                <c:pt idx="630">
                  <c:v>609.0</c:v>
                </c:pt>
                <c:pt idx="631">
                  <c:v>639.0</c:v>
                </c:pt>
                <c:pt idx="632">
                  <c:v>651.0</c:v>
                </c:pt>
                <c:pt idx="633">
                  <c:v>659.0</c:v>
                </c:pt>
                <c:pt idx="634">
                  <c:v>664.0</c:v>
                </c:pt>
                <c:pt idx="635">
                  <c:v>669.0</c:v>
                </c:pt>
                <c:pt idx="636">
                  <c:v>673.0</c:v>
                </c:pt>
                <c:pt idx="637">
                  <c:v>676.0</c:v>
                </c:pt>
                <c:pt idx="638">
                  <c:v>679.0</c:v>
                </c:pt>
                <c:pt idx="639">
                  <c:v>681.0</c:v>
                </c:pt>
                <c:pt idx="640">
                  <c:v>683.0</c:v>
                </c:pt>
                <c:pt idx="641">
                  <c:v>685.0</c:v>
                </c:pt>
                <c:pt idx="642">
                  <c:v>687.0</c:v>
                </c:pt>
                <c:pt idx="643">
                  <c:v>689.0</c:v>
                </c:pt>
                <c:pt idx="644">
                  <c:v>690.0</c:v>
                </c:pt>
                <c:pt idx="645">
                  <c:v>692.0</c:v>
                </c:pt>
                <c:pt idx="646">
                  <c:v>693.0</c:v>
                </c:pt>
                <c:pt idx="647">
                  <c:v>694.0</c:v>
                </c:pt>
                <c:pt idx="648">
                  <c:v>696.0</c:v>
                </c:pt>
                <c:pt idx="649">
                  <c:v>697.0</c:v>
                </c:pt>
                <c:pt idx="650">
                  <c:v>698.0</c:v>
                </c:pt>
                <c:pt idx="651">
                  <c:v>699.0</c:v>
                </c:pt>
                <c:pt idx="652">
                  <c:v>700.0</c:v>
                </c:pt>
                <c:pt idx="653">
                  <c:v>701.0</c:v>
                </c:pt>
                <c:pt idx="654">
                  <c:v>719.0</c:v>
                </c:pt>
                <c:pt idx="655">
                  <c:v>1.0</c:v>
                </c:pt>
                <c:pt idx="656">
                  <c:v>1.0</c:v>
                </c:pt>
                <c:pt idx="657">
                  <c:v>594.0</c:v>
                </c:pt>
                <c:pt idx="658">
                  <c:v>609.0</c:v>
                </c:pt>
                <c:pt idx="659">
                  <c:v>618.0</c:v>
                </c:pt>
                <c:pt idx="660">
                  <c:v>658.0</c:v>
                </c:pt>
                <c:pt idx="661">
                  <c:v>671.0</c:v>
                </c:pt>
                <c:pt idx="662">
                  <c:v>679.0</c:v>
                </c:pt>
                <c:pt idx="663">
                  <c:v>685.0</c:v>
                </c:pt>
                <c:pt idx="664">
                  <c:v>690.0</c:v>
                </c:pt>
                <c:pt idx="665">
                  <c:v>694.0</c:v>
                </c:pt>
                <c:pt idx="666">
                  <c:v>697.0</c:v>
                </c:pt>
                <c:pt idx="667">
                  <c:v>700.0</c:v>
                </c:pt>
                <c:pt idx="668">
                  <c:v>702.0</c:v>
                </c:pt>
                <c:pt idx="669">
                  <c:v>734.0</c:v>
                </c:pt>
                <c:pt idx="670">
                  <c:v>746.0</c:v>
                </c:pt>
                <c:pt idx="671">
                  <c:v>753.0</c:v>
                </c:pt>
                <c:pt idx="672">
                  <c:v>759.0</c:v>
                </c:pt>
                <c:pt idx="673">
                  <c:v>764.0</c:v>
                </c:pt>
                <c:pt idx="674">
                  <c:v>1.0</c:v>
                </c:pt>
                <c:pt idx="675">
                  <c:v>1.0</c:v>
                </c:pt>
                <c:pt idx="676">
                  <c:v>615.0</c:v>
                </c:pt>
                <c:pt idx="677">
                  <c:v>629.0</c:v>
                </c:pt>
                <c:pt idx="678">
                  <c:v>677.0</c:v>
                </c:pt>
                <c:pt idx="679">
                  <c:v>691.0</c:v>
                </c:pt>
                <c:pt idx="680">
                  <c:v>699.0</c:v>
                </c:pt>
                <c:pt idx="681">
                  <c:v>705.0</c:v>
                </c:pt>
                <c:pt idx="682">
                  <c:v>710.0</c:v>
                </c:pt>
                <c:pt idx="683">
                  <c:v>752.0</c:v>
                </c:pt>
                <c:pt idx="684">
                  <c:v>765.0</c:v>
                </c:pt>
                <c:pt idx="685">
                  <c:v>773.0</c:v>
                </c:pt>
                <c:pt idx="686">
                  <c:v>779.0</c:v>
                </c:pt>
                <c:pt idx="687">
                  <c:v>784.0</c:v>
                </c:pt>
                <c:pt idx="688">
                  <c:v>787.0</c:v>
                </c:pt>
                <c:pt idx="689">
                  <c:v>791.0</c:v>
                </c:pt>
                <c:pt idx="690">
                  <c:v>793.0</c:v>
                </c:pt>
                <c:pt idx="691">
                  <c:v>796.0</c:v>
                </c:pt>
                <c:pt idx="692">
                  <c:v>798.0</c:v>
                </c:pt>
                <c:pt idx="693">
                  <c:v>800.0</c:v>
                </c:pt>
                <c:pt idx="694">
                  <c:v>802.0</c:v>
                </c:pt>
                <c:pt idx="695">
                  <c:v>804.0</c:v>
                </c:pt>
                <c:pt idx="696">
                  <c:v>1.0</c:v>
                </c:pt>
                <c:pt idx="697">
                  <c:v>1.0</c:v>
                </c:pt>
                <c:pt idx="698">
                  <c:v>633.0</c:v>
                </c:pt>
                <c:pt idx="699">
                  <c:v>648.0</c:v>
                </c:pt>
                <c:pt idx="700">
                  <c:v>696.0</c:v>
                </c:pt>
                <c:pt idx="701">
                  <c:v>710.0</c:v>
                </c:pt>
                <c:pt idx="702">
                  <c:v>719.0</c:v>
                </c:pt>
                <c:pt idx="703">
                  <c:v>770.0</c:v>
                </c:pt>
                <c:pt idx="704">
                  <c:v>783.0</c:v>
                </c:pt>
                <c:pt idx="705">
                  <c:v>792.0</c:v>
                </c:pt>
                <c:pt idx="706">
                  <c:v>798.0</c:v>
                </c:pt>
                <c:pt idx="707">
                  <c:v>802.0</c:v>
                </c:pt>
                <c:pt idx="708">
                  <c:v>806.0</c:v>
                </c:pt>
                <c:pt idx="709">
                  <c:v>810.0</c:v>
                </c:pt>
                <c:pt idx="710">
                  <c:v>812.0</c:v>
                </c:pt>
                <c:pt idx="711">
                  <c:v>815.0</c:v>
                </c:pt>
                <c:pt idx="712">
                  <c:v>817.0</c:v>
                </c:pt>
                <c:pt idx="713">
                  <c:v>819.0</c:v>
                </c:pt>
                <c:pt idx="714">
                  <c:v>821.0</c:v>
                </c:pt>
                <c:pt idx="715">
                  <c:v>823.0</c:v>
                </c:pt>
                <c:pt idx="716">
                  <c:v>824.0</c:v>
                </c:pt>
                <c:pt idx="717">
                  <c:v>826.0</c:v>
                </c:pt>
                <c:pt idx="718">
                  <c:v>827.0</c:v>
                </c:pt>
                <c:pt idx="719">
                  <c:v>828.0</c:v>
                </c:pt>
                <c:pt idx="720">
                  <c:v>830.0</c:v>
                </c:pt>
                <c:pt idx="721">
                  <c:v>831.0</c:v>
                </c:pt>
                <c:pt idx="722">
                  <c:v>832.0</c:v>
                </c:pt>
                <c:pt idx="723">
                  <c:v>833.0</c:v>
                </c:pt>
                <c:pt idx="724">
                  <c:v>834.0</c:v>
                </c:pt>
                <c:pt idx="725">
                  <c:v>835.0</c:v>
                </c:pt>
                <c:pt idx="726">
                  <c:v>836.0</c:v>
                </c:pt>
                <c:pt idx="727">
                  <c:v>837.0</c:v>
                </c:pt>
                <c:pt idx="728">
                  <c:v>837.0</c:v>
                </c:pt>
                <c:pt idx="729">
                  <c:v>838.0</c:v>
                </c:pt>
                <c:pt idx="730">
                  <c:v>839.0</c:v>
                </c:pt>
                <c:pt idx="731">
                  <c:v>840.0</c:v>
                </c:pt>
                <c:pt idx="732">
                  <c:v>840.0</c:v>
                </c:pt>
                <c:pt idx="733">
                  <c:v>841.0</c:v>
                </c:pt>
                <c:pt idx="734">
                  <c:v>842.0</c:v>
                </c:pt>
                <c:pt idx="735">
                  <c:v>842.0</c:v>
                </c:pt>
                <c:pt idx="736">
                  <c:v>1.0</c:v>
                </c:pt>
                <c:pt idx="737">
                  <c:v>1.0</c:v>
                </c:pt>
                <c:pt idx="738">
                  <c:v>652.0</c:v>
                </c:pt>
                <c:pt idx="739">
                  <c:v>666.0</c:v>
                </c:pt>
                <c:pt idx="740">
                  <c:v>716.0</c:v>
                </c:pt>
                <c:pt idx="741">
                  <c:v>729.0</c:v>
                </c:pt>
                <c:pt idx="742">
                  <c:v>788.0</c:v>
                </c:pt>
                <c:pt idx="743">
                  <c:v>802.0</c:v>
                </c:pt>
                <c:pt idx="744">
                  <c:v>811.0</c:v>
                </c:pt>
                <c:pt idx="745">
                  <c:v>817.0</c:v>
                </c:pt>
                <c:pt idx="746">
                  <c:v>822.0</c:v>
                </c:pt>
                <c:pt idx="747">
                  <c:v>826.0</c:v>
                </c:pt>
                <c:pt idx="748">
                  <c:v>829.0</c:v>
                </c:pt>
              </c:numCache>
            </c:numRef>
          </c:val>
          <c:smooth val="0"/>
        </c:ser>
        <c:dLbls>
          <c:showLegendKey val="0"/>
          <c:showVal val="0"/>
          <c:showCatName val="0"/>
          <c:showSerName val="0"/>
          <c:showPercent val="0"/>
          <c:showBubbleSize val="0"/>
        </c:dLbls>
        <c:marker val="1"/>
        <c:smooth val="0"/>
        <c:axId val="381366728"/>
        <c:axId val="393681064"/>
      </c:lineChart>
      <c:lineChart>
        <c:grouping val="standard"/>
        <c:varyColors val="0"/>
        <c:ser>
          <c:idx val="0"/>
          <c:order val="0"/>
          <c:tx>
            <c:strRef>
              <c:f>'Calc for Prestige Patterns'!$D$1</c:f>
              <c:strCache>
                <c:ptCount val="1"/>
                <c:pt idx="0">
                  <c:v>Currency Balance</c:v>
                </c:pt>
              </c:strCache>
            </c:strRef>
          </c:tx>
          <c:spPr>
            <a:ln w="25400" cmpd="sng">
              <a:solidFill>
                <a:srgbClr val="3366CC"/>
              </a:solidFill>
            </a:ln>
          </c:spPr>
          <c:marker>
            <c:symbol val="none"/>
          </c:marker>
          <c:cat>
            <c:numRef>
              <c:f>'Calc for Prestige Patterns'!$C$2:$C$750</c:f>
              <c:numCache>
                <c:formatCode>0</c:formatCode>
                <c:ptCount val="749"/>
                <c:pt idx="0">
                  <c:v>0.5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pt idx="19">
                  <c:v>10.0</c:v>
                </c:pt>
                <c:pt idx="20">
                  <c:v>10.5</c:v>
                </c:pt>
                <c:pt idx="21">
                  <c:v>11.0</c:v>
                </c:pt>
                <c:pt idx="22">
                  <c:v>11.5</c:v>
                </c:pt>
                <c:pt idx="23">
                  <c:v>12.0</c:v>
                </c:pt>
                <c:pt idx="24">
                  <c:v>12.5</c:v>
                </c:pt>
                <c:pt idx="25">
                  <c:v>13.0</c:v>
                </c:pt>
                <c:pt idx="26">
                  <c:v>13.5</c:v>
                </c:pt>
                <c:pt idx="27">
                  <c:v>14.0</c:v>
                </c:pt>
                <c:pt idx="28">
                  <c:v>14.5</c:v>
                </c:pt>
                <c:pt idx="29">
                  <c:v>15.0</c:v>
                </c:pt>
                <c:pt idx="30">
                  <c:v>15.5</c:v>
                </c:pt>
                <c:pt idx="31">
                  <c:v>16.0</c:v>
                </c:pt>
                <c:pt idx="32">
                  <c:v>16.5</c:v>
                </c:pt>
                <c:pt idx="33">
                  <c:v>17.0</c:v>
                </c:pt>
                <c:pt idx="34">
                  <c:v>17.5</c:v>
                </c:pt>
                <c:pt idx="35">
                  <c:v>18.0</c:v>
                </c:pt>
                <c:pt idx="36">
                  <c:v>18.5</c:v>
                </c:pt>
                <c:pt idx="37">
                  <c:v>19.0</c:v>
                </c:pt>
                <c:pt idx="38">
                  <c:v>19.5</c:v>
                </c:pt>
                <c:pt idx="39">
                  <c:v>20.0</c:v>
                </c:pt>
                <c:pt idx="40">
                  <c:v>20.5</c:v>
                </c:pt>
                <c:pt idx="41">
                  <c:v>21.0</c:v>
                </c:pt>
                <c:pt idx="42">
                  <c:v>21.5</c:v>
                </c:pt>
                <c:pt idx="43">
                  <c:v>22.0</c:v>
                </c:pt>
                <c:pt idx="44">
                  <c:v>22.5</c:v>
                </c:pt>
                <c:pt idx="45">
                  <c:v>23.0</c:v>
                </c:pt>
                <c:pt idx="46">
                  <c:v>23.5</c:v>
                </c:pt>
                <c:pt idx="47">
                  <c:v>24.0</c:v>
                </c:pt>
                <c:pt idx="48">
                  <c:v>24.5</c:v>
                </c:pt>
                <c:pt idx="49">
                  <c:v>25.0</c:v>
                </c:pt>
                <c:pt idx="50">
                  <c:v>25.5</c:v>
                </c:pt>
                <c:pt idx="51">
                  <c:v>26.0</c:v>
                </c:pt>
                <c:pt idx="52">
                  <c:v>26.5</c:v>
                </c:pt>
                <c:pt idx="53">
                  <c:v>27.0</c:v>
                </c:pt>
                <c:pt idx="54">
                  <c:v>27.5</c:v>
                </c:pt>
                <c:pt idx="55">
                  <c:v>28.0</c:v>
                </c:pt>
                <c:pt idx="56">
                  <c:v>28.5</c:v>
                </c:pt>
                <c:pt idx="57">
                  <c:v>29.0</c:v>
                </c:pt>
                <c:pt idx="58">
                  <c:v>29.5</c:v>
                </c:pt>
                <c:pt idx="59">
                  <c:v>30.0</c:v>
                </c:pt>
                <c:pt idx="60">
                  <c:v>30.5</c:v>
                </c:pt>
                <c:pt idx="61">
                  <c:v>31.0</c:v>
                </c:pt>
                <c:pt idx="62">
                  <c:v>31.5</c:v>
                </c:pt>
                <c:pt idx="63">
                  <c:v>32.0</c:v>
                </c:pt>
                <c:pt idx="64">
                  <c:v>32.5</c:v>
                </c:pt>
                <c:pt idx="65">
                  <c:v>33.0</c:v>
                </c:pt>
                <c:pt idx="66">
                  <c:v>33.5</c:v>
                </c:pt>
                <c:pt idx="67">
                  <c:v>34.0</c:v>
                </c:pt>
                <c:pt idx="68">
                  <c:v>34.5</c:v>
                </c:pt>
                <c:pt idx="69">
                  <c:v>35.0</c:v>
                </c:pt>
                <c:pt idx="70">
                  <c:v>35.5</c:v>
                </c:pt>
                <c:pt idx="71">
                  <c:v>36.0</c:v>
                </c:pt>
                <c:pt idx="72">
                  <c:v>36.5</c:v>
                </c:pt>
                <c:pt idx="73">
                  <c:v>37.0</c:v>
                </c:pt>
                <c:pt idx="74">
                  <c:v>37.5</c:v>
                </c:pt>
                <c:pt idx="75">
                  <c:v>38.0</c:v>
                </c:pt>
                <c:pt idx="76">
                  <c:v>38.5</c:v>
                </c:pt>
                <c:pt idx="77">
                  <c:v>39.0</c:v>
                </c:pt>
                <c:pt idx="78">
                  <c:v>39.5</c:v>
                </c:pt>
                <c:pt idx="79">
                  <c:v>40.0</c:v>
                </c:pt>
                <c:pt idx="80">
                  <c:v>40.5</c:v>
                </c:pt>
                <c:pt idx="81">
                  <c:v>41.0</c:v>
                </c:pt>
                <c:pt idx="82">
                  <c:v>41.5</c:v>
                </c:pt>
                <c:pt idx="83">
                  <c:v>42.0</c:v>
                </c:pt>
                <c:pt idx="84">
                  <c:v>42.5</c:v>
                </c:pt>
                <c:pt idx="85">
                  <c:v>43.0</c:v>
                </c:pt>
                <c:pt idx="86">
                  <c:v>43.5</c:v>
                </c:pt>
                <c:pt idx="87">
                  <c:v>44.0</c:v>
                </c:pt>
                <c:pt idx="88">
                  <c:v>44.5</c:v>
                </c:pt>
                <c:pt idx="89">
                  <c:v>45.0</c:v>
                </c:pt>
                <c:pt idx="90">
                  <c:v>45.5</c:v>
                </c:pt>
                <c:pt idx="91">
                  <c:v>46.0</c:v>
                </c:pt>
                <c:pt idx="92">
                  <c:v>46.5</c:v>
                </c:pt>
                <c:pt idx="93">
                  <c:v>47.0</c:v>
                </c:pt>
                <c:pt idx="94">
                  <c:v>47.5</c:v>
                </c:pt>
                <c:pt idx="95">
                  <c:v>48.0</c:v>
                </c:pt>
                <c:pt idx="96">
                  <c:v>48.5</c:v>
                </c:pt>
                <c:pt idx="97">
                  <c:v>49.0</c:v>
                </c:pt>
                <c:pt idx="98">
                  <c:v>49.5</c:v>
                </c:pt>
                <c:pt idx="99">
                  <c:v>50.0</c:v>
                </c:pt>
                <c:pt idx="100">
                  <c:v>50.5</c:v>
                </c:pt>
                <c:pt idx="101">
                  <c:v>51.0</c:v>
                </c:pt>
                <c:pt idx="102">
                  <c:v>51.5</c:v>
                </c:pt>
                <c:pt idx="103">
                  <c:v>52.0</c:v>
                </c:pt>
                <c:pt idx="104">
                  <c:v>52.5</c:v>
                </c:pt>
                <c:pt idx="105">
                  <c:v>53.0</c:v>
                </c:pt>
                <c:pt idx="106">
                  <c:v>53.5</c:v>
                </c:pt>
                <c:pt idx="107">
                  <c:v>54.0</c:v>
                </c:pt>
                <c:pt idx="108">
                  <c:v>54.5</c:v>
                </c:pt>
                <c:pt idx="109">
                  <c:v>55.0</c:v>
                </c:pt>
                <c:pt idx="110">
                  <c:v>55.5</c:v>
                </c:pt>
                <c:pt idx="111">
                  <c:v>56.0</c:v>
                </c:pt>
                <c:pt idx="112">
                  <c:v>56.5</c:v>
                </c:pt>
                <c:pt idx="113">
                  <c:v>57.0</c:v>
                </c:pt>
                <c:pt idx="114">
                  <c:v>57.5</c:v>
                </c:pt>
                <c:pt idx="115">
                  <c:v>58.0</c:v>
                </c:pt>
                <c:pt idx="116">
                  <c:v>58.5</c:v>
                </c:pt>
                <c:pt idx="117">
                  <c:v>59.0</c:v>
                </c:pt>
                <c:pt idx="118">
                  <c:v>59.5</c:v>
                </c:pt>
                <c:pt idx="119">
                  <c:v>60.0</c:v>
                </c:pt>
                <c:pt idx="120">
                  <c:v>60.5</c:v>
                </c:pt>
                <c:pt idx="121">
                  <c:v>61.0</c:v>
                </c:pt>
                <c:pt idx="122">
                  <c:v>61.5</c:v>
                </c:pt>
                <c:pt idx="123">
                  <c:v>62.0</c:v>
                </c:pt>
                <c:pt idx="124">
                  <c:v>62.5</c:v>
                </c:pt>
                <c:pt idx="125">
                  <c:v>63.0</c:v>
                </c:pt>
                <c:pt idx="126">
                  <c:v>63.5</c:v>
                </c:pt>
                <c:pt idx="127">
                  <c:v>64.0</c:v>
                </c:pt>
                <c:pt idx="128">
                  <c:v>64.5</c:v>
                </c:pt>
                <c:pt idx="129">
                  <c:v>65.0</c:v>
                </c:pt>
                <c:pt idx="130">
                  <c:v>65.5</c:v>
                </c:pt>
                <c:pt idx="131">
                  <c:v>66.0</c:v>
                </c:pt>
                <c:pt idx="132">
                  <c:v>66.5</c:v>
                </c:pt>
                <c:pt idx="133">
                  <c:v>67.0</c:v>
                </c:pt>
                <c:pt idx="134">
                  <c:v>67.5</c:v>
                </c:pt>
                <c:pt idx="135">
                  <c:v>68.0</c:v>
                </c:pt>
                <c:pt idx="136">
                  <c:v>68.5</c:v>
                </c:pt>
                <c:pt idx="137">
                  <c:v>69.0</c:v>
                </c:pt>
                <c:pt idx="138">
                  <c:v>69.5</c:v>
                </c:pt>
                <c:pt idx="139">
                  <c:v>70.0</c:v>
                </c:pt>
                <c:pt idx="140">
                  <c:v>70.5</c:v>
                </c:pt>
                <c:pt idx="141">
                  <c:v>71.0</c:v>
                </c:pt>
                <c:pt idx="142">
                  <c:v>71.5</c:v>
                </c:pt>
                <c:pt idx="143">
                  <c:v>72.0</c:v>
                </c:pt>
                <c:pt idx="144">
                  <c:v>72.5</c:v>
                </c:pt>
                <c:pt idx="145">
                  <c:v>73.0</c:v>
                </c:pt>
                <c:pt idx="146">
                  <c:v>73.5</c:v>
                </c:pt>
                <c:pt idx="147">
                  <c:v>74.0</c:v>
                </c:pt>
                <c:pt idx="148">
                  <c:v>74.5</c:v>
                </c:pt>
                <c:pt idx="149">
                  <c:v>75.0</c:v>
                </c:pt>
                <c:pt idx="150">
                  <c:v>75.5</c:v>
                </c:pt>
                <c:pt idx="151">
                  <c:v>76.0</c:v>
                </c:pt>
                <c:pt idx="152">
                  <c:v>76.5</c:v>
                </c:pt>
                <c:pt idx="153">
                  <c:v>77.0</c:v>
                </c:pt>
                <c:pt idx="154">
                  <c:v>77.5</c:v>
                </c:pt>
                <c:pt idx="155">
                  <c:v>78.0</c:v>
                </c:pt>
                <c:pt idx="156">
                  <c:v>78.5</c:v>
                </c:pt>
                <c:pt idx="157">
                  <c:v>79.0</c:v>
                </c:pt>
                <c:pt idx="158">
                  <c:v>79.5</c:v>
                </c:pt>
                <c:pt idx="159">
                  <c:v>80.0</c:v>
                </c:pt>
                <c:pt idx="160">
                  <c:v>80.5</c:v>
                </c:pt>
                <c:pt idx="161">
                  <c:v>81.0</c:v>
                </c:pt>
                <c:pt idx="162">
                  <c:v>81.5</c:v>
                </c:pt>
                <c:pt idx="163">
                  <c:v>82.0</c:v>
                </c:pt>
                <c:pt idx="164">
                  <c:v>82.5</c:v>
                </c:pt>
                <c:pt idx="165">
                  <c:v>83.0</c:v>
                </c:pt>
                <c:pt idx="166">
                  <c:v>83.5</c:v>
                </c:pt>
                <c:pt idx="167">
                  <c:v>84.0</c:v>
                </c:pt>
                <c:pt idx="168">
                  <c:v>84.5</c:v>
                </c:pt>
                <c:pt idx="169">
                  <c:v>85.0</c:v>
                </c:pt>
                <c:pt idx="170">
                  <c:v>85.5</c:v>
                </c:pt>
                <c:pt idx="171">
                  <c:v>86.0</c:v>
                </c:pt>
                <c:pt idx="172">
                  <c:v>86.5</c:v>
                </c:pt>
                <c:pt idx="173">
                  <c:v>87.0</c:v>
                </c:pt>
                <c:pt idx="174">
                  <c:v>87.5</c:v>
                </c:pt>
                <c:pt idx="175">
                  <c:v>88.0</c:v>
                </c:pt>
                <c:pt idx="176">
                  <c:v>88.5</c:v>
                </c:pt>
                <c:pt idx="177">
                  <c:v>89.0</c:v>
                </c:pt>
                <c:pt idx="178">
                  <c:v>89.5</c:v>
                </c:pt>
                <c:pt idx="179">
                  <c:v>90.0</c:v>
                </c:pt>
                <c:pt idx="180">
                  <c:v>90.5</c:v>
                </c:pt>
                <c:pt idx="181">
                  <c:v>91.0</c:v>
                </c:pt>
                <c:pt idx="182">
                  <c:v>91.5</c:v>
                </c:pt>
                <c:pt idx="183">
                  <c:v>92.0</c:v>
                </c:pt>
                <c:pt idx="184">
                  <c:v>92.5</c:v>
                </c:pt>
                <c:pt idx="185">
                  <c:v>93.0</c:v>
                </c:pt>
                <c:pt idx="186">
                  <c:v>93.5</c:v>
                </c:pt>
                <c:pt idx="187">
                  <c:v>94.0</c:v>
                </c:pt>
                <c:pt idx="188">
                  <c:v>94.5</c:v>
                </c:pt>
                <c:pt idx="189">
                  <c:v>95.0</c:v>
                </c:pt>
                <c:pt idx="190">
                  <c:v>95.5</c:v>
                </c:pt>
                <c:pt idx="191">
                  <c:v>96.0</c:v>
                </c:pt>
                <c:pt idx="192">
                  <c:v>96.5</c:v>
                </c:pt>
                <c:pt idx="193">
                  <c:v>97.0</c:v>
                </c:pt>
                <c:pt idx="194">
                  <c:v>97.5</c:v>
                </c:pt>
                <c:pt idx="195">
                  <c:v>98.0</c:v>
                </c:pt>
                <c:pt idx="196">
                  <c:v>98.5</c:v>
                </c:pt>
                <c:pt idx="197">
                  <c:v>99.0</c:v>
                </c:pt>
                <c:pt idx="198">
                  <c:v>99.5</c:v>
                </c:pt>
                <c:pt idx="199">
                  <c:v>100.0</c:v>
                </c:pt>
                <c:pt idx="200">
                  <c:v>100.5</c:v>
                </c:pt>
                <c:pt idx="201">
                  <c:v>101.0</c:v>
                </c:pt>
                <c:pt idx="202">
                  <c:v>101.5</c:v>
                </c:pt>
                <c:pt idx="203">
                  <c:v>102.0</c:v>
                </c:pt>
                <c:pt idx="204">
                  <c:v>102.5</c:v>
                </c:pt>
                <c:pt idx="205">
                  <c:v>103.0</c:v>
                </c:pt>
                <c:pt idx="206">
                  <c:v>103.5</c:v>
                </c:pt>
                <c:pt idx="207">
                  <c:v>104.0</c:v>
                </c:pt>
                <c:pt idx="208">
                  <c:v>104.5</c:v>
                </c:pt>
                <c:pt idx="209">
                  <c:v>105.0</c:v>
                </c:pt>
                <c:pt idx="210">
                  <c:v>105.5</c:v>
                </c:pt>
                <c:pt idx="211">
                  <c:v>106.0</c:v>
                </c:pt>
                <c:pt idx="212">
                  <c:v>106.5</c:v>
                </c:pt>
                <c:pt idx="213">
                  <c:v>107.0</c:v>
                </c:pt>
                <c:pt idx="214">
                  <c:v>107.5</c:v>
                </c:pt>
                <c:pt idx="215">
                  <c:v>108.0</c:v>
                </c:pt>
                <c:pt idx="216">
                  <c:v>108.5</c:v>
                </c:pt>
                <c:pt idx="217">
                  <c:v>109.0</c:v>
                </c:pt>
                <c:pt idx="218">
                  <c:v>109.5</c:v>
                </c:pt>
                <c:pt idx="219">
                  <c:v>110.0</c:v>
                </c:pt>
                <c:pt idx="220">
                  <c:v>110.5</c:v>
                </c:pt>
                <c:pt idx="221">
                  <c:v>111.0</c:v>
                </c:pt>
                <c:pt idx="222">
                  <c:v>111.5</c:v>
                </c:pt>
                <c:pt idx="223">
                  <c:v>112.0</c:v>
                </c:pt>
                <c:pt idx="224">
                  <c:v>112.5</c:v>
                </c:pt>
                <c:pt idx="225">
                  <c:v>113.0</c:v>
                </c:pt>
                <c:pt idx="226">
                  <c:v>113.5</c:v>
                </c:pt>
                <c:pt idx="227">
                  <c:v>114.0</c:v>
                </c:pt>
                <c:pt idx="228">
                  <c:v>114.5</c:v>
                </c:pt>
                <c:pt idx="229">
                  <c:v>115.0</c:v>
                </c:pt>
                <c:pt idx="230">
                  <c:v>115.5</c:v>
                </c:pt>
                <c:pt idx="231">
                  <c:v>116.0</c:v>
                </c:pt>
                <c:pt idx="232">
                  <c:v>116.5</c:v>
                </c:pt>
                <c:pt idx="233">
                  <c:v>117.0</c:v>
                </c:pt>
                <c:pt idx="234">
                  <c:v>117.5</c:v>
                </c:pt>
                <c:pt idx="235">
                  <c:v>118.0</c:v>
                </c:pt>
                <c:pt idx="236">
                  <c:v>118.5</c:v>
                </c:pt>
                <c:pt idx="237">
                  <c:v>119.0</c:v>
                </c:pt>
                <c:pt idx="238">
                  <c:v>119.5</c:v>
                </c:pt>
                <c:pt idx="239">
                  <c:v>120.0</c:v>
                </c:pt>
                <c:pt idx="240">
                  <c:v>120.5</c:v>
                </c:pt>
                <c:pt idx="241">
                  <c:v>121.0</c:v>
                </c:pt>
                <c:pt idx="242">
                  <c:v>121.5</c:v>
                </c:pt>
                <c:pt idx="243">
                  <c:v>122.0</c:v>
                </c:pt>
                <c:pt idx="244">
                  <c:v>122.5</c:v>
                </c:pt>
                <c:pt idx="245">
                  <c:v>123.0</c:v>
                </c:pt>
                <c:pt idx="246">
                  <c:v>123.5</c:v>
                </c:pt>
                <c:pt idx="247">
                  <c:v>124.0</c:v>
                </c:pt>
                <c:pt idx="248">
                  <c:v>124.5</c:v>
                </c:pt>
                <c:pt idx="249">
                  <c:v>125.0</c:v>
                </c:pt>
                <c:pt idx="250">
                  <c:v>125.5</c:v>
                </c:pt>
                <c:pt idx="251">
                  <c:v>126.0</c:v>
                </c:pt>
                <c:pt idx="252">
                  <c:v>126.5</c:v>
                </c:pt>
                <c:pt idx="253">
                  <c:v>127.0</c:v>
                </c:pt>
                <c:pt idx="254">
                  <c:v>127.5</c:v>
                </c:pt>
                <c:pt idx="255">
                  <c:v>128.0</c:v>
                </c:pt>
                <c:pt idx="256">
                  <c:v>128.5</c:v>
                </c:pt>
                <c:pt idx="257">
                  <c:v>129.0</c:v>
                </c:pt>
                <c:pt idx="258">
                  <c:v>129.5</c:v>
                </c:pt>
                <c:pt idx="259">
                  <c:v>130.0</c:v>
                </c:pt>
                <c:pt idx="260">
                  <c:v>130.5</c:v>
                </c:pt>
                <c:pt idx="261">
                  <c:v>131.0</c:v>
                </c:pt>
                <c:pt idx="262">
                  <c:v>131.5</c:v>
                </c:pt>
                <c:pt idx="263">
                  <c:v>132.0</c:v>
                </c:pt>
                <c:pt idx="264">
                  <c:v>132.5</c:v>
                </c:pt>
                <c:pt idx="265">
                  <c:v>133.0</c:v>
                </c:pt>
                <c:pt idx="266">
                  <c:v>133.5</c:v>
                </c:pt>
                <c:pt idx="267">
                  <c:v>134.0</c:v>
                </c:pt>
                <c:pt idx="268">
                  <c:v>134.5</c:v>
                </c:pt>
                <c:pt idx="269">
                  <c:v>135.0</c:v>
                </c:pt>
                <c:pt idx="270">
                  <c:v>135.5</c:v>
                </c:pt>
                <c:pt idx="271">
                  <c:v>136.0</c:v>
                </c:pt>
                <c:pt idx="272">
                  <c:v>136.5</c:v>
                </c:pt>
                <c:pt idx="273">
                  <c:v>137.0</c:v>
                </c:pt>
                <c:pt idx="274">
                  <c:v>137.5</c:v>
                </c:pt>
                <c:pt idx="275">
                  <c:v>138.0</c:v>
                </c:pt>
                <c:pt idx="276">
                  <c:v>138.5</c:v>
                </c:pt>
                <c:pt idx="277">
                  <c:v>139.0</c:v>
                </c:pt>
                <c:pt idx="278">
                  <c:v>139.5</c:v>
                </c:pt>
                <c:pt idx="279">
                  <c:v>140.0</c:v>
                </c:pt>
                <c:pt idx="280">
                  <c:v>140.5</c:v>
                </c:pt>
                <c:pt idx="281">
                  <c:v>141.0</c:v>
                </c:pt>
                <c:pt idx="282">
                  <c:v>141.5</c:v>
                </c:pt>
                <c:pt idx="283">
                  <c:v>142.0</c:v>
                </c:pt>
                <c:pt idx="284">
                  <c:v>142.5</c:v>
                </c:pt>
                <c:pt idx="285">
                  <c:v>143.0</c:v>
                </c:pt>
                <c:pt idx="286">
                  <c:v>143.5</c:v>
                </c:pt>
                <c:pt idx="287">
                  <c:v>144.0</c:v>
                </c:pt>
                <c:pt idx="288">
                  <c:v>144.5</c:v>
                </c:pt>
                <c:pt idx="289">
                  <c:v>145.0</c:v>
                </c:pt>
                <c:pt idx="290">
                  <c:v>145.5</c:v>
                </c:pt>
                <c:pt idx="291">
                  <c:v>146.0</c:v>
                </c:pt>
                <c:pt idx="292">
                  <c:v>146.5</c:v>
                </c:pt>
                <c:pt idx="293">
                  <c:v>147.0</c:v>
                </c:pt>
                <c:pt idx="294">
                  <c:v>147.5</c:v>
                </c:pt>
                <c:pt idx="295">
                  <c:v>148.0</c:v>
                </c:pt>
                <c:pt idx="296">
                  <c:v>148.5</c:v>
                </c:pt>
                <c:pt idx="297">
                  <c:v>149.0</c:v>
                </c:pt>
                <c:pt idx="298">
                  <c:v>149.5</c:v>
                </c:pt>
                <c:pt idx="299">
                  <c:v>150.0</c:v>
                </c:pt>
                <c:pt idx="300">
                  <c:v>150.5</c:v>
                </c:pt>
                <c:pt idx="301">
                  <c:v>151.0</c:v>
                </c:pt>
                <c:pt idx="302">
                  <c:v>151.5</c:v>
                </c:pt>
                <c:pt idx="303">
                  <c:v>152.0</c:v>
                </c:pt>
                <c:pt idx="304">
                  <c:v>152.5</c:v>
                </c:pt>
                <c:pt idx="305">
                  <c:v>153.0</c:v>
                </c:pt>
                <c:pt idx="306">
                  <c:v>153.5</c:v>
                </c:pt>
                <c:pt idx="307">
                  <c:v>154.0</c:v>
                </c:pt>
                <c:pt idx="308">
                  <c:v>154.5</c:v>
                </c:pt>
                <c:pt idx="309">
                  <c:v>155.0</c:v>
                </c:pt>
                <c:pt idx="310">
                  <c:v>155.5</c:v>
                </c:pt>
                <c:pt idx="311">
                  <c:v>156.0</c:v>
                </c:pt>
                <c:pt idx="312">
                  <c:v>156.5</c:v>
                </c:pt>
                <c:pt idx="313">
                  <c:v>157.0</c:v>
                </c:pt>
                <c:pt idx="314">
                  <c:v>157.5</c:v>
                </c:pt>
                <c:pt idx="315">
                  <c:v>158.0</c:v>
                </c:pt>
                <c:pt idx="316">
                  <c:v>158.5</c:v>
                </c:pt>
                <c:pt idx="317">
                  <c:v>159.0</c:v>
                </c:pt>
                <c:pt idx="318">
                  <c:v>159.5</c:v>
                </c:pt>
                <c:pt idx="319">
                  <c:v>160.0</c:v>
                </c:pt>
                <c:pt idx="320">
                  <c:v>160.5</c:v>
                </c:pt>
                <c:pt idx="321">
                  <c:v>161.0</c:v>
                </c:pt>
                <c:pt idx="322">
                  <c:v>161.5</c:v>
                </c:pt>
                <c:pt idx="323">
                  <c:v>162.0</c:v>
                </c:pt>
                <c:pt idx="324">
                  <c:v>162.5</c:v>
                </c:pt>
                <c:pt idx="325">
                  <c:v>163.0</c:v>
                </c:pt>
                <c:pt idx="326">
                  <c:v>163.5</c:v>
                </c:pt>
                <c:pt idx="327">
                  <c:v>164.0</c:v>
                </c:pt>
                <c:pt idx="328">
                  <c:v>164.5</c:v>
                </c:pt>
                <c:pt idx="329">
                  <c:v>165.0</c:v>
                </c:pt>
                <c:pt idx="330">
                  <c:v>165.5</c:v>
                </c:pt>
                <c:pt idx="331">
                  <c:v>166.0</c:v>
                </c:pt>
                <c:pt idx="332">
                  <c:v>166.5</c:v>
                </c:pt>
                <c:pt idx="333">
                  <c:v>167.0</c:v>
                </c:pt>
                <c:pt idx="334">
                  <c:v>167.5</c:v>
                </c:pt>
                <c:pt idx="335">
                  <c:v>168.0</c:v>
                </c:pt>
                <c:pt idx="336">
                  <c:v>168.5</c:v>
                </c:pt>
                <c:pt idx="337">
                  <c:v>169.0</c:v>
                </c:pt>
                <c:pt idx="338">
                  <c:v>169.5</c:v>
                </c:pt>
                <c:pt idx="339">
                  <c:v>170.0</c:v>
                </c:pt>
                <c:pt idx="340">
                  <c:v>170.5</c:v>
                </c:pt>
                <c:pt idx="341">
                  <c:v>171.0</c:v>
                </c:pt>
                <c:pt idx="342">
                  <c:v>171.5</c:v>
                </c:pt>
                <c:pt idx="343">
                  <c:v>172.0</c:v>
                </c:pt>
                <c:pt idx="344">
                  <c:v>172.5</c:v>
                </c:pt>
                <c:pt idx="345">
                  <c:v>173.0</c:v>
                </c:pt>
                <c:pt idx="346">
                  <c:v>173.5</c:v>
                </c:pt>
                <c:pt idx="347">
                  <c:v>174.0</c:v>
                </c:pt>
                <c:pt idx="348">
                  <c:v>174.5</c:v>
                </c:pt>
                <c:pt idx="349">
                  <c:v>175.0</c:v>
                </c:pt>
                <c:pt idx="350">
                  <c:v>175.5</c:v>
                </c:pt>
                <c:pt idx="351">
                  <c:v>176.0</c:v>
                </c:pt>
                <c:pt idx="352">
                  <c:v>176.5</c:v>
                </c:pt>
                <c:pt idx="353">
                  <c:v>177.0</c:v>
                </c:pt>
                <c:pt idx="354">
                  <c:v>177.5</c:v>
                </c:pt>
                <c:pt idx="355">
                  <c:v>178.0</c:v>
                </c:pt>
                <c:pt idx="356">
                  <c:v>178.5</c:v>
                </c:pt>
                <c:pt idx="357">
                  <c:v>179.0</c:v>
                </c:pt>
                <c:pt idx="358">
                  <c:v>179.5</c:v>
                </c:pt>
                <c:pt idx="359">
                  <c:v>180.0</c:v>
                </c:pt>
                <c:pt idx="360">
                  <c:v>180.5</c:v>
                </c:pt>
                <c:pt idx="361">
                  <c:v>181.0</c:v>
                </c:pt>
                <c:pt idx="362">
                  <c:v>181.5</c:v>
                </c:pt>
                <c:pt idx="363">
                  <c:v>182.0</c:v>
                </c:pt>
                <c:pt idx="364">
                  <c:v>182.5</c:v>
                </c:pt>
                <c:pt idx="365">
                  <c:v>183.0</c:v>
                </c:pt>
                <c:pt idx="366">
                  <c:v>183.5</c:v>
                </c:pt>
                <c:pt idx="367">
                  <c:v>184.0</c:v>
                </c:pt>
                <c:pt idx="368">
                  <c:v>184.5</c:v>
                </c:pt>
                <c:pt idx="369">
                  <c:v>185.0</c:v>
                </c:pt>
                <c:pt idx="370">
                  <c:v>185.5</c:v>
                </c:pt>
                <c:pt idx="371">
                  <c:v>186.0</c:v>
                </c:pt>
                <c:pt idx="372">
                  <c:v>186.5</c:v>
                </c:pt>
                <c:pt idx="373">
                  <c:v>187.0</c:v>
                </c:pt>
                <c:pt idx="374">
                  <c:v>187.5</c:v>
                </c:pt>
                <c:pt idx="375">
                  <c:v>188.0</c:v>
                </c:pt>
                <c:pt idx="376">
                  <c:v>188.5</c:v>
                </c:pt>
                <c:pt idx="377">
                  <c:v>189.0</c:v>
                </c:pt>
                <c:pt idx="378">
                  <c:v>189.5</c:v>
                </c:pt>
                <c:pt idx="379">
                  <c:v>190.0</c:v>
                </c:pt>
                <c:pt idx="380">
                  <c:v>190.5</c:v>
                </c:pt>
                <c:pt idx="381">
                  <c:v>191.0</c:v>
                </c:pt>
                <c:pt idx="382">
                  <c:v>191.5</c:v>
                </c:pt>
                <c:pt idx="383">
                  <c:v>192.0</c:v>
                </c:pt>
                <c:pt idx="384">
                  <c:v>192.5</c:v>
                </c:pt>
                <c:pt idx="385">
                  <c:v>193.0</c:v>
                </c:pt>
                <c:pt idx="386">
                  <c:v>193.5</c:v>
                </c:pt>
                <c:pt idx="387">
                  <c:v>194.0</c:v>
                </c:pt>
                <c:pt idx="388">
                  <c:v>194.5</c:v>
                </c:pt>
                <c:pt idx="389">
                  <c:v>195.0</c:v>
                </c:pt>
                <c:pt idx="390">
                  <c:v>195.5</c:v>
                </c:pt>
                <c:pt idx="391">
                  <c:v>196.0</c:v>
                </c:pt>
                <c:pt idx="392">
                  <c:v>196.5</c:v>
                </c:pt>
                <c:pt idx="393">
                  <c:v>197.0</c:v>
                </c:pt>
                <c:pt idx="394">
                  <c:v>197.5</c:v>
                </c:pt>
                <c:pt idx="395">
                  <c:v>198.0</c:v>
                </c:pt>
                <c:pt idx="396">
                  <c:v>198.5</c:v>
                </c:pt>
                <c:pt idx="397">
                  <c:v>199.0</c:v>
                </c:pt>
                <c:pt idx="398">
                  <c:v>199.5</c:v>
                </c:pt>
                <c:pt idx="399">
                  <c:v>200.0</c:v>
                </c:pt>
                <c:pt idx="400">
                  <c:v>200.5</c:v>
                </c:pt>
                <c:pt idx="401">
                  <c:v>201.0</c:v>
                </c:pt>
                <c:pt idx="402">
                  <c:v>201.5</c:v>
                </c:pt>
                <c:pt idx="403">
                  <c:v>202.0</c:v>
                </c:pt>
                <c:pt idx="404">
                  <c:v>202.5</c:v>
                </c:pt>
                <c:pt idx="405">
                  <c:v>203.0</c:v>
                </c:pt>
                <c:pt idx="406">
                  <c:v>203.5</c:v>
                </c:pt>
                <c:pt idx="407">
                  <c:v>204.0</c:v>
                </c:pt>
                <c:pt idx="408">
                  <c:v>204.5</c:v>
                </c:pt>
                <c:pt idx="409">
                  <c:v>205.0</c:v>
                </c:pt>
                <c:pt idx="410">
                  <c:v>205.5</c:v>
                </c:pt>
                <c:pt idx="411">
                  <c:v>206.0</c:v>
                </c:pt>
                <c:pt idx="412">
                  <c:v>206.5</c:v>
                </c:pt>
                <c:pt idx="413">
                  <c:v>207.0</c:v>
                </c:pt>
                <c:pt idx="414">
                  <c:v>207.5</c:v>
                </c:pt>
                <c:pt idx="415">
                  <c:v>208.0</c:v>
                </c:pt>
                <c:pt idx="416">
                  <c:v>208.5</c:v>
                </c:pt>
                <c:pt idx="417">
                  <c:v>209.0</c:v>
                </c:pt>
                <c:pt idx="418">
                  <c:v>209.5</c:v>
                </c:pt>
                <c:pt idx="419">
                  <c:v>210.0</c:v>
                </c:pt>
                <c:pt idx="420">
                  <c:v>210.5</c:v>
                </c:pt>
                <c:pt idx="421">
                  <c:v>211.0</c:v>
                </c:pt>
                <c:pt idx="422">
                  <c:v>211.5</c:v>
                </c:pt>
                <c:pt idx="423">
                  <c:v>212.0</c:v>
                </c:pt>
                <c:pt idx="424">
                  <c:v>212.5</c:v>
                </c:pt>
                <c:pt idx="425">
                  <c:v>213.0</c:v>
                </c:pt>
                <c:pt idx="426">
                  <c:v>213.5</c:v>
                </c:pt>
                <c:pt idx="427">
                  <c:v>214.0</c:v>
                </c:pt>
                <c:pt idx="428">
                  <c:v>214.5</c:v>
                </c:pt>
                <c:pt idx="429">
                  <c:v>215.0</c:v>
                </c:pt>
                <c:pt idx="430">
                  <c:v>215.5</c:v>
                </c:pt>
                <c:pt idx="431">
                  <c:v>216.0</c:v>
                </c:pt>
                <c:pt idx="432">
                  <c:v>216.5</c:v>
                </c:pt>
                <c:pt idx="433">
                  <c:v>217.0</c:v>
                </c:pt>
                <c:pt idx="434">
                  <c:v>217.5</c:v>
                </c:pt>
                <c:pt idx="435">
                  <c:v>218.0</c:v>
                </c:pt>
                <c:pt idx="436">
                  <c:v>218.5</c:v>
                </c:pt>
                <c:pt idx="437">
                  <c:v>219.0</c:v>
                </c:pt>
                <c:pt idx="438">
                  <c:v>219.5</c:v>
                </c:pt>
                <c:pt idx="439">
                  <c:v>220.0</c:v>
                </c:pt>
                <c:pt idx="440">
                  <c:v>220.5</c:v>
                </c:pt>
                <c:pt idx="441">
                  <c:v>221.0</c:v>
                </c:pt>
                <c:pt idx="442">
                  <c:v>221.5</c:v>
                </c:pt>
                <c:pt idx="443">
                  <c:v>222.0</c:v>
                </c:pt>
                <c:pt idx="444">
                  <c:v>222.5</c:v>
                </c:pt>
                <c:pt idx="445">
                  <c:v>223.0</c:v>
                </c:pt>
                <c:pt idx="446">
                  <c:v>223.5</c:v>
                </c:pt>
                <c:pt idx="447">
                  <c:v>224.0</c:v>
                </c:pt>
                <c:pt idx="448">
                  <c:v>224.5</c:v>
                </c:pt>
                <c:pt idx="449">
                  <c:v>225.0</c:v>
                </c:pt>
                <c:pt idx="450">
                  <c:v>225.5</c:v>
                </c:pt>
                <c:pt idx="451">
                  <c:v>226.0</c:v>
                </c:pt>
                <c:pt idx="452">
                  <c:v>226.5</c:v>
                </c:pt>
                <c:pt idx="453">
                  <c:v>227.0</c:v>
                </c:pt>
                <c:pt idx="454">
                  <c:v>227.5</c:v>
                </c:pt>
                <c:pt idx="455">
                  <c:v>228.0</c:v>
                </c:pt>
                <c:pt idx="456">
                  <c:v>228.5</c:v>
                </c:pt>
                <c:pt idx="457">
                  <c:v>229.0</c:v>
                </c:pt>
                <c:pt idx="458">
                  <c:v>229.5</c:v>
                </c:pt>
                <c:pt idx="459">
                  <c:v>230.0</c:v>
                </c:pt>
                <c:pt idx="460">
                  <c:v>230.5</c:v>
                </c:pt>
                <c:pt idx="461">
                  <c:v>231.0</c:v>
                </c:pt>
                <c:pt idx="462">
                  <c:v>231.5</c:v>
                </c:pt>
                <c:pt idx="463">
                  <c:v>232.0</c:v>
                </c:pt>
                <c:pt idx="464">
                  <c:v>232.5</c:v>
                </c:pt>
                <c:pt idx="465">
                  <c:v>233.0</c:v>
                </c:pt>
                <c:pt idx="466">
                  <c:v>233.5</c:v>
                </c:pt>
                <c:pt idx="467">
                  <c:v>234.0</c:v>
                </c:pt>
                <c:pt idx="468">
                  <c:v>234.5</c:v>
                </c:pt>
                <c:pt idx="469">
                  <c:v>235.0</c:v>
                </c:pt>
                <c:pt idx="470">
                  <c:v>235.5</c:v>
                </c:pt>
                <c:pt idx="471">
                  <c:v>236.0</c:v>
                </c:pt>
                <c:pt idx="472">
                  <c:v>236.5</c:v>
                </c:pt>
                <c:pt idx="473">
                  <c:v>237.0</c:v>
                </c:pt>
                <c:pt idx="474">
                  <c:v>237.5</c:v>
                </c:pt>
                <c:pt idx="475">
                  <c:v>238.0</c:v>
                </c:pt>
                <c:pt idx="476">
                  <c:v>238.5</c:v>
                </c:pt>
                <c:pt idx="477">
                  <c:v>239.0</c:v>
                </c:pt>
                <c:pt idx="478">
                  <c:v>239.5</c:v>
                </c:pt>
                <c:pt idx="479">
                  <c:v>240.0</c:v>
                </c:pt>
                <c:pt idx="480">
                  <c:v>240.5</c:v>
                </c:pt>
                <c:pt idx="481">
                  <c:v>241.0</c:v>
                </c:pt>
                <c:pt idx="482">
                  <c:v>241.5</c:v>
                </c:pt>
                <c:pt idx="483">
                  <c:v>242.0</c:v>
                </c:pt>
                <c:pt idx="484">
                  <c:v>242.5</c:v>
                </c:pt>
                <c:pt idx="485">
                  <c:v>243.0</c:v>
                </c:pt>
                <c:pt idx="486">
                  <c:v>243.5</c:v>
                </c:pt>
                <c:pt idx="487">
                  <c:v>244.0</c:v>
                </c:pt>
                <c:pt idx="488">
                  <c:v>244.5</c:v>
                </c:pt>
                <c:pt idx="489">
                  <c:v>245.0</c:v>
                </c:pt>
                <c:pt idx="490">
                  <c:v>245.5</c:v>
                </c:pt>
                <c:pt idx="491">
                  <c:v>246.0</c:v>
                </c:pt>
                <c:pt idx="492">
                  <c:v>246.5</c:v>
                </c:pt>
                <c:pt idx="493">
                  <c:v>247.0</c:v>
                </c:pt>
                <c:pt idx="494">
                  <c:v>247.5</c:v>
                </c:pt>
                <c:pt idx="495">
                  <c:v>248.0</c:v>
                </c:pt>
                <c:pt idx="496">
                  <c:v>248.5</c:v>
                </c:pt>
                <c:pt idx="497">
                  <c:v>249.0</c:v>
                </c:pt>
                <c:pt idx="498">
                  <c:v>249.5</c:v>
                </c:pt>
                <c:pt idx="499">
                  <c:v>250.0</c:v>
                </c:pt>
                <c:pt idx="500">
                  <c:v>250.5</c:v>
                </c:pt>
                <c:pt idx="501">
                  <c:v>251.0</c:v>
                </c:pt>
                <c:pt idx="502">
                  <c:v>251.5</c:v>
                </c:pt>
                <c:pt idx="503">
                  <c:v>252.0</c:v>
                </c:pt>
                <c:pt idx="504">
                  <c:v>252.5</c:v>
                </c:pt>
                <c:pt idx="505">
                  <c:v>253.0</c:v>
                </c:pt>
                <c:pt idx="506">
                  <c:v>253.5</c:v>
                </c:pt>
                <c:pt idx="507">
                  <c:v>254.0</c:v>
                </c:pt>
                <c:pt idx="508">
                  <c:v>254.5</c:v>
                </c:pt>
                <c:pt idx="509">
                  <c:v>255.0</c:v>
                </c:pt>
                <c:pt idx="510">
                  <c:v>255.5</c:v>
                </c:pt>
                <c:pt idx="511">
                  <c:v>256.0</c:v>
                </c:pt>
                <c:pt idx="512">
                  <c:v>256.5</c:v>
                </c:pt>
                <c:pt idx="513">
                  <c:v>257.0</c:v>
                </c:pt>
                <c:pt idx="514">
                  <c:v>257.5</c:v>
                </c:pt>
                <c:pt idx="515">
                  <c:v>258.0</c:v>
                </c:pt>
                <c:pt idx="516">
                  <c:v>258.5</c:v>
                </c:pt>
                <c:pt idx="517">
                  <c:v>259.0</c:v>
                </c:pt>
                <c:pt idx="518">
                  <c:v>259.5</c:v>
                </c:pt>
                <c:pt idx="519">
                  <c:v>260.0</c:v>
                </c:pt>
                <c:pt idx="520">
                  <c:v>260.5</c:v>
                </c:pt>
                <c:pt idx="521">
                  <c:v>261.0</c:v>
                </c:pt>
                <c:pt idx="522">
                  <c:v>261.5</c:v>
                </c:pt>
                <c:pt idx="523">
                  <c:v>262.0</c:v>
                </c:pt>
                <c:pt idx="524">
                  <c:v>262.5</c:v>
                </c:pt>
                <c:pt idx="525">
                  <c:v>263.0</c:v>
                </c:pt>
                <c:pt idx="526">
                  <c:v>263.5</c:v>
                </c:pt>
                <c:pt idx="527">
                  <c:v>264.0</c:v>
                </c:pt>
                <c:pt idx="528">
                  <c:v>264.5</c:v>
                </c:pt>
                <c:pt idx="529">
                  <c:v>265.0</c:v>
                </c:pt>
                <c:pt idx="530">
                  <c:v>265.5</c:v>
                </c:pt>
                <c:pt idx="531">
                  <c:v>266.0</c:v>
                </c:pt>
                <c:pt idx="532">
                  <c:v>266.5</c:v>
                </c:pt>
                <c:pt idx="533">
                  <c:v>267.0</c:v>
                </c:pt>
                <c:pt idx="534">
                  <c:v>267.5</c:v>
                </c:pt>
                <c:pt idx="535">
                  <c:v>268.0</c:v>
                </c:pt>
                <c:pt idx="536">
                  <c:v>268.5</c:v>
                </c:pt>
                <c:pt idx="537">
                  <c:v>269.0</c:v>
                </c:pt>
                <c:pt idx="538">
                  <c:v>269.5</c:v>
                </c:pt>
                <c:pt idx="539">
                  <c:v>270.0</c:v>
                </c:pt>
                <c:pt idx="540">
                  <c:v>270.5</c:v>
                </c:pt>
                <c:pt idx="541">
                  <c:v>271.0</c:v>
                </c:pt>
                <c:pt idx="542">
                  <c:v>271.5</c:v>
                </c:pt>
                <c:pt idx="543">
                  <c:v>272.0</c:v>
                </c:pt>
                <c:pt idx="544">
                  <c:v>272.5</c:v>
                </c:pt>
                <c:pt idx="545">
                  <c:v>273.0</c:v>
                </c:pt>
                <c:pt idx="546">
                  <c:v>273.5</c:v>
                </c:pt>
                <c:pt idx="547">
                  <c:v>274.0</c:v>
                </c:pt>
                <c:pt idx="548">
                  <c:v>274.5</c:v>
                </c:pt>
                <c:pt idx="549">
                  <c:v>275.0</c:v>
                </c:pt>
                <c:pt idx="550">
                  <c:v>275.5</c:v>
                </c:pt>
                <c:pt idx="551">
                  <c:v>276.0</c:v>
                </c:pt>
                <c:pt idx="552">
                  <c:v>276.5</c:v>
                </c:pt>
                <c:pt idx="553">
                  <c:v>277.0</c:v>
                </c:pt>
                <c:pt idx="554">
                  <c:v>277.5</c:v>
                </c:pt>
                <c:pt idx="555">
                  <c:v>278.0</c:v>
                </c:pt>
                <c:pt idx="556">
                  <c:v>278.5</c:v>
                </c:pt>
                <c:pt idx="557">
                  <c:v>279.0</c:v>
                </c:pt>
                <c:pt idx="558">
                  <c:v>279.5</c:v>
                </c:pt>
                <c:pt idx="559">
                  <c:v>280.0</c:v>
                </c:pt>
                <c:pt idx="560">
                  <c:v>280.5</c:v>
                </c:pt>
                <c:pt idx="561">
                  <c:v>281.0</c:v>
                </c:pt>
                <c:pt idx="562">
                  <c:v>281.5</c:v>
                </c:pt>
                <c:pt idx="563">
                  <c:v>282.0</c:v>
                </c:pt>
                <c:pt idx="564">
                  <c:v>282.5</c:v>
                </c:pt>
                <c:pt idx="565">
                  <c:v>283.0</c:v>
                </c:pt>
                <c:pt idx="566">
                  <c:v>283.5</c:v>
                </c:pt>
                <c:pt idx="567">
                  <c:v>284.0</c:v>
                </c:pt>
                <c:pt idx="568">
                  <c:v>284.5</c:v>
                </c:pt>
                <c:pt idx="569">
                  <c:v>285.0</c:v>
                </c:pt>
                <c:pt idx="570">
                  <c:v>285.5</c:v>
                </c:pt>
                <c:pt idx="571">
                  <c:v>286.0</c:v>
                </c:pt>
                <c:pt idx="572">
                  <c:v>286.5</c:v>
                </c:pt>
                <c:pt idx="573">
                  <c:v>287.0</c:v>
                </c:pt>
                <c:pt idx="574">
                  <c:v>287.5</c:v>
                </c:pt>
                <c:pt idx="575">
                  <c:v>288.0</c:v>
                </c:pt>
                <c:pt idx="576">
                  <c:v>288.5</c:v>
                </c:pt>
                <c:pt idx="577">
                  <c:v>289.0</c:v>
                </c:pt>
                <c:pt idx="578">
                  <c:v>289.5</c:v>
                </c:pt>
                <c:pt idx="579">
                  <c:v>290.0</c:v>
                </c:pt>
                <c:pt idx="580">
                  <c:v>290.5</c:v>
                </c:pt>
                <c:pt idx="581">
                  <c:v>291.0</c:v>
                </c:pt>
                <c:pt idx="582">
                  <c:v>291.5</c:v>
                </c:pt>
                <c:pt idx="583">
                  <c:v>292.0</c:v>
                </c:pt>
                <c:pt idx="584">
                  <c:v>292.5</c:v>
                </c:pt>
                <c:pt idx="585">
                  <c:v>293.0</c:v>
                </c:pt>
                <c:pt idx="586">
                  <c:v>293.5</c:v>
                </c:pt>
                <c:pt idx="587">
                  <c:v>294.0</c:v>
                </c:pt>
                <c:pt idx="588">
                  <c:v>294.5</c:v>
                </c:pt>
                <c:pt idx="589">
                  <c:v>295.0</c:v>
                </c:pt>
                <c:pt idx="590">
                  <c:v>295.5</c:v>
                </c:pt>
                <c:pt idx="591">
                  <c:v>296.0</c:v>
                </c:pt>
                <c:pt idx="592">
                  <c:v>296.5</c:v>
                </c:pt>
                <c:pt idx="593">
                  <c:v>297.0</c:v>
                </c:pt>
                <c:pt idx="594">
                  <c:v>297.5</c:v>
                </c:pt>
                <c:pt idx="595">
                  <c:v>298.0</c:v>
                </c:pt>
                <c:pt idx="596">
                  <c:v>298.5</c:v>
                </c:pt>
                <c:pt idx="597">
                  <c:v>299.0</c:v>
                </c:pt>
                <c:pt idx="598">
                  <c:v>299.5</c:v>
                </c:pt>
                <c:pt idx="599">
                  <c:v>300.0</c:v>
                </c:pt>
                <c:pt idx="600">
                  <c:v>300.5</c:v>
                </c:pt>
                <c:pt idx="601">
                  <c:v>301.0</c:v>
                </c:pt>
                <c:pt idx="602">
                  <c:v>301.5</c:v>
                </c:pt>
                <c:pt idx="603">
                  <c:v>302.0</c:v>
                </c:pt>
                <c:pt idx="604">
                  <c:v>302.5</c:v>
                </c:pt>
                <c:pt idx="605">
                  <c:v>303.0</c:v>
                </c:pt>
                <c:pt idx="606">
                  <c:v>303.5</c:v>
                </c:pt>
                <c:pt idx="607">
                  <c:v>304.0</c:v>
                </c:pt>
                <c:pt idx="608">
                  <c:v>304.5</c:v>
                </c:pt>
                <c:pt idx="609">
                  <c:v>305.0</c:v>
                </c:pt>
                <c:pt idx="610">
                  <c:v>305.5</c:v>
                </c:pt>
                <c:pt idx="611">
                  <c:v>306.0</c:v>
                </c:pt>
                <c:pt idx="612">
                  <c:v>306.5</c:v>
                </c:pt>
                <c:pt idx="613">
                  <c:v>307.0</c:v>
                </c:pt>
                <c:pt idx="614">
                  <c:v>307.5</c:v>
                </c:pt>
                <c:pt idx="615">
                  <c:v>308.0</c:v>
                </c:pt>
                <c:pt idx="616">
                  <c:v>308.5</c:v>
                </c:pt>
                <c:pt idx="617">
                  <c:v>309.0</c:v>
                </c:pt>
                <c:pt idx="618">
                  <c:v>309.5</c:v>
                </c:pt>
                <c:pt idx="619">
                  <c:v>310.0</c:v>
                </c:pt>
                <c:pt idx="620">
                  <c:v>310.5</c:v>
                </c:pt>
                <c:pt idx="621">
                  <c:v>311.0</c:v>
                </c:pt>
                <c:pt idx="622">
                  <c:v>311.5</c:v>
                </c:pt>
                <c:pt idx="623">
                  <c:v>312.0</c:v>
                </c:pt>
                <c:pt idx="624">
                  <c:v>312.5</c:v>
                </c:pt>
                <c:pt idx="625">
                  <c:v>313.0</c:v>
                </c:pt>
                <c:pt idx="626">
                  <c:v>313.5</c:v>
                </c:pt>
                <c:pt idx="627">
                  <c:v>314.0</c:v>
                </c:pt>
                <c:pt idx="628">
                  <c:v>314.5</c:v>
                </c:pt>
                <c:pt idx="629">
                  <c:v>315.0</c:v>
                </c:pt>
                <c:pt idx="630">
                  <c:v>315.5</c:v>
                </c:pt>
                <c:pt idx="631">
                  <c:v>316.0</c:v>
                </c:pt>
                <c:pt idx="632">
                  <c:v>316.5</c:v>
                </c:pt>
                <c:pt idx="633">
                  <c:v>317.0</c:v>
                </c:pt>
                <c:pt idx="634">
                  <c:v>317.5</c:v>
                </c:pt>
                <c:pt idx="635">
                  <c:v>318.0</c:v>
                </c:pt>
                <c:pt idx="636">
                  <c:v>318.5</c:v>
                </c:pt>
                <c:pt idx="637">
                  <c:v>319.0</c:v>
                </c:pt>
                <c:pt idx="638">
                  <c:v>319.5</c:v>
                </c:pt>
                <c:pt idx="639">
                  <c:v>320.0</c:v>
                </c:pt>
                <c:pt idx="640">
                  <c:v>320.5</c:v>
                </c:pt>
                <c:pt idx="641">
                  <c:v>321.0</c:v>
                </c:pt>
                <c:pt idx="642">
                  <c:v>321.5</c:v>
                </c:pt>
                <c:pt idx="643">
                  <c:v>322.0</c:v>
                </c:pt>
                <c:pt idx="644">
                  <c:v>322.5</c:v>
                </c:pt>
                <c:pt idx="645">
                  <c:v>323.0</c:v>
                </c:pt>
                <c:pt idx="646">
                  <c:v>323.5</c:v>
                </c:pt>
                <c:pt idx="647">
                  <c:v>324.0</c:v>
                </c:pt>
                <c:pt idx="648">
                  <c:v>324.5</c:v>
                </c:pt>
                <c:pt idx="649">
                  <c:v>325.0</c:v>
                </c:pt>
                <c:pt idx="650">
                  <c:v>325.5</c:v>
                </c:pt>
                <c:pt idx="651">
                  <c:v>326.0</c:v>
                </c:pt>
                <c:pt idx="652">
                  <c:v>326.5</c:v>
                </c:pt>
                <c:pt idx="653">
                  <c:v>327.0</c:v>
                </c:pt>
                <c:pt idx="654">
                  <c:v>327.5</c:v>
                </c:pt>
                <c:pt idx="655">
                  <c:v>328.0</c:v>
                </c:pt>
                <c:pt idx="656">
                  <c:v>328.5</c:v>
                </c:pt>
                <c:pt idx="657">
                  <c:v>329.0</c:v>
                </c:pt>
                <c:pt idx="658">
                  <c:v>329.5</c:v>
                </c:pt>
                <c:pt idx="659">
                  <c:v>330.0</c:v>
                </c:pt>
                <c:pt idx="660">
                  <c:v>330.5</c:v>
                </c:pt>
                <c:pt idx="661">
                  <c:v>331.0</c:v>
                </c:pt>
                <c:pt idx="662">
                  <c:v>331.5</c:v>
                </c:pt>
                <c:pt idx="663">
                  <c:v>332.0</c:v>
                </c:pt>
                <c:pt idx="664">
                  <c:v>332.5</c:v>
                </c:pt>
                <c:pt idx="665">
                  <c:v>333.0</c:v>
                </c:pt>
                <c:pt idx="666">
                  <c:v>333.5</c:v>
                </c:pt>
                <c:pt idx="667">
                  <c:v>334.0</c:v>
                </c:pt>
                <c:pt idx="668">
                  <c:v>334.5</c:v>
                </c:pt>
                <c:pt idx="669">
                  <c:v>335.0</c:v>
                </c:pt>
                <c:pt idx="670">
                  <c:v>335.5</c:v>
                </c:pt>
                <c:pt idx="671">
                  <c:v>336.0</c:v>
                </c:pt>
                <c:pt idx="672">
                  <c:v>336.5</c:v>
                </c:pt>
                <c:pt idx="673">
                  <c:v>337.0</c:v>
                </c:pt>
                <c:pt idx="674">
                  <c:v>337.5</c:v>
                </c:pt>
                <c:pt idx="675">
                  <c:v>338.0</c:v>
                </c:pt>
                <c:pt idx="676">
                  <c:v>338.5</c:v>
                </c:pt>
                <c:pt idx="677">
                  <c:v>339.0</c:v>
                </c:pt>
                <c:pt idx="678">
                  <c:v>339.5</c:v>
                </c:pt>
                <c:pt idx="679">
                  <c:v>340.0</c:v>
                </c:pt>
                <c:pt idx="680">
                  <c:v>340.5</c:v>
                </c:pt>
                <c:pt idx="681">
                  <c:v>341.0</c:v>
                </c:pt>
                <c:pt idx="682">
                  <c:v>341.5</c:v>
                </c:pt>
                <c:pt idx="683">
                  <c:v>342.0</c:v>
                </c:pt>
                <c:pt idx="684">
                  <c:v>342.5</c:v>
                </c:pt>
                <c:pt idx="685">
                  <c:v>343.0</c:v>
                </c:pt>
                <c:pt idx="686">
                  <c:v>343.5</c:v>
                </c:pt>
                <c:pt idx="687">
                  <c:v>344.0</c:v>
                </c:pt>
                <c:pt idx="688">
                  <c:v>344.5</c:v>
                </c:pt>
                <c:pt idx="689">
                  <c:v>345.0</c:v>
                </c:pt>
                <c:pt idx="690">
                  <c:v>345.5</c:v>
                </c:pt>
                <c:pt idx="691">
                  <c:v>346.0</c:v>
                </c:pt>
                <c:pt idx="692">
                  <c:v>346.5</c:v>
                </c:pt>
                <c:pt idx="693">
                  <c:v>347.0</c:v>
                </c:pt>
                <c:pt idx="694">
                  <c:v>347.5</c:v>
                </c:pt>
                <c:pt idx="695">
                  <c:v>348.0</c:v>
                </c:pt>
                <c:pt idx="696">
                  <c:v>348.5</c:v>
                </c:pt>
                <c:pt idx="697">
                  <c:v>349.0</c:v>
                </c:pt>
                <c:pt idx="698">
                  <c:v>349.5</c:v>
                </c:pt>
                <c:pt idx="699">
                  <c:v>350.0</c:v>
                </c:pt>
                <c:pt idx="700">
                  <c:v>350.5</c:v>
                </c:pt>
                <c:pt idx="701">
                  <c:v>351.0</c:v>
                </c:pt>
                <c:pt idx="702">
                  <c:v>351.5</c:v>
                </c:pt>
                <c:pt idx="703">
                  <c:v>352.0</c:v>
                </c:pt>
                <c:pt idx="704">
                  <c:v>352.5</c:v>
                </c:pt>
                <c:pt idx="705">
                  <c:v>353.0</c:v>
                </c:pt>
                <c:pt idx="706">
                  <c:v>353.5</c:v>
                </c:pt>
                <c:pt idx="707">
                  <c:v>354.0</c:v>
                </c:pt>
                <c:pt idx="708">
                  <c:v>354.5</c:v>
                </c:pt>
                <c:pt idx="709">
                  <c:v>355.0</c:v>
                </c:pt>
                <c:pt idx="710">
                  <c:v>355.5</c:v>
                </c:pt>
                <c:pt idx="711">
                  <c:v>356.0</c:v>
                </c:pt>
                <c:pt idx="712">
                  <c:v>356.5</c:v>
                </c:pt>
                <c:pt idx="713">
                  <c:v>357.0</c:v>
                </c:pt>
                <c:pt idx="714">
                  <c:v>357.5</c:v>
                </c:pt>
                <c:pt idx="715">
                  <c:v>358.0</c:v>
                </c:pt>
                <c:pt idx="716">
                  <c:v>358.5</c:v>
                </c:pt>
                <c:pt idx="717">
                  <c:v>359.0</c:v>
                </c:pt>
                <c:pt idx="718">
                  <c:v>359.5</c:v>
                </c:pt>
                <c:pt idx="719">
                  <c:v>360.0</c:v>
                </c:pt>
                <c:pt idx="720">
                  <c:v>360.5</c:v>
                </c:pt>
                <c:pt idx="721">
                  <c:v>361.0</c:v>
                </c:pt>
                <c:pt idx="722">
                  <c:v>361.5</c:v>
                </c:pt>
                <c:pt idx="723">
                  <c:v>362.0</c:v>
                </c:pt>
                <c:pt idx="724">
                  <c:v>362.5</c:v>
                </c:pt>
                <c:pt idx="725">
                  <c:v>363.0</c:v>
                </c:pt>
                <c:pt idx="726">
                  <c:v>363.5</c:v>
                </c:pt>
                <c:pt idx="727">
                  <c:v>364.0</c:v>
                </c:pt>
                <c:pt idx="728">
                  <c:v>364.5</c:v>
                </c:pt>
                <c:pt idx="729">
                  <c:v>365.0</c:v>
                </c:pt>
                <c:pt idx="730">
                  <c:v>365.5</c:v>
                </c:pt>
                <c:pt idx="731">
                  <c:v>366.0</c:v>
                </c:pt>
                <c:pt idx="732">
                  <c:v>366.5</c:v>
                </c:pt>
                <c:pt idx="733">
                  <c:v>367.0</c:v>
                </c:pt>
                <c:pt idx="734">
                  <c:v>367.5</c:v>
                </c:pt>
                <c:pt idx="735">
                  <c:v>368.0</c:v>
                </c:pt>
                <c:pt idx="736">
                  <c:v>368.5</c:v>
                </c:pt>
                <c:pt idx="737">
                  <c:v>369.0</c:v>
                </c:pt>
                <c:pt idx="738">
                  <c:v>369.5</c:v>
                </c:pt>
                <c:pt idx="739">
                  <c:v>370.0</c:v>
                </c:pt>
                <c:pt idx="740">
                  <c:v>370.5</c:v>
                </c:pt>
                <c:pt idx="741">
                  <c:v>371.0</c:v>
                </c:pt>
                <c:pt idx="742">
                  <c:v>371.5</c:v>
                </c:pt>
                <c:pt idx="743">
                  <c:v>372.0</c:v>
                </c:pt>
                <c:pt idx="744">
                  <c:v>372.5</c:v>
                </c:pt>
                <c:pt idx="745">
                  <c:v>373.0</c:v>
                </c:pt>
                <c:pt idx="746">
                  <c:v>373.5</c:v>
                </c:pt>
                <c:pt idx="747">
                  <c:v>374.0</c:v>
                </c:pt>
                <c:pt idx="748">
                  <c:v>374.5</c:v>
                </c:pt>
              </c:numCache>
            </c:numRef>
          </c:cat>
          <c:val>
            <c:numRef>
              <c:f>'Calc for Prestige Patterns'!$D$2:$D$750</c:f>
              <c:numCache>
                <c:formatCode>0</c:formatCode>
                <c:ptCount val="749"/>
                <c:pt idx="0">
                  <c:v>0.0</c:v>
                </c:pt>
                <c:pt idx="1">
                  <c:v>600.0</c:v>
                </c:pt>
                <c:pt idx="2">
                  <c:v>638.0266453701366</c:v>
                </c:pt>
                <c:pt idx="3">
                  <c:v>52176.6070030246</c:v>
                </c:pt>
                <c:pt idx="4">
                  <c:v>136515.9530784275</c:v>
                </c:pt>
                <c:pt idx="5">
                  <c:v>1.29156855690498E6</c:v>
                </c:pt>
                <c:pt idx="6">
                  <c:v>1.56780521152656E6</c:v>
                </c:pt>
                <c:pt idx="7">
                  <c:v>7.7961631816837E6</c:v>
                </c:pt>
                <c:pt idx="8">
                  <c:v>8.45587959593533E6</c:v>
                </c:pt>
                <c:pt idx="9">
                  <c:v>1.02143881748934E7</c:v>
                </c:pt>
                <c:pt idx="10">
                  <c:v>9.90179054974728E6</c:v>
                </c:pt>
                <c:pt idx="11">
                  <c:v>1.03740099735639E7</c:v>
                </c:pt>
                <c:pt idx="12">
                  <c:v>1.25403545364418E7</c:v>
                </c:pt>
                <c:pt idx="13">
                  <c:v>1.30886997930733E7</c:v>
                </c:pt>
                <c:pt idx="14">
                  <c:v>1.16369240028668E7</c:v>
                </c:pt>
                <c:pt idx="15">
                  <c:v>1.16891037160687E7</c:v>
                </c:pt>
                <c:pt idx="16">
                  <c:v>1.45294524919658E7</c:v>
                </c:pt>
                <c:pt idx="17">
                  <c:v>1.17896833442619E7</c:v>
                </c:pt>
                <c:pt idx="18">
                  <c:v>1.25762570520487E7</c:v>
                </c:pt>
                <c:pt idx="19">
                  <c:v>1.23761188848837E7</c:v>
                </c:pt>
                <c:pt idx="20">
                  <c:v>1.75445265291279E7</c:v>
                </c:pt>
                <c:pt idx="21">
                  <c:v>1.56563284633635E7</c:v>
                </c:pt>
                <c:pt idx="22">
                  <c:v>1.24873776158583E7</c:v>
                </c:pt>
                <c:pt idx="23">
                  <c:v>1.61487721966512E7</c:v>
                </c:pt>
                <c:pt idx="24">
                  <c:v>1.94560781064837E7</c:v>
                </c:pt>
                <c:pt idx="25">
                  <c:v>1.32936671973983E7</c:v>
                </c:pt>
                <c:pt idx="26">
                  <c:v>9.71347554572682E7</c:v>
                </c:pt>
                <c:pt idx="27">
                  <c:v>0.0</c:v>
                </c:pt>
                <c:pt idx="28">
                  <c:v>473088.0</c:v>
                </c:pt>
                <c:pt idx="29">
                  <c:v>473342.6782066046</c:v>
                </c:pt>
                <c:pt idx="30">
                  <c:v>2.64146805065901E6</c:v>
                </c:pt>
                <c:pt idx="31">
                  <c:v>2.92054076244659E6</c:v>
                </c:pt>
                <c:pt idx="32">
                  <c:v>1.30891708247364E7</c:v>
                </c:pt>
                <c:pt idx="33">
                  <c:v>1.37446576836381E7</c:v>
                </c:pt>
                <c:pt idx="34">
                  <c:v>1.50678114364012E7</c:v>
                </c:pt>
                <c:pt idx="35">
                  <c:v>1.73125685364418E7</c:v>
                </c:pt>
                <c:pt idx="36">
                  <c:v>1.76148933268634E7</c:v>
                </c:pt>
                <c:pt idx="37">
                  <c:v>1.68729657160687E7</c:v>
                </c:pt>
                <c:pt idx="38">
                  <c:v>2.10976064165641E7</c:v>
                </c:pt>
                <c:pt idx="39">
                  <c:v>1.82093990520487E7</c:v>
                </c:pt>
                <c:pt idx="40">
                  <c:v>1.77548205291279E7</c:v>
                </c:pt>
                <c:pt idx="41">
                  <c:v>2.18297584633635E7</c:v>
                </c:pt>
                <c:pt idx="42">
                  <c:v>2.46646476158583E7</c:v>
                </c:pt>
                <c:pt idx="43">
                  <c:v>2.61202601064837E7</c:v>
                </c:pt>
                <c:pt idx="44">
                  <c:v>2.60430971973983E7</c:v>
                </c:pt>
                <c:pt idx="45">
                  <c:v>1.48863478530132E8</c:v>
                </c:pt>
                <c:pt idx="46">
                  <c:v>1.59767216036362E8</c:v>
                </c:pt>
                <c:pt idx="47">
                  <c:v>1.68193371237756E8</c:v>
                </c:pt>
                <c:pt idx="48">
                  <c:v>1.55421753842979E8</c:v>
                </c:pt>
                <c:pt idx="49">
                  <c:v>1.70248897669178E8</c:v>
                </c:pt>
                <c:pt idx="50">
                  <c:v>1.56926920478771E8</c:v>
                </c:pt>
                <c:pt idx="51">
                  <c:v>1.64298080454737E8</c:v>
                </c:pt>
                <c:pt idx="52">
                  <c:v>2.10330150531348E8</c:v>
                </c:pt>
                <c:pt idx="53">
                  <c:v>1.78447631828352E8</c:v>
                </c:pt>
                <c:pt idx="54">
                  <c:v>0.0</c:v>
                </c:pt>
                <c:pt idx="55">
                  <c:v>737280.0000000001</c:v>
                </c:pt>
                <c:pt idx="56">
                  <c:v>740994.0148769143</c:v>
                </c:pt>
                <c:pt idx="57">
                  <c:v>4.33054721152656E6</c:v>
                </c:pt>
                <c:pt idx="58">
                  <c:v>1.86129954056566E7</c:v>
                </c:pt>
                <c:pt idx="59">
                  <c:v>2.19734600264477E7</c:v>
                </c:pt>
                <c:pt idx="60">
                  <c:v>2.4992484510897E7</c:v>
                </c:pt>
                <c:pt idx="61">
                  <c:v>2.56009460028669E7</c:v>
                </c:pt>
                <c:pt idx="62">
                  <c:v>2.80875584165641E7</c:v>
                </c:pt>
                <c:pt idx="63">
                  <c:v>2.90600696046512E7</c:v>
                </c:pt>
                <c:pt idx="64">
                  <c:v>3.06068464633635E7</c:v>
                </c:pt>
                <c:pt idx="65">
                  <c:v>3.53263621966512E7</c:v>
                </c:pt>
                <c:pt idx="66">
                  <c:v>3.67808891973983E7</c:v>
                </c:pt>
                <c:pt idx="67">
                  <c:v>2.28593323456638E8</c:v>
                </c:pt>
                <c:pt idx="68">
                  <c:v>2.36039538365312E8</c:v>
                </c:pt>
                <c:pt idx="69">
                  <c:v>2.61459129842979E8</c:v>
                </c:pt>
                <c:pt idx="70">
                  <c:v>2.81822607790269E8</c:v>
                </c:pt>
                <c:pt idx="71">
                  <c:v>2.87108576454737E8</c:v>
                </c:pt>
                <c:pt idx="72">
                  <c:v>2.97151409550811E8</c:v>
                </c:pt>
                <c:pt idx="73">
                  <c:v>2.58762248970796E8</c:v>
                </c:pt>
                <c:pt idx="74">
                  <c:v>2.55477931224317E8</c:v>
                </c:pt>
                <c:pt idx="75">
                  <c:v>3.1810130656481E8</c:v>
                </c:pt>
                <c:pt idx="76">
                  <c:v>3.62319360277702E8</c:v>
                </c:pt>
                <c:pt idx="77">
                  <c:v>3.86094404496167E8</c:v>
                </c:pt>
                <c:pt idx="78">
                  <c:v>3.87179888347024E8</c:v>
                </c:pt>
                <c:pt idx="79">
                  <c:v>3.63098989492594E8</c:v>
                </c:pt>
                <c:pt idx="80">
                  <c:v>3.11121011305585E8</c:v>
                </c:pt>
                <c:pt idx="81">
                  <c:v>4.06636225670864E8</c:v>
                </c:pt>
                <c:pt idx="82">
                  <c:v>3.07072532592127E8</c:v>
                </c:pt>
                <c:pt idx="83">
                  <c:v>3.78018219021734E8</c:v>
                </c:pt>
                <c:pt idx="84">
                  <c:v>4.3986683777282E8</c:v>
                </c:pt>
                <c:pt idx="85">
                  <c:v>4.92126671461462E8</c:v>
                </c:pt>
                <c:pt idx="86">
                  <c:v>2.9520719547626E8</c:v>
                </c:pt>
                <c:pt idx="87">
                  <c:v>3.15498303050073E8</c:v>
                </c:pt>
                <c:pt idx="88">
                  <c:v>3.23975294002576E8</c:v>
                </c:pt>
                <c:pt idx="89">
                  <c:v>3.20010598502705E8</c:v>
                </c:pt>
                <c:pt idx="90">
                  <c:v>3.0294526822784E8</c:v>
                </c:pt>
                <c:pt idx="91">
                  <c:v>5.7721342822784E8</c:v>
                </c:pt>
                <c:pt idx="92">
                  <c:v>5.46355567439234E8</c:v>
                </c:pt>
                <c:pt idx="93">
                  <c:v>5.00978685611195E8</c:v>
                </c:pt>
                <c:pt idx="94">
                  <c:v>4.40319967691754E8</c:v>
                </c:pt>
                <c:pt idx="95">
                  <c:v>3.63578457876342E8</c:v>
                </c:pt>
                <c:pt idx="96">
                  <c:v>6.40795737876342E8</c:v>
                </c:pt>
                <c:pt idx="97">
                  <c:v>5.47130432570159E8</c:v>
                </c:pt>
                <c:pt idx="98">
                  <c:v>4.35658277998666E8</c:v>
                </c:pt>
                <c:pt idx="99">
                  <c:v>3.05452067698599E8</c:v>
                </c:pt>
                <c:pt idx="100">
                  <c:v>5.84881187698599E8</c:v>
                </c:pt>
                <c:pt idx="101">
                  <c:v>4.3496735488353E8</c:v>
                </c:pt>
                <c:pt idx="102">
                  <c:v>7.1513375488353E8</c:v>
                </c:pt>
                <c:pt idx="103">
                  <c:v>5.44490054427706E8</c:v>
                </c:pt>
                <c:pt idx="104">
                  <c:v>3.52043128949095E8</c:v>
                </c:pt>
                <c:pt idx="105">
                  <c:v>0.0</c:v>
                </c:pt>
                <c:pt idx="106">
                  <c:v>1.388544E6</c:v>
                </c:pt>
                <c:pt idx="107">
                  <c:v>1.3937655347872E6</c:v>
                </c:pt>
                <c:pt idx="108">
                  <c:v>3.47517218246564E7</c:v>
                </c:pt>
                <c:pt idx="109">
                  <c:v>3.82735734986323E7</c:v>
                </c:pt>
                <c:pt idx="110">
                  <c:v>4.89851811030102E7</c:v>
                </c:pt>
                <c:pt idx="111">
                  <c:v>5.24825336046511E7</c:v>
                </c:pt>
                <c:pt idx="112">
                  <c:v>5.52513541966512E7</c:v>
                </c:pt>
                <c:pt idx="113">
                  <c:v>6.13863585301316E7</c:v>
                </c:pt>
                <c:pt idx="114">
                  <c:v>4.2393173525129E8</c:v>
                </c:pt>
                <c:pt idx="115">
                  <c:v>4.41192306135128E8</c:v>
                </c:pt>
                <c:pt idx="116">
                  <c:v>4.68107744454737E8</c:v>
                </c:pt>
                <c:pt idx="117">
                  <c:v>4.85660611400758E8</c:v>
                </c:pt>
                <c:pt idx="118">
                  <c:v>5.33228335585532E8</c:v>
                </c:pt>
                <c:pt idx="119">
                  <c:v>5.89661180091587E8</c:v>
                </c:pt>
                <c:pt idx="120">
                  <c:v>5.59375102564375E8</c:v>
                </c:pt>
                <c:pt idx="121">
                  <c:v>5.92390259305584E8</c:v>
                </c:pt>
                <c:pt idx="122">
                  <c:v>5.56638740592126E8</c:v>
                </c:pt>
                <c:pt idx="123">
                  <c:v>6.57471957772819E8</c:v>
                </c:pt>
                <c:pt idx="124">
                  <c:v>7.19753416834533E8</c:v>
                </c:pt>
                <c:pt idx="125">
                  <c:v>7.39246911050072E8</c:v>
                </c:pt>
                <c:pt idx="126">
                  <c:v>7.11282022502704E8</c:v>
                </c:pt>
                <c:pt idx="127">
                  <c:v>6.30709615439233E8</c:v>
                </c:pt>
                <c:pt idx="128">
                  <c:v>8.28254205611194E8</c:v>
                </c:pt>
                <c:pt idx="129">
                  <c:v>6.57946713876341E8</c:v>
                </c:pt>
                <c:pt idx="130">
                  <c:v>8.09156672570158E8</c:v>
                </c:pt>
                <c:pt idx="131">
                  <c:v>5.34312995698597E8</c:v>
                </c:pt>
                <c:pt idx="132">
                  <c:v>6.31228218883528E8</c:v>
                </c:pt>
                <c:pt idx="133">
                  <c:v>7.08064838427703E8</c:v>
                </c:pt>
                <c:pt idx="134">
                  <c:v>7.63749496949093E8</c:v>
                </c:pt>
                <c:pt idx="135">
                  <c:v>7.97155169196543E8</c:v>
                </c:pt>
                <c:pt idx="136">
                  <c:v>8.0709847865637E8</c:v>
                </c:pt>
                <c:pt idx="137">
                  <c:v>7.92336879989188E8</c:v>
                </c:pt>
                <c:pt idx="138">
                  <c:v>7.51565700588649E8</c:v>
                </c:pt>
                <c:pt idx="139">
                  <c:v>6.83415034218081E8</c:v>
                </c:pt>
                <c:pt idx="140">
                  <c:v>5.86446479328984E8</c:v>
                </c:pt>
                <c:pt idx="141">
                  <c:v>1.12520155132898E9</c:v>
                </c:pt>
                <c:pt idx="142">
                  <c:v>9.97904786295432E8</c:v>
                </c:pt>
                <c:pt idx="143">
                  <c:v>8.38693973410206E8</c:v>
                </c:pt>
                <c:pt idx="144">
                  <c:v>6.45903983080714E8</c:v>
                </c:pt>
                <c:pt idx="145">
                  <c:v>1.18882468708071E9</c:v>
                </c:pt>
                <c:pt idx="146">
                  <c:v>9.60707133234751E8</c:v>
                </c:pt>
                <c:pt idx="147">
                  <c:v>6.95426210496488E8</c:v>
                </c:pt>
                <c:pt idx="148">
                  <c:v>1.24112400249649E9</c:v>
                </c:pt>
                <c:pt idx="149">
                  <c:v>9.3675211522131E8</c:v>
                </c:pt>
                <c:pt idx="150">
                  <c:v>5.91265287982377E8</c:v>
                </c:pt>
                <c:pt idx="151">
                  <c:v>1.13974016798238E9</c:v>
                </c:pt>
                <c:pt idx="152">
                  <c:v>7.51013226581498E8</c:v>
                </c:pt>
                <c:pt idx="153">
                  <c:v>1.3008766505815E9</c:v>
                </c:pt>
                <c:pt idx="154">
                  <c:v>8.66678162110568E8</c:v>
                </c:pt>
                <c:pt idx="155">
                  <c:v>1.41793013011057E9</c:v>
                </c:pt>
                <c:pt idx="156">
                  <c:v>9.35917090016101E8</c:v>
                </c:pt>
                <c:pt idx="157">
                  <c:v>1.4885576020161E9</c:v>
                </c:pt>
                <c:pt idx="158">
                  <c:v>9.562698555169E8</c:v>
                </c:pt>
                <c:pt idx="159">
                  <c:v>1.5102989115169E9</c:v>
                </c:pt>
                <c:pt idx="160">
                  <c:v>9.2515329609275E8</c:v>
                </c:pt>
                <c:pt idx="161">
                  <c:v>5.36849409609275E9</c:v>
                </c:pt>
                <c:pt idx="162">
                  <c:v>4.65635040388711E9</c:v>
                </c:pt>
                <c:pt idx="163">
                  <c:v>4.56068080955531E9</c:v>
                </c:pt>
                <c:pt idx="164">
                  <c:v>5.63146644312473E9</c:v>
                </c:pt>
                <c:pt idx="165">
                  <c:v>6.37081163357501E9</c:v>
                </c:pt>
                <c:pt idx="166">
                  <c:v>6.74246652332645E9</c:v>
                </c:pt>
                <c:pt idx="167">
                  <c:v>6.70646564439741E9</c:v>
                </c:pt>
                <c:pt idx="168">
                  <c:v>6.21874706833815E9</c:v>
                </c:pt>
                <c:pt idx="169">
                  <c:v>5.2307325190328E9</c:v>
                </c:pt>
                <c:pt idx="170">
                  <c:v>0.0</c:v>
                </c:pt>
                <c:pt idx="171">
                  <c:v>2.420736E7</c:v>
                </c:pt>
                <c:pt idx="172">
                  <c:v>2.49763400264476E7</c:v>
                </c:pt>
                <c:pt idx="173">
                  <c:v>9.95941685364418E7</c:v>
                </c:pt>
                <c:pt idx="174">
                  <c:v>1.06343166463364E8</c:v>
                </c:pt>
                <c:pt idx="175">
                  <c:v>1.16673020100944E8</c:v>
                </c:pt>
                <c:pt idx="176">
                  <c:v>9.2620578063818E8</c:v>
                </c:pt>
                <c:pt idx="177">
                  <c:v>9.55820637857915E8</c:v>
                </c:pt>
                <c:pt idx="178">
                  <c:v>1.07489289569305E9</c:v>
                </c:pt>
                <c:pt idx="179">
                  <c:v>1.09114705476722E9</c:v>
                </c:pt>
                <c:pt idx="180">
                  <c:v>1.28332317902173E9</c:v>
                </c:pt>
                <c:pt idx="181">
                  <c:v>1.24359750305007E9</c:v>
                </c:pt>
                <c:pt idx="182">
                  <c:v>1.22410212743923E9</c:v>
                </c:pt>
                <c:pt idx="183">
                  <c:v>1.34276501787634E9</c:v>
                </c:pt>
                <c:pt idx="184">
                  <c:v>1.3113035876986E9</c:v>
                </c:pt>
                <c:pt idx="185">
                  <c:v>1.5779742144277E9</c:v>
                </c:pt>
                <c:pt idx="186">
                  <c:v>1.23861195065637E9</c:v>
                </c:pt>
                <c:pt idx="187">
                  <c:v>1.27724211658865E9</c:v>
                </c:pt>
                <c:pt idx="188">
                  <c:v>1.20678350332898E9</c:v>
                </c:pt>
                <c:pt idx="189">
                  <c:v>1.71478862629543E9</c:v>
                </c:pt>
                <c:pt idx="190">
                  <c:v>1.45819492708072E9</c:v>
                </c:pt>
                <c:pt idx="191">
                  <c:v>1.87029138923475E9</c:v>
                </c:pt>
                <c:pt idx="192">
                  <c:v>1.39679217922131E9</c:v>
                </c:pt>
                <c:pt idx="193">
                  <c:v>1.69643149598238E9</c:v>
                </c:pt>
                <c:pt idx="194">
                  <c:v>1.9544680745815E9</c:v>
                </c:pt>
                <c:pt idx="195">
                  <c:v>2.16867048211057E9</c:v>
                </c:pt>
                <c:pt idx="196">
                  <c:v>1.2517674555169E9</c:v>
                </c:pt>
                <c:pt idx="197">
                  <c:v>1.31993486409275E9</c:v>
                </c:pt>
                <c:pt idx="198">
                  <c:v>9.80674545909738E9</c:v>
                </c:pt>
                <c:pt idx="199">
                  <c:v>1.09711019295553E10</c:v>
                </c:pt>
                <c:pt idx="200">
                  <c:v>1.15234190014538E10</c:v>
                </c:pt>
                <c:pt idx="201">
                  <c:v>1.22383418824173E10</c:v>
                </c:pt>
                <c:pt idx="202">
                  <c:v>1.10548275535845E10</c:v>
                </c:pt>
                <c:pt idx="203">
                  <c:v>1.12168357501977E10</c:v>
                </c:pt>
                <c:pt idx="204">
                  <c:v>1.3924947084383E10</c:v>
                </c:pt>
                <c:pt idx="205">
                  <c:v>1.14437721158783E10</c:v>
                </c:pt>
                <c:pt idx="206">
                  <c:v>1.21920774963458E10</c:v>
                </c:pt>
                <c:pt idx="207">
                  <c:v>1.20035220151113E10</c:v>
                </c:pt>
                <c:pt idx="208">
                  <c:v>1.07771149250502E10</c:v>
                </c:pt>
                <c:pt idx="209">
                  <c:v>1.49994041711027E10</c:v>
                </c:pt>
                <c:pt idx="210">
                  <c:v>1.20039307716307E10</c:v>
                </c:pt>
                <c:pt idx="211">
                  <c:v>1.53083730980123E10</c:v>
                </c:pt>
                <c:pt idx="212">
                  <c:v>1.82733140847128E10</c:v>
                </c:pt>
                <c:pt idx="213">
                  <c:v>1.24598026273859E10</c:v>
                </c:pt>
                <c:pt idx="214">
                  <c:v>1.42934444345552E10</c:v>
                </c:pt>
                <c:pt idx="215">
                  <c:v>1.5709203404083E10</c:v>
                </c:pt>
                <c:pt idx="216">
                  <c:v>1.66849750260871E10</c:v>
                </c:pt>
                <c:pt idx="217">
                  <c:v>1.71975495651915E10</c:v>
                </c:pt>
                <c:pt idx="218">
                  <c:v>1.72225567992511E10</c:v>
                </c:pt>
                <c:pt idx="219">
                  <c:v>1.67344079950136E10</c:v>
                </c:pt>
                <c:pt idx="220">
                  <c:v>1.57062349825643E10</c:v>
                </c:pt>
                <c:pt idx="221">
                  <c:v>1.41098261834925E10</c:v>
                </c:pt>
                <c:pt idx="222">
                  <c:v>1.19155594404671E10</c:v>
                </c:pt>
                <c:pt idx="223">
                  <c:v>2.28088714404671E10</c:v>
                </c:pt>
                <c:pt idx="224">
                  <c:v>1.99856434882904E10</c:v>
                </c:pt>
                <c:pt idx="225">
                  <c:v>1.6500795898505E10</c:v>
                </c:pt>
                <c:pt idx="226">
                  <c:v>1.23200373212302E10</c:v>
                </c:pt>
                <c:pt idx="227">
                  <c:v>2.32859714012302E10</c:v>
                </c:pt>
                <c:pt idx="228">
                  <c:v>1.83732959190917E10</c:v>
                </c:pt>
                <c:pt idx="229">
                  <c:v>1.26908973188463E10</c:v>
                </c:pt>
                <c:pt idx="230">
                  <c:v>2.37052461188463E10</c:v>
                </c:pt>
                <c:pt idx="231">
                  <c:v>1.72134278765886E10</c:v>
                </c:pt>
                <c:pt idx="232">
                  <c:v>2.82519840365886E10</c:v>
                </c:pt>
                <c:pt idx="233">
                  <c:v>2.0909064802218E10</c:v>
                </c:pt>
                <c:pt idx="234">
                  <c:v>1.2671279158129E10</c:v>
                </c:pt>
                <c:pt idx="235">
                  <c:v>0.0</c:v>
                </c:pt>
                <c:pt idx="236">
                  <c:v>5.7458688E7</c:v>
                </c:pt>
                <c:pt idx="237">
                  <c:v>5.85100017930733E7</c:v>
                </c:pt>
                <c:pt idx="238">
                  <c:v>2.51025143052049E8</c:v>
                </c:pt>
                <c:pt idx="239">
                  <c:v>2.6287918863818E8</c:v>
                </c:pt>
                <c:pt idx="240">
                  <c:v>2.26227659394569E9</c:v>
                </c:pt>
                <c:pt idx="241">
                  <c:v>2.41694552034702E9</c:v>
                </c:pt>
                <c:pt idx="242">
                  <c:v>2.74893340347626E9</c:v>
                </c:pt>
                <c:pt idx="243">
                  <c:v>2.99493999387634E9</c:v>
                </c:pt>
                <c:pt idx="244">
                  <c:v>3.17278732094909E9</c:v>
                </c:pt>
                <c:pt idx="245">
                  <c:v>3.17010073021808E9</c:v>
                </c:pt>
                <c:pt idx="246">
                  <c:v>3.21560126308071E9</c:v>
                </c:pt>
                <c:pt idx="247">
                  <c:v>3.59319653122131E9</c:v>
                </c:pt>
                <c:pt idx="248">
                  <c:v>3.60920001811057E9</c:v>
                </c:pt>
                <c:pt idx="249">
                  <c:v>3.20321947209275E9</c:v>
                </c:pt>
                <c:pt idx="250">
                  <c:v>2.37346211918523E10</c:v>
                </c:pt>
                <c:pt idx="251">
                  <c:v>2.34742465083974E10</c:v>
                </c:pt>
                <c:pt idx="252">
                  <c:v>2.70730695596169E10</c:v>
                </c:pt>
                <c:pt idx="253">
                  <c:v>2.75207289158783E10</c:v>
                </c:pt>
                <c:pt idx="254">
                  <c:v>2.62033767356668E10</c:v>
                </c:pt>
                <c:pt idx="255">
                  <c:v>2.52891276996307E10</c:v>
                </c:pt>
                <c:pt idx="256">
                  <c:v>2.74667408407485E10</c:v>
                </c:pt>
                <c:pt idx="257">
                  <c:v>2.62020997880829E10</c:v>
                </c:pt>
                <c:pt idx="258">
                  <c:v>3.16727164131915E10</c:v>
                </c:pt>
                <c:pt idx="259">
                  <c:v>3.52099332430136E10</c:v>
                </c:pt>
                <c:pt idx="260">
                  <c:v>3.66037977674924E10</c:v>
                </c:pt>
                <c:pt idx="261">
                  <c:v>3.56228373442904E10</c:v>
                </c:pt>
                <c:pt idx="262">
                  <c:v>3.20118533852302E10</c:v>
                </c:pt>
                <c:pt idx="263">
                  <c:v>4.21620294870917E10</c:v>
                </c:pt>
                <c:pt idx="264">
                  <c:v>3.40695667565886E10</c:v>
                </c:pt>
                <c:pt idx="265">
                  <c:v>4.1889253090218E10</c:v>
                </c:pt>
                <c:pt idx="266">
                  <c:v>2.85817477198354E10</c:v>
                </c:pt>
                <c:pt idx="267">
                  <c:v>3.36764300584272E10</c:v>
                </c:pt>
                <c:pt idx="268">
                  <c:v>3.77646283123484E10</c:v>
                </c:pt>
                <c:pt idx="269">
                  <c:v>4.0793145342966E10</c:v>
                </c:pt>
                <c:pt idx="270">
                  <c:v>4.27061241547142E10</c:v>
                </c:pt>
                <c:pt idx="271">
                  <c:v>4.34449149022498E10</c:v>
                </c:pt>
                <c:pt idx="272">
                  <c:v>4.29479352479623E10</c:v>
                </c:pt>
                <c:pt idx="273">
                  <c:v>4.11505237373605E10</c:v>
                </c:pt>
                <c:pt idx="274">
                  <c:v>3.79847858432285E10</c:v>
                </c:pt>
                <c:pt idx="275">
                  <c:v>3.33794323119899E10</c:v>
                </c:pt>
                <c:pt idx="276">
                  <c:v>2.72596094273894E10</c:v>
                </c:pt>
                <c:pt idx="277">
                  <c:v>5.42077340993894E10</c:v>
                </c:pt>
                <c:pt idx="278">
                  <c:v>4.64948454593591E10</c:v>
                </c:pt>
                <c:pt idx="279">
                  <c:v>3.71063648417268E10</c:v>
                </c:pt>
                <c:pt idx="280">
                  <c:v>6.41694068897268E10</c:v>
                </c:pt>
                <c:pt idx="281">
                  <c:v>5.30186817612133E10</c:v>
                </c:pt>
                <c:pt idx="282">
                  <c:v>4.00147269618738E10</c:v>
                </c:pt>
                <c:pt idx="283">
                  <c:v>6.71926863858738E10</c:v>
                </c:pt>
                <c:pt idx="284">
                  <c:v>5.22399674977676E10</c:v>
                </c:pt>
                <c:pt idx="285">
                  <c:v>3.52381733820556E10</c:v>
                </c:pt>
                <c:pt idx="286">
                  <c:v>6.25310501820556E10</c:v>
                </c:pt>
                <c:pt idx="287">
                  <c:v>4.33748541429587E10</c:v>
                </c:pt>
                <c:pt idx="288">
                  <c:v>7.07251896309587E10</c:v>
                </c:pt>
                <c:pt idx="289">
                  <c:v>4.93039986379063E10</c:v>
                </c:pt>
                <c:pt idx="290">
                  <c:v>7.67117928139063E10</c:v>
                </c:pt>
                <c:pt idx="291">
                  <c:v>5.29094841848022E10</c:v>
                </c:pt>
                <c:pt idx="292">
                  <c:v>8.03747370488021E10</c:v>
                </c:pt>
                <c:pt idx="293">
                  <c:v>5.40693819674416E10</c:v>
                </c:pt>
                <c:pt idx="294">
                  <c:v>8.15920935194416E10</c:v>
                </c:pt>
                <c:pt idx="295">
                  <c:v>5.2655666728814E10</c:v>
                </c:pt>
                <c:pt idx="296">
                  <c:v>8.0235836968814E10</c:v>
                </c:pt>
                <c:pt idx="297">
                  <c:v>4.85339119490545E10</c:v>
                </c:pt>
                <c:pt idx="298">
                  <c:v>7.61715408770545E10</c:v>
                </c:pt>
                <c:pt idx="299">
                  <c:v>4.15629697823073E10</c:v>
                </c:pt>
                <c:pt idx="300">
                  <c:v>6.92580573983073E10</c:v>
                </c:pt>
                <c:pt idx="301">
                  <c:v>3.15946349904224E10</c:v>
                </c:pt>
                <c:pt idx="302">
                  <c:v>5.93471812944224E10</c:v>
                </c:pt>
                <c:pt idx="303">
                  <c:v>8.70997275984224E10</c:v>
                </c:pt>
                <c:pt idx="304">
                  <c:v>4.62258383773438E10</c:v>
                </c:pt>
                <c:pt idx="305">
                  <c:v>7.40358433693438E10</c:v>
                </c:pt>
                <c:pt idx="306">
                  <c:v>2.97880910600112E10</c:v>
                </c:pt>
                <c:pt idx="307">
                  <c:v>5.76555547400112E10</c:v>
                </c:pt>
                <c:pt idx="308">
                  <c:v>8.55230184200112E10</c:v>
                </c:pt>
                <c:pt idx="309">
                  <c:v>3.77298369336117E10</c:v>
                </c:pt>
                <c:pt idx="310">
                  <c:v>6.56547593016117E10</c:v>
                </c:pt>
                <c:pt idx="311">
                  <c:v>9.35796816696117E10</c:v>
                </c:pt>
                <c:pt idx="312">
                  <c:v>4.20609266128919E10</c:v>
                </c:pt>
                <c:pt idx="313">
                  <c:v>7.0043307668892E10</c:v>
                </c:pt>
                <c:pt idx="314">
                  <c:v>9.80256887248919E10</c:v>
                </c:pt>
                <c:pt idx="315">
                  <c:v>4.25922084849368E10</c:v>
                </c:pt>
                <c:pt idx="316">
                  <c:v>7.06320482289368E10</c:v>
                </c:pt>
                <c:pt idx="317">
                  <c:v>9.86718879729368E10</c:v>
                </c:pt>
                <c:pt idx="318">
                  <c:v>3.91250733561834E10</c:v>
                </c:pt>
                <c:pt idx="319">
                  <c:v>6.72223717881834E10</c:v>
                </c:pt>
                <c:pt idx="320">
                  <c:v>9.53196702201834E10</c:v>
                </c:pt>
                <c:pt idx="321">
                  <c:v>3.14509815733926E10</c:v>
                </c:pt>
                <c:pt idx="322">
                  <c:v>5.96057386933926E10</c:v>
                </c:pt>
                <c:pt idx="323">
                  <c:v>8.77604958133926E10</c:v>
                </c:pt>
                <c:pt idx="324">
                  <c:v>1.15915252933393E11</c:v>
                </c:pt>
                <c:pt idx="325">
                  <c:v>4.7505723620662E10</c:v>
                </c:pt>
                <c:pt idx="326">
                  <c:v>7.5717939428662E10</c:v>
                </c:pt>
                <c:pt idx="327">
                  <c:v>1.03930155236662E11</c:v>
                </c:pt>
                <c:pt idx="328">
                  <c:v>3.07498702902956E10</c:v>
                </c:pt>
                <c:pt idx="329">
                  <c:v>5.90195447862956E10</c:v>
                </c:pt>
                <c:pt idx="330">
                  <c:v>8.72892192822956E10</c:v>
                </c:pt>
                <c:pt idx="331">
                  <c:v>1.15558893778296E11</c:v>
                </c:pt>
                <c:pt idx="332">
                  <c:v>3.73664424822098E10</c:v>
                </c:pt>
                <c:pt idx="333">
                  <c:v>6.56935756662098E10</c:v>
                </c:pt>
                <c:pt idx="334">
                  <c:v>9.40207088502098E10</c:v>
                </c:pt>
                <c:pt idx="335">
                  <c:v>1.2234784203421E11</c:v>
                </c:pt>
                <c:pt idx="336">
                  <c:v>3.88897431365211E10</c:v>
                </c:pt>
                <c:pt idx="337">
                  <c:v>6.72743350085211E10</c:v>
                </c:pt>
                <c:pt idx="338">
                  <c:v>9.56589268805211E10</c:v>
                </c:pt>
                <c:pt idx="339">
                  <c:v>1.24043518752521E11</c:v>
                </c:pt>
                <c:pt idx="340">
                  <c:v>3.50536169387461E10</c:v>
                </c:pt>
                <c:pt idx="341">
                  <c:v>6.34956674987461E10</c:v>
                </c:pt>
                <c:pt idx="342">
                  <c:v>9.19377180587461E10</c:v>
                </c:pt>
                <c:pt idx="343">
                  <c:v>1.20379768618746E11</c:v>
                </c:pt>
                <c:pt idx="344">
                  <c:v>1.48821819178746E11</c:v>
                </c:pt>
                <c:pt idx="345">
                  <c:v>5.40206513686833E10</c:v>
                </c:pt>
                <c:pt idx="346">
                  <c:v>0.0</c:v>
                </c:pt>
                <c:pt idx="347">
                  <c:v>1.40476416E8</c:v>
                </c:pt>
                <c:pt idx="348">
                  <c:v>1.45201642155584E8</c:v>
                </c:pt>
                <c:pt idx="349">
                  <c:v>6.5748821525129E8</c:v>
                </c:pt>
                <c:pt idx="350">
                  <c:v>5.42442995797978E9</c:v>
                </c:pt>
                <c:pt idx="351">
                  <c:v>6.07941886822784E9</c:v>
                </c:pt>
                <c:pt idx="352">
                  <c:v>6.63151962058865E9</c:v>
                </c:pt>
                <c:pt idx="353">
                  <c:v>7.64061643522131E9</c:v>
                </c:pt>
                <c:pt idx="354">
                  <c:v>7.29174168309739E9</c:v>
                </c:pt>
                <c:pt idx="355">
                  <c:v>5.66829227711955E10</c:v>
                </c:pt>
                <c:pt idx="356">
                  <c:v>6.07138333144021E10</c:v>
                </c:pt>
                <c:pt idx="357">
                  <c:v>6.01344842436307E10</c:v>
                </c:pt>
                <c:pt idx="358">
                  <c:v>6.22962918900871E10</c:v>
                </c:pt>
                <c:pt idx="359">
                  <c:v>6.81102589514924E10</c:v>
                </c:pt>
                <c:pt idx="360">
                  <c:v>7.48794061532302E10</c:v>
                </c:pt>
                <c:pt idx="361">
                  <c:v>7.00764305622181E10</c:v>
                </c:pt>
                <c:pt idx="362">
                  <c:v>7.34291714344272E10</c:v>
                </c:pt>
                <c:pt idx="363">
                  <c:v>6.76126513867142E10</c:v>
                </c:pt>
                <c:pt idx="364">
                  <c:v>7.96308393119623E10</c:v>
                </c:pt>
                <c:pt idx="365">
                  <c:v>8.64951848192285E10</c:v>
                </c:pt>
                <c:pt idx="366">
                  <c:v>8.76486213953894E10</c:v>
                </c:pt>
                <c:pt idx="367">
                  <c:v>8.24769832097268E10</c:v>
                </c:pt>
                <c:pt idx="368">
                  <c:v>7.03031524338739E10</c:v>
                </c:pt>
                <c:pt idx="369">
                  <c:v>9.46178188897676E10</c:v>
                </c:pt>
                <c:pt idx="370">
                  <c:v>7.05173550069588E10</c:v>
                </c:pt>
                <c:pt idx="371">
                  <c:v>8.86126025419064E10</c:v>
                </c:pt>
                <c:pt idx="372">
                  <c:v>1.04409750168802E11</c:v>
                </c:pt>
                <c:pt idx="373">
                  <c:v>1.17786869071442E11</c:v>
                </c:pt>
                <c:pt idx="374">
                  <c:v>6.93338387330546E10</c:v>
                </c:pt>
                <c:pt idx="375">
                  <c:v>7.46567948063075E10</c:v>
                </c:pt>
                <c:pt idx="376">
                  <c:v>7.70079172944225E10</c:v>
                </c:pt>
                <c:pt idx="377">
                  <c:v>7.6231590697344E10</c:v>
                </c:pt>
                <c:pt idx="378">
                  <c:v>7.21644187400114E10</c:v>
                </c:pt>
                <c:pt idx="379">
                  <c:v>1.40295480500011E11</c:v>
                </c:pt>
                <c:pt idx="380">
                  <c:v>1.32765897093612E11</c:v>
                </c:pt>
                <c:pt idx="381">
                  <c:v>1.21593757844892E11</c:v>
                </c:pt>
                <c:pt idx="382">
                  <c:v>1.06589911140937E11</c:v>
                </c:pt>
                <c:pt idx="383">
                  <c:v>8.75557477881836E10</c:v>
                </c:pt>
                <c:pt idx="384">
                  <c:v>1.56248715212184E11</c:v>
                </c:pt>
                <c:pt idx="385">
                  <c:v>1.32975695557393E11</c:v>
                </c:pt>
                <c:pt idx="386">
                  <c:v>1.05244852964662E11</c:v>
                </c:pt>
                <c:pt idx="387">
                  <c:v>7.28262724662959E10</c:v>
                </c:pt>
                <c:pt idx="388">
                  <c:v>1.41940669138296E11</c:v>
                </c:pt>
                <c:pt idx="389">
                  <c:v>1.0459294001821E11</c:v>
                </c:pt>
                <c:pt idx="390">
                  <c:v>1.7384781310621E11</c:v>
                </c:pt>
                <c:pt idx="391">
                  <c:v>1.31317454112521E11</c:v>
                </c:pt>
                <c:pt idx="392">
                  <c:v>8.33383099307463E10</c:v>
                </c:pt>
                <c:pt idx="393">
                  <c:v>1.52874135850746E11</c:v>
                </c:pt>
                <c:pt idx="394">
                  <c:v>9.91667434006836E10</c:v>
                </c:pt>
                <c:pt idx="395">
                  <c:v>1.68843045736684E11</c:v>
                </c:pt>
                <c:pt idx="396">
                  <c:v>1.09113968784118E11</c:v>
                </c:pt>
                <c:pt idx="397">
                  <c:v>1.78930747536118E11</c:v>
                </c:pt>
                <c:pt idx="398">
                  <c:v>1.12871878035124E11</c:v>
                </c:pt>
                <c:pt idx="399">
                  <c:v>1.82829133203124E11</c:v>
                </c:pt>
                <c:pt idx="400">
                  <c:v>1.1011695770548E11</c:v>
                </c:pt>
                <c:pt idx="401">
                  <c:v>1.8021468928948E11</c:v>
                </c:pt>
                <c:pt idx="402">
                  <c:v>1.00509518674553E11</c:v>
                </c:pt>
                <c:pt idx="403">
                  <c:v>1.22432084667455E12</c:v>
                </c:pt>
                <c:pt idx="404">
                  <c:v>1.27823858086717E12</c:v>
                </c:pt>
                <c:pt idx="405">
                  <c:v>1.25080039337969E12</c:v>
                </c:pt>
                <c:pt idx="406">
                  <c:v>1.239806392486E12</c:v>
                </c:pt>
                <c:pt idx="407">
                  <c:v>1.36646157025573E12</c:v>
                </c:pt>
                <c:pt idx="408">
                  <c:v>1.33736865499612E12</c:v>
                </c:pt>
                <c:pt idx="409">
                  <c:v>1.6100443404299E12</c:v>
                </c:pt>
                <c:pt idx="410">
                  <c:v>1.26248577212207E12</c:v>
                </c:pt>
                <c:pt idx="411">
                  <c:v>1.29820597492269E12</c:v>
                </c:pt>
                <c:pt idx="412">
                  <c:v>1.22090216832414E12</c:v>
                </c:pt>
                <c:pt idx="413">
                  <c:v>1.73233068952334E12</c:v>
                </c:pt>
                <c:pt idx="414">
                  <c:v>1.46252409520944E12</c:v>
                </c:pt>
                <c:pt idx="415">
                  <c:v>0.0</c:v>
                </c:pt>
                <c:pt idx="416">
                  <c:v>5.653266432E9</c:v>
                </c:pt>
                <c:pt idx="417">
                  <c:v>5.77136703800257E9</c:v>
                </c:pt>
                <c:pt idx="418">
                  <c:v>1.66887563346564E10</c:v>
                </c:pt>
                <c:pt idx="419">
                  <c:v>1.82330639438523E10</c:v>
                </c:pt>
                <c:pt idx="420">
                  <c:v>1.43684449785454E11</c:v>
                </c:pt>
                <c:pt idx="421">
                  <c:v>1.46539852242555E11</c:v>
                </c:pt>
                <c:pt idx="422">
                  <c:v>1.7081702919323E11</c:v>
                </c:pt>
                <c:pt idx="423">
                  <c:v>1.79248563544348E11</c:v>
                </c:pt>
                <c:pt idx="424">
                  <c:v>1.82560848819229E11</c:v>
                </c:pt>
                <c:pt idx="425">
                  <c:v>1.73847668641213E11</c:v>
                </c:pt>
                <c:pt idx="426">
                  <c:v>1.67677609470959E11</c:v>
                </c:pt>
                <c:pt idx="427">
                  <c:v>1.82110048591442E11</c:v>
                </c:pt>
                <c:pt idx="428">
                  <c:v>1.73367278774307E11</c:v>
                </c:pt>
                <c:pt idx="429">
                  <c:v>2.09686984489344E11</c:v>
                </c:pt>
                <c:pt idx="430">
                  <c:v>2.32979891589612E11</c:v>
                </c:pt>
                <c:pt idx="431">
                  <c:v>2.41838320740937E11</c:v>
                </c:pt>
                <c:pt idx="432">
                  <c:v>2.34710305477393E11</c:v>
                </c:pt>
                <c:pt idx="433">
                  <c:v>2.09884802770296E11</c:v>
                </c:pt>
                <c:pt idx="434">
                  <c:v>2.7726061976221E11</c:v>
                </c:pt>
                <c:pt idx="435">
                  <c:v>2.22292165930746E11</c:v>
                </c:pt>
                <c:pt idx="436">
                  <c:v>2.73946877800684E11</c:v>
                </c:pt>
                <c:pt idx="437">
                  <c:v>1.83917109651124E11</c:v>
                </c:pt>
                <c:pt idx="438">
                  <c:v>2.1720559668148E11</c:v>
                </c:pt>
                <c:pt idx="439">
                  <c:v>2.43713941330553E11</c:v>
                </c:pt>
                <c:pt idx="440">
                  <c:v>2.91305411002168E12</c:v>
                </c:pt>
                <c:pt idx="441">
                  <c:v>3.11650459091234E12</c:v>
                </c:pt>
                <c:pt idx="442">
                  <c:v>3.18436935490013E12</c:v>
                </c:pt>
                <c:pt idx="443">
                  <c:v>3.14903763791437E12</c:v>
                </c:pt>
                <c:pt idx="444">
                  <c:v>3.59720227019534E12</c:v>
                </c:pt>
                <c:pt idx="445">
                  <c:v>3.52251063826091E12</c:v>
                </c:pt>
                <c:pt idx="446">
                  <c:v>3.81180187377635E12</c:v>
                </c:pt>
                <c:pt idx="447">
                  <c:v>3.68691601466686E12</c:v>
                </c:pt>
                <c:pt idx="448">
                  <c:v>3.07989510802818E12</c:v>
                </c:pt>
                <c:pt idx="449">
                  <c:v>3.39601254735853E12</c:v>
                </c:pt>
                <c:pt idx="450">
                  <c:v>3.44061242083593E12</c:v>
                </c:pt>
                <c:pt idx="451">
                  <c:v>3.18470525834189E12</c:v>
                </c:pt>
                <c:pt idx="452">
                  <c:v>4.49025953893157E12</c:v>
                </c:pt>
                <c:pt idx="453">
                  <c:v>3.72265413474889E12</c:v>
                </c:pt>
                <c:pt idx="454">
                  <c:v>4.76085334137334E12</c:v>
                </c:pt>
                <c:pt idx="455">
                  <c:v>3.39821997179181E12</c:v>
                </c:pt>
                <c:pt idx="456">
                  <c:v>4.12424897255319E12</c:v>
                </c:pt>
                <c:pt idx="457">
                  <c:v>4.73507188297506E12</c:v>
                </c:pt>
                <c:pt idx="458">
                  <c:v>5.2246457352188E12</c:v>
                </c:pt>
                <c:pt idx="459">
                  <c:v>5.58662541305394E12</c:v>
                </c:pt>
                <c:pt idx="460">
                  <c:v>5.81434854443844E12</c:v>
                </c:pt>
                <c:pt idx="461">
                  <c:v>5.90081963872816E12</c:v>
                </c:pt>
                <c:pt idx="462">
                  <c:v>5.83869343074677E12</c:v>
                </c:pt>
                <c:pt idx="463">
                  <c:v>5.62025739205911E12</c:v>
                </c:pt>
                <c:pt idx="464">
                  <c:v>5.23741336780827E12</c:v>
                </c:pt>
                <c:pt idx="465">
                  <c:v>4.68165829539449E12</c:v>
                </c:pt>
                <c:pt idx="466">
                  <c:v>3.944063959088E12</c:v>
                </c:pt>
                <c:pt idx="467">
                  <c:v>7.149466026032E12</c:v>
                </c:pt>
                <c:pt idx="468">
                  <c:v>6.22065779931661E12</c:v>
                </c:pt>
                <c:pt idx="469">
                  <c:v>5.09079232435023E12</c:v>
                </c:pt>
                <c:pt idx="470">
                  <c:v>3.74953407539874E12</c:v>
                </c:pt>
                <c:pt idx="471">
                  <c:v>6.97189594163874E12</c:v>
                </c:pt>
                <c:pt idx="472">
                  <c:v>5.40839261668126E12</c:v>
                </c:pt>
                <c:pt idx="473">
                  <c:v>0.0</c:v>
                </c:pt>
                <c:pt idx="474">
                  <c:v>1.4079492096E10</c:v>
                </c:pt>
                <c:pt idx="475">
                  <c:v>1.41718956982954E10</c:v>
                </c:pt>
                <c:pt idx="476">
                  <c:v>4.32539620648449E10</c:v>
                </c:pt>
                <c:pt idx="477">
                  <c:v>3.55594606583617E11</c:v>
                </c:pt>
                <c:pt idx="478">
                  <c:v>3.91609719478129E11</c:v>
                </c:pt>
                <c:pt idx="479">
                  <c:v>4.35671369641727E11</c:v>
                </c:pt>
                <c:pt idx="480">
                  <c:v>4.28769856552814E11</c:v>
                </c:pt>
                <c:pt idx="481">
                  <c:v>4.47922976133612E11</c:v>
                </c:pt>
                <c:pt idx="482">
                  <c:v>4.36611081956662E11</c:v>
                </c:pt>
                <c:pt idx="483">
                  <c:v>5.49035637024521E11</c:v>
                </c:pt>
                <c:pt idx="484">
                  <c:v>4.77841215891124E11</c:v>
                </c:pt>
                <c:pt idx="485">
                  <c:v>4.66300027205682E11</c:v>
                </c:pt>
                <c:pt idx="486">
                  <c:v>7.18155228296933E12</c:v>
                </c:pt>
                <c:pt idx="487">
                  <c:v>7.25226232660559E12</c:v>
                </c:pt>
                <c:pt idx="488">
                  <c:v>7.94438011205291E12</c:v>
                </c:pt>
                <c:pt idx="489">
                  <c:v>8.41265053685521E12</c:v>
                </c:pt>
                <c:pt idx="490">
                  <c:v>7.73966244989193E12</c:v>
                </c:pt>
                <c:pt idx="491">
                  <c:v>8.40365532439875E12</c:v>
                </c:pt>
                <c:pt idx="492">
                  <c:v>9.90639200598019E12</c:v>
                </c:pt>
                <c:pt idx="493">
                  <c:v>1.04631935055031E13</c:v>
                </c:pt>
                <c:pt idx="494">
                  <c:v>9.91829895007043E12</c:v>
                </c:pt>
                <c:pt idx="495">
                  <c:v>8.09139565919511E12</c:v>
                </c:pt>
                <c:pt idx="496">
                  <c:v>8.71109230294649E12</c:v>
                </c:pt>
                <c:pt idx="497">
                  <c:v>8.6085313988046E12</c:v>
                </c:pt>
                <c:pt idx="498">
                  <c:v>1.22647621009902E13</c:v>
                </c:pt>
                <c:pt idx="499">
                  <c:v>1.09321610636573E13</c:v>
                </c:pt>
                <c:pt idx="500">
                  <c:v>8.66997622642071E12</c:v>
                </c:pt>
                <c:pt idx="501">
                  <c:v>1.11972880054688E13</c:v>
                </c:pt>
                <c:pt idx="502">
                  <c:v>1.34616674170148E13</c:v>
                </c:pt>
                <c:pt idx="503">
                  <c:v>9.03574678873627E12</c:v>
                </c:pt>
                <c:pt idx="504">
                  <c:v>1.04254207948185E13</c:v>
                </c:pt>
                <c:pt idx="505">
                  <c:v>1.14924646463312E13</c:v>
                </c:pt>
                <c:pt idx="506">
                  <c:v>1.22200428609412E13</c:v>
                </c:pt>
                <c:pt idx="507">
                  <c:v>1.25904781821984E13</c:v>
                </c:pt>
                <c:pt idx="508">
                  <c:v>1.25852094908306E13</c:v>
                </c:pt>
                <c:pt idx="509">
                  <c:v>1.21847476116015E13</c:v>
                </c:pt>
                <c:pt idx="510">
                  <c:v>1.13686289105134E13</c:v>
                </c:pt>
                <c:pt idx="511">
                  <c:v>1.01153665718684E13</c:v>
                </c:pt>
                <c:pt idx="512">
                  <c:v>8.40239943918405E12</c:v>
                </c:pt>
                <c:pt idx="513">
                  <c:v>1.665298180744E13</c:v>
                </c:pt>
                <c:pt idx="514">
                  <c:v>1.44566206664094E13</c:v>
                </c:pt>
                <c:pt idx="515">
                  <c:v>1.17519918420105E13</c:v>
                </c:pt>
                <c:pt idx="516">
                  <c:v>8.51297797546998E12</c:v>
                </c:pt>
                <c:pt idx="517">
                  <c:v>1.6805798820014E13</c:v>
                </c:pt>
                <c:pt idx="518">
                  <c:v>1.30049766846202E13</c:v>
                </c:pt>
                <c:pt idx="519">
                  <c:v>8.61355189232527E12</c:v>
                </c:pt>
                <c:pt idx="520">
                  <c:v>1.69345317210613E13</c:v>
                </c:pt>
                <c:pt idx="521">
                  <c:v>1.19222701644158E13</c:v>
                </c:pt>
                <c:pt idx="522">
                  <c:v>2.02573294852478E13</c:v>
                </c:pt>
                <c:pt idx="523">
                  <c:v>1.45924853514291E13</c:v>
                </c:pt>
                <c:pt idx="524">
                  <c:v>2.29416241643571E13</c:v>
                </c:pt>
                <c:pt idx="525">
                  <c:v>1.6590864349902E13</c:v>
                </c:pt>
                <c:pt idx="526">
                  <c:v>9.51918909617366E12</c:v>
                </c:pt>
                <c:pt idx="527">
                  <c:v>1.78964868932937E13</c:v>
                </c:pt>
                <c:pt idx="528">
                  <c:v>1.00671464537238E13</c:v>
                </c:pt>
                <c:pt idx="529">
                  <c:v>1.84585237429398E13</c:v>
                </c:pt>
                <c:pt idx="530">
                  <c:v>9.83293088363136E12</c:v>
                </c:pt>
                <c:pt idx="531">
                  <c:v>1.82383876649434E13</c:v>
                </c:pt>
                <c:pt idx="532">
                  <c:v>8.77602579030475E12</c:v>
                </c:pt>
                <c:pt idx="533">
                  <c:v>1.71955620637127E13</c:v>
                </c:pt>
                <c:pt idx="534">
                  <c:v>2.56150983371207E13</c:v>
                </c:pt>
                <c:pt idx="535">
                  <c:v>1.52734250217805E13</c:v>
                </c:pt>
                <c:pt idx="536">
                  <c:v>2.37070407872845E13</c:v>
                </c:pt>
                <c:pt idx="537">
                  <c:v>1.2441386484603E13</c:v>
                </c:pt>
                <c:pt idx="538">
                  <c:v>1.47604510606203E14</c:v>
                </c:pt>
                <c:pt idx="539">
                  <c:v>1.42075281380429E14</c:v>
                </c:pt>
                <c:pt idx="540">
                  <c:v>0.0</c:v>
                </c:pt>
                <c:pt idx="541">
                  <c:v>5.72830777344E11</c:v>
                </c:pt>
                <c:pt idx="542">
                  <c:v>5.75347526159962E11</c:v>
                </c:pt>
                <c:pt idx="543">
                  <c:v>1.05697219207944E12</c:v>
                </c:pt>
                <c:pt idx="544">
                  <c:v>1.1287325303863E12</c:v>
                </c:pt>
                <c:pt idx="545">
                  <c:v>1.21302325025855E12</c:v>
                </c:pt>
                <c:pt idx="546">
                  <c:v>1.80440914484512E13</c:v>
                </c:pt>
                <c:pt idx="547">
                  <c:v>1.8228793770937E13</c:v>
                </c:pt>
                <c:pt idx="548">
                  <c:v>1.99361412902228E13</c:v>
                </c:pt>
                <c:pt idx="549">
                  <c:v>2.07091984649579E13</c:v>
                </c:pt>
                <c:pt idx="550">
                  <c:v>2.07735343463385E13</c:v>
                </c:pt>
                <c:pt idx="551">
                  <c:v>2.40669820073027E13</c:v>
                </c:pt>
                <c:pt idx="552">
                  <c:v>2.38464012429728E13</c:v>
                </c:pt>
                <c:pt idx="553">
                  <c:v>2.60578277451523E13</c:v>
                </c:pt>
                <c:pt idx="554">
                  <c:v>2.54859944308612E13</c:v>
                </c:pt>
                <c:pt idx="555">
                  <c:v>2.16752601369135E13</c:v>
                </c:pt>
                <c:pt idx="556">
                  <c:v>2.40476332706204E13</c:v>
                </c:pt>
                <c:pt idx="557">
                  <c:v>2.45953450491294E13</c:v>
                </c:pt>
                <c:pt idx="558">
                  <c:v>2.3124028289198E13</c:v>
                </c:pt>
                <c:pt idx="559">
                  <c:v>3.21177183002362E13</c:v>
                </c:pt>
                <c:pt idx="560">
                  <c:v>2.72092867004797E13</c:v>
                </c:pt>
                <c:pt idx="561">
                  <c:v>3.44041220075571E13</c:v>
                </c:pt>
                <c:pt idx="562">
                  <c:v>2.54998705067337E13</c:v>
                </c:pt>
                <c:pt idx="563">
                  <c:v>3.05953768025238E13</c:v>
                </c:pt>
                <c:pt idx="564">
                  <c:v>3.49163531100633E13</c:v>
                </c:pt>
                <c:pt idx="565">
                  <c:v>3.84222828337607E13</c:v>
                </c:pt>
                <c:pt idx="566">
                  <c:v>4.10706235482445E13</c:v>
                </c:pt>
                <c:pt idx="567">
                  <c:v>2.21324721352801E13</c:v>
                </c:pt>
                <c:pt idx="568">
                  <c:v>3.4468532406885E14</c:v>
                </c:pt>
                <c:pt idx="569">
                  <c:v>3.65552656405778E14</c:v>
                </c:pt>
                <c:pt idx="570">
                  <c:v>3.991334794318E14</c:v>
                </c:pt>
                <c:pt idx="571">
                  <c:v>3.80989863117125E14</c:v>
                </c:pt>
                <c:pt idx="572">
                  <c:v>4.22587905954305E14</c:v>
                </c:pt>
                <c:pt idx="573">
                  <c:v>3.98163078563587E14</c:v>
                </c:pt>
                <c:pt idx="574">
                  <c:v>4.18782486965262E14</c:v>
                </c:pt>
                <c:pt idx="575">
                  <c:v>3.87125107837494E14</c:v>
                </c:pt>
                <c:pt idx="576">
                  <c:v>4.5522242506855E14</c:v>
                </c:pt>
                <c:pt idx="577">
                  <c:v>4.93867679876711E14</c:v>
                </c:pt>
                <c:pt idx="578">
                  <c:v>4.99924605554275E14</c:v>
                </c:pt>
                <c:pt idx="579">
                  <c:v>0.0</c:v>
                </c:pt>
                <c:pt idx="580">
                  <c:v>1.45807638528E12</c:v>
                </c:pt>
                <c:pt idx="581">
                  <c:v>1.47499762461734E12</c:v>
                </c:pt>
                <c:pt idx="582">
                  <c:v>2.81943982325112E12</c:v>
                </c:pt>
                <c:pt idx="583">
                  <c:v>2.85972837382527E12</c:v>
                </c:pt>
                <c:pt idx="584">
                  <c:v>4.68207813545679E13</c:v>
                </c:pt>
                <c:pt idx="585">
                  <c:v>4.92561931691191E13</c:v>
                </c:pt>
                <c:pt idx="586">
                  <c:v>5.29024144268573E13</c:v>
                </c:pt>
                <c:pt idx="587">
                  <c:v>5.69517302622032E13</c:v>
                </c:pt>
                <c:pt idx="588">
                  <c:v>5.92154234571164E13</c:v>
                </c:pt>
                <c:pt idx="589">
                  <c:v>5.75492388921082E13</c:v>
                </c:pt>
                <c:pt idx="590">
                  <c:v>5.6584437002958E13</c:v>
                </c:pt>
                <c:pt idx="591">
                  <c:v>6.20570208625114E13</c:v>
                </c:pt>
                <c:pt idx="592">
                  <c:v>6.01331976753871E13</c:v>
                </c:pt>
                <c:pt idx="593">
                  <c:v>8.92576350021618E14</c:v>
                </c:pt>
                <c:pt idx="594">
                  <c:v>8.92251273663612E14</c:v>
                </c:pt>
                <c:pt idx="595">
                  <c:v>9.63035820099331E14</c:v>
                </c:pt>
                <c:pt idx="596">
                  <c:v>1.00273358877356E15</c:v>
                </c:pt>
                <c:pt idx="597">
                  <c:v>1.09250474315325E15</c:v>
                </c:pt>
                <c:pt idx="598">
                  <c:v>9.56148196576339E14</c:v>
                </c:pt>
                <c:pt idx="599">
                  <c:v>1.12021289077002E15</c:v>
                </c:pt>
                <c:pt idx="600">
                  <c:v>1.16489364360224E15</c:v>
                </c:pt>
                <c:pt idx="601">
                  <c:v>1.07068307344522E15</c:v>
                </c:pt>
                <c:pt idx="602">
                  <c:v>1.2409659676094E15</c:v>
                </c:pt>
                <c:pt idx="603">
                  <c:v>1.33298014373177E15</c:v>
                </c:pt>
                <c:pt idx="604">
                  <c:v>1.33840415255408E15</c:v>
                </c:pt>
                <c:pt idx="605">
                  <c:v>1.24806359626907E15</c:v>
                </c:pt>
                <c:pt idx="606">
                  <c:v>1.05184370129427E15</c:v>
                </c:pt>
                <c:pt idx="607">
                  <c:v>1.39940758690656E15</c:v>
                </c:pt>
                <c:pt idx="608">
                  <c:v>1.02310679426871E15</c:v>
                </c:pt>
                <c:pt idx="609">
                  <c:v>1.27584404205255E15</c:v>
                </c:pt>
                <c:pt idx="610">
                  <c:v>1.49361195824618E15</c:v>
                </c:pt>
                <c:pt idx="611">
                  <c:v>1.67458917245084E15</c:v>
                </c:pt>
                <c:pt idx="612">
                  <c:v>1.8168632457478E15</c:v>
                </c:pt>
                <c:pt idx="613">
                  <c:v>9.88593533897014E14</c:v>
                </c:pt>
                <c:pt idx="614">
                  <c:v>1.00230318695794E15</c:v>
                </c:pt>
                <c:pt idx="615">
                  <c:v>1.99379512894835E15</c:v>
                </c:pt>
                <c:pt idx="616">
                  <c:v>1.96014664776734E15</c:v>
                </c:pt>
                <c:pt idx="617">
                  <c:v>1.87669922181305E15</c:v>
                </c:pt>
                <c:pt idx="618">
                  <c:v>1.74089000002753E15</c:v>
                </c:pt>
                <c:pt idx="619">
                  <c:v>1.55002798879998E15</c:v>
                </c:pt>
                <c:pt idx="620">
                  <c:v>1.301287644839E15</c:v>
                </c:pt>
                <c:pt idx="621">
                  <c:v>2.30006996875581E15</c:v>
                </c:pt>
                <c:pt idx="622">
                  <c:v>0.0</c:v>
                </c:pt>
                <c:pt idx="623">
                  <c:v>3.68012427264E12</c:v>
                </c:pt>
                <c:pt idx="624">
                  <c:v>3.71852126754533E12</c:v>
                </c:pt>
                <c:pt idx="625">
                  <c:v>1.1584378445259E14</c:v>
                </c:pt>
                <c:pt idx="626">
                  <c:v>1.19805940843447E14</c:v>
                </c:pt>
                <c:pt idx="627">
                  <c:v>1.32349777375406E14</c:v>
                </c:pt>
                <c:pt idx="628">
                  <c:v>1.52340838641711E14</c:v>
                </c:pt>
                <c:pt idx="629">
                  <c:v>1.44175545028937E14</c:v>
                </c:pt>
                <c:pt idx="630">
                  <c:v>2.22804620604806E15</c:v>
                </c:pt>
                <c:pt idx="631">
                  <c:v>2.3373498130535E15</c:v>
                </c:pt>
                <c:pt idx="632">
                  <c:v>2.48152011343778E15</c:v>
                </c:pt>
                <c:pt idx="633">
                  <c:v>2.49903635145811E15</c:v>
                </c:pt>
                <c:pt idx="634">
                  <c:v>2.89099200849209E15</c:v>
                </c:pt>
                <c:pt idx="635">
                  <c:v>2.73959983913173E15</c:v>
                </c:pt>
                <c:pt idx="636">
                  <c:v>2.61820726400823E15</c:v>
                </c:pt>
                <c:pt idx="637">
                  <c:v>2.79818282664091E15</c:v>
                </c:pt>
                <c:pt idx="638">
                  <c:v>2.62717384710789E15</c:v>
                </c:pt>
                <c:pt idx="639">
                  <c:v>3.12451359251486E15</c:v>
                </c:pt>
                <c:pt idx="640">
                  <c:v>3.42406346130625E15</c:v>
                </c:pt>
                <c:pt idx="641">
                  <c:v>3.50479556565308E15</c:v>
                </c:pt>
                <c:pt idx="642">
                  <c:v>3.34352665922391E15</c:v>
                </c:pt>
                <c:pt idx="643">
                  <c:v>2.91469721293828E15</c:v>
                </c:pt>
                <c:pt idx="644">
                  <c:v>3.85997357298129E15</c:v>
                </c:pt>
                <c:pt idx="645">
                  <c:v>2.97607558076058E15</c:v>
                </c:pt>
                <c:pt idx="646">
                  <c:v>3.68171666341409E15</c:v>
                </c:pt>
                <c:pt idx="647">
                  <c:v>4.29898762463958E15</c:v>
                </c:pt>
                <c:pt idx="648">
                  <c:v>2.69209263856728E15</c:v>
                </c:pt>
                <c:pt idx="649">
                  <c:v>3.01570615306075E15</c:v>
                </c:pt>
                <c:pt idx="650">
                  <c:v>3.23111214286367E15</c:v>
                </c:pt>
                <c:pt idx="651">
                  <c:v>3.33271622552787E15</c:v>
                </c:pt>
                <c:pt idx="652">
                  <c:v>3.3146442994828E15</c:v>
                </c:pt>
                <c:pt idx="653">
                  <c:v>8.30294252743673E16</c:v>
                </c:pt>
                <c:pt idx="654">
                  <c:v>8.52358016218064E16</c:v>
                </c:pt>
                <c:pt idx="655">
                  <c:v>0.0</c:v>
                </c:pt>
                <c:pt idx="656">
                  <c:v>3.23338761142272E14</c:v>
                </c:pt>
                <c:pt idx="657">
                  <c:v>3.37979651109582E14</c:v>
                </c:pt>
                <c:pt idx="658">
                  <c:v>3.80040303580989E14</c:v>
                </c:pt>
                <c:pt idx="659">
                  <c:v>6.17976031792878E15</c:v>
                </c:pt>
                <c:pt idx="660">
                  <c:v>6.4109391993035E15</c:v>
                </c:pt>
                <c:pt idx="661">
                  <c:v>6.8521817623966E15</c:v>
                </c:pt>
                <c:pt idx="662">
                  <c:v>7.3220003022462E15</c:v>
                </c:pt>
                <c:pt idx="663">
                  <c:v>7.54197246977545E15</c:v>
                </c:pt>
                <c:pt idx="664">
                  <c:v>7.23388470689438E15</c:v>
                </c:pt>
                <c:pt idx="665">
                  <c:v>7.00863292995491E15</c:v>
                </c:pt>
                <c:pt idx="666">
                  <c:v>7.6223881016795E15</c:v>
                </c:pt>
                <c:pt idx="667">
                  <c:v>7.2578684123235E15</c:v>
                </c:pt>
                <c:pt idx="668">
                  <c:v>2.28018995610798E17</c:v>
                </c:pt>
                <c:pt idx="669">
                  <c:v>2.29196449588495E17</c:v>
                </c:pt>
                <c:pt idx="670">
                  <c:v>2.39085356157622E17</c:v>
                </c:pt>
                <c:pt idx="671">
                  <c:v>2.7136229923154E17</c:v>
                </c:pt>
                <c:pt idx="672">
                  <c:v>2.69233621366702E17</c:v>
                </c:pt>
                <c:pt idx="673">
                  <c:v>2.47273303181816E17</c:v>
                </c:pt>
                <c:pt idx="674">
                  <c:v>0.0</c:v>
                </c:pt>
                <c:pt idx="675">
                  <c:v>8.60084112457728E14</c:v>
                </c:pt>
                <c:pt idx="676">
                  <c:v>8.60147504085237E14</c:v>
                </c:pt>
                <c:pt idx="677">
                  <c:v>1.65471275598679E16</c:v>
                </c:pt>
                <c:pt idx="678">
                  <c:v>1.74448412705112E16</c:v>
                </c:pt>
                <c:pt idx="679">
                  <c:v>1.82853323339722E16</c:v>
                </c:pt>
                <c:pt idx="680">
                  <c:v>2.01149580518687E16</c:v>
                </c:pt>
                <c:pt idx="681">
                  <c:v>2.12822094933327E16</c:v>
                </c:pt>
                <c:pt idx="682">
                  <c:v>6.08459338810787E17</c:v>
                </c:pt>
                <c:pt idx="683">
                  <c:v>6.1996155494647E17</c:v>
                </c:pt>
                <c:pt idx="684">
                  <c:v>6.57622374780259E17</c:v>
                </c:pt>
                <c:pt idx="685">
                  <c:v>6.96378626419375E17</c:v>
                </c:pt>
                <c:pt idx="686">
                  <c:v>7.09566392584391E17</c:v>
                </c:pt>
                <c:pt idx="687">
                  <c:v>6.70147933716181E17</c:v>
                </c:pt>
                <c:pt idx="688">
                  <c:v>8.27888187642335E17</c:v>
                </c:pt>
                <c:pt idx="689">
                  <c:v>6.87198213472388E17</c:v>
                </c:pt>
                <c:pt idx="690">
                  <c:v>8.94864130347721E17</c:v>
                </c:pt>
                <c:pt idx="691">
                  <c:v>7.75547900849877E17</c:v>
                </c:pt>
                <c:pt idx="692">
                  <c:v>8.56926824745055E17</c:v>
                </c:pt>
                <c:pt idx="693">
                  <c:v>8.78192993828975E17</c:v>
                </c:pt>
                <c:pt idx="694">
                  <c:v>8.33008533490434E17</c:v>
                </c:pt>
                <c:pt idx="695">
                  <c:v>7.14385936970574E17</c:v>
                </c:pt>
                <c:pt idx="696">
                  <c:v>0.0</c:v>
                </c:pt>
                <c:pt idx="697">
                  <c:v>2.1572923466711E15</c:v>
                </c:pt>
                <c:pt idx="698">
                  <c:v>2.24484228521921E15</c:v>
                </c:pt>
                <c:pt idx="699">
                  <c:v>4.26856781095603E16</c:v>
                </c:pt>
                <c:pt idx="700">
                  <c:v>4.59186343607407E16</c:v>
                </c:pt>
                <c:pt idx="701">
                  <c:v>4.8982845778429E16</c:v>
                </c:pt>
                <c:pt idx="702">
                  <c:v>1.5318061399089E18</c:v>
                </c:pt>
                <c:pt idx="703">
                  <c:v>1.56516635409425E18</c:v>
                </c:pt>
                <c:pt idx="704">
                  <c:v>1.76035569873964E18</c:v>
                </c:pt>
                <c:pt idx="705">
                  <c:v>1.72875134237967E18</c:v>
                </c:pt>
                <c:pt idx="706">
                  <c:v>1.7906214587512E18</c:v>
                </c:pt>
                <c:pt idx="707">
                  <c:v>2.11380804843267E18</c:v>
                </c:pt>
                <c:pt idx="708">
                  <c:v>2.14427437043311E18</c:v>
                </c:pt>
                <c:pt idx="709">
                  <c:v>1.81707773763044E18</c:v>
                </c:pt>
                <c:pt idx="710">
                  <c:v>2.37009470228751E18</c:v>
                </c:pt>
                <c:pt idx="711">
                  <c:v>2.09681187354386E18</c:v>
                </c:pt>
                <c:pt idx="712">
                  <c:v>2.33062740976961E18</c:v>
                </c:pt>
                <c:pt idx="713">
                  <c:v>2.41250881374181E18</c:v>
                </c:pt>
                <c:pt idx="714">
                  <c:v>2.32644059197339E18</c:v>
                </c:pt>
                <c:pt idx="715">
                  <c:v>2.05476566289488E18</c:v>
                </c:pt>
                <c:pt idx="716">
                  <c:v>2.73158303487385E18</c:v>
                </c:pt>
                <c:pt idx="717">
                  <c:v>2.1443817498951E18</c:v>
                </c:pt>
                <c:pt idx="718">
                  <c:v>2.65449877851572E18</c:v>
                </c:pt>
                <c:pt idx="719">
                  <c:v>3.10318277699655E18</c:v>
                </c:pt>
                <c:pt idx="720">
                  <c:v>2.01497928784487E18</c:v>
                </c:pt>
                <c:pt idx="721">
                  <c:v>2.2596432471451E18</c:v>
                </c:pt>
                <c:pt idx="722">
                  <c:v>2.42917006437018E18</c:v>
                </c:pt>
                <c:pt idx="723">
                  <c:v>2.519695017799E18</c:v>
                </c:pt>
                <c:pt idx="724">
                  <c:v>2.52716014962442E18</c:v>
                </c:pt>
                <c:pt idx="725">
                  <c:v>2.44730460414892E18</c:v>
                </c:pt>
                <c:pt idx="726">
                  <c:v>2.27565448289014E18</c:v>
                </c:pt>
                <c:pt idx="727">
                  <c:v>2.00751219244156E18</c:v>
                </c:pt>
                <c:pt idx="728">
                  <c:v>3.81316588660528E18</c:v>
                </c:pt>
                <c:pt idx="729">
                  <c:v>3.44359895389011E18</c:v>
                </c:pt>
                <c:pt idx="730">
                  <c:v>2.96742828217764E18</c:v>
                </c:pt>
                <c:pt idx="731">
                  <c:v>2.37921581990073E18</c:v>
                </c:pt>
                <c:pt idx="732">
                  <c:v>4.19134139110445E18</c:v>
                </c:pt>
                <c:pt idx="733">
                  <c:v>3.48537718411751E18</c:v>
                </c:pt>
                <c:pt idx="734">
                  <c:v>2.65566578056769E18</c:v>
                </c:pt>
                <c:pt idx="735">
                  <c:v>4.47210593646476E18</c:v>
                </c:pt>
                <c:pt idx="736">
                  <c:v>0.0</c:v>
                </c:pt>
                <c:pt idx="737">
                  <c:v>5.40852433924915E15</c:v>
                </c:pt>
                <c:pt idx="738">
                  <c:v>5.58691269591453E15</c:v>
                </c:pt>
                <c:pt idx="739">
                  <c:v>1.10660420589417E17</c:v>
                </c:pt>
                <c:pt idx="740">
                  <c:v>1.148321480101E17</c:v>
                </c:pt>
                <c:pt idx="741">
                  <c:v>3.88216607048861E18</c:v>
                </c:pt>
                <c:pt idx="742">
                  <c:v>4.06546405644456E18</c:v>
                </c:pt>
                <c:pt idx="743">
                  <c:v>4.42388813141095E18</c:v>
                </c:pt>
                <c:pt idx="744">
                  <c:v>4.41323905887524E18</c:v>
                </c:pt>
                <c:pt idx="745">
                  <c:v>4.63840970967215E18</c:v>
                </c:pt>
                <c:pt idx="746">
                  <c:v>4.52716336584199E18</c:v>
                </c:pt>
                <c:pt idx="747">
                  <c:v>4.46320765108879E18</c:v>
                </c:pt>
                <c:pt idx="748">
                  <c:v>4.92127892253569E18</c:v>
                </c:pt>
              </c:numCache>
            </c:numRef>
          </c:val>
          <c:smooth val="0"/>
        </c:ser>
        <c:dLbls>
          <c:showLegendKey val="0"/>
          <c:showVal val="0"/>
          <c:showCatName val="0"/>
          <c:showSerName val="0"/>
          <c:showPercent val="0"/>
          <c:showBubbleSize val="0"/>
        </c:dLbls>
        <c:marker val="1"/>
        <c:smooth val="0"/>
        <c:axId val="502378504"/>
        <c:axId val="408184008"/>
      </c:lineChart>
      <c:catAx>
        <c:axId val="381366728"/>
        <c:scaling>
          <c:orientation val="minMax"/>
        </c:scaling>
        <c:delete val="0"/>
        <c:axPos val="b"/>
        <c:title>
          <c:tx>
            <c:rich>
              <a:bodyPr/>
              <a:lstStyle/>
              <a:p>
                <a:pPr lvl="0">
                  <a:defRPr/>
                </a:pPr>
                <a:r>
                  <a:rPr lang="en-US"/>
                  <a:t>Time (minutes)</a:t>
                </a:r>
              </a:p>
            </c:rich>
          </c:tx>
          <c:layout/>
          <c:overlay val="0"/>
        </c:title>
        <c:numFmt formatCode="0" sourceLinked="1"/>
        <c:majorTickMark val="cross"/>
        <c:minorTickMark val="cross"/>
        <c:tickLblPos val="nextTo"/>
        <c:txPr>
          <a:bodyPr rot="-5400000" vert="horz"/>
          <a:lstStyle/>
          <a:p>
            <a:pPr lvl="0">
              <a:defRPr/>
            </a:pPr>
            <a:endParaRPr lang="en-US"/>
          </a:p>
        </c:txPr>
        <c:crossAx val="393681064"/>
        <c:crosses val="autoZero"/>
        <c:auto val="1"/>
        <c:lblAlgn val="ctr"/>
        <c:lblOffset val="100"/>
        <c:tickLblSkip val="40"/>
        <c:tickMarkSkip val="40"/>
        <c:noMultiLvlLbl val="1"/>
      </c:catAx>
      <c:valAx>
        <c:axId val="393681064"/>
        <c:scaling>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1366728"/>
        <c:crosses val="autoZero"/>
        <c:crossBetween val="between"/>
      </c:valAx>
      <c:catAx>
        <c:axId val="502378504"/>
        <c:scaling>
          <c:orientation val="minMax"/>
        </c:scaling>
        <c:delete val="1"/>
        <c:axPos val="b"/>
        <c:numFmt formatCode="0" sourceLinked="1"/>
        <c:majorTickMark val="cross"/>
        <c:minorTickMark val="cross"/>
        <c:tickLblPos val="nextTo"/>
        <c:crossAx val="408184008"/>
        <c:crosses val="autoZero"/>
        <c:auto val="1"/>
        <c:lblAlgn val="ctr"/>
        <c:lblOffset val="100"/>
        <c:noMultiLvlLbl val="1"/>
      </c:catAx>
      <c:valAx>
        <c:axId val="408184008"/>
        <c:scaling>
          <c:orientation val="minMax"/>
        </c:scaling>
        <c:delete val="0"/>
        <c:axPos val="r"/>
        <c:majorGridlines>
          <c:spPr>
            <a:ln>
              <a:solidFill>
                <a:srgbClr val="B7B7B7"/>
              </a:solidFill>
            </a:ln>
          </c:spPr>
        </c:majorGridlines>
        <c:numFmt formatCode="0" sourceLinked="1"/>
        <c:majorTickMark val="cross"/>
        <c:minorTickMark val="cross"/>
        <c:tickLblPos val="nextTo"/>
        <c:spPr>
          <a:ln w="47625">
            <a:noFill/>
          </a:ln>
        </c:spPr>
        <c:txPr>
          <a:bodyPr/>
          <a:lstStyle/>
          <a:p>
            <a:pPr lvl="0">
              <a:defRPr/>
            </a:pPr>
            <a:endParaRPr lang="en-US"/>
          </a:p>
        </c:txPr>
        <c:crossAx val="502378504"/>
        <c:crosses val="max"/>
        <c:crossBetween val="between"/>
      </c:valAx>
    </c:plotArea>
    <c:legend>
      <c:legendPos val="t"/>
      <c:layout/>
      <c:overlay val="0"/>
    </c:legend>
    <c:plotVisOnly val="1"/>
    <c:dispBlanksAs val="zero"/>
    <c:showDLblsOverMax val="1"/>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lvl="0">
              <a:defRPr sz="1600" b="1">
                <a:solidFill>
                  <a:srgbClr val="000000"/>
                </a:solidFill>
              </a:defRPr>
            </a:pPr>
            <a:r>
              <a:rPr lang="en-US"/>
              <a:t>Prestige Currency (log scale)</a:t>
            </a:r>
          </a:p>
        </c:rich>
      </c:tx>
      <c:layout/>
      <c:overlay val="0"/>
    </c:title>
    <c:autoTitleDeleted val="0"/>
    <c:plotArea>
      <c:layout/>
      <c:lineChart>
        <c:grouping val="standard"/>
        <c:varyColors val="0"/>
        <c:ser>
          <c:idx val="0"/>
          <c:order val="0"/>
          <c:tx>
            <c:strRef>
              <c:f>'Calc for Prestige Patterns'!$H$1</c:f>
              <c:strCache>
                <c:ptCount val="1"/>
                <c:pt idx="0">
                  <c:v>Prestige Currency</c:v>
                </c:pt>
              </c:strCache>
            </c:strRef>
          </c:tx>
          <c:spPr>
            <a:ln w="25400" cmpd="sng">
              <a:solidFill>
                <a:srgbClr val="3366CC"/>
              </a:solidFill>
            </a:ln>
          </c:spPr>
          <c:marker>
            <c:symbol val="none"/>
          </c:marker>
          <c:cat>
            <c:numRef>
              <c:f>'Calc for Prestige Patterns'!$C$2:$C$750</c:f>
              <c:numCache>
                <c:formatCode>0</c:formatCode>
                <c:ptCount val="749"/>
                <c:pt idx="0">
                  <c:v>0.5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pt idx="19">
                  <c:v>10.0</c:v>
                </c:pt>
                <c:pt idx="20">
                  <c:v>10.5</c:v>
                </c:pt>
                <c:pt idx="21">
                  <c:v>11.0</c:v>
                </c:pt>
                <c:pt idx="22">
                  <c:v>11.5</c:v>
                </c:pt>
                <c:pt idx="23">
                  <c:v>12.0</c:v>
                </c:pt>
                <c:pt idx="24">
                  <c:v>12.5</c:v>
                </c:pt>
                <c:pt idx="25">
                  <c:v>13.0</c:v>
                </c:pt>
                <c:pt idx="26">
                  <c:v>13.5</c:v>
                </c:pt>
                <c:pt idx="27">
                  <c:v>14.0</c:v>
                </c:pt>
                <c:pt idx="28">
                  <c:v>14.5</c:v>
                </c:pt>
                <c:pt idx="29">
                  <c:v>15.0</c:v>
                </c:pt>
                <c:pt idx="30">
                  <c:v>15.5</c:v>
                </c:pt>
                <c:pt idx="31">
                  <c:v>16.0</c:v>
                </c:pt>
                <c:pt idx="32">
                  <c:v>16.5</c:v>
                </c:pt>
                <c:pt idx="33">
                  <c:v>17.0</c:v>
                </c:pt>
                <c:pt idx="34">
                  <c:v>17.5</c:v>
                </c:pt>
                <c:pt idx="35">
                  <c:v>18.0</c:v>
                </c:pt>
                <c:pt idx="36">
                  <c:v>18.5</c:v>
                </c:pt>
                <c:pt idx="37">
                  <c:v>19.0</c:v>
                </c:pt>
                <c:pt idx="38">
                  <c:v>19.5</c:v>
                </c:pt>
                <c:pt idx="39">
                  <c:v>20.0</c:v>
                </c:pt>
                <c:pt idx="40">
                  <c:v>20.5</c:v>
                </c:pt>
                <c:pt idx="41">
                  <c:v>21.0</c:v>
                </c:pt>
                <c:pt idx="42">
                  <c:v>21.5</c:v>
                </c:pt>
                <c:pt idx="43">
                  <c:v>22.0</c:v>
                </c:pt>
                <c:pt idx="44">
                  <c:v>22.5</c:v>
                </c:pt>
                <c:pt idx="45">
                  <c:v>23.0</c:v>
                </c:pt>
                <c:pt idx="46">
                  <c:v>23.5</c:v>
                </c:pt>
                <c:pt idx="47">
                  <c:v>24.0</c:v>
                </c:pt>
                <c:pt idx="48">
                  <c:v>24.5</c:v>
                </c:pt>
                <c:pt idx="49">
                  <c:v>25.0</c:v>
                </c:pt>
                <c:pt idx="50">
                  <c:v>25.5</c:v>
                </c:pt>
                <c:pt idx="51">
                  <c:v>26.0</c:v>
                </c:pt>
                <c:pt idx="52">
                  <c:v>26.5</c:v>
                </c:pt>
                <c:pt idx="53">
                  <c:v>27.0</c:v>
                </c:pt>
                <c:pt idx="54">
                  <c:v>27.5</c:v>
                </c:pt>
                <c:pt idx="55">
                  <c:v>28.0</c:v>
                </c:pt>
                <c:pt idx="56">
                  <c:v>28.5</c:v>
                </c:pt>
                <c:pt idx="57">
                  <c:v>29.0</c:v>
                </c:pt>
                <c:pt idx="58">
                  <c:v>29.5</c:v>
                </c:pt>
                <c:pt idx="59">
                  <c:v>30.0</c:v>
                </c:pt>
                <c:pt idx="60">
                  <c:v>30.5</c:v>
                </c:pt>
                <c:pt idx="61">
                  <c:v>31.0</c:v>
                </c:pt>
                <c:pt idx="62">
                  <c:v>31.5</c:v>
                </c:pt>
                <c:pt idx="63">
                  <c:v>32.0</c:v>
                </c:pt>
                <c:pt idx="64">
                  <c:v>32.5</c:v>
                </c:pt>
                <c:pt idx="65">
                  <c:v>33.0</c:v>
                </c:pt>
                <c:pt idx="66">
                  <c:v>33.5</c:v>
                </c:pt>
                <c:pt idx="67">
                  <c:v>34.0</c:v>
                </c:pt>
                <c:pt idx="68">
                  <c:v>34.5</c:v>
                </c:pt>
                <c:pt idx="69">
                  <c:v>35.0</c:v>
                </c:pt>
                <c:pt idx="70">
                  <c:v>35.5</c:v>
                </c:pt>
                <c:pt idx="71">
                  <c:v>36.0</c:v>
                </c:pt>
                <c:pt idx="72">
                  <c:v>36.5</c:v>
                </c:pt>
                <c:pt idx="73">
                  <c:v>37.0</c:v>
                </c:pt>
                <c:pt idx="74">
                  <c:v>37.5</c:v>
                </c:pt>
                <c:pt idx="75">
                  <c:v>38.0</c:v>
                </c:pt>
                <c:pt idx="76">
                  <c:v>38.5</c:v>
                </c:pt>
                <c:pt idx="77">
                  <c:v>39.0</c:v>
                </c:pt>
                <c:pt idx="78">
                  <c:v>39.5</c:v>
                </c:pt>
                <c:pt idx="79">
                  <c:v>40.0</c:v>
                </c:pt>
                <c:pt idx="80">
                  <c:v>40.5</c:v>
                </c:pt>
                <c:pt idx="81">
                  <c:v>41.0</c:v>
                </c:pt>
                <c:pt idx="82">
                  <c:v>41.5</c:v>
                </c:pt>
                <c:pt idx="83">
                  <c:v>42.0</c:v>
                </c:pt>
                <c:pt idx="84">
                  <c:v>42.5</c:v>
                </c:pt>
                <c:pt idx="85">
                  <c:v>43.0</c:v>
                </c:pt>
                <c:pt idx="86">
                  <c:v>43.5</c:v>
                </c:pt>
                <c:pt idx="87">
                  <c:v>44.0</c:v>
                </c:pt>
                <c:pt idx="88">
                  <c:v>44.5</c:v>
                </c:pt>
                <c:pt idx="89">
                  <c:v>45.0</c:v>
                </c:pt>
                <c:pt idx="90">
                  <c:v>45.5</c:v>
                </c:pt>
                <c:pt idx="91">
                  <c:v>46.0</c:v>
                </c:pt>
                <c:pt idx="92">
                  <c:v>46.5</c:v>
                </c:pt>
                <c:pt idx="93">
                  <c:v>47.0</c:v>
                </c:pt>
                <c:pt idx="94">
                  <c:v>47.5</c:v>
                </c:pt>
                <c:pt idx="95">
                  <c:v>48.0</c:v>
                </c:pt>
                <c:pt idx="96">
                  <c:v>48.5</c:v>
                </c:pt>
                <c:pt idx="97">
                  <c:v>49.0</c:v>
                </c:pt>
                <c:pt idx="98">
                  <c:v>49.5</c:v>
                </c:pt>
                <c:pt idx="99">
                  <c:v>50.0</c:v>
                </c:pt>
                <c:pt idx="100">
                  <c:v>50.5</c:v>
                </c:pt>
                <c:pt idx="101">
                  <c:v>51.0</c:v>
                </c:pt>
                <c:pt idx="102">
                  <c:v>51.5</c:v>
                </c:pt>
                <c:pt idx="103">
                  <c:v>52.0</c:v>
                </c:pt>
                <c:pt idx="104">
                  <c:v>52.5</c:v>
                </c:pt>
                <c:pt idx="105">
                  <c:v>53.0</c:v>
                </c:pt>
                <c:pt idx="106">
                  <c:v>53.5</c:v>
                </c:pt>
                <c:pt idx="107">
                  <c:v>54.0</c:v>
                </c:pt>
                <c:pt idx="108">
                  <c:v>54.5</c:v>
                </c:pt>
                <c:pt idx="109">
                  <c:v>55.0</c:v>
                </c:pt>
                <c:pt idx="110">
                  <c:v>55.5</c:v>
                </c:pt>
                <c:pt idx="111">
                  <c:v>56.0</c:v>
                </c:pt>
                <c:pt idx="112">
                  <c:v>56.5</c:v>
                </c:pt>
                <c:pt idx="113">
                  <c:v>57.0</c:v>
                </c:pt>
                <c:pt idx="114">
                  <c:v>57.5</c:v>
                </c:pt>
                <c:pt idx="115">
                  <c:v>58.0</c:v>
                </c:pt>
                <c:pt idx="116">
                  <c:v>58.5</c:v>
                </c:pt>
                <c:pt idx="117">
                  <c:v>59.0</c:v>
                </c:pt>
                <c:pt idx="118">
                  <c:v>59.5</c:v>
                </c:pt>
                <c:pt idx="119">
                  <c:v>60.0</c:v>
                </c:pt>
                <c:pt idx="120">
                  <c:v>60.5</c:v>
                </c:pt>
                <c:pt idx="121">
                  <c:v>61.0</c:v>
                </c:pt>
                <c:pt idx="122">
                  <c:v>61.5</c:v>
                </c:pt>
                <c:pt idx="123">
                  <c:v>62.0</c:v>
                </c:pt>
                <c:pt idx="124">
                  <c:v>62.5</c:v>
                </c:pt>
                <c:pt idx="125">
                  <c:v>63.0</c:v>
                </c:pt>
                <c:pt idx="126">
                  <c:v>63.5</c:v>
                </c:pt>
                <c:pt idx="127">
                  <c:v>64.0</c:v>
                </c:pt>
                <c:pt idx="128">
                  <c:v>64.5</c:v>
                </c:pt>
                <c:pt idx="129">
                  <c:v>65.0</c:v>
                </c:pt>
                <c:pt idx="130">
                  <c:v>65.5</c:v>
                </c:pt>
                <c:pt idx="131">
                  <c:v>66.0</c:v>
                </c:pt>
                <c:pt idx="132">
                  <c:v>66.5</c:v>
                </c:pt>
                <c:pt idx="133">
                  <c:v>67.0</c:v>
                </c:pt>
                <c:pt idx="134">
                  <c:v>67.5</c:v>
                </c:pt>
                <c:pt idx="135">
                  <c:v>68.0</c:v>
                </c:pt>
                <c:pt idx="136">
                  <c:v>68.5</c:v>
                </c:pt>
                <c:pt idx="137">
                  <c:v>69.0</c:v>
                </c:pt>
                <c:pt idx="138">
                  <c:v>69.5</c:v>
                </c:pt>
                <c:pt idx="139">
                  <c:v>70.0</c:v>
                </c:pt>
                <c:pt idx="140">
                  <c:v>70.5</c:v>
                </c:pt>
                <c:pt idx="141">
                  <c:v>71.0</c:v>
                </c:pt>
                <c:pt idx="142">
                  <c:v>71.5</c:v>
                </c:pt>
                <c:pt idx="143">
                  <c:v>72.0</c:v>
                </c:pt>
                <c:pt idx="144">
                  <c:v>72.5</c:v>
                </c:pt>
                <c:pt idx="145">
                  <c:v>73.0</c:v>
                </c:pt>
                <c:pt idx="146">
                  <c:v>73.5</c:v>
                </c:pt>
                <c:pt idx="147">
                  <c:v>74.0</c:v>
                </c:pt>
                <c:pt idx="148">
                  <c:v>74.5</c:v>
                </c:pt>
                <c:pt idx="149">
                  <c:v>75.0</c:v>
                </c:pt>
                <c:pt idx="150">
                  <c:v>75.5</c:v>
                </c:pt>
                <c:pt idx="151">
                  <c:v>76.0</c:v>
                </c:pt>
                <c:pt idx="152">
                  <c:v>76.5</c:v>
                </c:pt>
                <c:pt idx="153">
                  <c:v>77.0</c:v>
                </c:pt>
                <c:pt idx="154">
                  <c:v>77.5</c:v>
                </c:pt>
                <c:pt idx="155">
                  <c:v>78.0</c:v>
                </c:pt>
                <c:pt idx="156">
                  <c:v>78.5</c:v>
                </c:pt>
                <c:pt idx="157">
                  <c:v>79.0</c:v>
                </c:pt>
                <c:pt idx="158">
                  <c:v>79.5</c:v>
                </c:pt>
                <c:pt idx="159">
                  <c:v>80.0</c:v>
                </c:pt>
                <c:pt idx="160">
                  <c:v>80.5</c:v>
                </c:pt>
                <c:pt idx="161">
                  <c:v>81.0</c:v>
                </c:pt>
                <c:pt idx="162">
                  <c:v>81.5</c:v>
                </c:pt>
                <c:pt idx="163">
                  <c:v>82.0</c:v>
                </c:pt>
                <c:pt idx="164">
                  <c:v>82.5</c:v>
                </c:pt>
                <c:pt idx="165">
                  <c:v>83.0</c:v>
                </c:pt>
                <c:pt idx="166">
                  <c:v>83.5</c:v>
                </c:pt>
                <c:pt idx="167">
                  <c:v>84.0</c:v>
                </c:pt>
                <c:pt idx="168">
                  <c:v>84.5</c:v>
                </c:pt>
                <c:pt idx="169">
                  <c:v>85.0</c:v>
                </c:pt>
                <c:pt idx="170">
                  <c:v>85.5</c:v>
                </c:pt>
                <c:pt idx="171">
                  <c:v>86.0</c:v>
                </c:pt>
                <c:pt idx="172">
                  <c:v>86.5</c:v>
                </c:pt>
                <c:pt idx="173">
                  <c:v>87.0</c:v>
                </c:pt>
                <c:pt idx="174">
                  <c:v>87.5</c:v>
                </c:pt>
                <c:pt idx="175">
                  <c:v>88.0</c:v>
                </c:pt>
                <c:pt idx="176">
                  <c:v>88.5</c:v>
                </c:pt>
                <c:pt idx="177">
                  <c:v>89.0</c:v>
                </c:pt>
                <c:pt idx="178">
                  <c:v>89.5</c:v>
                </c:pt>
                <c:pt idx="179">
                  <c:v>90.0</c:v>
                </c:pt>
                <c:pt idx="180">
                  <c:v>90.5</c:v>
                </c:pt>
                <c:pt idx="181">
                  <c:v>91.0</c:v>
                </c:pt>
                <c:pt idx="182">
                  <c:v>91.5</c:v>
                </c:pt>
                <c:pt idx="183">
                  <c:v>92.0</c:v>
                </c:pt>
                <c:pt idx="184">
                  <c:v>92.5</c:v>
                </c:pt>
                <c:pt idx="185">
                  <c:v>93.0</c:v>
                </c:pt>
                <c:pt idx="186">
                  <c:v>93.5</c:v>
                </c:pt>
                <c:pt idx="187">
                  <c:v>94.0</c:v>
                </c:pt>
                <c:pt idx="188">
                  <c:v>94.5</c:v>
                </c:pt>
                <c:pt idx="189">
                  <c:v>95.0</c:v>
                </c:pt>
                <c:pt idx="190">
                  <c:v>95.5</c:v>
                </c:pt>
                <c:pt idx="191">
                  <c:v>96.0</c:v>
                </c:pt>
                <c:pt idx="192">
                  <c:v>96.5</c:v>
                </c:pt>
                <c:pt idx="193">
                  <c:v>97.0</c:v>
                </c:pt>
                <c:pt idx="194">
                  <c:v>97.5</c:v>
                </c:pt>
                <c:pt idx="195">
                  <c:v>98.0</c:v>
                </c:pt>
                <c:pt idx="196">
                  <c:v>98.5</c:v>
                </c:pt>
                <c:pt idx="197">
                  <c:v>99.0</c:v>
                </c:pt>
                <c:pt idx="198">
                  <c:v>99.5</c:v>
                </c:pt>
                <c:pt idx="199">
                  <c:v>100.0</c:v>
                </c:pt>
                <c:pt idx="200">
                  <c:v>100.5</c:v>
                </c:pt>
                <c:pt idx="201">
                  <c:v>101.0</c:v>
                </c:pt>
                <c:pt idx="202">
                  <c:v>101.5</c:v>
                </c:pt>
                <c:pt idx="203">
                  <c:v>102.0</c:v>
                </c:pt>
                <c:pt idx="204">
                  <c:v>102.5</c:v>
                </c:pt>
                <c:pt idx="205">
                  <c:v>103.0</c:v>
                </c:pt>
                <c:pt idx="206">
                  <c:v>103.5</c:v>
                </c:pt>
                <c:pt idx="207">
                  <c:v>104.0</c:v>
                </c:pt>
                <c:pt idx="208">
                  <c:v>104.5</c:v>
                </c:pt>
                <c:pt idx="209">
                  <c:v>105.0</c:v>
                </c:pt>
                <c:pt idx="210">
                  <c:v>105.5</c:v>
                </c:pt>
                <c:pt idx="211">
                  <c:v>106.0</c:v>
                </c:pt>
                <c:pt idx="212">
                  <c:v>106.5</c:v>
                </c:pt>
                <c:pt idx="213">
                  <c:v>107.0</c:v>
                </c:pt>
                <c:pt idx="214">
                  <c:v>107.5</c:v>
                </c:pt>
                <c:pt idx="215">
                  <c:v>108.0</c:v>
                </c:pt>
                <c:pt idx="216">
                  <c:v>108.5</c:v>
                </c:pt>
                <c:pt idx="217">
                  <c:v>109.0</c:v>
                </c:pt>
                <c:pt idx="218">
                  <c:v>109.5</c:v>
                </c:pt>
                <c:pt idx="219">
                  <c:v>110.0</c:v>
                </c:pt>
                <c:pt idx="220">
                  <c:v>110.5</c:v>
                </c:pt>
                <c:pt idx="221">
                  <c:v>111.0</c:v>
                </c:pt>
                <c:pt idx="222">
                  <c:v>111.5</c:v>
                </c:pt>
                <c:pt idx="223">
                  <c:v>112.0</c:v>
                </c:pt>
                <c:pt idx="224">
                  <c:v>112.5</c:v>
                </c:pt>
                <c:pt idx="225">
                  <c:v>113.0</c:v>
                </c:pt>
                <c:pt idx="226">
                  <c:v>113.5</c:v>
                </c:pt>
                <c:pt idx="227">
                  <c:v>114.0</c:v>
                </c:pt>
                <c:pt idx="228">
                  <c:v>114.5</c:v>
                </c:pt>
                <c:pt idx="229">
                  <c:v>115.0</c:v>
                </c:pt>
                <c:pt idx="230">
                  <c:v>115.5</c:v>
                </c:pt>
                <c:pt idx="231">
                  <c:v>116.0</c:v>
                </c:pt>
                <c:pt idx="232">
                  <c:v>116.5</c:v>
                </c:pt>
                <c:pt idx="233">
                  <c:v>117.0</c:v>
                </c:pt>
                <c:pt idx="234">
                  <c:v>117.5</c:v>
                </c:pt>
                <c:pt idx="235">
                  <c:v>118.0</c:v>
                </c:pt>
                <c:pt idx="236">
                  <c:v>118.5</c:v>
                </c:pt>
                <c:pt idx="237">
                  <c:v>119.0</c:v>
                </c:pt>
                <c:pt idx="238">
                  <c:v>119.5</c:v>
                </c:pt>
                <c:pt idx="239">
                  <c:v>120.0</c:v>
                </c:pt>
                <c:pt idx="240">
                  <c:v>120.5</c:v>
                </c:pt>
                <c:pt idx="241">
                  <c:v>121.0</c:v>
                </c:pt>
                <c:pt idx="242">
                  <c:v>121.5</c:v>
                </c:pt>
                <c:pt idx="243">
                  <c:v>122.0</c:v>
                </c:pt>
                <c:pt idx="244">
                  <c:v>122.5</c:v>
                </c:pt>
                <c:pt idx="245">
                  <c:v>123.0</c:v>
                </c:pt>
                <c:pt idx="246">
                  <c:v>123.5</c:v>
                </c:pt>
                <c:pt idx="247">
                  <c:v>124.0</c:v>
                </c:pt>
                <c:pt idx="248">
                  <c:v>124.5</c:v>
                </c:pt>
                <c:pt idx="249">
                  <c:v>125.0</c:v>
                </c:pt>
                <c:pt idx="250">
                  <c:v>125.5</c:v>
                </c:pt>
                <c:pt idx="251">
                  <c:v>126.0</c:v>
                </c:pt>
                <c:pt idx="252">
                  <c:v>126.5</c:v>
                </c:pt>
                <c:pt idx="253">
                  <c:v>127.0</c:v>
                </c:pt>
                <c:pt idx="254">
                  <c:v>127.5</c:v>
                </c:pt>
                <c:pt idx="255">
                  <c:v>128.0</c:v>
                </c:pt>
                <c:pt idx="256">
                  <c:v>128.5</c:v>
                </c:pt>
                <c:pt idx="257">
                  <c:v>129.0</c:v>
                </c:pt>
                <c:pt idx="258">
                  <c:v>129.5</c:v>
                </c:pt>
                <c:pt idx="259">
                  <c:v>130.0</c:v>
                </c:pt>
                <c:pt idx="260">
                  <c:v>130.5</c:v>
                </c:pt>
                <c:pt idx="261">
                  <c:v>131.0</c:v>
                </c:pt>
                <c:pt idx="262">
                  <c:v>131.5</c:v>
                </c:pt>
                <c:pt idx="263">
                  <c:v>132.0</c:v>
                </c:pt>
                <c:pt idx="264">
                  <c:v>132.5</c:v>
                </c:pt>
                <c:pt idx="265">
                  <c:v>133.0</c:v>
                </c:pt>
                <c:pt idx="266">
                  <c:v>133.5</c:v>
                </c:pt>
                <c:pt idx="267">
                  <c:v>134.0</c:v>
                </c:pt>
                <c:pt idx="268">
                  <c:v>134.5</c:v>
                </c:pt>
                <c:pt idx="269">
                  <c:v>135.0</c:v>
                </c:pt>
                <c:pt idx="270">
                  <c:v>135.5</c:v>
                </c:pt>
                <c:pt idx="271">
                  <c:v>136.0</c:v>
                </c:pt>
                <c:pt idx="272">
                  <c:v>136.5</c:v>
                </c:pt>
                <c:pt idx="273">
                  <c:v>137.0</c:v>
                </c:pt>
                <c:pt idx="274">
                  <c:v>137.5</c:v>
                </c:pt>
                <c:pt idx="275">
                  <c:v>138.0</c:v>
                </c:pt>
                <c:pt idx="276">
                  <c:v>138.5</c:v>
                </c:pt>
                <c:pt idx="277">
                  <c:v>139.0</c:v>
                </c:pt>
                <c:pt idx="278">
                  <c:v>139.5</c:v>
                </c:pt>
                <c:pt idx="279">
                  <c:v>140.0</c:v>
                </c:pt>
                <c:pt idx="280">
                  <c:v>140.5</c:v>
                </c:pt>
                <c:pt idx="281">
                  <c:v>141.0</c:v>
                </c:pt>
                <c:pt idx="282">
                  <c:v>141.5</c:v>
                </c:pt>
                <c:pt idx="283">
                  <c:v>142.0</c:v>
                </c:pt>
                <c:pt idx="284">
                  <c:v>142.5</c:v>
                </c:pt>
                <c:pt idx="285">
                  <c:v>143.0</c:v>
                </c:pt>
                <c:pt idx="286">
                  <c:v>143.5</c:v>
                </c:pt>
                <c:pt idx="287">
                  <c:v>144.0</c:v>
                </c:pt>
                <c:pt idx="288">
                  <c:v>144.5</c:v>
                </c:pt>
                <c:pt idx="289">
                  <c:v>145.0</c:v>
                </c:pt>
                <c:pt idx="290">
                  <c:v>145.5</c:v>
                </c:pt>
                <c:pt idx="291">
                  <c:v>146.0</c:v>
                </c:pt>
                <c:pt idx="292">
                  <c:v>146.5</c:v>
                </c:pt>
                <c:pt idx="293">
                  <c:v>147.0</c:v>
                </c:pt>
                <c:pt idx="294">
                  <c:v>147.5</c:v>
                </c:pt>
                <c:pt idx="295">
                  <c:v>148.0</c:v>
                </c:pt>
                <c:pt idx="296">
                  <c:v>148.5</c:v>
                </c:pt>
                <c:pt idx="297">
                  <c:v>149.0</c:v>
                </c:pt>
                <c:pt idx="298">
                  <c:v>149.5</c:v>
                </c:pt>
                <c:pt idx="299">
                  <c:v>150.0</c:v>
                </c:pt>
                <c:pt idx="300">
                  <c:v>150.5</c:v>
                </c:pt>
                <c:pt idx="301">
                  <c:v>151.0</c:v>
                </c:pt>
                <c:pt idx="302">
                  <c:v>151.5</c:v>
                </c:pt>
                <c:pt idx="303">
                  <c:v>152.0</c:v>
                </c:pt>
                <c:pt idx="304">
                  <c:v>152.5</c:v>
                </c:pt>
                <c:pt idx="305">
                  <c:v>153.0</c:v>
                </c:pt>
                <c:pt idx="306">
                  <c:v>153.5</c:v>
                </c:pt>
                <c:pt idx="307">
                  <c:v>154.0</c:v>
                </c:pt>
                <c:pt idx="308">
                  <c:v>154.5</c:v>
                </c:pt>
                <c:pt idx="309">
                  <c:v>155.0</c:v>
                </c:pt>
                <c:pt idx="310">
                  <c:v>155.5</c:v>
                </c:pt>
                <c:pt idx="311">
                  <c:v>156.0</c:v>
                </c:pt>
                <c:pt idx="312">
                  <c:v>156.5</c:v>
                </c:pt>
                <c:pt idx="313">
                  <c:v>157.0</c:v>
                </c:pt>
                <c:pt idx="314">
                  <c:v>157.5</c:v>
                </c:pt>
                <c:pt idx="315">
                  <c:v>158.0</c:v>
                </c:pt>
                <c:pt idx="316">
                  <c:v>158.5</c:v>
                </c:pt>
                <c:pt idx="317">
                  <c:v>159.0</c:v>
                </c:pt>
                <c:pt idx="318">
                  <c:v>159.5</c:v>
                </c:pt>
                <c:pt idx="319">
                  <c:v>160.0</c:v>
                </c:pt>
                <c:pt idx="320">
                  <c:v>160.5</c:v>
                </c:pt>
                <c:pt idx="321">
                  <c:v>161.0</c:v>
                </c:pt>
                <c:pt idx="322">
                  <c:v>161.5</c:v>
                </c:pt>
                <c:pt idx="323">
                  <c:v>162.0</c:v>
                </c:pt>
                <c:pt idx="324">
                  <c:v>162.5</c:v>
                </c:pt>
                <c:pt idx="325">
                  <c:v>163.0</c:v>
                </c:pt>
                <c:pt idx="326">
                  <c:v>163.5</c:v>
                </c:pt>
                <c:pt idx="327">
                  <c:v>164.0</c:v>
                </c:pt>
                <c:pt idx="328">
                  <c:v>164.5</c:v>
                </c:pt>
                <c:pt idx="329">
                  <c:v>165.0</c:v>
                </c:pt>
                <c:pt idx="330">
                  <c:v>165.5</c:v>
                </c:pt>
                <c:pt idx="331">
                  <c:v>166.0</c:v>
                </c:pt>
                <c:pt idx="332">
                  <c:v>166.5</c:v>
                </c:pt>
                <c:pt idx="333">
                  <c:v>167.0</c:v>
                </c:pt>
                <c:pt idx="334">
                  <c:v>167.5</c:v>
                </c:pt>
                <c:pt idx="335">
                  <c:v>168.0</c:v>
                </c:pt>
                <c:pt idx="336">
                  <c:v>168.5</c:v>
                </c:pt>
                <c:pt idx="337">
                  <c:v>169.0</c:v>
                </c:pt>
                <c:pt idx="338">
                  <c:v>169.5</c:v>
                </c:pt>
                <c:pt idx="339">
                  <c:v>170.0</c:v>
                </c:pt>
                <c:pt idx="340">
                  <c:v>170.5</c:v>
                </c:pt>
                <c:pt idx="341">
                  <c:v>171.0</c:v>
                </c:pt>
                <c:pt idx="342">
                  <c:v>171.5</c:v>
                </c:pt>
                <c:pt idx="343">
                  <c:v>172.0</c:v>
                </c:pt>
                <c:pt idx="344">
                  <c:v>172.5</c:v>
                </c:pt>
                <c:pt idx="345">
                  <c:v>173.0</c:v>
                </c:pt>
                <c:pt idx="346">
                  <c:v>173.5</c:v>
                </c:pt>
                <c:pt idx="347">
                  <c:v>174.0</c:v>
                </c:pt>
                <c:pt idx="348">
                  <c:v>174.5</c:v>
                </c:pt>
                <c:pt idx="349">
                  <c:v>175.0</c:v>
                </c:pt>
                <c:pt idx="350">
                  <c:v>175.5</c:v>
                </c:pt>
                <c:pt idx="351">
                  <c:v>176.0</c:v>
                </c:pt>
                <c:pt idx="352">
                  <c:v>176.5</c:v>
                </c:pt>
                <c:pt idx="353">
                  <c:v>177.0</c:v>
                </c:pt>
                <c:pt idx="354">
                  <c:v>177.5</c:v>
                </c:pt>
                <c:pt idx="355">
                  <c:v>178.0</c:v>
                </c:pt>
                <c:pt idx="356">
                  <c:v>178.5</c:v>
                </c:pt>
                <c:pt idx="357">
                  <c:v>179.0</c:v>
                </c:pt>
                <c:pt idx="358">
                  <c:v>179.5</c:v>
                </c:pt>
                <c:pt idx="359">
                  <c:v>180.0</c:v>
                </c:pt>
                <c:pt idx="360">
                  <c:v>180.5</c:v>
                </c:pt>
                <c:pt idx="361">
                  <c:v>181.0</c:v>
                </c:pt>
                <c:pt idx="362">
                  <c:v>181.5</c:v>
                </c:pt>
                <c:pt idx="363">
                  <c:v>182.0</c:v>
                </c:pt>
                <c:pt idx="364">
                  <c:v>182.5</c:v>
                </c:pt>
                <c:pt idx="365">
                  <c:v>183.0</c:v>
                </c:pt>
                <c:pt idx="366">
                  <c:v>183.5</c:v>
                </c:pt>
                <c:pt idx="367">
                  <c:v>184.0</c:v>
                </c:pt>
                <c:pt idx="368">
                  <c:v>184.5</c:v>
                </c:pt>
                <c:pt idx="369">
                  <c:v>185.0</c:v>
                </c:pt>
                <c:pt idx="370">
                  <c:v>185.5</c:v>
                </c:pt>
                <c:pt idx="371">
                  <c:v>186.0</c:v>
                </c:pt>
                <c:pt idx="372">
                  <c:v>186.5</c:v>
                </c:pt>
                <c:pt idx="373">
                  <c:v>187.0</c:v>
                </c:pt>
                <c:pt idx="374">
                  <c:v>187.5</c:v>
                </c:pt>
                <c:pt idx="375">
                  <c:v>188.0</c:v>
                </c:pt>
                <c:pt idx="376">
                  <c:v>188.5</c:v>
                </c:pt>
                <c:pt idx="377">
                  <c:v>189.0</c:v>
                </c:pt>
                <c:pt idx="378">
                  <c:v>189.5</c:v>
                </c:pt>
                <c:pt idx="379">
                  <c:v>190.0</c:v>
                </c:pt>
                <c:pt idx="380">
                  <c:v>190.5</c:v>
                </c:pt>
                <c:pt idx="381">
                  <c:v>191.0</c:v>
                </c:pt>
                <c:pt idx="382">
                  <c:v>191.5</c:v>
                </c:pt>
                <c:pt idx="383">
                  <c:v>192.0</c:v>
                </c:pt>
                <c:pt idx="384">
                  <c:v>192.5</c:v>
                </c:pt>
                <c:pt idx="385">
                  <c:v>193.0</c:v>
                </c:pt>
                <c:pt idx="386">
                  <c:v>193.5</c:v>
                </c:pt>
                <c:pt idx="387">
                  <c:v>194.0</c:v>
                </c:pt>
                <c:pt idx="388">
                  <c:v>194.5</c:v>
                </c:pt>
                <c:pt idx="389">
                  <c:v>195.0</c:v>
                </c:pt>
                <c:pt idx="390">
                  <c:v>195.5</c:v>
                </c:pt>
                <c:pt idx="391">
                  <c:v>196.0</c:v>
                </c:pt>
                <c:pt idx="392">
                  <c:v>196.5</c:v>
                </c:pt>
                <c:pt idx="393">
                  <c:v>197.0</c:v>
                </c:pt>
                <c:pt idx="394">
                  <c:v>197.5</c:v>
                </c:pt>
                <c:pt idx="395">
                  <c:v>198.0</c:v>
                </c:pt>
                <c:pt idx="396">
                  <c:v>198.5</c:v>
                </c:pt>
                <c:pt idx="397">
                  <c:v>199.0</c:v>
                </c:pt>
                <c:pt idx="398">
                  <c:v>199.5</c:v>
                </c:pt>
                <c:pt idx="399">
                  <c:v>200.0</c:v>
                </c:pt>
                <c:pt idx="400">
                  <c:v>200.5</c:v>
                </c:pt>
                <c:pt idx="401">
                  <c:v>201.0</c:v>
                </c:pt>
                <c:pt idx="402">
                  <c:v>201.5</c:v>
                </c:pt>
                <c:pt idx="403">
                  <c:v>202.0</c:v>
                </c:pt>
                <c:pt idx="404">
                  <c:v>202.5</c:v>
                </c:pt>
                <c:pt idx="405">
                  <c:v>203.0</c:v>
                </c:pt>
                <c:pt idx="406">
                  <c:v>203.5</c:v>
                </c:pt>
                <c:pt idx="407">
                  <c:v>204.0</c:v>
                </c:pt>
                <c:pt idx="408">
                  <c:v>204.5</c:v>
                </c:pt>
                <c:pt idx="409">
                  <c:v>205.0</c:v>
                </c:pt>
                <c:pt idx="410">
                  <c:v>205.5</c:v>
                </c:pt>
                <c:pt idx="411">
                  <c:v>206.0</c:v>
                </c:pt>
                <c:pt idx="412">
                  <c:v>206.5</c:v>
                </c:pt>
                <c:pt idx="413">
                  <c:v>207.0</c:v>
                </c:pt>
                <c:pt idx="414">
                  <c:v>207.5</c:v>
                </c:pt>
                <c:pt idx="415">
                  <c:v>208.0</c:v>
                </c:pt>
                <c:pt idx="416">
                  <c:v>208.5</c:v>
                </c:pt>
                <c:pt idx="417">
                  <c:v>209.0</c:v>
                </c:pt>
                <c:pt idx="418">
                  <c:v>209.5</c:v>
                </c:pt>
                <c:pt idx="419">
                  <c:v>210.0</c:v>
                </c:pt>
                <c:pt idx="420">
                  <c:v>210.5</c:v>
                </c:pt>
                <c:pt idx="421">
                  <c:v>211.0</c:v>
                </c:pt>
                <c:pt idx="422">
                  <c:v>211.5</c:v>
                </c:pt>
                <c:pt idx="423">
                  <c:v>212.0</c:v>
                </c:pt>
                <c:pt idx="424">
                  <c:v>212.5</c:v>
                </c:pt>
                <c:pt idx="425">
                  <c:v>213.0</c:v>
                </c:pt>
                <c:pt idx="426">
                  <c:v>213.5</c:v>
                </c:pt>
                <c:pt idx="427">
                  <c:v>214.0</c:v>
                </c:pt>
                <c:pt idx="428">
                  <c:v>214.5</c:v>
                </c:pt>
                <c:pt idx="429">
                  <c:v>215.0</c:v>
                </c:pt>
                <c:pt idx="430">
                  <c:v>215.5</c:v>
                </c:pt>
                <c:pt idx="431">
                  <c:v>216.0</c:v>
                </c:pt>
                <c:pt idx="432">
                  <c:v>216.5</c:v>
                </c:pt>
                <c:pt idx="433">
                  <c:v>217.0</c:v>
                </c:pt>
                <c:pt idx="434">
                  <c:v>217.5</c:v>
                </c:pt>
                <c:pt idx="435">
                  <c:v>218.0</c:v>
                </c:pt>
                <c:pt idx="436">
                  <c:v>218.5</c:v>
                </c:pt>
                <c:pt idx="437">
                  <c:v>219.0</c:v>
                </c:pt>
                <c:pt idx="438">
                  <c:v>219.5</c:v>
                </c:pt>
                <c:pt idx="439">
                  <c:v>220.0</c:v>
                </c:pt>
                <c:pt idx="440">
                  <c:v>220.5</c:v>
                </c:pt>
                <c:pt idx="441">
                  <c:v>221.0</c:v>
                </c:pt>
                <c:pt idx="442">
                  <c:v>221.5</c:v>
                </c:pt>
                <c:pt idx="443">
                  <c:v>222.0</c:v>
                </c:pt>
                <c:pt idx="444">
                  <c:v>222.5</c:v>
                </c:pt>
                <c:pt idx="445">
                  <c:v>223.0</c:v>
                </c:pt>
                <c:pt idx="446">
                  <c:v>223.5</c:v>
                </c:pt>
                <c:pt idx="447">
                  <c:v>224.0</c:v>
                </c:pt>
                <c:pt idx="448">
                  <c:v>224.5</c:v>
                </c:pt>
                <c:pt idx="449">
                  <c:v>225.0</c:v>
                </c:pt>
                <c:pt idx="450">
                  <c:v>225.5</c:v>
                </c:pt>
                <c:pt idx="451">
                  <c:v>226.0</c:v>
                </c:pt>
                <c:pt idx="452">
                  <c:v>226.5</c:v>
                </c:pt>
                <c:pt idx="453">
                  <c:v>227.0</c:v>
                </c:pt>
                <c:pt idx="454">
                  <c:v>227.5</c:v>
                </c:pt>
                <c:pt idx="455">
                  <c:v>228.0</c:v>
                </c:pt>
                <c:pt idx="456">
                  <c:v>228.5</c:v>
                </c:pt>
                <c:pt idx="457">
                  <c:v>229.0</c:v>
                </c:pt>
                <c:pt idx="458">
                  <c:v>229.5</c:v>
                </c:pt>
                <c:pt idx="459">
                  <c:v>230.0</c:v>
                </c:pt>
                <c:pt idx="460">
                  <c:v>230.5</c:v>
                </c:pt>
                <c:pt idx="461">
                  <c:v>231.0</c:v>
                </c:pt>
                <c:pt idx="462">
                  <c:v>231.5</c:v>
                </c:pt>
                <c:pt idx="463">
                  <c:v>232.0</c:v>
                </c:pt>
                <c:pt idx="464">
                  <c:v>232.5</c:v>
                </c:pt>
                <c:pt idx="465">
                  <c:v>233.0</c:v>
                </c:pt>
                <c:pt idx="466">
                  <c:v>233.5</c:v>
                </c:pt>
                <c:pt idx="467">
                  <c:v>234.0</c:v>
                </c:pt>
                <c:pt idx="468">
                  <c:v>234.5</c:v>
                </c:pt>
                <c:pt idx="469">
                  <c:v>235.0</c:v>
                </c:pt>
                <c:pt idx="470">
                  <c:v>235.5</c:v>
                </c:pt>
                <c:pt idx="471">
                  <c:v>236.0</c:v>
                </c:pt>
                <c:pt idx="472">
                  <c:v>236.5</c:v>
                </c:pt>
                <c:pt idx="473">
                  <c:v>237.0</c:v>
                </c:pt>
                <c:pt idx="474">
                  <c:v>237.5</c:v>
                </c:pt>
                <c:pt idx="475">
                  <c:v>238.0</c:v>
                </c:pt>
                <c:pt idx="476">
                  <c:v>238.5</c:v>
                </c:pt>
                <c:pt idx="477">
                  <c:v>239.0</c:v>
                </c:pt>
                <c:pt idx="478">
                  <c:v>239.5</c:v>
                </c:pt>
                <c:pt idx="479">
                  <c:v>240.0</c:v>
                </c:pt>
                <c:pt idx="480">
                  <c:v>240.5</c:v>
                </c:pt>
                <c:pt idx="481">
                  <c:v>241.0</c:v>
                </c:pt>
                <c:pt idx="482">
                  <c:v>241.5</c:v>
                </c:pt>
                <c:pt idx="483">
                  <c:v>242.0</c:v>
                </c:pt>
                <c:pt idx="484">
                  <c:v>242.5</c:v>
                </c:pt>
                <c:pt idx="485">
                  <c:v>243.0</c:v>
                </c:pt>
                <c:pt idx="486">
                  <c:v>243.5</c:v>
                </c:pt>
                <c:pt idx="487">
                  <c:v>244.0</c:v>
                </c:pt>
                <c:pt idx="488">
                  <c:v>244.5</c:v>
                </c:pt>
                <c:pt idx="489">
                  <c:v>245.0</c:v>
                </c:pt>
                <c:pt idx="490">
                  <c:v>245.5</c:v>
                </c:pt>
                <c:pt idx="491">
                  <c:v>246.0</c:v>
                </c:pt>
                <c:pt idx="492">
                  <c:v>246.5</c:v>
                </c:pt>
                <c:pt idx="493">
                  <c:v>247.0</c:v>
                </c:pt>
                <c:pt idx="494">
                  <c:v>247.5</c:v>
                </c:pt>
                <c:pt idx="495">
                  <c:v>248.0</c:v>
                </c:pt>
                <c:pt idx="496">
                  <c:v>248.5</c:v>
                </c:pt>
                <c:pt idx="497">
                  <c:v>249.0</c:v>
                </c:pt>
                <c:pt idx="498">
                  <c:v>249.5</c:v>
                </c:pt>
                <c:pt idx="499">
                  <c:v>250.0</c:v>
                </c:pt>
                <c:pt idx="500">
                  <c:v>250.5</c:v>
                </c:pt>
                <c:pt idx="501">
                  <c:v>251.0</c:v>
                </c:pt>
                <c:pt idx="502">
                  <c:v>251.5</c:v>
                </c:pt>
                <c:pt idx="503">
                  <c:v>252.0</c:v>
                </c:pt>
                <c:pt idx="504">
                  <c:v>252.5</c:v>
                </c:pt>
                <c:pt idx="505">
                  <c:v>253.0</c:v>
                </c:pt>
                <c:pt idx="506">
                  <c:v>253.5</c:v>
                </c:pt>
                <c:pt idx="507">
                  <c:v>254.0</c:v>
                </c:pt>
                <c:pt idx="508">
                  <c:v>254.5</c:v>
                </c:pt>
                <c:pt idx="509">
                  <c:v>255.0</c:v>
                </c:pt>
                <c:pt idx="510">
                  <c:v>255.5</c:v>
                </c:pt>
                <c:pt idx="511">
                  <c:v>256.0</c:v>
                </c:pt>
                <c:pt idx="512">
                  <c:v>256.5</c:v>
                </c:pt>
                <c:pt idx="513">
                  <c:v>257.0</c:v>
                </c:pt>
                <c:pt idx="514">
                  <c:v>257.5</c:v>
                </c:pt>
                <c:pt idx="515">
                  <c:v>258.0</c:v>
                </c:pt>
                <c:pt idx="516">
                  <c:v>258.5</c:v>
                </c:pt>
                <c:pt idx="517">
                  <c:v>259.0</c:v>
                </c:pt>
                <c:pt idx="518">
                  <c:v>259.5</c:v>
                </c:pt>
                <c:pt idx="519">
                  <c:v>260.0</c:v>
                </c:pt>
                <c:pt idx="520">
                  <c:v>260.5</c:v>
                </c:pt>
                <c:pt idx="521">
                  <c:v>261.0</c:v>
                </c:pt>
                <c:pt idx="522">
                  <c:v>261.5</c:v>
                </c:pt>
                <c:pt idx="523">
                  <c:v>262.0</c:v>
                </c:pt>
                <c:pt idx="524">
                  <c:v>262.5</c:v>
                </c:pt>
                <c:pt idx="525">
                  <c:v>263.0</c:v>
                </c:pt>
                <c:pt idx="526">
                  <c:v>263.5</c:v>
                </c:pt>
                <c:pt idx="527">
                  <c:v>264.0</c:v>
                </c:pt>
                <c:pt idx="528">
                  <c:v>264.5</c:v>
                </c:pt>
                <c:pt idx="529">
                  <c:v>265.0</c:v>
                </c:pt>
                <c:pt idx="530">
                  <c:v>265.5</c:v>
                </c:pt>
                <c:pt idx="531">
                  <c:v>266.0</c:v>
                </c:pt>
                <c:pt idx="532">
                  <c:v>266.5</c:v>
                </c:pt>
                <c:pt idx="533">
                  <c:v>267.0</c:v>
                </c:pt>
                <c:pt idx="534">
                  <c:v>267.5</c:v>
                </c:pt>
                <c:pt idx="535">
                  <c:v>268.0</c:v>
                </c:pt>
                <c:pt idx="536">
                  <c:v>268.5</c:v>
                </c:pt>
                <c:pt idx="537">
                  <c:v>269.0</c:v>
                </c:pt>
                <c:pt idx="538">
                  <c:v>269.5</c:v>
                </c:pt>
                <c:pt idx="539">
                  <c:v>270.0</c:v>
                </c:pt>
                <c:pt idx="540">
                  <c:v>270.5</c:v>
                </c:pt>
                <c:pt idx="541">
                  <c:v>271.0</c:v>
                </c:pt>
                <c:pt idx="542">
                  <c:v>271.5</c:v>
                </c:pt>
                <c:pt idx="543">
                  <c:v>272.0</c:v>
                </c:pt>
                <c:pt idx="544">
                  <c:v>272.5</c:v>
                </c:pt>
                <c:pt idx="545">
                  <c:v>273.0</c:v>
                </c:pt>
                <c:pt idx="546">
                  <c:v>273.5</c:v>
                </c:pt>
                <c:pt idx="547">
                  <c:v>274.0</c:v>
                </c:pt>
                <c:pt idx="548">
                  <c:v>274.5</c:v>
                </c:pt>
                <c:pt idx="549">
                  <c:v>275.0</c:v>
                </c:pt>
                <c:pt idx="550">
                  <c:v>275.5</c:v>
                </c:pt>
                <c:pt idx="551">
                  <c:v>276.0</c:v>
                </c:pt>
                <c:pt idx="552">
                  <c:v>276.5</c:v>
                </c:pt>
                <c:pt idx="553">
                  <c:v>277.0</c:v>
                </c:pt>
                <c:pt idx="554">
                  <c:v>277.5</c:v>
                </c:pt>
                <c:pt idx="555">
                  <c:v>278.0</c:v>
                </c:pt>
                <c:pt idx="556">
                  <c:v>278.5</c:v>
                </c:pt>
                <c:pt idx="557">
                  <c:v>279.0</c:v>
                </c:pt>
                <c:pt idx="558">
                  <c:v>279.5</c:v>
                </c:pt>
                <c:pt idx="559">
                  <c:v>280.0</c:v>
                </c:pt>
                <c:pt idx="560">
                  <c:v>280.5</c:v>
                </c:pt>
                <c:pt idx="561">
                  <c:v>281.0</c:v>
                </c:pt>
                <c:pt idx="562">
                  <c:v>281.5</c:v>
                </c:pt>
                <c:pt idx="563">
                  <c:v>282.0</c:v>
                </c:pt>
                <c:pt idx="564">
                  <c:v>282.5</c:v>
                </c:pt>
                <c:pt idx="565">
                  <c:v>283.0</c:v>
                </c:pt>
                <c:pt idx="566">
                  <c:v>283.5</c:v>
                </c:pt>
                <c:pt idx="567">
                  <c:v>284.0</c:v>
                </c:pt>
                <c:pt idx="568">
                  <c:v>284.5</c:v>
                </c:pt>
                <c:pt idx="569">
                  <c:v>285.0</c:v>
                </c:pt>
                <c:pt idx="570">
                  <c:v>285.5</c:v>
                </c:pt>
                <c:pt idx="571">
                  <c:v>286.0</c:v>
                </c:pt>
                <c:pt idx="572">
                  <c:v>286.5</c:v>
                </c:pt>
                <c:pt idx="573">
                  <c:v>287.0</c:v>
                </c:pt>
                <c:pt idx="574">
                  <c:v>287.5</c:v>
                </c:pt>
                <c:pt idx="575">
                  <c:v>288.0</c:v>
                </c:pt>
                <c:pt idx="576">
                  <c:v>288.5</c:v>
                </c:pt>
                <c:pt idx="577">
                  <c:v>289.0</c:v>
                </c:pt>
                <c:pt idx="578">
                  <c:v>289.5</c:v>
                </c:pt>
                <c:pt idx="579">
                  <c:v>290.0</c:v>
                </c:pt>
                <c:pt idx="580">
                  <c:v>290.5</c:v>
                </c:pt>
                <c:pt idx="581">
                  <c:v>291.0</c:v>
                </c:pt>
                <c:pt idx="582">
                  <c:v>291.5</c:v>
                </c:pt>
                <c:pt idx="583">
                  <c:v>292.0</c:v>
                </c:pt>
                <c:pt idx="584">
                  <c:v>292.5</c:v>
                </c:pt>
                <c:pt idx="585">
                  <c:v>293.0</c:v>
                </c:pt>
                <c:pt idx="586">
                  <c:v>293.5</c:v>
                </c:pt>
                <c:pt idx="587">
                  <c:v>294.0</c:v>
                </c:pt>
                <c:pt idx="588">
                  <c:v>294.5</c:v>
                </c:pt>
                <c:pt idx="589">
                  <c:v>295.0</c:v>
                </c:pt>
                <c:pt idx="590">
                  <c:v>295.5</c:v>
                </c:pt>
                <c:pt idx="591">
                  <c:v>296.0</c:v>
                </c:pt>
                <c:pt idx="592">
                  <c:v>296.5</c:v>
                </c:pt>
                <c:pt idx="593">
                  <c:v>297.0</c:v>
                </c:pt>
                <c:pt idx="594">
                  <c:v>297.5</c:v>
                </c:pt>
                <c:pt idx="595">
                  <c:v>298.0</c:v>
                </c:pt>
                <c:pt idx="596">
                  <c:v>298.5</c:v>
                </c:pt>
                <c:pt idx="597">
                  <c:v>299.0</c:v>
                </c:pt>
                <c:pt idx="598">
                  <c:v>299.5</c:v>
                </c:pt>
                <c:pt idx="599">
                  <c:v>300.0</c:v>
                </c:pt>
                <c:pt idx="600">
                  <c:v>300.5</c:v>
                </c:pt>
                <c:pt idx="601">
                  <c:v>301.0</c:v>
                </c:pt>
                <c:pt idx="602">
                  <c:v>301.5</c:v>
                </c:pt>
                <c:pt idx="603">
                  <c:v>302.0</c:v>
                </c:pt>
                <c:pt idx="604">
                  <c:v>302.5</c:v>
                </c:pt>
                <c:pt idx="605">
                  <c:v>303.0</c:v>
                </c:pt>
                <c:pt idx="606">
                  <c:v>303.5</c:v>
                </c:pt>
                <c:pt idx="607">
                  <c:v>304.0</c:v>
                </c:pt>
                <c:pt idx="608">
                  <c:v>304.5</c:v>
                </c:pt>
                <c:pt idx="609">
                  <c:v>305.0</c:v>
                </c:pt>
                <c:pt idx="610">
                  <c:v>305.5</c:v>
                </c:pt>
                <c:pt idx="611">
                  <c:v>306.0</c:v>
                </c:pt>
                <c:pt idx="612">
                  <c:v>306.5</c:v>
                </c:pt>
                <c:pt idx="613">
                  <c:v>307.0</c:v>
                </c:pt>
                <c:pt idx="614">
                  <c:v>307.5</c:v>
                </c:pt>
                <c:pt idx="615">
                  <c:v>308.0</c:v>
                </c:pt>
                <c:pt idx="616">
                  <c:v>308.5</c:v>
                </c:pt>
                <c:pt idx="617">
                  <c:v>309.0</c:v>
                </c:pt>
                <c:pt idx="618">
                  <c:v>309.5</c:v>
                </c:pt>
                <c:pt idx="619">
                  <c:v>310.0</c:v>
                </c:pt>
                <c:pt idx="620">
                  <c:v>310.5</c:v>
                </c:pt>
                <c:pt idx="621">
                  <c:v>311.0</c:v>
                </c:pt>
                <c:pt idx="622">
                  <c:v>311.5</c:v>
                </c:pt>
                <c:pt idx="623">
                  <c:v>312.0</c:v>
                </c:pt>
                <c:pt idx="624">
                  <c:v>312.5</c:v>
                </c:pt>
                <c:pt idx="625">
                  <c:v>313.0</c:v>
                </c:pt>
                <c:pt idx="626">
                  <c:v>313.5</c:v>
                </c:pt>
                <c:pt idx="627">
                  <c:v>314.0</c:v>
                </c:pt>
                <c:pt idx="628">
                  <c:v>314.5</c:v>
                </c:pt>
                <c:pt idx="629">
                  <c:v>315.0</c:v>
                </c:pt>
                <c:pt idx="630">
                  <c:v>315.5</c:v>
                </c:pt>
                <c:pt idx="631">
                  <c:v>316.0</c:v>
                </c:pt>
                <c:pt idx="632">
                  <c:v>316.5</c:v>
                </c:pt>
                <c:pt idx="633">
                  <c:v>317.0</c:v>
                </c:pt>
                <c:pt idx="634">
                  <c:v>317.5</c:v>
                </c:pt>
                <c:pt idx="635">
                  <c:v>318.0</c:v>
                </c:pt>
                <c:pt idx="636">
                  <c:v>318.5</c:v>
                </c:pt>
                <c:pt idx="637">
                  <c:v>319.0</c:v>
                </c:pt>
                <c:pt idx="638">
                  <c:v>319.5</c:v>
                </c:pt>
                <c:pt idx="639">
                  <c:v>320.0</c:v>
                </c:pt>
                <c:pt idx="640">
                  <c:v>320.5</c:v>
                </c:pt>
                <c:pt idx="641">
                  <c:v>321.0</c:v>
                </c:pt>
                <c:pt idx="642">
                  <c:v>321.5</c:v>
                </c:pt>
                <c:pt idx="643">
                  <c:v>322.0</c:v>
                </c:pt>
                <c:pt idx="644">
                  <c:v>322.5</c:v>
                </c:pt>
                <c:pt idx="645">
                  <c:v>323.0</c:v>
                </c:pt>
                <c:pt idx="646">
                  <c:v>323.5</c:v>
                </c:pt>
                <c:pt idx="647">
                  <c:v>324.0</c:v>
                </c:pt>
                <c:pt idx="648">
                  <c:v>324.5</c:v>
                </c:pt>
                <c:pt idx="649">
                  <c:v>325.0</c:v>
                </c:pt>
                <c:pt idx="650">
                  <c:v>325.5</c:v>
                </c:pt>
                <c:pt idx="651">
                  <c:v>326.0</c:v>
                </c:pt>
                <c:pt idx="652">
                  <c:v>326.5</c:v>
                </c:pt>
                <c:pt idx="653">
                  <c:v>327.0</c:v>
                </c:pt>
                <c:pt idx="654">
                  <c:v>327.5</c:v>
                </c:pt>
                <c:pt idx="655">
                  <c:v>328.0</c:v>
                </c:pt>
                <c:pt idx="656">
                  <c:v>328.5</c:v>
                </c:pt>
                <c:pt idx="657">
                  <c:v>329.0</c:v>
                </c:pt>
                <c:pt idx="658">
                  <c:v>329.5</c:v>
                </c:pt>
                <c:pt idx="659">
                  <c:v>330.0</c:v>
                </c:pt>
                <c:pt idx="660">
                  <c:v>330.5</c:v>
                </c:pt>
                <c:pt idx="661">
                  <c:v>331.0</c:v>
                </c:pt>
                <c:pt idx="662">
                  <c:v>331.5</c:v>
                </c:pt>
                <c:pt idx="663">
                  <c:v>332.0</c:v>
                </c:pt>
                <c:pt idx="664">
                  <c:v>332.5</c:v>
                </c:pt>
                <c:pt idx="665">
                  <c:v>333.0</c:v>
                </c:pt>
                <c:pt idx="666">
                  <c:v>333.5</c:v>
                </c:pt>
                <c:pt idx="667">
                  <c:v>334.0</c:v>
                </c:pt>
                <c:pt idx="668">
                  <c:v>334.5</c:v>
                </c:pt>
                <c:pt idx="669">
                  <c:v>335.0</c:v>
                </c:pt>
                <c:pt idx="670">
                  <c:v>335.5</c:v>
                </c:pt>
                <c:pt idx="671">
                  <c:v>336.0</c:v>
                </c:pt>
                <c:pt idx="672">
                  <c:v>336.5</c:v>
                </c:pt>
                <c:pt idx="673">
                  <c:v>337.0</c:v>
                </c:pt>
                <c:pt idx="674">
                  <c:v>337.5</c:v>
                </c:pt>
                <c:pt idx="675">
                  <c:v>338.0</c:v>
                </c:pt>
                <c:pt idx="676">
                  <c:v>338.5</c:v>
                </c:pt>
                <c:pt idx="677">
                  <c:v>339.0</c:v>
                </c:pt>
                <c:pt idx="678">
                  <c:v>339.5</c:v>
                </c:pt>
                <c:pt idx="679">
                  <c:v>340.0</c:v>
                </c:pt>
                <c:pt idx="680">
                  <c:v>340.5</c:v>
                </c:pt>
                <c:pt idx="681">
                  <c:v>341.0</c:v>
                </c:pt>
                <c:pt idx="682">
                  <c:v>341.5</c:v>
                </c:pt>
                <c:pt idx="683">
                  <c:v>342.0</c:v>
                </c:pt>
                <c:pt idx="684">
                  <c:v>342.5</c:v>
                </c:pt>
                <c:pt idx="685">
                  <c:v>343.0</c:v>
                </c:pt>
                <c:pt idx="686">
                  <c:v>343.5</c:v>
                </c:pt>
                <c:pt idx="687">
                  <c:v>344.0</c:v>
                </c:pt>
                <c:pt idx="688">
                  <c:v>344.5</c:v>
                </c:pt>
                <c:pt idx="689">
                  <c:v>345.0</c:v>
                </c:pt>
                <c:pt idx="690">
                  <c:v>345.5</c:v>
                </c:pt>
                <c:pt idx="691">
                  <c:v>346.0</c:v>
                </c:pt>
                <c:pt idx="692">
                  <c:v>346.5</c:v>
                </c:pt>
                <c:pt idx="693">
                  <c:v>347.0</c:v>
                </c:pt>
                <c:pt idx="694">
                  <c:v>347.5</c:v>
                </c:pt>
                <c:pt idx="695">
                  <c:v>348.0</c:v>
                </c:pt>
                <c:pt idx="696">
                  <c:v>348.5</c:v>
                </c:pt>
                <c:pt idx="697">
                  <c:v>349.0</c:v>
                </c:pt>
                <c:pt idx="698">
                  <c:v>349.5</c:v>
                </c:pt>
                <c:pt idx="699">
                  <c:v>350.0</c:v>
                </c:pt>
                <c:pt idx="700">
                  <c:v>350.5</c:v>
                </c:pt>
                <c:pt idx="701">
                  <c:v>351.0</c:v>
                </c:pt>
                <c:pt idx="702">
                  <c:v>351.5</c:v>
                </c:pt>
                <c:pt idx="703">
                  <c:v>352.0</c:v>
                </c:pt>
                <c:pt idx="704">
                  <c:v>352.5</c:v>
                </c:pt>
                <c:pt idx="705">
                  <c:v>353.0</c:v>
                </c:pt>
                <c:pt idx="706">
                  <c:v>353.5</c:v>
                </c:pt>
                <c:pt idx="707">
                  <c:v>354.0</c:v>
                </c:pt>
                <c:pt idx="708">
                  <c:v>354.5</c:v>
                </c:pt>
                <c:pt idx="709">
                  <c:v>355.0</c:v>
                </c:pt>
                <c:pt idx="710">
                  <c:v>355.5</c:v>
                </c:pt>
                <c:pt idx="711">
                  <c:v>356.0</c:v>
                </c:pt>
                <c:pt idx="712">
                  <c:v>356.5</c:v>
                </c:pt>
                <c:pt idx="713">
                  <c:v>357.0</c:v>
                </c:pt>
                <c:pt idx="714">
                  <c:v>357.5</c:v>
                </c:pt>
                <c:pt idx="715">
                  <c:v>358.0</c:v>
                </c:pt>
                <c:pt idx="716">
                  <c:v>358.5</c:v>
                </c:pt>
                <c:pt idx="717">
                  <c:v>359.0</c:v>
                </c:pt>
                <c:pt idx="718">
                  <c:v>359.5</c:v>
                </c:pt>
                <c:pt idx="719">
                  <c:v>360.0</c:v>
                </c:pt>
                <c:pt idx="720">
                  <c:v>360.5</c:v>
                </c:pt>
                <c:pt idx="721">
                  <c:v>361.0</c:v>
                </c:pt>
                <c:pt idx="722">
                  <c:v>361.5</c:v>
                </c:pt>
                <c:pt idx="723">
                  <c:v>362.0</c:v>
                </c:pt>
                <c:pt idx="724">
                  <c:v>362.5</c:v>
                </c:pt>
                <c:pt idx="725">
                  <c:v>363.0</c:v>
                </c:pt>
                <c:pt idx="726">
                  <c:v>363.5</c:v>
                </c:pt>
                <c:pt idx="727">
                  <c:v>364.0</c:v>
                </c:pt>
                <c:pt idx="728">
                  <c:v>364.5</c:v>
                </c:pt>
                <c:pt idx="729">
                  <c:v>365.0</c:v>
                </c:pt>
                <c:pt idx="730">
                  <c:v>365.5</c:v>
                </c:pt>
                <c:pt idx="731">
                  <c:v>366.0</c:v>
                </c:pt>
                <c:pt idx="732">
                  <c:v>366.5</c:v>
                </c:pt>
                <c:pt idx="733">
                  <c:v>367.0</c:v>
                </c:pt>
                <c:pt idx="734">
                  <c:v>367.5</c:v>
                </c:pt>
                <c:pt idx="735">
                  <c:v>368.0</c:v>
                </c:pt>
                <c:pt idx="736">
                  <c:v>368.5</c:v>
                </c:pt>
                <c:pt idx="737">
                  <c:v>369.0</c:v>
                </c:pt>
                <c:pt idx="738">
                  <c:v>369.5</c:v>
                </c:pt>
                <c:pt idx="739">
                  <c:v>370.0</c:v>
                </c:pt>
                <c:pt idx="740">
                  <c:v>370.5</c:v>
                </c:pt>
                <c:pt idx="741">
                  <c:v>371.0</c:v>
                </c:pt>
                <c:pt idx="742">
                  <c:v>371.5</c:v>
                </c:pt>
                <c:pt idx="743">
                  <c:v>372.0</c:v>
                </c:pt>
                <c:pt idx="744">
                  <c:v>372.5</c:v>
                </c:pt>
                <c:pt idx="745">
                  <c:v>373.0</c:v>
                </c:pt>
                <c:pt idx="746">
                  <c:v>373.5</c:v>
                </c:pt>
                <c:pt idx="747">
                  <c:v>374.0</c:v>
                </c:pt>
                <c:pt idx="748">
                  <c:v>374.5</c:v>
                </c:pt>
              </c:numCache>
            </c:numRef>
          </c:cat>
          <c:val>
            <c:numRef>
              <c:f>'Calc for Prestige Patterns'!$H$2:$H$750</c:f>
              <c:numCache>
                <c:formatCode>General</c:formatCode>
                <c:ptCount val="749"/>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54.0</c:v>
                </c:pt>
                <c:pt idx="28">
                  <c:v>54.0</c:v>
                </c:pt>
                <c:pt idx="29">
                  <c:v>54.0</c:v>
                </c:pt>
                <c:pt idx="30">
                  <c:v>54.0</c:v>
                </c:pt>
                <c:pt idx="31">
                  <c:v>54.0</c:v>
                </c:pt>
                <c:pt idx="32">
                  <c:v>54.0</c:v>
                </c:pt>
                <c:pt idx="33">
                  <c:v>54.0</c:v>
                </c:pt>
                <c:pt idx="34">
                  <c:v>54.0</c:v>
                </c:pt>
                <c:pt idx="35">
                  <c:v>54.0</c:v>
                </c:pt>
                <c:pt idx="36">
                  <c:v>54.0</c:v>
                </c:pt>
                <c:pt idx="37">
                  <c:v>54.0</c:v>
                </c:pt>
                <c:pt idx="38">
                  <c:v>54.0</c:v>
                </c:pt>
                <c:pt idx="39">
                  <c:v>54.0</c:v>
                </c:pt>
                <c:pt idx="40">
                  <c:v>54.0</c:v>
                </c:pt>
                <c:pt idx="41">
                  <c:v>54.0</c:v>
                </c:pt>
                <c:pt idx="42">
                  <c:v>54.0</c:v>
                </c:pt>
                <c:pt idx="43">
                  <c:v>54.0</c:v>
                </c:pt>
                <c:pt idx="44">
                  <c:v>54.0</c:v>
                </c:pt>
                <c:pt idx="45">
                  <c:v>54.0</c:v>
                </c:pt>
                <c:pt idx="46">
                  <c:v>54.0</c:v>
                </c:pt>
                <c:pt idx="47">
                  <c:v>54.0</c:v>
                </c:pt>
                <c:pt idx="48">
                  <c:v>54.0</c:v>
                </c:pt>
                <c:pt idx="49">
                  <c:v>54.0</c:v>
                </c:pt>
                <c:pt idx="50">
                  <c:v>54.0</c:v>
                </c:pt>
                <c:pt idx="51">
                  <c:v>54.0</c:v>
                </c:pt>
                <c:pt idx="52">
                  <c:v>54.0</c:v>
                </c:pt>
                <c:pt idx="53">
                  <c:v>54.0</c:v>
                </c:pt>
                <c:pt idx="54">
                  <c:v>140.0</c:v>
                </c:pt>
                <c:pt idx="55">
                  <c:v>140.0</c:v>
                </c:pt>
                <c:pt idx="56">
                  <c:v>140.0</c:v>
                </c:pt>
                <c:pt idx="57">
                  <c:v>140.0</c:v>
                </c:pt>
                <c:pt idx="58">
                  <c:v>140.0</c:v>
                </c:pt>
                <c:pt idx="59">
                  <c:v>140.0</c:v>
                </c:pt>
                <c:pt idx="60">
                  <c:v>140.0</c:v>
                </c:pt>
                <c:pt idx="61">
                  <c:v>140.0</c:v>
                </c:pt>
                <c:pt idx="62">
                  <c:v>140.0</c:v>
                </c:pt>
                <c:pt idx="63">
                  <c:v>140.0</c:v>
                </c:pt>
                <c:pt idx="64">
                  <c:v>140.0</c:v>
                </c:pt>
                <c:pt idx="65">
                  <c:v>140.0</c:v>
                </c:pt>
                <c:pt idx="66">
                  <c:v>140.0</c:v>
                </c:pt>
                <c:pt idx="67">
                  <c:v>140.0</c:v>
                </c:pt>
                <c:pt idx="68">
                  <c:v>140.0</c:v>
                </c:pt>
                <c:pt idx="69">
                  <c:v>140.0</c:v>
                </c:pt>
                <c:pt idx="70">
                  <c:v>140.0</c:v>
                </c:pt>
                <c:pt idx="71">
                  <c:v>140.0</c:v>
                </c:pt>
                <c:pt idx="72">
                  <c:v>140.0</c:v>
                </c:pt>
                <c:pt idx="73">
                  <c:v>140.0</c:v>
                </c:pt>
                <c:pt idx="74">
                  <c:v>140.0</c:v>
                </c:pt>
                <c:pt idx="75">
                  <c:v>140.0</c:v>
                </c:pt>
                <c:pt idx="76">
                  <c:v>140.0</c:v>
                </c:pt>
                <c:pt idx="77">
                  <c:v>140.0</c:v>
                </c:pt>
                <c:pt idx="78">
                  <c:v>140.0</c:v>
                </c:pt>
                <c:pt idx="79">
                  <c:v>140.0</c:v>
                </c:pt>
                <c:pt idx="80">
                  <c:v>140.0</c:v>
                </c:pt>
                <c:pt idx="81">
                  <c:v>140.0</c:v>
                </c:pt>
                <c:pt idx="82">
                  <c:v>140.0</c:v>
                </c:pt>
                <c:pt idx="83">
                  <c:v>140.0</c:v>
                </c:pt>
                <c:pt idx="84">
                  <c:v>140.0</c:v>
                </c:pt>
                <c:pt idx="85">
                  <c:v>140.0</c:v>
                </c:pt>
                <c:pt idx="86">
                  <c:v>140.0</c:v>
                </c:pt>
                <c:pt idx="87">
                  <c:v>140.0</c:v>
                </c:pt>
                <c:pt idx="88">
                  <c:v>140.0</c:v>
                </c:pt>
                <c:pt idx="89">
                  <c:v>140.0</c:v>
                </c:pt>
                <c:pt idx="90">
                  <c:v>140.0</c:v>
                </c:pt>
                <c:pt idx="91">
                  <c:v>140.0</c:v>
                </c:pt>
                <c:pt idx="92">
                  <c:v>140.0</c:v>
                </c:pt>
                <c:pt idx="93">
                  <c:v>140.0</c:v>
                </c:pt>
                <c:pt idx="94">
                  <c:v>140.0</c:v>
                </c:pt>
                <c:pt idx="95">
                  <c:v>140.0</c:v>
                </c:pt>
                <c:pt idx="96">
                  <c:v>140.0</c:v>
                </c:pt>
                <c:pt idx="97">
                  <c:v>140.0</c:v>
                </c:pt>
                <c:pt idx="98">
                  <c:v>140.0</c:v>
                </c:pt>
                <c:pt idx="99">
                  <c:v>140.0</c:v>
                </c:pt>
                <c:pt idx="100">
                  <c:v>140.0</c:v>
                </c:pt>
                <c:pt idx="101">
                  <c:v>140.0</c:v>
                </c:pt>
                <c:pt idx="102">
                  <c:v>140.0</c:v>
                </c:pt>
                <c:pt idx="103">
                  <c:v>140.0</c:v>
                </c:pt>
                <c:pt idx="104">
                  <c:v>140.0</c:v>
                </c:pt>
                <c:pt idx="105">
                  <c:v>352.0</c:v>
                </c:pt>
                <c:pt idx="106">
                  <c:v>352.0</c:v>
                </c:pt>
                <c:pt idx="107">
                  <c:v>352.0</c:v>
                </c:pt>
                <c:pt idx="108">
                  <c:v>352.0</c:v>
                </c:pt>
                <c:pt idx="109">
                  <c:v>352.0</c:v>
                </c:pt>
                <c:pt idx="110">
                  <c:v>352.0</c:v>
                </c:pt>
                <c:pt idx="111">
                  <c:v>352.0</c:v>
                </c:pt>
                <c:pt idx="112">
                  <c:v>352.0</c:v>
                </c:pt>
                <c:pt idx="113">
                  <c:v>352.0</c:v>
                </c:pt>
                <c:pt idx="114">
                  <c:v>352.0</c:v>
                </c:pt>
                <c:pt idx="115">
                  <c:v>352.0</c:v>
                </c:pt>
                <c:pt idx="116">
                  <c:v>352.0</c:v>
                </c:pt>
                <c:pt idx="117">
                  <c:v>352.0</c:v>
                </c:pt>
                <c:pt idx="118">
                  <c:v>352.0</c:v>
                </c:pt>
                <c:pt idx="119">
                  <c:v>352.0</c:v>
                </c:pt>
                <c:pt idx="120">
                  <c:v>352.0</c:v>
                </c:pt>
                <c:pt idx="121">
                  <c:v>352.0</c:v>
                </c:pt>
                <c:pt idx="122">
                  <c:v>352.0</c:v>
                </c:pt>
                <c:pt idx="123">
                  <c:v>352.0</c:v>
                </c:pt>
                <c:pt idx="124">
                  <c:v>352.0</c:v>
                </c:pt>
                <c:pt idx="125">
                  <c:v>352.0</c:v>
                </c:pt>
                <c:pt idx="126">
                  <c:v>352.0</c:v>
                </c:pt>
                <c:pt idx="127">
                  <c:v>352.0</c:v>
                </c:pt>
                <c:pt idx="128">
                  <c:v>352.0</c:v>
                </c:pt>
                <c:pt idx="129">
                  <c:v>352.0</c:v>
                </c:pt>
                <c:pt idx="130">
                  <c:v>352.0</c:v>
                </c:pt>
                <c:pt idx="131">
                  <c:v>352.0</c:v>
                </c:pt>
                <c:pt idx="132">
                  <c:v>352.0</c:v>
                </c:pt>
                <c:pt idx="133">
                  <c:v>352.0</c:v>
                </c:pt>
                <c:pt idx="134">
                  <c:v>352.0</c:v>
                </c:pt>
                <c:pt idx="135">
                  <c:v>352.0</c:v>
                </c:pt>
                <c:pt idx="136">
                  <c:v>352.0</c:v>
                </c:pt>
                <c:pt idx="137">
                  <c:v>352.0</c:v>
                </c:pt>
                <c:pt idx="138">
                  <c:v>352.0</c:v>
                </c:pt>
                <c:pt idx="139">
                  <c:v>352.0</c:v>
                </c:pt>
                <c:pt idx="140">
                  <c:v>352.0</c:v>
                </c:pt>
                <c:pt idx="141">
                  <c:v>352.0</c:v>
                </c:pt>
                <c:pt idx="142">
                  <c:v>352.0</c:v>
                </c:pt>
                <c:pt idx="143">
                  <c:v>352.0</c:v>
                </c:pt>
                <c:pt idx="144">
                  <c:v>352.0</c:v>
                </c:pt>
                <c:pt idx="145">
                  <c:v>352.0</c:v>
                </c:pt>
                <c:pt idx="146">
                  <c:v>352.0</c:v>
                </c:pt>
                <c:pt idx="147">
                  <c:v>352.0</c:v>
                </c:pt>
                <c:pt idx="148">
                  <c:v>352.0</c:v>
                </c:pt>
                <c:pt idx="149">
                  <c:v>352.0</c:v>
                </c:pt>
                <c:pt idx="150">
                  <c:v>352.0</c:v>
                </c:pt>
                <c:pt idx="151">
                  <c:v>352.0</c:v>
                </c:pt>
                <c:pt idx="152">
                  <c:v>352.0</c:v>
                </c:pt>
                <c:pt idx="153">
                  <c:v>352.0</c:v>
                </c:pt>
                <c:pt idx="154">
                  <c:v>352.0</c:v>
                </c:pt>
                <c:pt idx="155">
                  <c:v>352.0</c:v>
                </c:pt>
                <c:pt idx="156">
                  <c:v>352.0</c:v>
                </c:pt>
                <c:pt idx="157">
                  <c:v>352.0</c:v>
                </c:pt>
                <c:pt idx="158">
                  <c:v>352.0</c:v>
                </c:pt>
                <c:pt idx="159">
                  <c:v>352.0</c:v>
                </c:pt>
                <c:pt idx="160">
                  <c:v>352.0</c:v>
                </c:pt>
                <c:pt idx="161">
                  <c:v>352.0</c:v>
                </c:pt>
                <c:pt idx="162">
                  <c:v>352.0</c:v>
                </c:pt>
                <c:pt idx="163">
                  <c:v>352.0</c:v>
                </c:pt>
                <c:pt idx="164">
                  <c:v>352.0</c:v>
                </c:pt>
                <c:pt idx="165">
                  <c:v>352.0</c:v>
                </c:pt>
                <c:pt idx="166">
                  <c:v>352.0</c:v>
                </c:pt>
                <c:pt idx="167">
                  <c:v>352.0</c:v>
                </c:pt>
                <c:pt idx="168">
                  <c:v>352.0</c:v>
                </c:pt>
                <c:pt idx="169">
                  <c:v>352.0</c:v>
                </c:pt>
                <c:pt idx="170">
                  <c:v>885.0</c:v>
                </c:pt>
                <c:pt idx="171">
                  <c:v>885.0</c:v>
                </c:pt>
                <c:pt idx="172">
                  <c:v>885.0</c:v>
                </c:pt>
                <c:pt idx="173">
                  <c:v>885.0</c:v>
                </c:pt>
                <c:pt idx="174">
                  <c:v>885.0</c:v>
                </c:pt>
                <c:pt idx="175">
                  <c:v>885.0</c:v>
                </c:pt>
                <c:pt idx="176">
                  <c:v>885.0</c:v>
                </c:pt>
                <c:pt idx="177">
                  <c:v>885.0</c:v>
                </c:pt>
                <c:pt idx="178">
                  <c:v>885.0</c:v>
                </c:pt>
                <c:pt idx="179">
                  <c:v>885.0</c:v>
                </c:pt>
                <c:pt idx="180">
                  <c:v>885.0</c:v>
                </c:pt>
                <c:pt idx="181">
                  <c:v>885.0</c:v>
                </c:pt>
                <c:pt idx="182">
                  <c:v>885.0</c:v>
                </c:pt>
                <c:pt idx="183">
                  <c:v>885.0</c:v>
                </c:pt>
                <c:pt idx="184">
                  <c:v>885.0</c:v>
                </c:pt>
                <c:pt idx="185">
                  <c:v>885.0</c:v>
                </c:pt>
                <c:pt idx="186">
                  <c:v>885.0</c:v>
                </c:pt>
                <c:pt idx="187">
                  <c:v>885.0</c:v>
                </c:pt>
                <c:pt idx="188">
                  <c:v>885.0</c:v>
                </c:pt>
                <c:pt idx="189">
                  <c:v>885.0</c:v>
                </c:pt>
                <c:pt idx="190">
                  <c:v>885.0</c:v>
                </c:pt>
                <c:pt idx="191">
                  <c:v>885.0</c:v>
                </c:pt>
                <c:pt idx="192">
                  <c:v>885.0</c:v>
                </c:pt>
                <c:pt idx="193">
                  <c:v>885.0</c:v>
                </c:pt>
                <c:pt idx="194">
                  <c:v>885.0</c:v>
                </c:pt>
                <c:pt idx="195">
                  <c:v>885.0</c:v>
                </c:pt>
                <c:pt idx="196">
                  <c:v>885.0</c:v>
                </c:pt>
                <c:pt idx="197">
                  <c:v>885.0</c:v>
                </c:pt>
                <c:pt idx="198">
                  <c:v>885.0</c:v>
                </c:pt>
                <c:pt idx="199">
                  <c:v>885.0</c:v>
                </c:pt>
                <c:pt idx="200">
                  <c:v>885.0</c:v>
                </c:pt>
                <c:pt idx="201">
                  <c:v>885.0</c:v>
                </c:pt>
                <c:pt idx="202">
                  <c:v>885.0</c:v>
                </c:pt>
                <c:pt idx="203">
                  <c:v>885.0</c:v>
                </c:pt>
                <c:pt idx="204">
                  <c:v>885.0</c:v>
                </c:pt>
                <c:pt idx="205">
                  <c:v>885.0</c:v>
                </c:pt>
                <c:pt idx="206">
                  <c:v>885.0</c:v>
                </c:pt>
                <c:pt idx="207">
                  <c:v>885.0</c:v>
                </c:pt>
                <c:pt idx="208">
                  <c:v>885.0</c:v>
                </c:pt>
                <c:pt idx="209">
                  <c:v>885.0</c:v>
                </c:pt>
                <c:pt idx="210">
                  <c:v>885.0</c:v>
                </c:pt>
                <c:pt idx="211">
                  <c:v>885.0</c:v>
                </c:pt>
                <c:pt idx="212">
                  <c:v>885.0</c:v>
                </c:pt>
                <c:pt idx="213">
                  <c:v>885.0</c:v>
                </c:pt>
                <c:pt idx="214">
                  <c:v>885.0</c:v>
                </c:pt>
                <c:pt idx="215">
                  <c:v>885.0</c:v>
                </c:pt>
                <c:pt idx="216">
                  <c:v>885.0</c:v>
                </c:pt>
                <c:pt idx="217">
                  <c:v>885.0</c:v>
                </c:pt>
                <c:pt idx="218">
                  <c:v>885.0</c:v>
                </c:pt>
                <c:pt idx="219">
                  <c:v>885.0</c:v>
                </c:pt>
                <c:pt idx="220">
                  <c:v>885.0</c:v>
                </c:pt>
                <c:pt idx="221">
                  <c:v>885.0</c:v>
                </c:pt>
                <c:pt idx="222">
                  <c:v>885.0</c:v>
                </c:pt>
                <c:pt idx="223">
                  <c:v>885.0</c:v>
                </c:pt>
                <c:pt idx="224">
                  <c:v>885.0</c:v>
                </c:pt>
                <c:pt idx="225">
                  <c:v>885.0</c:v>
                </c:pt>
                <c:pt idx="226">
                  <c:v>885.0</c:v>
                </c:pt>
                <c:pt idx="227">
                  <c:v>885.0</c:v>
                </c:pt>
                <c:pt idx="228">
                  <c:v>885.0</c:v>
                </c:pt>
                <c:pt idx="229">
                  <c:v>885.0</c:v>
                </c:pt>
                <c:pt idx="230">
                  <c:v>885.0</c:v>
                </c:pt>
                <c:pt idx="231">
                  <c:v>885.0</c:v>
                </c:pt>
                <c:pt idx="232">
                  <c:v>885.0</c:v>
                </c:pt>
                <c:pt idx="233">
                  <c:v>885.0</c:v>
                </c:pt>
                <c:pt idx="234">
                  <c:v>885.0</c:v>
                </c:pt>
                <c:pt idx="235">
                  <c:v>2238.0</c:v>
                </c:pt>
                <c:pt idx="236">
                  <c:v>2238.0</c:v>
                </c:pt>
                <c:pt idx="237">
                  <c:v>2238.0</c:v>
                </c:pt>
                <c:pt idx="238">
                  <c:v>2238.0</c:v>
                </c:pt>
                <c:pt idx="239">
                  <c:v>2238.0</c:v>
                </c:pt>
                <c:pt idx="240">
                  <c:v>2238.0</c:v>
                </c:pt>
                <c:pt idx="241">
                  <c:v>2238.0</c:v>
                </c:pt>
                <c:pt idx="242">
                  <c:v>2238.0</c:v>
                </c:pt>
                <c:pt idx="243">
                  <c:v>2238.0</c:v>
                </c:pt>
                <c:pt idx="244">
                  <c:v>2238.0</c:v>
                </c:pt>
                <c:pt idx="245">
                  <c:v>2238.0</c:v>
                </c:pt>
                <c:pt idx="246">
                  <c:v>2238.0</c:v>
                </c:pt>
                <c:pt idx="247">
                  <c:v>2238.0</c:v>
                </c:pt>
                <c:pt idx="248">
                  <c:v>2238.0</c:v>
                </c:pt>
                <c:pt idx="249">
                  <c:v>2238.0</c:v>
                </c:pt>
                <c:pt idx="250">
                  <c:v>2238.0</c:v>
                </c:pt>
                <c:pt idx="251">
                  <c:v>2238.0</c:v>
                </c:pt>
                <c:pt idx="252">
                  <c:v>2238.0</c:v>
                </c:pt>
                <c:pt idx="253">
                  <c:v>2238.0</c:v>
                </c:pt>
                <c:pt idx="254">
                  <c:v>2238.0</c:v>
                </c:pt>
                <c:pt idx="255">
                  <c:v>2238.0</c:v>
                </c:pt>
                <c:pt idx="256">
                  <c:v>2238.0</c:v>
                </c:pt>
                <c:pt idx="257">
                  <c:v>2238.0</c:v>
                </c:pt>
                <c:pt idx="258">
                  <c:v>2238.0</c:v>
                </c:pt>
                <c:pt idx="259">
                  <c:v>2238.0</c:v>
                </c:pt>
                <c:pt idx="260">
                  <c:v>2238.0</c:v>
                </c:pt>
                <c:pt idx="261">
                  <c:v>2238.0</c:v>
                </c:pt>
                <c:pt idx="262">
                  <c:v>2238.0</c:v>
                </c:pt>
                <c:pt idx="263">
                  <c:v>2238.0</c:v>
                </c:pt>
                <c:pt idx="264">
                  <c:v>2238.0</c:v>
                </c:pt>
                <c:pt idx="265">
                  <c:v>2238.0</c:v>
                </c:pt>
                <c:pt idx="266">
                  <c:v>2238.0</c:v>
                </c:pt>
                <c:pt idx="267">
                  <c:v>2238.0</c:v>
                </c:pt>
                <c:pt idx="268">
                  <c:v>2238.0</c:v>
                </c:pt>
                <c:pt idx="269">
                  <c:v>2238.0</c:v>
                </c:pt>
                <c:pt idx="270">
                  <c:v>2238.0</c:v>
                </c:pt>
                <c:pt idx="271">
                  <c:v>2238.0</c:v>
                </c:pt>
                <c:pt idx="272">
                  <c:v>2238.0</c:v>
                </c:pt>
                <c:pt idx="273">
                  <c:v>2238.0</c:v>
                </c:pt>
                <c:pt idx="274">
                  <c:v>2238.0</c:v>
                </c:pt>
                <c:pt idx="275">
                  <c:v>2238.0</c:v>
                </c:pt>
                <c:pt idx="276">
                  <c:v>2238.0</c:v>
                </c:pt>
                <c:pt idx="277">
                  <c:v>2238.0</c:v>
                </c:pt>
                <c:pt idx="278">
                  <c:v>2238.0</c:v>
                </c:pt>
                <c:pt idx="279">
                  <c:v>2238.0</c:v>
                </c:pt>
                <c:pt idx="280">
                  <c:v>2238.0</c:v>
                </c:pt>
                <c:pt idx="281">
                  <c:v>2238.0</c:v>
                </c:pt>
                <c:pt idx="282">
                  <c:v>2238.0</c:v>
                </c:pt>
                <c:pt idx="283">
                  <c:v>2238.0</c:v>
                </c:pt>
                <c:pt idx="284">
                  <c:v>2238.0</c:v>
                </c:pt>
                <c:pt idx="285">
                  <c:v>2238.0</c:v>
                </c:pt>
                <c:pt idx="286">
                  <c:v>2238.0</c:v>
                </c:pt>
                <c:pt idx="287">
                  <c:v>2238.0</c:v>
                </c:pt>
                <c:pt idx="288">
                  <c:v>2238.0</c:v>
                </c:pt>
                <c:pt idx="289">
                  <c:v>2238.0</c:v>
                </c:pt>
                <c:pt idx="290">
                  <c:v>2238.0</c:v>
                </c:pt>
                <c:pt idx="291">
                  <c:v>2238.0</c:v>
                </c:pt>
                <c:pt idx="292">
                  <c:v>2238.0</c:v>
                </c:pt>
                <c:pt idx="293">
                  <c:v>2238.0</c:v>
                </c:pt>
                <c:pt idx="294">
                  <c:v>2238.0</c:v>
                </c:pt>
                <c:pt idx="295">
                  <c:v>2238.0</c:v>
                </c:pt>
                <c:pt idx="296">
                  <c:v>2238.0</c:v>
                </c:pt>
                <c:pt idx="297">
                  <c:v>2238.0</c:v>
                </c:pt>
                <c:pt idx="298">
                  <c:v>2238.0</c:v>
                </c:pt>
                <c:pt idx="299">
                  <c:v>2238.0</c:v>
                </c:pt>
                <c:pt idx="300">
                  <c:v>2238.0</c:v>
                </c:pt>
                <c:pt idx="301">
                  <c:v>2238.0</c:v>
                </c:pt>
                <c:pt idx="302">
                  <c:v>2238.0</c:v>
                </c:pt>
                <c:pt idx="303">
                  <c:v>2238.0</c:v>
                </c:pt>
                <c:pt idx="304">
                  <c:v>2238.0</c:v>
                </c:pt>
                <c:pt idx="305">
                  <c:v>2238.0</c:v>
                </c:pt>
                <c:pt idx="306">
                  <c:v>2238.0</c:v>
                </c:pt>
                <c:pt idx="307">
                  <c:v>2238.0</c:v>
                </c:pt>
                <c:pt idx="308">
                  <c:v>2238.0</c:v>
                </c:pt>
                <c:pt idx="309">
                  <c:v>2238.0</c:v>
                </c:pt>
                <c:pt idx="310">
                  <c:v>2238.0</c:v>
                </c:pt>
                <c:pt idx="311">
                  <c:v>2238.0</c:v>
                </c:pt>
                <c:pt idx="312">
                  <c:v>2238.0</c:v>
                </c:pt>
                <c:pt idx="313">
                  <c:v>2238.0</c:v>
                </c:pt>
                <c:pt idx="314">
                  <c:v>2238.0</c:v>
                </c:pt>
                <c:pt idx="315">
                  <c:v>2238.0</c:v>
                </c:pt>
                <c:pt idx="316">
                  <c:v>2238.0</c:v>
                </c:pt>
                <c:pt idx="317">
                  <c:v>2238.0</c:v>
                </c:pt>
                <c:pt idx="318">
                  <c:v>2238.0</c:v>
                </c:pt>
                <c:pt idx="319">
                  <c:v>2238.0</c:v>
                </c:pt>
                <c:pt idx="320">
                  <c:v>2238.0</c:v>
                </c:pt>
                <c:pt idx="321">
                  <c:v>2238.0</c:v>
                </c:pt>
                <c:pt idx="322">
                  <c:v>2238.0</c:v>
                </c:pt>
                <c:pt idx="323">
                  <c:v>2238.0</c:v>
                </c:pt>
                <c:pt idx="324">
                  <c:v>2238.0</c:v>
                </c:pt>
                <c:pt idx="325">
                  <c:v>2238.0</c:v>
                </c:pt>
                <c:pt idx="326">
                  <c:v>2238.0</c:v>
                </c:pt>
                <c:pt idx="327">
                  <c:v>2238.0</c:v>
                </c:pt>
                <c:pt idx="328">
                  <c:v>2238.0</c:v>
                </c:pt>
                <c:pt idx="329">
                  <c:v>2238.0</c:v>
                </c:pt>
                <c:pt idx="330">
                  <c:v>2238.0</c:v>
                </c:pt>
                <c:pt idx="331">
                  <c:v>2238.0</c:v>
                </c:pt>
                <c:pt idx="332">
                  <c:v>2238.0</c:v>
                </c:pt>
                <c:pt idx="333">
                  <c:v>2238.0</c:v>
                </c:pt>
                <c:pt idx="334">
                  <c:v>2238.0</c:v>
                </c:pt>
                <c:pt idx="335">
                  <c:v>2238.0</c:v>
                </c:pt>
                <c:pt idx="336">
                  <c:v>2238.0</c:v>
                </c:pt>
                <c:pt idx="337">
                  <c:v>2238.0</c:v>
                </c:pt>
                <c:pt idx="338">
                  <c:v>2238.0</c:v>
                </c:pt>
                <c:pt idx="339">
                  <c:v>2238.0</c:v>
                </c:pt>
                <c:pt idx="340">
                  <c:v>2238.0</c:v>
                </c:pt>
                <c:pt idx="341">
                  <c:v>2238.0</c:v>
                </c:pt>
                <c:pt idx="342">
                  <c:v>2238.0</c:v>
                </c:pt>
                <c:pt idx="343">
                  <c:v>2238.0</c:v>
                </c:pt>
                <c:pt idx="344">
                  <c:v>2238.0</c:v>
                </c:pt>
                <c:pt idx="345">
                  <c:v>2238.0</c:v>
                </c:pt>
                <c:pt idx="346">
                  <c:v>5616.0</c:v>
                </c:pt>
                <c:pt idx="347">
                  <c:v>5616.0</c:v>
                </c:pt>
                <c:pt idx="348">
                  <c:v>5616.0</c:v>
                </c:pt>
                <c:pt idx="349">
                  <c:v>5616.0</c:v>
                </c:pt>
                <c:pt idx="350">
                  <c:v>5616.0</c:v>
                </c:pt>
                <c:pt idx="351">
                  <c:v>5616.0</c:v>
                </c:pt>
                <c:pt idx="352">
                  <c:v>5616.0</c:v>
                </c:pt>
                <c:pt idx="353">
                  <c:v>5616.0</c:v>
                </c:pt>
                <c:pt idx="354">
                  <c:v>5616.0</c:v>
                </c:pt>
                <c:pt idx="355">
                  <c:v>5616.0</c:v>
                </c:pt>
                <c:pt idx="356">
                  <c:v>5616.0</c:v>
                </c:pt>
                <c:pt idx="357">
                  <c:v>5616.0</c:v>
                </c:pt>
                <c:pt idx="358">
                  <c:v>5616.0</c:v>
                </c:pt>
                <c:pt idx="359">
                  <c:v>5616.0</c:v>
                </c:pt>
                <c:pt idx="360">
                  <c:v>5616.0</c:v>
                </c:pt>
                <c:pt idx="361">
                  <c:v>5616.0</c:v>
                </c:pt>
                <c:pt idx="362">
                  <c:v>5616.0</c:v>
                </c:pt>
                <c:pt idx="363">
                  <c:v>5616.0</c:v>
                </c:pt>
                <c:pt idx="364">
                  <c:v>5616.0</c:v>
                </c:pt>
                <c:pt idx="365">
                  <c:v>5616.0</c:v>
                </c:pt>
                <c:pt idx="366">
                  <c:v>5616.0</c:v>
                </c:pt>
                <c:pt idx="367">
                  <c:v>5616.0</c:v>
                </c:pt>
                <c:pt idx="368">
                  <c:v>5616.0</c:v>
                </c:pt>
                <c:pt idx="369">
                  <c:v>5616.0</c:v>
                </c:pt>
                <c:pt idx="370">
                  <c:v>5616.0</c:v>
                </c:pt>
                <c:pt idx="371">
                  <c:v>5616.0</c:v>
                </c:pt>
                <c:pt idx="372">
                  <c:v>5616.0</c:v>
                </c:pt>
                <c:pt idx="373">
                  <c:v>5616.0</c:v>
                </c:pt>
                <c:pt idx="374">
                  <c:v>5616.0</c:v>
                </c:pt>
                <c:pt idx="375">
                  <c:v>5616.0</c:v>
                </c:pt>
                <c:pt idx="376">
                  <c:v>5616.0</c:v>
                </c:pt>
                <c:pt idx="377">
                  <c:v>5616.0</c:v>
                </c:pt>
                <c:pt idx="378">
                  <c:v>5616.0</c:v>
                </c:pt>
                <c:pt idx="379">
                  <c:v>5616.0</c:v>
                </c:pt>
                <c:pt idx="380">
                  <c:v>5616.0</c:v>
                </c:pt>
                <c:pt idx="381">
                  <c:v>5616.0</c:v>
                </c:pt>
                <c:pt idx="382">
                  <c:v>5616.0</c:v>
                </c:pt>
                <c:pt idx="383">
                  <c:v>5616.0</c:v>
                </c:pt>
                <c:pt idx="384">
                  <c:v>5616.0</c:v>
                </c:pt>
                <c:pt idx="385">
                  <c:v>5616.0</c:v>
                </c:pt>
                <c:pt idx="386">
                  <c:v>5616.0</c:v>
                </c:pt>
                <c:pt idx="387">
                  <c:v>5616.0</c:v>
                </c:pt>
                <c:pt idx="388">
                  <c:v>5616.0</c:v>
                </c:pt>
                <c:pt idx="389">
                  <c:v>5616.0</c:v>
                </c:pt>
                <c:pt idx="390">
                  <c:v>5616.0</c:v>
                </c:pt>
                <c:pt idx="391">
                  <c:v>5616.0</c:v>
                </c:pt>
                <c:pt idx="392">
                  <c:v>5616.0</c:v>
                </c:pt>
                <c:pt idx="393">
                  <c:v>5616.0</c:v>
                </c:pt>
                <c:pt idx="394">
                  <c:v>5616.0</c:v>
                </c:pt>
                <c:pt idx="395">
                  <c:v>5616.0</c:v>
                </c:pt>
                <c:pt idx="396">
                  <c:v>5616.0</c:v>
                </c:pt>
                <c:pt idx="397">
                  <c:v>5616.0</c:v>
                </c:pt>
                <c:pt idx="398">
                  <c:v>5616.0</c:v>
                </c:pt>
                <c:pt idx="399">
                  <c:v>5616.0</c:v>
                </c:pt>
                <c:pt idx="400">
                  <c:v>5616.0</c:v>
                </c:pt>
                <c:pt idx="401">
                  <c:v>5616.0</c:v>
                </c:pt>
                <c:pt idx="402">
                  <c:v>5616.0</c:v>
                </c:pt>
                <c:pt idx="403">
                  <c:v>5616.0</c:v>
                </c:pt>
                <c:pt idx="404">
                  <c:v>5616.0</c:v>
                </c:pt>
                <c:pt idx="405">
                  <c:v>5616.0</c:v>
                </c:pt>
                <c:pt idx="406">
                  <c:v>5616.0</c:v>
                </c:pt>
                <c:pt idx="407">
                  <c:v>5616.0</c:v>
                </c:pt>
                <c:pt idx="408">
                  <c:v>5616.0</c:v>
                </c:pt>
                <c:pt idx="409">
                  <c:v>5616.0</c:v>
                </c:pt>
                <c:pt idx="410">
                  <c:v>5616.0</c:v>
                </c:pt>
                <c:pt idx="411">
                  <c:v>5616.0</c:v>
                </c:pt>
                <c:pt idx="412">
                  <c:v>5616.0</c:v>
                </c:pt>
                <c:pt idx="413">
                  <c:v>5616.0</c:v>
                </c:pt>
                <c:pt idx="414">
                  <c:v>5616.0</c:v>
                </c:pt>
                <c:pt idx="415">
                  <c:v>14277.0</c:v>
                </c:pt>
                <c:pt idx="416">
                  <c:v>14277.0</c:v>
                </c:pt>
                <c:pt idx="417">
                  <c:v>14277.0</c:v>
                </c:pt>
                <c:pt idx="418">
                  <c:v>14277.0</c:v>
                </c:pt>
                <c:pt idx="419">
                  <c:v>14277.0</c:v>
                </c:pt>
                <c:pt idx="420">
                  <c:v>14277.0</c:v>
                </c:pt>
                <c:pt idx="421">
                  <c:v>14277.0</c:v>
                </c:pt>
                <c:pt idx="422">
                  <c:v>14277.0</c:v>
                </c:pt>
                <c:pt idx="423">
                  <c:v>14277.0</c:v>
                </c:pt>
                <c:pt idx="424">
                  <c:v>14277.0</c:v>
                </c:pt>
                <c:pt idx="425">
                  <c:v>14277.0</c:v>
                </c:pt>
                <c:pt idx="426">
                  <c:v>14277.0</c:v>
                </c:pt>
                <c:pt idx="427">
                  <c:v>14277.0</c:v>
                </c:pt>
                <c:pt idx="428">
                  <c:v>14277.0</c:v>
                </c:pt>
                <c:pt idx="429">
                  <c:v>14277.0</c:v>
                </c:pt>
                <c:pt idx="430">
                  <c:v>14277.0</c:v>
                </c:pt>
                <c:pt idx="431">
                  <c:v>14277.0</c:v>
                </c:pt>
                <c:pt idx="432">
                  <c:v>14277.0</c:v>
                </c:pt>
                <c:pt idx="433">
                  <c:v>14277.0</c:v>
                </c:pt>
                <c:pt idx="434">
                  <c:v>14277.0</c:v>
                </c:pt>
                <c:pt idx="435">
                  <c:v>14277.0</c:v>
                </c:pt>
                <c:pt idx="436">
                  <c:v>14277.0</c:v>
                </c:pt>
                <c:pt idx="437">
                  <c:v>14277.0</c:v>
                </c:pt>
                <c:pt idx="438">
                  <c:v>14277.0</c:v>
                </c:pt>
                <c:pt idx="439">
                  <c:v>14277.0</c:v>
                </c:pt>
                <c:pt idx="440">
                  <c:v>14277.0</c:v>
                </c:pt>
                <c:pt idx="441">
                  <c:v>14277.0</c:v>
                </c:pt>
                <c:pt idx="442">
                  <c:v>14277.0</c:v>
                </c:pt>
                <c:pt idx="443">
                  <c:v>14277.0</c:v>
                </c:pt>
                <c:pt idx="444">
                  <c:v>14277.0</c:v>
                </c:pt>
                <c:pt idx="445">
                  <c:v>14277.0</c:v>
                </c:pt>
                <c:pt idx="446">
                  <c:v>14277.0</c:v>
                </c:pt>
                <c:pt idx="447">
                  <c:v>14277.0</c:v>
                </c:pt>
                <c:pt idx="448">
                  <c:v>14277.0</c:v>
                </c:pt>
                <c:pt idx="449">
                  <c:v>14277.0</c:v>
                </c:pt>
                <c:pt idx="450">
                  <c:v>14277.0</c:v>
                </c:pt>
                <c:pt idx="451">
                  <c:v>14277.0</c:v>
                </c:pt>
                <c:pt idx="452">
                  <c:v>14277.0</c:v>
                </c:pt>
                <c:pt idx="453">
                  <c:v>14277.0</c:v>
                </c:pt>
                <c:pt idx="454">
                  <c:v>14277.0</c:v>
                </c:pt>
                <c:pt idx="455">
                  <c:v>14277.0</c:v>
                </c:pt>
                <c:pt idx="456">
                  <c:v>14277.0</c:v>
                </c:pt>
                <c:pt idx="457">
                  <c:v>14277.0</c:v>
                </c:pt>
                <c:pt idx="458">
                  <c:v>14277.0</c:v>
                </c:pt>
                <c:pt idx="459">
                  <c:v>14277.0</c:v>
                </c:pt>
                <c:pt idx="460">
                  <c:v>14277.0</c:v>
                </c:pt>
                <c:pt idx="461">
                  <c:v>14277.0</c:v>
                </c:pt>
                <c:pt idx="462">
                  <c:v>14277.0</c:v>
                </c:pt>
                <c:pt idx="463">
                  <c:v>14277.0</c:v>
                </c:pt>
                <c:pt idx="464">
                  <c:v>14277.0</c:v>
                </c:pt>
                <c:pt idx="465">
                  <c:v>14277.0</c:v>
                </c:pt>
                <c:pt idx="466">
                  <c:v>14277.0</c:v>
                </c:pt>
                <c:pt idx="467">
                  <c:v>14277.0</c:v>
                </c:pt>
                <c:pt idx="468">
                  <c:v>14277.0</c:v>
                </c:pt>
                <c:pt idx="469">
                  <c:v>14277.0</c:v>
                </c:pt>
                <c:pt idx="470">
                  <c:v>14277.0</c:v>
                </c:pt>
                <c:pt idx="471">
                  <c:v>14277.0</c:v>
                </c:pt>
                <c:pt idx="472">
                  <c:v>14277.0</c:v>
                </c:pt>
                <c:pt idx="473">
                  <c:v>35706.0</c:v>
                </c:pt>
                <c:pt idx="474">
                  <c:v>35706.0</c:v>
                </c:pt>
                <c:pt idx="475">
                  <c:v>35706.0</c:v>
                </c:pt>
                <c:pt idx="476">
                  <c:v>35706.0</c:v>
                </c:pt>
                <c:pt idx="477">
                  <c:v>35706.0</c:v>
                </c:pt>
                <c:pt idx="478">
                  <c:v>35706.0</c:v>
                </c:pt>
                <c:pt idx="479">
                  <c:v>35706.0</c:v>
                </c:pt>
                <c:pt idx="480">
                  <c:v>35706.0</c:v>
                </c:pt>
                <c:pt idx="481">
                  <c:v>35706.0</c:v>
                </c:pt>
                <c:pt idx="482">
                  <c:v>35706.0</c:v>
                </c:pt>
                <c:pt idx="483">
                  <c:v>35706.0</c:v>
                </c:pt>
                <c:pt idx="484">
                  <c:v>35706.0</c:v>
                </c:pt>
                <c:pt idx="485">
                  <c:v>35706.0</c:v>
                </c:pt>
                <c:pt idx="486">
                  <c:v>35706.0</c:v>
                </c:pt>
                <c:pt idx="487">
                  <c:v>35706.0</c:v>
                </c:pt>
                <c:pt idx="488">
                  <c:v>35706.0</c:v>
                </c:pt>
                <c:pt idx="489">
                  <c:v>35706.0</c:v>
                </c:pt>
                <c:pt idx="490">
                  <c:v>35706.0</c:v>
                </c:pt>
                <c:pt idx="491">
                  <c:v>35706.0</c:v>
                </c:pt>
                <c:pt idx="492">
                  <c:v>35706.0</c:v>
                </c:pt>
                <c:pt idx="493">
                  <c:v>35706.0</c:v>
                </c:pt>
                <c:pt idx="494">
                  <c:v>35706.0</c:v>
                </c:pt>
                <c:pt idx="495">
                  <c:v>35706.0</c:v>
                </c:pt>
                <c:pt idx="496">
                  <c:v>35706.0</c:v>
                </c:pt>
                <c:pt idx="497">
                  <c:v>35706.0</c:v>
                </c:pt>
                <c:pt idx="498">
                  <c:v>35706.0</c:v>
                </c:pt>
                <c:pt idx="499">
                  <c:v>35706.0</c:v>
                </c:pt>
                <c:pt idx="500">
                  <c:v>35706.0</c:v>
                </c:pt>
                <c:pt idx="501">
                  <c:v>35706.0</c:v>
                </c:pt>
                <c:pt idx="502">
                  <c:v>35706.0</c:v>
                </c:pt>
                <c:pt idx="503">
                  <c:v>35706.0</c:v>
                </c:pt>
                <c:pt idx="504">
                  <c:v>35706.0</c:v>
                </c:pt>
                <c:pt idx="505">
                  <c:v>35706.0</c:v>
                </c:pt>
                <c:pt idx="506">
                  <c:v>35706.0</c:v>
                </c:pt>
                <c:pt idx="507">
                  <c:v>35706.0</c:v>
                </c:pt>
                <c:pt idx="508">
                  <c:v>35706.0</c:v>
                </c:pt>
                <c:pt idx="509">
                  <c:v>35706.0</c:v>
                </c:pt>
                <c:pt idx="510">
                  <c:v>35706.0</c:v>
                </c:pt>
                <c:pt idx="511">
                  <c:v>35706.0</c:v>
                </c:pt>
                <c:pt idx="512">
                  <c:v>35706.0</c:v>
                </c:pt>
                <c:pt idx="513">
                  <c:v>35706.0</c:v>
                </c:pt>
                <c:pt idx="514">
                  <c:v>35706.0</c:v>
                </c:pt>
                <c:pt idx="515">
                  <c:v>35706.0</c:v>
                </c:pt>
                <c:pt idx="516">
                  <c:v>35706.0</c:v>
                </c:pt>
                <c:pt idx="517">
                  <c:v>35706.0</c:v>
                </c:pt>
                <c:pt idx="518">
                  <c:v>35706.0</c:v>
                </c:pt>
                <c:pt idx="519">
                  <c:v>35706.0</c:v>
                </c:pt>
                <c:pt idx="520">
                  <c:v>35706.0</c:v>
                </c:pt>
                <c:pt idx="521">
                  <c:v>35706.0</c:v>
                </c:pt>
                <c:pt idx="522">
                  <c:v>35706.0</c:v>
                </c:pt>
                <c:pt idx="523">
                  <c:v>35706.0</c:v>
                </c:pt>
                <c:pt idx="524">
                  <c:v>35706.0</c:v>
                </c:pt>
                <c:pt idx="525">
                  <c:v>35706.0</c:v>
                </c:pt>
                <c:pt idx="526">
                  <c:v>35706.0</c:v>
                </c:pt>
                <c:pt idx="527">
                  <c:v>35706.0</c:v>
                </c:pt>
                <c:pt idx="528">
                  <c:v>35706.0</c:v>
                </c:pt>
                <c:pt idx="529">
                  <c:v>35706.0</c:v>
                </c:pt>
                <c:pt idx="530">
                  <c:v>35706.0</c:v>
                </c:pt>
                <c:pt idx="531">
                  <c:v>35706.0</c:v>
                </c:pt>
                <c:pt idx="532">
                  <c:v>35706.0</c:v>
                </c:pt>
                <c:pt idx="533">
                  <c:v>35706.0</c:v>
                </c:pt>
                <c:pt idx="534">
                  <c:v>35706.0</c:v>
                </c:pt>
                <c:pt idx="535">
                  <c:v>35706.0</c:v>
                </c:pt>
                <c:pt idx="536">
                  <c:v>35706.0</c:v>
                </c:pt>
                <c:pt idx="537">
                  <c:v>35706.0</c:v>
                </c:pt>
                <c:pt idx="538">
                  <c:v>35706.0</c:v>
                </c:pt>
                <c:pt idx="539">
                  <c:v>35706.0</c:v>
                </c:pt>
                <c:pt idx="540">
                  <c:v>90949.0</c:v>
                </c:pt>
                <c:pt idx="541">
                  <c:v>90949.0</c:v>
                </c:pt>
                <c:pt idx="542">
                  <c:v>90949.0</c:v>
                </c:pt>
                <c:pt idx="543">
                  <c:v>90949.0</c:v>
                </c:pt>
                <c:pt idx="544">
                  <c:v>90949.0</c:v>
                </c:pt>
                <c:pt idx="545">
                  <c:v>90949.0</c:v>
                </c:pt>
                <c:pt idx="546">
                  <c:v>90949.0</c:v>
                </c:pt>
                <c:pt idx="547">
                  <c:v>90949.0</c:v>
                </c:pt>
                <c:pt idx="548">
                  <c:v>90949.0</c:v>
                </c:pt>
                <c:pt idx="549">
                  <c:v>90949.0</c:v>
                </c:pt>
                <c:pt idx="550">
                  <c:v>90949.0</c:v>
                </c:pt>
                <c:pt idx="551">
                  <c:v>90949.0</c:v>
                </c:pt>
                <c:pt idx="552">
                  <c:v>90949.0</c:v>
                </c:pt>
                <c:pt idx="553">
                  <c:v>90949.0</c:v>
                </c:pt>
                <c:pt idx="554">
                  <c:v>90949.0</c:v>
                </c:pt>
                <c:pt idx="555">
                  <c:v>90949.0</c:v>
                </c:pt>
                <c:pt idx="556">
                  <c:v>90949.0</c:v>
                </c:pt>
                <c:pt idx="557">
                  <c:v>90949.0</c:v>
                </c:pt>
                <c:pt idx="558">
                  <c:v>90949.0</c:v>
                </c:pt>
                <c:pt idx="559">
                  <c:v>90949.0</c:v>
                </c:pt>
                <c:pt idx="560">
                  <c:v>90949.0</c:v>
                </c:pt>
                <c:pt idx="561">
                  <c:v>90949.0</c:v>
                </c:pt>
                <c:pt idx="562">
                  <c:v>90949.0</c:v>
                </c:pt>
                <c:pt idx="563">
                  <c:v>90949.0</c:v>
                </c:pt>
                <c:pt idx="564">
                  <c:v>90949.0</c:v>
                </c:pt>
                <c:pt idx="565">
                  <c:v>90949.0</c:v>
                </c:pt>
                <c:pt idx="566">
                  <c:v>90949.0</c:v>
                </c:pt>
                <c:pt idx="567">
                  <c:v>90949.0</c:v>
                </c:pt>
                <c:pt idx="568">
                  <c:v>90949.0</c:v>
                </c:pt>
                <c:pt idx="569">
                  <c:v>90949.0</c:v>
                </c:pt>
                <c:pt idx="570">
                  <c:v>90949.0</c:v>
                </c:pt>
                <c:pt idx="571">
                  <c:v>90949.0</c:v>
                </c:pt>
                <c:pt idx="572">
                  <c:v>90949.0</c:v>
                </c:pt>
                <c:pt idx="573">
                  <c:v>90949.0</c:v>
                </c:pt>
                <c:pt idx="574">
                  <c:v>90949.0</c:v>
                </c:pt>
                <c:pt idx="575">
                  <c:v>90949.0</c:v>
                </c:pt>
                <c:pt idx="576">
                  <c:v>90949.0</c:v>
                </c:pt>
                <c:pt idx="577">
                  <c:v>90949.0</c:v>
                </c:pt>
                <c:pt idx="578">
                  <c:v>90949.0</c:v>
                </c:pt>
                <c:pt idx="579">
                  <c:v>231655.0</c:v>
                </c:pt>
                <c:pt idx="580">
                  <c:v>231655.0</c:v>
                </c:pt>
                <c:pt idx="581">
                  <c:v>231655.0</c:v>
                </c:pt>
                <c:pt idx="582">
                  <c:v>231655.0</c:v>
                </c:pt>
                <c:pt idx="583">
                  <c:v>231655.0</c:v>
                </c:pt>
                <c:pt idx="584">
                  <c:v>231655.0</c:v>
                </c:pt>
                <c:pt idx="585">
                  <c:v>231655.0</c:v>
                </c:pt>
                <c:pt idx="586">
                  <c:v>231655.0</c:v>
                </c:pt>
                <c:pt idx="587">
                  <c:v>231655.0</c:v>
                </c:pt>
                <c:pt idx="588">
                  <c:v>231655.0</c:v>
                </c:pt>
                <c:pt idx="589">
                  <c:v>231655.0</c:v>
                </c:pt>
                <c:pt idx="590">
                  <c:v>231655.0</c:v>
                </c:pt>
                <c:pt idx="591">
                  <c:v>231655.0</c:v>
                </c:pt>
                <c:pt idx="592">
                  <c:v>231655.0</c:v>
                </c:pt>
                <c:pt idx="593">
                  <c:v>231655.0</c:v>
                </c:pt>
                <c:pt idx="594">
                  <c:v>231655.0</c:v>
                </c:pt>
                <c:pt idx="595">
                  <c:v>231655.0</c:v>
                </c:pt>
                <c:pt idx="596">
                  <c:v>231655.0</c:v>
                </c:pt>
                <c:pt idx="597">
                  <c:v>231655.0</c:v>
                </c:pt>
                <c:pt idx="598">
                  <c:v>231655.0</c:v>
                </c:pt>
                <c:pt idx="599">
                  <c:v>231655.0</c:v>
                </c:pt>
                <c:pt idx="600">
                  <c:v>231655.0</c:v>
                </c:pt>
                <c:pt idx="601">
                  <c:v>231655.0</c:v>
                </c:pt>
                <c:pt idx="602">
                  <c:v>231655.0</c:v>
                </c:pt>
                <c:pt idx="603">
                  <c:v>231655.0</c:v>
                </c:pt>
                <c:pt idx="604">
                  <c:v>231655.0</c:v>
                </c:pt>
                <c:pt idx="605">
                  <c:v>231655.0</c:v>
                </c:pt>
                <c:pt idx="606">
                  <c:v>231655.0</c:v>
                </c:pt>
                <c:pt idx="607">
                  <c:v>231655.0</c:v>
                </c:pt>
                <c:pt idx="608">
                  <c:v>231655.0</c:v>
                </c:pt>
                <c:pt idx="609">
                  <c:v>231655.0</c:v>
                </c:pt>
                <c:pt idx="610">
                  <c:v>231655.0</c:v>
                </c:pt>
                <c:pt idx="611">
                  <c:v>231655.0</c:v>
                </c:pt>
                <c:pt idx="612">
                  <c:v>231655.0</c:v>
                </c:pt>
                <c:pt idx="613">
                  <c:v>231655.0</c:v>
                </c:pt>
                <c:pt idx="614">
                  <c:v>231655.0</c:v>
                </c:pt>
                <c:pt idx="615">
                  <c:v>231655.0</c:v>
                </c:pt>
                <c:pt idx="616">
                  <c:v>231655.0</c:v>
                </c:pt>
                <c:pt idx="617">
                  <c:v>231655.0</c:v>
                </c:pt>
                <c:pt idx="618">
                  <c:v>231655.0</c:v>
                </c:pt>
                <c:pt idx="619">
                  <c:v>231655.0</c:v>
                </c:pt>
                <c:pt idx="620">
                  <c:v>231655.0</c:v>
                </c:pt>
                <c:pt idx="621">
                  <c:v>231655.0</c:v>
                </c:pt>
                <c:pt idx="622">
                  <c:v>584840.0</c:v>
                </c:pt>
                <c:pt idx="623">
                  <c:v>584840.0</c:v>
                </c:pt>
                <c:pt idx="624">
                  <c:v>584840.0</c:v>
                </c:pt>
                <c:pt idx="625">
                  <c:v>584840.0</c:v>
                </c:pt>
                <c:pt idx="626">
                  <c:v>584840.0</c:v>
                </c:pt>
                <c:pt idx="627">
                  <c:v>584840.0</c:v>
                </c:pt>
                <c:pt idx="628">
                  <c:v>584840.0</c:v>
                </c:pt>
                <c:pt idx="629">
                  <c:v>584840.0</c:v>
                </c:pt>
                <c:pt idx="630">
                  <c:v>584840.0</c:v>
                </c:pt>
                <c:pt idx="631">
                  <c:v>584840.0</c:v>
                </c:pt>
                <c:pt idx="632">
                  <c:v>584840.0</c:v>
                </c:pt>
                <c:pt idx="633">
                  <c:v>584840.0</c:v>
                </c:pt>
                <c:pt idx="634">
                  <c:v>584840.0</c:v>
                </c:pt>
                <c:pt idx="635">
                  <c:v>584840.0</c:v>
                </c:pt>
                <c:pt idx="636">
                  <c:v>584840.0</c:v>
                </c:pt>
                <c:pt idx="637">
                  <c:v>584840.0</c:v>
                </c:pt>
                <c:pt idx="638">
                  <c:v>584840.0</c:v>
                </c:pt>
                <c:pt idx="639">
                  <c:v>584840.0</c:v>
                </c:pt>
                <c:pt idx="640">
                  <c:v>584840.0</c:v>
                </c:pt>
                <c:pt idx="641">
                  <c:v>584840.0</c:v>
                </c:pt>
                <c:pt idx="642">
                  <c:v>584840.0</c:v>
                </c:pt>
                <c:pt idx="643">
                  <c:v>584840.0</c:v>
                </c:pt>
                <c:pt idx="644">
                  <c:v>584840.0</c:v>
                </c:pt>
                <c:pt idx="645">
                  <c:v>584840.0</c:v>
                </c:pt>
                <c:pt idx="646">
                  <c:v>584840.0</c:v>
                </c:pt>
                <c:pt idx="647">
                  <c:v>584840.0</c:v>
                </c:pt>
                <c:pt idx="648">
                  <c:v>584840.0</c:v>
                </c:pt>
                <c:pt idx="649">
                  <c:v>584840.0</c:v>
                </c:pt>
                <c:pt idx="650">
                  <c:v>584840.0</c:v>
                </c:pt>
                <c:pt idx="651">
                  <c:v>584840.0</c:v>
                </c:pt>
                <c:pt idx="652">
                  <c:v>584840.0</c:v>
                </c:pt>
                <c:pt idx="653">
                  <c:v>584840.0</c:v>
                </c:pt>
                <c:pt idx="654">
                  <c:v>584840.0</c:v>
                </c:pt>
                <c:pt idx="655">
                  <c:v>1.605941E6</c:v>
                </c:pt>
                <c:pt idx="656">
                  <c:v>1.605941E6</c:v>
                </c:pt>
                <c:pt idx="657">
                  <c:v>1.605941E6</c:v>
                </c:pt>
                <c:pt idx="658">
                  <c:v>1.605941E6</c:v>
                </c:pt>
                <c:pt idx="659">
                  <c:v>1.605941E6</c:v>
                </c:pt>
                <c:pt idx="660">
                  <c:v>1.605941E6</c:v>
                </c:pt>
                <c:pt idx="661">
                  <c:v>1.605941E6</c:v>
                </c:pt>
                <c:pt idx="662">
                  <c:v>1.605941E6</c:v>
                </c:pt>
                <c:pt idx="663">
                  <c:v>1.605941E6</c:v>
                </c:pt>
                <c:pt idx="664">
                  <c:v>1.605941E6</c:v>
                </c:pt>
                <c:pt idx="665">
                  <c:v>1.605941E6</c:v>
                </c:pt>
                <c:pt idx="666">
                  <c:v>1.605941E6</c:v>
                </c:pt>
                <c:pt idx="667">
                  <c:v>1.605941E6</c:v>
                </c:pt>
                <c:pt idx="668">
                  <c:v>1.605941E6</c:v>
                </c:pt>
                <c:pt idx="669">
                  <c:v>1.605941E6</c:v>
                </c:pt>
                <c:pt idx="670">
                  <c:v>1.605941E6</c:v>
                </c:pt>
                <c:pt idx="671">
                  <c:v>1.605941E6</c:v>
                </c:pt>
                <c:pt idx="672">
                  <c:v>1.605941E6</c:v>
                </c:pt>
                <c:pt idx="673">
                  <c:v>1.605941E6</c:v>
                </c:pt>
                <c:pt idx="674">
                  <c:v>4.271984E6</c:v>
                </c:pt>
                <c:pt idx="675">
                  <c:v>4.271984E6</c:v>
                </c:pt>
                <c:pt idx="676">
                  <c:v>4.271984E6</c:v>
                </c:pt>
                <c:pt idx="677">
                  <c:v>4.271984E6</c:v>
                </c:pt>
                <c:pt idx="678">
                  <c:v>4.271984E6</c:v>
                </c:pt>
                <c:pt idx="679">
                  <c:v>4.271984E6</c:v>
                </c:pt>
                <c:pt idx="680">
                  <c:v>4.271984E6</c:v>
                </c:pt>
                <c:pt idx="681">
                  <c:v>4.271984E6</c:v>
                </c:pt>
                <c:pt idx="682">
                  <c:v>4.271984E6</c:v>
                </c:pt>
                <c:pt idx="683">
                  <c:v>4.271984E6</c:v>
                </c:pt>
                <c:pt idx="684">
                  <c:v>4.271984E6</c:v>
                </c:pt>
                <c:pt idx="685">
                  <c:v>4.271984E6</c:v>
                </c:pt>
                <c:pt idx="686">
                  <c:v>4.271984E6</c:v>
                </c:pt>
                <c:pt idx="687">
                  <c:v>4.271984E6</c:v>
                </c:pt>
                <c:pt idx="688">
                  <c:v>4.271984E6</c:v>
                </c:pt>
                <c:pt idx="689">
                  <c:v>4.271984E6</c:v>
                </c:pt>
                <c:pt idx="690">
                  <c:v>4.271984E6</c:v>
                </c:pt>
                <c:pt idx="691">
                  <c:v>4.271984E6</c:v>
                </c:pt>
                <c:pt idx="692">
                  <c:v>4.271984E6</c:v>
                </c:pt>
                <c:pt idx="693">
                  <c:v>4.271984E6</c:v>
                </c:pt>
                <c:pt idx="694">
                  <c:v>4.271984E6</c:v>
                </c:pt>
                <c:pt idx="695">
                  <c:v>4.271984E6</c:v>
                </c:pt>
                <c:pt idx="696">
                  <c:v>1.0715287E7</c:v>
                </c:pt>
                <c:pt idx="697">
                  <c:v>1.0715287E7</c:v>
                </c:pt>
                <c:pt idx="698">
                  <c:v>1.0715287E7</c:v>
                </c:pt>
                <c:pt idx="699">
                  <c:v>1.0715287E7</c:v>
                </c:pt>
                <c:pt idx="700">
                  <c:v>1.0715287E7</c:v>
                </c:pt>
                <c:pt idx="701">
                  <c:v>1.0715287E7</c:v>
                </c:pt>
                <c:pt idx="702">
                  <c:v>1.0715287E7</c:v>
                </c:pt>
                <c:pt idx="703">
                  <c:v>1.0715287E7</c:v>
                </c:pt>
                <c:pt idx="704">
                  <c:v>1.0715287E7</c:v>
                </c:pt>
                <c:pt idx="705">
                  <c:v>1.0715287E7</c:v>
                </c:pt>
                <c:pt idx="706">
                  <c:v>1.0715287E7</c:v>
                </c:pt>
                <c:pt idx="707">
                  <c:v>1.0715287E7</c:v>
                </c:pt>
                <c:pt idx="708">
                  <c:v>1.0715287E7</c:v>
                </c:pt>
                <c:pt idx="709">
                  <c:v>1.0715287E7</c:v>
                </c:pt>
                <c:pt idx="710">
                  <c:v>1.0715287E7</c:v>
                </c:pt>
                <c:pt idx="711">
                  <c:v>1.0715287E7</c:v>
                </c:pt>
                <c:pt idx="712">
                  <c:v>1.0715287E7</c:v>
                </c:pt>
                <c:pt idx="713">
                  <c:v>1.0715287E7</c:v>
                </c:pt>
                <c:pt idx="714">
                  <c:v>1.0715287E7</c:v>
                </c:pt>
                <c:pt idx="715">
                  <c:v>1.0715287E7</c:v>
                </c:pt>
                <c:pt idx="716">
                  <c:v>1.0715287E7</c:v>
                </c:pt>
                <c:pt idx="717">
                  <c:v>1.0715287E7</c:v>
                </c:pt>
                <c:pt idx="718">
                  <c:v>1.0715287E7</c:v>
                </c:pt>
                <c:pt idx="719">
                  <c:v>1.0715287E7</c:v>
                </c:pt>
                <c:pt idx="720">
                  <c:v>1.0715287E7</c:v>
                </c:pt>
                <c:pt idx="721">
                  <c:v>1.0715287E7</c:v>
                </c:pt>
                <c:pt idx="722">
                  <c:v>1.0715287E7</c:v>
                </c:pt>
                <c:pt idx="723">
                  <c:v>1.0715287E7</c:v>
                </c:pt>
                <c:pt idx="724">
                  <c:v>1.0715287E7</c:v>
                </c:pt>
                <c:pt idx="725">
                  <c:v>1.0715287E7</c:v>
                </c:pt>
                <c:pt idx="726">
                  <c:v>1.0715287E7</c:v>
                </c:pt>
                <c:pt idx="727">
                  <c:v>1.0715287E7</c:v>
                </c:pt>
                <c:pt idx="728">
                  <c:v>1.0715287E7</c:v>
                </c:pt>
                <c:pt idx="729">
                  <c:v>1.0715287E7</c:v>
                </c:pt>
                <c:pt idx="730">
                  <c:v>1.0715287E7</c:v>
                </c:pt>
                <c:pt idx="731">
                  <c:v>1.0715287E7</c:v>
                </c:pt>
                <c:pt idx="732">
                  <c:v>1.0715287E7</c:v>
                </c:pt>
                <c:pt idx="733">
                  <c:v>1.0715287E7</c:v>
                </c:pt>
                <c:pt idx="734">
                  <c:v>1.0715287E7</c:v>
                </c:pt>
                <c:pt idx="735">
                  <c:v>1.0715287E7</c:v>
                </c:pt>
                <c:pt idx="736">
                  <c:v>2.6864331E7</c:v>
                </c:pt>
                <c:pt idx="737">
                  <c:v>2.6864331E7</c:v>
                </c:pt>
                <c:pt idx="738">
                  <c:v>2.6864331E7</c:v>
                </c:pt>
                <c:pt idx="739">
                  <c:v>2.6864331E7</c:v>
                </c:pt>
                <c:pt idx="740">
                  <c:v>2.6864331E7</c:v>
                </c:pt>
                <c:pt idx="741">
                  <c:v>2.6864331E7</c:v>
                </c:pt>
                <c:pt idx="742">
                  <c:v>2.6864331E7</c:v>
                </c:pt>
                <c:pt idx="743">
                  <c:v>2.6864331E7</c:v>
                </c:pt>
                <c:pt idx="744">
                  <c:v>2.6864331E7</c:v>
                </c:pt>
                <c:pt idx="745">
                  <c:v>2.6864331E7</c:v>
                </c:pt>
                <c:pt idx="746">
                  <c:v>2.6864331E7</c:v>
                </c:pt>
                <c:pt idx="747">
                  <c:v>2.6864331E7</c:v>
                </c:pt>
                <c:pt idx="748">
                  <c:v>2.6864331E7</c:v>
                </c:pt>
              </c:numCache>
            </c:numRef>
          </c:val>
          <c:smooth val="0"/>
        </c:ser>
        <c:dLbls>
          <c:showLegendKey val="0"/>
          <c:showVal val="0"/>
          <c:showCatName val="0"/>
          <c:showSerName val="0"/>
          <c:showPercent val="0"/>
          <c:showBubbleSize val="0"/>
        </c:dLbls>
        <c:marker val="1"/>
        <c:smooth val="0"/>
        <c:axId val="488440248"/>
        <c:axId val="502367160"/>
      </c:lineChart>
      <c:catAx>
        <c:axId val="488440248"/>
        <c:scaling>
          <c:orientation val="minMax"/>
        </c:scaling>
        <c:delete val="0"/>
        <c:axPos val="b"/>
        <c:title>
          <c:tx>
            <c:rich>
              <a:bodyPr/>
              <a:lstStyle/>
              <a:p>
                <a:pPr lvl="0">
                  <a:defRPr/>
                </a:pPr>
                <a:r>
                  <a:rPr lang="en-US"/>
                  <a:t>Time (minutes)</a:t>
                </a:r>
              </a:p>
            </c:rich>
          </c:tx>
          <c:layout/>
          <c:overlay val="0"/>
        </c:title>
        <c:numFmt formatCode="0" sourceLinked="1"/>
        <c:majorTickMark val="cross"/>
        <c:minorTickMark val="cross"/>
        <c:tickLblPos val="nextTo"/>
        <c:txPr>
          <a:bodyPr rot="-5400000" vert="horz"/>
          <a:lstStyle/>
          <a:p>
            <a:pPr lvl="0">
              <a:defRPr/>
            </a:pPr>
            <a:endParaRPr lang="en-US"/>
          </a:p>
        </c:txPr>
        <c:crossAx val="502367160"/>
        <c:crosses val="autoZero"/>
        <c:auto val="1"/>
        <c:lblAlgn val="ctr"/>
        <c:lblOffset val="100"/>
        <c:tickLblSkip val="40"/>
        <c:tickMarkSkip val="40"/>
        <c:noMultiLvlLbl val="1"/>
      </c:catAx>
      <c:valAx>
        <c:axId val="502367160"/>
        <c:scaling>
          <c:logBase val="10.0"/>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488440248"/>
        <c:crosses val="autoZero"/>
        <c:crossBetween val="between"/>
      </c:valAx>
    </c:plotArea>
    <c:legend>
      <c:legendPos val="t"/>
      <c:layout/>
      <c:overlay val="0"/>
    </c:legend>
    <c:plotVisOnly val="1"/>
    <c:dispBlanksAs val="zero"/>
    <c:showDLblsOverMax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8</xdr:col>
      <xdr:colOff>904875</xdr:colOff>
      <xdr:row>20</xdr:row>
      <xdr:rowOff>133350</xdr:rowOff>
    </xdr:to>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0</xdr:colOff>
      <xdr:row>0</xdr:row>
      <xdr:rowOff>0</xdr:rowOff>
    </xdr:from>
    <xdr:to>
      <xdr:col>10</xdr:col>
      <xdr:colOff>749300</xdr:colOff>
      <xdr:row>66</xdr:row>
      <xdr:rowOff>127000</xdr:rowOff>
    </xdr:to>
    <xdr:sp macro="" textlink="">
      <xdr:nvSpPr>
        <xdr:cNvPr id="1032" name="Rectangle 8"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3</xdr:col>
      <xdr:colOff>12700</xdr:colOff>
      <xdr:row>22</xdr:row>
      <xdr:rowOff>25400</xdr:rowOff>
    </xdr:from>
    <xdr:to>
      <xdr:col>8</xdr:col>
      <xdr:colOff>917575</xdr:colOff>
      <xdr:row>41</xdr:row>
      <xdr:rowOff>114300</xdr:rowOff>
    </xdr:to>
    <xdr:graphicFrame macro="">
      <xdr:nvGraphicFramePr>
        <xdr:cNvPr id="5" name="Chart 4" title="Char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546100</xdr:colOff>
      <xdr:row>66</xdr:row>
      <xdr:rowOff>127000</xdr:rowOff>
    </xdr:to>
    <xdr:sp macro="" textlink="">
      <xdr:nvSpPr>
        <xdr:cNvPr id="2049" name="Rectangle 1"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8"/>
  <sheetViews>
    <sheetView tabSelected="1" workbookViewId="0">
      <selection activeCell="J26" sqref="J26"/>
    </sheetView>
  </sheetViews>
  <sheetFormatPr baseColWidth="10" defaultColWidth="14.5" defaultRowHeight="15.75" customHeight="1" x14ac:dyDescent="0"/>
  <cols>
    <col min="1" max="1" width="26.33203125" customWidth="1"/>
  </cols>
  <sheetData>
    <row r="1" spans="1:7" ht="76" customHeight="1">
      <c r="A1" s="14" t="s">
        <v>15</v>
      </c>
      <c r="B1" s="15"/>
      <c r="C1" s="15"/>
      <c r="D1" s="15"/>
      <c r="E1" s="15"/>
      <c r="F1" s="15"/>
      <c r="G1" s="15"/>
    </row>
    <row r="3" spans="1:7" ht="15.75" customHeight="1">
      <c r="A3" s="9" t="s">
        <v>16</v>
      </c>
    </row>
    <row r="4" spans="1:7" ht="15.75" customHeight="1">
      <c r="A4" s="10" t="s">
        <v>17</v>
      </c>
      <c r="B4" s="11">
        <v>20</v>
      </c>
    </row>
    <row r="5" spans="1:7" ht="15.75" customHeight="1">
      <c r="A5" s="10" t="s">
        <v>18</v>
      </c>
      <c r="B5" s="11">
        <v>4</v>
      </c>
    </row>
    <row r="6" spans="1:7" ht="15.75" customHeight="1">
      <c r="A6" s="10" t="s">
        <v>19</v>
      </c>
      <c r="B6" s="11">
        <v>1.05</v>
      </c>
    </row>
    <row r="9" spans="1:7" ht="15.75" customHeight="1">
      <c r="A9" s="9" t="s">
        <v>20</v>
      </c>
    </row>
    <row r="10" spans="1:7" ht="15.75" customHeight="1">
      <c r="A10" s="11">
        <v>25</v>
      </c>
      <c r="B10" s="11">
        <v>2</v>
      </c>
    </row>
    <row r="11" spans="1:7" ht="15.75" customHeight="1">
      <c r="A11" s="11">
        <v>50</v>
      </c>
      <c r="B11" s="11">
        <v>2</v>
      </c>
    </row>
    <row r="12" spans="1:7" ht="15.75" customHeight="1">
      <c r="A12" s="11">
        <v>100</v>
      </c>
      <c r="B12" s="11">
        <v>4</v>
      </c>
    </row>
    <row r="13" spans="1:7" ht="15.75" customHeight="1">
      <c r="A13" s="11">
        <v>200</v>
      </c>
      <c r="B13" s="11">
        <v>4</v>
      </c>
    </row>
    <row r="14" spans="1:7" ht="15.75" customHeight="1">
      <c r="A14" s="11">
        <v>300</v>
      </c>
      <c r="B14" s="11">
        <v>8</v>
      </c>
    </row>
    <row r="15" spans="1:7" ht="15.75" customHeight="1">
      <c r="A15" s="11">
        <v>400</v>
      </c>
      <c r="B15" s="11">
        <v>8</v>
      </c>
    </row>
    <row r="16" spans="1:7" ht="15.75" customHeight="1">
      <c r="A16" s="11">
        <v>500</v>
      </c>
      <c r="B16" s="11">
        <v>16</v>
      </c>
    </row>
    <row r="17" spans="1:2" ht="15.75" customHeight="1">
      <c r="A17" s="11">
        <v>600</v>
      </c>
      <c r="B17" s="11">
        <v>16</v>
      </c>
    </row>
    <row r="18" spans="1:2" ht="15.75" customHeight="1">
      <c r="A18" s="11">
        <v>700</v>
      </c>
      <c r="B18" s="11">
        <v>32</v>
      </c>
    </row>
    <row r="20" spans="1:2" ht="15.75" customHeight="1">
      <c r="A20" s="6" t="s">
        <v>21</v>
      </c>
      <c r="B20" s="11">
        <v>30</v>
      </c>
    </row>
    <row r="22" spans="1:2" ht="15.75" customHeight="1">
      <c r="A22" s="6" t="s">
        <v>22</v>
      </c>
      <c r="B22" s="11">
        <v>100000</v>
      </c>
    </row>
    <row r="23" spans="1:2" ht="15.75" customHeight="1">
      <c r="A23" s="6" t="s">
        <v>23</v>
      </c>
      <c r="B23" s="11">
        <v>0.5</v>
      </c>
    </row>
    <row r="25" spans="1:2" ht="15.75" customHeight="1">
      <c r="A25" s="6" t="s">
        <v>24</v>
      </c>
      <c r="B25" s="11">
        <v>0.01</v>
      </c>
    </row>
    <row r="27" spans="1:2" ht="15.75" customHeight="1">
      <c r="A27" s="6" t="s">
        <v>25</v>
      </c>
      <c r="B27" s="12">
        <v>0.5</v>
      </c>
    </row>
    <row r="28" spans="1:2" ht="15.75" customHeight="1">
      <c r="A28" s="6" t="s">
        <v>26</v>
      </c>
      <c r="B28" s="11">
        <v>50</v>
      </c>
    </row>
  </sheetData>
  <mergeCells count="1">
    <mergeCell ref="A1:G1"/>
  </mergeCells>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00"/>
  <sheetViews>
    <sheetView topLeftCell="C1" workbookViewId="0">
      <pane ySplit="1" topLeftCell="A2" activePane="bottomLeft" state="frozen"/>
      <selection pane="bottomLeft" activeCell="H13" sqref="H13"/>
    </sheetView>
  </sheetViews>
  <sheetFormatPr baseColWidth="10" defaultColWidth="14.5" defaultRowHeight="15.75" customHeight="1" x14ac:dyDescent="0"/>
  <cols>
    <col min="3" max="3" width="14.5" style="16"/>
    <col min="6" max="7" width="14.5" style="16"/>
  </cols>
  <sheetData>
    <row r="1" spans="1:22" ht="15.75" customHeight="1">
      <c r="A1" s="1"/>
      <c r="B1" s="1"/>
      <c r="C1" s="2" t="s">
        <v>0</v>
      </c>
      <c r="D1" s="2" t="s">
        <v>1</v>
      </c>
      <c r="E1" s="3" t="s">
        <v>2</v>
      </c>
      <c r="F1" s="2" t="s">
        <v>3</v>
      </c>
      <c r="G1" s="2" t="s">
        <v>4</v>
      </c>
      <c r="H1" s="3" t="s">
        <v>5</v>
      </c>
      <c r="I1" s="4" t="s">
        <v>6</v>
      </c>
      <c r="J1" s="3" t="s">
        <v>7</v>
      </c>
      <c r="K1" s="2" t="s">
        <v>8</v>
      </c>
      <c r="L1" s="2" t="s">
        <v>9</v>
      </c>
      <c r="N1" s="3" t="s">
        <v>10</v>
      </c>
      <c r="O1" s="3" t="s">
        <v>11</v>
      </c>
      <c r="P1" s="3" t="s">
        <v>12</v>
      </c>
      <c r="Q1" s="4"/>
      <c r="R1" s="4"/>
      <c r="S1" s="3" t="s">
        <v>13</v>
      </c>
      <c r="T1" s="4"/>
    </row>
    <row r="2" spans="1:22" ht="12" customHeight="1">
      <c r="A2" s="1"/>
      <c r="B2" s="1"/>
      <c r="C2" s="2">
        <f>(S2*'Prestige Patterns'!$B$20)/60</f>
        <v>0.5</v>
      </c>
      <c r="D2" s="2">
        <v>0</v>
      </c>
      <c r="E2" s="3">
        <v>1</v>
      </c>
      <c r="F2" s="2">
        <v>0</v>
      </c>
      <c r="G2" s="2">
        <v>0</v>
      </c>
      <c r="H2" s="9">
        <v>1</v>
      </c>
      <c r="I2" s="4">
        <v>1</v>
      </c>
      <c r="J2" s="3">
        <v>0</v>
      </c>
      <c r="K2" s="2">
        <v>0</v>
      </c>
      <c r="L2" s="2">
        <v>0</v>
      </c>
      <c r="N2">
        <f t="shared" ref="N2:N751" si="0">P2*O2*I2</f>
        <v>20</v>
      </c>
      <c r="O2" s="3">
        <f>'Prestige Patterns'!$B$4*E2</f>
        <v>20</v>
      </c>
      <c r="P2" s="3">
        <v>1</v>
      </c>
      <c r="Q2" s="5"/>
      <c r="R2" s="5"/>
      <c r="S2" s="3">
        <v>1</v>
      </c>
      <c r="T2" s="5"/>
      <c r="U2" s="6" t="s">
        <v>14</v>
      </c>
    </row>
    <row r="3" spans="1:22" ht="12">
      <c r="A3" s="1"/>
      <c r="B3" s="1"/>
      <c r="C3" s="2">
        <f>(S3*'Prestige Patterns'!$B$20)/60</f>
        <v>1</v>
      </c>
      <c r="D3" s="2">
        <f>IF(L2=L3,N2*'Prestige Patterns'!$B$20+D2-F3,0)</f>
        <v>600</v>
      </c>
      <c r="E3" s="3">
        <f t="shared" ref="E3:E751" si="1">IF(L2=L3,E2+G3,1)</f>
        <v>1</v>
      </c>
      <c r="F3" s="8">
        <f>'Prestige Patterns'!$B$5*('Prestige Patterns'!$B$6^E2-'Prestige Patterns'!$B$6^(E2+G3))/(1-'Prestige Patterns'!$B$6)</f>
        <v>0</v>
      </c>
      <c r="G3" s="8">
        <f>FLOOR(LOG('Prestige Patterns'!$B$6^(E2) - (D2*(1-'Prestige Patterns'!$B$6)/'Prestige Patterns'!$B$5),'Prestige Patterns'!$B$6)-E2,1)</f>
        <v>0</v>
      </c>
      <c r="H3">
        <f t="shared" ref="H3:H751" si="2">IF(L3=L2,H2,H2+J2)</f>
        <v>1</v>
      </c>
      <c r="I3" s="5">
        <f>1+H3*'Prestige Patterns'!$B$25</f>
        <v>1.01</v>
      </c>
      <c r="J3">
        <f>FLOOR((K3/'Prestige Patterns'!$B$22)^'Prestige Patterns'!$B$23,1)-H2</f>
        <v>-1</v>
      </c>
      <c r="K3" s="8">
        <f>K2+N2*'Prestige Patterns'!$B$20</f>
        <v>600</v>
      </c>
      <c r="L3" s="2">
        <f>IF(J2&gt;='Prestige Patterns'!$B$28,IF(J2/(H2+1)&gt;('Prestige Patterns'!$B$27+1),L2+1,L2),L2)</f>
        <v>0</v>
      </c>
      <c r="N3">
        <f t="shared" si="0"/>
        <v>20.2</v>
      </c>
      <c r="O3" s="3">
        <f>'Prestige Patterns'!$B$4*E3</f>
        <v>20</v>
      </c>
      <c r="P3">
        <f t="shared" ref="P3:P751" si="3">IF(ISNA(VLOOKUP(E3,$U$3:$V$11,2,TRUE)),P2, VLOOKUP(E3,$U$3:$V$11,2,TRUE))</f>
        <v>1</v>
      </c>
      <c r="Q3" s="5"/>
      <c r="R3" s="5"/>
      <c r="S3" s="3">
        <v>2</v>
      </c>
      <c r="T3" s="5"/>
      <c r="U3" s="3">
        <f>'Prestige Patterns'!A10</f>
        <v>25</v>
      </c>
      <c r="V3" s="3">
        <f>'Prestige Patterns'!B10</f>
        <v>2</v>
      </c>
    </row>
    <row r="4" spans="1:22" ht="12">
      <c r="A4" s="1"/>
      <c r="B4" s="1"/>
      <c r="C4" s="2">
        <f>(S4*'Prestige Patterns'!$B$20)/60</f>
        <v>1.5</v>
      </c>
      <c r="D4" s="2">
        <f>IF(L3=L4,N3*'Prestige Patterns'!$B$20+D3-F4,0)</f>
        <v>638.02664537013663</v>
      </c>
      <c r="E4" s="3">
        <f t="shared" si="1"/>
        <v>43</v>
      </c>
      <c r="F4" s="8">
        <f>'Prestige Patterns'!$B$5*('Prestige Patterns'!$B$6^E3-'Prestige Patterns'!$B$6^(E3+G4))/(1-'Prestige Patterns'!$B$6)</f>
        <v>567.97335462986337</v>
      </c>
      <c r="G4" s="8">
        <f>FLOOR(LOG('Prestige Patterns'!$B$6^(E3) - (D3*(1-'Prestige Patterns'!$B$6)/'Prestige Patterns'!$B$5),'Prestige Patterns'!$B$6)-E3,1)</f>
        <v>42</v>
      </c>
      <c r="H4">
        <f t="shared" si="2"/>
        <v>1</v>
      </c>
      <c r="I4" s="5">
        <f>1+H4*'Prestige Patterns'!$B$25</f>
        <v>1.01</v>
      </c>
      <c r="J4">
        <f>FLOOR((K4/'Prestige Patterns'!$B$22)^'Prestige Patterns'!$B$23,1)-H3</f>
        <v>-1</v>
      </c>
      <c r="K4" s="8">
        <f>K3+N3*'Prestige Patterns'!$B$20</f>
        <v>1206</v>
      </c>
      <c r="L4" s="2">
        <f>IF(J3&gt;='Prestige Patterns'!$B$28,IF(J3/(H3+1)&gt;('Prestige Patterns'!$B$27+1),L3+1,L3),L3)</f>
        <v>0</v>
      </c>
      <c r="N4">
        <f t="shared" si="0"/>
        <v>1737.2</v>
      </c>
      <c r="O4" s="3">
        <f>'Prestige Patterns'!$B$4*E4</f>
        <v>860</v>
      </c>
      <c r="P4">
        <f t="shared" si="3"/>
        <v>2</v>
      </c>
      <c r="Q4" s="5"/>
      <c r="R4" s="5"/>
      <c r="S4" s="3">
        <v>3</v>
      </c>
      <c r="T4" s="5"/>
      <c r="U4" s="3">
        <f>'Prestige Patterns'!A11</f>
        <v>50</v>
      </c>
      <c r="V4" s="3">
        <f>V3*'Prestige Patterns'!B11</f>
        <v>4</v>
      </c>
    </row>
    <row r="5" spans="1:22" ht="12">
      <c r="A5" s="1"/>
      <c r="B5" s="1"/>
      <c r="C5" s="2">
        <f>(S5*'Prestige Patterns'!$B$20)/60</f>
        <v>2</v>
      </c>
      <c r="D5" s="2">
        <f>IF(L4=L5,N4*'Prestige Patterns'!$B$20+D4-F5,0)</f>
        <v>52176.60700302459</v>
      </c>
      <c r="E5" s="3">
        <f t="shared" si="1"/>
        <v>56</v>
      </c>
      <c r="F5" s="8">
        <f>'Prestige Patterns'!$B$5*('Prestige Patterns'!$B$6^E4-'Prestige Patterns'!$B$6^(E4+G5))/(1-'Prestige Patterns'!$B$6)</f>
        <v>577.41964234554121</v>
      </c>
      <c r="G5" s="8">
        <f>FLOOR(LOG('Prestige Patterns'!$B$6^(E4) - (D4*(1-'Prestige Patterns'!$B$6)/'Prestige Patterns'!$B$5),'Prestige Patterns'!$B$6)-E4,1)</f>
        <v>13</v>
      </c>
      <c r="H5">
        <f t="shared" si="2"/>
        <v>1</v>
      </c>
      <c r="I5" s="5">
        <f>1+H5*'Prestige Patterns'!$B$25</f>
        <v>1.01</v>
      </c>
      <c r="J5">
        <f>FLOOR((K5/'Prestige Patterns'!$B$22)^'Prestige Patterns'!$B$23,1)-H4</f>
        <v>-1</v>
      </c>
      <c r="K5" s="8">
        <f>K4+N4*'Prestige Patterns'!$B$20</f>
        <v>53322</v>
      </c>
      <c r="L5" s="2">
        <f>IF(J4&gt;='Prestige Patterns'!$B$28,IF(J4/(H4+1)&gt;('Prestige Patterns'!$B$27+1),L4+1,L4),L4)</f>
        <v>0</v>
      </c>
      <c r="N5">
        <f t="shared" si="0"/>
        <v>4524.8</v>
      </c>
      <c r="O5" s="3">
        <f>'Prestige Patterns'!$B$4*E5</f>
        <v>1120</v>
      </c>
      <c r="P5">
        <f t="shared" si="3"/>
        <v>4</v>
      </c>
      <c r="Q5" s="5"/>
      <c r="R5" s="5"/>
      <c r="S5" s="3">
        <v>4</v>
      </c>
      <c r="T5" s="5"/>
      <c r="U5" s="3">
        <f>'Prestige Patterns'!A12</f>
        <v>100</v>
      </c>
      <c r="V5" s="3">
        <f>V4*'Prestige Patterns'!B12</f>
        <v>16</v>
      </c>
    </row>
    <row r="6" spans="1:22" ht="12">
      <c r="A6" s="1"/>
      <c r="B6" s="1"/>
      <c r="C6" s="2">
        <f>(S6*'Prestige Patterns'!$B$20)/60</f>
        <v>2.5</v>
      </c>
      <c r="D6" s="2">
        <f>IF(L5=L6,N5*'Prestige Patterns'!$B$20+D5-F6,0)</f>
        <v>136515.95307842747</v>
      </c>
      <c r="E6" s="3">
        <f t="shared" si="1"/>
        <v>133</v>
      </c>
      <c r="F6" s="8">
        <f>'Prestige Patterns'!$B$5*('Prestige Patterns'!$B$6^E5-'Prestige Patterns'!$B$6^(E5+G6))/(1-'Prestige Patterns'!$B$6)</f>
        <v>51404.653924597122</v>
      </c>
      <c r="G6" s="8">
        <f>FLOOR(LOG('Prestige Patterns'!$B$6^(E5) - (D5*(1-'Prestige Patterns'!$B$6)/'Prestige Patterns'!$B$5),'Prestige Patterns'!$B$6)-E5,1)</f>
        <v>77</v>
      </c>
      <c r="H6">
        <f t="shared" si="2"/>
        <v>1</v>
      </c>
      <c r="I6" s="5">
        <f>1+H6*'Prestige Patterns'!$B$25</f>
        <v>1.01</v>
      </c>
      <c r="J6">
        <f>FLOOR((K6/'Prestige Patterns'!$B$22)^'Prestige Patterns'!$B$23,1)-H5</f>
        <v>0</v>
      </c>
      <c r="K6" s="8">
        <f>K5+N5*'Prestige Patterns'!$B$20</f>
        <v>189066</v>
      </c>
      <c r="L6" s="2">
        <f>IF(J5&gt;='Prestige Patterns'!$B$28,IF(J5/(H5+1)&gt;('Prestige Patterns'!$B$27+1),L5+1,L5),L5)</f>
        <v>0</v>
      </c>
      <c r="N6">
        <f t="shared" si="0"/>
        <v>42985.599999999999</v>
      </c>
      <c r="O6" s="3">
        <f>'Prestige Patterns'!$B$4*E6</f>
        <v>2660</v>
      </c>
      <c r="P6">
        <f t="shared" si="3"/>
        <v>16</v>
      </c>
      <c r="Q6" s="5"/>
      <c r="R6" s="5"/>
      <c r="S6" s="3">
        <v>5</v>
      </c>
      <c r="T6" s="5"/>
      <c r="U6" s="3">
        <f>'Prestige Patterns'!A13</f>
        <v>200</v>
      </c>
      <c r="V6" s="3">
        <f>V5*'Prestige Patterns'!B13</f>
        <v>64</v>
      </c>
    </row>
    <row r="7" spans="1:22" ht="12">
      <c r="A7" s="1"/>
      <c r="B7" s="1"/>
      <c r="C7" s="2">
        <f>(S7*'Prestige Patterns'!$B$20)/60</f>
        <v>3</v>
      </c>
      <c r="D7" s="2">
        <f>IF(L6=L7,N6*'Prestige Patterns'!$B$20+D6-F7,0)</f>
        <v>1291568.5569049828</v>
      </c>
      <c r="E7" s="3">
        <f t="shared" si="1"/>
        <v>159</v>
      </c>
      <c r="F7" s="8">
        <f>'Prestige Patterns'!$B$5*('Prestige Patterns'!$B$6^E6-'Prestige Patterns'!$B$6^(E6+G7))/(1-'Prestige Patterns'!$B$6)</f>
        <v>134515.39617344458</v>
      </c>
      <c r="G7" s="8">
        <f>FLOOR(LOG('Prestige Patterns'!$B$6^(E6) - (D6*(1-'Prestige Patterns'!$B$6)/'Prestige Patterns'!$B$5),'Prestige Patterns'!$B$6)-E6,1)</f>
        <v>26</v>
      </c>
      <c r="H7">
        <f t="shared" si="2"/>
        <v>1</v>
      </c>
      <c r="I7" s="5">
        <f>1+H7*'Prestige Patterns'!$B$25</f>
        <v>1.01</v>
      </c>
      <c r="J7">
        <f>FLOOR((K7/'Prestige Patterns'!$B$22)^'Prestige Patterns'!$B$23,1)-H6</f>
        <v>2</v>
      </c>
      <c r="K7" s="8">
        <f>K6+N6*'Prestige Patterns'!$B$20</f>
        <v>1478634</v>
      </c>
      <c r="L7" s="2">
        <f>IF(J6&gt;='Prestige Patterns'!$B$28,IF(J6/(H6+1)&gt;('Prestige Patterns'!$B$27+1),L6+1,L6),L6)</f>
        <v>0</v>
      </c>
      <c r="N7">
        <f t="shared" si="0"/>
        <v>51388.800000000003</v>
      </c>
      <c r="O7" s="3">
        <f>'Prestige Patterns'!$B$4*E7</f>
        <v>3180</v>
      </c>
      <c r="P7">
        <f t="shared" si="3"/>
        <v>16</v>
      </c>
      <c r="Q7" s="5"/>
      <c r="R7" s="5"/>
      <c r="S7" s="3">
        <v>6</v>
      </c>
      <c r="T7" s="5"/>
      <c r="U7" s="3">
        <f>'Prestige Patterns'!A14</f>
        <v>300</v>
      </c>
      <c r="V7" s="3">
        <f>V6*'Prestige Patterns'!B14</f>
        <v>512</v>
      </c>
    </row>
    <row r="8" spans="1:22" ht="12">
      <c r="A8" s="1"/>
      <c r="B8" s="1"/>
      <c r="C8" s="2">
        <f>(S8*'Prestige Patterns'!$B$20)/60</f>
        <v>3.5</v>
      </c>
      <c r="D8" s="2">
        <f>IF(L7=L8,N7*'Prestige Patterns'!$B$20+D7-F8,0)</f>
        <v>1567805.2115265583</v>
      </c>
      <c r="E8" s="3">
        <f t="shared" si="1"/>
        <v>201</v>
      </c>
      <c r="F8" s="8">
        <f>'Prestige Patterns'!$B$5*('Prestige Patterns'!$B$6^E7-'Prestige Patterns'!$B$6^(E7+G8))/(1-'Prestige Patterns'!$B$6)</f>
        <v>1265427.3453784245</v>
      </c>
      <c r="G8" s="8">
        <f>FLOOR(LOG('Prestige Patterns'!$B$6^(E7) - (D7*(1-'Prestige Patterns'!$B$6)/'Prestige Patterns'!$B$5),'Prestige Patterns'!$B$6)-E7,1)</f>
        <v>42</v>
      </c>
      <c r="H8">
        <f t="shared" si="2"/>
        <v>1</v>
      </c>
      <c r="I8" s="5">
        <f>1+H8*'Prestige Patterns'!$B$25</f>
        <v>1.01</v>
      </c>
      <c r="J8">
        <f>FLOOR((K8/'Prestige Patterns'!$B$22)^'Prestige Patterns'!$B$23,1)-H7</f>
        <v>4</v>
      </c>
      <c r="K8" s="8">
        <f>K7+N7*'Prestige Patterns'!$B$20</f>
        <v>3020298</v>
      </c>
      <c r="L8" s="2">
        <f>IF(J7&gt;='Prestige Patterns'!$B$28,IF(J7/(H7+1)&gt;('Prestige Patterns'!$B$27+1),L7+1,L7),L7)</f>
        <v>0</v>
      </c>
      <c r="N8">
        <f t="shared" si="0"/>
        <v>259852.79999999999</v>
      </c>
      <c r="O8" s="3">
        <f>'Prestige Patterns'!$B$4*E8</f>
        <v>4020</v>
      </c>
      <c r="P8">
        <f t="shared" si="3"/>
        <v>64</v>
      </c>
      <c r="Q8" s="5"/>
      <c r="R8" s="5"/>
      <c r="S8" s="3">
        <v>7</v>
      </c>
      <c r="T8" s="5"/>
      <c r="U8" s="3">
        <f>'Prestige Patterns'!A15</f>
        <v>400</v>
      </c>
      <c r="V8" s="3">
        <f>V7*'Prestige Patterns'!B15</f>
        <v>4096</v>
      </c>
    </row>
    <row r="9" spans="1:22" ht="12">
      <c r="A9" s="1"/>
      <c r="B9" s="1"/>
      <c r="C9" s="2">
        <f>(S9*'Prestige Patterns'!$B$20)/60</f>
        <v>4</v>
      </c>
      <c r="D9" s="2">
        <f>IF(L8=L9,N8*'Prestige Patterns'!$B$20+D8-F9,0)</f>
        <v>7796163.1816836968</v>
      </c>
      <c r="E9" s="3">
        <f t="shared" si="1"/>
        <v>216</v>
      </c>
      <c r="F9" s="8">
        <f>'Prestige Patterns'!$B$5*('Prestige Patterns'!$B$6^E8-'Prestige Patterns'!$B$6^(E8+G9))/(1-'Prestige Patterns'!$B$6)</f>
        <v>1567226.0298428612</v>
      </c>
      <c r="G9" s="8">
        <f>FLOOR(LOG('Prestige Patterns'!$B$6^(E8) - (D8*(1-'Prestige Patterns'!$B$6)/'Prestige Patterns'!$B$5),'Prestige Patterns'!$B$6)-E8,1)</f>
        <v>15</v>
      </c>
      <c r="H9">
        <f t="shared" si="2"/>
        <v>1</v>
      </c>
      <c r="I9" s="5">
        <f>1+H9*'Prestige Patterns'!$B$25</f>
        <v>1.01</v>
      </c>
      <c r="J9">
        <f>FLOOR((K9/'Prestige Patterns'!$B$22)^'Prestige Patterns'!$B$23,1)-H8</f>
        <v>9</v>
      </c>
      <c r="K9" s="8">
        <f>K8+N8*'Prestige Patterns'!$B$20</f>
        <v>10815882</v>
      </c>
      <c r="L9" s="2">
        <f>IF(J8&gt;='Prestige Patterns'!$B$28,IF(J8/(H8+1)&gt;('Prestige Patterns'!$B$27+1),L8+1,L8),L8)</f>
        <v>0</v>
      </c>
      <c r="N9">
        <f t="shared" si="0"/>
        <v>279244.79999999999</v>
      </c>
      <c r="O9" s="3">
        <f>'Prestige Patterns'!$B$4*E9</f>
        <v>4320</v>
      </c>
      <c r="P9">
        <f t="shared" si="3"/>
        <v>64</v>
      </c>
      <c r="Q9" s="5"/>
      <c r="R9" s="5"/>
      <c r="S9" s="3">
        <v>8</v>
      </c>
      <c r="T9" s="5"/>
      <c r="U9" s="3">
        <f>'Prestige Patterns'!A16</f>
        <v>500</v>
      </c>
      <c r="V9" s="3">
        <f>V8*'Prestige Patterns'!B16</f>
        <v>65536</v>
      </c>
    </row>
    <row r="10" spans="1:22" ht="12">
      <c r="A10" s="1"/>
      <c r="B10" s="1"/>
      <c r="C10" s="2">
        <f>(S10*'Prestige Patterns'!$B$20)/60</f>
        <v>4.5</v>
      </c>
      <c r="D10" s="2">
        <f>IF(L9=L10,N9*'Prestige Patterns'!$B$20+D9-F10,0)</f>
        <v>8455879.5959353279</v>
      </c>
      <c r="E10" s="3">
        <f t="shared" si="1"/>
        <v>242</v>
      </c>
      <c r="F10" s="8">
        <f>'Prestige Patterns'!$B$5*('Prestige Patterns'!$B$6^E9-'Prestige Patterns'!$B$6^(E9+G10))/(1-'Prestige Patterns'!$B$6)</f>
        <v>7717627.5857483689</v>
      </c>
      <c r="G10" s="8">
        <f>FLOOR(LOG('Prestige Patterns'!$B$6^(E9) - (D9*(1-'Prestige Patterns'!$B$6)/'Prestige Patterns'!$B$5),'Prestige Patterns'!$B$6)-E9,1)</f>
        <v>26</v>
      </c>
      <c r="H10">
        <f t="shared" si="2"/>
        <v>1</v>
      </c>
      <c r="I10" s="5">
        <f>1+H10*'Prestige Patterns'!$B$25</f>
        <v>1.01</v>
      </c>
      <c r="J10">
        <f>FLOOR((K10/'Prestige Patterns'!$B$22)^'Prestige Patterns'!$B$23,1)-H9</f>
        <v>12</v>
      </c>
      <c r="K10" s="8">
        <f>K9+N9*'Prestige Patterns'!$B$20</f>
        <v>19193226</v>
      </c>
      <c r="L10" s="2">
        <f>IF(J9&gt;='Prestige Patterns'!$B$28,IF(J9/(H9+1)&gt;('Prestige Patterns'!$B$27+1),L9+1,L9),L9)</f>
        <v>0</v>
      </c>
      <c r="N10">
        <f t="shared" si="0"/>
        <v>312857.59999999998</v>
      </c>
      <c r="O10" s="3">
        <f>'Prestige Patterns'!$B$4*E10</f>
        <v>4840</v>
      </c>
      <c r="P10">
        <f t="shared" si="3"/>
        <v>64</v>
      </c>
      <c r="Q10" s="5"/>
      <c r="R10" s="5"/>
      <c r="S10" s="3">
        <v>9</v>
      </c>
      <c r="T10" s="5"/>
      <c r="U10" s="3">
        <f>'Prestige Patterns'!A17</f>
        <v>600</v>
      </c>
      <c r="V10" s="3">
        <f>V9*'Prestige Patterns'!B17</f>
        <v>1048576</v>
      </c>
    </row>
    <row r="11" spans="1:22" ht="12">
      <c r="A11" s="1"/>
      <c r="B11" s="1"/>
      <c r="C11" s="2">
        <f>(S11*'Prestige Patterns'!$B$20)/60</f>
        <v>5</v>
      </c>
      <c r="D11" s="2">
        <f>IF(L10=L11,N10*'Prestige Patterns'!$B$20+D10-F11,0)</f>
        <v>10214388.174893439</v>
      </c>
      <c r="E11" s="3">
        <f t="shared" si="1"/>
        <v>253</v>
      </c>
      <c r="F11" s="8">
        <f>'Prestige Patterns'!$B$5*('Prestige Patterns'!$B$6^E10-'Prestige Patterns'!$B$6^(E10+G11))/(1-'Prestige Patterns'!$B$6)</f>
        <v>7627219.42104189</v>
      </c>
      <c r="G11" s="8">
        <f>FLOOR(LOG('Prestige Patterns'!$B$6^(E10) - (D10*(1-'Prestige Patterns'!$B$6)/'Prestige Patterns'!$B$5),'Prestige Patterns'!$B$6)-E10,1)</f>
        <v>11</v>
      </c>
      <c r="H11">
        <f t="shared" si="2"/>
        <v>1</v>
      </c>
      <c r="I11" s="5">
        <f>1+H11*'Prestige Patterns'!$B$25</f>
        <v>1.01</v>
      </c>
      <c r="J11">
        <f>FLOOR((K11/'Prestige Patterns'!$B$22)^'Prestige Patterns'!$B$23,1)-H10</f>
        <v>15</v>
      </c>
      <c r="K11" s="8">
        <f>K10+N10*'Prestige Patterns'!$B$20</f>
        <v>28578954</v>
      </c>
      <c r="L11" s="2">
        <f>IF(J10&gt;='Prestige Patterns'!$B$28,IF(J10/(H10+1)&gt;('Prestige Patterns'!$B$27+1),L10+1,L10),L10)</f>
        <v>0</v>
      </c>
      <c r="N11">
        <f t="shared" si="0"/>
        <v>327078.40000000002</v>
      </c>
      <c r="O11" s="3">
        <f>'Prestige Patterns'!$B$4*E11</f>
        <v>5060</v>
      </c>
      <c r="P11">
        <f t="shared" si="3"/>
        <v>64</v>
      </c>
      <c r="Q11" s="5"/>
      <c r="R11" s="5"/>
      <c r="S11" s="3">
        <v>10</v>
      </c>
      <c r="T11" s="5"/>
      <c r="U11" s="3">
        <f>'Prestige Patterns'!A18</f>
        <v>700</v>
      </c>
      <c r="V11" s="3">
        <f>V10*'Prestige Patterns'!B18</f>
        <v>33554432</v>
      </c>
    </row>
    <row r="12" spans="1:22" ht="12">
      <c r="A12" s="1"/>
      <c r="B12" s="1"/>
      <c r="C12" s="2">
        <f>(S12*'Prestige Patterns'!$B$20)/60</f>
        <v>5.5</v>
      </c>
      <c r="D12" s="2">
        <f>IF(L11=L12,N11*'Prestige Patterns'!$B$20+D11-F12,0)</f>
        <v>9901790.5497472808</v>
      </c>
      <c r="E12" s="3">
        <f t="shared" si="1"/>
        <v>262</v>
      </c>
      <c r="F12" s="8">
        <f>'Prestige Patterns'!$B$5*('Prestige Patterns'!$B$6^E11-'Prestige Patterns'!$B$6^(E11+G12))/(1-'Prestige Patterns'!$B$6)</f>
        <v>10124949.625146158</v>
      </c>
      <c r="G12" s="8">
        <f>FLOOR(LOG('Prestige Patterns'!$B$6^(E11) - (D11*(1-'Prestige Patterns'!$B$6)/'Prestige Patterns'!$B$5),'Prestige Patterns'!$B$6)-E11,1)</f>
        <v>9</v>
      </c>
      <c r="H12">
        <f t="shared" si="2"/>
        <v>1</v>
      </c>
      <c r="I12" s="5">
        <f>1+H12*'Prestige Patterns'!$B$25</f>
        <v>1.01</v>
      </c>
      <c r="J12">
        <f>FLOOR((K12/'Prestige Patterns'!$B$22)^'Prestige Patterns'!$B$23,1)-H11</f>
        <v>18</v>
      </c>
      <c r="K12" s="8">
        <f>K11+N11*'Prestige Patterns'!$B$20</f>
        <v>38391306</v>
      </c>
      <c r="L12" s="2">
        <f>IF(J11&gt;='Prestige Patterns'!$B$28,IF(J11/(H11+1)&gt;('Prestige Patterns'!$B$27+1),L11+1,L11),L11)</f>
        <v>0</v>
      </c>
      <c r="N12">
        <f t="shared" si="0"/>
        <v>338713.59999999998</v>
      </c>
      <c r="O12" s="3">
        <f>'Prestige Patterns'!$B$4*E12</f>
        <v>5240</v>
      </c>
      <c r="P12">
        <f t="shared" si="3"/>
        <v>64</v>
      </c>
      <c r="Q12" s="5"/>
      <c r="R12" s="5"/>
      <c r="S12" s="3">
        <v>11</v>
      </c>
      <c r="T12" s="5"/>
      <c r="U12" s="3"/>
      <c r="V12" s="3"/>
    </row>
    <row r="13" spans="1:22" ht="12">
      <c r="A13" s="1"/>
      <c r="B13" s="1"/>
      <c r="C13" s="2">
        <f>(S13*'Prestige Patterns'!$B$20)/60</f>
        <v>6</v>
      </c>
      <c r="D13" s="2">
        <f>IF(L12=L13,N12*'Prestige Patterns'!$B$20+D12-F13,0)</f>
        <v>10374009.973563934</v>
      </c>
      <c r="E13" s="3">
        <f t="shared" si="1"/>
        <v>268</v>
      </c>
      <c r="F13" s="8">
        <f>'Prestige Patterns'!$B$5*('Prestige Patterns'!$B$6^E12-'Prestige Patterns'!$B$6^(E12+G13))/(1-'Prestige Patterns'!$B$6)</f>
        <v>9689188.576183347</v>
      </c>
      <c r="G13" s="8">
        <f>FLOOR(LOG('Prestige Patterns'!$B$6^(E12) - (D12*(1-'Prestige Patterns'!$B$6)/'Prestige Patterns'!$B$5),'Prestige Patterns'!$B$6)-E12,1)</f>
        <v>6</v>
      </c>
      <c r="H13">
        <f t="shared" si="2"/>
        <v>1</v>
      </c>
      <c r="I13" s="5">
        <f>1+H13*'Prestige Patterns'!$B$25</f>
        <v>1.01</v>
      </c>
      <c r="J13">
        <f>FLOOR((K13/'Prestige Patterns'!$B$22)^'Prestige Patterns'!$B$23,1)-H12</f>
        <v>21</v>
      </c>
      <c r="K13" s="8">
        <f>K12+N12*'Prestige Patterns'!$B$20</f>
        <v>48552714</v>
      </c>
      <c r="L13" s="2">
        <f>IF(J12&gt;='Prestige Patterns'!$B$28,IF(J12/(H12+1)&gt;('Prestige Patterns'!$B$27+1),L12+1,L12),L12)</f>
        <v>0</v>
      </c>
      <c r="N13">
        <f t="shared" si="0"/>
        <v>346470.40000000002</v>
      </c>
      <c r="O13" s="3">
        <f>'Prestige Patterns'!$B$4*E13</f>
        <v>5360</v>
      </c>
      <c r="P13">
        <f t="shared" si="3"/>
        <v>64</v>
      </c>
      <c r="Q13" s="5"/>
      <c r="R13" s="5"/>
      <c r="S13" s="3">
        <v>12</v>
      </c>
      <c r="T13" s="5"/>
      <c r="U13" s="3"/>
      <c r="V13" s="3"/>
    </row>
    <row r="14" spans="1:22" ht="12">
      <c r="A14" s="1"/>
      <c r="B14" s="1"/>
      <c r="C14" s="2">
        <f>(S14*'Prestige Patterns'!$B$20)/60</f>
        <v>6.5</v>
      </c>
      <c r="D14" s="2">
        <f>IF(L13=L14,N13*'Prestige Patterns'!$B$20+D13-F14,0)</f>
        <v>12540354.536441782</v>
      </c>
      <c r="E14" s="3">
        <f t="shared" si="1"/>
        <v>272</v>
      </c>
      <c r="F14" s="8">
        <f>'Prestige Patterns'!$B$5*('Prestige Patterns'!$B$6^E13-'Prestige Patterns'!$B$6^(E13+G14))/(1-'Prestige Patterns'!$B$6)</f>
        <v>8227767.4371221494</v>
      </c>
      <c r="G14" s="8">
        <f>FLOOR(LOG('Prestige Patterns'!$B$6^(E13) - (D13*(1-'Prestige Patterns'!$B$6)/'Prestige Patterns'!$B$5),'Prestige Patterns'!$B$6)-E13,1)</f>
        <v>4</v>
      </c>
      <c r="H14">
        <f t="shared" si="2"/>
        <v>1</v>
      </c>
      <c r="I14" s="5">
        <f>1+H14*'Prestige Patterns'!$B$25</f>
        <v>1.01</v>
      </c>
      <c r="J14">
        <f>FLOOR((K14/'Prestige Patterns'!$B$22)^'Prestige Patterns'!$B$23,1)-H13</f>
        <v>23</v>
      </c>
      <c r="K14" s="8">
        <f>K13+N13*'Prestige Patterns'!$B$20</f>
        <v>58946826</v>
      </c>
      <c r="L14" s="2">
        <f>IF(J13&gt;='Prestige Patterns'!$B$28,IF(J13/(H13+1)&gt;('Prestige Patterns'!$B$27+1),L13+1,L13),L13)</f>
        <v>0</v>
      </c>
      <c r="N14">
        <f t="shared" si="0"/>
        <v>351641.59999999998</v>
      </c>
      <c r="O14" s="3">
        <f>'Prestige Patterns'!$B$4*E14</f>
        <v>5440</v>
      </c>
      <c r="P14">
        <f t="shared" si="3"/>
        <v>64</v>
      </c>
      <c r="Q14" s="5"/>
      <c r="R14" s="5"/>
      <c r="S14" s="3">
        <v>13</v>
      </c>
      <c r="T14" s="5"/>
      <c r="U14" s="3"/>
      <c r="V14" s="3"/>
    </row>
    <row r="15" spans="1:22" ht="12">
      <c r="A15" s="1"/>
      <c r="B15" s="1"/>
      <c r="C15" s="2">
        <f>(S15*'Prestige Patterns'!$B$20)/60</f>
        <v>7</v>
      </c>
      <c r="D15" s="2">
        <f>IF(L14=L15,N14*'Prestige Patterns'!$B$20+D14-F15,0)</f>
        <v>13088699.793073343</v>
      </c>
      <c r="E15" s="3">
        <f t="shared" si="1"/>
        <v>276</v>
      </c>
      <c r="F15" s="8">
        <f>'Prestige Patterns'!$B$5*('Prestige Patterns'!$B$6^E14-'Prestige Patterns'!$B$6^(E14+G15))/(1-'Prestige Patterns'!$B$6)</f>
        <v>10000902.743368438</v>
      </c>
      <c r="G15" s="8">
        <f>FLOOR(LOG('Prestige Patterns'!$B$6^(E14) - (D14*(1-'Prestige Patterns'!$B$6)/'Prestige Patterns'!$B$5),'Prestige Patterns'!$B$6)-E14,1)</f>
        <v>4</v>
      </c>
      <c r="H15">
        <f t="shared" si="2"/>
        <v>1</v>
      </c>
      <c r="I15" s="5">
        <f>1+H15*'Prestige Patterns'!$B$25</f>
        <v>1.01</v>
      </c>
      <c r="J15">
        <f>FLOOR((K15/'Prestige Patterns'!$B$22)^'Prestige Patterns'!$B$23,1)-H14</f>
        <v>25</v>
      </c>
      <c r="K15" s="8">
        <f>K14+N14*'Prestige Patterns'!$B$20</f>
        <v>69496074</v>
      </c>
      <c r="L15" s="2">
        <f>IF(J14&gt;='Prestige Patterns'!$B$28,IF(J14/(H14+1)&gt;('Prestige Patterns'!$B$27+1),L14+1,L14),L14)</f>
        <v>0</v>
      </c>
      <c r="N15">
        <f t="shared" si="0"/>
        <v>356812.79999999999</v>
      </c>
      <c r="O15" s="3">
        <f>'Prestige Patterns'!$B$4*E15</f>
        <v>5520</v>
      </c>
      <c r="P15">
        <f t="shared" si="3"/>
        <v>64</v>
      </c>
      <c r="Q15" s="5"/>
      <c r="R15" s="5"/>
      <c r="S15" s="3">
        <v>14</v>
      </c>
      <c r="T15" s="5"/>
    </row>
    <row r="16" spans="1:22" ht="12">
      <c r="A16" s="1"/>
      <c r="B16" s="1"/>
      <c r="C16" s="2">
        <f>(S16*'Prestige Patterns'!$B$20)/60</f>
        <v>7.5</v>
      </c>
      <c r="D16" s="2">
        <f>IF(L15=L16,N15*'Prestige Patterns'!$B$20+D15-F16,0)</f>
        <v>11636924.002866847</v>
      </c>
      <c r="E16" s="3">
        <f t="shared" si="1"/>
        <v>280</v>
      </c>
      <c r="F16" s="8">
        <f>'Prestige Patterns'!$B$5*('Prestige Patterns'!$B$6^E15-'Prestige Patterns'!$B$6^(E15+G16))/(1-'Prestige Patterns'!$B$6)</f>
        <v>12156159.790206494</v>
      </c>
      <c r="G16" s="8">
        <f>FLOOR(LOG('Prestige Patterns'!$B$6^(E15) - (D15*(1-'Prestige Patterns'!$B$6)/'Prestige Patterns'!$B$5),'Prestige Patterns'!$B$6)-E15,1)</f>
        <v>4</v>
      </c>
      <c r="H16">
        <f t="shared" si="2"/>
        <v>1</v>
      </c>
      <c r="I16" s="5">
        <f>1+H16*'Prestige Patterns'!$B$25</f>
        <v>1.01</v>
      </c>
      <c r="J16">
        <f>FLOOR((K16/'Prestige Patterns'!$B$22)^'Prestige Patterns'!$B$23,1)-H15</f>
        <v>27</v>
      </c>
      <c r="K16" s="8">
        <f>K15+N15*'Prestige Patterns'!$B$20</f>
        <v>80200458</v>
      </c>
      <c r="L16" s="2">
        <f>IF(J15&gt;='Prestige Patterns'!$B$28,IF(J15/(H15+1)&gt;('Prestige Patterns'!$B$27+1),L15+1,L15),L15)</f>
        <v>0</v>
      </c>
      <c r="N16">
        <f t="shared" si="0"/>
        <v>361984</v>
      </c>
      <c r="O16" s="3">
        <f>'Prestige Patterns'!$B$4*E16</f>
        <v>5600</v>
      </c>
      <c r="P16">
        <f t="shared" si="3"/>
        <v>64</v>
      </c>
      <c r="Q16" s="5"/>
      <c r="R16" s="5"/>
      <c r="S16" s="3">
        <v>15</v>
      </c>
      <c r="T16" s="5"/>
    </row>
    <row r="17" spans="1:20" ht="12">
      <c r="A17" s="1"/>
      <c r="B17" s="1"/>
      <c r="C17" s="2">
        <f>(S17*'Prestige Patterns'!$B$20)/60</f>
        <v>8</v>
      </c>
      <c r="D17" s="2">
        <f>IF(L16=L17,N16*'Prestige Patterns'!$B$20+D16-F17,0)</f>
        <v>11689103.716068726</v>
      </c>
      <c r="E17" s="3">
        <f t="shared" si="1"/>
        <v>283</v>
      </c>
      <c r="F17" s="8">
        <f>'Prestige Patterns'!$B$5*('Prestige Patterns'!$B$6^E16-'Prestige Patterns'!$B$6^(E16+G17))/(1-'Prestige Patterns'!$B$6)</f>
        <v>10807340.286798123</v>
      </c>
      <c r="G17" s="8">
        <f>FLOOR(LOG('Prestige Patterns'!$B$6^(E16) - (D16*(1-'Prestige Patterns'!$B$6)/'Prestige Patterns'!$B$5),'Prestige Patterns'!$B$6)-E16,1)</f>
        <v>3</v>
      </c>
      <c r="H17">
        <f t="shared" si="2"/>
        <v>1</v>
      </c>
      <c r="I17" s="5">
        <f>1+H17*'Prestige Patterns'!$B$25</f>
        <v>1.01</v>
      </c>
      <c r="J17">
        <f>FLOOR((K17/'Prestige Patterns'!$B$22)^'Prestige Patterns'!$B$23,1)-H16</f>
        <v>29</v>
      </c>
      <c r="K17" s="8">
        <f>K16+N16*'Prestige Patterns'!$B$20</f>
        <v>91059978</v>
      </c>
      <c r="L17" s="2">
        <f>IF(J16&gt;='Prestige Patterns'!$B$28,IF(J16/(H16+1)&gt;('Prestige Patterns'!$B$27+1),L16+1,L16),L16)</f>
        <v>0</v>
      </c>
      <c r="N17">
        <f t="shared" si="0"/>
        <v>365862.40000000002</v>
      </c>
      <c r="O17" s="3">
        <f>'Prestige Patterns'!$B$4*E17</f>
        <v>5660</v>
      </c>
      <c r="P17">
        <f t="shared" si="3"/>
        <v>64</v>
      </c>
      <c r="Q17" s="5"/>
      <c r="R17" s="5"/>
      <c r="S17" s="3">
        <v>16</v>
      </c>
      <c r="T17" s="5"/>
    </row>
    <row r="18" spans="1:20" ht="12">
      <c r="A18" s="1"/>
      <c r="B18" s="1"/>
      <c r="C18" s="2">
        <f>(S18*'Prestige Patterns'!$B$20)/60</f>
        <v>8.5</v>
      </c>
      <c r="D18" s="2">
        <f>IF(L17=L18,N17*'Prestige Patterns'!$B$20+D17-F18,0)</f>
        <v>14529452.491965776</v>
      </c>
      <c r="E18" s="3">
        <f t="shared" si="1"/>
        <v>285</v>
      </c>
      <c r="F18" s="8">
        <f>'Prestige Patterns'!$B$5*('Prestige Patterns'!$B$6^E17-'Prestige Patterns'!$B$6^(E17+G18))/(1-'Prestige Patterns'!$B$6)</f>
        <v>8135523.2241029497</v>
      </c>
      <c r="G18" s="8">
        <f>FLOOR(LOG('Prestige Patterns'!$B$6^(E17) - (D17*(1-'Prestige Patterns'!$B$6)/'Prestige Patterns'!$B$5),'Prestige Patterns'!$B$6)-E17,1)</f>
        <v>2</v>
      </c>
      <c r="H18">
        <f t="shared" si="2"/>
        <v>1</v>
      </c>
      <c r="I18" s="5">
        <f>1+H18*'Prestige Patterns'!$B$25</f>
        <v>1.01</v>
      </c>
      <c r="J18">
        <f>FLOOR((K18/'Prestige Patterns'!$B$22)^'Prestige Patterns'!$B$23,1)-H17</f>
        <v>30</v>
      </c>
      <c r="K18" s="8">
        <f>K17+N17*'Prestige Patterns'!$B$20</f>
        <v>102035850</v>
      </c>
      <c r="L18" s="2">
        <f>IF(J17&gt;='Prestige Patterns'!$B$28,IF(J17/(H17+1)&gt;('Prestige Patterns'!$B$27+1),L17+1,L17),L17)</f>
        <v>0</v>
      </c>
      <c r="N18">
        <f t="shared" si="0"/>
        <v>368448</v>
      </c>
      <c r="O18" s="3">
        <f>'Prestige Patterns'!$B$4*E18</f>
        <v>5700</v>
      </c>
      <c r="P18">
        <f t="shared" si="3"/>
        <v>64</v>
      </c>
      <c r="Q18" s="5"/>
      <c r="R18" s="5"/>
      <c r="S18" s="3">
        <v>17</v>
      </c>
      <c r="T18" s="5"/>
    </row>
    <row r="19" spans="1:20" ht="12">
      <c r="A19" s="1"/>
      <c r="B19" s="1"/>
      <c r="C19" s="2">
        <f>(S19*'Prestige Patterns'!$B$20)/60</f>
        <v>9</v>
      </c>
      <c r="D19" s="2">
        <f>IF(L18=L19,N18*'Prestige Patterns'!$B$20+D18-F19,0)</f>
        <v>11789683.344261883</v>
      </c>
      <c r="E19" s="3">
        <f t="shared" si="1"/>
        <v>288</v>
      </c>
      <c r="F19" s="8">
        <f>'Prestige Patterns'!$B$5*('Prestige Patterns'!$B$6^E18-'Prestige Patterns'!$B$6^(E18+G19))/(1-'Prestige Patterns'!$B$6)</f>
        <v>13793209.147703895</v>
      </c>
      <c r="G19" s="8">
        <f>FLOOR(LOG('Prestige Patterns'!$B$6^(E18) - (D18*(1-'Prestige Patterns'!$B$6)/'Prestige Patterns'!$B$5),'Prestige Patterns'!$B$6)-E18,1)</f>
        <v>3</v>
      </c>
      <c r="H19">
        <f t="shared" si="2"/>
        <v>1</v>
      </c>
      <c r="I19" s="5">
        <f>1+H19*'Prestige Patterns'!$B$25</f>
        <v>1.01</v>
      </c>
      <c r="J19">
        <f>FLOOR((K19/'Prestige Patterns'!$B$22)^'Prestige Patterns'!$B$23,1)-H18</f>
        <v>32</v>
      </c>
      <c r="K19" s="8">
        <f>K18+N18*'Prestige Patterns'!$B$20</f>
        <v>113089290</v>
      </c>
      <c r="L19" s="2">
        <f>IF(J18&gt;='Prestige Patterns'!$B$28,IF(J18/(H18+1)&gt;('Prestige Patterns'!$B$27+1),L18+1,L18),L18)</f>
        <v>0</v>
      </c>
      <c r="N19">
        <f t="shared" si="0"/>
        <v>372326.40000000002</v>
      </c>
      <c r="O19" s="3">
        <f>'Prestige Patterns'!$B$4*E19</f>
        <v>5760</v>
      </c>
      <c r="P19">
        <f t="shared" si="3"/>
        <v>64</v>
      </c>
      <c r="Q19" s="5"/>
      <c r="R19" s="5"/>
      <c r="S19" s="3">
        <v>18</v>
      </c>
      <c r="T19" s="5"/>
    </row>
    <row r="20" spans="1:20" ht="12">
      <c r="A20" s="1"/>
      <c r="B20" s="1"/>
      <c r="C20" s="2">
        <f>(S20*'Prestige Patterns'!$B$20)/60</f>
        <v>9.5</v>
      </c>
      <c r="D20" s="2">
        <f>IF(L19=L20,N19*'Prestige Patterns'!$B$20+D19-F20,0)</f>
        <v>12576257.052048719</v>
      </c>
      <c r="E20" s="3">
        <f t="shared" si="1"/>
        <v>290</v>
      </c>
      <c r="F20" s="8">
        <f>'Prestige Patterns'!$B$5*('Prestige Patterns'!$B$6^E19-'Prestige Patterns'!$B$6^(E19+G20))/(1-'Prestige Patterns'!$B$6)</f>
        <v>10383218.292213166</v>
      </c>
      <c r="G20" s="8">
        <f>FLOOR(LOG('Prestige Patterns'!$B$6^(E19) - (D19*(1-'Prestige Patterns'!$B$6)/'Prestige Patterns'!$B$5),'Prestige Patterns'!$B$6)-E19,1)</f>
        <v>2</v>
      </c>
      <c r="H20">
        <f t="shared" si="2"/>
        <v>1</v>
      </c>
      <c r="I20" s="5">
        <f>1+H20*'Prestige Patterns'!$B$25</f>
        <v>1.01</v>
      </c>
      <c r="J20">
        <f>FLOOR((K20/'Prestige Patterns'!$B$22)^'Prestige Patterns'!$B$23,1)-H19</f>
        <v>34</v>
      </c>
      <c r="K20" s="8">
        <f>K19+N19*'Prestige Patterns'!$B$20</f>
        <v>124259082</v>
      </c>
      <c r="L20" s="2">
        <f>IF(J19&gt;='Prestige Patterns'!$B$28,IF(J19/(H19+1)&gt;('Prestige Patterns'!$B$27+1),L19+1,L19),L19)</f>
        <v>0</v>
      </c>
      <c r="N20">
        <f t="shared" si="0"/>
        <v>374912</v>
      </c>
      <c r="O20" s="3">
        <f>'Prestige Patterns'!$B$4*E20</f>
        <v>5800</v>
      </c>
      <c r="P20">
        <f t="shared" si="3"/>
        <v>64</v>
      </c>
      <c r="Q20" s="5"/>
      <c r="R20" s="5"/>
      <c r="S20" s="3">
        <v>19</v>
      </c>
      <c r="T20" s="5"/>
    </row>
    <row r="21" spans="1:20" ht="12">
      <c r="A21" s="1"/>
      <c r="B21" s="1"/>
      <c r="C21" s="2">
        <f>(S21*'Prestige Patterns'!$B$20)/60</f>
        <v>10</v>
      </c>
      <c r="D21" s="2">
        <f>IF(L20=L21,N20*'Prestige Patterns'!$B$20+D20-F21,0)</f>
        <v>12376118.884883715</v>
      </c>
      <c r="E21" s="3">
        <f t="shared" si="1"/>
        <v>292</v>
      </c>
      <c r="F21" s="8">
        <f>'Prestige Patterns'!$B$5*('Prestige Patterns'!$B$6^E20-'Prestige Patterns'!$B$6^(E20+G21))/(1-'Prestige Patterns'!$B$6)</f>
        <v>11447498.167165006</v>
      </c>
      <c r="G21" s="8">
        <f>FLOOR(LOG('Prestige Patterns'!$B$6^(E20) - (D20*(1-'Prestige Patterns'!$B$6)/'Prestige Patterns'!$B$5),'Prestige Patterns'!$B$6)-E20,1)</f>
        <v>2</v>
      </c>
      <c r="H21">
        <f t="shared" si="2"/>
        <v>1</v>
      </c>
      <c r="I21" s="5">
        <f>1+H21*'Prestige Patterns'!$B$25</f>
        <v>1.01</v>
      </c>
      <c r="J21">
        <f>FLOOR((K21/'Prestige Patterns'!$B$22)^'Prestige Patterns'!$B$23,1)-H20</f>
        <v>35</v>
      </c>
      <c r="K21" s="8">
        <f>K20+N20*'Prestige Patterns'!$B$20</f>
        <v>135506442</v>
      </c>
      <c r="L21" s="2">
        <f>IF(J20&gt;='Prestige Patterns'!$B$28,IF(J20/(H20+1)&gt;('Prestige Patterns'!$B$27+1),L20+1,L20),L20)</f>
        <v>0</v>
      </c>
      <c r="N21">
        <f t="shared" si="0"/>
        <v>377497.59999999998</v>
      </c>
      <c r="O21" s="3">
        <f>'Prestige Patterns'!$B$4*E21</f>
        <v>5840</v>
      </c>
      <c r="P21">
        <f t="shared" si="3"/>
        <v>64</v>
      </c>
      <c r="Q21" s="5"/>
      <c r="R21" s="5"/>
      <c r="S21" s="3">
        <v>20</v>
      </c>
      <c r="T21" s="5"/>
    </row>
    <row r="22" spans="1:20" ht="12">
      <c r="A22" s="1"/>
      <c r="B22" s="1"/>
      <c r="C22" s="2">
        <f>(S22*'Prestige Patterns'!$B$20)/60</f>
        <v>10.5</v>
      </c>
      <c r="D22" s="2">
        <f>IF(L21=L22,N21*'Prestige Patterns'!$B$20+D21-F22,0)</f>
        <v>17544526.529127888</v>
      </c>
      <c r="E22" s="3">
        <f t="shared" si="1"/>
        <v>293</v>
      </c>
      <c r="F22" s="8">
        <f>'Prestige Patterns'!$B$5*('Prestige Patterns'!$B$6^E21-'Prestige Patterns'!$B$6^(E21+G22))/(1-'Prestige Patterns'!$B$6)</f>
        <v>6156520.3557558302</v>
      </c>
      <c r="G22" s="8">
        <f>FLOOR(LOG('Prestige Patterns'!$B$6^(E21) - (D21*(1-'Prestige Patterns'!$B$6)/'Prestige Patterns'!$B$5),'Prestige Patterns'!$B$6)-E21,1)</f>
        <v>1</v>
      </c>
      <c r="H22">
        <f t="shared" si="2"/>
        <v>1</v>
      </c>
      <c r="I22" s="5">
        <f>1+H22*'Prestige Patterns'!$B$25</f>
        <v>1.01</v>
      </c>
      <c r="J22">
        <f>FLOOR((K22/'Prestige Patterns'!$B$22)^'Prestige Patterns'!$B$23,1)-H21</f>
        <v>37</v>
      </c>
      <c r="K22" s="8">
        <f>K21+N21*'Prestige Patterns'!$B$20</f>
        <v>146831370</v>
      </c>
      <c r="L22" s="2">
        <f>IF(J21&gt;='Prestige Patterns'!$B$28,IF(J21/(H21+1)&gt;('Prestige Patterns'!$B$27+1),L21+1,L21),L21)</f>
        <v>0</v>
      </c>
      <c r="N22">
        <f t="shared" si="0"/>
        <v>378790.40000000002</v>
      </c>
      <c r="O22" s="3">
        <f>'Prestige Patterns'!$B$4*E22</f>
        <v>5860</v>
      </c>
      <c r="P22">
        <f t="shared" si="3"/>
        <v>64</v>
      </c>
      <c r="Q22" s="5"/>
      <c r="R22" s="5"/>
      <c r="S22" s="3">
        <v>21</v>
      </c>
      <c r="T22" s="5"/>
    </row>
    <row r="23" spans="1:20" ht="12">
      <c r="A23" s="1"/>
      <c r="B23" s="1"/>
      <c r="C23" s="2">
        <f>(S23*'Prestige Patterns'!$B$20)/60</f>
        <v>11</v>
      </c>
      <c r="D23" s="2">
        <f>IF(L22=L23,N22*'Prestige Patterns'!$B$20+D22-F23,0)</f>
        <v>15656328.463363506</v>
      </c>
      <c r="E23" s="3">
        <f t="shared" si="1"/>
        <v>295</v>
      </c>
      <c r="F23" s="8">
        <f>'Prestige Patterns'!$B$5*('Prestige Patterns'!$B$6^E22-'Prestige Patterns'!$B$6^(E22+G23))/(1-'Prestige Patterns'!$B$6)</f>
        <v>13251910.065764382</v>
      </c>
      <c r="G23" s="8">
        <f>FLOOR(LOG('Prestige Patterns'!$B$6^(E22) - (D22*(1-'Prestige Patterns'!$B$6)/'Prestige Patterns'!$B$5),'Prestige Patterns'!$B$6)-E22,1)</f>
        <v>2</v>
      </c>
      <c r="H23">
        <f t="shared" si="2"/>
        <v>1</v>
      </c>
      <c r="I23" s="5">
        <f>1+H23*'Prestige Patterns'!$B$25</f>
        <v>1.01</v>
      </c>
      <c r="J23">
        <f>FLOOR((K23/'Prestige Patterns'!$B$22)^'Prestige Patterns'!$B$23,1)-H22</f>
        <v>38</v>
      </c>
      <c r="K23" s="8">
        <f>K22+N22*'Prestige Patterns'!$B$20</f>
        <v>158195082</v>
      </c>
      <c r="L23" s="2">
        <f>IF(J22&gt;='Prestige Patterns'!$B$28,IF(J22/(H22+1)&gt;('Prestige Patterns'!$B$27+1),L22+1,L22),L22)</f>
        <v>0</v>
      </c>
      <c r="N23">
        <f t="shared" si="0"/>
        <v>381376</v>
      </c>
      <c r="O23" s="3">
        <f>'Prestige Patterns'!$B$4*E23</f>
        <v>5900</v>
      </c>
      <c r="P23">
        <f t="shared" si="3"/>
        <v>64</v>
      </c>
      <c r="Q23" s="5"/>
      <c r="R23" s="5"/>
      <c r="S23" s="3">
        <v>22</v>
      </c>
      <c r="T23" s="5"/>
    </row>
    <row r="24" spans="1:20" ht="12">
      <c r="A24" s="1"/>
      <c r="B24" s="1"/>
      <c r="C24" s="2">
        <f>(S24*'Prestige Patterns'!$B$20)/60</f>
        <v>11.5</v>
      </c>
      <c r="D24" s="2">
        <f>IF(L23=L24,N23*'Prestige Patterns'!$B$20+D23-F24,0)</f>
        <v>12487377.615858262</v>
      </c>
      <c r="E24" s="3">
        <f t="shared" si="1"/>
        <v>297</v>
      </c>
      <c r="F24" s="8">
        <f>'Prestige Patterns'!$B$5*('Prestige Patterns'!$B$6^E23-'Prestige Patterns'!$B$6^(E23+G24))/(1-'Prestige Patterns'!$B$6)</f>
        <v>14610230.847505243</v>
      </c>
      <c r="G24" s="8">
        <f>FLOOR(LOG('Prestige Patterns'!$B$6^(E23) - (D23*(1-'Prestige Patterns'!$B$6)/'Prestige Patterns'!$B$5),'Prestige Patterns'!$B$6)-E23,1)</f>
        <v>2</v>
      </c>
      <c r="H24">
        <f t="shared" si="2"/>
        <v>1</v>
      </c>
      <c r="I24" s="5">
        <f>1+H24*'Prestige Patterns'!$B$25</f>
        <v>1.01</v>
      </c>
      <c r="J24">
        <f>FLOOR((K24/'Prestige Patterns'!$B$22)^'Prestige Patterns'!$B$23,1)-H23</f>
        <v>40</v>
      </c>
      <c r="K24" s="8">
        <f>K23+N23*'Prestige Patterns'!$B$20</f>
        <v>169636362</v>
      </c>
      <c r="L24" s="2">
        <f>IF(J23&gt;='Prestige Patterns'!$B$28,IF(J23/(H23+1)&gt;('Prestige Patterns'!$B$27+1),L23+1,L23),L23)</f>
        <v>0</v>
      </c>
      <c r="N24">
        <f t="shared" si="0"/>
        <v>383961.59999999998</v>
      </c>
      <c r="O24" s="3">
        <f>'Prestige Patterns'!$B$4*E24</f>
        <v>5940</v>
      </c>
      <c r="P24">
        <f t="shared" si="3"/>
        <v>64</v>
      </c>
      <c r="Q24" s="5"/>
      <c r="R24" s="5"/>
      <c r="S24" s="3">
        <v>23</v>
      </c>
      <c r="T24" s="5"/>
    </row>
    <row r="25" spans="1:20" ht="12">
      <c r="A25" s="1"/>
      <c r="B25" s="1"/>
      <c r="C25" s="2">
        <f>(S25*'Prestige Patterns'!$B$20)/60</f>
        <v>12</v>
      </c>
      <c r="D25" s="2">
        <f>IF(L24=L25,N24*'Prestige Patterns'!$B$20+D24-F25,0)</f>
        <v>16148772.196651179</v>
      </c>
      <c r="E25" s="3">
        <f t="shared" si="1"/>
        <v>298</v>
      </c>
      <c r="F25" s="8">
        <f>'Prestige Patterns'!$B$5*('Prestige Patterns'!$B$6^E24-'Prestige Patterns'!$B$6^(E24+G25))/(1-'Prestige Patterns'!$B$6)</f>
        <v>7857453.4192070859</v>
      </c>
      <c r="G25" s="8">
        <f>FLOOR(LOG('Prestige Patterns'!$B$6^(E24) - (D24*(1-'Prestige Patterns'!$B$6)/'Prestige Patterns'!$B$5),'Prestige Patterns'!$B$6)-E24,1)</f>
        <v>1</v>
      </c>
      <c r="H25">
        <f t="shared" si="2"/>
        <v>1</v>
      </c>
      <c r="I25" s="5">
        <f>1+H25*'Prestige Patterns'!$B$25</f>
        <v>1.01</v>
      </c>
      <c r="J25">
        <f>FLOOR((K25/'Prestige Patterns'!$B$22)^'Prestige Patterns'!$B$23,1)-H24</f>
        <v>41</v>
      </c>
      <c r="K25" s="8">
        <f>K24+N24*'Prestige Patterns'!$B$20</f>
        <v>181155210</v>
      </c>
      <c r="L25" s="2">
        <f>IF(J24&gt;='Prestige Patterns'!$B$28,IF(J24/(H24+1)&gt;('Prestige Patterns'!$B$27+1),L24+1,L24),L24)</f>
        <v>0</v>
      </c>
      <c r="N25">
        <f t="shared" si="0"/>
        <v>385254.40000000002</v>
      </c>
      <c r="O25" s="3">
        <f>'Prestige Patterns'!$B$4*E25</f>
        <v>5960</v>
      </c>
      <c r="P25">
        <f t="shared" si="3"/>
        <v>64</v>
      </c>
      <c r="Q25" s="5"/>
      <c r="R25" s="5"/>
      <c r="S25" s="3">
        <v>24</v>
      </c>
      <c r="T25" s="5"/>
    </row>
    <row r="26" spans="1:20" ht="12">
      <c r="A26" s="1"/>
      <c r="B26" s="1"/>
      <c r="C26" s="2">
        <f>(S26*'Prestige Patterns'!$B$20)/60</f>
        <v>12.5</v>
      </c>
      <c r="D26" s="2">
        <f>IF(L25=L26,N25*'Prestige Patterns'!$B$20+D25-F26,0)</f>
        <v>19456078.106483705</v>
      </c>
      <c r="E26" s="3">
        <f t="shared" si="1"/>
        <v>299</v>
      </c>
      <c r="F26" s="8">
        <f>'Prestige Patterns'!$B$5*('Prestige Patterns'!$B$6^E25-'Prestige Patterns'!$B$6^(E25+G26))/(1-'Prestige Patterns'!$B$6)</f>
        <v>8250326.090167474</v>
      </c>
      <c r="G26" s="8">
        <f>FLOOR(LOG('Prestige Patterns'!$B$6^(E25) - (D25*(1-'Prestige Patterns'!$B$6)/'Prestige Patterns'!$B$5),'Prestige Patterns'!$B$6)-E25,1)</f>
        <v>1</v>
      </c>
      <c r="H26">
        <f t="shared" si="2"/>
        <v>1</v>
      </c>
      <c r="I26" s="5">
        <f>1+H26*'Prestige Patterns'!$B$25</f>
        <v>1.01</v>
      </c>
      <c r="J26">
        <f>FLOOR((K26/'Prestige Patterns'!$B$22)^'Prestige Patterns'!$B$23,1)-H25</f>
        <v>42</v>
      </c>
      <c r="K26" s="8">
        <f>K25+N25*'Prestige Patterns'!$B$20</f>
        <v>192712842</v>
      </c>
      <c r="L26" s="2">
        <f>IF(J25&gt;='Prestige Patterns'!$B$28,IF(J25/(H25+1)&gt;('Prestige Patterns'!$B$27+1),L25+1,L25),L25)</f>
        <v>0</v>
      </c>
      <c r="N26">
        <f t="shared" si="0"/>
        <v>386547.20000000001</v>
      </c>
      <c r="O26" s="3">
        <f>'Prestige Patterns'!$B$4*E26</f>
        <v>5980</v>
      </c>
      <c r="P26">
        <f t="shared" si="3"/>
        <v>64</v>
      </c>
      <c r="Q26" s="5"/>
      <c r="R26" s="5"/>
      <c r="S26" s="3">
        <v>25</v>
      </c>
      <c r="T26" s="5"/>
    </row>
    <row r="27" spans="1:20" ht="12">
      <c r="A27" s="1"/>
      <c r="B27" s="1"/>
      <c r="C27" s="2">
        <f>(S27*'Prestige Patterns'!$B$20)/60</f>
        <v>13</v>
      </c>
      <c r="D27" s="2">
        <f>IF(L26=L27,N26*'Prestige Patterns'!$B$20+D26-F27,0)</f>
        <v>13293667.197398283</v>
      </c>
      <c r="E27" s="3">
        <f t="shared" si="1"/>
        <v>301</v>
      </c>
      <c r="F27" s="8">
        <f>'Prestige Patterns'!$B$5*('Prestige Patterns'!$B$6^E26-'Prestige Patterns'!$B$6^(E26+G27))/(1-'Prestige Patterns'!$B$6)</f>
        <v>17758826.909085423</v>
      </c>
      <c r="G27" s="8">
        <f>FLOOR(LOG('Prestige Patterns'!$B$6^(E26) - (D26*(1-'Prestige Patterns'!$B$6)/'Prestige Patterns'!$B$5),'Prestige Patterns'!$B$6)-E26,1)</f>
        <v>2</v>
      </c>
      <c r="H27">
        <f t="shared" si="2"/>
        <v>1</v>
      </c>
      <c r="I27" s="5">
        <f>1+H27*'Prestige Patterns'!$B$25</f>
        <v>1.01</v>
      </c>
      <c r="J27">
        <f>FLOOR((K27/'Prestige Patterns'!$B$22)^'Prestige Patterns'!$B$23,1)-H26</f>
        <v>44</v>
      </c>
      <c r="K27" s="8">
        <f>K26+N26*'Prestige Patterns'!$B$20</f>
        <v>204309258</v>
      </c>
      <c r="L27" s="2">
        <f>IF(J26&gt;='Prestige Patterns'!$B$28,IF(J26/(H26+1)&gt;('Prestige Patterns'!$B$27+1),L26+1,L26),L26)</f>
        <v>0</v>
      </c>
      <c r="N27">
        <f t="shared" si="0"/>
        <v>3113062.3999999999</v>
      </c>
      <c r="O27" s="3">
        <f>'Prestige Patterns'!$B$4*E27</f>
        <v>6020</v>
      </c>
      <c r="P27">
        <f t="shared" si="3"/>
        <v>512</v>
      </c>
      <c r="Q27" s="5"/>
      <c r="R27" s="5"/>
      <c r="S27" s="3">
        <v>26</v>
      </c>
      <c r="T27" s="5"/>
    </row>
    <row r="28" spans="1:20" ht="12">
      <c r="A28" s="1"/>
      <c r="B28" s="1"/>
      <c r="C28" s="2">
        <f>(S28*'Prestige Patterns'!$B$20)/60</f>
        <v>13.5</v>
      </c>
      <c r="D28" s="2">
        <f>IF(L27=L28,N27*'Prestige Patterns'!$B$20+D27-F28,0)</f>
        <v>97134755.457268253</v>
      </c>
      <c r="E28" s="3">
        <f t="shared" si="1"/>
        <v>302</v>
      </c>
      <c r="F28" s="8">
        <f>'Prestige Patterns'!$B$5*('Prestige Patterns'!$B$6^E27-'Prestige Patterns'!$B$6^(E27+G28))/(1-'Prestige Patterns'!$B$6)</f>
        <v>9550783.7401300203</v>
      </c>
      <c r="G28" s="8">
        <f>FLOOR(LOG('Prestige Patterns'!$B$6^(E27) - (D27*(1-'Prestige Patterns'!$B$6)/'Prestige Patterns'!$B$5),'Prestige Patterns'!$B$6)-E27,1)</f>
        <v>1</v>
      </c>
      <c r="H28">
        <f t="shared" si="2"/>
        <v>1</v>
      </c>
      <c r="I28" s="5">
        <f>1+H28*'Prestige Patterns'!$B$25</f>
        <v>1.01</v>
      </c>
      <c r="J28">
        <f>FLOOR((K28/'Prestige Patterns'!$B$22)^'Prestige Patterns'!$B$23,1)-H27</f>
        <v>53</v>
      </c>
      <c r="K28" s="8">
        <f>K27+N27*'Prestige Patterns'!$B$20</f>
        <v>297701130</v>
      </c>
      <c r="L28" s="2">
        <f>IF(J27&gt;='Prestige Patterns'!$B$28,IF(J27/(H27+1)&gt;('Prestige Patterns'!$B$27+1),L27+1,L27),L27)</f>
        <v>0</v>
      </c>
      <c r="N28">
        <f t="shared" si="0"/>
        <v>3123404.7999999998</v>
      </c>
      <c r="O28" s="3">
        <f>'Prestige Patterns'!$B$4*E28</f>
        <v>6040</v>
      </c>
      <c r="P28">
        <f t="shared" si="3"/>
        <v>512</v>
      </c>
      <c r="Q28" s="5"/>
      <c r="R28" s="5"/>
      <c r="S28" s="3">
        <v>27</v>
      </c>
      <c r="T28" s="5"/>
    </row>
    <row r="29" spans="1:20" ht="12">
      <c r="A29" s="1"/>
      <c r="B29" s="1"/>
      <c r="C29" s="2">
        <f>(S29*'Prestige Patterns'!$B$20)/60</f>
        <v>14</v>
      </c>
      <c r="D29" s="2">
        <f>IF(L28=L29,N28*'Prestige Patterns'!$B$20+D28-F29,0)</f>
        <v>0</v>
      </c>
      <c r="E29" s="3">
        <f t="shared" si="1"/>
        <v>1</v>
      </c>
      <c r="F29" s="8">
        <f>'Prestige Patterns'!$B$5*('Prestige Patterns'!$B$6^E28-'Prestige Patterns'!$B$6^(E28+G29))/(1-'Prestige Patterns'!$B$6)</f>
        <v>95761547.472720653</v>
      </c>
      <c r="G29" s="8">
        <f>FLOOR(LOG('Prestige Patterns'!$B$6^(E28) - (D28*(1-'Prestige Patterns'!$B$6)/'Prestige Patterns'!$B$5),'Prestige Patterns'!$B$6)-E28,1)</f>
        <v>8</v>
      </c>
      <c r="H29">
        <f t="shared" si="2"/>
        <v>54</v>
      </c>
      <c r="I29" s="5">
        <f>1+H29*'Prestige Patterns'!$B$25</f>
        <v>1.54</v>
      </c>
      <c r="J29">
        <f>FLOOR((K29/'Prestige Patterns'!$B$22)^'Prestige Patterns'!$B$23,1)-H28</f>
        <v>61</v>
      </c>
      <c r="K29" s="8">
        <f>K28+N28*'Prestige Patterns'!$B$20</f>
        <v>391403274</v>
      </c>
      <c r="L29" s="2">
        <f>IF(J28&gt;='Prestige Patterns'!$B$28,IF(J28/(H28+1)&gt;('Prestige Patterns'!$B$27+1),L28+1,L28),L28)</f>
        <v>1</v>
      </c>
      <c r="N29">
        <f t="shared" si="0"/>
        <v>15769.6</v>
      </c>
      <c r="O29" s="3">
        <f>'Prestige Patterns'!$B$4*E29</f>
        <v>20</v>
      </c>
      <c r="P29">
        <f t="shared" si="3"/>
        <v>512</v>
      </c>
      <c r="Q29" s="5"/>
      <c r="R29" s="5"/>
      <c r="S29" s="3">
        <v>28</v>
      </c>
      <c r="T29" s="5"/>
    </row>
    <row r="30" spans="1:20" ht="12">
      <c r="A30" s="1"/>
      <c r="B30" s="1"/>
      <c r="C30" s="2">
        <f>(S30*'Prestige Patterns'!$B$20)/60</f>
        <v>14.5</v>
      </c>
      <c r="D30" s="2">
        <f>IF(L29=L30,N29*'Prestige Patterns'!$B$20+D29-F30,0)</f>
        <v>473088</v>
      </c>
      <c r="E30" s="3">
        <f t="shared" si="1"/>
        <v>1</v>
      </c>
      <c r="F30" s="8">
        <f>'Prestige Patterns'!$B$5*('Prestige Patterns'!$B$6^E29-'Prestige Patterns'!$B$6^(E29+G30))/(1-'Prestige Patterns'!$B$6)</f>
        <v>0</v>
      </c>
      <c r="G30" s="8">
        <f>FLOOR(LOG('Prestige Patterns'!$B$6^(E29) - (D29*(1-'Prestige Patterns'!$B$6)/'Prestige Patterns'!$B$5),'Prestige Patterns'!$B$6)-E29,1)</f>
        <v>0</v>
      </c>
      <c r="H30">
        <f t="shared" si="2"/>
        <v>54</v>
      </c>
      <c r="I30" s="5">
        <f>1+H30*'Prestige Patterns'!$B$25</f>
        <v>1.54</v>
      </c>
      <c r="J30">
        <f>FLOOR((K30/'Prestige Patterns'!$B$22)^'Prestige Patterns'!$B$23,1)-H29</f>
        <v>8</v>
      </c>
      <c r="K30" s="8">
        <f>K29+N29*'Prestige Patterns'!$B$20</f>
        <v>391876362</v>
      </c>
      <c r="L30" s="2">
        <f>IF(J29&gt;='Prestige Patterns'!$B$28,IF(J29/(H29+1)&gt;('Prestige Patterns'!$B$27+1),L29+1,L29),L29)</f>
        <v>1</v>
      </c>
      <c r="N30">
        <f t="shared" si="0"/>
        <v>15769.6</v>
      </c>
      <c r="O30" s="3">
        <f>'Prestige Patterns'!$B$4*E30</f>
        <v>20</v>
      </c>
      <c r="P30">
        <f t="shared" si="3"/>
        <v>512</v>
      </c>
      <c r="Q30" s="5"/>
      <c r="R30" s="5"/>
      <c r="S30" s="3">
        <v>29</v>
      </c>
      <c r="T30" s="5"/>
    </row>
    <row r="31" spans="1:20" ht="12">
      <c r="A31" s="1"/>
      <c r="B31" s="1"/>
      <c r="C31" s="2">
        <f>(S31*'Prestige Patterns'!$B$20)/60</f>
        <v>15</v>
      </c>
      <c r="D31" s="2">
        <f>IF(L30=L31,N30*'Prestige Patterns'!$B$20+D30-F31,0)</f>
        <v>473342.67820660456</v>
      </c>
      <c r="E31" s="3">
        <f t="shared" si="1"/>
        <v>178</v>
      </c>
      <c r="F31" s="8">
        <f>'Prestige Patterns'!$B$5*('Prestige Patterns'!$B$6^E30-'Prestige Patterns'!$B$6^(E30+G31))/(1-'Prestige Patterns'!$B$6)</f>
        <v>472833.32179339544</v>
      </c>
      <c r="G31" s="8">
        <f>FLOOR(LOG('Prestige Patterns'!$B$6^(E30) - (D30*(1-'Prestige Patterns'!$B$6)/'Prestige Patterns'!$B$5),'Prestige Patterns'!$B$6)-E30,1)</f>
        <v>177</v>
      </c>
      <c r="H31">
        <f t="shared" si="2"/>
        <v>54</v>
      </c>
      <c r="I31" s="5">
        <f>1+H31*'Prestige Patterns'!$B$25</f>
        <v>1.54</v>
      </c>
      <c r="J31">
        <f>FLOOR((K31/'Prestige Patterns'!$B$22)^'Prestige Patterns'!$B$23,1)-H30</f>
        <v>8</v>
      </c>
      <c r="K31" s="8">
        <f>K30+N30*'Prestige Patterns'!$B$20</f>
        <v>392349450</v>
      </c>
      <c r="L31" s="2">
        <f>IF(J30&gt;='Prestige Patterns'!$B$28,IF(J30/(H30+1)&gt;('Prestige Patterns'!$B$27+1),L30+1,L30),L30)</f>
        <v>1</v>
      </c>
      <c r="N31">
        <f t="shared" si="0"/>
        <v>87718.400000000009</v>
      </c>
      <c r="O31" s="3">
        <f>'Prestige Patterns'!$B$4*E31</f>
        <v>3560</v>
      </c>
      <c r="P31">
        <f t="shared" si="3"/>
        <v>16</v>
      </c>
      <c r="Q31" s="5"/>
      <c r="R31" s="5"/>
      <c r="S31" s="3">
        <v>30</v>
      </c>
      <c r="T31" s="5"/>
    </row>
    <row r="32" spans="1:20" ht="12">
      <c r="A32" s="1"/>
      <c r="B32" s="1"/>
      <c r="C32" s="2">
        <f>(S32*'Prestige Patterns'!$B$20)/60</f>
        <v>15.5</v>
      </c>
      <c r="D32" s="2">
        <f>IF(L31=L32,N31*'Prestige Patterns'!$B$20+D31-F32,0)</f>
        <v>2641468.0506590065</v>
      </c>
      <c r="E32" s="3">
        <f t="shared" si="1"/>
        <v>192</v>
      </c>
      <c r="F32" s="8">
        <f>'Prestige Patterns'!$B$5*('Prestige Patterns'!$B$6^E31-'Prestige Patterns'!$B$6^(E31+G32))/(1-'Prestige Patterns'!$B$6)</f>
        <v>463426.62754759827</v>
      </c>
      <c r="G32" s="8">
        <f>FLOOR(LOG('Prestige Patterns'!$B$6^(E31) - (D31*(1-'Prestige Patterns'!$B$6)/'Prestige Patterns'!$B$5),'Prestige Patterns'!$B$6)-E31,1)</f>
        <v>14</v>
      </c>
      <c r="H32">
        <f t="shared" si="2"/>
        <v>54</v>
      </c>
      <c r="I32" s="5">
        <f>1+H32*'Prestige Patterns'!$B$25</f>
        <v>1.54</v>
      </c>
      <c r="J32">
        <f>FLOOR((K32/'Prestige Patterns'!$B$22)^'Prestige Patterns'!$B$23,1)-H31</f>
        <v>8</v>
      </c>
      <c r="K32" s="8">
        <f>K31+N31*'Prestige Patterns'!$B$20</f>
        <v>394981002</v>
      </c>
      <c r="L32" s="2">
        <f>IF(J31&gt;='Prestige Patterns'!$B$28,IF(J31/(H31+1)&gt;('Prestige Patterns'!$B$27+1),L31+1,L31),L31)</f>
        <v>1</v>
      </c>
      <c r="N32">
        <f t="shared" si="0"/>
        <v>94617.600000000006</v>
      </c>
      <c r="O32" s="3">
        <f>'Prestige Patterns'!$B$4*E32</f>
        <v>3840</v>
      </c>
      <c r="P32">
        <f t="shared" si="3"/>
        <v>16</v>
      </c>
      <c r="Q32" s="5"/>
      <c r="R32" s="5"/>
      <c r="S32" s="3">
        <v>31</v>
      </c>
      <c r="T32" s="5"/>
    </row>
    <row r="33" spans="1:20" ht="12">
      <c r="A33" s="1"/>
      <c r="B33" s="1"/>
      <c r="C33" s="2">
        <f>(S33*'Prestige Patterns'!$B$20)/60</f>
        <v>16</v>
      </c>
      <c r="D33" s="2">
        <f>IF(L32=L33,N32*'Prestige Patterns'!$B$20+D32-F33,0)</f>
        <v>2920540.7624465888</v>
      </c>
      <c r="E33" s="3">
        <f t="shared" si="1"/>
        <v>219</v>
      </c>
      <c r="F33" s="8">
        <f>'Prestige Patterns'!$B$5*('Prestige Patterns'!$B$6^E32-'Prestige Patterns'!$B$6^(E32+G33))/(1-'Prestige Patterns'!$B$6)</f>
        <v>2559455.2882124176</v>
      </c>
      <c r="G33" s="8">
        <f>FLOOR(LOG('Prestige Patterns'!$B$6^(E32) - (D32*(1-'Prestige Patterns'!$B$6)/'Prestige Patterns'!$B$5),'Prestige Patterns'!$B$6)-E32,1)</f>
        <v>27</v>
      </c>
      <c r="H33">
        <f t="shared" si="2"/>
        <v>54</v>
      </c>
      <c r="I33" s="5">
        <f>1+H33*'Prestige Patterns'!$B$25</f>
        <v>1.54</v>
      </c>
      <c r="J33">
        <f>FLOOR((K33/'Prestige Patterns'!$B$22)^'Prestige Patterns'!$B$23,1)-H32</f>
        <v>9</v>
      </c>
      <c r="K33" s="8">
        <f>K32+N32*'Prestige Patterns'!$B$20</f>
        <v>397819530</v>
      </c>
      <c r="L33" s="2">
        <f>IF(J32&gt;='Prestige Patterns'!$B$28,IF(J32/(H32+1)&gt;('Prestige Patterns'!$B$27+1),L32+1,L32),L32)</f>
        <v>1</v>
      </c>
      <c r="N33">
        <f t="shared" si="0"/>
        <v>431692.79999999999</v>
      </c>
      <c r="O33" s="3">
        <f>'Prestige Patterns'!$B$4*E33</f>
        <v>4380</v>
      </c>
      <c r="P33">
        <f t="shared" si="3"/>
        <v>64</v>
      </c>
      <c r="Q33" s="5"/>
      <c r="R33" s="5"/>
      <c r="S33" s="3">
        <v>32</v>
      </c>
      <c r="T33" s="5"/>
    </row>
    <row r="34" spans="1:20" ht="12">
      <c r="A34" s="1"/>
      <c r="B34" s="1"/>
      <c r="C34" s="2">
        <f>(S34*'Prestige Patterns'!$B$20)/60</f>
        <v>16.5</v>
      </c>
      <c r="D34" s="2">
        <f>IF(L33=L34,N33*'Prestige Patterns'!$B$20+D33-F34,0)</f>
        <v>13089170.824736372</v>
      </c>
      <c r="E34" s="3">
        <f t="shared" si="1"/>
        <v>231</v>
      </c>
      <c r="F34" s="8">
        <f>'Prestige Patterns'!$B$5*('Prestige Patterns'!$B$6^E33-'Prestige Patterns'!$B$6^(E33+G34))/(1-'Prestige Patterns'!$B$6)</f>
        <v>2782153.9377102186</v>
      </c>
      <c r="G34" s="8">
        <f>FLOOR(LOG('Prestige Patterns'!$B$6^(E33) - (D33*(1-'Prestige Patterns'!$B$6)/'Prestige Patterns'!$B$5),'Prestige Patterns'!$B$6)-E33,1)</f>
        <v>12</v>
      </c>
      <c r="H34">
        <f t="shared" si="2"/>
        <v>54</v>
      </c>
      <c r="I34" s="5">
        <f>1+H34*'Prestige Patterns'!$B$25</f>
        <v>1.54</v>
      </c>
      <c r="J34">
        <f>FLOOR((K34/'Prestige Patterns'!$B$22)^'Prestige Patterns'!$B$23,1)-H33</f>
        <v>10</v>
      </c>
      <c r="K34" s="8">
        <f>K33+N33*'Prestige Patterns'!$B$20</f>
        <v>410770314</v>
      </c>
      <c r="L34" s="2">
        <f>IF(J33&gt;='Prestige Patterns'!$B$28,IF(J33/(H33+1)&gt;('Prestige Patterns'!$B$27+1),L33+1,L33),L33)</f>
        <v>1</v>
      </c>
      <c r="N34">
        <f t="shared" si="0"/>
        <v>455347.20000000001</v>
      </c>
      <c r="O34" s="3">
        <f>'Prestige Patterns'!$B$4*E34</f>
        <v>4620</v>
      </c>
      <c r="P34">
        <f t="shared" si="3"/>
        <v>64</v>
      </c>
      <c r="Q34" s="5"/>
      <c r="R34" s="5"/>
      <c r="S34" s="3">
        <v>33</v>
      </c>
      <c r="T34" s="5"/>
    </row>
    <row r="35" spans="1:20" ht="12">
      <c r="A35" s="1"/>
      <c r="B35" s="1"/>
      <c r="C35" s="2">
        <f>(S35*'Prestige Patterns'!$B$20)/60</f>
        <v>17</v>
      </c>
      <c r="D35" s="2">
        <f>IF(L34=L35,N34*'Prestige Patterns'!$B$20+D34-F35,0)</f>
        <v>13744657.68363812</v>
      </c>
      <c r="E35" s="3">
        <f t="shared" si="1"/>
        <v>254</v>
      </c>
      <c r="F35" s="8">
        <f>'Prestige Patterns'!$B$5*('Prestige Patterns'!$B$6^E34-'Prestige Patterns'!$B$6^(E34+G35))/(1-'Prestige Patterns'!$B$6)</f>
        <v>13004929.141098252</v>
      </c>
      <c r="G35" s="8">
        <f>FLOOR(LOG('Prestige Patterns'!$B$6^(E34) - (D34*(1-'Prestige Patterns'!$B$6)/'Prestige Patterns'!$B$5),'Prestige Patterns'!$B$6)-E34,1)</f>
        <v>23</v>
      </c>
      <c r="H35">
        <f t="shared" si="2"/>
        <v>54</v>
      </c>
      <c r="I35" s="5">
        <f>1+H35*'Prestige Patterns'!$B$25</f>
        <v>1.54</v>
      </c>
      <c r="J35">
        <f>FLOOR((K35/'Prestige Patterns'!$B$22)^'Prestige Patterns'!$B$23,1)-H34</f>
        <v>11</v>
      </c>
      <c r="K35" s="8">
        <f>K34+N34*'Prestige Patterns'!$B$20</f>
        <v>424430730</v>
      </c>
      <c r="L35" s="2">
        <f>IF(J34&gt;='Prestige Patterns'!$B$28,IF(J34/(H34+1)&gt;('Prestige Patterns'!$B$27+1),L34+1,L34),L34)</f>
        <v>1</v>
      </c>
      <c r="N35">
        <f t="shared" si="0"/>
        <v>500684.79999999999</v>
      </c>
      <c r="O35" s="3">
        <f>'Prestige Patterns'!$B$4*E35</f>
        <v>5080</v>
      </c>
      <c r="P35">
        <f t="shared" si="3"/>
        <v>64</v>
      </c>
      <c r="Q35" s="5"/>
      <c r="R35" s="5"/>
      <c r="S35" s="3">
        <v>34</v>
      </c>
      <c r="T35" s="5"/>
    </row>
    <row r="36" spans="1:20" ht="12">
      <c r="A36" s="1"/>
      <c r="B36" s="1"/>
      <c r="C36" s="2">
        <f>(S36*'Prestige Patterns'!$B$20)/60</f>
        <v>17.5</v>
      </c>
      <c r="D36" s="2">
        <f>IF(L35=L36,N35*'Prestige Patterns'!$B$20+D35-F36,0)</f>
        <v>15067811.436401194</v>
      </c>
      <c r="E36" s="3">
        <f t="shared" si="1"/>
        <v>265</v>
      </c>
      <c r="F36" s="8">
        <f>'Prestige Patterns'!$B$5*('Prestige Patterns'!$B$6^E35-'Prestige Patterns'!$B$6^(E35+G36))/(1-'Prestige Patterns'!$B$6)</f>
        <v>13697390.247236924</v>
      </c>
      <c r="G36" s="8">
        <f>FLOOR(LOG('Prestige Patterns'!$B$6^(E35) - (D35*(1-'Prestige Patterns'!$B$6)/'Prestige Patterns'!$B$5),'Prestige Patterns'!$B$6)-E35,1)</f>
        <v>11</v>
      </c>
      <c r="H36">
        <f t="shared" si="2"/>
        <v>54</v>
      </c>
      <c r="I36" s="5">
        <f>1+H36*'Prestige Patterns'!$B$25</f>
        <v>1.54</v>
      </c>
      <c r="J36">
        <f>FLOOR((K36/'Prestige Patterns'!$B$22)^'Prestige Patterns'!$B$23,1)-H35</f>
        <v>12</v>
      </c>
      <c r="K36" s="8">
        <f>K35+N35*'Prestige Patterns'!$B$20</f>
        <v>439451274</v>
      </c>
      <c r="L36" s="2">
        <f>IF(J35&gt;='Prestige Patterns'!$B$28,IF(J35/(H35+1)&gt;('Prestige Patterns'!$B$27+1),L35+1,L35),L35)</f>
        <v>1</v>
      </c>
      <c r="N36">
        <f t="shared" si="0"/>
        <v>522368</v>
      </c>
      <c r="O36" s="3">
        <f>'Prestige Patterns'!$B$4*E36</f>
        <v>5300</v>
      </c>
      <c r="P36">
        <f t="shared" si="3"/>
        <v>64</v>
      </c>
      <c r="Q36" s="5"/>
      <c r="R36" s="5"/>
      <c r="S36" s="3">
        <v>35</v>
      </c>
      <c r="T36" s="5"/>
    </row>
    <row r="37" spans="1:20" ht="12">
      <c r="A37" s="1"/>
      <c r="B37" s="1"/>
      <c r="C37" s="2">
        <f>(S37*'Prestige Patterns'!$B$20)/60</f>
        <v>18</v>
      </c>
      <c r="D37" s="2">
        <f>IF(L36=L37,N36*'Prestige Patterns'!$B$20+D36-F37,0)</f>
        <v>17312568.536441784</v>
      </c>
      <c r="E37" s="3">
        <f t="shared" si="1"/>
        <v>272</v>
      </c>
      <c r="F37" s="8">
        <f>'Prestige Patterns'!$B$5*('Prestige Patterns'!$B$6^E36-'Prestige Patterns'!$B$6^(E36+G37))/(1-'Prestige Patterns'!$B$6)</f>
        <v>13426282.899959411</v>
      </c>
      <c r="G37" s="8">
        <f>FLOOR(LOG('Prestige Patterns'!$B$6^(E36) - (D36*(1-'Prestige Patterns'!$B$6)/'Prestige Patterns'!$B$5),'Prestige Patterns'!$B$6)-E36,1)</f>
        <v>7</v>
      </c>
      <c r="H37">
        <f t="shared" si="2"/>
        <v>54</v>
      </c>
      <c r="I37" s="5">
        <f>1+H37*'Prestige Patterns'!$B$25</f>
        <v>1.54</v>
      </c>
      <c r="J37">
        <f>FLOOR((K37/'Prestige Patterns'!$B$22)^'Prestige Patterns'!$B$23,1)-H36</f>
        <v>13</v>
      </c>
      <c r="K37" s="8">
        <f>K36+N36*'Prestige Patterns'!$B$20</f>
        <v>455122314</v>
      </c>
      <c r="L37" s="2">
        <f>IF(J36&gt;='Prestige Patterns'!$B$28,IF(J36/(H36+1)&gt;('Prestige Patterns'!$B$27+1),L36+1,L36),L36)</f>
        <v>1</v>
      </c>
      <c r="N37">
        <f t="shared" si="0"/>
        <v>536166.40000000002</v>
      </c>
      <c r="O37" s="3">
        <f>'Prestige Patterns'!$B$4*E37</f>
        <v>5440</v>
      </c>
      <c r="P37">
        <f t="shared" si="3"/>
        <v>64</v>
      </c>
      <c r="Q37" s="5"/>
      <c r="R37" s="5"/>
      <c r="S37" s="3">
        <v>36</v>
      </c>
      <c r="T37" s="5"/>
    </row>
    <row r="38" spans="1:20" ht="12">
      <c r="A38" s="1"/>
      <c r="B38" s="1"/>
      <c r="C38" s="2">
        <f>(S38*'Prestige Patterns'!$B$20)/60</f>
        <v>18.5</v>
      </c>
      <c r="D38" s="2">
        <f>IF(L37=L38,N37*'Prestige Patterns'!$B$20+D37-F38,0)</f>
        <v>17614893.326863363</v>
      </c>
      <c r="E38" s="3">
        <f t="shared" si="1"/>
        <v>278</v>
      </c>
      <c r="F38" s="8">
        <f>'Prestige Patterns'!$B$5*('Prestige Patterns'!$B$6^E37-'Prestige Patterns'!$B$6^(E37+G38))/(1-'Prestige Patterns'!$B$6)</f>
        <v>15782667.209578421</v>
      </c>
      <c r="G38" s="8">
        <f>FLOOR(LOG('Prestige Patterns'!$B$6^(E37) - (D37*(1-'Prestige Patterns'!$B$6)/'Prestige Patterns'!$B$5),'Prestige Patterns'!$B$6)-E37,1)</f>
        <v>6</v>
      </c>
      <c r="H38">
        <f t="shared" si="2"/>
        <v>54</v>
      </c>
      <c r="I38" s="5">
        <f>1+H38*'Prestige Patterns'!$B$25</f>
        <v>1.54</v>
      </c>
      <c r="J38">
        <f>FLOOR((K38/'Prestige Patterns'!$B$22)^'Prestige Patterns'!$B$23,1)-H37</f>
        <v>14</v>
      </c>
      <c r="K38" s="8">
        <f>K37+N37*'Prestige Patterns'!$B$20</f>
        <v>471207306</v>
      </c>
      <c r="L38" s="2">
        <f>IF(J37&gt;='Prestige Patterns'!$B$28,IF(J37/(H37+1)&gt;('Prestige Patterns'!$B$27+1),L37+1,L37),L37)</f>
        <v>1</v>
      </c>
      <c r="N38">
        <f t="shared" si="0"/>
        <v>547993.59999999998</v>
      </c>
      <c r="O38" s="3">
        <f>'Prestige Patterns'!$B$4*E38</f>
        <v>5560</v>
      </c>
      <c r="P38">
        <f t="shared" si="3"/>
        <v>64</v>
      </c>
      <c r="Q38" s="5"/>
      <c r="R38" s="5"/>
      <c r="S38" s="3">
        <v>37</v>
      </c>
      <c r="T38" s="5"/>
    </row>
    <row r="39" spans="1:20" ht="12">
      <c r="A39" s="1"/>
      <c r="B39" s="1"/>
      <c r="C39" s="2">
        <f>(S39*'Prestige Patterns'!$B$20)/60</f>
        <v>19</v>
      </c>
      <c r="D39" s="2">
        <f>IF(L38=L39,N38*'Prestige Patterns'!$B$20+D38-F39,0)</f>
        <v>16872965.71606873</v>
      </c>
      <c r="E39" s="3">
        <f t="shared" si="1"/>
        <v>283</v>
      </c>
      <c r="F39" s="8">
        <f>'Prestige Patterns'!$B$5*('Prestige Patterns'!$B$6^E38-'Prestige Patterns'!$B$6^(E38+G39))/(1-'Prestige Patterns'!$B$6)</f>
        <v>17181735.610794634</v>
      </c>
      <c r="G39" s="8">
        <f>FLOOR(LOG('Prestige Patterns'!$B$6^(E38) - (D38*(1-'Prestige Patterns'!$B$6)/'Prestige Patterns'!$B$5),'Prestige Patterns'!$B$6)-E38,1)</f>
        <v>5</v>
      </c>
      <c r="H39">
        <f t="shared" si="2"/>
        <v>54</v>
      </c>
      <c r="I39" s="5">
        <f>1+H39*'Prestige Patterns'!$B$25</f>
        <v>1.54</v>
      </c>
      <c r="J39">
        <f>FLOOR((K39/'Prestige Patterns'!$B$22)^'Prestige Patterns'!$B$23,1)-H38</f>
        <v>15</v>
      </c>
      <c r="K39" s="8">
        <f>K38+N38*'Prestige Patterns'!$B$20</f>
        <v>487647114</v>
      </c>
      <c r="L39" s="2">
        <f>IF(J38&gt;='Prestige Patterns'!$B$28,IF(J38/(H38+1)&gt;('Prestige Patterns'!$B$27+1),L38+1,L38),L38)</f>
        <v>1</v>
      </c>
      <c r="N39">
        <f t="shared" si="0"/>
        <v>557849.59999999998</v>
      </c>
      <c r="O39" s="3">
        <f>'Prestige Patterns'!$B$4*E39</f>
        <v>5660</v>
      </c>
      <c r="P39">
        <f t="shared" si="3"/>
        <v>64</v>
      </c>
      <c r="Q39" s="5"/>
      <c r="R39" s="5"/>
      <c r="S39" s="3">
        <v>38</v>
      </c>
      <c r="T39" s="5"/>
    </row>
    <row r="40" spans="1:20" ht="12">
      <c r="A40" s="1"/>
      <c r="B40" s="1"/>
      <c r="C40" s="2">
        <f>(S40*'Prestige Patterns'!$B$20)/60</f>
        <v>19.5</v>
      </c>
      <c r="D40" s="2">
        <f>IF(L39=L40,N39*'Prestige Patterns'!$B$20+D39-F40,0)</f>
        <v>21097606.416564099</v>
      </c>
      <c r="E40" s="3">
        <f t="shared" si="1"/>
        <v>286</v>
      </c>
      <c r="F40" s="8">
        <f>'Prestige Patterns'!$B$5*('Prestige Patterns'!$B$6^E39-'Prestige Patterns'!$B$6^(E39+G40))/(1-'Prestige Patterns'!$B$6)</f>
        <v>12510847.299504632</v>
      </c>
      <c r="G40" s="8">
        <f>FLOOR(LOG('Prestige Patterns'!$B$6^(E39) - (D39*(1-'Prestige Patterns'!$B$6)/'Prestige Patterns'!$B$5),'Prestige Patterns'!$B$6)-E39,1)</f>
        <v>3</v>
      </c>
      <c r="H40">
        <f t="shared" si="2"/>
        <v>54</v>
      </c>
      <c r="I40" s="5">
        <f>1+H40*'Prestige Patterns'!$B$25</f>
        <v>1.54</v>
      </c>
      <c r="J40">
        <f>FLOOR((K40/'Prestige Patterns'!$B$22)^'Prestige Patterns'!$B$23,1)-H39</f>
        <v>17</v>
      </c>
      <c r="K40" s="8">
        <f>K39+N39*'Prestige Patterns'!$B$20</f>
        <v>504382602</v>
      </c>
      <c r="L40" s="2">
        <f>IF(J39&gt;='Prestige Patterns'!$B$28,IF(J39/(H39+1)&gt;('Prestige Patterns'!$B$27+1),L39+1,L39),L39)</f>
        <v>1</v>
      </c>
      <c r="N40">
        <f t="shared" si="0"/>
        <v>563763.20000000007</v>
      </c>
      <c r="O40" s="3">
        <f>'Prestige Patterns'!$B$4*E40</f>
        <v>5720</v>
      </c>
      <c r="P40">
        <f t="shared" si="3"/>
        <v>64</v>
      </c>
      <c r="Q40" s="5"/>
      <c r="R40" s="5"/>
      <c r="S40" s="3">
        <v>39</v>
      </c>
      <c r="T40" s="5"/>
    </row>
    <row r="41" spans="1:20" ht="12">
      <c r="A41" s="1"/>
      <c r="B41" s="1"/>
      <c r="C41" s="2">
        <f>(S41*'Prestige Patterns'!$B$20)/60</f>
        <v>20</v>
      </c>
      <c r="D41" s="2">
        <f>IF(L40=L41,N40*'Prestige Patterns'!$B$20+D40-F41,0)</f>
        <v>18209399.052048728</v>
      </c>
      <c r="E41" s="3">
        <f t="shared" si="1"/>
        <v>290</v>
      </c>
      <c r="F41" s="8">
        <f>'Prestige Patterns'!$B$5*('Prestige Patterns'!$B$6^E40-'Prestige Patterns'!$B$6^(E40+G41))/(1-'Prestige Patterns'!$B$6)</f>
        <v>19801103.364515379</v>
      </c>
      <c r="G41" s="8">
        <f>FLOOR(LOG('Prestige Patterns'!$B$6^(E40) - (D40*(1-'Prestige Patterns'!$B$6)/'Prestige Patterns'!$B$5),'Prestige Patterns'!$B$6)-E40,1)</f>
        <v>4</v>
      </c>
      <c r="H41">
        <f t="shared" si="2"/>
        <v>54</v>
      </c>
      <c r="I41" s="5">
        <f>1+H41*'Prestige Patterns'!$B$25</f>
        <v>1.54</v>
      </c>
      <c r="J41">
        <f>FLOOR((K41/'Prestige Patterns'!$B$22)^'Prestige Patterns'!$B$23,1)-H40</f>
        <v>18</v>
      </c>
      <c r="K41" s="8">
        <f>K40+N40*'Prestige Patterns'!$B$20</f>
        <v>521295498</v>
      </c>
      <c r="L41" s="2">
        <f>IF(J40&gt;='Prestige Patterns'!$B$28,IF(J40/(H40+1)&gt;('Prestige Patterns'!$B$27+1),L40+1,L40),L40)</f>
        <v>1</v>
      </c>
      <c r="N41">
        <f t="shared" si="0"/>
        <v>571648</v>
      </c>
      <c r="O41" s="3">
        <f>'Prestige Patterns'!$B$4*E41</f>
        <v>5800</v>
      </c>
      <c r="P41">
        <f t="shared" si="3"/>
        <v>64</v>
      </c>
      <c r="Q41" s="5"/>
      <c r="R41" s="5"/>
      <c r="S41" s="3">
        <v>40</v>
      </c>
      <c r="T41" s="5"/>
    </row>
    <row r="42" spans="1:20" ht="12">
      <c r="A42" s="1"/>
      <c r="B42" s="1"/>
      <c r="C42" s="2">
        <f>(S42*'Prestige Patterns'!$B$20)/60</f>
        <v>20.5</v>
      </c>
      <c r="D42" s="2">
        <f>IF(L41=L42,N41*'Prestige Patterns'!$B$20+D41-F42,0)</f>
        <v>17754820.529127892</v>
      </c>
      <c r="E42" s="3">
        <f t="shared" si="1"/>
        <v>293</v>
      </c>
      <c r="F42" s="8">
        <f>'Prestige Patterns'!$B$5*('Prestige Patterns'!$B$6^E41-'Prestige Patterns'!$B$6^(E41+G42))/(1-'Prestige Patterns'!$B$6)</f>
        <v>17604018.522920836</v>
      </c>
      <c r="G42" s="8">
        <f>FLOOR(LOG('Prestige Patterns'!$B$6^(E41) - (D41*(1-'Prestige Patterns'!$B$6)/'Prestige Patterns'!$B$5),'Prestige Patterns'!$B$6)-E41,1)</f>
        <v>3</v>
      </c>
      <c r="H42">
        <f t="shared" si="2"/>
        <v>54</v>
      </c>
      <c r="I42" s="5">
        <f>1+H42*'Prestige Patterns'!$B$25</f>
        <v>1.54</v>
      </c>
      <c r="J42">
        <f>FLOOR((K42/'Prestige Patterns'!$B$22)^'Prestige Patterns'!$B$23,1)-H41</f>
        <v>19</v>
      </c>
      <c r="K42" s="8">
        <f>K41+N41*'Prestige Patterns'!$B$20</f>
        <v>538444938</v>
      </c>
      <c r="L42" s="2">
        <f>IF(J41&gt;='Prestige Patterns'!$B$28,IF(J41/(H41+1)&gt;('Prestige Patterns'!$B$27+1),L41+1,L41),L41)</f>
        <v>1</v>
      </c>
      <c r="N42">
        <f t="shared" si="0"/>
        <v>577561.59999999998</v>
      </c>
      <c r="O42" s="3">
        <f>'Prestige Patterns'!$B$4*E42</f>
        <v>5860</v>
      </c>
      <c r="P42">
        <f t="shared" si="3"/>
        <v>64</v>
      </c>
      <c r="Q42" s="5"/>
      <c r="R42" s="5"/>
      <c r="S42" s="3">
        <v>41</v>
      </c>
      <c r="T42" s="5"/>
    </row>
    <row r="43" spans="1:20" ht="12">
      <c r="A43" s="1"/>
      <c r="B43" s="1"/>
      <c r="C43" s="2">
        <f>(S43*'Prestige Patterns'!$B$20)/60</f>
        <v>21</v>
      </c>
      <c r="D43" s="2">
        <f>IF(L42=L43,N42*'Prestige Patterns'!$B$20+D42-F43,0)</f>
        <v>21829758.463363513</v>
      </c>
      <c r="E43" s="3">
        <f t="shared" si="1"/>
        <v>295</v>
      </c>
      <c r="F43" s="8">
        <f>'Prestige Patterns'!$B$5*('Prestige Patterns'!$B$6^E42-'Prestige Patterns'!$B$6^(E42+G43))/(1-'Prestige Patterns'!$B$6)</f>
        <v>13251910.065764382</v>
      </c>
      <c r="G43" s="8">
        <f>FLOOR(LOG('Prestige Patterns'!$B$6^(E42) - (D42*(1-'Prestige Patterns'!$B$6)/'Prestige Patterns'!$B$5),'Prestige Patterns'!$B$6)-E42,1)</f>
        <v>2</v>
      </c>
      <c r="H43">
        <f t="shared" si="2"/>
        <v>54</v>
      </c>
      <c r="I43" s="5">
        <f>1+H43*'Prestige Patterns'!$B$25</f>
        <v>1.54</v>
      </c>
      <c r="J43">
        <f>FLOOR((K43/'Prestige Patterns'!$B$22)^'Prestige Patterns'!$B$23,1)-H42</f>
        <v>20</v>
      </c>
      <c r="K43" s="8">
        <f>K42+N42*'Prestige Patterns'!$B$20</f>
        <v>555771786</v>
      </c>
      <c r="L43" s="2">
        <f>IF(J42&gt;='Prestige Patterns'!$B$28,IF(J42/(H42+1)&gt;('Prestige Patterns'!$B$27+1),L42+1,L42),L42)</f>
        <v>1</v>
      </c>
      <c r="N43">
        <f t="shared" si="0"/>
        <v>581504</v>
      </c>
      <c r="O43" s="3">
        <f>'Prestige Patterns'!$B$4*E43</f>
        <v>5900</v>
      </c>
      <c r="P43">
        <f t="shared" si="3"/>
        <v>64</v>
      </c>
      <c r="Q43" s="5"/>
      <c r="R43" s="5"/>
      <c r="S43" s="3">
        <v>42</v>
      </c>
      <c r="T43" s="5"/>
    </row>
    <row r="44" spans="1:20" ht="12">
      <c r="A44" s="1"/>
      <c r="B44" s="1"/>
      <c r="C44" s="2">
        <f>(S44*'Prestige Patterns'!$B$20)/60</f>
        <v>21.5</v>
      </c>
      <c r="D44" s="2">
        <f>IF(L43=L44,N43*'Prestige Patterns'!$B$20+D43-F44,0)</f>
        <v>24664647.615858272</v>
      </c>
      <c r="E44" s="3">
        <f t="shared" si="1"/>
        <v>297</v>
      </c>
      <c r="F44" s="8">
        <f>'Prestige Patterns'!$B$5*('Prestige Patterns'!$B$6^E43-'Prestige Patterns'!$B$6^(E43+G44))/(1-'Prestige Patterns'!$B$6)</f>
        <v>14610230.847505243</v>
      </c>
      <c r="G44" s="8">
        <f>FLOOR(LOG('Prestige Patterns'!$B$6^(E43) - (D43*(1-'Prestige Patterns'!$B$6)/'Prestige Patterns'!$B$5),'Prestige Patterns'!$B$6)-E43,1)</f>
        <v>2</v>
      </c>
      <c r="H44">
        <f t="shared" si="2"/>
        <v>54</v>
      </c>
      <c r="I44" s="5">
        <f>1+H44*'Prestige Patterns'!$B$25</f>
        <v>1.54</v>
      </c>
      <c r="J44">
        <f>FLOOR((K44/'Prestige Patterns'!$B$22)^'Prestige Patterns'!$B$23,1)-H43</f>
        <v>21</v>
      </c>
      <c r="K44" s="8">
        <f>K43+N43*'Prestige Patterns'!$B$20</f>
        <v>573216906</v>
      </c>
      <c r="L44" s="2">
        <f>IF(J43&gt;='Prestige Patterns'!$B$28,IF(J43/(H43+1)&gt;('Prestige Patterns'!$B$27+1),L43+1,L43),L43)</f>
        <v>1</v>
      </c>
      <c r="N44">
        <f t="shared" si="0"/>
        <v>585446.40000000002</v>
      </c>
      <c r="O44" s="3">
        <f>'Prestige Patterns'!$B$4*E44</f>
        <v>5940</v>
      </c>
      <c r="P44">
        <f t="shared" si="3"/>
        <v>64</v>
      </c>
      <c r="Q44" s="5"/>
      <c r="R44" s="5"/>
      <c r="S44" s="3">
        <v>43</v>
      </c>
      <c r="T44" s="5"/>
    </row>
    <row r="45" spans="1:20" ht="12">
      <c r="A45" s="1"/>
      <c r="B45" s="1"/>
      <c r="C45" s="2">
        <f>(S45*'Prestige Patterns'!$B$20)/60</f>
        <v>22</v>
      </c>
      <c r="D45" s="2">
        <f>IF(L44=L45,N44*'Prestige Patterns'!$B$20+D44-F45,0)</f>
        <v>26120260.106483713</v>
      </c>
      <c r="E45" s="3">
        <f t="shared" si="1"/>
        <v>299</v>
      </c>
      <c r="F45" s="8">
        <f>'Prestige Patterns'!$B$5*('Prestige Patterns'!$B$6^E44-'Prestige Patterns'!$B$6^(E44+G45))/(1-'Prestige Patterns'!$B$6)</f>
        <v>16107779.509374559</v>
      </c>
      <c r="G45" s="8">
        <f>FLOOR(LOG('Prestige Patterns'!$B$6^(E44) - (D44*(1-'Prestige Patterns'!$B$6)/'Prestige Patterns'!$B$5),'Prestige Patterns'!$B$6)-E44,1)</f>
        <v>2</v>
      </c>
      <c r="H45">
        <f t="shared" si="2"/>
        <v>54</v>
      </c>
      <c r="I45" s="5">
        <f>1+H45*'Prestige Patterns'!$B$25</f>
        <v>1.54</v>
      </c>
      <c r="J45">
        <f>FLOOR((K45/'Prestige Patterns'!$B$22)^'Prestige Patterns'!$B$23,1)-H44</f>
        <v>22</v>
      </c>
      <c r="K45" s="8">
        <f>K44+N44*'Prestige Patterns'!$B$20</f>
        <v>590780298</v>
      </c>
      <c r="L45" s="2">
        <f>IF(J44&gt;='Prestige Patterns'!$B$28,IF(J44/(H44+1)&gt;('Prestige Patterns'!$B$27+1),L44+1,L44),L44)</f>
        <v>1</v>
      </c>
      <c r="N45">
        <f t="shared" si="0"/>
        <v>589388.80000000005</v>
      </c>
      <c r="O45" s="3">
        <f>'Prestige Patterns'!$B$4*E45</f>
        <v>5980</v>
      </c>
      <c r="P45">
        <f t="shared" si="3"/>
        <v>64</v>
      </c>
      <c r="Q45" s="5"/>
      <c r="R45" s="5"/>
      <c r="S45" s="3">
        <v>44</v>
      </c>
      <c r="T45" s="5"/>
    </row>
    <row r="46" spans="1:20" ht="12">
      <c r="A46" s="1"/>
      <c r="B46" s="1"/>
      <c r="C46" s="2">
        <f>(S46*'Prestige Patterns'!$B$20)/60</f>
        <v>22.5</v>
      </c>
      <c r="D46" s="2">
        <f>IF(L45=L46,N45*'Prestige Patterns'!$B$20+D45-F46,0)</f>
        <v>26043097.19739829</v>
      </c>
      <c r="E46" s="3">
        <f t="shared" si="1"/>
        <v>301</v>
      </c>
      <c r="F46" s="8">
        <f>'Prestige Patterns'!$B$5*('Prestige Patterns'!$B$6^E45-'Prestige Patterns'!$B$6^(E45+G46))/(1-'Prestige Patterns'!$B$6)</f>
        <v>17758826.909085423</v>
      </c>
      <c r="G46" s="8">
        <f>FLOOR(LOG('Prestige Patterns'!$B$6^(E45) - (D45*(1-'Prestige Patterns'!$B$6)/'Prestige Patterns'!$B$5),'Prestige Patterns'!$B$6)-E45,1)</f>
        <v>2</v>
      </c>
      <c r="H46">
        <f t="shared" si="2"/>
        <v>54</v>
      </c>
      <c r="I46" s="5">
        <f>1+H46*'Prestige Patterns'!$B$25</f>
        <v>1.54</v>
      </c>
      <c r="J46">
        <f>FLOOR((K46/'Prestige Patterns'!$B$22)^'Prestige Patterns'!$B$23,1)-H45</f>
        <v>24</v>
      </c>
      <c r="K46" s="8">
        <f>K45+N45*'Prestige Patterns'!$B$20</f>
        <v>608461962</v>
      </c>
      <c r="L46" s="2">
        <f>IF(J45&gt;='Prestige Patterns'!$B$28,IF(J45/(H45+1)&gt;('Prestige Patterns'!$B$27+1),L45+1,L45),L45)</f>
        <v>1</v>
      </c>
      <c r="N46">
        <f t="shared" si="0"/>
        <v>4746649.6000000006</v>
      </c>
      <c r="O46" s="3">
        <f>'Prestige Patterns'!$B$4*E46</f>
        <v>6020</v>
      </c>
      <c r="P46">
        <f t="shared" si="3"/>
        <v>512</v>
      </c>
      <c r="Q46" s="5"/>
      <c r="R46" s="5"/>
      <c r="S46" s="3">
        <v>45</v>
      </c>
      <c r="T46" s="5"/>
    </row>
    <row r="47" spans="1:20" ht="12">
      <c r="A47" s="1"/>
      <c r="B47" s="1"/>
      <c r="C47" s="2">
        <f>(S47*'Prestige Patterns'!$B$20)/60</f>
        <v>23</v>
      </c>
      <c r="D47" s="2">
        <f>IF(L46=L47,N46*'Prestige Patterns'!$B$20+D46-F47,0)</f>
        <v>148863478.53013161</v>
      </c>
      <c r="E47" s="3">
        <f t="shared" si="1"/>
        <v>303</v>
      </c>
      <c r="F47" s="8">
        <f>'Prestige Patterns'!$B$5*('Prestige Patterns'!$B$6^E46-'Prestige Patterns'!$B$6^(E46+G47))/(1-'Prestige Patterns'!$B$6)</f>
        <v>19579106.667266693</v>
      </c>
      <c r="G47" s="8">
        <f>FLOOR(LOG('Prestige Patterns'!$B$6^(E46) - (D46*(1-'Prestige Patterns'!$B$6)/'Prestige Patterns'!$B$5),'Prestige Patterns'!$B$6)-E46,1)</f>
        <v>2</v>
      </c>
      <c r="H47">
        <f t="shared" si="2"/>
        <v>54</v>
      </c>
      <c r="I47" s="5">
        <f>1+H47*'Prestige Patterns'!$B$25</f>
        <v>1.54</v>
      </c>
      <c r="J47">
        <f>FLOOR((K47/'Prestige Patterns'!$B$22)^'Prestige Patterns'!$B$23,1)-H46</f>
        <v>32</v>
      </c>
      <c r="K47" s="8">
        <f>K46+N46*'Prestige Patterns'!$B$20</f>
        <v>750861450</v>
      </c>
      <c r="L47" s="2">
        <f>IF(J46&gt;='Prestige Patterns'!$B$28,IF(J46/(H46+1)&gt;('Prestige Patterns'!$B$27+1),L46+1,L46),L46)</f>
        <v>1</v>
      </c>
      <c r="N47">
        <f t="shared" si="0"/>
        <v>4778188.7999999998</v>
      </c>
      <c r="O47" s="3">
        <f>'Prestige Patterns'!$B$4*E47</f>
        <v>6060</v>
      </c>
      <c r="P47">
        <f t="shared" si="3"/>
        <v>512</v>
      </c>
      <c r="Q47" s="5"/>
      <c r="R47" s="5"/>
      <c r="S47" s="3">
        <v>46</v>
      </c>
      <c r="T47" s="5"/>
    </row>
    <row r="48" spans="1:20" ht="12">
      <c r="A48" s="1"/>
      <c r="B48" s="1"/>
      <c r="C48" s="2">
        <f>(S48*'Prestige Patterns'!$B$20)/60</f>
        <v>23.5</v>
      </c>
      <c r="D48" s="2">
        <f>IF(L47=L48,N47*'Prestige Patterns'!$B$20+D47-F48,0)</f>
        <v>159767216.03636184</v>
      </c>
      <c r="E48" s="3">
        <f t="shared" si="1"/>
        <v>313</v>
      </c>
      <c r="F48" s="8">
        <f>'Prestige Patterns'!$B$5*('Prestige Patterns'!$B$6^E47-'Prestige Patterns'!$B$6^(E47+G48))/(1-'Prestige Patterns'!$B$6)</f>
        <v>132441926.49376974</v>
      </c>
      <c r="G48" s="8">
        <f>FLOOR(LOG('Prestige Patterns'!$B$6^(E47) - (D47*(1-'Prestige Patterns'!$B$6)/'Prestige Patterns'!$B$5),'Prestige Patterns'!$B$6)-E47,1)</f>
        <v>10</v>
      </c>
      <c r="H48">
        <f t="shared" si="2"/>
        <v>54</v>
      </c>
      <c r="I48" s="5">
        <f>1+H48*'Prestige Patterns'!$B$25</f>
        <v>1.54</v>
      </c>
      <c r="J48">
        <f>FLOOR((K48/'Prestige Patterns'!$B$22)^'Prestige Patterns'!$B$23,1)-H47</f>
        <v>40</v>
      </c>
      <c r="K48" s="8">
        <f>K47+N47*'Prestige Patterns'!$B$20</f>
        <v>894207114</v>
      </c>
      <c r="L48" s="2">
        <f>IF(J47&gt;='Prestige Patterns'!$B$28,IF(J47/(H47+1)&gt;('Prestige Patterns'!$B$27+1),L47+1,L47),L47)</f>
        <v>1</v>
      </c>
      <c r="N48">
        <f t="shared" si="0"/>
        <v>4935884.7999999998</v>
      </c>
      <c r="O48" s="3">
        <f>'Prestige Patterns'!$B$4*E48</f>
        <v>6260</v>
      </c>
      <c r="P48">
        <f t="shared" si="3"/>
        <v>512</v>
      </c>
      <c r="Q48" s="5"/>
      <c r="R48" s="5"/>
      <c r="S48" s="3">
        <v>47</v>
      </c>
      <c r="T48" s="5"/>
    </row>
    <row r="49" spans="1:20" ht="12">
      <c r="A49" s="1"/>
      <c r="B49" s="1"/>
      <c r="C49" s="2">
        <f>(S49*'Prestige Patterns'!$B$20)/60</f>
        <v>24</v>
      </c>
      <c r="D49" s="2">
        <f>IF(L48=L49,N48*'Prestige Patterns'!$B$20+D48-F49,0)</f>
        <v>168193371.23775607</v>
      </c>
      <c r="E49" s="3">
        <f t="shared" si="1"/>
        <v>320</v>
      </c>
      <c r="F49" s="8">
        <f>'Prestige Patterns'!$B$5*('Prestige Patterns'!$B$6^E48-'Prestige Patterns'!$B$6^(E48+G49))/(1-'Prestige Patterns'!$B$6)</f>
        <v>139650388.79860574</v>
      </c>
      <c r="G49" s="8">
        <f>FLOOR(LOG('Prestige Patterns'!$B$6^(E48) - (D48*(1-'Prestige Patterns'!$B$6)/'Prestige Patterns'!$B$5),'Prestige Patterns'!$B$6)-E48,1)</f>
        <v>7</v>
      </c>
      <c r="H49">
        <f t="shared" si="2"/>
        <v>54</v>
      </c>
      <c r="I49" s="5">
        <f>1+H49*'Prestige Patterns'!$B$25</f>
        <v>1.54</v>
      </c>
      <c r="J49">
        <f>FLOOR((K49/'Prestige Patterns'!$B$22)^'Prestige Patterns'!$B$23,1)-H48</f>
        <v>48</v>
      </c>
      <c r="K49" s="8">
        <f>K48+N48*'Prestige Patterns'!$B$20</f>
        <v>1042283658</v>
      </c>
      <c r="L49" s="2">
        <f>IF(J48&gt;='Prestige Patterns'!$B$28,IF(J48/(H48+1)&gt;('Prestige Patterns'!$B$27+1),L48+1,L48),L48)</f>
        <v>1</v>
      </c>
      <c r="N49">
        <f t="shared" si="0"/>
        <v>5046272</v>
      </c>
      <c r="O49" s="3">
        <f>'Prestige Patterns'!$B$4*E49</f>
        <v>6400</v>
      </c>
      <c r="P49">
        <f t="shared" si="3"/>
        <v>512</v>
      </c>
      <c r="Q49" s="5"/>
      <c r="R49" s="5"/>
      <c r="S49" s="3">
        <v>48</v>
      </c>
      <c r="T49" s="5"/>
    </row>
    <row r="50" spans="1:20" ht="12">
      <c r="A50" s="1"/>
      <c r="B50" s="1"/>
      <c r="C50" s="2">
        <f>(S50*'Prestige Patterns'!$B$20)/60</f>
        <v>24.5</v>
      </c>
      <c r="D50" s="2">
        <f>IF(L49=L50,N49*'Prestige Patterns'!$B$20+D49-F50,0)</f>
        <v>155421753.84297934</v>
      </c>
      <c r="E50" s="3">
        <f t="shared" si="1"/>
        <v>326</v>
      </c>
      <c r="F50" s="8">
        <f>'Prestige Patterns'!$B$5*('Prestige Patterns'!$B$6^E49-'Prestige Patterns'!$B$6^(E49+G50))/(1-'Prestige Patterns'!$B$6)</f>
        <v>164159777.39477673</v>
      </c>
      <c r="G50" s="8">
        <f>FLOOR(LOG('Prestige Patterns'!$B$6^(E49) - (D49*(1-'Prestige Patterns'!$B$6)/'Prestige Patterns'!$B$5),'Prestige Patterns'!$B$6)-E49,1)</f>
        <v>6</v>
      </c>
      <c r="H50">
        <f t="shared" si="2"/>
        <v>54</v>
      </c>
      <c r="I50" s="5">
        <f>1+H50*'Prestige Patterns'!$B$25</f>
        <v>1.54</v>
      </c>
      <c r="J50">
        <f>FLOOR((K50/'Prestige Patterns'!$B$22)^'Prestige Patterns'!$B$23,1)-H49</f>
        <v>55</v>
      </c>
      <c r="K50" s="8">
        <f>K49+N49*'Prestige Patterns'!$B$20</f>
        <v>1193671818</v>
      </c>
      <c r="L50" s="2">
        <f>IF(J49&gt;='Prestige Patterns'!$B$28,IF(J49/(H49+1)&gt;('Prestige Patterns'!$B$27+1),L49+1,L49),L49)</f>
        <v>1</v>
      </c>
      <c r="N50">
        <f t="shared" si="0"/>
        <v>5140889.6000000006</v>
      </c>
      <c r="O50" s="3">
        <f>'Prestige Patterns'!$B$4*E50</f>
        <v>6520</v>
      </c>
      <c r="P50">
        <f t="shared" si="3"/>
        <v>512</v>
      </c>
      <c r="Q50" s="5"/>
      <c r="R50" s="5"/>
      <c r="S50" s="3">
        <v>49</v>
      </c>
      <c r="T50" s="5"/>
    </row>
    <row r="51" spans="1:20" ht="12">
      <c r="A51" s="1"/>
      <c r="B51" s="1"/>
      <c r="C51" s="2">
        <f>(S51*'Prestige Patterns'!$B$20)/60</f>
        <v>25</v>
      </c>
      <c r="D51" s="2">
        <f>IF(L50=L51,N50*'Prestige Patterns'!$B$20+D50-F51,0)</f>
        <v>170248897.66917795</v>
      </c>
      <c r="E51" s="3">
        <f t="shared" si="1"/>
        <v>330</v>
      </c>
      <c r="F51" s="8">
        <f>'Prestige Patterns'!$B$5*('Prestige Patterns'!$B$6^E50-'Prestige Patterns'!$B$6^(E50+G51))/(1-'Prestige Patterns'!$B$6)</f>
        <v>139399544.17380142</v>
      </c>
      <c r="G51" s="8">
        <f>FLOOR(LOG('Prestige Patterns'!$B$6^(E50) - (D50*(1-'Prestige Patterns'!$B$6)/'Prestige Patterns'!$B$5),'Prestige Patterns'!$B$6)-E50,1)</f>
        <v>4</v>
      </c>
      <c r="H51">
        <f t="shared" si="2"/>
        <v>54</v>
      </c>
      <c r="I51" s="5">
        <f>1+H51*'Prestige Patterns'!$B$25</f>
        <v>1.54</v>
      </c>
      <c r="J51">
        <f>FLOOR((K51/'Prestige Patterns'!$B$22)^'Prestige Patterns'!$B$23,1)-H50</f>
        <v>62</v>
      </c>
      <c r="K51" s="8">
        <f>K50+N50*'Prestige Patterns'!$B$20</f>
        <v>1347898506</v>
      </c>
      <c r="L51" s="2">
        <f>IF(J50&gt;='Prestige Patterns'!$B$28,IF(J50/(H50+1)&gt;('Prestige Patterns'!$B$27+1),L50+1,L50),L50)</f>
        <v>1</v>
      </c>
      <c r="N51">
        <f t="shared" si="0"/>
        <v>5203968</v>
      </c>
      <c r="O51" s="3">
        <f>'Prestige Patterns'!$B$4*E51</f>
        <v>6600</v>
      </c>
      <c r="P51">
        <f t="shared" si="3"/>
        <v>512</v>
      </c>
      <c r="Q51" s="5"/>
      <c r="R51" s="5"/>
      <c r="S51" s="3">
        <v>50</v>
      </c>
      <c r="T51" s="5"/>
    </row>
    <row r="52" spans="1:20" ht="12">
      <c r="A52" s="1"/>
      <c r="B52" s="1"/>
      <c r="C52" s="2">
        <f>(S52*'Prestige Patterns'!$B$20)/60</f>
        <v>25.5</v>
      </c>
      <c r="D52" s="2">
        <f>IF(L51=L52,N51*'Prestige Patterns'!$B$20+D51-F52,0)</f>
        <v>156926920.47877133</v>
      </c>
      <c r="E52" s="3">
        <f t="shared" si="1"/>
        <v>334</v>
      </c>
      <c r="F52" s="8">
        <f>'Prestige Patterns'!$B$5*('Prestige Patterns'!$B$6^E51-'Prestige Patterns'!$B$6^(E51+G52))/(1-'Prestige Patterns'!$B$6)</f>
        <v>169441017.19040662</v>
      </c>
      <c r="G52" s="8">
        <f>FLOOR(LOG('Prestige Patterns'!$B$6^(E51) - (D51*(1-'Prestige Patterns'!$B$6)/'Prestige Patterns'!$B$5),'Prestige Patterns'!$B$6)-E51,1)</f>
        <v>4</v>
      </c>
      <c r="H52">
        <f t="shared" si="2"/>
        <v>54</v>
      </c>
      <c r="I52" s="5">
        <f>1+H52*'Prestige Patterns'!$B$25</f>
        <v>1.54</v>
      </c>
      <c r="J52">
        <f>FLOOR((K52/'Prestige Patterns'!$B$22)^'Prestige Patterns'!$B$23,1)-H51</f>
        <v>68</v>
      </c>
      <c r="K52" s="8">
        <f>K51+N51*'Prestige Patterns'!$B$20</f>
        <v>1504017546</v>
      </c>
      <c r="L52" s="2">
        <f>IF(J51&gt;='Prestige Patterns'!$B$28,IF(J51/(H51+1)&gt;('Prestige Patterns'!$B$27+1),L51+1,L51),L51)</f>
        <v>1</v>
      </c>
      <c r="N52">
        <f t="shared" si="0"/>
        <v>5267046.4000000004</v>
      </c>
      <c r="O52" s="3">
        <f>'Prestige Patterns'!$B$4*E52</f>
        <v>6680</v>
      </c>
      <c r="P52">
        <f t="shared" si="3"/>
        <v>512</v>
      </c>
      <c r="Q52" s="5"/>
      <c r="R52" s="5"/>
      <c r="S52" s="3">
        <v>51</v>
      </c>
      <c r="T52" s="5"/>
    </row>
    <row r="53" spans="1:20" ht="12">
      <c r="A53" s="1"/>
      <c r="B53" s="1"/>
      <c r="C53" s="2">
        <f>(S53*'Prestige Patterns'!$B$20)/60</f>
        <v>26</v>
      </c>
      <c r="D53" s="2">
        <f>IF(L52=L53,N52*'Prestige Patterns'!$B$20+D52-F53,0)</f>
        <v>164298080.45473719</v>
      </c>
      <c r="E53" s="3">
        <f t="shared" si="1"/>
        <v>337</v>
      </c>
      <c r="F53" s="8">
        <f>'Prestige Patterns'!$B$5*('Prestige Patterns'!$B$6^E52-'Prestige Patterns'!$B$6^(E52+G53))/(1-'Prestige Patterns'!$B$6)</f>
        <v>150640232.02403414</v>
      </c>
      <c r="G53" s="8">
        <f>FLOOR(LOG('Prestige Patterns'!$B$6^(E52) - (D52*(1-'Prestige Patterns'!$B$6)/'Prestige Patterns'!$B$5),'Prestige Patterns'!$B$6)-E52,1)</f>
        <v>3</v>
      </c>
      <c r="H53">
        <f t="shared" si="2"/>
        <v>54</v>
      </c>
      <c r="I53" s="5">
        <f>1+H53*'Prestige Patterns'!$B$25</f>
        <v>1.54</v>
      </c>
      <c r="J53">
        <f>FLOOR((K53/'Prestige Patterns'!$B$22)^'Prestige Patterns'!$B$23,1)-H52</f>
        <v>74</v>
      </c>
      <c r="K53" s="8">
        <f>K52+N52*'Prestige Patterns'!$B$20</f>
        <v>1662028938</v>
      </c>
      <c r="L53" s="2">
        <f>IF(J52&gt;='Prestige Patterns'!$B$28,IF(J52/(H52+1)&gt;('Prestige Patterns'!$B$27+1),L52+1,L52),L52)</f>
        <v>1</v>
      </c>
      <c r="N53">
        <f t="shared" si="0"/>
        <v>5314355.2000000002</v>
      </c>
      <c r="O53" s="3">
        <f>'Prestige Patterns'!$B$4*E53</f>
        <v>6740</v>
      </c>
      <c r="P53">
        <f t="shared" si="3"/>
        <v>512</v>
      </c>
      <c r="Q53" s="5"/>
      <c r="R53" s="5"/>
      <c r="S53" s="3">
        <v>52</v>
      </c>
      <c r="T53" s="5"/>
    </row>
    <row r="54" spans="1:20" ht="12">
      <c r="A54" s="1"/>
      <c r="B54" s="1"/>
      <c r="C54" s="2">
        <f>(S54*'Prestige Patterns'!$B$20)/60</f>
        <v>26.5</v>
      </c>
      <c r="D54" s="2">
        <f>IF(L53=L54,N53*'Prestige Patterns'!$B$20+D53-F54,0)</f>
        <v>210330150.53134781</v>
      </c>
      <c r="E54" s="3">
        <f t="shared" si="1"/>
        <v>339</v>
      </c>
      <c r="F54" s="8">
        <f>'Prestige Patterns'!$B$5*('Prestige Patterns'!$B$6^E53-'Prestige Patterns'!$B$6^(E53+G54))/(1-'Prestige Patterns'!$B$6)</f>
        <v>113398585.92338939</v>
      </c>
      <c r="G54" s="8">
        <f>FLOOR(LOG('Prestige Patterns'!$B$6^(E53) - (D53*(1-'Prestige Patterns'!$B$6)/'Prestige Patterns'!$B$5),'Prestige Patterns'!$B$6)-E53,1)</f>
        <v>2</v>
      </c>
      <c r="H54">
        <f t="shared" si="2"/>
        <v>54</v>
      </c>
      <c r="I54" s="5">
        <f>1+H54*'Prestige Patterns'!$B$25</f>
        <v>1.54</v>
      </c>
      <c r="J54">
        <f>FLOOR((K54/'Prestige Patterns'!$B$22)^'Prestige Patterns'!$B$23,1)-H53</f>
        <v>80</v>
      </c>
      <c r="K54" s="8">
        <f>K53+N53*'Prestige Patterns'!$B$20</f>
        <v>1821459594</v>
      </c>
      <c r="L54" s="2">
        <f>IF(J53&gt;='Prestige Patterns'!$B$28,IF(J53/(H53+1)&gt;('Prestige Patterns'!$B$27+1),L53+1,L53),L53)</f>
        <v>1</v>
      </c>
      <c r="N54">
        <f t="shared" si="0"/>
        <v>5345894.4000000004</v>
      </c>
      <c r="O54" s="3">
        <f>'Prestige Patterns'!$B$4*E54</f>
        <v>6780</v>
      </c>
      <c r="P54">
        <f t="shared" si="3"/>
        <v>512</v>
      </c>
      <c r="Q54" s="5"/>
      <c r="R54" s="5"/>
      <c r="S54" s="3">
        <v>53</v>
      </c>
      <c r="T54" s="5"/>
    </row>
    <row r="55" spans="1:20" ht="12">
      <c r="A55" s="1"/>
      <c r="B55" s="1"/>
      <c r="C55" s="2">
        <f>(S55*'Prestige Patterns'!$B$20)/60</f>
        <v>27</v>
      </c>
      <c r="D55" s="2">
        <f>IF(L54=L55,N54*'Prestige Patterns'!$B$20+D54-F55,0)</f>
        <v>178447631.82835174</v>
      </c>
      <c r="E55" s="3">
        <f t="shared" si="1"/>
        <v>342</v>
      </c>
      <c r="F55" s="8">
        <f>'Prestige Patterns'!$B$5*('Prestige Patterns'!$B$6^E54-'Prestige Patterns'!$B$6^(E54+G55))/(1-'Prestige Patterns'!$B$6)</f>
        <v>192259350.70299608</v>
      </c>
      <c r="G55" s="8">
        <f>FLOOR(LOG('Prestige Patterns'!$B$6^(E54) - (D54*(1-'Prestige Patterns'!$B$6)/'Prestige Patterns'!$B$5),'Prestige Patterns'!$B$6)-E54,1)</f>
        <v>3</v>
      </c>
      <c r="H55">
        <f t="shared" si="2"/>
        <v>54</v>
      </c>
      <c r="I55" s="5">
        <f>1+H55*'Prestige Patterns'!$B$25</f>
        <v>1.54</v>
      </c>
      <c r="J55">
        <f>FLOOR((K55/'Prestige Patterns'!$B$22)^'Prestige Patterns'!$B$23,1)-H54</f>
        <v>86</v>
      </c>
      <c r="K55" s="8">
        <f>K54+N54*'Prestige Patterns'!$B$20</f>
        <v>1981836426</v>
      </c>
      <c r="L55" s="2">
        <f>IF(J54&gt;='Prestige Patterns'!$B$28,IF(J54/(H54+1)&gt;('Prestige Patterns'!$B$27+1),L54+1,L54),L54)</f>
        <v>1</v>
      </c>
      <c r="N55">
        <f t="shared" si="0"/>
        <v>5393203.2000000002</v>
      </c>
      <c r="O55" s="3">
        <f>'Prestige Patterns'!$B$4*E55</f>
        <v>6840</v>
      </c>
      <c r="P55">
        <f t="shared" si="3"/>
        <v>512</v>
      </c>
      <c r="Q55" s="5"/>
      <c r="R55" s="5"/>
      <c r="S55" s="3">
        <v>54</v>
      </c>
      <c r="T55" s="5"/>
    </row>
    <row r="56" spans="1:20" ht="12">
      <c r="A56" s="1"/>
      <c r="B56" s="1"/>
      <c r="C56" s="2">
        <f>(S56*'Prestige Patterns'!$B$20)/60</f>
        <v>27.5</v>
      </c>
      <c r="D56" s="2">
        <f>IF(L55=L56,N55*'Prestige Patterns'!$B$20+D55-F56,0)</f>
        <v>0</v>
      </c>
      <c r="E56" s="3">
        <f t="shared" si="1"/>
        <v>1</v>
      </c>
      <c r="F56" s="8">
        <f>'Prestige Patterns'!$B$5*('Prestige Patterns'!$B$6^E55-'Prestige Patterns'!$B$6^(E55+G56))/(1-'Prestige Patterns'!$B$6)</f>
        <v>144728524.42759413</v>
      </c>
      <c r="G56" s="8">
        <f>FLOOR(LOG('Prestige Patterns'!$B$6^(E55) - (D55*(1-'Prestige Patterns'!$B$6)/'Prestige Patterns'!$B$5),'Prestige Patterns'!$B$6)-E55,1)</f>
        <v>2</v>
      </c>
      <c r="H56">
        <f t="shared" si="2"/>
        <v>140</v>
      </c>
      <c r="I56" s="5">
        <f>1+H56*'Prestige Patterns'!$B$25</f>
        <v>2.4000000000000004</v>
      </c>
      <c r="J56">
        <f>FLOOR((K56/'Prestige Patterns'!$B$22)^'Prestige Patterns'!$B$23,1)-H55</f>
        <v>92</v>
      </c>
      <c r="K56" s="8">
        <f>K55+N55*'Prestige Patterns'!$B$20</f>
        <v>2143632522</v>
      </c>
      <c r="L56" s="2">
        <f>IF(J55&gt;='Prestige Patterns'!$B$28,IF(J55/(H55+1)&gt;('Prestige Patterns'!$B$27+1),L55+1,L55),L55)</f>
        <v>2</v>
      </c>
      <c r="N56">
        <f t="shared" si="0"/>
        <v>24576.000000000004</v>
      </c>
      <c r="O56" s="3">
        <f>'Prestige Patterns'!$B$4*E56</f>
        <v>20</v>
      </c>
      <c r="P56">
        <f t="shared" si="3"/>
        <v>512</v>
      </c>
      <c r="Q56" s="5"/>
      <c r="R56" s="5"/>
      <c r="S56" s="3">
        <v>55</v>
      </c>
      <c r="T56" s="5"/>
    </row>
    <row r="57" spans="1:20" ht="12">
      <c r="A57" s="1"/>
      <c r="B57" s="1"/>
      <c r="C57" s="2">
        <f>(S57*'Prestige Patterns'!$B$20)/60</f>
        <v>28</v>
      </c>
      <c r="D57" s="2">
        <f>IF(L56=L57,N56*'Prestige Patterns'!$B$20+D56-F57,0)</f>
        <v>737280.00000000012</v>
      </c>
      <c r="E57" s="3">
        <f t="shared" si="1"/>
        <v>1</v>
      </c>
      <c r="F57" s="8">
        <f>'Prestige Patterns'!$B$5*('Prestige Patterns'!$B$6^E56-'Prestige Patterns'!$B$6^(E56+G57))/(1-'Prestige Patterns'!$B$6)</f>
        <v>0</v>
      </c>
      <c r="G57" s="8">
        <f>FLOOR(LOG('Prestige Patterns'!$B$6^(E56) - (D56*(1-'Prestige Patterns'!$B$6)/'Prestige Patterns'!$B$5),'Prestige Patterns'!$B$6)-E56,1)</f>
        <v>0</v>
      </c>
      <c r="H57">
        <f t="shared" si="2"/>
        <v>140</v>
      </c>
      <c r="I57" s="5">
        <f>1+H57*'Prestige Patterns'!$B$25</f>
        <v>2.4000000000000004</v>
      </c>
      <c r="J57">
        <f>FLOOR((K57/'Prestige Patterns'!$B$22)^'Prestige Patterns'!$B$23,1)-H56</f>
        <v>6</v>
      </c>
      <c r="K57" s="8">
        <f>K56+N56*'Prestige Patterns'!$B$20</f>
        <v>2144369802</v>
      </c>
      <c r="L57" s="2">
        <f>IF(J56&gt;='Prestige Patterns'!$B$28,IF(J56/(H56+1)&gt;('Prestige Patterns'!$B$27+1),L56+1,L56),L56)</f>
        <v>2</v>
      </c>
      <c r="N57">
        <f t="shared" si="0"/>
        <v>24576.000000000004</v>
      </c>
      <c r="O57" s="3">
        <f>'Prestige Patterns'!$B$4*E57</f>
        <v>20</v>
      </c>
      <c r="P57">
        <f t="shared" si="3"/>
        <v>512</v>
      </c>
      <c r="Q57" s="5"/>
      <c r="R57" s="5"/>
      <c r="S57" s="3">
        <v>56</v>
      </c>
      <c r="T57" s="5"/>
    </row>
    <row r="58" spans="1:20" ht="12">
      <c r="A58" s="1"/>
      <c r="B58" s="1"/>
      <c r="C58" s="2">
        <f>(S58*'Prestige Patterns'!$B$20)/60</f>
        <v>28.5</v>
      </c>
      <c r="D58" s="2">
        <f>IF(L57=L58,N57*'Prestige Patterns'!$B$20+D57-F58,0)</f>
        <v>740994.01487691433</v>
      </c>
      <c r="E58" s="3">
        <f t="shared" si="1"/>
        <v>187</v>
      </c>
      <c r="F58" s="8">
        <f>'Prestige Patterns'!$B$5*('Prestige Patterns'!$B$6^E57-'Prestige Patterns'!$B$6^(E57+G58))/(1-'Prestige Patterns'!$B$6)</f>
        <v>733565.98512308591</v>
      </c>
      <c r="G58" s="8">
        <f>FLOOR(LOG('Prestige Patterns'!$B$6^(E57) - (D57*(1-'Prestige Patterns'!$B$6)/'Prestige Patterns'!$B$5),'Prestige Patterns'!$B$6)-E57,1)</f>
        <v>186</v>
      </c>
      <c r="H58">
        <f t="shared" si="2"/>
        <v>140</v>
      </c>
      <c r="I58" s="5">
        <f>1+H58*'Prestige Patterns'!$B$25</f>
        <v>2.4000000000000004</v>
      </c>
      <c r="J58">
        <f>FLOOR((K58/'Prestige Patterns'!$B$22)^'Prestige Patterns'!$B$23,1)-H57</f>
        <v>6</v>
      </c>
      <c r="K58" s="8">
        <f>K57+N57*'Prestige Patterns'!$B$20</f>
        <v>2145107082</v>
      </c>
      <c r="L58" s="2">
        <f>IF(J57&gt;='Prestige Patterns'!$B$28,IF(J57/(H57+1)&gt;('Prestige Patterns'!$B$27+1),L57+1,L57),L57)</f>
        <v>2</v>
      </c>
      <c r="N58">
        <f t="shared" si="0"/>
        <v>143616.00000000003</v>
      </c>
      <c r="O58" s="3">
        <f>'Prestige Patterns'!$B$4*E58</f>
        <v>3740</v>
      </c>
      <c r="P58">
        <f t="shared" si="3"/>
        <v>16</v>
      </c>
      <c r="Q58" s="5"/>
      <c r="R58" s="5"/>
      <c r="S58" s="3">
        <v>57</v>
      </c>
      <c r="T58" s="5"/>
    </row>
    <row r="59" spans="1:20" ht="12">
      <c r="A59" s="1"/>
      <c r="B59" s="1"/>
      <c r="C59" s="2">
        <f>(S59*'Prestige Patterns'!$B$20)/60</f>
        <v>29</v>
      </c>
      <c r="D59" s="2">
        <f>IF(L58=L59,N58*'Prestige Patterns'!$B$20+D58-F59,0)</f>
        <v>4330547.2115265597</v>
      </c>
      <c r="E59" s="3">
        <f t="shared" si="1"/>
        <v>201</v>
      </c>
      <c r="F59" s="8">
        <f>'Prestige Patterns'!$B$5*('Prestige Patterns'!$B$6^E58-'Prestige Patterns'!$B$6^(E58+G59))/(1-'Prestige Patterns'!$B$6)</f>
        <v>718926.80335035583</v>
      </c>
      <c r="G59" s="8">
        <f>FLOOR(LOG('Prestige Patterns'!$B$6^(E58) - (D58*(1-'Prestige Patterns'!$B$6)/'Prestige Patterns'!$B$5),'Prestige Patterns'!$B$6)-E58,1)</f>
        <v>14</v>
      </c>
      <c r="H59">
        <f t="shared" si="2"/>
        <v>140</v>
      </c>
      <c r="I59" s="5">
        <f>1+H59*'Prestige Patterns'!$B$25</f>
        <v>2.4000000000000004</v>
      </c>
      <c r="J59">
        <f>FLOOR((K59/'Prestige Patterns'!$B$22)^'Prestige Patterns'!$B$23,1)-H58</f>
        <v>6</v>
      </c>
      <c r="K59" s="8">
        <f>K58+N58*'Prestige Patterns'!$B$20</f>
        <v>2149415562</v>
      </c>
      <c r="L59" s="2">
        <f>IF(J58&gt;='Prestige Patterns'!$B$28,IF(J58/(H58+1)&gt;('Prestige Patterns'!$B$27+1),L58+1,L58),L58)</f>
        <v>2</v>
      </c>
      <c r="N59">
        <f t="shared" si="0"/>
        <v>617472.00000000012</v>
      </c>
      <c r="O59" s="3">
        <f>'Prestige Patterns'!$B$4*E59</f>
        <v>4020</v>
      </c>
      <c r="P59">
        <f t="shared" si="3"/>
        <v>64</v>
      </c>
      <c r="Q59" s="5"/>
      <c r="R59" s="5"/>
      <c r="S59" s="3">
        <v>58</v>
      </c>
      <c r="T59" s="5"/>
    </row>
    <row r="60" spans="1:20" ht="12">
      <c r="A60" s="1"/>
      <c r="B60" s="1"/>
      <c r="C60" s="2">
        <f>(S60*'Prestige Patterns'!$B$20)/60</f>
        <v>29.5</v>
      </c>
      <c r="D60" s="2">
        <f>IF(L59=L60,N59*'Prestige Patterns'!$B$20+D59-F60,0)</f>
        <v>18612995.40565658</v>
      </c>
      <c r="E60" s="3">
        <f t="shared" si="1"/>
        <v>229</v>
      </c>
      <c r="F60" s="8">
        <f>'Prestige Patterns'!$B$5*('Prestige Patterns'!$B$6^E59-'Prestige Patterns'!$B$6^(E59+G60))/(1-'Prestige Patterns'!$B$6)</f>
        <v>4241711.8058699863</v>
      </c>
      <c r="G60" s="8">
        <f>FLOOR(LOG('Prestige Patterns'!$B$6^(E59) - (D59*(1-'Prestige Patterns'!$B$6)/'Prestige Patterns'!$B$5),'Prestige Patterns'!$B$6)-E59,1)</f>
        <v>28</v>
      </c>
      <c r="H60">
        <f t="shared" si="2"/>
        <v>140</v>
      </c>
      <c r="I60" s="5">
        <f>1+H60*'Prestige Patterns'!$B$25</f>
        <v>2.4000000000000004</v>
      </c>
      <c r="J60">
        <f>FLOOR((K60/'Prestige Patterns'!$B$22)^'Prestige Patterns'!$B$23,1)-H59</f>
        <v>7</v>
      </c>
      <c r="K60" s="8">
        <f>K59+N59*'Prestige Patterns'!$B$20</f>
        <v>2167939722</v>
      </c>
      <c r="L60" s="2">
        <f>IF(J59&gt;='Prestige Patterns'!$B$28,IF(J59/(H59+1)&gt;('Prestige Patterns'!$B$27+1),L59+1,L59),L59)</f>
        <v>2</v>
      </c>
      <c r="N60">
        <f t="shared" si="0"/>
        <v>703488.00000000012</v>
      </c>
      <c r="O60" s="3">
        <f>'Prestige Patterns'!$B$4*E60</f>
        <v>4580</v>
      </c>
      <c r="P60">
        <f t="shared" si="3"/>
        <v>64</v>
      </c>
      <c r="Q60" s="5"/>
      <c r="R60" s="5"/>
      <c r="S60" s="3">
        <v>59</v>
      </c>
      <c r="T60" s="5"/>
    </row>
    <row r="61" spans="1:20" ht="12">
      <c r="A61" s="1"/>
      <c r="B61" s="1"/>
      <c r="C61" s="2">
        <f>(S61*'Prestige Patterns'!$B$20)/60</f>
        <v>30</v>
      </c>
      <c r="D61" s="2">
        <f>IF(L60=L61,N60*'Prestige Patterns'!$B$20+D60-F61,0)</f>
        <v>21973460.026447657</v>
      </c>
      <c r="E61" s="3">
        <f t="shared" si="1"/>
        <v>258</v>
      </c>
      <c r="F61" s="8">
        <f>'Prestige Patterns'!$B$5*('Prestige Patterns'!$B$6^E60-'Prestige Patterns'!$B$6^(E60+G61))/(1-'Prestige Patterns'!$B$6)</f>
        <v>17744175.379208926</v>
      </c>
      <c r="G61" s="8">
        <f>FLOOR(LOG('Prestige Patterns'!$B$6^(E60) - (D60*(1-'Prestige Patterns'!$B$6)/'Prestige Patterns'!$B$5),'Prestige Patterns'!$B$6)-E60,1)</f>
        <v>29</v>
      </c>
      <c r="H61">
        <f t="shared" si="2"/>
        <v>140</v>
      </c>
      <c r="I61" s="5">
        <f>1+H61*'Prestige Patterns'!$B$25</f>
        <v>2.4000000000000004</v>
      </c>
      <c r="J61">
        <f>FLOOR((K61/'Prestige Patterns'!$B$22)^'Prestige Patterns'!$B$23,1)-H60</f>
        <v>7</v>
      </c>
      <c r="K61" s="8">
        <f>K60+N60*'Prestige Patterns'!$B$20</f>
        <v>2189044362</v>
      </c>
      <c r="L61" s="2">
        <f>IF(J60&gt;='Prestige Patterns'!$B$28,IF(J60/(H60+1)&gt;('Prestige Patterns'!$B$27+1),L60+1,L60),L60)</f>
        <v>2</v>
      </c>
      <c r="N61">
        <f t="shared" si="0"/>
        <v>792576.00000000012</v>
      </c>
      <c r="O61" s="3">
        <f>'Prestige Patterns'!$B$4*E61</f>
        <v>5160</v>
      </c>
      <c r="P61">
        <f t="shared" si="3"/>
        <v>64</v>
      </c>
      <c r="Q61" s="5"/>
      <c r="R61" s="5"/>
      <c r="S61" s="3">
        <v>60</v>
      </c>
      <c r="T61" s="5"/>
    </row>
    <row r="62" spans="1:20" ht="12">
      <c r="A62" s="1"/>
      <c r="B62" s="1"/>
      <c r="C62" s="2">
        <f>(S62*'Prestige Patterns'!$B$20)/60</f>
        <v>30.5</v>
      </c>
      <c r="D62" s="2">
        <f>IF(L61=L62,N61*'Prestige Patterns'!$B$20+D61-F62,0)</f>
        <v>24992484.510896955</v>
      </c>
      <c r="E62" s="3">
        <f t="shared" si="1"/>
        <v>271</v>
      </c>
      <c r="F62" s="8">
        <f>'Prestige Patterns'!$B$5*('Prestige Patterns'!$B$6^E61-'Prestige Patterns'!$B$6^(E61+G62))/(1-'Prestige Patterns'!$B$6)</f>
        <v>20758255.515550707</v>
      </c>
      <c r="G62" s="8">
        <f>FLOOR(LOG('Prestige Patterns'!$B$6^(E61) - (D61*(1-'Prestige Patterns'!$B$6)/'Prestige Patterns'!$B$5),'Prestige Patterns'!$B$6)-E61,1)</f>
        <v>13</v>
      </c>
      <c r="H62">
        <f t="shared" si="2"/>
        <v>140</v>
      </c>
      <c r="I62" s="5">
        <f>1+H62*'Prestige Patterns'!$B$25</f>
        <v>2.4000000000000004</v>
      </c>
      <c r="J62">
        <f>FLOOR((K62/'Prestige Patterns'!$B$22)^'Prestige Patterns'!$B$23,1)-H61</f>
        <v>8</v>
      </c>
      <c r="K62" s="8">
        <f>K61+N61*'Prestige Patterns'!$B$20</f>
        <v>2212821642</v>
      </c>
      <c r="L62" s="2">
        <f>IF(J61&gt;='Prestige Patterns'!$B$28,IF(J61/(H61+1)&gt;('Prestige Patterns'!$B$27+1),L61+1,L61),L61)</f>
        <v>2</v>
      </c>
      <c r="N62">
        <f t="shared" si="0"/>
        <v>832512.00000000012</v>
      </c>
      <c r="O62" s="3">
        <f>'Prestige Patterns'!$B$4*E62</f>
        <v>5420</v>
      </c>
      <c r="P62">
        <f t="shared" si="3"/>
        <v>64</v>
      </c>
      <c r="Q62" s="5"/>
      <c r="R62" s="5"/>
      <c r="S62" s="3">
        <v>61</v>
      </c>
      <c r="T62" s="5"/>
    </row>
    <row r="63" spans="1:20" ht="12">
      <c r="A63" s="1"/>
      <c r="B63" s="1"/>
      <c r="C63" s="2">
        <f>(S63*'Prestige Patterns'!$B$20)/60</f>
        <v>31</v>
      </c>
      <c r="D63" s="2">
        <f>IF(L62=L63,N62*'Prestige Patterns'!$B$20+D62-F63,0)</f>
        <v>25600946.002866868</v>
      </c>
      <c r="E63" s="3">
        <f t="shared" si="1"/>
        <v>280</v>
      </c>
      <c r="F63" s="8">
        <f>'Prestige Patterns'!$B$5*('Prestige Patterns'!$B$6^E62-'Prestige Patterns'!$B$6^(E62+G63))/(1-'Prestige Patterns'!$B$6)</f>
        <v>24366898.50803009</v>
      </c>
      <c r="G63" s="8">
        <f>FLOOR(LOG('Prestige Patterns'!$B$6^(E62) - (D62*(1-'Prestige Patterns'!$B$6)/'Prestige Patterns'!$B$5),'Prestige Patterns'!$B$6)-E62,1)</f>
        <v>9</v>
      </c>
      <c r="H63">
        <f t="shared" si="2"/>
        <v>140</v>
      </c>
      <c r="I63" s="5">
        <f>1+H63*'Prestige Patterns'!$B$25</f>
        <v>2.4000000000000004</v>
      </c>
      <c r="J63">
        <f>FLOOR((K63/'Prestige Patterns'!$B$22)^'Prestige Patterns'!$B$23,1)-H62</f>
        <v>9</v>
      </c>
      <c r="K63" s="8">
        <f>K62+N62*'Prestige Patterns'!$B$20</f>
        <v>2237797002</v>
      </c>
      <c r="L63" s="2">
        <f>IF(J62&gt;='Prestige Patterns'!$B$28,IF(J62/(H62+1)&gt;('Prestige Patterns'!$B$27+1),L62+1,L62),L62)</f>
        <v>2</v>
      </c>
      <c r="N63">
        <f t="shared" si="0"/>
        <v>860160.00000000012</v>
      </c>
      <c r="O63" s="3">
        <f>'Prestige Patterns'!$B$4*E63</f>
        <v>5600</v>
      </c>
      <c r="P63">
        <f t="shared" si="3"/>
        <v>64</v>
      </c>
      <c r="Q63" s="5"/>
      <c r="R63" s="5"/>
      <c r="S63" s="3">
        <v>62</v>
      </c>
      <c r="T63" s="5"/>
    </row>
    <row r="64" spans="1:20" ht="12">
      <c r="A64" s="1"/>
      <c r="B64" s="1"/>
      <c r="C64" s="2">
        <f>(S64*'Prestige Patterns'!$B$20)/60</f>
        <v>31.5</v>
      </c>
      <c r="D64" s="2">
        <f>IF(L63=L64,N63*'Prestige Patterns'!$B$20+D63-F64,0)</f>
        <v>28087558.416564118</v>
      </c>
      <c r="E64" s="3">
        <f t="shared" si="1"/>
        <v>286</v>
      </c>
      <c r="F64" s="8">
        <f>'Prestige Patterns'!$B$5*('Prestige Patterns'!$B$6^E63-'Prestige Patterns'!$B$6^(E63+G64))/(1-'Prestige Patterns'!$B$6)</f>
        <v>23318187.586302754</v>
      </c>
      <c r="G64" s="8">
        <f>FLOOR(LOG('Prestige Patterns'!$B$6^(E63) - (D63*(1-'Prestige Patterns'!$B$6)/'Prestige Patterns'!$B$5),'Prestige Patterns'!$B$6)-E63,1)</f>
        <v>6</v>
      </c>
      <c r="H64">
        <f t="shared" si="2"/>
        <v>140</v>
      </c>
      <c r="I64" s="5">
        <f>1+H64*'Prestige Patterns'!$B$25</f>
        <v>2.4000000000000004</v>
      </c>
      <c r="J64">
        <f>FLOOR((K64/'Prestige Patterns'!$B$22)^'Prestige Patterns'!$B$23,1)-H63</f>
        <v>10</v>
      </c>
      <c r="K64" s="8">
        <f>K63+N63*'Prestige Patterns'!$B$20</f>
        <v>2263601802</v>
      </c>
      <c r="L64" s="2">
        <f>IF(J63&gt;='Prestige Patterns'!$B$28,IF(J63/(H63+1)&gt;('Prestige Patterns'!$B$27+1),L63+1,L63),L63)</f>
        <v>2</v>
      </c>
      <c r="N64">
        <f t="shared" si="0"/>
        <v>878592.00000000012</v>
      </c>
      <c r="O64" s="3">
        <f>'Prestige Patterns'!$B$4*E64</f>
        <v>5720</v>
      </c>
      <c r="P64">
        <f t="shared" si="3"/>
        <v>64</v>
      </c>
      <c r="Q64" s="5"/>
      <c r="R64" s="5"/>
      <c r="S64" s="3">
        <v>63</v>
      </c>
      <c r="T64" s="5"/>
    </row>
    <row r="65" spans="1:20" ht="12">
      <c r="A65" s="1"/>
      <c r="B65" s="1"/>
      <c r="C65" s="2">
        <f>(S65*'Prestige Patterns'!$B$20)/60</f>
        <v>32</v>
      </c>
      <c r="D65" s="2">
        <f>IF(L64=L65,N64*'Prestige Patterns'!$B$20+D64-F65,0)</f>
        <v>29060069.604651161</v>
      </c>
      <c r="E65" s="3">
        <f t="shared" si="1"/>
        <v>291</v>
      </c>
      <c r="F65" s="8">
        <f>'Prestige Patterns'!$B$5*('Prestige Patterns'!$B$6^E64-'Prestige Patterns'!$B$6^(E64+G65))/(1-'Prestige Patterns'!$B$6)</f>
        <v>25385248.811912961</v>
      </c>
      <c r="G65" s="8">
        <f>FLOOR(LOG('Prestige Patterns'!$B$6^(E64) - (D64*(1-'Prestige Patterns'!$B$6)/'Prestige Patterns'!$B$5),'Prestige Patterns'!$B$6)-E64,1)</f>
        <v>5</v>
      </c>
      <c r="H65">
        <f t="shared" si="2"/>
        <v>140</v>
      </c>
      <c r="I65" s="5">
        <f>1+H65*'Prestige Patterns'!$B$25</f>
        <v>2.4000000000000004</v>
      </c>
      <c r="J65">
        <f>FLOOR((K65/'Prestige Patterns'!$B$22)^'Prestige Patterns'!$B$23,1)-H64</f>
        <v>11</v>
      </c>
      <c r="K65" s="8">
        <f>K64+N64*'Prestige Patterns'!$B$20</f>
        <v>2289959562</v>
      </c>
      <c r="L65" s="2">
        <f>IF(J64&gt;='Prestige Patterns'!$B$28,IF(J64/(H64+1)&gt;('Prestige Patterns'!$B$27+1),L64+1,L64),L64)</f>
        <v>2</v>
      </c>
      <c r="N65">
        <f t="shared" si="0"/>
        <v>893952.00000000012</v>
      </c>
      <c r="O65" s="3">
        <f>'Prestige Patterns'!$B$4*E65</f>
        <v>5820</v>
      </c>
      <c r="P65">
        <f t="shared" si="3"/>
        <v>64</v>
      </c>
      <c r="Q65" s="5"/>
      <c r="R65" s="5"/>
      <c r="S65" s="3">
        <v>64</v>
      </c>
      <c r="T65" s="5"/>
    </row>
    <row r="66" spans="1:20" ht="12">
      <c r="A66" s="1"/>
      <c r="B66" s="1"/>
      <c r="C66" s="2">
        <f>(S66*'Prestige Patterns'!$B$20)/60</f>
        <v>32.5</v>
      </c>
      <c r="D66" s="2">
        <f>IF(L65=L66,N65*'Prestige Patterns'!$B$20+D65-F66,0)</f>
        <v>30606846.463363532</v>
      </c>
      <c r="E66" s="3">
        <f t="shared" si="1"/>
        <v>295</v>
      </c>
      <c r="F66" s="8">
        <f>'Prestige Patterns'!$B$5*('Prestige Patterns'!$B$6^E65-'Prestige Patterns'!$B$6^(E65+G66))/(1-'Prestige Patterns'!$B$6)</f>
        <v>25271783.141287636</v>
      </c>
      <c r="G66" s="8">
        <f>FLOOR(LOG('Prestige Patterns'!$B$6^(E65) - (D65*(1-'Prestige Patterns'!$B$6)/'Prestige Patterns'!$B$5),'Prestige Patterns'!$B$6)-E65,1)</f>
        <v>4</v>
      </c>
      <c r="H66">
        <f t="shared" si="2"/>
        <v>140</v>
      </c>
      <c r="I66" s="5">
        <f>1+H66*'Prestige Patterns'!$B$25</f>
        <v>2.4000000000000004</v>
      </c>
      <c r="J66">
        <f>FLOOR((K66/'Prestige Patterns'!$B$22)^'Prestige Patterns'!$B$23,1)-H65</f>
        <v>12</v>
      </c>
      <c r="K66" s="8">
        <f>K65+N65*'Prestige Patterns'!$B$20</f>
        <v>2316778122</v>
      </c>
      <c r="L66" s="2">
        <f>IF(J65&gt;='Prestige Patterns'!$B$28,IF(J65/(H65+1)&gt;('Prestige Patterns'!$B$27+1),L65+1,L65),L65)</f>
        <v>2</v>
      </c>
      <c r="N66">
        <f t="shared" si="0"/>
        <v>906240.00000000012</v>
      </c>
      <c r="O66" s="3">
        <f>'Prestige Patterns'!$B$4*E66</f>
        <v>5900</v>
      </c>
      <c r="P66">
        <f t="shared" si="3"/>
        <v>64</v>
      </c>
      <c r="Q66" s="5"/>
      <c r="R66" s="5"/>
      <c r="S66" s="3">
        <v>65</v>
      </c>
      <c r="T66" s="5"/>
    </row>
    <row r="67" spans="1:20" ht="12">
      <c r="A67" s="1"/>
      <c r="B67" s="1"/>
      <c r="C67" s="2">
        <f>(S67*'Prestige Patterns'!$B$20)/60</f>
        <v>33</v>
      </c>
      <c r="D67" s="2">
        <f>IF(L66=L67,N66*'Prestige Patterns'!$B$20+D66-F67,0)</f>
        <v>35326362.196651205</v>
      </c>
      <c r="E67" s="3">
        <f t="shared" si="1"/>
        <v>298</v>
      </c>
      <c r="F67" s="8">
        <f>'Prestige Patterns'!$B$5*('Prestige Patterns'!$B$6^E66-'Prestige Patterns'!$B$6^(E66+G67))/(1-'Prestige Patterns'!$B$6)</f>
        <v>22467684.26671233</v>
      </c>
      <c r="G67" s="8">
        <f>FLOOR(LOG('Prestige Patterns'!$B$6^(E66) - (D66*(1-'Prestige Patterns'!$B$6)/'Prestige Patterns'!$B$5),'Prestige Patterns'!$B$6)-E66,1)</f>
        <v>3</v>
      </c>
      <c r="H67">
        <f t="shared" si="2"/>
        <v>140</v>
      </c>
      <c r="I67" s="5">
        <f>1+H67*'Prestige Patterns'!$B$25</f>
        <v>2.4000000000000004</v>
      </c>
      <c r="J67">
        <f>FLOOR((K67/'Prestige Patterns'!$B$22)^'Prestige Patterns'!$B$23,1)-H66</f>
        <v>13</v>
      </c>
      <c r="K67" s="8">
        <f>K66+N66*'Prestige Patterns'!$B$20</f>
        <v>2343965322</v>
      </c>
      <c r="L67" s="2">
        <f>IF(J66&gt;='Prestige Patterns'!$B$28,IF(J66/(H66+1)&gt;('Prestige Patterns'!$B$27+1),L66+1,L66),L66)</f>
        <v>2</v>
      </c>
      <c r="N67">
        <f t="shared" si="0"/>
        <v>915456.00000000012</v>
      </c>
      <c r="O67" s="3">
        <f>'Prestige Patterns'!$B$4*E67</f>
        <v>5960</v>
      </c>
      <c r="P67">
        <f t="shared" si="3"/>
        <v>64</v>
      </c>
      <c r="Q67" s="5"/>
      <c r="R67" s="5"/>
      <c r="S67" s="3">
        <v>66</v>
      </c>
      <c r="T67" s="5"/>
    </row>
    <row r="68" spans="1:20" ht="12">
      <c r="A68" s="1"/>
      <c r="B68" s="1"/>
      <c r="C68" s="2">
        <f>(S68*'Prestige Patterns'!$B$20)/60</f>
        <v>33.5</v>
      </c>
      <c r="D68" s="2">
        <f>IF(L67=L68,N67*'Prestige Patterns'!$B$20+D67-F68,0)</f>
        <v>36780889.197398305</v>
      </c>
      <c r="E68" s="3">
        <f t="shared" si="1"/>
        <v>301</v>
      </c>
      <c r="F68" s="8">
        <f>'Prestige Patterns'!$B$5*('Prestige Patterns'!$B$6^E67-'Prestige Patterns'!$B$6^(E67+G68))/(1-'Prestige Patterns'!$B$6)</f>
        <v>26009152.999252897</v>
      </c>
      <c r="G68" s="8">
        <f>FLOOR(LOG('Prestige Patterns'!$B$6^(E67) - (D67*(1-'Prestige Patterns'!$B$6)/'Prestige Patterns'!$B$5),'Prestige Patterns'!$B$6)-E67,1)</f>
        <v>3</v>
      </c>
      <c r="H68">
        <f t="shared" si="2"/>
        <v>140</v>
      </c>
      <c r="I68" s="5">
        <f>1+H68*'Prestige Patterns'!$B$25</f>
        <v>2.4000000000000004</v>
      </c>
      <c r="J68">
        <f>FLOOR((K68/'Prestige Patterns'!$B$22)^'Prestige Patterns'!$B$23,1)-H67</f>
        <v>13</v>
      </c>
      <c r="K68" s="8">
        <f>K67+N67*'Prestige Patterns'!$B$20</f>
        <v>2371429002</v>
      </c>
      <c r="L68" s="2">
        <f>IF(J67&gt;='Prestige Patterns'!$B$28,IF(J67/(H67+1)&gt;('Prestige Patterns'!$B$27+1),L67+1,L67),L67)</f>
        <v>2</v>
      </c>
      <c r="N68">
        <f t="shared" si="0"/>
        <v>7397376.0000000009</v>
      </c>
      <c r="O68" s="3">
        <f>'Prestige Patterns'!$B$4*E68</f>
        <v>6020</v>
      </c>
      <c r="P68">
        <f t="shared" si="3"/>
        <v>512</v>
      </c>
      <c r="Q68" s="5"/>
      <c r="R68" s="5"/>
      <c r="S68" s="3">
        <v>67</v>
      </c>
      <c r="T68" s="5"/>
    </row>
    <row r="69" spans="1:20" ht="12">
      <c r="A69" s="1"/>
      <c r="B69" s="1"/>
      <c r="C69" s="2">
        <f>(S69*'Prestige Patterns'!$B$20)/60</f>
        <v>34</v>
      </c>
      <c r="D69" s="2">
        <f>IF(L68=L69,N68*'Prestige Patterns'!$B$20+D68-F69,0)</f>
        <v>228593323.45663825</v>
      </c>
      <c r="E69" s="3">
        <f t="shared" si="1"/>
        <v>304</v>
      </c>
      <c r="F69" s="8">
        <f>'Prestige Patterns'!$B$5*('Prestige Patterns'!$B$6^E68-'Prestige Patterns'!$B$6^(E68+G69))/(1-'Prestige Patterns'!$B$6)</f>
        <v>30108845.740760092</v>
      </c>
      <c r="G69" s="8">
        <f>FLOOR(LOG('Prestige Patterns'!$B$6^(E68) - (D68*(1-'Prestige Patterns'!$B$6)/'Prestige Patterns'!$B$5),'Prestige Patterns'!$B$6)-E68,1)</f>
        <v>3</v>
      </c>
      <c r="H69">
        <f t="shared" si="2"/>
        <v>140</v>
      </c>
      <c r="I69" s="5">
        <f>1+H69*'Prestige Patterns'!$B$25</f>
        <v>2.4000000000000004</v>
      </c>
      <c r="J69">
        <f>FLOOR((K69/'Prestige Patterns'!$B$22)^'Prestige Patterns'!$B$23,1)-H68</f>
        <v>21</v>
      </c>
      <c r="K69" s="8">
        <f>K68+N68*'Prestige Patterns'!$B$20</f>
        <v>2593350282</v>
      </c>
      <c r="L69" s="2">
        <f>IF(J68&gt;='Prestige Patterns'!$B$28,IF(J68/(H68+1)&gt;('Prestige Patterns'!$B$27+1),L68+1,L68),L68)</f>
        <v>2</v>
      </c>
      <c r="N69">
        <f t="shared" si="0"/>
        <v>7471104.0000000009</v>
      </c>
      <c r="O69" s="3">
        <f>'Prestige Patterns'!$B$4*E69</f>
        <v>6080</v>
      </c>
      <c r="P69">
        <f t="shared" si="3"/>
        <v>512</v>
      </c>
      <c r="Q69" s="5"/>
      <c r="R69" s="5"/>
      <c r="S69" s="3">
        <v>68</v>
      </c>
      <c r="T69" s="5"/>
    </row>
    <row r="70" spans="1:20" ht="12">
      <c r="A70" s="1"/>
      <c r="B70" s="1"/>
      <c r="C70" s="2">
        <f>(S70*'Prestige Patterns'!$B$20)/60</f>
        <v>34.5</v>
      </c>
      <c r="D70" s="2">
        <f>IF(L69=L70,N69*'Prestige Patterns'!$B$20+D69-F70,0)</f>
        <v>236039538.36531189</v>
      </c>
      <c r="E70" s="3">
        <f t="shared" si="1"/>
        <v>318</v>
      </c>
      <c r="F70" s="8">
        <f>'Prestige Patterns'!$B$5*('Prestige Patterns'!$B$6^E69-'Prestige Patterns'!$B$6^(E69+G70))/(1-'Prestige Patterns'!$B$6)</f>
        <v>216686905.09132639</v>
      </c>
      <c r="G70" s="8">
        <f>FLOOR(LOG('Prestige Patterns'!$B$6^(E69) - (D69*(1-'Prestige Patterns'!$B$6)/'Prestige Patterns'!$B$5),'Prestige Patterns'!$B$6)-E69,1)</f>
        <v>14</v>
      </c>
      <c r="H70">
        <f t="shared" si="2"/>
        <v>140</v>
      </c>
      <c r="I70" s="5">
        <f>1+H70*'Prestige Patterns'!$B$25</f>
        <v>2.4000000000000004</v>
      </c>
      <c r="J70">
        <f>FLOOR((K70/'Prestige Patterns'!$B$22)^'Prestige Patterns'!$B$23,1)-H69</f>
        <v>27</v>
      </c>
      <c r="K70" s="8">
        <f>K69+N69*'Prestige Patterns'!$B$20</f>
        <v>2817483402</v>
      </c>
      <c r="L70" s="2">
        <f>IF(J69&gt;='Prestige Patterns'!$B$28,IF(J69/(H69+1)&gt;('Prestige Patterns'!$B$27+1),L69+1,L69),L69)</f>
        <v>2</v>
      </c>
      <c r="N70">
        <f t="shared" si="0"/>
        <v>7815168.0000000009</v>
      </c>
      <c r="O70" s="3">
        <f>'Prestige Patterns'!$B$4*E70</f>
        <v>6360</v>
      </c>
      <c r="P70">
        <f t="shared" si="3"/>
        <v>512</v>
      </c>
      <c r="Q70" s="5"/>
      <c r="R70" s="5"/>
      <c r="S70" s="3">
        <v>69</v>
      </c>
      <c r="T70" s="5"/>
    </row>
    <row r="71" spans="1:20" ht="12">
      <c r="A71" s="1"/>
      <c r="B71" s="1"/>
      <c r="C71" s="2">
        <f>(S71*'Prestige Patterns'!$B$20)/60</f>
        <v>35</v>
      </c>
      <c r="D71" s="2">
        <f>IF(L70=L71,N70*'Prestige Patterns'!$B$20+D70-F71,0)</f>
        <v>261459129.84297949</v>
      </c>
      <c r="E71" s="3">
        <f t="shared" si="1"/>
        <v>326</v>
      </c>
      <c r="F71" s="8">
        <f>'Prestige Patterns'!$B$5*('Prestige Patterns'!$B$6^E70-'Prestige Patterns'!$B$6^(E70+G71))/(1-'Prestige Patterns'!$B$6)</f>
        <v>209035448.52233243</v>
      </c>
      <c r="G71" s="8">
        <f>FLOOR(LOG('Prestige Patterns'!$B$6^(E70) - (D70*(1-'Prestige Patterns'!$B$6)/'Prestige Patterns'!$B$5),'Prestige Patterns'!$B$6)-E70,1)</f>
        <v>8</v>
      </c>
      <c r="H71">
        <f t="shared" si="2"/>
        <v>140</v>
      </c>
      <c r="I71" s="5">
        <f>1+H71*'Prestige Patterns'!$B$25</f>
        <v>2.4000000000000004</v>
      </c>
      <c r="J71">
        <f>FLOOR((K71/'Prestige Patterns'!$B$22)^'Prestige Patterns'!$B$23,1)-H70</f>
        <v>34</v>
      </c>
      <c r="K71" s="8">
        <f>K70+N70*'Prestige Patterns'!$B$20</f>
        <v>3051938442</v>
      </c>
      <c r="L71" s="2">
        <f>IF(J70&gt;='Prestige Patterns'!$B$28,IF(J70/(H70+1)&gt;('Prestige Patterns'!$B$27+1),L70+1,L70),L70)</f>
        <v>2</v>
      </c>
      <c r="N71">
        <f t="shared" si="0"/>
        <v>8011776.0000000009</v>
      </c>
      <c r="O71" s="3">
        <f>'Prestige Patterns'!$B$4*E71</f>
        <v>6520</v>
      </c>
      <c r="P71">
        <f t="shared" si="3"/>
        <v>512</v>
      </c>
      <c r="Q71" s="5"/>
      <c r="R71" s="5"/>
      <c r="S71" s="3">
        <v>70</v>
      </c>
      <c r="T71" s="5"/>
    </row>
    <row r="72" spans="1:20" ht="12">
      <c r="A72" s="1"/>
      <c r="B72" s="1"/>
      <c r="C72" s="2">
        <f>(S72*'Prestige Patterns'!$B$20)/60</f>
        <v>35.5</v>
      </c>
      <c r="D72" s="2">
        <f>IF(L71=L72,N71*'Prestige Patterns'!$B$20+D71-F72,0)</f>
        <v>281822607.79026896</v>
      </c>
      <c r="E72" s="3">
        <f t="shared" si="1"/>
        <v>332</v>
      </c>
      <c r="F72" s="8">
        <f>'Prestige Patterns'!$B$5*('Prestige Patterns'!$B$6^E71-'Prestige Patterns'!$B$6^(E71+G72))/(1-'Prestige Patterns'!$B$6)</f>
        <v>219989802.05271059</v>
      </c>
      <c r="G72" s="8">
        <f>FLOOR(LOG('Prestige Patterns'!$B$6^(E71) - (D71*(1-'Prestige Patterns'!$B$6)/'Prestige Patterns'!$B$5),'Prestige Patterns'!$B$6)-E71,1)</f>
        <v>6</v>
      </c>
      <c r="H72">
        <f t="shared" si="2"/>
        <v>140</v>
      </c>
      <c r="I72" s="5">
        <f>1+H72*'Prestige Patterns'!$B$25</f>
        <v>2.4000000000000004</v>
      </c>
      <c r="J72">
        <f>FLOOR((K72/'Prestige Patterns'!$B$22)^'Prestige Patterns'!$B$23,1)-H71</f>
        <v>41</v>
      </c>
      <c r="K72" s="8">
        <f>K71+N71*'Prestige Patterns'!$B$20</f>
        <v>3292291722</v>
      </c>
      <c r="L72" s="2">
        <f>IF(J71&gt;='Prestige Patterns'!$B$28,IF(J71/(H71+1)&gt;('Prestige Patterns'!$B$27+1),L71+1,L71),L71)</f>
        <v>2</v>
      </c>
      <c r="N72">
        <f t="shared" si="0"/>
        <v>8159232.0000000009</v>
      </c>
      <c r="O72" s="3">
        <f>'Prestige Patterns'!$B$4*E72</f>
        <v>6640</v>
      </c>
      <c r="P72">
        <f t="shared" si="3"/>
        <v>512</v>
      </c>
      <c r="Q72" s="5"/>
      <c r="R72" s="5"/>
      <c r="S72" s="3">
        <v>71</v>
      </c>
      <c r="T72" s="5"/>
    </row>
    <row r="73" spans="1:20" ht="12">
      <c r="A73" s="1"/>
      <c r="B73" s="1"/>
      <c r="C73" s="2">
        <f>(S73*'Prestige Patterns'!$B$20)/60</f>
        <v>36</v>
      </c>
      <c r="D73" s="2">
        <f>IF(L72=L73,N72*'Prestige Patterns'!$B$20+D72-F73,0)</f>
        <v>287108576.45473742</v>
      </c>
      <c r="E73" s="3">
        <f t="shared" si="1"/>
        <v>337</v>
      </c>
      <c r="F73" s="8">
        <f>'Prestige Patterns'!$B$5*('Prestige Patterns'!$B$6^E72-'Prestige Patterns'!$B$6^(E72+G73))/(1-'Prestige Patterns'!$B$6)</f>
        <v>239490991.33553156</v>
      </c>
      <c r="G73" s="8">
        <f>FLOOR(LOG('Prestige Patterns'!$B$6^(E72) - (D72*(1-'Prestige Patterns'!$B$6)/'Prestige Patterns'!$B$5),'Prestige Patterns'!$B$6)-E72,1)</f>
        <v>5</v>
      </c>
      <c r="H73">
        <f t="shared" si="2"/>
        <v>140</v>
      </c>
      <c r="I73" s="5">
        <f>1+H73*'Prestige Patterns'!$B$25</f>
        <v>2.4000000000000004</v>
      </c>
      <c r="J73">
        <f>FLOOR((K73/'Prestige Patterns'!$B$22)^'Prestige Patterns'!$B$23,1)-H72</f>
        <v>48</v>
      </c>
      <c r="K73" s="8">
        <f>K72+N72*'Prestige Patterns'!$B$20</f>
        <v>3537068682</v>
      </c>
      <c r="L73" s="2">
        <f>IF(J72&gt;='Prestige Patterns'!$B$28,IF(J72/(H72+1)&gt;('Prestige Patterns'!$B$27+1),L72+1,L72),L72)</f>
        <v>2</v>
      </c>
      <c r="N73">
        <f t="shared" si="0"/>
        <v>8282112.0000000009</v>
      </c>
      <c r="O73" s="3">
        <f>'Prestige Patterns'!$B$4*E73</f>
        <v>6740</v>
      </c>
      <c r="P73">
        <f t="shared" si="3"/>
        <v>512</v>
      </c>
      <c r="Q73" s="5"/>
      <c r="R73" s="5"/>
      <c r="S73" s="3">
        <v>72</v>
      </c>
      <c r="T73" s="5"/>
    </row>
    <row r="74" spans="1:20" ht="12">
      <c r="A74" s="1"/>
      <c r="B74" s="1"/>
      <c r="C74" s="2">
        <f>(S74*'Prestige Patterns'!$B$20)/60</f>
        <v>36.5</v>
      </c>
      <c r="D74" s="2">
        <f>IF(L73=L74,N73*'Prestige Patterns'!$B$20+D73-F74,0)</f>
        <v>297151409.55081117</v>
      </c>
      <c r="E74" s="3">
        <f t="shared" si="1"/>
        <v>341</v>
      </c>
      <c r="F74" s="8">
        <f>'Prestige Patterns'!$B$5*('Prestige Patterns'!$B$6^E73-'Prestige Patterns'!$B$6^(E73+G74))/(1-'Prestige Patterns'!$B$6)</f>
        <v>238420526.90392622</v>
      </c>
      <c r="G74" s="8">
        <f>FLOOR(LOG('Prestige Patterns'!$B$6^(E73) - (D73*(1-'Prestige Patterns'!$B$6)/'Prestige Patterns'!$B$5),'Prestige Patterns'!$B$6)-E73,1)</f>
        <v>4</v>
      </c>
      <c r="H74">
        <f t="shared" si="2"/>
        <v>140</v>
      </c>
      <c r="I74" s="5">
        <f>1+H74*'Prestige Patterns'!$B$25</f>
        <v>2.4000000000000004</v>
      </c>
      <c r="J74">
        <f>FLOOR((K74/'Prestige Patterns'!$B$22)^'Prestige Patterns'!$B$23,1)-H73</f>
        <v>54</v>
      </c>
      <c r="K74" s="8">
        <f>K73+N73*'Prestige Patterns'!$B$20</f>
        <v>3785532042</v>
      </c>
      <c r="L74" s="2">
        <f>IF(J73&gt;='Prestige Patterns'!$B$28,IF(J73/(H73+1)&gt;('Prestige Patterns'!$B$27+1),L73+1,L73),L73)</f>
        <v>2</v>
      </c>
      <c r="N74">
        <f t="shared" si="0"/>
        <v>8380416.0000000009</v>
      </c>
      <c r="O74" s="3">
        <f>'Prestige Patterns'!$B$4*E74</f>
        <v>6820</v>
      </c>
      <c r="P74">
        <f t="shared" si="3"/>
        <v>512</v>
      </c>
      <c r="Q74" s="5"/>
      <c r="R74" s="5"/>
      <c r="S74" s="3">
        <v>73</v>
      </c>
      <c r="T74" s="5"/>
    </row>
    <row r="75" spans="1:20" ht="12">
      <c r="A75" s="1"/>
      <c r="B75" s="1"/>
      <c r="C75" s="2">
        <f>(S75*'Prestige Patterns'!$B$20)/60</f>
        <v>37</v>
      </c>
      <c r="D75" s="2">
        <f>IF(L74=L75,N74*'Prestige Patterns'!$B$20+D74-F75,0)</f>
        <v>258762248.97079563</v>
      </c>
      <c r="E75" s="3">
        <f t="shared" si="1"/>
        <v>345</v>
      </c>
      <c r="F75" s="8">
        <f>'Prestige Patterns'!$B$5*('Prestige Patterns'!$B$6^E74-'Prestige Patterns'!$B$6^(E74+G75))/(1-'Prestige Patterns'!$B$6)</f>
        <v>289801640.58001554</v>
      </c>
      <c r="G75" s="8">
        <f>FLOOR(LOG('Prestige Patterns'!$B$6^(E74) - (D74*(1-'Prestige Patterns'!$B$6)/'Prestige Patterns'!$B$5),'Prestige Patterns'!$B$6)-E74,1)</f>
        <v>4</v>
      </c>
      <c r="H75">
        <f t="shared" si="2"/>
        <v>140</v>
      </c>
      <c r="I75" s="5">
        <f>1+H75*'Prestige Patterns'!$B$25</f>
        <v>2.4000000000000004</v>
      </c>
      <c r="J75">
        <f>FLOOR((K75/'Prestige Patterns'!$B$22)^'Prestige Patterns'!$B$23,1)-H74</f>
        <v>60</v>
      </c>
      <c r="K75" s="8">
        <f>K74+N74*'Prestige Patterns'!$B$20</f>
        <v>4036944522</v>
      </c>
      <c r="L75" s="2">
        <f>IF(J74&gt;='Prestige Patterns'!$B$28,IF(J74/(H74+1)&gt;('Prestige Patterns'!$B$27+1),L74+1,L74),L74)</f>
        <v>2</v>
      </c>
      <c r="N75">
        <f t="shared" si="0"/>
        <v>8478720.0000000019</v>
      </c>
      <c r="O75" s="3">
        <f>'Prestige Patterns'!$B$4*E75</f>
        <v>6900</v>
      </c>
      <c r="P75">
        <f t="shared" si="3"/>
        <v>512</v>
      </c>
      <c r="Q75" s="5"/>
      <c r="R75" s="5"/>
      <c r="S75" s="3">
        <v>74</v>
      </c>
      <c r="T75" s="5"/>
    </row>
    <row r="76" spans="1:20" ht="12">
      <c r="A76" s="1"/>
      <c r="B76" s="1"/>
      <c r="C76" s="2">
        <f>(S76*'Prestige Patterns'!$B$20)/60</f>
        <v>37.5</v>
      </c>
      <c r="D76" s="2">
        <f>IF(L75=L76,N75*'Prestige Patterns'!$B$20+D75-F76,0)</f>
        <v>255477931.22431731</v>
      </c>
      <c r="E76" s="3">
        <f t="shared" si="1"/>
        <v>348</v>
      </c>
      <c r="F76" s="8">
        <f>'Prestige Patterns'!$B$5*('Prestige Patterns'!$B$6^E75-'Prestige Patterns'!$B$6^(E75+G76))/(1-'Prestige Patterns'!$B$6)</f>
        <v>257645917.74647838</v>
      </c>
      <c r="G76" s="8">
        <f>FLOOR(LOG('Prestige Patterns'!$B$6^(E75) - (D75*(1-'Prestige Patterns'!$B$6)/'Prestige Patterns'!$B$5),'Prestige Patterns'!$B$6)-E75,1)</f>
        <v>3</v>
      </c>
      <c r="H76">
        <f t="shared" si="2"/>
        <v>140</v>
      </c>
      <c r="I76" s="5">
        <f>1+H76*'Prestige Patterns'!$B$25</f>
        <v>2.4000000000000004</v>
      </c>
      <c r="J76">
        <f>FLOOR((K76/'Prestige Patterns'!$B$22)^'Prestige Patterns'!$B$23,1)-H75</f>
        <v>67</v>
      </c>
      <c r="K76" s="8">
        <f>K75+N75*'Prestige Patterns'!$B$20</f>
        <v>4291306122</v>
      </c>
      <c r="L76" s="2">
        <f>IF(J75&gt;='Prestige Patterns'!$B$28,IF(J75/(H75+1)&gt;('Prestige Patterns'!$B$27+1),L75+1,L75),L75)</f>
        <v>2</v>
      </c>
      <c r="N76">
        <f t="shared" si="0"/>
        <v>8552448.0000000019</v>
      </c>
      <c r="O76" s="3">
        <f>'Prestige Patterns'!$B$4*E76</f>
        <v>6960</v>
      </c>
      <c r="P76">
        <f t="shared" si="3"/>
        <v>512</v>
      </c>
      <c r="Q76" s="5"/>
      <c r="R76" s="5"/>
      <c r="S76" s="3">
        <v>75</v>
      </c>
      <c r="T76" s="5"/>
    </row>
    <row r="77" spans="1:20" ht="12">
      <c r="A77" s="1"/>
      <c r="B77" s="1"/>
      <c r="C77" s="2">
        <f>(S77*'Prestige Patterns'!$B$20)/60</f>
        <v>38</v>
      </c>
      <c r="D77" s="2">
        <f>IF(L76=L77,N76*'Prestige Patterns'!$B$20+D76-F77,0)</f>
        <v>318101306.56481028</v>
      </c>
      <c r="E77" s="3">
        <f t="shared" si="1"/>
        <v>350</v>
      </c>
      <c r="F77" s="8">
        <f>'Prestige Patterns'!$B$5*('Prestige Patterns'!$B$6^E76-'Prestige Patterns'!$B$6^(E76+G77))/(1-'Prestige Patterns'!$B$6)</f>
        <v>193950064.6595071</v>
      </c>
      <c r="G77" s="8">
        <f>FLOOR(LOG('Prestige Patterns'!$B$6^(E76) - (D76*(1-'Prestige Patterns'!$B$6)/'Prestige Patterns'!$B$5),'Prestige Patterns'!$B$6)-E76,1)</f>
        <v>2</v>
      </c>
      <c r="H77">
        <f t="shared" si="2"/>
        <v>140</v>
      </c>
      <c r="I77" s="5">
        <f>1+H77*'Prestige Patterns'!$B$25</f>
        <v>2.4000000000000004</v>
      </c>
      <c r="J77">
        <f>FLOOR((K77/'Prestige Patterns'!$B$22)^'Prestige Patterns'!$B$23,1)-H76</f>
        <v>73</v>
      </c>
      <c r="K77" s="8">
        <f>K76+N76*'Prestige Patterns'!$B$20</f>
        <v>4547879562</v>
      </c>
      <c r="L77" s="2">
        <f>IF(J76&gt;='Prestige Patterns'!$B$28,IF(J76/(H76+1)&gt;('Prestige Patterns'!$B$27+1),L76+1,L76),L76)</f>
        <v>2</v>
      </c>
      <c r="N77">
        <f t="shared" si="0"/>
        <v>8601600.0000000019</v>
      </c>
      <c r="O77" s="3">
        <f>'Prestige Patterns'!$B$4*E77</f>
        <v>7000</v>
      </c>
      <c r="P77">
        <f t="shared" si="3"/>
        <v>512</v>
      </c>
      <c r="Q77" s="5"/>
      <c r="R77" s="5"/>
      <c r="S77" s="3">
        <v>76</v>
      </c>
      <c r="T77" s="5"/>
    </row>
    <row r="78" spans="1:20" ht="12">
      <c r="A78" s="1"/>
      <c r="B78" s="1"/>
      <c r="C78" s="2">
        <f>(S78*'Prestige Patterns'!$B$20)/60</f>
        <v>38.5</v>
      </c>
      <c r="D78" s="2">
        <f>IF(L77=L78,N77*'Prestige Patterns'!$B$20+D77-F78,0)</f>
        <v>362319360.27770239</v>
      </c>
      <c r="E78" s="3">
        <f t="shared" si="1"/>
        <v>352</v>
      </c>
      <c r="F78" s="8">
        <f>'Prestige Patterns'!$B$5*('Prestige Patterns'!$B$6^E77-'Prestige Patterns'!$B$6^(E77+G78))/(1-'Prestige Patterns'!$B$6)</f>
        <v>213829946.28710788</v>
      </c>
      <c r="G78" s="8">
        <f>FLOOR(LOG('Prestige Patterns'!$B$6^(E77) - (D77*(1-'Prestige Patterns'!$B$6)/'Prestige Patterns'!$B$5),'Prestige Patterns'!$B$6)-E77,1)</f>
        <v>2</v>
      </c>
      <c r="H78">
        <f t="shared" si="2"/>
        <v>140</v>
      </c>
      <c r="I78" s="5">
        <f>1+H78*'Prestige Patterns'!$B$25</f>
        <v>2.4000000000000004</v>
      </c>
      <c r="J78">
        <f>FLOOR((K78/'Prestige Patterns'!$B$22)^'Prestige Patterns'!$B$23,1)-H77</f>
        <v>79</v>
      </c>
      <c r="K78" s="8">
        <f>K77+N77*'Prestige Patterns'!$B$20</f>
        <v>4805927562</v>
      </c>
      <c r="L78" s="2">
        <f>IF(J77&gt;='Prestige Patterns'!$B$28,IF(J77/(H77+1)&gt;('Prestige Patterns'!$B$27+1),L77+1,L77),L77)</f>
        <v>2</v>
      </c>
      <c r="N78">
        <f t="shared" si="0"/>
        <v>8650752.0000000019</v>
      </c>
      <c r="O78" s="3">
        <f>'Prestige Patterns'!$B$4*E78</f>
        <v>7040</v>
      </c>
      <c r="P78">
        <f t="shared" si="3"/>
        <v>512</v>
      </c>
      <c r="Q78" s="5"/>
      <c r="R78" s="5"/>
      <c r="S78" s="3">
        <v>77</v>
      </c>
      <c r="T78" s="5"/>
    </row>
    <row r="79" spans="1:20" ht="12">
      <c r="A79" s="1"/>
      <c r="B79" s="1"/>
      <c r="C79" s="2">
        <f>(S79*'Prestige Patterns'!$B$20)/60</f>
        <v>39</v>
      </c>
      <c r="D79" s="2">
        <f>IF(L78=L79,N78*'Prestige Patterns'!$B$20+D78-F79,0)</f>
        <v>386094404.49616683</v>
      </c>
      <c r="E79" s="3">
        <f t="shared" si="1"/>
        <v>354</v>
      </c>
      <c r="F79" s="8">
        <f>'Prestige Patterns'!$B$5*('Prestige Patterns'!$B$6^E78-'Prestige Patterns'!$B$6^(E78+G79))/(1-'Prestige Patterns'!$B$6)</f>
        <v>235747515.7815356</v>
      </c>
      <c r="G79" s="8">
        <f>FLOOR(LOG('Prestige Patterns'!$B$6^(E78) - (D78*(1-'Prestige Patterns'!$B$6)/'Prestige Patterns'!$B$5),'Prestige Patterns'!$B$6)-E78,1)</f>
        <v>2</v>
      </c>
      <c r="H79">
        <f t="shared" si="2"/>
        <v>140</v>
      </c>
      <c r="I79" s="5">
        <f>1+H79*'Prestige Patterns'!$B$25</f>
        <v>2.4000000000000004</v>
      </c>
      <c r="J79">
        <f>FLOOR((K79/'Prestige Patterns'!$B$22)^'Prestige Patterns'!$B$23,1)-H78</f>
        <v>85</v>
      </c>
      <c r="K79" s="8">
        <f>K78+N78*'Prestige Patterns'!$B$20</f>
        <v>5065450122</v>
      </c>
      <c r="L79" s="2">
        <f>IF(J78&gt;='Prestige Patterns'!$B$28,IF(J78/(H78+1)&gt;('Prestige Patterns'!$B$27+1),L78+1,L78),L78)</f>
        <v>2</v>
      </c>
      <c r="N79">
        <f t="shared" si="0"/>
        <v>8699904.0000000019</v>
      </c>
      <c r="O79" s="3">
        <f>'Prestige Patterns'!$B$4*E79</f>
        <v>7080</v>
      </c>
      <c r="P79">
        <f t="shared" si="3"/>
        <v>512</v>
      </c>
      <c r="Q79" s="5"/>
      <c r="R79" s="5"/>
      <c r="S79" s="3">
        <v>78</v>
      </c>
      <c r="T79" s="5"/>
    </row>
    <row r="80" spans="1:20" ht="12">
      <c r="A80" s="1"/>
      <c r="B80" s="1"/>
      <c r="C80" s="2">
        <f>(S80*'Prestige Patterns'!$B$20)/60</f>
        <v>39.5</v>
      </c>
      <c r="D80" s="2">
        <f>IF(L79=L80,N79*'Prestige Patterns'!$B$20+D79-F80,0)</f>
        <v>387179888.3470245</v>
      </c>
      <c r="E80" s="3">
        <f t="shared" si="1"/>
        <v>356</v>
      </c>
      <c r="F80" s="8">
        <f>'Prestige Patterns'!$B$5*('Prestige Patterns'!$B$6^E79-'Prestige Patterns'!$B$6^(E79+G80))/(1-'Prestige Patterns'!$B$6)</f>
        <v>259911636.14914244</v>
      </c>
      <c r="G80" s="8">
        <f>FLOOR(LOG('Prestige Patterns'!$B$6^(E79) - (D79*(1-'Prestige Patterns'!$B$6)/'Prestige Patterns'!$B$5),'Prestige Patterns'!$B$6)-E79,1)</f>
        <v>2</v>
      </c>
      <c r="H80">
        <f t="shared" si="2"/>
        <v>140</v>
      </c>
      <c r="I80" s="5">
        <f>1+H80*'Prestige Patterns'!$B$25</f>
        <v>2.4000000000000004</v>
      </c>
      <c r="J80">
        <f>FLOOR((K80/'Prestige Patterns'!$B$22)^'Prestige Patterns'!$B$23,1)-H79</f>
        <v>90</v>
      </c>
      <c r="K80" s="8">
        <f>K79+N79*'Prestige Patterns'!$B$20</f>
        <v>5326447242</v>
      </c>
      <c r="L80" s="2">
        <f>IF(J79&gt;='Prestige Patterns'!$B$28,IF(J79/(H79+1)&gt;('Prestige Patterns'!$B$27+1),L79+1,L79),L79)</f>
        <v>2</v>
      </c>
      <c r="N80">
        <f t="shared" si="0"/>
        <v>8749056.0000000019</v>
      </c>
      <c r="O80" s="3">
        <f>'Prestige Patterns'!$B$4*E80</f>
        <v>7120</v>
      </c>
      <c r="P80">
        <f t="shared" si="3"/>
        <v>512</v>
      </c>
      <c r="Q80" s="5"/>
      <c r="R80" s="5"/>
      <c r="S80" s="3">
        <v>79</v>
      </c>
      <c r="T80" s="5"/>
    </row>
    <row r="81" spans="1:20" ht="12">
      <c r="A81" s="1"/>
      <c r="B81" s="1"/>
      <c r="C81" s="2">
        <f>(S81*'Prestige Patterns'!$B$20)/60</f>
        <v>40</v>
      </c>
      <c r="D81" s="2">
        <f>IF(L80=L81,N80*'Prestige Patterns'!$B$20+D80-F81,0)</f>
        <v>363098989.49259448</v>
      </c>
      <c r="E81" s="3">
        <f t="shared" si="1"/>
        <v>358</v>
      </c>
      <c r="F81" s="8">
        <f>'Prestige Patterns'!$B$5*('Prestige Patterns'!$B$6^E80-'Prestige Patterns'!$B$6^(E80+G81))/(1-'Prestige Patterns'!$B$6)</f>
        <v>286552578.85443008</v>
      </c>
      <c r="G81" s="8">
        <f>FLOOR(LOG('Prestige Patterns'!$B$6^(E80) - (D80*(1-'Prestige Patterns'!$B$6)/'Prestige Patterns'!$B$5),'Prestige Patterns'!$B$6)-E80,1)</f>
        <v>2</v>
      </c>
      <c r="H81">
        <f t="shared" si="2"/>
        <v>140</v>
      </c>
      <c r="I81" s="5">
        <f>1+H81*'Prestige Patterns'!$B$25</f>
        <v>2.4000000000000004</v>
      </c>
      <c r="J81">
        <f>FLOOR((K81/'Prestige Patterns'!$B$22)^'Prestige Patterns'!$B$23,1)-H80</f>
        <v>96</v>
      </c>
      <c r="K81" s="8">
        <f>K80+N80*'Prestige Patterns'!$B$20</f>
        <v>5588918922</v>
      </c>
      <c r="L81" s="2">
        <f>IF(J80&gt;='Prestige Patterns'!$B$28,IF(J80/(H80+1)&gt;('Prestige Patterns'!$B$27+1),L80+1,L80),L80)</f>
        <v>2</v>
      </c>
      <c r="N81">
        <f t="shared" si="0"/>
        <v>8798208.0000000019</v>
      </c>
      <c r="O81" s="3">
        <f>'Prestige Patterns'!$B$4*E81</f>
        <v>7160</v>
      </c>
      <c r="P81">
        <f t="shared" si="3"/>
        <v>512</v>
      </c>
      <c r="Q81" s="5"/>
      <c r="R81" s="5"/>
      <c r="S81" s="3">
        <v>80</v>
      </c>
      <c r="T81" s="5"/>
    </row>
    <row r="82" spans="1:20" ht="12">
      <c r="A82" s="1"/>
      <c r="B82" s="1"/>
      <c r="C82" s="2">
        <f>(S82*'Prestige Patterns'!$B$20)/60</f>
        <v>40.5</v>
      </c>
      <c r="D82" s="2">
        <f>IF(L81=L82,N81*'Prestige Patterns'!$B$20+D81-F82,0)</f>
        <v>311121011.30558509</v>
      </c>
      <c r="E82" s="3">
        <f t="shared" si="1"/>
        <v>360</v>
      </c>
      <c r="F82" s="8">
        <f>'Prestige Patterns'!$B$5*('Prestige Patterns'!$B$6^E81-'Prestige Patterns'!$B$6^(E81+G82))/(1-'Prestige Patterns'!$B$6)</f>
        <v>315924218.18700939</v>
      </c>
      <c r="G82" s="8">
        <f>FLOOR(LOG('Prestige Patterns'!$B$6^(E81) - (D81*(1-'Prestige Patterns'!$B$6)/'Prestige Patterns'!$B$5),'Prestige Patterns'!$B$6)-E81,1)</f>
        <v>2</v>
      </c>
      <c r="H82">
        <f t="shared" si="2"/>
        <v>140</v>
      </c>
      <c r="I82" s="5">
        <f>1+H82*'Prestige Patterns'!$B$25</f>
        <v>2.4000000000000004</v>
      </c>
      <c r="J82">
        <f>FLOOR((K82/'Prestige Patterns'!$B$22)^'Prestige Patterns'!$B$23,1)-H81</f>
        <v>101</v>
      </c>
      <c r="K82" s="8">
        <f>K81+N81*'Prestige Patterns'!$B$20</f>
        <v>5852865162</v>
      </c>
      <c r="L82" s="2">
        <f>IF(J81&gt;='Prestige Patterns'!$B$28,IF(J81/(H81+1)&gt;('Prestige Patterns'!$B$27+1),L81+1,L81),L81)</f>
        <v>2</v>
      </c>
      <c r="N82">
        <f t="shared" si="0"/>
        <v>8847360.0000000019</v>
      </c>
      <c r="O82" s="3">
        <f>'Prestige Patterns'!$B$4*E82</f>
        <v>7200</v>
      </c>
      <c r="P82">
        <f t="shared" si="3"/>
        <v>512</v>
      </c>
      <c r="Q82" s="5"/>
      <c r="R82" s="5"/>
      <c r="S82" s="3">
        <v>81</v>
      </c>
      <c r="T82" s="5"/>
    </row>
    <row r="83" spans="1:20" ht="12">
      <c r="A83" s="1"/>
      <c r="B83" s="1"/>
      <c r="C83" s="2">
        <f>(S83*'Prestige Patterns'!$B$20)/60</f>
        <v>41</v>
      </c>
      <c r="D83" s="2">
        <f>IF(L82=L83,N82*'Prestige Patterns'!$B$20+D82-F83,0)</f>
        <v>406636225.67086434</v>
      </c>
      <c r="E83" s="3">
        <f t="shared" si="1"/>
        <v>361</v>
      </c>
      <c r="F83" s="8">
        <f>'Prestige Patterns'!$B$5*('Prestige Patterns'!$B$6^E82-'Prestige Patterns'!$B$6^(E82+G83))/(1-'Prestige Patterns'!$B$6)</f>
        <v>169905585.63472077</v>
      </c>
      <c r="G83" s="8">
        <f>FLOOR(LOG('Prestige Patterns'!$B$6^(E82) - (D82*(1-'Prestige Patterns'!$B$6)/'Prestige Patterns'!$B$5),'Prestige Patterns'!$B$6)-E82,1)</f>
        <v>1</v>
      </c>
      <c r="H83">
        <f t="shared" si="2"/>
        <v>140</v>
      </c>
      <c r="I83" s="5">
        <f>1+H83*'Prestige Patterns'!$B$25</f>
        <v>2.4000000000000004</v>
      </c>
      <c r="J83">
        <f>FLOOR((K83/'Prestige Patterns'!$B$22)^'Prestige Patterns'!$B$23,1)-H82</f>
        <v>107</v>
      </c>
      <c r="K83" s="8">
        <f>K82+N82*'Prestige Patterns'!$B$20</f>
        <v>6118285962</v>
      </c>
      <c r="L83" s="2">
        <f>IF(J82&gt;='Prestige Patterns'!$B$28,IF(J82/(H82+1)&gt;('Prestige Patterns'!$B$27+1),L82+1,L82),L82)</f>
        <v>2</v>
      </c>
      <c r="N83">
        <f t="shared" si="0"/>
        <v>8871936.0000000019</v>
      </c>
      <c r="O83" s="3">
        <f>'Prestige Patterns'!$B$4*E83</f>
        <v>7220</v>
      </c>
      <c r="P83">
        <f t="shared" si="3"/>
        <v>512</v>
      </c>
      <c r="Q83" s="5"/>
      <c r="R83" s="5"/>
      <c r="S83" s="3">
        <v>82</v>
      </c>
      <c r="T83" s="5"/>
    </row>
    <row r="84" spans="1:20" ht="12">
      <c r="A84" s="1"/>
      <c r="B84" s="1"/>
      <c r="C84" s="2">
        <f>(S84*'Prestige Patterns'!$B$20)/60</f>
        <v>41.5</v>
      </c>
      <c r="D84" s="2">
        <f>IF(L83=L84,N83*'Prestige Patterns'!$B$20+D83-F84,0)</f>
        <v>307072532.59212679</v>
      </c>
      <c r="E84" s="3">
        <f t="shared" si="1"/>
        <v>363</v>
      </c>
      <c r="F84" s="8">
        <f>'Prestige Patterns'!$B$5*('Prestige Patterns'!$B$6^E83-'Prestige Patterns'!$B$6^(E83+G84))/(1-'Prestige Patterns'!$B$6)</f>
        <v>365721773.07873756</v>
      </c>
      <c r="G84" s="8">
        <f>FLOOR(LOG('Prestige Patterns'!$B$6^(E83) - (D83*(1-'Prestige Patterns'!$B$6)/'Prestige Patterns'!$B$5),'Prestige Patterns'!$B$6)-E83,1)</f>
        <v>2</v>
      </c>
      <c r="H84">
        <f t="shared" si="2"/>
        <v>140</v>
      </c>
      <c r="I84" s="5">
        <f>1+H84*'Prestige Patterns'!$B$25</f>
        <v>2.4000000000000004</v>
      </c>
      <c r="J84">
        <f>FLOOR((K84/'Prestige Patterns'!$B$22)^'Prestige Patterns'!$B$23,1)-H83</f>
        <v>112</v>
      </c>
      <c r="K84" s="8">
        <f>K83+N83*'Prestige Patterns'!$B$20</f>
        <v>6384444042</v>
      </c>
      <c r="L84" s="2">
        <f>IF(J83&gt;='Prestige Patterns'!$B$28,IF(J83/(H83+1)&gt;('Prestige Patterns'!$B$27+1),L83+1,L83),L83)</f>
        <v>2</v>
      </c>
      <c r="N84">
        <f t="shared" si="0"/>
        <v>8921088.0000000019</v>
      </c>
      <c r="O84" s="3">
        <f>'Prestige Patterns'!$B$4*E84</f>
        <v>7260</v>
      </c>
      <c r="P84">
        <f t="shared" si="3"/>
        <v>512</v>
      </c>
      <c r="Q84" s="5"/>
      <c r="R84" s="5"/>
      <c r="S84" s="3">
        <v>83</v>
      </c>
      <c r="T84" s="5"/>
    </row>
    <row r="85" spans="1:20" ht="12">
      <c r="A85" s="1"/>
      <c r="B85" s="1"/>
      <c r="C85" s="2">
        <f>(S85*'Prestige Patterns'!$B$20)/60</f>
        <v>42</v>
      </c>
      <c r="D85" s="2">
        <f>IF(L84=L85,N84*'Prestige Patterns'!$B$20+D84-F85,0)</f>
        <v>378018219.0217343</v>
      </c>
      <c r="E85" s="3">
        <f t="shared" si="1"/>
        <v>364</v>
      </c>
      <c r="F85" s="8">
        <f>'Prestige Patterns'!$B$5*('Prestige Patterns'!$B$6^E84-'Prestige Patterns'!$B$6^(E84+G85))/(1-'Prestige Patterns'!$B$6)</f>
        <v>196686953.57039255</v>
      </c>
      <c r="G85" s="8">
        <f>FLOOR(LOG('Prestige Patterns'!$B$6^(E84) - (D84*(1-'Prestige Patterns'!$B$6)/'Prestige Patterns'!$B$5),'Prestige Patterns'!$B$6)-E84,1)</f>
        <v>1</v>
      </c>
      <c r="H85">
        <f t="shared" si="2"/>
        <v>140</v>
      </c>
      <c r="I85" s="5">
        <f>1+H85*'Prestige Patterns'!$B$25</f>
        <v>2.4000000000000004</v>
      </c>
      <c r="J85">
        <f>FLOOR((K85/'Prestige Patterns'!$B$22)^'Prestige Patterns'!$B$23,1)-H84</f>
        <v>117</v>
      </c>
      <c r="K85" s="8">
        <f>K84+N84*'Prestige Patterns'!$B$20</f>
        <v>6652076682</v>
      </c>
      <c r="L85" s="2">
        <f>IF(J84&gt;='Prestige Patterns'!$B$28,IF(J84/(H84+1)&gt;('Prestige Patterns'!$B$27+1),L84+1,L84),L84)</f>
        <v>2</v>
      </c>
      <c r="N85">
        <f t="shared" si="0"/>
        <v>8945664.0000000019</v>
      </c>
      <c r="O85" s="3">
        <f>'Prestige Patterns'!$B$4*E85</f>
        <v>7280</v>
      </c>
      <c r="P85">
        <f t="shared" si="3"/>
        <v>512</v>
      </c>
      <c r="Q85" s="5"/>
      <c r="R85" s="5"/>
      <c r="S85" s="3">
        <v>84</v>
      </c>
      <c r="T85" s="5"/>
    </row>
    <row r="86" spans="1:20" ht="12">
      <c r="A86" s="1"/>
      <c r="B86" s="1"/>
      <c r="C86" s="2">
        <f>(S86*'Prestige Patterns'!$B$20)/60</f>
        <v>42.5</v>
      </c>
      <c r="D86" s="2">
        <f>IF(L85=L86,N85*'Prestige Patterns'!$B$20+D85-F86,0)</f>
        <v>439866837.77281994</v>
      </c>
      <c r="E86" s="3">
        <f t="shared" si="1"/>
        <v>365</v>
      </c>
      <c r="F86" s="8">
        <f>'Prestige Patterns'!$B$5*('Prestige Patterns'!$B$6^E85-'Prestige Patterns'!$B$6^(E85+G86))/(1-'Prestige Patterns'!$B$6)</f>
        <v>206521301.24891442</v>
      </c>
      <c r="G86" s="8">
        <f>FLOOR(LOG('Prestige Patterns'!$B$6^(E85) - (D85*(1-'Prestige Patterns'!$B$6)/'Prestige Patterns'!$B$5),'Prestige Patterns'!$B$6)-E85,1)</f>
        <v>1</v>
      </c>
      <c r="H86">
        <f t="shared" si="2"/>
        <v>140</v>
      </c>
      <c r="I86" s="5">
        <f>1+H86*'Prestige Patterns'!$B$25</f>
        <v>2.4000000000000004</v>
      </c>
      <c r="J86">
        <f>FLOOR((K86/'Prestige Patterns'!$B$22)^'Prestige Patterns'!$B$23,1)-H85</f>
        <v>123</v>
      </c>
      <c r="K86" s="8">
        <f>K85+N85*'Prestige Patterns'!$B$20</f>
        <v>6920446602</v>
      </c>
      <c r="L86" s="2">
        <f>IF(J85&gt;='Prestige Patterns'!$B$28,IF(J85/(H85+1)&gt;('Prestige Patterns'!$B$27+1),L85+1,L85),L85)</f>
        <v>2</v>
      </c>
      <c r="N86">
        <f t="shared" si="0"/>
        <v>8970240.0000000019</v>
      </c>
      <c r="O86" s="3">
        <f>'Prestige Patterns'!$B$4*E86</f>
        <v>7300</v>
      </c>
      <c r="P86">
        <f t="shared" si="3"/>
        <v>512</v>
      </c>
      <c r="Q86" s="5"/>
      <c r="R86" s="5"/>
      <c r="S86" s="3">
        <v>85</v>
      </c>
      <c r="T86" s="5"/>
    </row>
    <row r="87" spans="1:20" ht="12">
      <c r="A87" s="1"/>
      <c r="B87" s="1"/>
      <c r="C87" s="2">
        <f>(S87*'Prestige Patterns'!$B$20)/60</f>
        <v>43</v>
      </c>
      <c r="D87" s="2">
        <f>IF(L86=L87,N86*'Prestige Patterns'!$B$20+D86-F87,0)</f>
        <v>492126671.46146196</v>
      </c>
      <c r="E87" s="3">
        <f t="shared" si="1"/>
        <v>366</v>
      </c>
      <c r="F87" s="8">
        <f>'Prestige Patterns'!$B$5*('Prestige Patterns'!$B$6^E86-'Prestige Patterns'!$B$6^(E86+G87))/(1-'Prestige Patterns'!$B$6)</f>
        <v>216847366.31135803</v>
      </c>
      <c r="G87" s="8">
        <f>FLOOR(LOG('Prestige Patterns'!$B$6^(E86) - (D86*(1-'Prestige Patterns'!$B$6)/'Prestige Patterns'!$B$5),'Prestige Patterns'!$B$6)-E86,1)</f>
        <v>1</v>
      </c>
      <c r="H87">
        <f t="shared" si="2"/>
        <v>140</v>
      </c>
      <c r="I87" s="5">
        <f>1+H87*'Prestige Patterns'!$B$25</f>
        <v>2.4000000000000004</v>
      </c>
      <c r="J87">
        <f>FLOOR((K87/'Prestige Patterns'!$B$22)^'Prestige Patterns'!$B$23,1)-H86</f>
        <v>128</v>
      </c>
      <c r="K87" s="8">
        <f>K86+N86*'Prestige Patterns'!$B$20</f>
        <v>7189553802</v>
      </c>
      <c r="L87" s="2">
        <f>IF(J86&gt;='Prestige Patterns'!$B$28,IF(J86/(H86+1)&gt;('Prestige Patterns'!$B$27+1),L86+1,L86),L86)</f>
        <v>2</v>
      </c>
      <c r="N87">
        <f t="shared" si="0"/>
        <v>8994816.0000000019</v>
      </c>
      <c r="O87" s="3">
        <f>'Prestige Patterns'!$B$4*E87</f>
        <v>7320</v>
      </c>
      <c r="P87">
        <f t="shared" si="3"/>
        <v>512</v>
      </c>
      <c r="Q87" s="5"/>
      <c r="R87" s="5"/>
      <c r="S87" s="3">
        <v>86</v>
      </c>
      <c r="T87" s="5"/>
    </row>
    <row r="88" spans="1:20" ht="12">
      <c r="A88" s="1"/>
      <c r="B88" s="1"/>
      <c r="C88" s="2">
        <f>(S88*'Prestige Patterns'!$B$20)/60</f>
        <v>43.5</v>
      </c>
      <c r="D88" s="2">
        <f>IF(L87=L88,N87*'Prestige Patterns'!$B$20+D87-F88,0)</f>
        <v>295207195.47626024</v>
      </c>
      <c r="E88" s="3">
        <f t="shared" si="1"/>
        <v>368</v>
      </c>
      <c r="F88" s="8">
        <f>'Prestige Patterns'!$B$5*('Prestige Patterns'!$B$6^E87-'Prestige Patterns'!$B$6^(E87+G88))/(1-'Prestige Patterns'!$B$6)</f>
        <v>466763955.98520178</v>
      </c>
      <c r="G88" s="8">
        <f>FLOOR(LOG('Prestige Patterns'!$B$6^(E87) - (D87*(1-'Prestige Patterns'!$B$6)/'Prestige Patterns'!$B$5),'Prestige Patterns'!$B$6)-E87,1)</f>
        <v>2</v>
      </c>
      <c r="H88">
        <f t="shared" si="2"/>
        <v>140</v>
      </c>
      <c r="I88" s="5">
        <f>1+H88*'Prestige Patterns'!$B$25</f>
        <v>2.4000000000000004</v>
      </c>
      <c r="J88">
        <f>FLOOR((K88/'Prestige Patterns'!$B$22)^'Prestige Patterns'!$B$23,1)-H87</f>
        <v>133</v>
      </c>
      <c r="K88" s="8">
        <f>K87+N87*'Prestige Patterns'!$B$20</f>
        <v>7459398282</v>
      </c>
      <c r="L88" s="2">
        <f>IF(J87&gt;='Prestige Patterns'!$B$28,IF(J87/(H87+1)&gt;('Prestige Patterns'!$B$27+1),L87+1,L87),L87)</f>
        <v>2</v>
      </c>
      <c r="N88">
        <f t="shared" si="0"/>
        <v>9043968.0000000019</v>
      </c>
      <c r="O88" s="3">
        <f>'Prestige Patterns'!$B$4*E88</f>
        <v>7360</v>
      </c>
      <c r="P88">
        <f t="shared" si="3"/>
        <v>512</v>
      </c>
      <c r="Q88" s="5"/>
      <c r="R88" s="5"/>
      <c r="S88" s="3">
        <v>87</v>
      </c>
      <c r="T88" s="5"/>
    </row>
    <row r="89" spans="1:20" ht="12">
      <c r="A89" s="1"/>
      <c r="B89" s="1"/>
      <c r="C89" s="2">
        <f>(S89*'Prestige Patterns'!$B$20)/60</f>
        <v>44</v>
      </c>
      <c r="D89" s="2">
        <f>IF(L88=L89,N88*'Prestige Patterns'!$B$20+D88-F89,0)</f>
        <v>315498303.05007315</v>
      </c>
      <c r="E89" s="3">
        <f t="shared" si="1"/>
        <v>369</v>
      </c>
      <c r="F89" s="8">
        <f>'Prestige Patterns'!$B$5*('Prestige Patterns'!$B$6^E88-'Prestige Patterns'!$B$6^(E88+G89))/(1-'Prestige Patterns'!$B$6)</f>
        <v>251027932.42618719</v>
      </c>
      <c r="G89" s="8">
        <f>FLOOR(LOG('Prestige Patterns'!$B$6^(E88) - (D88*(1-'Prestige Patterns'!$B$6)/'Prestige Patterns'!$B$5),'Prestige Patterns'!$B$6)-E88,1)</f>
        <v>1</v>
      </c>
      <c r="H89">
        <f t="shared" si="2"/>
        <v>140</v>
      </c>
      <c r="I89" s="5">
        <f>1+H89*'Prestige Patterns'!$B$25</f>
        <v>2.4000000000000004</v>
      </c>
      <c r="J89">
        <f>FLOOR((K89/'Prestige Patterns'!$B$22)^'Prestige Patterns'!$B$23,1)-H88</f>
        <v>138</v>
      </c>
      <c r="K89" s="8">
        <f>K88+N88*'Prestige Patterns'!$B$20</f>
        <v>7730717322</v>
      </c>
      <c r="L89" s="2">
        <f>IF(J88&gt;='Prestige Patterns'!$B$28,IF(J88/(H88+1)&gt;('Prestige Patterns'!$B$27+1),L88+1,L88),L88)</f>
        <v>2</v>
      </c>
      <c r="N89">
        <f t="shared" si="0"/>
        <v>9068544.0000000019</v>
      </c>
      <c r="O89" s="3">
        <f>'Prestige Patterns'!$B$4*E89</f>
        <v>7380</v>
      </c>
      <c r="P89">
        <f t="shared" si="3"/>
        <v>512</v>
      </c>
      <c r="Q89" s="5"/>
      <c r="R89" s="5"/>
      <c r="S89" s="3">
        <v>88</v>
      </c>
      <c r="T89" s="5"/>
    </row>
    <row r="90" spans="1:20" ht="12">
      <c r="A90" s="1"/>
      <c r="B90" s="1"/>
      <c r="C90" s="2">
        <f>(S90*'Prestige Patterns'!$B$20)/60</f>
        <v>44.5</v>
      </c>
      <c r="D90" s="2">
        <f>IF(L89=L90,N89*'Prestige Patterns'!$B$20+D89-F90,0)</f>
        <v>323975294.00257587</v>
      </c>
      <c r="E90" s="3">
        <f t="shared" si="1"/>
        <v>370</v>
      </c>
      <c r="F90" s="8">
        <f>'Prestige Patterns'!$B$5*('Prestige Patterns'!$B$6^E89-'Prestige Patterns'!$B$6^(E89+G90))/(1-'Prestige Patterns'!$B$6)</f>
        <v>263579329.04749727</v>
      </c>
      <c r="G90" s="8">
        <f>FLOOR(LOG('Prestige Patterns'!$B$6^(E89) - (D89*(1-'Prestige Patterns'!$B$6)/'Prestige Patterns'!$B$5),'Prestige Patterns'!$B$6)-E89,1)</f>
        <v>1</v>
      </c>
      <c r="H90">
        <f t="shared" si="2"/>
        <v>140</v>
      </c>
      <c r="I90" s="5">
        <f>1+H90*'Prestige Patterns'!$B$25</f>
        <v>2.4000000000000004</v>
      </c>
      <c r="J90">
        <f>FLOOR((K90/'Prestige Patterns'!$B$22)^'Prestige Patterns'!$B$23,1)-H89</f>
        <v>142</v>
      </c>
      <c r="K90" s="8">
        <f>K89+N89*'Prestige Patterns'!$B$20</f>
        <v>8002773642</v>
      </c>
      <c r="L90" s="2">
        <f>IF(J89&gt;='Prestige Patterns'!$B$28,IF(J89/(H89+1)&gt;('Prestige Patterns'!$B$27+1),L89+1,L89),L89)</f>
        <v>2</v>
      </c>
      <c r="N90">
        <f t="shared" si="0"/>
        <v>9093120.0000000019</v>
      </c>
      <c r="O90" s="3">
        <f>'Prestige Patterns'!$B$4*E90</f>
        <v>7400</v>
      </c>
      <c r="P90">
        <f t="shared" si="3"/>
        <v>512</v>
      </c>
      <c r="Q90" s="5"/>
      <c r="R90" s="5"/>
      <c r="S90" s="3">
        <v>89</v>
      </c>
      <c r="T90" s="5"/>
    </row>
    <row r="91" spans="1:20" ht="12">
      <c r="A91" s="1"/>
      <c r="B91" s="1"/>
      <c r="C91" s="2">
        <f>(S91*'Prestige Patterns'!$B$20)/60</f>
        <v>45</v>
      </c>
      <c r="D91" s="2">
        <f>IF(L90=L91,N90*'Prestige Patterns'!$B$20+D90-F91,0)</f>
        <v>320010598.50270534</v>
      </c>
      <c r="E91" s="3">
        <f t="shared" si="1"/>
        <v>371</v>
      </c>
      <c r="F91" s="8">
        <f>'Prestige Patterns'!$B$5*('Prestige Patterns'!$B$6^E90-'Prestige Patterns'!$B$6^(E90+G91))/(1-'Prestige Patterns'!$B$6)</f>
        <v>276758295.49987054</v>
      </c>
      <c r="G91" s="8">
        <f>FLOOR(LOG('Prestige Patterns'!$B$6^(E90) - (D90*(1-'Prestige Patterns'!$B$6)/'Prestige Patterns'!$B$5),'Prestige Patterns'!$B$6)-E90,1)</f>
        <v>1</v>
      </c>
      <c r="H91">
        <f t="shared" si="2"/>
        <v>140</v>
      </c>
      <c r="I91" s="5">
        <f>1+H91*'Prestige Patterns'!$B$25</f>
        <v>2.4000000000000004</v>
      </c>
      <c r="J91">
        <f>FLOOR((K91/'Prestige Patterns'!$B$22)^'Prestige Patterns'!$B$23,1)-H90</f>
        <v>147</v>
      </c>
      <c r="K91" s="8">
        <f>K90+N90*'Prestige Patterns'!$B$20</f>
        <v>8275567242</v>
      </c>
      <c r="L91" s="2">
        <f>IF(J90&gt;='Prestige Patterns'!$B$28,IF(J90/(H90+1)&gt;('Prestige Patterns'!$B$27+1),L90+1,L90),L90)</f>
        <v>2</v>
      </c>
      <c r="N91">
        <f t="shared" si="0"/>
        <v>9117696.0000000019</v>
      </c>
      <c r="O91" s="3">
        <f>'Prestige Patterns'!$B$4*E91</f>
        <v>7420</v>
      </c>
      <c r="P91">
        <f t="shared" si="3"/>
        <v>512</v>
      </c>
      <c r="Q91" s="5"/>
      <c r="R91" s="5"/>
      <c r="S91" s="3">
        <v>90</v>
      </c>
      <c r="T91" s="5"/>
    </row>
    <row r="92" spans="1:20" ht="12">
      <c r="A92" s="1"/>
      <c r="B92" s="1"/>
      <c r="C92" s="2">
        <f>(S92*'Prestige Patterns'!$B$20)/60</f>
        <v>45.5</v>
      </c>
      <c r="D92" s="2">
        <f>IF(L91=L92,N91*'Prestige Patterns'!$B$20+D91-F92,0)</f>
        <v>302945268.22783995</v>
      </c>
      <c r="E92" s="3">
        <f t="shared" si="1"/>
        <v>372</v>
      </c>
      <c r="F92" s="8">
        <f>'Prestige Patterns'!$B$5*('Prestige Patterns'!$B$6^E91-'Prestige Patterns'!$B$6^(E91+G92))/(1-'Prestige Patterns'!$B$6)</f>
        <v>290596210.27486539</v>
      </c>
      <c r="G92" s="8">
        <f>FLOOR(LOG('Prestige Patterns'!$B$6^(E91) - (D91*(1-'Prestige Patterns'!$B$6)/'Prestige Patterns'!$B$5),'Prestige Patterns'!$B$6)-E91,1)</f>
        <v>1</v>
      </c>
      <c r="H92">
        <f t="shared" si="2"/>
        <v>140</v>
      </c>
      <c r="I92" s="5">
        <f>1+H92*'Prestige Patterns'!$B$25</f>
        <v>2.4000000000000004</v>
      </c>
      <c r="J92">
        <f>FLOOR((K92/'Prestige Patterns'!$B$22)^'Prestige Patterns'!$B$23,1)-H91</f>
        <v>152</v>
      </c>
      <c r="K92" s="8">
        <f>K91+N91*'Prestige Patterns'!$B$20</f>
        <v>8549098122</v>
      </c>
      <c r="L92" s="2">
        <f>IF(J91&gt;='Prestige Patterns'!$B$28,IF(J91/(H91+1)&gt;('Prestige Patterns'!$B$27+1),L91+1,L91),L91)</f>
        <v>2</v>
      </c>
      <c r="N92">
        <f t="shared" si="0"/>
        <v>9142272.0000000019</v>
      </c>
      <c r="O92" s="3">
        <f>'Prestige Patterns'!$B$4*E92</f>
        <v>7440</v>
      </c>
      <c r="P92">
        <f t="shared" si="3"/>
        <v>512</v>
      </c>
      <c r="Q92" s="5"/>
      <c r="R92" s="5"/>
      <c r="S92" s="3">
        <v>91</v>
      </c>
      <c r="T92" s="5"/>
    </row>
    <row r="93" spans="1:20" ht="12">
      <c r="A93" s="1"/>
      <c r="B93" s="1"/>
      <c r="C93" s="2">
        <f>(S93*'Prestige Patterns'!$B$20)/60</f>
        <v>46</v>
      </c>
      <c r="D93" s="2">
        <f>IF(L92=L93,N92*'Prestige Patterns'!$B$20+D92-F93,0)</f>
        <v>577213428.22783995</v>
      </c>
      <c r="E93" s="3">
        <f t="shared" si="1"/>
        <v>372</v>
      </c>
      <c r="F93" s="8">
        <f>'Prestige Patterns'!$B$5*('Prestige Patterns'!$B$6^E92-'Prestige Patterns'!$B$6^(E92+G93))/(1-'Prestige Patterns'!$B$6)</f>
        <v>0</v>
      </c>
      <c r="G93" s="8">
        <f>FLOOR(LOG('Prestige Patterns'!$B$6^(E92) - (D92*(1-'Prestige Patterns'!$B$6)/'Prestige Patterns'!$B$5),'Prestige Patterns'!$B$6)-E92,1)</f>
        <v>0</v>
      </c>
      <c r="H93">
        <f t="shared" si="2"/>
        <v>140</v>
      </c>
      <c r="I93" s="5">
        <f>1+H93*'Prestige Patterns'!$B$25</f>
        <v>2.4000000000000004</v>
      </c>
      <c r="J93">
        <f>FLOOR((K93/'Prestige Patterns'!$B$22)^'Prestige Patterns'!$B$23,1)-H92</f>
        <v>157</v>
      </c>
      <c r="K93" s="8">
        <f>K92+N92*'Prestige Patterns'!$B$20</f>
        <v>8823366282</v>
      </c>
      <c r="L93" s="2">
        <f>IF(J92&gt;='Prestige Patterns'!$B$28,IF(J92/(H92+1)&gt;('Prestige Patterns'!$B$27+1),L92+1,L92),L92)</f>
        <v>2</v>
      </c>
      <c r="N93">
        <f t="shared" si="0"/>
        <v>9142272.0000000019</v>
      </c>
      <c r="O93" s="3">
        <f>'Prestige Patterns'!$B$4*E93</f>
        <v>7440</v>
      </c>
      <c r="P93">
        <f t="shared" si="3"/>
        <v>512</v>
      </c>
      <c r="Q93" s="5"/>
      <c r="R93" s="5"/>
      <c r="S93" s="3">
        <v>92</v>
      </c>
      <c r="T93" s="5"/>
    </row>
    <row r="94" spans="1:20" ht="12">
      <c r="A94" s="1"/>
      <c r="B94" s="1"/>
      <c r="C94" s="2">
        <f>(S94*'Prestige Patterns'!$B$20)/60</f>
        <v>46.5</v>
      </c>
      <c r="D94" s="2">
        <f>IF(L93=L94,N93*'Prestige Patterns'!$B$20+D93-F94,0)</f>
        <v>546355567.43923378</v>
      </c>
      <c r="E94" s="3">
        <f t="shared" si="1"/>
        <v>373</v>
      </c>
      <c r="F94" s="8">
        <f>'Prestige Patterns'!$B$5*('Prestige Patterns'!$B$6^E93-'Prestige Patterns'!$B$6^(E93+G94))/(1-'Prestige Patterns'!$B$6)</f>
        <v>305126020.78860611</v>
      </c>
      <c r="G94" s="8">
        <f>FLOOR(LOG('Prestige Patterns'!$B$6^(E93) - (D93*(1-'Prestige Patterns'!$B$6)/'Prestige Patterns'!$B$5),'Prestige Patterns'!$B$6)-E93,1)</f>
        <v>1</v>
      </c>
      <c r="H94">
        <f t="shared" si="2"/>
        <v>140</v>
      </c>
      <c r="I94" s="5">
        <f>1+H94*'Prestige Patterns'!$B$25</f>
        <v>2.4000000000000004</v>
      </c>
      <c r="J94">
        <f>FLOOR((K94/'Prestige Patterns'!$B$22)^'Prestige Patterns'!$B$23,1)-H93</f>
        <v>161</v>
      </c>
      <c r="K94" s="8">
        <f>K93+N93*'Prestige Patterns'!$B$20</f>
        <v>9097634442</v>
      </c>
      <c r="L94" s="2">
        <f>IF(J93&gt;='Prestige Patterns'!$B$28,IF(J93/(H93+1)&gt;('Prestige Patterns'!$B$27+1),L93+1,L93),L93)</f>
        <v>2</v>
      </c>
      <c r="N94">
        <f t="shared" si="0"/>
        <v>9166848.0000000019</v>
      </c>
      <c r="O94" s="3">
        <f>'Prestige Patterns'!$B$4*E94</f>
        <v>7460</v>
      </c>
      <c r="P94">
        <f t="shared" si="3"/>
        <v>512</v>
      </c>
      <c r="Q94" s="5"/>
      <c r="R94" s="5"/>
      <c r="S94" s="3">
        <v>93</v>
      </c>
      <c r="T94" s="5"/>
    </row>
    <row r="95" spans="1:20" ht="12">
      <c r="A95" s="1"/>
      <c r="B95" s="1"/>
      <c r="C95" s="2">
        <f>(S95*'Prestige Patterns'!$B$20)/60</f>
        <v>47</v>
      </c>
      <c r="D95" s="2">
        <f>IF(L94=L95,N94*'Prestige Patterns'!$B$20+D94-F95,0)</f>
        <v>500978685.61119539</v>
      </c>
      <c r="E95" s="3">
        <f t="shared" si="1"/>
        <v>374</v>
      </c>
      <c r="F95" s="8">
        <f>'Prestige Patterns'!$B$5*('Prestige Patterns'!$B$6^E94-'Prestige Patterns'!$B$6^(E94+G95))/(1-'Prestige Patterns'!$B$6)</f>
        <v>320382321.82803839</v>
      </c>
      <c r="G95" s="8">
        <f>FLOOR(LOG('Prestige Patterns'!$B$6^(E94) - (D94*(1-'Prestige Patterns'!$B$6)/'Prestige Patterns'!$B$5),'Prestige Patterns'!$B$6)-E94,1)</f>
        <v>1</v>
      </c>
      <c r="H95">
        <f t="shared" si="2"/>
        <v>140</v>
      </c>
      <c r="I95" s="5">
        <f>1+H95*'Prestige Patterns'!$B$25</f>
        <v>2.4000000000000004</v>
      </c>
      <c r="J95">
        <f>FLOOR((K95/'Prestige Patterns'!$B$22)^'Prestige Patterns'!$B$23,1)-H94</f>
        <v>166</v>
      </c>
      <c r="K95" s="8">
        <f>K94+N94*'Prestige Patterns'!$B$20</f>
        <v>9372639882</v>
      </c>
      <c r="L95" s="2">
        <f>IF(J94&gt;='Prestige Patterns'!$B$28,IF(J94/(H94+1)&gt;('Prestige Patterns'!$B$27+1),L94+1,L94),L94)</f>
        <v>2</v>
      </c>
      <c r="N95">
        <f t="shared" si="0"/>
        <v>9191424.0000000019</v>
      </c>
      <c r="O95" s="3">
        <f>'Prestige Patterns'!$B$4*E95</f>
        <v>7480</v>
      </c>
      <c r="P95">
        <f t="shared" si="3"/>
        <v>512</v>
      </c>
      <c r="Q95" s="5"/>
      <c r="R95" s="5"/>
      <c r="S95" s="3">
        <v>94</v>
      </c>
      <c r="T95" s="5"/>
    </row>
    <row r="96" spans="1:20" ht="12">
      <c r="A96" s="1"/>
      <c r="B96" s="1"/>
      <c r="C96" s="2">
        <f>(S96*'Prestige Patterns'!$B$20)/60</f>
        <v>47.5</v>
      </c>
      <c r="D96" s="2">
        <f>IF(L95=L96,N95*'Prestige Patterns'!$B$20+D95-F96,0)</f>
        <v>440319967.69175428</v>
      </c>
      <c r="E96" s="3">
        <f t="shared" si="1"/>
        <v>375</v>
      </c>
      <c r="F96" s="8">
        <f>'Prestige Patterns'!$B$5*('Prestige Patterns'!$B$6^E95-'Prestige Patterns'!$B$6^(E95+G96))/(1-'Prestige Patterns'!$B$6)</f>
        <v>336401437.91944116</v>
      </c>
      <c r="G96" s="8">
        <f>FLOOR(LOG('Prestige Patterns'!$B$6^(E95) - (D95*(1-'Prestige Patterns'!$B$6)/'Prestige Patterns'!$B$5),'Prestige Patterns'!$B$6)-E95,1)</f>
        <v>1</v>
      </c>
      <c r="H96">
        <f t="shared" si="2"/>
        <v>140</v>
      </c>
      <c r="I96" s="5">
        <f>1+H96*'Prestige Patterns'!$B$25</f>
        <v>2.4000000000000004</v>
      </c>
      <c r="J96">
        <f>FLOOR((K96/'Prestige Patterns'!$B$22)^'Prestige Patterns'!$B$23,1)-H95</f>
        <v>170</v>
      </c>
      <c r="K96" s="8">
        <f>K95+N95*'Prestige Patterns'!$B$20</f>
        <v>9648382602</v>
      </c>
      <c r="L96" s="2">
        <f>IF(J95&gt;='Prestige Patterns'!$B$28,IF(J95/(H95+1)&gt;('Prestige Patterns'!$B$27+1),L95+1,L95),L95)</f>
        <v>2</v>
      </c>
      <c r="N96">
        <f t="shared" si="0"/>
        <v>9216000.0000000019</v>
      </c>
      <c r="O96" s="3">
        <f>'Prestige Patterns'!$B$4*E96</f>
        <v>7500</v>
      </c>
      <c r="P96">
        <f t="shared" si="3"/>
        <v>512</v>
      </c>
      <c r="Q96" s="5"/>
      <c r="R96" s="5"/>
      <c r="S96" s="3">
        <v>95</v>
      </c>
      <c r="T96" s="5"/>
    </row>
    <row r="97" spans="1:20" ht="12">
      <c r="A97" s="1"/>
      <c r="B97" s="1"/>
      <c r="C97" s="2">
        <f>(S97*'Prestige Patterns'!$B$20)/60</f>
        <v>48</v>
      </c>
      <c r="D97" s="2">
        <f>IF(L96=L97,N96*'Prestige Patterns'!$B$20+D96-F97,0)</f>
        <v>363578457.87634188</v>
      </c>
      <c r="E97" s="3">
        <f t="shared" si="1"/>
        <v>376</v>
      </c>
      <c r="F97" s="8">
        <f>'Prestige Patterns'!$B$5*('Prestige Patterns'!$B$6^E96-'Prestige Patterns'!$B$6^(E96+G97))/(1-'Prestige Patterns'!$B$6)</f>
        <v>353221509.81541246</v>
      </c>
      <c r="G97" s="8">
        <f>FLOOR(LOG('Prestige Patterns'!$B$6^(E96) - (D96*(1-'Prestige Patterns'!$B$6)/'Prestige Patterns'!$B$5),'Prestige Patterns'!$B$6)-E96,1)</f>
        <v>1</v>
      </c>
      <c r="H97">
        <f t="shared" si="2"/>
        <v>140</v>
      </c>
      <c r="I97" s="5">
        <f>1+H97*'Prestige Patterns'!$B$25</f>
        <v>2.4000000000000004</v>
      </c>
      <c r="J97">
        <f>FLOOR((K97/'Prestige Patterns'!$B$22)^'Prestige Patterns'!$B$23,1)-H96</f>
        <v>175</v>
      </c>
      <c r="K97" s="8">
        <f>K96+N96*'Prestige Patterns'!$B$20</f>
        <v>9924862602</v>
      </c>
      <c r="L97" s="2">
        <f>IF(J96&gt;='Prestige Patterns'!$B$28,IF(J96/(H96+1)&gt;('Prestige Patterns'!$B$27+1),L96+1,L96),L96)</f>
        <v>2</v>
      </c>
      <c r="N97">
        <f t="shared" si="0"/>
        <v>9240576.0000000019</v>
      </c>
      <c r="O97" s="3">
        <f>'Prestige Patterns'!$B$4*E97</f>
        <v>7520</v>
      </c>
      <c r="P97">
        <f t="shared" si="3"/>
        <v>512</v>
      </c>
      <c r="Q97" s="5"/>
      <c r="R97" s="5"/>
      <c r="S97" s="3">
        <v>96</v>
      </c>
      <c r="T97" s="5"/>
    </row>
    <row r="98" spans="1:20" ht="12">
      <c r="A98" s="1"/>
      <c r="B98" s="1"/>
      <c r="C98" s="2">
        <f>(S98*'Prestige Patterns'!$B$20)/60</f>
        <v>48.5</v>
      </c>
      <c r="D98" s="2">
        <f>IF(L97=L98,N97*'Prestige Patterns'!$B$20+D97-F98,0)</f>
        <v>640795737.87634194</v>
      </c>
      <c r="E98" s="3">
        <f t="shared" si="1"/>
        <v>376</v>
      </c>
      <c r="F98" s="8">
        <f>'Prestige Patterns'!$B$5*('Prestige Patterns'!$B$6^E97-'Prestige Patterns'!$B$6^(E97+G98))/(1-'Prestige Patterns'!$B$6)</f>
        <v>0</v>
      </c>
      <c r="G98" s="8">
        <f>FLOOR(LOG('Prestige Patterns'!$B$6^(E97) - (D97*(1-'Prestige Patterns'!$B$6)/'Prestige Patterns'!$B$5),'Prestige Patterns'!$B$6)-E97,1)</f>
        <v>0</v>
      </c>
      <c r="H98">
        <f t="shared" si="2"/>
        <v>140</v>
      </c>
      <c r="I98" s="5">
        <f>1+H98*'Prestige Patterns'!$B$25</f>
        <v>2.4000000000000004</v>
      </c>
      <c r="J98">
        <f>FLOOR((K98/'Prestige Patterns'!$B$22)^'Prestige Patterns'!$B$23,1)-H97</f>
        <v>179</v>
      </c>
      <c r="K98" s="8">
        <f>K97+N97*'Prestige Patterns'!$B$20</f>
        <v>10202079882</v>
      </c>
      <c r="L98" s="2">
        <f>IF(J97&gt;='Prestige Patterns'!$B$28,IF(J97/(H97+1)&gt;('Prestige Patterns'!$B$27+1),L97+1,L97),L97)</f>
        <v>2</v>
      </c>
      <c r="N98">
        <f t="shared" si="0"/>
        <v>9240576.0000000019</v>
      </c>
      <c r="O98" s="3">
        <f>'Prestige Patterns'!$B$4*E98</f>
        <v>7520</v>
      </c>
      <c r="P98">
        <f t="shared" si="3"/>
        <v>512</v>
      </c>
      <c r="Q98" s="5"/>
      <c r="R98" s="5"/>
      <c r="S98" s="3">
        <v>97</v>
      </c>
      <c r="T98" s="5"/>
    </row>
    <row r="99" spans="1:20" ht="12">
      <c r="A99" s="1"/>
      <c r="B99" s="1"/>
      <c r="C99" s="2">
        <f>(S99*'Prestige Patterns'!$B$20)/60</f>
        <v>49</v>
      </c>
      <c r="D99" s="2">
        <f>IF(L98=L99,N98*'Prestige Patterns'!$B$20+D98-F99,0)</f>
        <v>547130432.57015932</v>
      </c>
      <c r="E99" s="3">
        <f t="shared" si="1"/>
        <v>377</v>
      </c>
      <c r="F99" s="8">
        <f>'Prestige Patterns'!$B$5*('Prestige Patterns'!$B$6^E98-'Prestige Patterns'!$B$6^(E98+G99))/(1-'Prestige Patterns'!$B$6)</f>
        <v>370882585.30618274</v>
      </c>
      <c r="G99" s="8">
        <f>FLOOR(LOG('Prestige Patterns'!$B$6^(E98) - (D98*(1-'Prestige Patterns'!$B$6)/'Prestige Patterns'!$B$5),'Prestige Patterns'!$B$6)-E98,1)</f>
        <v>1</v>
      </c>
      <c r="H99">
        <f t="shared" si="2"/>
        <v>140</v>
      </c>
      <c r="I99" s="5">
        <f>1+H99*'Prestige Patterns'!$B$25</f>
        <v>2.4000000000000004</v>
      </c>
      <c r="J99">
        <f>FLOOR((K99/'Prestige Patterns'!$B$22)^'Prestige Patterns'!$B$23,1)-H98</f>
        <v>183</v>
      </c>
      <c r="K99" s="8">
        <f>K98+N98*'Prestige Patterns'!$B$20</f>
        <v>10479297162</v>
      </c>
      <c r="L99" s="2">
        <f>IF(J98&gt;='Prestige Patterns'!$B$28,IF(J98/(H98+1)&gt;('Prestige Patterns'!$B$27+1),L98+1,L98),L98)</f>
        <v>2</v>
      </c>
      <c r="N99">
        <f t="shared" si="0"/>
        <v>9265152.0000000019</v>
      </c>
      <c r="O99" s="3">
        <f>'Prestige Patterns'!$B$4*E99</f>
        <v>7540</v>
      </c>
      <c r="P99">
        <f t="shared" si="3"/>
        <v>512</v>
      </c>
      <c r="Q99" s="5"/>
      <c r="R99" s="5"/>
      <c r="S99" s="3">
        <v>98</v>
      </c>
      <c r="T99" s="5"/>
    </row>
    <row r="100" spans="1:20" ht="12">
      <c r="A100" s="1"/>
      <c r="B100" s="1"/>
      <c r="C100" s="2">
        <f>(S100*'Prestige Patterns'!$B$20)/60</f>
        <v>49.5</v>
      </c>
      <c r="D100" s="2">
        <f>IF(L99=L100,N99*'Prestige Patterns'!$B$20+D99-F100,0)</f>
        <v>435658277.99866593</v>
      </c>
      <c r="E100" s="3">
        <f t="shared" si="1"/>
        <v>378</v>
      </c>
      <c r="F100" s="8">
        <f>'Prestige Patterns'!$B$5*('Prestige Patterns'!$B$6^E99-'Prestige Patterns'!$B$6^(E99+G100))/(1-'Prestige Patterns'!$B$6)</f>
        <v>389426714.57149351</v>
      </c>
      <c r="G100" s="8">
        <f>FLOOR(LOG('Prestige Patterns'!$B$6^(E99) - (D99*(1-'Prestige Patterns'!$B$6)/'Prestige Patterns'!$B$5),'Prestige Patterns'!$B$6)-E99,1)</f>
        <v>1</v>
      </c>
      <c r="H100">
        <f t="shared" si="2"/>
        <v>140</v>
      </c>
      <c r="I100" s="5">
        <f>1+H100*'Prestige Patterns'!$B$25</f>
        <v>2.4000000000000004</v>
      </c>
      <c r="J100">
        <f>FLOOR((K100/'Prestige Patterns'!$B$22)^'Prestige Patterns'!$B$23,1)-H99</f>
        <v>187</v>
      </c>
      <c r="K100" s="8">
        <f>K99+N99*'Prestige Patterns'!$B$20</f>
        <v>10757251722</v>
      </c>
      <c r="L100" s="2">
        <f>IF(J99&gt;='Prestige Patterns'!$B$28,IF(J99/(H99+1)&gt;('Prestige Patterns'!$B$27+1),L99+1,L99),L99)</f>
        <v>2</v>
      </c>
      <c r="N100">
        <f t="shared" si="0"/>
        <v>9289728.0000000019</v>
      </c>
      <c r="O100" s="3">
        <f>'Prestige Patterns'!$B$4*E100</f>
        <v>7560</v>
      </c>
      <c r="P100">
        <f t="shared" si="3"/>
        <v>512</v>
      </c>
      <c r="Q100" s="5"/>
      <c r="R100" s="5"/>
      <c r="S100" s="3">
        <v>99</v>
      </c>
      <c r="T100" s="5"/>
    </row>
    <row r="101" spans="1:20" ht="12">
      <c r="A101" s="1"/>
      <c r="B101" s="1"/>
      <c r="C101" s="2">
        <f>(S101*'Prestige Patterns'!$B$20)/60</f>
        <v>50</v>
      </c>
      <c r="D101" s="2">
        <f>IF(L100=L101,N100*'Prestige Patterns'!$B$20+D100-F101,0)</f>
        <v>305452067.69859874</v>
      </c>
      <c r="E101" s="3">
        <f t="shared" si="1"/>
        <v>379</v>
      </c>
      <c r="F101" s="8">
        <f>'Prestige Patterns'!$B$5*('Prestige Patterns'!$B$6^E100-'Prestige Patterns'!$B$6^(E100+G101))/(1-'Prestige Patterns'!$B$6)</f>
        <v>408898050.30006731</v>
      </c>
      <c r="G101" s="8">
        <f>FLOOR(LOG('Prestige Patterns'!$B$6^(E100) - (D100*(1-'Prestige Patterns'!$B$6)/'Prestige Patterns'!$B$5),'Prestige Patterns'!$B$6)-E100,1)</f>
        <v>1</v>
      </c>
      <c r="H101">
        <f t="shared" si="2"/>
        <v>140</v>
      </c>
      <c r="I101" s="5">
        <f>1+H101*'Prestige Patterns'!$B$25</f>
        <v>2.4000000000000004</v>
      </c>
      <c r="J101">
        <f>FLOOR((K101/'Prestige Patterns'!$B$22)^'Prestige Patterns'!$B$23,1)-H100</f>
        <v>192</v>
      </c>
      <c r="K101" s="8">
        <f>K100+N100*'Prestige Patterns'!$B$20</f>
        <v>11035943562</v>
      </c>
      <c r="L101" s="2">
        <f>IF(J100&gt;='Prestige Patterns'!$B$28,IF(J100/(H100+1)&gt;('Prestige Patterns'!$B$27+1),L100+1,L100),L100)</f>
        <v>2</v>
      </c>
      <c r="N101">
        <f t="shared" si="0"/>
        <v>9314304.0000000019</v>
      </c>
      <c r="O101" s="3">
        <f>'Prestige Patterns'!$B$4*E101</f>
        <v>7580</v>
      </c>
      <c r="P101">
        <f t="shared" si="3"/>
        <v>512</v>
      </c>
      <c r="Q101" s="5"/>
      <c r="R101" s="5"/>
      <c r="S101" s="3">
        <v>100</v>
      </c>
      <c r="T101" s="5"/>
    </row>
    <row r="102" spans="1:20" ht="12">
      <c r="A102" s="1"/>
      <c r="B102" s="1"/>
      <c r="C102" s="2">
        <f>(S102*'Prestige Patterns'!$B$20)/60</f>
        <v>50.5</v>
      </c>
      <c r="D102" s="2">
        <f>IF(L101=L102,N101*'Prestige Patterns'!$B$20+D101-F102,0)</f>
        <v>584881187.69859886</v>
      </c>
      <c r="E102" s="3">
        <f t="shared" si="1"/>
        <v>379</v>
      </c>
      <c r="F102" s="8">
        <f>'Prestige Patterns'!$B$5*('Prestige Patterns'!$B$6^E101-'Prestige Patterns'!$B$6^(E101+G102))/(1-'Prestige Patterns'!$B$6)</f>
        <v>0</v>
      </c>
      <c r="G102" s="8">
        <f>FLOOR(LOG('Prestige Patterns'!$B$6^(E101) - (D101*(1-'Prestige Patterns'!$B$6)/'Prestige Patterns'!$B$5),'Prestige Patterns'!$B$6)-E101,1)</f>
        <v>0</v>
      </c>
      <c r="H102">
        <f t="shared" si="2"/>
        <v>140</v>
      </c>
      <c r="I102" s="5">
        <f>1+H102*'Prestige Patterns'!$B$25</f>
        <v>2.4000000000000004</v>
      </c>
      <c r="J102">
        <f>FLOOR((K102/'Prestige Patterns'!$B$22)^'Prestige Patterns'!$B$23,1)-H101</f>
        <v>196</v>
      </c>
      <c r="K102" s="8">
        <f>K101+N101*'Prestige Patterns'!$B$20</f>
        <v>11315372682</v>
      </c>
      <c r="L102" s="2">
        <f>IF(J101&gt;='Prestige Patterns'!$B$28,IF(J101/(H101+1)&gt;('Prestige Patterns'!$B$27+1),L101+1,L101),L101)</f>
        <v>2</v>
      </c>
      <c r="N102">
        <f t="shared" si="0"/>
        <v>9314304.0000000019</v>
      </c>
      <c r="O102" s="3">
        <f>'Prestige Patterns'!$B$4*E102</f>
        <v>7580</v>
      </c>
      <c r="P102">
        <f t="shared" si="3"/>
        <v>512</v>
      </c>
      <c r="Q102" s="5"/>
      <c r="R102" s="5"/>
      <c r="S102" s="3">
        <v>101</v>
      </c>
      <c r="T102" s="5"/>
    </row>
    <row r="103" spans="1:20" ht="12">
      <c r="A103" s="1"/>
      <c r="B103" s="1"/>
      <c r="C103" s="2">
        <f>(S103*'Prestige Patterns'!$B$20)/60</f>
        <v>51</v>
      </c>
      <c r="D103" s="2">
        <f>IF(L102=L103,N102*'Prestige Patterns'!$B$20+D102-F103,0)</f>
        <v>434967354.88353026</v>
      </c>
      <c r="E103" s="3">
        <f t="shared" si="1"/>
        <v>380</v>
      </c>
      <c r="F103" s="8">
        <f>'Prestige Patterns'!$B$5*('Prestige Patterns'!$B$6^E102-'Prestige Patterns'!$B$6^(E102+G103))/(1-'Prestige Patterns'!$B$6)</f>
        <v>429342952.8150686</v>
      </c>
      <c r="G103" s="8">
        <f>FLOOR(LOG('Prestige Patterns'!$B$6^(E102) - (D102*(1-'Prestige Patterns'!$B$6)/'Prestige Patterns'!$B$5),'Prestige Patterns'!$B$6)-E102,1)</f>
        <v>1</v>
      </c>
      <c r="H103">
        <f t="shared" si="2"/>
        <v>140</v>
      </c>
      <c r="I103" s="5">
        <f>1+H103*'Prestige Patterns'!$B$25</f>
        <v>2.4000000000000004</v>
      </c>
      <c r="J103">
        <f>FLOOR((K103/'Prestige Patterns'!$B$22)^'Prestige Patterns'!$B$23,1)-H102</f>
        <v>200</v>
      </c>
      <c r="K103" s="8">
        <f>K102+N102*'Prestige Patterns'!$B$20</f>
        <v>11594801802</v>
      </c>
      <c r="L103" s="2">
        <f>IF(J102&gt;='Prestige Patterns'!$B$28,IF(J102/(H102+1)&gt;('Prestige Patterns'!$B$27+1),L102+1,L102),L102)</f>
        <v>2</v>
      </c>
      <c r="N103">
        <f t="shared" si="0"/>
        <v>9338880.0000000019</v>
      </c>
      <c r="O103" s="3">
        <f>'Prestige Patterns'!$B$4*E103</f>
        <v>7600</v>
      </c>
      <c r="P103">
        <f t="shared" si="3"/>
        <v>512</v>
      </c>
      <c r="Q103" s="5"/>
      <c r="R103" s="5"/>
      <c r="S103" s="3">
        <v>102</v>
      </c>
      <c r="T103" s="5"/>
    </row>
    <row r="104" spans="1:20" ht="12">
      <c r="A104" s="1"/>
      <c r="B104" s="1"/>
      <c r="C104" s="2">
        <f>(S104*'Prestige Patterns'!$B$20)/60</f>
        <v>51.5</v>
      </c>
      <c r="D104" s="2">
        <f>IF(L103=L104,N103*'Prestige Patterns'!$B$20+D103-F104,0)</f>
        <v>715133754.88353038</v>
      </c>
      <c r="E104" s="3">
        <f t="shared" si="1"/>
        <v>380</v>
      </c>
      <c r="F104" s="8">
        <f>'Prestige Patterns'!$B$5*('Prestige Patterns'!$B$6^E103-'Prestige Patterns'!$B$6^(E103+G104))/(1-'Prestige Patterns'!$B$6)</f>
        <v>0</v>
      </c>
      <c r="G104" s="8">
        <f>FLOOR(LOG('Prestige Patterns'!$B$6^(E103) - (D103*(1-'Prestige Patterns'!$B$6)/'Prestige Patterns'!$B$5),'Prestige Patterns'!$B$6)-E103,1)</f>
        <v>0</v>
      </c>
      <c r="H104">
        <f t="shared" si="2"/>
        <v>140</v>
      </c>
      <c r="I104" s="5">
        <f>1+H104*'Prestige Patterns'!$B$25</f>
        <v>2.4000000000000004</v>
      </c>
      <c r="J104">
        <f>FLOOR((K104/'Prestige Patterns'!$B$22)^'Prestige Patterns'!$B$23,1)-H103</f>
        <v>204</v>
      </c>
      <c r="K104" s="8">
        <f>K103+N103*'Prestige Patterns'!$B$20</f>
        <v>11874968202</v>
      </c>
      <c r="L104" s="2">
        <f>IF(J103&gt;='Prestige Patterns'!$B$28,IF(J103/(H103+1)&gt;('Prestige Patterns'!$B$27+1),L103+1,L103),L103)</f>
        <v>2</v>
      </c>
      <c r="N104">
        <f t="shared" si="0"/>
        <v>9338880.0000000019</v>
      </c>
      <c r="O104" s="3">
        <f>'Prestige Patterns'!$B$4*E104</f>
        <v>7600</v>
      </c>
      <c r="P104">
        <f t="shared" si="3"/>
        <v>512</v>
      </c>
      <c r="Q104" s="5"/>
      <c r="R104" s="5"/>
      <c r="S104" s="3">
        <v>103</v>
      </c>
      <c r="T104" s="5"/>
    </row>
    <row r="105" spans="1:20" ht="12">
      <c r="A105" s="1"/>
      <c r="B105" s="1"/>
      <c r="C105" s="2">
        <f>(S105*'Prestige Patterns'!$B$20)/60</f>
        <v>52</v>
      </c>
      <c r="D105" s="2">
        <f>IF(L104=L105,N104*'Prestige Patterns'!$B$20+D104-F105,0)</f>
        <v>544490054.42770553</v>
      </c>
      <c r="E105" s="3">
        <f t="shared" si="1"/>
        <v>381</v>
      </c>
      <c r="F105" s="8">
        <f>'Prestige Patterns'!$B$5*('Prestige Patterns'!$B$6^E104-'Prestige Patterns'!$B$6^(E104+G105))/(1-'Prestige Patterns'!$B$6)</f>
        <v>450810100.45582491</v>
      </c>
      <c r="G105" s="8">
        <f>FLOOR(LOG('Prestige Patterns'!$B$6^(E104) - (D104*(1-'Prestige Patterns'!$B$6)/'Prestige Patterns'!$B$5),'Prestige Patterns'!$B$6)-E104,1)</f>
        <v>1</v>
      </c>
      <c r="H105">
        <f t="shared" si="2"/>
        <v>140</v>
      </c>
      <c r="I105" s="5">
        <f>1+H105*'Prestige Patterns'!$B$25</f>
        <v>2.4000000000000004</v>
      </c>
      <c r="J105">
        <f>FLOOR((K105/'Prestige Patterns'!$B$22)^'Prestige Patterns'!$B$23,1)-H104</f>
        <v>208</v>
      </c>
      <c r="K105" s="8">
        <f>K104+N104*'Prestige Patterns'!$B$20</f>
        <v>12155134602</v>
      </c>
      <c r="L105" s="2">
        <f>IF(J104&gt;='Prestige Patterns'!$B$28,IF(J104/(H104+1)&gt;('Prestige Patterns'!$B$27+1),L104+1,L104),L104)</f>
        <v>2</v>
      </c>
      <c r="N105">
        <f t="shared" si="0"/>
        <v>9363456.0000000019</v>
      </c>
      <c r="O105" s="3">
        <f>'Prestige Patterns'!$B$4*E105</f>
        <v>7620</v>
      </c>
      <c r="P105">
        <f t="shared" si="3"/>
        <v>512</v>
      </c>
      <c r="Q105" s="5"/>
      <c r="R105" s="5"/>
      <c r="S105" s="3">
        <v>104</v>
      </c>
      <c r="T105" s="5"/>
    </row>
    <row r="106" spans="1:20" ht="12">
      <c r="A106" s="1"/>
      <c r="B106" s="1"/>
      <c r="C106" s="2">
        <f>(S106*'Prestige Patterns'!$B$20)/60</f>
        <v>52.5</v>
      </c>
      <c r="D106" s="2">
        <f>IF(L105=L106,N105*'Prestige Patterns'!$B$20+D105-F106,0)</f>
        <v>352043128.94909495</v>
      </c>
      <c r="E106" s="3">
        <f t="shared" si="1"/>
        <v>382</v>
      </c>
      <c r="F106" s="8">
        <f>'Prestige Patterns'!$B$5*('Prestige Patterns'!$B$6^E105-'Prestige Patterns'!$B$6^(E105+G106))/(1-'Prestige Patterns'!$B$6)</f>
        <v>473350605.47861058</v>
      </c>
      <c r="G106" s="8">
        <f>FLOOR(LOG('Prestige Patterns'!$B$6^(E105) - (D105*(1-'Prestige Patterns'!$B$6)/'Prestige Patterns'!$B$5),'Prestige Patterns'!$B$6)-E105,1)</f>
        <v>1</v>
      </c>
      <c r="H106">
        <f t="shared" si="2"/>
        <v>140</v>
      </c>
      <c r="I106" s="5">
        <f>1+H106*'Prestige Patterns'!$B$25</f>
        <v>2.4000000000000004</v>
      </c>
      <c r="J106">
        <f>FLOOR((K106/'Prestige Patterns'!$B$22)^'Prestige Patterns'!$B$23,1)-H105</f>
        <v>212</v>
      </c>
      <c r="K106" s="8">
        <f>K105+N105*'Prestige Patterns'!$B$20</f>
        <v>12436038282</v>
      </c>
      <c r="L106" s="2">
        <f>IF(J105&gt;='Prestige Patterns'!$B$28,IF(J105/(H105+1)&gt;('Prestige Patterns'!$B$27+1),L105+1,L105),L105)</f>
        <v>2</v>
      </c>
      <c r="N106">
        <f t="shared" si="0"/>
        <v>9388032.0000000019</v>
      </c>
      <c r="O106" s="3">
        <f>'Prestige Patterns'!$B$4*E106</f>
        <v>7640</v>
      </c>
      <c r="P106">
        <f t="shared" si="3"/>
        <v>512</v>
      </c>
      <c r="Q106" s="5"/>
      <c r="R106" s="5"/>
      <c r="S106" s="3">
        <v>105</v>
      </c>
      <c r="T106" s="5"/>
    </row>
    <row r="107" spans="1:20" ht="12">
      <c r="A107" s="1"/>
      <c r="B107" s="1"/>
      <c r="C107" s="2">
        <f>(S107*'Prestige Patterns'!$B$20)/60</f>
        <v>53</v>
      </c>
      <c r="D107" s="2">
        <f>IF(L106=L107,N106*'Prestige Patterns'!$B$20+D106-F107,0)</f>
        <v>0</v>
      </c>
      <c r="E107" s="3">
        <f t="shared" si="1"/>
        <v>1</v>
      </c>
      <c r="F107" s="8">
        <f>'Prestige Patterns'!$B$5*('Prestige Patterns'!$B$6^E106-'Prestige Patterns'!$B$6^(E106+G107))/(1-'Prestige Patterns'!$B$6)</f>
        <v>0</v>
      </c>
      <c r="G107" s="8">
        <f>FLOOR(LOG('Prestige Patterns'!$B$6^(E106) - (D106*(1-'Prestige Patterns'!$B$6)/'Prestige Patterns'!$B$5),'Prestige Patterns'!$B$6)-E106,1)</f>
        <v>0</v>
      </c>
      <c r="H107">
        <f t="shared" si="2"/>
        <v>352</v>
      </c>
      <c r="I107" s="5">
        <f>1+H107*'Prestige Patterns'!$B$25</f>
        <v>4.5199999999999996</v>
      </c>
      <c r="J107">
        <f>FLOOR((K107/'Prestige Patterns'!$B$22)^'Prestige Patterns'!$B$23,1)-H106</f>
        <v>216</v>
      </c>
      <c r="K107" s="8">
        <f>K106+N106*'Prestige Patterns'!$B$20</f>
        <v>12717679242</v>
      </c>
      <c r="L107" s="2">
        <f>IF(J106&gt;='Prestige Patterns'!$B$28,IF(J106/(H106+1)&gt;('Prestige Patterns'!$B$27+1),L106+1,L106),L106)</f>
        <v>3</v>
      </c>
      <c r="N107">
        <f t="shared" si="0"/>
        <v>46284.799999999996</v>
      </c>
      <c r="O107" s="3">
        <f>'Prestige Patterns'!$B$4*E107</f>
        <v>20</v>
      </c>
      <c r="P107">
        <f t="shared" si="3"/>
        <v>512</v>
      </c>
      <c r="Q107" s="5"/>
      <c r="R107" s="5"/>
      <c r="S107" s="3">
        <v>106</v>
      </c>
      <c r="T107" s="5"/>
    </row>
    <row r="108" spans="1:20" ht="12">
      <c r="A108" s="1"/>
      <c r="B108" s="1"/>
      <c r="C108" s="2">
        <f>(S108*'Prestige Patterns'!$B$20)/60</f>
        <v>53.5</v>
      </c>
      <c r="D108" s="2">
        <f>IF(L107=L108,N107*'Prestige Patterns'!$B$20+D107-F108,0)</f>
        <v>1388543.9999999998</v>
      </c>
      <c r="E108" s="3">
        <f t="shared" si="1"/>
        <v>1</v>
      </c>
      <c r="F108" s="8">
        <f>'Prestige Patterns'!$B$5*('Prestige Patterns'!$B$6^E107-'Prestige Patterns'!$B$6^(E107+G108))/(1-'Prestige Patterns'!$B$6)</f>
        <v>0</v>
      </c>
      <c r="G108" s="8">
        <f>FLOOR(LOG('Prestige Patterns'!$B$6^(E107) - (D107*(1-'Prestige Patterns'!$B$6)/'Prestige Patterns'!$B$5),'Prestige Patterns'!$B$6)-E107,1)</f>
        <v>0</v>
      </c>
      <c r="H108">
        <f t="shared" si="2"/>
        <v>352</v>
      </c>
      <c r="I108" s="5">
        <f>1+H108*'Prestige Patterns'!$B$25</f>
        <v>4.5199999999999996</v>
      </c>
      <c r="J108">
        <f>FLOOR((K108/'Prestige Patterns'!$B$22)^'Prestige Patterns'!$B$23,1)-H107</f>
        <v>4</v>
      </c>
      <c r="K108" s="8">
        <f>K107+N107*'Prestige Patterns'!$B$20</f>
        <v>12719067786</v>
      </c>
      <c r="L108" s="2">
        <f>IF(J107&gt;='Prestige Patterns'!$B$28,IF(J107/(H107+1)&gt;('Prestige Patterns'!$B$27+1),L107+1,L107),L107)</f>
        <v>3</v>
      </c>
      <c r="N108">
        <f t="shared" si="0"/>
        <v>46284.799999999996</v>
      </c>
      <c r="O108" s="3">
        <f>'Prestige Patterns'!$B$4*E108</f>
        <v>20</v>
      </c>
      <c r="P108">
        <f t="shared" si="3"/>
        <v>512</v>
      </c>
      <c r="Q108" s="5"/>
      <c r="R108" s="5"/>
      <c r="S108" s="3">
        <v>107</v>
      </c>
      <c r="T108" s="5"/>
    </row>
    <row r="109" spans="1:20" ht="12">
      <c r="A109" s="1"/>
      <c r="B109" s="1"/>
      <c r="C109" s="2">
        <f>(S109*'Prestige Patterns'!$B$20)/60</f>
        <v>54</v>
      </c>
      <c r="D109" s="2">
        <f>IF(L108=L109,N108*'Prestige Patterns'!$B$20+D108-F109,0)</f>
        <v>1393765.5347871978</v>
      </c>
      <c r="E109" s="3">
        <f t="shared" si="1"/>
        <v>200</v>
      </c>
      <c r="F109" s="8">
        <f>'Prestige Patterns'!$B$5*('Prestige Patterns'!$B$6^E108-'Prestige Patterns'!$B$6^(E108+G109))/(1-'Prestige Patterns'!$B$6)</f>
        <v>1383322.4652128017</v>
      </c>
      <c r="G109" s="8">
        <f>FLOOR(LOG('Prestige Patterns'!$B$6^(E108) - (D108*(1-'Prestige Patterns'!$B$6)/'Prestige Patterns'!$B$5),'Prestige Patterns'!$B$6)-E108,1)</f>
        <v>199</v>
      </c>
      <c r="H109">
        <f t="shared" si="2"/>
        <v>352</v>
      </c>
      <c r="I109" s="5">
        <f>1+H109*'Prestige Patterns'!$B$25</f>
        <v>4.5199999999999996</v>
      </c>
      <c r="J109">
        <f>FLOOR((K109/'Prestige Patterns'!$B$22)^'Prestige Patterns'!$B$23,1)-H108</f>
        <v>4</v>
      </c>
      <c r="K109" s="8">
        <f>K108+N108*'Prestige Patterns'!$B$20</f>
        <v>12720456330</v>
      </c>
      <c r="L109" s="2">
        <f>IF(J108&gt;='Prestige Patterns'!$B$28,IF(J108/(H108+1)&gt;('Prestige Patterns'!$B$27+1),L108+1,L108),L108)</f>
        <v>3</v>
      </c>
      <c r="N109">
        <f t="shared" si="0"/>
        <v>1157120</v>
      </c>
      <c r="O109" s="3">
        <f>'Prestige Patterns'!$B$4*E109</f>
        <v>4000</v>
      </c>
      <c r="P109">
        <f t="shared" si="3"/>
        <v>64</v>
      </c>
      <c r="Q109" s="5"/>
      <c r="R109" s="5"/>
      <c r="S109" s="3">
        <v>108</v>
      </c>
      <c r="T109" s="5"/>
    </row>
    <row r="110" spans="1:20" ht="12">
      <c r="A110" s="1"/>
      <c r="B110" s="1"/>
      <c r="C110" s="2">
        <f>(S110*'Prestige Patterns'!$B$20)/60</f>
        <v>54.5</v>
      </c>
      <c r="D110" s="2">
        <f>IF(L109=L110,N109*'Prestige Patterns'!$B$20+D109-F110,0)</f>
        <v>34751721.824656419</v>
      </c>
      <c r="E110" s="3">
        <f t="shared" si="1"/>
        <v>214</v>
      </c>
      <c r="F110" s="8">
        <f>'Prestige Patterns'!$B$5*('Prestige Patterns'!$B$6^E109-'Prestige Patterns'!$B$6^(E109+G110))/(1-'Prestige Patterns'!$B$6)</f>
        <v>1355643.7101307837</v>
      </c>
      <c r="G110" s="8">
        <f>FLOOR(LOG('Prestige Patterns'!$B$6^(E109) - (D109*(1-'Prestige Patterns'!$B$6)/'Prestige Patterns'!$B$5),'Prestige Patterns'!$B$6)-E109,1)</f>
        <v>14</v>
      </c>
      <c r="H110">
        <f t="shared" si="2"/>
        <v>352</v>
      </c>
      <c r="I110" s="5">
        <f>1+H110*'Prestige Patterns'!$B$25</f>
        <v>4.5199999999999996</v>
      </c>
      <c r="J110">
        <f>FLOOR((K110/'Prestige Patterns'!$B$22)^'Prestige Patterns'!$B$23,1)-H109</f>
        <v>5</v>
      </c>
      <c r="K110" s="8">
        <f>K109+N109*'Prestige Patterns'!$B$20</f>
        <v>12755169930</v>
      </c>
      <c r="L110" s="2">
        <f>IF(J109&gt;='Prestige Patterns'!$B$28,IF(J109/(H109+1)&gt;('Prestige Patterns'!$B$27+1),L109+1,L109),L109)</f>
        <v>3</v>
      </c>
      <c r="N110">
        <f t="shared" si="0"/>
        <v>1238118.3999999999</v>
      </c>
      <c r="O110" s="3">
        <f>'Prestige Patterns'!$B$4*E110</f>
        <v>4280</v>
      </c>
      <c r="P110">
        <f t="shared" si="3"/>
        <v>64</v>
      </c>
      <c r="Q110" s="5"/>
      <c r="R110" s="5"/>
      <c r="S110" s="3">
        <v>109</v>
      </c>
      <c r="T110" s="5"/>
    </row>
    <row r="111" spans="1:20" ht="12">
      <c r="A111" s="1"/>
      <c r="B111" s="1"/>
      <c r="C111" s="2">
        <f>(S111*'Prestige Patterns'!$B$20)/60</f>
        <v>55</v>
      </c>
      <c r="D111" s="2">
        <f>IF(L110=L111,N110*'Prestige Patterns'!$B$20+D110-F111,0)</f>
        <v>38273573.498632327</v>
      </c>
      <c r="E111" s="3">
        <f t="shared" si="1"/>
        <v>267</v>
      </c>
      <c r="F111" s="8">
        <f>'Prestige Patterns'!$B$5*('Prestige Patterns'!$B$6^E110-'Prestige Patterns'!$B$6^(E110+G111))/(1-'Prestige Patterns'!$B$6)</f>
        <v>33621700.3260241</v>
      </c>
      <c r="G111" s="8">
        <f>FLOOR(LOG('Prestige Patterns'!$B$6^(E110) - (D110*(1-'Prestige Patterns'!$B$6)/'Prestige Patterns'!$B$5),'Prestige Patterns'!$B$6)-E110,1)</f>
        <v>53</v>
      </c>
      <c r="H111">
        <f t="shared" si="2"/>
        <v>352</v>
      </c>
      <c r="I111" s="5">
        <f>1+H111*'Prestige Patterns'!$B$25</f>
        <v>4.5199999999999996</v>
      </c>
      <c r="J111">
        <f>FLOOR((K111/'Prestige Patterns'!$B$22)^'Prestige Patterns'!$B$23,1)-H110</f>
        <v>5</v>
      </c>
      <c r="K111" s="8">
        <f>K110+N110*'Prestige Patterns'!$B$20</f>
        <v>12792313482</v>
      </c>
      <c r="L111" s="2">
        <f>IF(J110&gt;='Prestige Patterns'!$B$28,IF(J110/(H110+1)&gt;('Prestige Patterns'!$B$27+1),L110+1,L110),L110)</f>
        <v>3</v>
      </c>
      <c r="N111">
        <f t="shared" si="0"/>
        <v>1544755.2</v>
      </c>
      <c r="O111" s="3">
        <f>'Prestige Patterns'!$B$4*E111</f>
        <v>5340</v>
      </c>
      <c r="P111">
        <f t="shared" si="3"/>
        <v>64</v>
      </c>
      <c r="Q111" s="5"/>
      <c r="R111" s="5"/>
      <c r="S111" s="3">
        <v>110</v>
      </c>
      <c r="T111" s="5"/>
    </row>
    <row r="112" spans="1:20" ht="12">
      <c r="A112" s="1"/>
      <c r="B112" s="1"/>
      <c r="C112" s="2">
        <f>(S112*'Prestige Patterns'!$B$20)/60</f>
        <v>55.5</v>
      </c>
      <c r="D112" s="2">
        <f>IF(L111=L112,N111*'Prestige Patterns'!$B$20+D111-F112,0)</f>
        <v>48985181.103010207</v>
      </c>
      <c r="E112" s="3">
        <f t="shared" si="1"/>
        <v>281</v>
      </c>
      <c r="F112" s="8">
        <f>'Prestige Patterns'!$B$5*('Prestige Patterns'!$B$6^E111-'Prestige Patterns'!$B$6^(E111+G112))/(1-'Prestige Patterns'!$B$6)</f>
        <v>35631048.395622119</v>
      </c>
      <c r="G112" s="8">
        <f>FLOOR(LOG('Prestige Patterns'!$B$6^(E111) - (D111*(1-'Prestige Patterns'!$B$6)/'Prestige Patterns'!$B$5),'Prestige Patterns'!$B$6)-E111,1)</f>
        <v>14</v>
      </c>
      <c r="H112">
        <f t="shared" si="2"/>
        <v>352</v>
      </c>
      <c r="I112" s="5">
        <f>1+H112*'Prestige Patterns'!$B$25</f>
        <v>4.5199999999999996</v>
      </c>
      <c r="J112">
        <f>FLOOR((K112/'Prestige Patterns'!$B$22)^'Prestige Patterns'!$B$23,1)-H111</f>
        <v>6</v>
      </c>
      <c r="K112" s="8">
        <f>K111+N111*'Prestige Patterns'!$B$20</f>
        <v>12838656138</v>
      </c>
      <c r="L112" s="2">
        <f>IF(J111&gt;='Prestige Patterns'!$B$28,IF(J111/(H111+1)&gt;('Prestige Patterns'!$B$27+1),L111+1,L111),L111)</f>
        <v>3</v>
      </c>
      <c r="N112">
        <f t="shared" si="0"/>
        <v>1625753.5999999999</v>
      </c>
      <c r="O112" s="3">
        <f>'Prestige Patterns'!$B$4*E112</f>
        <v>5620</v>
      </c>
      <c r="P112">
        <f t="shared" si="3"/>
        <v>64</v>
      </c>
      <c r="Q112" s="5"/>
      <c r="R112" s="5"/>
      <c r="S112" s="3">
        <v>111</v>
      </c>
      <c r="T112" s="5"/>
    </row>
    <row r="113" spans="1:20" ht="12">
      <c r="A113" s="1"/>
      <c r="B113" s="1"/>
      <c r="C113" s="2">
        <f>(S113*'Prestige Patterns'!$B$20)/60</f>
        <v>56</v>
      </c>
      <c r="D113" s="2">
        <f>IF(L112=L113,N112*'Prestige Patterns'!$B$20+D112-F113,0)</f>
        <v>52482533.604651146</v>
      </c>
      <c r="E113" s="3">
        <f t="shared" si="1"/>
        <v>291</v>
      </c>
      <c r="F113" s="8">
        <f>'Prestige Patterns'!$B$5*('Prestige Patterns'!$B$6^E112-'Prestige Patterns'!$B$6^(E112+G113))/(1-'Prestige Patterns'!$B$6)</f>
        <v>45275255.498359062</v>
      </c>
      <c r="G113" s="8">
        <f>FLOOR(LOG('Prestige Patterns'!$B$6^(E112) - (D112*(1-'Prestige Patterns'!$B$6)/'Prestige Patterns'!$B$5),'Prestige Patterns'!$B$6)-E112,1)</f>
        <v>10</v>
      </c>
      <c r="H113">
        <f t="shared" si="2"/>
        <v>352</v>
      </c>
      <c r="I113" s="5">
        <f>1+H113*'Prestige Patterns'!$B$25</f>
        <v>4.5199999999999996</v>
      </c>
      <c r="J113">
        <f>FLOOR((K113/'Prestige Patterns'!$B$22)^'Prestige Patterns'!$B$23,1)-H112</f>
        <v>6</v>
      </c>
      <c r="K113" s="8">
        <f>K112+N112*'Prestige Patterns'!$B$20</f>
        <v>12887428746</v>
      </c>
      <c r="L113" s="2">
        <f>IF(J112&gt;='Prestige Patterns'!$B$28,IF(J112/(H112+1)&gt;('Prestige Patterns'!$B$27+1),L112+1,L112),L112)</f>
        <v>3</v>
      </c>
      <c r="N113">
        <f t="shared" si="0"/>
        <v>1683609.5999999999</v>
      </c>
      <c r="O113" s="3">
        <f>'Prestige Patterns'!$B$4*E113</f>
        <v>5820</v>
      </c>
      <c r="P113">
        <f t="shared" si="3"/>
        <v>64</v>
      </c>
      <c r="Q113" s="5"/>
      <c r="R113" s="5"/>
      <c r="S113" s="3">
        <v>112</v>
      </c>
      <c r="T113" s="5"/>
    </row>
    <row r="114" spans="1:20" ht="12">
      <c r="A114" s="1"/>
      <c r="B114" s="1"/>
      <c r="C114" s="2">
        <f>(S114*'Prestige Patterns'!$B$20)/60</f>
        <v>56.5</v>
      </c>
      <c r="D114" s="2">
        <f>IF(L113=L114,N113*'Prestige Patterns'!$B$20+D113-F114,0)</f>
        <v>55251354.196651176</v>
      </c>
      <c r="E114" s="3">
        <f t="shared" si="1"/>
        <v>298</v>
      </c>
      <c r="F114" s="8">
        <f>'Prestige Patterns'!$B$5*('Prestige Patterns'!$B$6^E113-'Prestige Patterns'!$B$6^(E113+G114))/(1-'Prestige Patterns'!$B$6)</f>
        <v>47739467.407999963</v>
      </c>
      <c r="G114" s="8">
        <f>FLOOR(LOG('Prestige Patterns'!$B$6^(E113) - (D113*(1-'Prestige Patterns'!$B$6)/'Prestige Patterns'!$B$5),'Prestige Patterns'!$B$6)-E113,1)</f>
        <v>7</v>
      </c>
      <c r="H114">
        <f t="shared" si="2"/>
        <v>352</v>
      </c>
      <c r="I114" s="5">
        <f>1+H114*'Prestige Patterns'!$B$25</f>
        <v>4.5199999999999996</v>
      </c>
      <c r="J114">
        <f>FLOOR((K114/'Prestige Patterns'!$B$22)^'Prestige Patterns'!$B$23,1)-H113</f>
        <v>7</v>
      </c>
      <c r="K114" s="8">
        <f>K113+N113*'Prestige Patterns'!$B$20</f>
        <v>12937937034</v>
      </c>
      <c r="L114" s="2">
        <f>IF(J113&gt;='Prestige Patterns'!$B$28,IF(J113/(H113+1)&gt;('Prestige Patterns'!$B$27+1),L113+1,L113),L113)</f>
        <v>3</v>
      </c>
      <c r="N114">
        <f t="shared" si="0"/>
        <v>1724108.7999999998</v>
      </c>
      <c r="O114" s="3">
        <f>'Prestige Patterns'!$B$4*E114</f>
        <v>5960</v>
      </c>
      <c r="P114">
        <f t="shared" si="3"/>
        <v>64</v>
      </c>
      <c r="Q114" s="5"/>
      <c r="R114" s="5"/>
      <c r="S114" s="3">
        <v>113</v>
      </c>
      <c r="T114" s="5"/>
    </row>
    <row r="115" spans="1:20" ht="12">
      <c r="A115" s="1"/>
      <c r="B115" s="1"/>
      <c r="C115" s="2">
        <f>(S115*'Prestige Patterns'!$B$20)/60</f>
        <v>57</v>
      </c>
      <c r="D115" s="2">
        <f>IF(L114=L115,N114*'Prestige Patterns'!$B$20+D114-F115,0)</f>
        <v>61386358.530131571</v>
      </c>
      <c r="E115" s="3">
        <f t="shared" si="1"/>
        <v>303</v>
      </c>
      <c r="F115" s="8">
        <f>'Prestige Patterns'!$B$5*('Prestige Patterns'!$B$6^E114-'Prestige Patterns'!$B$6^(E114+G115))/(1-'Prestige Patterns'!$B$6)</f>
        <v>45588259.66651959</v>
      </c>
      <c r="G115" s="8">
        <f>FLOOR(LOG('Prestige Patterns'!$B$6^(E114) - (D114*(1-'Prestige Patterns'!$B$6)/'Prestige Patterns'!$B$5),'Prestige Patterns'!$B$6)-E114,1)</f>
        <v>5</v>
      </c>
      <c r="H115">
        <f t="shared" si="2"/>
        <v>352</v>
      </c>
      <c r="I115" s="5">
        <f>1+H115*'Prestige Patterns'!$B$25</f>
        <v>4.5199999999999996</v>
      </c>
      <c r="J115">
        <f>FLOOR((K115/'Prestige Patterns'!$B$22)^'Prestige Patterns'!$B$23,1)-H114</f>
        <v>8</v>
      </c>
      <c r="K115" s="8">
        <f>K114+N114*'Prestige Patterns'!$B$20</f>
        <v>12989660298</v>
      </c>
      <c r="L115" s="2">
        <f>IF(J114&gt;='Prestige Patterns'!$B$28,IF(J114/(H114+1)&gt;('Prestige Patterns'!$B$27+1),L114+1,L114),L114)</f>
        <v>3</v>
      </c>
      <c r="N115">
        <f t="shared" si="0"/>
        <v>14024294.399999999</v>
      </c>
      <c r="O115" s="3">
        <f>'Prestige Patterns'!$B$4*E115</f>
        <v>6060</v>
      </c>
      <c r="P115">
        <f t="shared" si="3"/>
        <v>512</v>
      </c>
      <c r="Q115" s="5"/>
      <c r="R115" s="5"/>
      <c r="S115" s="3">
        <v>114</v>
      </c>
      <c r="T115" s="5"/>
    </row>
    <row r="116" spans="1:20" ht="12">
      <c r="A116" s="1"/>
      <c r="B116" s="1"/>
      <c r="C116" s="2">
        <f>(S116*'Prestige Patterns'!$B$20)/60</f>
        <v>57.5</v>
      </c>
      <c r="D116" s="2">
        <f>IF(L115=L116,N115*'Prestige Patterns'!$B$20+D115-F116,0)</f>
        <v>423931735.25129026</v>
      </c>
      <c r="E116" s="3">
        <f t="shared" si="1"/>
        <v>308</v>
      </c>
      <c r="F116" s="8">
        <f>'Prestige Patterns'!$B$5*('Prestige Patterns'!$B$6^E115-'Prestige Patterns'!$B$6^(E115+G116))/(1-'Prestige Patterns'!$B$6)</f>
        <v>58183455.278841279</v>
      </c>
      <c r="G116" s="8">
        <f>FLOOR(LOG('Prestige Patterns'!$B$6^(E115) - (D115*(1-'Prestige Patterns'!$B$6)/'Prestige Patterns'!$B$5),'Prestige Patterns'!$B$6)-E115,1)</f>
        <v>5</v>
      </c>
      <c r="H116">
        <f t="shared" si="2"/>
        <v>352</v>
      </c>
      <c r="I116" s="5">
        <f>1+H116*'Prestige Patterns'!$B$25</f>
        <v>4.5199999999999996</v>
      </c>
      <c r="J116">
        <f>FLOOR((K116/'Prestige Patterns'!$B$22)^'Prestige Patterns'!$B$23,1)-H115</f>
        <v>14</v>
      </c>
      <c r="K116" s="8">
        <f>K115+N115*'Prestige Patterns'!$B$20</f>
        <v>13410389130</v>
      </c>
      <c r="L116" s="2">
        <f>IF(J115&gt;='Prestige Patterns'!$B$28,IF(J115/(H115+1)&gt;('Prestige Patterns'!$B$27+1),L115+1,L115),L115)</f>
        <v>3</v>
      </c>
      <c r="N116">
        <f t="shared" si="0"/>
        <v>14255718.399999999</v>
      </c>
      <c r="O116" s="3">
        <f>'Prestige Patterns'!$B$4*E116</f>
        <v>6160</v>
      </c>
      <c r="P116">
        <f t="shared" si="3"/>
        <v>512</v>
      </c>
      <c r="Q116" s="5"/>
      <c r="R116" s="5"/>
      <c r="S116" s="3">
        <v>115</v>
      </c>
      <c r="T116" s="5"/>
    </row>
    <row r="117" spans="1:20" ht="12">
      <c r="A117" s="1"/>
      <c r="B117" s="1"/>
      <c r="C117" s="2">
        <f>(S117*'Prestige Patterns'!$B$20)/60</f>
        <v>58</v>
      </c>
      <c r="D117" s="2">
        <f>IF(L116=L117,N116*'Prestige Patterns'!$B$20+D116-F117,0)</f>
        <v>441192306.1351282</v>
      </c>
      <c r="E117" s="3">
        <f t="shared" si="1"/>
        <v>327</v>
      </c>
      <c r="F117" s="8">
        <f>'Prestige Patterns'!$B$5*('Prestige Patterns'!$B$6^E116-'Prestige Patterns'!$B$6^(E116+G117))/(1-'Prestige Patterns'!$B$6)</f>
        <v>410410981.116162</v>
      </c>
      <c r="G117" s="8">
        <f>FLOOR(LOG('Prestige Patterns'!$B$6^(E116) - (D116*(1-'Prestige Patterns'!$B$6)/'Prestige Patterns'!$B$5),'Prestige Patterns'!$B$6)-E116,1)</f>
        <v>19</v>
      </c>
      <c r="H117">
        <f t="shared" si="2"/>
        <v>352</v>
      </c>
      <c r="I117" s="5">
        <f>1+H117*'Prestige Patterns'!$B$25</f>
        <v>4.5199999999999996</v>
      </c>
      <c r="J117">
        <f>FLOOR((K117/'Prestige Patterns'!$B$22)^'Prestige Patterns'!$B$23,1)-H116</f>
        <v>19</v>
      </c>
      <c r="K117" s="8">
        <f>K116+N116*'Prestige Patterns'!$B$20</f>
        <v>13838060682</v>
      </c>
      <c r="L117" s="2">
        <f>IF(J116&gt;='Prestige Patterns'!$B$28,IF(J116/(H116+1)&gt;('Prestige Patterns'!$B$27+1),L116+1,L116),L116)</f>
        <v>3</v>
      </c>
      <c r="N117">
        <f t="shared" si="0"/>
        <v>15135129.599999998</v>
      </c>
      <c r="O117" s="3">
        <f>'Prestige Patterns'!$B$4*E117</f>
        <v>6540</v>
      </c>
      <c r="P117">
        <f t="shared" si="3"/>
        <v>512</v>
      </c>
      <c r="Q117" s="5"/>
      <c r="R117" s="5"/>
      <c r="S117" s="3">
        <v>116</v>
      </c>
      <c r="T117" s="5"/>
    </row>
    <row r="118" spans="1:20" ht="12">
      <c r="A118" s="1"/>
      <c r="B118" s="1"/>
      <c r="C118" s="2">
        <f>(S118*'Prestige Patterns'!$B$20)/60</f>
        <v>58.5</v>
      </c>
      <c r="D118" s="2">
        <f>IF(L117=L118,N117*'Prestige Patterns'!$B$20+D117-F118,0)</f>
        <v>468107744.45473713</v>
      </c>
      <c r="E118" s="3">
        <f t="shared" si="1"/>
        <v>337</v>
      </c>
      <c r="F118" s="8">
        <f>'Prestige Patterns'!$B$5*('Prestige Patterns'!$B$6^E117-'Prestige Patterns'!$B$6^(E117+G118))/(1-'Prestige Patterns'!$B$6)</f>
        <v>427138449.68039101</v>
      </c>
      <c r="G118" s="8">
        <f>FLOOR(LOG('Prestige Patterns'!$B$6^(E117) - (D117*(1-'Prestige Patterns'!$B$6)/'Prestige Patterns'!$B$5),'Prestige Patterns'!$B$6)-E117,1)</f>
        <v>10</v>
      </c>
      <c r="H118">
        <f t="shared" si="2"/>
        <v>352</v>
      </c>
      <c r="I118" s="5">
        <f>1+H118*'Prestige Patterns'!$B$25</f>
        <v>4.5199999999999996</v>
      </c>
      <c r="J118">
        <f>FLOOR((K118/'Prestige Patterns'!$B$22)^'Prestige Patterns'!$B$23,1)-H117</f>
        <v>26</v>
      </c>
      <c r="K118" s="8">
        <f>K117+N117*'Prestige Patterns'!$B$20</f>
        <v>14292114570</v>
      </c>
      <c r="L118" s="2">
        <f>IF(J117&gt;='Prestige Patterns'!$B$28,IF(J117/(H117+1)&gt;('Prestige Patterns'!$B$27+1),L117+1,L117),L117)</f>
        <v>3</v>
      </c>
      <c r="N118">
        <f t="shared" si="0"/>
        <v>15597977.599999998</v>
      </c>
      <c r="O118" s="3">
        <f>'Prestige Patterns'!$B$4*E118</f>
        <v>6740</v>
      </c>
      <c r="P118">
        <f t="shared" si="3"/>
        <v>512</v>
      </c>
      <c r="Q118" s="5"/>
      <c r="R118" s="5"/>
      <c r="S118" s="3">
        <v>117</v>
      </c>
      <c r="T118" s="5"/>
    </row>
    <row r="119" spans="1:20" ht="12">
      <c r="A119" s="1"/>
      <c r="B119" s="1"/>
      <c r="C119" s="2">
        <f>(S119*'Prestige Patterns'!$B$20)/60</f>
        <v>59</v>
      </c>
      <c r="D119" s="2">
        <f>IF(L118=L119,N118*'Prestige Patterns'!$B$20+D118-F119,0)</f>
        <v>485660611.40075749</v>
      </c>
      <c r="E119" s="3">
        <f t="shared" si="1"/>
        <v>344</v>
      </c>
      <c r="F119" s="8">
        <f>'Prestige Patterns'!$B$5*('Prestige Patterns'!$B$6^E118-'Prestige Patterns'!$B$6^(E118+G119))/(1-'Prestige Patterns'!$B$6)</f>
        <v>450386461.05397958</v>
      </c>
      <c r="G119" s="8">
        <f>FLOOR(LOG('Prestige Patterns'!$B$6^(E118) - (D118*(1-'Prestige Patterns'!$B$6)/'Prestige Patterns'!$B$5),'Prestige Patterns'!$B$6)-E118,1)</f>
        <v>7</v>
      </c>
      <c r="H119">
        <f t="shared" si="2"/>
        <v>352</v>
      </c>
      <c r="I119" s="5">
        <f>1+H119*'Prestige Patterns'!$B$25</f>
        <v>4.5199999999999996</v>
      </c>
      <c r="J119">
        <f>FLOOR((K119/'Prestige Patterns'!$B$22)^'Prestige Patterns'!$B$23,1)-H118</f>
        <v>32</v>
      </c>
      <c r="K119" s="8">
        <f>K118+N118*'Prestige Patterns'!$B$20</f>
        <v>14760053898</v>
      </c>
      <c r="L119" s="2">
        <f>IF(J118&gt;='Prestige Patterns'!$B$28,IF(J118/(H118+1)&gt;('Prestige Patterns'!$B$27+1),L118+1,L118),L118)</f>
        <v>3</v>
      </c>
      <c r="N119">
        <f t="shared" si="0"/>
        <v>15921971.199999999</v>
      </c>
      <c r="O119" s="3">
        <f>'Prestige Patterns'!$B$4*E119</f>
        <v>6880</v>
      </c>
      <c r="P119">
        <f t="shared" si="3"/>
        <v>512</v>
      </c>
      <c r="Q119" s="5"/>
      <c r="R119" s="5"/>
      <c r="S119" s="3">
        <v>118</v>
      </c>
      <c r="T119" s="5"/>
    </row>
    <row r="120" spans="1:20" ht="12">
      <c r="A120" s="1"/>
      <c r="B120" s="1"/>
      <c r="C120" s="2">
        <f>(S120*'Prestige Patterns'!$B$20)/60</f>
        <v>59.5</v>
      </c>
      <c r="D120" s="2">
        <f>IF(L119=L120,N119*'Prestige Patterns'!$B$20+D119-F120,0)</f>
        <v>533228335.58553243</v>
      </c>
      <c r="E120" s="3">
        <f t="shared" si="1"/>
        <v>349</v>
      </c>
      <c r="F120" s="8">
        <f>'Prestige Patterns'!$B$5*('Prestige Patterns'!$B$6^E119-'Prestige Patterns'!$B$6^(E119+G120))/(1-'Prestige Patterns'!$B$6)</f>
        <v>430091411.81522512</v>
      </c>
      <c r="G120" s="8">
        <f>FLOOR(LOG('Prestige Patterns'!$B$6^(E119) - (D119*(1-'Prestige Patterns'!$B$6)/'Prestige Patterns'!$B$5),'Prestige Patterns'!$B$6)-E119,1)</f>
        <v>5</v>
      </c>
      <c r="H120">
        <f t="shared" si="2"/>
        <v>352</v>
      </c>
      <c r="I120" s="5">
        <f>1+H120*'Prestige Patterns'!$B$25</f>
        <v>4.5199999999999996</v>
      </c>
      <c r="J120">
        <f>FLOOR((K120/'Prestige Patterns'!$B$22)^'Prestige Patterns'!$B$23,1)-H119</f>
        <v>38</v>
      </c>
      <c r="K120" s="8">
        <f>K119+N119*'Prestige Patterns'!$B$20</f>
        <v>15237713034</v>
      </c>
      <c r="L120" s="2">
        <f>IF(J119&gt;='Prestige Patterns'!$B$28,IF(J119/(H119+1)&gt;('Prestige Patterns'!$B$27+1),L119+1,L119),L119)</f>
        <v>3</v>
      </c>
      <c r="N120">
        <f t="shared" si="0"/>
        <v>16153395.199999999</v>
      </c>
      <c r="O120" s="3">
        <f>'Prestige Patterns'!$B$4*E120</f>
        <v>6980</v>
      </c>
      <c r="P120">
        <f t="shared" si="3"/>
        <v>512</v>
      </c>
      <c r="Q120" s="5"/>
      <c r="R120" s="5"/>
      <c r="S120" s="3">
        <v>119</v>
      </c>
      <c r="T120" s="5"/>
    </row>
    <row r="121" spans="1:20" ht="12">
      <c r="A121" s="1"/>
      <c r="B121" s="1"/>
      <c r="C121" s="2">
        <f>(S121*'Prestige Patterns'!$B$20)/60</f>
        <v>60</v>
      </c>
      <c r="D121" s="2">
        <f>IF(L120=L121,N120*'Prestige Patterns'!$B$20+D120-F121,0)</f>
        <v>589661180.09158707</v>
      </c>
      <c r="E121" s="3">
        <f t="shared" si="1"/>
        <v>353</v>
      </c>
      <c r="F121" s="8">
        <f>'Prestige Patterns'!$B$5*('Prestige Patterns'!$B$6^E120-'Prestige Patterns'!$B$6^(E120+G121))/(1-'Prestige Patterns'!$B$6)</f>
        <v>428169011.49394536</v>
      </c>
      <c r="G121" s="8">
        <f>FLOOR(LOG('Prestige Patterns'!$B$6^(E120) - (D120*(1-'Prestige Patterns'!$B$6)/'Prestige Patterns'!$B$5),'Prestige Patterns'!$B$6)-E120,1)</f>
        <v>4</v>
      </c>
      <c r="H121">
        <f t="shared" si="2"/>
        <v>352</v>
      </c>
      <c r="I121" s="5">
        <f>1+H121*'Prestige Patterns'!$B$25</f>
        <v>4.5199999999999996</v>
      </c>
      <c r="J121">
        <f>FLOOR((K121/'Prestige Patterns'!$B$22)^'Prestige Patterns'!$B$23,1)-H120</f>
        <v>44</v>
      </c>
      <c r="K121" s="8">
        <f>K120+N120*'Prestige Patterns'!$B$20</f>
        <v>15722314890</v>
      </c>
      <c r="L121" s="2">
        <f>IF(J120&gt;='Prestige Patterns'!$B$28,IF(J120/(H120+1)&gt;('Prestige Patterns'!$B$27+1),L120+1,L120),L120)</f>
        <v>3</v>
      </c>
      <c r="N121">
        <f t="shared" si="0"/>
        <v>16338534.399999999</v>
      </c>
      <c r="O121" s="3">
        <f>'Prestige Patterns'!$B$4*E121</f>
        <v>7060</v>
      </c>
      <c r="P121">
        <f t="shared" si="3"/>
        <v>512</v>
      </c>
      <c r="Q121" s="5"/>
      <c r="R121" s="5"/>
      <c r="S121" s="3">
        <v>120</v>
      </c>
      <c r="T121" s="5"/>
    </row>
    <row r="122" spans="1:20" ht="12">
      <c r="A122" s="1"/>
      <c r="B122" s="1"/>
      <c r="C122" s="2">
        <f>(S122*'Prestige Patterns'!$B$20)/60</f>
        <v>60.5</v>
      </c>
      <c r="D122" s="2">
        <f>IF(L121=L122,N121*'Prestige Patterns'!$B$20+D121-F122,0)</f>
        <v>559375102.56437457</v>
      </c>
      <c r="E122" s="3">
        <f t="shared" si="1"/>
        <v>357</v>
      </c>
      <c r="F122" s="8">
        <f>'Prestige Patterns'!$B$5*('Prestige Patterns'!$B$6^E121-'Prestige Patterns'!$B$6^(E121+G122))/(1-'Prestige Patterns'!$B$6)</f>
        <v>520442109.5272125</v>
      </c>
      <c r="G122" s="8">
        <f>FLOOR(LOG('Prestige Patterns'!$B$6^(E121) - (D121*(1-'Prestige Patterns'!$B$6)/'Prestige Patterns'!$B$5),'Prestige Patterns'!$B$6)-E121,1)</f>
        <v>4</v>
      </c>
      <c r="H122">
        <f t="shared" si="2"/>
        <v>352</v>
      </c>
      <c r="I122" s="5">
        <f>1+H122*'Prestige Patterns'!$B$25</f>
        <v>4.5199999999999996</v>
      </c>
      <c r="J122">
        <f>FLOOR((K122/'Prestige Patterns'!$B$22)^'Prestige Patterns'!$B$23,1)-H121</f>
        <v>50</v>
      </c>
      <c r="K122" s="8">
        <f>K121+N121*'Prestige Patterns'!$B$20</f>
        <v>16212470922</v>
      </c>
      <c r="L122" s="2">
        <f>IF(J121&gt;='Prestige Patterns'!$B$28,IF(J121/(H121+1)&gt;('Prestige Patterns'!$B$27+1),L121+1,L121),L121)</f>
        <v>3</v>
      </c>
      <c r="N122">
        <f t="shared" si="0"/>
        <v>16523673.599999998</v>
      </c>
      <c r="O122" s="3">
        <f>'Prestige Patterns'!$B$4*E122</f>
        <v>7140</v>
      </c>
      <c r="P122">
        <f t="shared" si="3"/>
        <v>512</v>
      </c>
      <c r="Q122" s="5"/>
      <c r="R122" s="5"/>
      <c r="S122" s="3">
        <v>121</v>
      </c>
      <c r="T122" s="5"/>
    </row>
    <row r="123" spans="1:20" ht="12">
      <c r="A123" s="1"/>
      <c r="B123" s="1"/>
      <c r="C123" s="2">
        <f>(S123*'Prestige Patterns'!$B$20)/60</f>
        <v>61</v>
      </c>
      <c r="D123" s="2">
        <f>IF(L122=L123,N122*'Prestige Patterns'!$B$20+D122-F123,0)</f>
        <v>592390259.30558443</v>
      </c>
      <c r="E123" s="3">
        <f t="shared" si="1"/>
        <v>360</v>
      </c>
      <c r="F123" s="8">
        <f>'Prestige Patterns'!$B$5*('Prestige Patterns'!$B$6^E122-'Prestige Patterns'!$B$6^(E122+G123))/(1-'Prestige Patterns'!$B$6)</f>
        <v>462695051.25879008</v>
      </c>
      <c r="G123" s="8">
        <f>FLOOR(LOG('Prestige Patterns'!$B$6^(E122) - (D122*(1-'Prestige Patterns'!$B$6)/'Prestige Patterns'!$B$5),'Prestige Patterns'!$B$6)-E122,1)</f>
        <v>3</v>
      </c>
      <c r="H123">
        <f t="shared" si="2"/>
        <v>352</v>
      </c>
      <c r="I123" s="5">
        <f>1+H123*'Prestige Patterns'!$B$25</f>
        <v>4.5199999999999996</v>
      </c>
      <c r="J123">
        <f>FLOOR((K123/'Prestige Patterns'!$B$22)^'Prestige Patterns'!$B$23,1)-H122</f>
        <v>56</v>
      </c>
      <c r="K123" s="8">
        <f>K122+N122*'Prestige Patterns'!$B$20</f>
        <v>16708181130</v>
      </c>
      <c r="L123" s="2">
        <f>IF(J122&gt;='Prestige Patterns'!$B$28,IF(J122/(H122+1)&gt;('Prestige Patterns'!$B$27+1),L122+1,L122),L122)</f>
        <v>3</v>
      </c>
      <c r="N123">
        <f t="shared" si="0"/>
        <v>16662527.999999998</v>
      </c>
      <c r="O123" s="3">
        <f>'Prestige Patterns'!$B$4*E123</f>
        <v>7200</v>
      </c>
      <c r="P123">
        <f t="shared" si="3"/>
        <v>512</v>
      </c>
      <c r="Q123" s="5"/>
      <c r="R123" s="5"/>
      <c r="S123" s="3">
        <v>122</v>
      </c>
      <c r="T123" s="5"/>
    </row>
    <row r="124" spans="1:20" ht="12">
      <c r="A124" s="1"/>
      <c r="B124" s="1"/>
      <c r="C124" s="2">
        <f>(S124*'Prestige Patterns'!$B$20)/60</f>
        <v>61.5</v>
      </c>
      <c r="D124" s="2">
        <f>IF(L123=L124,N123*'Prestige Patterns'!$B$20+D123-F124,0)</f>
        <v>556638740.59212613</v>
      </c>
      <c r="E124" s="3">
        <f t="shared" si="1"/>
        <v>363</v>
      </c>
      <c r="F124" s="8">
        <f>'Prestige Patterns'!$B$5*('Prestige Patterns'!$B$6^E123-'Prestige Patterns'!$B$6^(E123+G124))/(1-'Prestige Patterns'!$B$6)</f>
        <v>535627358.7134583</v>
      </c>
      <c r="G124" s="8">
        <f>FLOOR(LOG('Prestige Patterns'!$B$6^(E123) - (D123*(1-'Prestige Patterns'!$B$6)/'Prestige Patterns'!$B$5),'Prestige Patterns'!$B$6)-E123,1)</f>
        <v>3</v>
      </c>
      <c r="H124">
        <f t="shared" si="2"/>
        <v>352</v>
      </c>
      <c r="I124" s="5">
        <f>1+H124*'Prestige Patterns'!$B$25</f>
        <v>4.5199999999999996</v>
      </c>
      <c r="J124">
        <f>FLOOR((K124/'Prestige Patterns'!$B$22)^'Prestige Patterns'!$B$23,1)-H123</f>
        <v>62</v>
      </c>
      <c r="K124" s="8">
        <f>K123+N123*'Prestige Patterns'!$B$20</f>
        <v>17208056970</v>
      </c>
      <c r="L124" s="2">
        <f>IF(J123&gt;='Prestige Patterns'!$B$28,IF(J123/(H123+1)&gt;('Prestige Patterns'!$B$27+1),L123+1,L123),L123)</f>
        <v>3</v>
      </c>
      <c r="N124">
        <f t="shared" si="0"/>
        <v>16801382.399999999</v>
      </c>
      <c r="O124" s="3">
        <f>'Prestige Patterns'!$B$4*E124</f>
        <v>7260</v>
      </c>
      <c r="P124">
        <f t="shared" si="3"/>
        <v>512</v>
      </c>
      <c r="Q124" s="5"/>
      <c r="R124" s="5"/>
      <c r="S124" s="3">
        <v>123</v>
      </c>
      <c r="T124" s="5"/>
    </row>
    <row r="125" spans="1:20" ht="12">
      <c r="A125" s="1"/>
      <c r="B125" s="1"/>
      <c r="C125" s="2">
        <f>(S125*'Prestige Patterns'!$B$20)/60</f>
        <v>62</v>
      </c>
      <c r="D125" s="2">
        <f>IF(L124=L125,N124*'Prestige Patterns'!$B$20+D124-F125,0)</f>
        <v>657471957.77281916</v>
      </c>
      <c r="E125" s="3">
        <f t="shared" si="1"/>
        <v>365</v>
      </c>
      <c r="F125" s="8">
        <f>'Prestige Patterns'!$B$5*('Prestige Patterns'!$B$6^E124-'Prestige Patterns'!$B$6^(E124+G125))/(1-'Prestige Patterns'!$B$6)</f>
        <v>403208254.81930697</v>
      </c>
      <c r="G125" s="8">
        <f>FLOOR(LOG('Prestige Patterns'!$B$6^(E124) - (D124*(1-'Prestige Patterns'!$B$6)/'Prestige Patterns'!$B$5),'Prestige Patterns'!$B$6)-E124,1)</f>
        <v>2</v>
      </c>
      <c r="H125">
        <f t="shared" si="2"/>
        <v>352</v>
      </c>
      <c r="I125" s="5">
        <f>1+H125*'Prestige Patterns'!$B$25</f>
        <v>4.5199999999999996</v>
      </c>
      <c r="J125">
        <f>FLOOR((K125/'Prestige Patterns'!$B$22)^'Prestige Patterns'!$B$23,1)-H124</f>
        <v>68</v>
      </c>
      <c r="K125" s="8">
        <f>K124+N124*'Prestige Patterns'!$B$20</f>
        <v>17712098442</v>
      </c>
      <c r="L125" s="2">
        <f>IF(J124&gt;='Prestige Patterns'!$B$28,IF(J124/(H124+1)&gt;('Prestige Patterns'!$B$27+1),L124+1,L124),L124)</f>
        <v>3</v>
      </c>
      <c r="N125">
        <f t="shared" si="0"/>
        <v>16893952</v>
      </c>
      <c r="O125" s="3">
        <f>'Prestige Patterns'!$B$4*E125</f>
        <v>7300</v>
      </c>
      <c r="P125">
        <f t="shared" si="3"/>
        <v>512</v>
      </c>
      <c r="Q125" s="5"/>
      <c r="R125" s="5"/>
      <c r="S125" s="3">
        <v>124</v>
      </c>
      <c r="T125" s="5"/>
    </row>
    <row r="126" spans="1:20" ht="12">
      <c r="A126" s="1"/>
      <c r="B126" s="1"/>
      <c r="C126" s="2">
        <f>(S126*'Prestige Patterns'!$B$20)/60</f>
        <v>62.5</v>
      </c>
      <c r="D126" s="2">
        <f>IF(L125=L126,N125*'Prestige Patterns'!$B$20+D125-F126,0)</f>
        <v>719753416.83453274</v>
      </c>
      <c r="E126" s="3">
        <f t="shared" si="1"/>
        <v>367</v>
      </c>
      <c r="F126" s="8">
        <f>'Prestige Patterns'!$B$5*('Prestige Patterns'!$B$6^E125-'Prestige Patterns'!$B$6^(E125+G126))/(1-'Prestige Patterns'!$B$6)</f>
        <v>444537100.93828636</v>
      </c>
      <c r="G126" s="8">
        <f>FLOOR(LOG('Prestige Patterns'!$B$6^(E125) - (D125*(1-'Prestige Patterns'!$B$6)/'Prestige Patterns'!$B$5),'Prestige Patterns'!$B$6)-E125,1)</f>
        <v>2</v>
      </c>
      <c r="H126">
        <f t="shared" si="2"/>
        <v>352</v>
      </c>
      <c r="I126" s="5">
        <f>1+H126*'Prestige Patterns'!$B$25</f>
        <v>4.5199999999999996</v>
      </c>
      <c r="J126">
        <f>FLOOR((K126/'Prestige Patterns'!$B$22)^'Prestige Patterns'!$B$23,1)-H125</f>
        <v>74</v>
      </c>
      <c r="K126" s="8">
        <f>K125+N125*'Prestige Patterns'!$B$20</f>
        <v>18218917002</v>
      </c>
      <c r="L126" s="2">
        <f>IF(J125&gt;='Prestige Patterns'!$B$28,IF(J125/(H125+1)&gt;('Prestige Patterns'!$B$27+1),L125+1,L125),L125)</f>
        <v>3</v>
      </c>
      <c r="N126">
        <f t="shared" si="0"/>
        <v>16986521.599999998</v>
      </c>
      <c r="O126" s="3">
        <f>'Prestige Patterns'!$B$4*E126</f>
        <v>7340</v>
      </c>
      <c r="P126">
        <f t="shared" si="3"/>
        <v>512</v>
      </c>
      <c r="Q126" s="5"/>
      <c r="R126" s="5"/>
      <c r="S126" s="3">
        <v>125</v>
      </c>
      <c r="T126" s="5"/>
    </row>
    <row r="127" spans="1:20" ht="12">
      <c r="A127" s="1"/>
      <c r="B127" s="1"/>
      <c r="C127" s="2">
        <f>(S127*'Prestige Patterns'!$B$20)/60</f>
        <v>63</v>
      </c>
      <c r="D127" s="2">
        <f>IF(L126=L127,N126*'Prestige Patterns'!$B$20+D126-F127,0)</f>
        <v>739246911.05007219</v>
      </c>
      <c r="E127" s="3">
        <f t="shared" si="1"/>
        <v>369</v>
      </c>
      <c r="F127" s="8">
        <f>'Prestige Patterns'!$B$5*('Prestige Patterns'!$B$6^E126-'Prestige Patterns'!$B$6^(E126+G127))/(1-'Prestige Patterns'!$B$6)</f>
        <v>490102153.7844606</v>
      </c>
      <c r="G127" s="8">
        <f>FLOOR(LOG('Prestige Patterns'!$B$6^(E126) - (D126*(1-'Prestige Patterns'!$B$6)/'Prestige Patterns'!$B$5),'Prestige Patterns'!$B$6)-E126,1)</f>
        <v>2</v>
      </c>
      <c r="H127">
        <f t="shared" si="2"/>
        <v>352</v>
      </c>
      <c r="I127" s="5">
        <f>1+H127*'Prestige Patterns'!$B$25</f>
        <v>4.5199999999999996</v>
      </c>
      <c r="J127">
        <f>FLOOR((K127/'Prestige Patterns'!$B$22)^'Prestige Patterns'!$B$23,1)-H126</f>
        <v>80</v>
      </c>
      <c r="K127" s="8">
        <f>K126+N126*'Prestige Patterns'!$B$20</f>
        <v>18728512650</v>
      </c>
      <c r="L127" s="2">
        <f>IF(J126&gt;='Prestige Patterns'!$B$28,IF(J126/(H126+1)&gt;('Prestige Patterns'!$B$27+1),L126+1,L126),L126)</f>
        <v>3</v>
      </c>
      <c r="N127">
        <f t="shared" si="0"/>
        <v>17079091.199999999</v>
      </c>
      <c r="O127" s="3">
        <f>'Prestige Patterns'!$B$4*E127</f>
        <v>7380</v>
      </c>
      <c r="P127">
        <f t="shared" si="3"/>
        <v>512</v>
      </c>
      <c r="Q127" s="5"/>
      <c r="R127" s="5"/>
      <c r="S127" s="3">
        <v>126</v>
      </c>
      <c r="T127" s="5"/>
    </row>
    <row r="128" spans="1:20" ht="12">
      <c r="A128" s="1"/>
      <c r="B128" s="1"/>
      <c r="C128" s="2">
        <f>(S128*'Prestige Patterns'!$B$20)/60</f>
        <v>63.5</v>
      </c>
      <c r="D128" s="2">
        <f>IF(L127=L128,N127*'Prestige Patterns'!$B$20+D127-F128,0)</f>
        <v>711282022.50270438</v>
      </c>
      <c r="E128" s="3">
        <f t="shared" si="1"/>
        <v>371</v>
      </c>
      <c r="F128" s="8">
        <f>'Prestige Patterns'!$B$5*('Prestige Patterns'!$B$6^E127-'Prestige Patterns'!$B$6^(E127+G128))/(1-'Prestige Patterns'!$B$6)</f>
        <v>540337624.54736781</v>
      </c>
      <c r="G128" s="8">
        <f>FLOOR(LOG('Prestige Patterns'!$B$6^(E127) - (D127*(1-'Prestige Patterns'!$B$6)/'Prestige Patterns'!$B$5),'Prestige Patterns'!$B$6)-E127,1)</f>
        <v>2</v>
      </c>
      <c r="H128">
        <f t="shared" si="2"/>
        <v>352</v>
      </c>
      <c r="I128" s="5">
        <f>1+H128*'Prestige Patterns'!$B$25</f>
        <v>4.5199999999999996</v>
      </c>
      <c r="J128">
        <f>FLOOR((K128/'Prestige Patterns'!$B$22)^'Prestige Patterns'!$B$23,1)-H127</f>
        <v>86</v>
      </c>
      <c r="K128" s="8">
        <f>K127+N127*'Prestige Patterns'!$B$20</f>
        <v>19240885386</v>
      </c>
      <c r="L128" s="2">
        <f>IF(J127&gt;='Prestige Patterns'!$B$28,IF(J127/(H127+1)&gt;('Prestige Patterns'!$B$27+1),L127+1,L127),L127)</f>
        <v>3</v>
      </c>
      <c r="N128">
        <f t="shared" si="0"/>
        <v>17171660.799999997</v>
      </c>
      <c r="O128" s="3">
        <f>'Prestige Patterns'!$B$4*E128</f>
        <v>7420</v>
      </c>
      <c r="P128">
        <f t="shared" si="3"/>
        <v>512</v>
      </c>
      <c r="Q128" s="5"/>
      <c r="R128" s="5"/>
      <c r="S128" s="3">
        <v>127</v>
      </c>
      <c r="T128" s="5"/>
    </row>
    <row r="129" spans="1:20" ht="12">
      <c r="A129" s="1"/>
      <c r="B129" s="1"/>
      <c r="C129" s="2">
        <f>(S129*'Prestige Patterns'!$B$20)/60</f>
        <v>64</v>
      </c>
      <c r="D129" s="2">
        <f>IF(L128=L129,N128*'Prestige Patterns'!$B$20+D128-F129,0)</f>
        <v>630709615.43923259</v>
      </c>
      <c r="E129" s="3">
        <f t="shared" si="1"/>
        <v>373</v>
      </c>
      <c r="F129" s="8">
        <f>'Prestige Patterns'!$B$5*('Prestige Patterns'!$B$6^E128-'Prestige Patterns'!$B$6^(E128+G129))/(1-'Prestige Patterns'!$B$6)</f>
        <v>595722231.06347156</v>
      </c>
      <c r="G129" s="8">
        <f>FLOOR(LOG('Prestige Patterns'!$B$6^(E128) - (D128*(1-'Prestige Patterns'!$B$6)/'Prestige Patterns'!$B$5),'Prestige Patterns'!$B$6)-E128,1)</f>
        <v>2</v>
      </c>
      <c r="H129">
        <f t="shared" si="2"/>
        <v>352</v>
      </c>
      <c r="I129" s="5">
        <f>1+H129*'Prestige Patterns'!$B$25</f>
        <v>4.5199999999999996</v>
      </c>
      <c r="J129">
        <f>FLOOR((K129/'Prestige Patterns'!$B$22)^'Prestige Patterns'!$B$23,1)-H128</f>
        <v>92</v>
      </c>
      <c r="K129" s="8">
        <f>K128+N128*'Prestige Patterns'!$B$20</f>
        <v>19756035210</v>
      </c>
      <c r="L129" s="2">
        <f>IF(J128&gt;='Prestige Patterns'!$B$28,IF(J128/(H128+1)&gt;('Prestige Patterns'!$B$27+1),L128+1,L128),L128)</f>
        <v>3</v>
      </c>
      <c r="N129">
        <f t="shared" si="0"/>
        <v>17264230.399999999</v>
      </c>
      <c r="O129" s="3">
        <f>'Prestige Patterns'!$B$4*E129</f>
        <v>7460</v>
      </c>
      <c r="P129">
        <f t="shared" si="3"/>
        <v>512</v>
      </c>
      <c r="Q129" s="5"/>
      <c r="R129" s="5"/>
      <c r="S129" s="3">
        <v>128</v>
      </c>
      <c r="T129" s="5"/>
    </row>
    <row r="130" spans="1:20" ht="12">
      <c r="A130" s="1"/>
      <c r="B130" s="1"/>
      <c r="C130" s="2">
        <f>(S130*'Prestige Patterns'!$B$20)/60</f>
        <v>64.5</v>
      </c>
      <c r="D130" s="2">
        <f>IF(L129=L130,N129*'Prestige Patterns'!$B$20+D129-F130,0)</f>
        <v>828254205.61119413</v>
      </c>
      <c r="E130" s="3">
        <f t="shared" si="1"/>
        <v>374</v>
      </c>
      <c r="F130" s="8">
        <f>'Prestige Patterns'!$B$5*('Prestige Patterns'!$B$6^E129-'Prestige Patterns'!$B$6^(E129+G130))/(1-'Prestige Patterns'!$B$6)</f>
        <v>320382321.82803839</v>
      </c>
      <c r="G130" s="8">
        <f>FLOOR(LOG('Prestige Patterns'!$B$6^(E129) - (D129*(1-'Prestige Patterns'!$B$6)/'Prestige Patterns'!$B$5),'Prestige Patterns'!$B$6)-E129,1)</f>
        <v>1</v>
      </c>
      <c r="H130">
        <f t="shared" si="2"/>
        <v>352</v>
      </c>
      <c r="I130" s="5">
        <f>1+H130*'Prestige Patterns'!$B$25</f>
        <v>4.5199999999999996</v>
      </c>
      <c r="J130">
        <f>FLOOR((K130/'Prestige Patterns'!$B$22)^'Prestige Patterns'!$B$23,1)-H129</f>
        <v>98</v>
      </c>
      <c r="K130" s="8">
        <f>K129+N129*'Prestige Patterns'!$B$20</f>
        <v>20273962122</v>
      </c>
      <c r="L130" s="2">
        <f>IF(J129&gt;='Prestige Patterns'!$B$28,IF(J129/(H129+1)&gt;('Prestige Patterns'!$B$27+1),L129+1,L129),L129)</f>
        <v>3</v>
      </c>
      <c r="N130">
        <f t="shared" si="0"/>
        <v>17310515.199999999</v>
      </c>
      <c r="O130" s="3">
        <f>'Prestige Patterns'!$B$4*E130</f>
        <v>7480</v>
      </c>
      <c r="P130">
        <f t="shared" si="3"/>
        <v>512</v>
      </c>
      <c r="Q130" s="5"/>
      <c r="R130" s="5"/>
      <c r="S130" s="3">
        <v>129</v>
      </c>
      <c r="T130" s="5"/>
    </row>
    <row r="131" spans="1:20" ht="12">
      <c r="A131" s="1"/>
      <c r="B131" s="1"/>
      <c r="C131" s="2">
        <f>(S131*'Prestige Patterns'!$B$20)/60</f>
        <v>65</v>
      </c>
      <c r="D131" s="2">
        <f>IF(L130=L131,N130*'Prestige Patterns'!$B$20+D130-F131,0)</f>
        <v>657946713.87634051</v>
      </c>
      <c r="E131" s="3">
        <f t="shared" si="1"/>
        <v>376</v>
      </c>
      <c r="F131" s="8">
        <f>'Prestige Patterns'!$B$5*('Prestige Patterns'!$B$6^E130-'Prestige Patterns'!$B$6^(E130+G131))/(1-'Prestige Patterns'!$B$6)</f>
        <v>689622947.73485363</v>
      </c>
      <c r="G131" s="8">
        <f>FLOOR(LOG('Prestige Patterns'!$B$6^(E130) - (D130*(1-'Prestige Patterns'!$B$6)/'Prestige Patterns'!$B$5),'Prestige Patterns'!$B$6)-E130,1)</f>
        <v>2</v>
      </c>
      <c r="H131">
        <f t="shared" si="2"/>
        <v>352</v>
      </c>
      <c r="I131" s="5">
        <f>1+H131*'Prestige Patterns'!$B$25</f>
        <v>4.5199999999999996</v>
      </c>
      <c r="J131">
        <f>FLOOR((K131/'Prestige Patterns'!$B$22)^'Prestige Patterns'!$B$23,1)-H130</f>
        <v>103</v>
      </c>
      <c r="K131" s="8">
        <f>K130+N130*'Prestige Patterns'!$B$20</f>
        <v>20793277578</v>
      </c>
      <c r="L131" s="2">
        <f>IF(J130&gt;='Prestige Patterns'!$B$28,IF(J130/(H130+1)&gt;('Prestige Patterns'!$B$27+1),L130+1,L130),L130)</f>
        <v>3</v>
      </c>
      <c r="N131">
        <f t="shared" si="0"/>
        <v>17403084.799999997</v>
      </c>
      <c r="O131" s="3">
        <f>'Prestige Patterns'!$B$4*E131</f>
        <v>7520</v>
      </c>
      <c r="P131">
        <f t="shared" si="3"/>
        <v>512</v>
      </c>
      <c r="Q131" s="5"/>
      <c r="R131" s="5"/>
      <c r="S131" s="3">
        <v>130</v>
      </c>
      <c r="T131" s="5"/>
    </row>
    <row r="132" spans="1:20" ht="12">
      <c r="A132" s="1"/>
      <c r="B132" s="1"/>
      <c r="C132" s="2">
        <f>(S132*'Prestige Patterns'!$B$20)/60</f>
        <v>65.5</v>
      </c>
      <c r="D132" s="2">
        <f>IF(L131=L132,N131*'Prestige Patterns'!$B$20+D131-F132,0)</f>
        <v>809156672.57015765</v>
      </c>
      <c r="E132" s="3">
        <f t="shared" si="1"/>
        <v>377</v>
      </c>
      <c r="F132" s="8">
        <f>'Prestige Patterns'!$B$5*('Prestige Patterns'!$B$6^E131-'Prestige Patterns'!$B$6^(E131+G132))/(1-'Prestige Patterns'!$B$6)</f>
        <v>370882585.30618274</v>
      </c>
      <c r="G132" s="8">
        <f>FLOOR(LOG('Prestige Patterns'!$B$6^(E131) - (D131*(1-'Prestige Patterns'!$B$6)/'Prestige Patterns'!$B$5),'Prestige Patterns'!$B$6)-E131,1)</f>
        <v>1</v>
      </c>
      <c r="H132">
        <f t="shared" si="2"/>
        <v>352</v>
      </c>
      <c r="I132" s="5">
        <f>1+H132*'Prestige Patterns'!$B$25</f>
        <v>4.5199999999999996</v>
      </c>
      <c r="J132">
        <f>FLOOR((K132/'Prestige Patterns'!$B$22)^'Prestige Patterns'!$B$23,1)-H131</f>
        <v>109</v>
      </c>
      <c r="K132" s="8">
        <f>K131+N131*'Prestige Patterns'!$B$20</f>
        <v>21315370122</v>
      </c>
      <c r="L132" s="2">
        <f>IF(J131&gt;='Prestige Patterns'!$B$28,IF(J131/(H131+1)&gt;('Prestige Patterns'!$B$27+1),L131+1,L131),L131)</f>
        <v>3</v>
      </c>
      <c r="N132">
        <f t="shared" si="0"/>
        <v>17449369.599999998</v>
      </c>
      <c r="O132" s="3">
        <f>'Prestige Patterns'!$B$4*E132</f>
        <v>7540</v>
      </c>
      <c r="P132">
        <f t="shared" si="3"/>
        <v>512</v>
      </c>
      <c r="Q132" s="5"/>
      <c r="R132" s="5"/>
      <c r="S132" s="3">
        <v>131</v>
      </c>
      <c r="T132" s="5"/>
    </row>
    <row r="133" spans="1:20" ht="12">
      <c r="A133" s="1"/>
      <c r="B133" s="1"/>
      <c r="C133" s="2">
        <f>(S133*'Prestige Patterns'!$B$20)/60</f>
        <v>66</v>
      </c>
      <c r="D133" s="2">
        <f>IF(L132=L133,N132*'Prestige Patterns'!$B$20+D132-F133,0)</f>
        <v>534312995.69859672</v>
      </c>
      <c r="E133" s="3">
        <f t="shared" si="1"/>
        <v>379</v>
      </c>
      <c r="F133" s="8">
        <f>'Prestige Patterns'!$B$5*('Prestige Patterns'!$B$6^E132-'Prestige Patterns'!$B$6^(E132+G133))/(1-'Prestige Patterns'!$B$6)</f>
        <v>798324764.87156081</v>
      </c>
      <c r="G133" s="8">
        <f>FLOOR(LOG('Prestige Patterns'!$B$6^(E132) - (D132*(1-'Prestige Patterns'!$B$6)/'Prestige Patterns'!$B$5),'Prestige Patterns'!$B$6)-E132,1)</f>
        <v>2</v>
      </c>
      <c r="H133">
        <f t="shared" si="2"/>
        <v>352</v>
      </c>
      <c r="I133" s="5">
        <f>1+H133*'Prestige Patterns'!$B$25</f>
        <v>4.5199999999999996</v>
      </c>
      <c r="J133">
        <f>FLOOR((K133/'Prestige Patterns'!$B$22)^'Prestige Patterns'!$B$23,1)-H132</f>
        <v>115</v>
      </c>
      <c r="K133" s="8">
        <f>K132+N132*'Prestige Patterns'!$B$20</f>
        <v>21838851210</v>
      </c>
      <c r="L133" s="2">
        <f>IF(J132&gt;='Prestige Patterns'!$B$28,IF(J132/(H132+1)&gt;('Prestige Patterns'!$B$27+1),L132+1,L132),L132)</f>
        <v>3</v>
      </c>
      <c r="N133">
        <f t="shared" si="0"/>
        <v>17541939.199999999</v>
      </c>
      <c r="O133" s="3">
        <f>'Prestige Patterns'!$B$4*E133</f>
        <v>7580</v>
      </c>
      <c r="P133">
        <f t="shared" si="3"/>
        <v>512</v>
      </c>
      <c r="Q133" s="5"/>
      <c r="R133" s="5"/>
      <c r="S133" s="3">
        <v>132</v>
      </c>
      <c r="T133" s="5"/>
    </row>
    <row r="134" spans="1:20" ht="12">
      <c r="A134" s="1"/>
      <c r="B134" s="1"/>
      <c r="C134" s="2">
        <f>(S134*'Prestige Patterns'!$B$20)/60</f>
        <v>66.5</v>
      </c>
      <c r="D134" s="2">
        <f>IF(L133=L134,N133*'Prestige Patterns'!$B$20+D133-F134,0)</f>
        <v>631228218.88352811</v>
      </c>
      <c r="E134" s="3">
        <f t="shared" si="1"/>
        <v>380</v>
      </c>
      <c r="F134" s="8">
        <f>'Prestige Patterns'!$B$5*('Prestige Patterns'!$B$6^E133-'Prestige Patterns'!$B$6^(E133+G134))/(1-'Prestige Patterns'!$B$6)</f>
        <v>429342952.8150686</v>
      </c>
      <c r="G134" s="8">
        <f>FLOOR(LOG('Prestige Patterns'!$B$6^(E133) - (D133*(1-'Prestige Patterns'!$B$6)/'Prestige Patterns'!$B$5),'Prestige Patterns'!$B$6)-E133,1)</f>
        <v>1</v>
      </c>
      <c r="H134">
        <f t="shared" si="2"/>
        <v>352</v>
      </c>
      <c r="I134" s="5">
        <f>1+H134*'Prestige Patterns'!$B$25</f>
        <v>4.5199999999999996</v>
      </c>
      <c r="J134">
        <f>FLOOR((K134/'Prestige Patterns'!$B$22)^'Prestige Patterns'!$B$23,1)-H133</f>
        <v>120</v>
      </c>
      <c r="K134" s="8">
        <f>K133+N133*'Prestige Patterns'!$B$20</f>
        <v>22365109386</v>
      </c>
      <c r="L134" s="2">
        <f>IF(J133&gt;='Prestige Patterns'!$B$28,IF(J133/(H133+1)&gt;('Prestige Patterns'!$B$27+1),L133+1,L133),L133)</f>
        <v>3</v>
      </c>
      <c r="N134">
        <f t="shared" si="0"/>
        <v>17588224</v>
      </c>
      <c r="O134" s="3">
        <f>'Prestige Patterns'!$B$4*E134</f>
        <v>7600</v>
      </c>
      <c r="P134">
        <f t="shared" si="3"/>
        <v>512</v>
      </c>
      <c r="Q134" s="5"/>
      <c r="R134" s="5"/>
      <c r="S134" s="3">
        <v>133</v>
      </c>
      <c r="T134" s="5"/>
    </row>
    <row r="135" spans="1:20" ht="12">
      <c r="A135" s="1"/>
      <c r="B135" s="1"/>
      <c r="C135" s="2">
        <f>(S135*'Prestige Patterns'!$B$20)/60</f>
        <v>67</v>
      </c>
      <c r="D135" s="2">
        <f>IF(L134=L135,N134*'Prestige Patterns'!$B$20+D134-F135,0)</f>
        <v>708064838.42770338</v>
      </c>
      <c r="E135" s="3">
        <f t="shared" si="1"/>
        <v>381</v>
      </c>
      <c r="F135" s="8">
        <f>'Prestige Patterns'!$B$5*('Prestige Patterns'!$B$6^E134-'Prestige Patterns'!$B$6^(E134+G135))/(1-'Prestige Patterns'!$B$6)</f>
        <v>450810100.45582491</v>
      </c>
      <c r="G135" s="8">
        <f>FLOOR(LOG('Prestige Patterns'!$B$6^(E134) - (D134*(1-'Prestige Patterns'!$B$6)/'Prestige Patterns'!$B$5),'Prestige Patterns'!$B$6)-E134,1)</f>
        <v>1</v>
      </c>
      <c r="H135">
        <f t="shared" si="2"/>
        <v>352</v>
      </c>
      <c r="I135" s="5">
        <f>1+H135*'Prestige Patterns'!$B$25</f>
        <v>4.5199999999999996</v>
      </c>
      <c r="J135">
        <f>FLOOR((K135/'Prestige Patterns'!$B$22)^'Prestige Patterns'!$B$23,1)-H134</f>
        <v>126</v>
      </c>
      <c r="K135" s="8">
        <f>K134+N134*'Prestige Patterns'!$B$20</f>
        <v>22892756106</v>
      </c>
      <c r="L135" s="2">
        <f>IF(J134&gt;='Prestige Patterns'!$B$28,IF(J134/(H134+1)&gt;('Prestige Patterns'!$B$27+1),L134+1,L134),L134)</f>
        <v>3</v>
      </c>
      <c r="N135">
        <f t="shared" si="0"/>
        <v>17634508.799999997</v>
      </c>
      <c r="O135" s="3">
        <f>'Prestige Patterns'!$B$4*E135</f>
        <v>7620</v>
      </c>
      <c r="P135">
        <f t="shared" si="3"/>
        <v>512</v>
      </c>
      <c r="Q135" s="5"/>
      <c r="R135" s="5"/>
      <c r="S135" s="3">
        <v>134</v>
      </c>
      <c r="T135" s="5"/>
    </row>
    <row r="136" spans="1:20" ht="12">
      <c r="A136" s="1"/>
      <c r="B136" s="1"/>
      <c r="C136" s="2">
        <f>(S136*'Prestige Patterns'!$B$20)/60</f>
        <v>67.5</v>
      </c>
      <c r="D136" s="2">
        <f>IF(L135=L136,N135*'Prestige Patterns'!$B$20+D135-F136,0)</f>
        <v>763749496.94909286</v>
      </c>
      <c r="E136" s="3">
        <f t="shared" si="1"/>
        <v>382</v>
      </c>
      <c r="F136" s="8">
        <f>'Prestige Patterns'!$B$5*('Prestige Patterns'!$B$6^E135-'Prestige Patterns'!$B$6^(E135+G136))/(1-'Prestige Patterns'!$B$6)</f>
        <v>473350605.47861058</v>
      </c>
      <c r="G136" s="8">
        <f>FLOOR(LOG('Prestige Patterns'!$B$6^(E135) - (D135*(1-'Prestige Patterns'!$B$6)/'Prestige Patterns'!$B$5),'Prestige Patterns'!$B$6)-E135,1)</f>
        <v>1</v>
      </c>
      <c r="H136">
        <f t="shared" si="2"/>
        <v>352</v>
      </c>
      <c r="I136" s="5">
        <f>1+H136*'Prestige Patterns'!$B$25</f>
        <v>4.5199999999999996</v>
      </c>
      <c r="J136">
        <f>FLOOR((K136/'Prestige Patterns'!$B$22)^'Prestige Patterns'!$B$23,1)-H135</f>
        <v>131</v>
      </c>
      <c r="K136" s="8">
        <f>K135+N135*'Prestige Patterns'!$B$20</f>
        <v>23421791370</v>
      </c>
      <c r="L136" s="2">
        <f>IF(J135&gt;='Prestige Patterns'!$B$28,IF(J135/(H135+1)&gt;('Prestige Patterns'!$B$27+1),L135+1,L135),L135)</f>
        <v>3</v>
      </c>
      <c r="N136">
        <f t="shared" si="0"/>
        <v>17680793.599999998</v>
      </c>
      <c r="O136" s="3">
        <f>'Prestige Patterns'!$B$4*E136</f>
        <v>7640</v>
      </c>
      <c r="P136">
        <f t="shared" si="3"/>
        <v>512</v>
      </c>
      <c r="Q136" s="5"/>
      <c r="R136" s="5"/>
      <c r="S136" s="3">
        <v>135</v>
      </c>
      <c r="T136" s="5"/>
    </row>
    <row r="137" spans="1:20" ht="12">
      <c r="A137" s="1"/>
      <c r="B137" s="1"/>
      <c r="C137" s="2">
        <f>(S137*'Prestige Patterns'!$B$20)/60</f>
        <v>68</v>
      </c>
      <c r="D137" s="2">
        <f>IF(L136=L137,N136*'Prestige Patterns'!$B$20+D136-F137,0)</f>
        <v>797155169.19654298</v>
      </c>
      <c r="E137" s="3">
        <f t="shared" si="1"/>
        <v>383</v>
      </c>
      <c r="F137" s="8">
        <f>'Prestige Patterns'!$B$5*('Prestige Patterns'!$B$6^E136-'Prestige Patterns'!$B$6^(E136+G137))/(1-'Prestige Patterns'!$B$6)</f>
        <v>497018135.75254995</v>
      </c>
      <c r="G137" s="8">
        <f>FLOOR(LOG('Prestige Patterns'!$B$6^(E136) - (D136*(1-'Prestige Patterns'!$B$6)/'Prestige Patterns'!$B$5),'Prestige Patterns'!$B$6)-E136,1)</f>
        <v>1</v>
      </c>
      <c r="H137">
        <f t="shared" si="2"/>
        <v>352</v>
      </c>
      <c r="I137" s="5">
        <f>1+H137*'Prestige Patterns'!$B$25</f>
        <v>4.5199999999999996</v>
      </c>
      <c r="J137">
        <f>FLOOR((K137/'Prestige Patterns'!$B$22)^'Prestige Patterns'!$B$23,1)-H136</f>
        <v>137</v>
      </c>
      <c r="K137" s="8">
        <f>K136+N136*'Prestige Patterns'!$B$20</f>
        <v>23952215178</v>
      </c>
      <c r="L137" s="2">
        <f>IF(J136&gt;='Prestige Patterns'!$B$28,IF(J136/(H136+1)&gt;('Prestige Patterns'!$B$27+1),L136+1,L136),L136)</f>
        <v>3</v>
      </c>
      <c r="N137">
        <f t="shared" si="0"/>
        <v>17727078.399999999</v>
      </c>
      <c r="O137" s="3">
        <f>'Prestige Patterns'!$B$4*E137</f>
        <v>7660</v>
      </c>
      <c r="P137">
        <f t="shared" si="3"/>
        <v>512</v>
      </c>
      <c r="Q137" s="5"/>
      <c r="R137" s="5"/>
      <c r="S137" s="3">
        <v>136</v>
      </c>
      <c r="T137" s="5"/>
    </row>
    <row r="138" spans="1:20" ht="12">
      <c r="A138" s="1"/>
      <c r="B138" s="1"/>
      <c r="C138" s="2">
        <f>(S138*'Prestige Patterns'!$B$20)/60</f>
        <v>68.5</v>
      </c>
      <c r="D138" s="2">
        <f>IF(L137=L138,N137*'Prestige Patterns'!$B$20+D137-F138,0)</f>
        <v>807098478.65636992</v>
      </c>
      <c r="E138" s="3">
        <f t="shared" si="1"/>
        <v>384</v>
      </c>
      <c r="F138" s="8">
        <f>'Prestige Patterns'!$B$5*('Prestige Patterns'!$B$6^E137-'Prestige Patterns'!$B$6^(E137+G138))/(1-'Prestige Patterns'!$B$6)</f>
        <v>521869042.54017305</v>
      </c>
      <c r="G138" s="8">
        <f>FLOOR(LOG('Prestige Patterns'!$B$6^(E137) - (D137*(1-'Prestige Patterns'!$B$6)/'Prestige Patterns'!$B$5),'Prestige Patterns'!$B$6)-E137,1)</f>
        <v>1</v>
      </c>
      <c r="H138">
        <f t="shared" si="2"/>
        <v>352</v>
      </c>
      <c r="I138" s="5">
        <f>1+H138*'Prestige Patterns'!$B$25</f>
        <v>4.5199999999999996</v>
      </c>
      <c r="J138">
        <f>FLOOR((K138/'Prestige Patterns'!$B$22)^'Prestige Patterns'!$B$23,1)-H137</f>
        <v>142</v>
      </c>
      <c r="K138" s="8">
        <f>K137+N137*'Prestige Patterns'!$B$20</f>
        <v>24484027530</v>
      </c>
      <c r="L138" s="2">
        <f>IF(J137&gt;='Prestige Patterns'!$B$28,IF(J137/(H137+1)&gt;('Prestige Patterns'!$B$27+1),L137+1,L137),L137)</f>
        <v>3</v>
      </c>
      <c r="N138">
        <f t="shared" si="0"/>
        <v>17773363.199999999</v>
      </c>
      <c r="O138" s="3">
        <f>'Prestige Patterns'!$B$4*E138</f>
        <v>7680</v>
      </c>
      <c r="P138">
        <f t="shared" si="3"/>
        <v>512</v>
      </c>
      <c r="Q138" s="5"/>
      <c r="R138" s="5"/>
      <c r="S138" s="3">
        <v>137</v>
      </c>
      <c r="T138" s="5"/>
    </row>
    <row r="139" spans="1:20" ht="12">
      <c r="A139" s="1"/>
      <c r="B139" s="1"/>
      <c r="C139" s="2">
        <f>(S139*'Prestige Patterns'!$B$20)/60</f>
        <v>69</v>
      </c>
      <c r="D139" s="2">
        <f>IF(L138=L139,N138*'Prestige Patterns'!$B$20+D138-F139,0)</f>
        <v>792336879.98918843</v>
      </c>
      <c r="E139" s="3">
        <f t="shared" si="1"/>
        <v>385</v>
      </c>
      <c r="F139" s="8">
        <f>'Prestige Patterns'!$B$5*('Prestige Patterns'!$B$6^E138-'Prestige Patterns'!$B$6^(E138+G139))/(1-'Prestige Patterns'!$B$6)</f>
        <v>547962494.66718149</v>
      </c>
      <c r="G139" s="8">
        <f>FLOOR(LOG('Prestige Patterns'!$B$6^(E138) - (D138*(1-'Prestige Patterns'!$B$6)/'Prestige Patterns'!$B$5),'Prestige Patterns'!$B$6)-E138,1)</f>
        <v>1</v>
      </c>
      <c r="H139">
        <f t="shared" si="2"/>
        <v>352</v>
      </c>
      <c r="I139" s="5">
        <f>1+H139*'Prestige Patterns'!$B$25</f>
        <v>4.5199999999999996</v>
      </c>
      <c r="J139">
        <f>FLOOR((K139/'Prestige Patterns'!$B$22)^'Prestige Patterns'!$B$23,1)-H138</f>
        <v>148</v>
      </c>
      <c r="K139" s="8">
        <f>K138+N138*'Prestige Patterns'!$B$20</f>
        <v>25017228426</v>
      </c>
      <c r="L139" s="2">
        <f>IF(J138&gt;='Prestige Patterns'!$B$28,IF(J138/(H138+1)&gt;('Prestige Patterns'!$B$27+1),L138+1,L138),L138)</f>
        <v>3</v>
      </c>
      <c r="N139">
        <f t="shared" si="0"/>
        <v>17819648</v>
      </c>
      <c r="O139" s="3">
        <f>'Prestige Patterns'!$B$4*E139</f>
        <v>7700</v>
      </c>
      <c r="P139">
        <f t="shared" si="3"/>
        <v>512</v>
      </c>
      <c r="Q139" s="5"/>
      <c r="R139" s="5"/>
      <c r="S139" s="3">
        <v>138</v>
      </c>
      <c r="T139" s="5"/>
    </row>
    <row r="140" spans="1:20" ht="12">
      <c r="A140" s="1"/>
      <c r="B140" s="1"/>
      <c r="C140" s="2">
        <f>(S140*'Prestige Patterns'!$B$20)/60</f>
        <v>69.5</v>
      </c>
      <c r="D140" s="2">
        <f>IF(L139=L140,N139*'Prestige Patterns'!$B$20+D139-F140,0)</f>
        <v>751565700.58864951</v>
      </c>
      <c r="E140" s="3">
        <f t="shared" si="1"/>
        <v>386</v>
      </c>
      <c r="F140" s="8">
        <f>'Prestige Patterns'!$B$5*('Prestige Patterns'!$B$6^E139-'Prestige Patterns'!$B$6^(E139+G140))/(1-'Prestige Patterns'!$B$6)</f>
        <v>575360619.40053892</v>
      </c>
      <c r="G140" s="8">
        <f>FLOOR(LOG('Prestige Patterns'!$B$6^(E139) - (D139*(1-'Prestige Patterns'!$B$6)/'Prestige Patterns'!$B$5),'Prestige Patterns'!$B$6)-E139,1)</f>
        <v>1</v>
      </c>
      <c r="H140">
        <f t="shared" si="2"/>
        <v>352</v>
      </c>
      <c r="I140" s="5">
        <f>1+H140*'Prestige Patterns'!$B$25</f>
        <v>4.5199999999999996</v>
      </c>
      <c r="J140">
        <f>FLOOR((K140/'Prestige Patterns'!$B$22)^'Prestige Patterns'!$B$23,1)-H139</f>
        <v>153</v>
      </c>
      <c r="K140" s="8">
        <f>K139+N139*'Prestige Patterns'!$B$20</f>
        <v>25551817866</v>
      </c>
      <c r="L140" s="2">
        <f>IF(J139&gt;='Prestige Patterns'!$B$28,IF(J139/(H139+1)&gt;('Prestige Patterns'!$B$27+1),L139+1,L139),L139)</f>
        <v>3</v>
      </c>
      <c r="N140">
        <f t="shared" si="0"/>
        <v>17865932.799999997</v>
      </c>
      <c r="O140" s="3">
        <f>'Prestige Patterns'!$B$4*E140</f>
        <v>7720</v>
      </c>
      <c r="P140">
        <f t="shared" si="3"/>
        <v>512</v>
      </c>
      <c r="Q140" s="5"/>
      <c r="R140" s="5"/>
      <c r="S140" s="3">
        <v>139</v>
      </c>
      <c r="T140" s="5"/>
    </row>
    <row r="141" spans="1:20" ht="12">
      <c r="A141" s="1"/>
      <c r="B141" s="1"/>
      <c r="C141" s="2">
        <f>(S141*'Prestige Patterns'!$B$20)/60</f>
        <v>70</v>
      </c>
      <c r="D141" s="2">
        <f>IF(L140=L141,N140*'Prestige Patterns'!$B$20+D140-F141,0)</f>
        <v>683415034.21808064</v>
      </c>
      <c r="E141" s="3">
        <f t="shared" si="1"/>
        <v>387</v>
      </c>
      <c r="F141" s="8">
        <f>'Prestige Patterns'!$B$5*('Prestige Patterns'!$B$6^E140-'Prestige Patterns'!$B$6^(E140+G141))/(1-'Prestige Patterns'!$B$6)</f>
        <v>604128650.37056863</v>
      </c>
      <c r="G141" s="8">
        <f>FLOOR(LOG('Prestige Patterns'!$B$6^(E140) - (D140*(1-'Prestige Patterns'!$B$6)/'Prestige Patterns'!$B$5),'Prestige Patterns'!$B$6)-E140,1)</f>
        <v>1</v>
      </c>
      <c r="H141">
        <f t="shared" si="2"/>
        <v>352</v>
      </c>
      <c r="I141" s="5">
        <f>1+H141*'Prestige Patterns'!$B$25</f>
        <v>4.5199999999999996</v>
      </c>
      <c r="J141">
        <f>FLOOR((K141/'Prestige Patterns'!$B$22)^'Prestige Patterns'!$B$23,1)-H140</f>
        <v>158</v>
      </c>
      <c r="K141" s="8">
        <f>K140+N140*'Prestige Patterns'!$B$20</f>
        <v>26087795850</v>
      </c>
      <c r="L141" s="2">
        <f>IF(J140&gt;='Prestige Patterns'!$B$28,IF(J140/(H140+1)&gt;('Prestige Patterns'!$B$27+1),L140+1,L140),L140)</f>
        <v>3</v>
      </c>
      <c r="N141">
        <f t="shared" si="0"/>
        <v>17912217.599999998</v>
      </c>
      <c r="O141" s="3">
        <f>'Prestige Patterns'!$B$4*E141</f>
        <v>7740</v>
      </c>
      <c r="P141">
        <f t="shared" si="3"/>
        <v>512</v>
      </c>
      <c r="Q141" s="5"/>
      <c r="R141" s="5"/>
      <c r="S141" s="3">
        <v>140</v>
      </c>
      <c r="T141" s="5"/>
    </row>
    <row r="142" spans="1:20" ht="12">
      <c r="A142" s="1"/>
      <c r="B142" s="1"/>
      <c r="C142" s="2">
        <f>(S142*'Prestige Patterns'!$B$20)/60</f>
        <v>70.5</v>
      </c>
      <c r="D142" s="2">
        <f>IF(L141=L142,N141*'Prestige Patterns'!$B$20+D141-F142,0)</f>
        <v>586446479.32898438</v>
      </c>
      <c r="E142" s="3">
        <f t="shared" si="1"/>
        <v>388</v>
      </c>
      <c r="F142" s="8">
        <f>'Prestige Patterns'!$B$5*('Prestige Patterns'!$B$6^E141-'Prestige Patterns'!$B$6^(E141+G142))/(1-'Prestige Patterns'!$B$6)</f>
        <v>634335082.88909614</v>
      </c>
      <c r="G142" s="8">
        <f>FLOOR(LOG('Prestige Patterns'!$B$6^(E141) - (D141*(1-'Prestige Patterns'!$B$6)/'Prestige Patterns'!$B$5),'Prestige Patterns'!$B$6)-E141,1)</f>
        <v>1</v>
      </c>
      <c r="H142">
        <f t="shared" si="2"/>
        <v>352</v>
      </c>
      <c r="I142" s="5">
        <f>1+H142*'Prestige Patterns'!$B$25</f>
        <v>4.5199999999999996</v>
      </c>
      <c r="J142">
        <f>FLOOR((K142/'Prestige Patterns'!$B$22)^'Prestige Patterns'!$B$23,1)-H141</f>
        <v>163</v>
      </c>
      <c r="K142" s="8">
        <f>K141+N141*'Prestige Patterns'!$B$20</f>
        <v>26625162378</v>
      </c>
      <c r="L142" s="2">
        <f>IF(J141&gt;='Prestige Patterns'!$B$28,IF(J141/(H141+1)&gt;('Prestige Patterns'!$B$27+1),L141+1,L141),L141)</f>
        <v>3</v>
      </c>
      <c r="N142">
        <f t="shared" si="0"/>
        <v>17958502.399999999</v>
      </c>
      <c r="O142" s="3">
        <f>'Prestige Patterns'!$B$4*E142</f>
        <v>7760</v>
      </c>
      <c r="P142">
        <f t="shared" si="3"/>
        <v>512</v>
      </c>
      <c r="Q142" s="5"/>
      <c r="R142" s="5"/>
      <c r="S142" s="3">
        <v>141</v>
      </c>
      <c r="T142" s="5"/>
    </row>
    <row r="143" spans="1:20" ht="12">
      <c r="A143" s="1"/>
      <c r="B143" s="1"/>
      <c r="C143" s="2">
        <f>(S143*'Prestige Patterns'!$B$20)/60</f>
        <v>71</v>
      </c>
      <c r="D143" s="2">
        <f>IF(L142=L143,N142*'Prestige Patterns'!$B$20+D142-F143,0)</f>
        <v>1125201551.3289843</v>
      </c>
      <c r="E143" s="3">
        <f t="shared" si="1"/>
        <v>388</v>
      </c>
      <c r="F143" s="8">
        <f>'Prestige Patterns'!$B$5*('Prestige Patterns'!$B$6^E142-'Prestige Patterns'!$B$6^(E142+G143))/(1-'Prestige Patterns'!$B$6)</f>
        <v>0</v>
      </c>
      <c r="G143" s="8">
        <f>FLOOR(LOG('Prestige Patterns'!$B$6^(E142) - (D142*(1-'Prestige Patterns'!$B$6)/'Prestige Patterns'!$B$5),'Prestige Patterns'!$B$6)-E142,1)</f>
        <v>0</v>
      </c>
      <c r="H143">
        <f t="shared" si="2"/>
        <v>352</v>
      </c>
      <c r="I143" s="5">
        <f>1+H143*'Prestige Patterns'!$B$25</f>
        <v>4.5199999999999996</v>
      </c>
      <c r="J143">
        <f>FLOOR((K143/'Prestige Patterns'!$B$22)^'Prestige Patterns'!$B$23,1)-H142</f>
        <v>169</v>
      </c>
      <c r="K143" s="8">
        <f>K142+N142*'Prestige Patterns'!$B$20</f>
        <v>27163917450</v>
      </c>
      <c r="L143" s="2">
        <f>IF(J142&gt;='Prestige Patterns'!$B$28,IF(J142/(H142+1)&gt;('Prestige Patterns'!$B$27+1),L142+1,L142),L142)</f>
        <v>3</v>
      </c>
      <c r="N143">
        <f t="shared" si="0"/>
        <v>17958502.399999999</v>
      </c>
      <c r="O143" s="3">
        <f>'Prestige Patterns'!$B$4*E143</f>
        <v>7760</v>
      </c>
      <c r="P143">
        <f t="shared" si="3"/>
        <v>512</v>
      </c>
      <c r="Q143" s="5"/>
      <c r="R143" s="5"/>
      <c r="S143" s="3">
        <v>142</v>
      </c>
      <c r="T143" s="5"/>
    </row>
    <row r="144" spans="1:20" ht="12">
      <c r="A144" s="1"/>
      <c r="B144" s="1"/>
      <c r="C144" s="2">
        <f>(S144*'Prestige Patterns'!$B$20)/60</f>
        <v>71.5</v>
      </c>
      <c r="D144" s="2">
        <f>IF(L143=L144,N143*'Prestige Patterns'!$B$20+D143-F144,0)</f>
        <v>997904786.29543173</v>
      </c>
      <c r="E144" s="3">
        <f t="shared" si="1"/>
        <v>389</v>
      </c>
      <c r="F144" s="8">
        <f>'Prestige Patterns'!$B$5*('Prestige Patterns'!$B$6^E143-'Prestige Patterns'!$B$6^(E143+G144))/(1-'Prestige Patterns'!$B$6)</f>
        <v>666051837.03355253</v>
      </c>
      <c r="G144" s="8">
        <f>FLOOR(LOG('Prestige Patterns'!$B$6^(E143) - (D143*(1-'Prestige Patterns'!$B$6)/'Prestige Patterns'!$B$5),'Prestige Patterns'!$B$6)-E143,1)</f>
        <v>1</v>
      </c>
      <c r="H144">
        <f t="shared" si="2"/>
        <v>352</v>
      </c>
      <c r="I144" s="5">
        <f>1+H144*'Prestige Patterns'!$B$25</f>
        <v>4.5199999999999996</v>
      </c>
      <c r="J144">
        <f>FLOOR((K144/'Prestige Patterns'!$B$22)^'Prestige Patterns'!$B$23,1)-H143</f>
        <v>174</v>
      </c>
      <c r="K144" s="8">
        <f>K143+N143*'Prestige Patterns'!$B$20</f>
        <v>27702672522</v>
      </c>
      <c r="L144" s="2">
        <f>IF(J143&gt;='Prestige Patterns'!$B$28,IF(J143/(H143+1)&gt;('Prestige Patterns'!$B$27+1),L143+1,L143),L143)</f>
        <v>3</v>
      </c>
      <c r="N144">
        <f t="shared" si="0"/>
        <v>18004787.199999999</v>
      </c>
      <c r="O144" s="3">
        <f>'Prestige Patterns'!$B$4*E144</f>
        <v>7780</v>
      </c>
      <c r="P144">
        <f t="shared" si="3"/>
        <v>512</v>
      </c>
      <c r="Q144" s="5"/>
      <c r="R144" s="5"/>
      <c r="S144" s="3">
        <v>143</v>
      </c>
      <c r="T144" s="5"/>
    </row>
    <row r="145" spans="1:20" ht="12">
      <c r="A145" s="1"/>
      <c r="B145" s="1"/>
      <c r="C145" s="2">
        <f>(S145*'Prestige Patterns'!$B$20)/60</f>
        <v>72</v>
      </c>
      <c r="D145" s="2">
        <f>IF(L144=L145,N144*'Prestige Patterns'!$B$20+D144-F145,0)</f>
        <v>838693973.41020596</v>
      </c>
      <c r="E145" s="3">
        <f t="shared" si="1"/>
        <v>390</v>
      </c>
      <c r="F145" s="8">
        <f>'Prestige Patterns'!$B$5*('Prestige Patterns'!$B$6^E144-'Prestige Patterns'!$B$6^(E144+G145))/(1-'Prestige Patterns'!$B$6)</f>
        <v>699354428.88522565</v>
      </c>
      <c r="G145" s="8">
        <f>FLOOR(LOG('Prestige Patterns'!$B$6^(E144) - (D144*(1-'Prestige Patterns'!$B$6)/'Prestige Patterns'!$B$5),'Prestige Patterns'!$B$6)-E144,1)</f>
        <v>1</v>
      </c>
      <c r="H145">
        <f t="shared" si="2"/>
        <v>352</v>
      </c>
      <c r="I145" s="5">
        <f>1+H145*'Prestige Patterns'!$B$25</f>
        <v>4.5199999999999996</v>
      </c>
      <c r="J145">
        <f>FLOOR((K145/'Prestige Patterns'!$B$22)^'Prestige Patterns'!$B$23,1)-H144</f>
        <v>179</v>
      </c>
      <c r="K145" s="8">
        <f>K144+N144*'Prestige Patterns'!$B$20</f>
        <v>28242816138</v>
      </c>
      <c r="L145" s="2">
        <f>IF(J144&gt;='Prestige Patterns'!$B$28,IF(J144/(H144+1)&gt;('Prestige Patterns'!$B$27+1),L144+1,L144),L144)</f>
        <v>3</v>
      </c>
      <c r="N145">
        <f t="shared" si="0"/>
        <v>18051072</v>
      </c>
      <c r="O145" s="3">
        <f>'Prestige Patterns'!$B$4*E145</f>
        <v>7800</v>
      </c>
      <c r="P145">
        <f t="shared" si="3"/>
        <v>512</v>
      </c>
      <c r="Q145" s="5"/>
      <c r="R145" s="5"/>
      <c r="S145" s="3">
        <v>144</v>
      </c>
      <c r="T145" s="5"/>
    </row>
    <row r="146" spans="1:20" ht="12">
      <c r="A146" s="1"/>
      <c r="B146" s="1"/>
      <c r="C146" s="2">
        <f>(S146*'Prestige Patterns'!$B$20)/60</f>
        <v>72.5</v>
      </c>
      <c r="D146" s="2">
        <f>IF(L145=L146,N145*'Prestige Patterns'!$B$20+D145-F146,0)</f>
        <v>645903983.08071434</v>
      </c>
      <c r="E146" s="3">
        <f t="shared" si="1"/>
        <v>391</v>
      </c>
      <c r="F146" s="8">
        <f>'Prestige Patterns'!$B$5*('Prestige Patterns'!$B$6^E145-'Prestige Patterns'!$B$6^(E145+G146))/(1-'Prestige Patterns'!$B$6)</f>
        <v>734322150.3294915</v>
      </c>
      <c r="G146" s="8">
        <f>FLOOR(LOG('Prestige Patterns'!$B$6^(E145) - (D145*(1-'Prestige Patterns'!$B$6)/'Prestige Patterns'!$B$5),'Prestige Patterns'!$B$6)-E145,1)</f>
        <v>1</v>
      </c>
      <c r="H146">
        <f t="shared" si="2"/>
        <v>352</v>
      </c>
      <c r="I146" s="5">
        <f>1+H146*'Prestige Patterns'!$B$25</f>
        <v>4.5199999999999996</v>
      </c>
      <c r="J146">
        <f>FLOOR((K146/'Prestige Patterns'!$B$22)^'Prestige Patterns'!$B$23,1)-H145</f>
        <v>184</v>
      </c>
      <c r="K146" s="8">
        <f>K145+N145*'Prestige Patterns'!$B$20</f>
        <v>28784348298</v>
      </c>
      <c r="L146" s="2">
        <f>IF(J145&gt;='Prestige Patterns'!$B$28,IF(J145/(H145+1)&gt;('Prestige Patterns'!$B$27+1),L145+1,L145),L145)</f>
        <v>3</v>
      </c>
      <c r="N146">
        <f t="shared" si="0"/>
        <v>18097356.799999997</v>
      </c>
      <c r="O146" s="3">
        <f>'Prestige Patterns'!$B$4*E146</f>
        <v>7820</v>
      </c>
      <c r="P146">
        <f t="shared" si="3"/>
        <v>512</v>
      </c>
      <c r="Q146" s="5"/>
      <c r="R146" s="5"/>
      <c r="S146" s="3">
        <v>145</v>
      </c>
      <c r="T146" s="5"/>
    </row>
    <row r="147" spans="1:20" ht="12">
      <c r="A147" s="1"/>
      <c r="B147" s="1"/>
      <c r="C147" s="2">
        <f>(S147*'Prestige Patterns'!$B$20)/60</f>
        <v>73</v>
      </c>
      <c r="D147" s="2">
        <f>IF(L146=L147,N146*'Prestige Patterns'!$B$20+D146-F147,0)</f>
        <v>1188824687.0807142</v>
      </c>
      <c r="E147" s="3">
        <f t="shared" si="1"/>
        <v>391</v>
      </c>
      <c r="F147" s="8">
        <f>'Prestige Patterns'!$B$5*('Prestige Patterns'!$B$6^E146-'Prestige Patterns'!$B$6^(E146+G147))/(1-'Prestige Patterns'!$B$6)</f>
        <v>0</v>
      </c>
      <c r="G147" s="8">
        <f>FLOOR(LOG('Prestige Patterns'!$B$6^(E146) - (D146*(1-'Prestige Patterns'!$B$6)/'Prestige Patterns'!$B$5),'Prestige Patterns'!$B$6)-E146,1)</f>
        <v>0</v>
      </c>
      <c r="H147">
        <f t="shared" si="2"/>
        <v>352</v>
      </c>
      <c r="I147" s="5">
        <f>1+H147*'Prestige Patterns'!$B$25</f>
        <v>4.5199999999999996</v>
      </c>
      <c r="J147">
        <f>FLOOR((K147/'Prestige Patterns'!$B$22)^'Prestige Patterns'!$B$23,1)-H146</f>
        <v>189</v>
      </c>
      <c r="K147" s="8">
        <f>K146+N146*'Prestige Patterns'!$B$20</f>
        <v>29327269002</v>
      </c>
      <c r="L147" s="2">
        <f>IF(J146&gt;='Prestige Patterns'!$B$28,IF(J146/(H146+1)&gt;('Prestige Patterns'!$B$27+1),L146+1,L146),L146)</f>
        <v>3</v>
      </c>
      <c r="N147">
        <f t="shared" si="0"/>
        <v>18097356.799999997</v>
      </c>
      <c r="O147" s="3">
        <f>'Prestige Patterns'!$B$4*E147</f>
        <v>7820</v>
      </c>
      <c r="P147">
        <f t="shared" si="3"/>
        <v>512</v>
      </c>
      <c r="Q147" s="5"/>
      <c r="R147" s="5"/>
      <c r="S147" s="3">
        <v>146</v>
      </c>
      <c r="T147" s="5"/>
    </row>
    <row r="148" spans="1:20" ht="12">
      <c r="A148" s="1"/>
      <c r="B148" s="1"/>
      <c r="C148" s="2">
        <f>(S148*'Prestige Patterns'!$B$20)/60</f>
        <v>73.5</v>
      </c>
      <c r="D148" s="2">
        <f>IF(L147=L148,N147*'Prestige Patterns'!$B$20+D147-F148,0)</f>
        <v>960707133.23475051</v>
      </c>
      <c r="E148" s="3">
        <f t="shared" si="1"/>
        <v>392</v>
      </c>
      <c r="F148" s="8">
        <f>'Prestige Patterns'!$B$5*('Prestige Patterns'!$B$6^E147-'Prestige Patterns'!$B$6^(E147+G148))/(1-'Prestige Patterns'!$B$6)</f>
        <v>771038257.84596372</v>
      </c>
      <c r="G148" s="8">
        <f>FLOOR(LOG('Prestige Patterns'!$B$6^(E147) - (D147*(1-'Prestige Patterns'!$B$6)/'Prestige Patterns'!$B$5),'Prestige Patterns'!$B$6)-E147,1)</f>
        <v>1</v>
      </c>
      <c r="H148">
        <f t="shared" si="2"/>
        <v>352</v>
      </c>
      <c r="I148" s="5">
        <f>1+H148*'Prestige Patterns'!$B$25</f>
        <v>4.5199999999999996</v>
      </c>
      <c r="J148">
        <f>FLOOR((K148/'Prestige Patterns'!$B$22)^'Prestige Patterns'!$B$23,1)-H147</f>
        <v>194</v>
      </c>
      <c r="K148" s="8">
        <f>K147+N147*'Prestige Patterns'!$B$20</f>
        <v>29870189706</v>
      </c>
      <c r="L148" s="2">
        <f>IF(J147&gt;='Prestige Patterns'!$B$28,IF(J147/(H147+1)&gt;('Prestige Patterns'!$B$27+1),L147+1,L147),L147)</f>
        <v>3</v>
      </c>
      <c r="N148">
        <f t="shared" si="0"/>
        <v>18143641.599999998</v>
      </c>
      <c r="O148" s="3">
        <f>'Prestige Patterns'!$B$4*E148</f>
        <v>7840</v>
      </c>
      <c r="P148">
        <f t="shared" si="3"/>
        <v>512</v>
      </c>
      <c r="Q148" s="5"/>
      <c r="R148" s="5"/>
      <c r="S148" s="3">
        <v>147</v>
      </c>
      <c r="T148" s="5"/>
    </row>
    <row r="149" spans="1:20" ht="12">
      <c r="A149" s="1"/>
      <c r="B149" s="1"/>
      <c r="C149" s="2">
        <f>(S149*'Prestige Patterns'!$B$20)/60</f>
        <v>74</v>
      </c>
      <c r="D149" s="2">
        <f>IF(L148=L149,N148*'Prestige Patterns'!$B$20+D148-F149,0)</f>
        <v>695426210.49648786</v>
      </c>
      <c r="E149" s="3">
        <f t="shared" si="1"/>
        <v>393</v>
      </c>
      <c r="F149" s="8">
        <f>'Prestige Patterns'!$B$5*('Prestige Patterns'!$B$6^E148-'Prestige Patterns'!$B$6^(E148+G149))/(1-'Prestige Patterns'!$B$6)</f>
        <v>809590170.73826241</v>
      </c>
      <c r="G149" s="8">
        <f>FLOOR(LOG('Prestige Patterns'!$B$6^(E148) - (D148*(1-'Prestige Patterns'!$B$6)/'Prestige Patterns'!$B$5),'Prestige Patterns'!$B$6)-E148,1)</f>
        <v>1</v>
      </c>
      <c r="H149">
        <f t="shared" si="2"/>
        <v>352</v>
      </c>
      <c r="I149" s="5">
        <f>1+H149*'Prestige Patterns'!$B$25</f>
        <v>4.5199999999999996</v>
      </c>
      <c r="J149">
        <f>FLOOR((K149/'Prestige Patterns'!$B$22)^'Prestige Patterns'!$B$23,1)-H148</f>
        <v>199</v>
      </c>
      <c r="K149" s="8">
        <f>K148+N148*'Prestige Patterns'!$B$20</f>
        <v>30414498954</v>
      </c>
      <c r="L149" s="2">
        <f>IF(J148&gt;='Prestige Patterns'!$B$28,IF(J148/(H148+1)&gt;('Prestige Patterns'!$B$27+1),L148+1,L148),L148)</f>
        <v>3</v>
      </c>
      <c r="N149">
        <f t="shared" si="0"/>
        <v>18189926.399999999</v>
      </c>
      <c r="O149" s="3">
        <f>'Prestige Patterns'!$B$4*E149</f>
        <v>7860</v>
      </c>
      <c r="P149">
        <f t="shared" si="3"/>
        <v>512</v>
      </c>
      <c r="Q149" s="5"/>
      <c r="R149" s="5"/>
      <c r="S149" s="3">
        <v>148</v>
      </c>
      <c r="T149" s="5"/>
    </row>
    <row r="150" spans="1:20" ht="12">
      <c r="A150" s="1"/>
      <c r="B150" s="1"/>
      <c r="C150" s="2">
        <f>(S150*'Prestige Patterns'!$B$20)/60</f>
        <v>74.5</v>
      </c>
      <c r="D150" s="2">
        <f>IF(L149=L150,N149*'Prestige Patterns'!$B$20+D149-F150,0)</f>
        <v>1241124002.4964879</v>
      </c>
      <c r="E150" s="3">
        <f t="shared" si="1"/>
        <v>393</v>
      </c>
      <c r="F150" s="8">
        <f>'Prestige Patterns'!$B$5*('Prestige Patterns'!$B$6^E149-'Prestige Patterns'!$B$6^(E149+G150))/(1-'Prestige Patterns'!$B$6)</f>
        <v>0</v>
      </c>
      <c r="G150" s="8">
        <f>FLOOR(LOG('Prestige Patterns'!$B$6^(E149) - (D149*(1-'Prestige Patterns'!$B$6)/'Prestige Patterns'!$B$5),'Prestige Patterns'!$B$6)-E149,1)</f>
        <v>0</v>
      </c>
      <c r="H150">
        <f t="shared" si="2"/>
        <v>352</v>
      </c>
      <c r="I150" s="5">
        <f>1+H150*'Prestige Patterns'!$B$25</f>
        <v>4.5199999999999996</v>
      </c>
      <c r="J150">
        <f>FLOOR((K150/'Prestige Patterns'!$B$22)^'Prestige Patterns'!$B$23,1)-H149</f>
        <v>204</v>
      </c>
      <c r="K150" s="8">
        <f>K149+N149*'Prestige Patterns'!$B$20</f>
        <v>30960196746</v>
      </c>
      <c r="L150" s="2">
        <f>IF(J149&gt;='Prestige Patterns'!$B$28,IF(J149/(H149+1)&gt;('Prestige Patterns'!$B$27+1),L149+1,L149),L149)</f>
        <v>3</v>
      </c>
      <c r="N150">
        <f t="shared" si="0"/>
        <v>18189926.399999999</v>
      </c>
      <c r="O150" s="3">
        <f>'Prestige Patterns'!$B$4*E150</f>
        <v>7860</v>
      </c>
      <c r="P150">
        <f t="shared" si="3"/>
        <v>512</v>
      </c>
      <c r="Q150" s="5"/>
      <c r="R150" s="5"/>
      <c r="S150" s="3">
        <v>149</v>
      </c>
      <c r="T150" s="5"/>
    </row>
    <row r="151" spans="1:20" ht="12">
      <c r="A151" s="1"/>
      <c r="B151" s="1"/>
      <c r="C151" s="2">
        <f>(S151*'Prestige Patterns'!$B$20)/60</f>
        <v>75</v>
      </c>
      <c r="D151" s="2">
        <f>IF(L150=L151,N150*'Prestige Patterns'!$B$20+D150-F151,0)</f>
        <v>936752115.22130966</v>
      </c>
      <c r="E151" s="3">
        <f t="shared" si="1"/>
        <v>394</v>
      </c>
      <c r="F151" s="8">
        <f>'Prestige Patterns'!$B$5*('Prestige Patterns'!$B$6^E150-'Prestige Patterns'!$B$6^(E150+G151))/(1-'Prestige Patterns'!$B$6)</f>
        <v>850069679.27517819</v>
      </c>
      <c r="G151" s="8">
        <f>FLOOR(LOG('Prestige Patterns'!$B$6^(E150) - (D150*(1-'Prestige Patterns'!$B$6)/'Prestige Patterns'!$B$5),'Prestige Patterns'!$B$6)-E150,1)</f>
        <v>1</v>
      </c>
      <c r="H151">
        <f t="shared" si="2"/>
        <v>352</v>
      </c>
      <c r="I151" s="5">
        <f>1+H151*'Prestige Patterns'!$B$25</f>
        <v>4.5199999999999996</v>
      </c>
      <c r="J151">
        <f>FLOOR((K151/'Prestige Patterns'!$B$22)^'Prestige Patterns'!$B$23,1)-H150</f>
        <v>209</v>
      </c>
      <c r="K151" s="8">
        <f>K150+N150*'Prestige Patterns'!$B$20</f>
        <v>31505894538</v>
      </c>
      <c r="L151" s="2">
        <f>IF(J150&gt;='Prestige Patterns'!$B$28,IF(J150/(H150+1)&gt;('Prestige Patterns'!$B$27+1),L150+1,L150),L150)</f>
        <v>3</v>
      </c>
      <c r="N151">
        <f t="shared" si="0"/>
        <v>18236211.199999999</v>
      </c>
      <c r="O151" s="3">
        <f>'Prestige Patterns'!$B$4*E151</f>
        <v>7880</v>
      </c>
      <c r="P151">
        <f t="shared" si="3"/>
        <v>512</v>
      </c>
      <c r="Q151" s="5"/>
      <c r="R151" s="5"/>
      <c r="S151" s="3">
        <v>150</v>
      </c>
      <c r="T151" s="5"/>
    </row>
    <row r="152" spans="1:20" ht="12">
      <c r="A152" s="1"/>
      <c r="B152" s="1"/>
      <c r="C152" s="2">
        <f>(S152*'Prestige Patterns'!$B$20)/60</f>
        <v>75.5</v>
      </c>
      <c r="D152" s="2">
        <f>IF(L151=L152,N151*'Prestige Patterns'!$B$20+D151-F152,0)</f>
        <v>591265287.98237741</v>
      </c>
      <c r="E152" s="3">
        <f t="shared" si="1"/>
        <v>395</v>
      </c>
      <c r="F152" s="8">
        <f>'Prestige Patterns'!$B$5*('Prestige Patterns'!$B$6^E151-'Prestige Patterns'!$B$6^(E151+G152))/(1-'Prestige Patterns'!$B$6)</f>
        <v>892573163.23893225</v>
      </c>
      <c r="G152" s="8">
        <f>FLOOR(LOG('Prestige Patterns'!$B$6^(E151) - (D151*(1-'Prestige Patterns'!$B$6)/'Prestige Patterns'!$B$5),'Prestige Patterns'!$B$6)-E151,1)</f>
        <v>1</v>
      </c>
      <c r="H152">
        <f t="shared" si="2"/>
        <v>352</v>
      </c>
      <c r="I152" s="5">
        <f>1+H152*'Prestige Patterns'!$B$25</f>
        <v>4.5199999999999996</v>
      </c>
      <c r="J152">
        <f>FLOOR((K152/'Prestige Patterns'!$B$22)^'Prestige Patterns'!$B$23,1)-H151</f>
        <v>214</v>
      </c>
      <c r="K152" s="8">
        <f>K151+N151*'Prestige Patterns'!$B$20</f>
        <v>32052980874</v>
      </c>
      <c r="L152" s="2">
        <f>IF(J151&gt;='Prestige Patterns'!$B$28,IF(J151/(H151+1)&gt;('Prestige Patterns'!$B$27+1),L151+1,L151),L151)</f>
        <v>3</v>
      </c>
      <c r="N152">
        <f t="shared" si="0"/>
        <v>18282496</v>
      </c>
      <c r="O152" s="3">
        <f>'Prestige Patterns'!$B$4*E152</f>
        <v>7900</v>
      </c>
      <c r="P152">
        <f t="shared" si="3"/>
        <v>512</v>
      </c>
      <c r="Q152" s="5"/>
      <c r="R152" s="5"/>
      <c r="S152" s="3">
        <v>151</v>
      </c>
      <c r="T152" s="5"/>
    </row>
    <row r="153" spans="1:20" ht="12">
      <c r="A153" s="1"/>
      <c r="B153" s="1"/>
      <c r="C153" s="2">
        <f>(S153*'Prestige Patterns'!$B$20)/60</f>
        <v>76</v>
      </c>
      <c r="D153" s="2">
        <f>IF(L152=L153,N152*'Prestige Patterns'!$B$20+D152-F153,0)</f>
        <v>1139740167.9823775</v>
      </c>
      <c r="E153" s="3">
        <f t="shared" si="1"/>
        <v>395</v>
      </c>
      <c r="F153" s="8">
        <f>'Prestige Patterns'!$B$5*('Prestige Patterns'!$B$6^E152-'Prestige Patterns'!$B$6^(E152+G153))/(1-'Prestige Patterns'!$B$6)</f>
        <v>0</v>
      </c>
      <c r="G153" s="8">
        <f>FLOOR(LOG('Prestige Patterns'!$B$6^(E152) - (D152*(1-'Prestige Patterns'!$B$6)/'Prestige Patterns'!$B$5),'Prestige Patterns'!$B$6)-E152,1)</f>
        <v>0</v>
      </c>
      <c r="H153">
        <f t="shared" si="2"/>
        <v>352</v>
      </c>
      <c r="I153" s="5">
        <f>1+H153*'Prestige Patterns'!$B$25</f>
        <v>4.5199999999999996</v>
      </c>
      <c r="J153">
        <f>FLOOR((K153/'Prestige Patterns'!$B$22)^'Prestige Patterns'!$B$23,1)-H152</f>
        <v>218</v>
      </c>
      <c r="K153" s="8">
        <f>K152+N152*'Prestige Patterns'!$B$20</f>
        <v>32601455754</v>
      </c>
      <c r="L153" s="2">
        <f>IF(J152&gt;='Prestige Patterns'!$B$28,IF(J152/(H152+1)&gt;('Prestige Patterns'!$B$27+1),L152+1,L152),L152)</f>
        <v>3</v>
      </c>
      <c r="N153">
        <f t="shared" si="0"/>
        <v>18282496</v>
      </c>
      <c r="O153" s="3">
        <f>'Prestige Patterns'!$B$4*E153</f>
        <v>7900</v>
      </c>
      <c r="P153">
        <f t="shared" si="3"/>
        <v>512</v>
      </c>
      <c r="Q153" s="5"/>
      <c r="R153" s="5"/>
      <c r="S153" s="3">
        <v>152</v>
      </c>
      <c r="T153" s="5"/>
    </row>
    <row r="154" spans="1:20" ht="12">
      <c r="A154" s="1"/>
      <c r="B154" s="1"/>
      <c r="C154" s="2">
        <f>(S154*'Prestige Patterns'!$B$20)/60</f>
        <v>76.5</v>
      </c>
      <c r="D154" s="2">
        <f>IF(L153=L154,N153*'Prestige Patterns'!$B$20+D153-F154,0)</f>
        <v>751013226.58149755</v>
      </c>
      <c r="E154" s="3">
        <f t="shared" si="1"/>
        <v>396</v>
      </c>
      <c r="F154" s="8">
        <f>'Prestige Patterns'!$B$5*('Prestige Patterns'!$B$6^E153-'Prestige Patterns'!$B$6^(E153+G154))/(1-'Prestige Patterns'!$B$6)</f>
        <v>937201821.40087998</v>
      </c>
      <c r="G154" s="8">
        <f>FLOOR(LOG('Prestige Patterns'!$B$6^(E153) - (D153*(1-'Prestige Patterns'!$B$6)/'Prestige Patterns'!$B$5),'Prestige Patterns'!$B$6)-E153,1)</f>
        <v>1</v>
      </c>
      <c r="H154">
        <f t="shared" si="2"/>
        <v>352</v>
      </c>
      <c r="I154" s="5">
        <f>1+H154*'Prestige Patterns'!$B$25</f>
        <v>4.5199999999999996</v>
      </c>
      <c r="J154">
        <f>FLOOR((K154/'Prestige Patterns'!$B$22)^'Prestige Patterns'!$B$23,1)-H153</f>
        <v>223</v>
      </c>
      <c r="K154" s="8">
        <f>K153+N153*'Prestige Patterns'!$B$20</f>
        <v>33149930634</v>
      </c>
      <c r="L154" s="2">
        <f>IF(J153&gt;='Prestige Patterns'!$B$28,IF(J153/(H153+1)&gt;('Prestige Patterns'!$B$27+1),L153+1,L153),L153)</f>
        <v>3</v>
      </c>
      <c r="N154">
        <f t="shared" si="0"/>
        <v>18328780.799999997</v>
      </c>
      <c r="O154" s="3">
        <f>'Prestige Patterns'!$B$4*E154</f>
        <v>7920</v>
      </c>
      <c r="P154">
        <f t="shared" si="3"/>
        <v>512</v>
      </c>
      <c r="Q154" s="5"/>
      <c r="R154" s="5"/>
      <c r="S154" s="3">
        <v>153</v>
      </c>
      <c r="T154" s="5"/>
    </row>
    <row r="155" spans="1:20" ht="12">
      <c r="A155" s="1"/>
      <c r="B155" s="1"/>
      <c r="C155" s="2">
        <f>(S155*'Prestige Patterns'!$B$20)/60</f>
        <v>77</v>
      </c>
      <c r="D155" s="2">
        <f>IF(L154=L155,N154*'Prestige Patterns'!$B$20+D154-F155,0)</f>
        <v>1300876650.5814974</v>
      </c>
      <c r="E155" s="3">
        <f t="shared" si="1"/>
        <v>396</v>
      </c>
      <c r="F155" s="8">
        <f>'Prestige Patterns'!$B$5*('Prestige Patterns'!$B$6^E154-'Prestige Patterns'!$B$6^(E154+G155))/(1-'Prestige Patterns'!$B$6)</f>
        <v>0</v>
      </c>
      <c r="G155" s="8">
        <f>FLOOR(LOG('Prestige Patterns'!$B$6^(E154) - (D154*(1-'Prestige Patterns'!$B$6)/'Prestige Patterns'!$B$5),'Prestige Patterns'!$B$6)-E154,1)</f>
        <v>0</v>
      </c>
      <c r="H155">
        <f t="shared" si="2"/>
        <v>352</v>
      </c>
      <c r="I155" s="5">
        <f>1+H155*'Prestige Patterns'!$B$25</f>
        <v>4.5199999999999996</v>
      </c>
      <c r="J155">
        <f>FLOOR((K155/'Prestige Patterns'!$B$22)^'Prestige Patterns'!$B$23,1)-H154</f>
        <v>228</v>
      </c>
      <c r="K155" s="8">
        <f>K154+N154*'Prestige Patterns'!$B$20</f>
        <v>33699794058</v>
      </c>
      <c r="L155" s="2">
        <f>IF(J154&gt;='Prestige Patterns'!$B$28,IF(J154/(H154+1)&gt;('Prestige Patterns'!$B$27+1),L154+1,L154),L154)</f>
        <v>3</v>
      </c>
      <c r="N155">
        <f t="shared" si="0"/>
        <v>18328780.799999997</v>
      </c>
      <c r="O155" s="3">
        <f>'Prestige Patterns'!$B$4*E155</f>
        <v>7920</v>
      </c>
      <c r="P155">
        <f t="shared" si="3"/>
        <v>512</v>
      </c>
      <c r="Q155" s="5"/>
      <c r="R155" s="5"/>
      <c r="S155" s="3">
        <v>154</v>
      </c>
      <c r="T155" s="5"/>
    </row>
    <row r="156" spans="1:20" ht="12">
      <c r="A156" s="1"/>
      <c r="B156" s="1"/>
      <c r="C156" s="2">
        <f>(S156*'Prestige Patterns'!$B$20)/60</f>
        <v>77.5</v>
      </c>
      <c r="D156" s="2">
        <f>IF(L155=L156,N155*'Prestige Patterns'!$B$20+D155-F156,0)</f>
        <v>866678162.1105684</v>
      </c>
      <c r="E156" s="3">
        <f t="shared" si="1"/>
        <v>397</v>
      </c>
      <c r="F156" s="8">
        <f>'Prestige Patterns'!$B$5*('Prestige Patterns'!$B$6^E155-'Prestige Patterns'!$B$6^(E155+G156))/(1-'Prestige Patterns'!$B$6)</f>
        <v>984061912.47092879</v>
      </c>
      <c r="G156" s="8">
        <f>FLOOR(LOG('Prestige Patterns'!$B$6^(E155) - (D155*(1-'Prestige Patterns'!$B$6)/'Prestige Patterns'!$B$5),'Prestige Patterns'!$B$6)-E155,1)</f>
        <v>1</v>
      </c>
      <c r="H156">
        <f t="shared" si="2"/>
        <v>352</v>
      </c>
      <c r="I156" s="5">
        <f>1+H156*'Prestige Patterns'!$B$25</f>
        <v>4.5199999999999996</v>
      </c>
      <c r="J156">
        <f>FLOOR((K156/'Prestige Patterns'!$B$22)^'Prestige Patterns'!$B$23,1)-H155</f>
        <v>233</v>
      </c>
      <c r="K156" s="8">
        <f>K155+N155*'Prestige Patterns'!$B$20</f>
        <v>34249657482</v>
      </c>
      <c r="L156" s="2">
        <f>IF(J155&gt;='Prestige Patterns'!$B$28,IF(J155/(H155+1)&gt;('Prestige Patterns'!$B$27+1),L155+1,L155),L155)</f>
        <v>3</v>
      </c>
      <c r="N156">
        <f t="shared" si="0"/>
        <v>18375065.599999998</v>
      </c>
      <c r="O156" s="3">
        <f>'Prestige Patterns'!$B$4*E156</f>
        <v>7940</v>
      </c>
      <c r="P156">
        <f t="shared" si="3"/>
        <v>512</v>
      </c>
      <c r="Q156" s="5"/>
      <c r="R156" s="5"/>
      <c r="S156" s="3">
        <v>155</v>
      </c>
      <c r="T156" s="5"/>
    </row>
    <row r="157" spans="1:20" ht="12">
      <c r="A157" s="1"/>
      <c r="B157" s="1"/>
      <c r="C157" s="2">
        <f>(S157*'Prestige Patterns'!$B$20)/60</f>
        <v>78</v>
      </c>
      <c r="D157" s="2">
        <f>IF(L156=L157,N156*'Prestige Patterns'!$B$20+D156-F157,0)</f>
        <v>1417930130.1105683</v>
      </c>
      <c r="E157" s="3">
        <f t="shared" si="1"/>
        <v>397</v>
      </c>
      <c r="F157" s="8">
        <f>'Prestige Patterns'!$B$5*('Prestige Patterns'!$B$6^E156-'Prestige Patterns'!$B$6^(E156+G157))/(1-'Prestige Patterns'!$B$6)</f>
        <v>0</v>
      </c>
      <c r="G157" s="8">
        <f>FLOOR(LOG('Prestige Patterns'!$B$6^(E156) - (D156*(1-'Prestige Patterns'!$B$6)/'Prestige Patterns'!$B$5),'Prestige Patterns'!$B$6)-E156,1)</f>
        <v>0</v>
      </c>
      <c r="H157">
        <f t="shared" si="2"/>
        <v>352</v>
      </c>
      <c r="I157" s="5">
        <f>1+H157*'Prestige Patterns'!$B$25</f>
        <v>4.5199999999999996</v>
      </c>
      <c r="J157">
        <f>FLOOR((K157/'Prestige Patterns'!$B$22)^'Prestige Patterns'!$B$23,1)-H156</f>
        <v>237</v>
      </c>
      <c r="K157" s="8">
        <f>K156+N156*'Prestige Patterns'!$B$20</f>
        <v>34800909450</v>
      </c>
      <c r="L157" s="2">
        <f>IF(J156&gt;='Prestige Patterns'!$B$28,IF(J156/(H156+1)&gt;('Prestige Patterns'!$B$27+1),L156+1,L156),L156)</f>
        <v>3</v>
      </c>
      <c r="N157">
        <f t="shared" si="0"/>
        <v>18375065.599999998</v>
      </c>
      <c r="O157" s="3">
        <f>'Prestige Patterns'!$B$4*E157</f>
        <v>7940</v>
      </c>
      <c r="P157">
        <f t="shared" si="3"/>
        <v>512</v>
      </c>
      <c r="Q157" s="5"/>
      <c r="R157" s="5"/>
      <c r="S157" s="3">
        <v>156</v>
      </c>
      <c r="T157" s="5"/>
    </row>
    <row r="158" spans="1:20" ht="12">
      <c r="A158" s="1"/>
      <c r="B158" s="1"/>
      <c r="C158" s="2">
        <f>(S158*'Prestige Patterns'!$B$20)/60</f>
        <v>78.5</v>
      </c>
      <c r="D158" s="2">
        <f>IF(L157=L158,N157*'Prestige Patterns'!$B$20+D157-F158,0)</f>
        <v>935917090.01610088</v>
      </c>
      <c r="E158" s="3">
        <f t="shared" si="1"/>
        <v>398</v>
      </c>
      <c r="F158" s="8">
        <f>'Prestige Patterns'!$B$5*('Prestige Patterns'!$B$6^E157-'Prestige Patterns'!$B$6^(E157+G158))/(1-'Prestige Patterns'!$B$6)</f>
        <v>1033265008.0944672</v>
      </c>
      <c r="G158" s="8">
        <f>FLOOR(LOG('Prestige Patterns'!$B$6^(E157) - (D157*(1-'Prestige Patterns'!$B$6)/'Prestige Patterns'!$B$5),'Prestige Patterns'!$B$6)-E157,1)</f>
        <v>1</v>
      </c>
      <c r="H158">
        <f t="shared" si="2"/>
        <v>352</v>
      </c>
      <c r="I158" s="5">
        <f>1+H158*'Prestige Patterns'!$B$25</f>
        <v>4.5199999999999996</v>
      </c>
      <c r="J158">
        <f>FLOOR((K158/'Prestige Patterns'!$B$22)^'Prestige Patterns'!$B$23,1)-H157</f>
        <v>242</v>
      </c>
      <c r="K158" s="8">
        <f>K157+N157*'Prestige Patterns'!$B$20</f>
        <v>35352161418</v>
      </c>
      <c r="L158" s="2">
        <f>IF(J157&gt;='Prestige Patterns'!$B$28,IF(J157/(H157+1)&gt;('Prestige Patterns'!$B$27+1),L157+1,L157),L157)</f>
        <v>3</v>
      </c>
      <c r="N158">
        <f t="shared" si="0"/>
        <v>18421350.399999999</v>
      </c>
      <c r="O158" s="3">
        <f>'Prestige Patterns'!$B$4*E158</f>
        <v>7960</v>
      </c>
      <c r="P158">
        <f t="shared" si="3"/>
        <v>512</v>
      </c>
      <c r="Q158" s="5"/>
      <c r="R158" s="5"/>
      <c r="S158" s="3">
        <v>157</v>
      </c>
      <c r="T158" s="5"/>
    </row>
    <row r="159" spans="1:20" ht="12">
      <c r="A159" s="1"/>
      <c r="B159" s="1"/>
      <c r="C159" s="2">
        <f>(S159*'Prestige Patterns'!$B$20)/60</f>
        <v>79</v>
      </c>
      <c r="D159" s="2">
        <f>IF(L158=L159,N158*'Prestige Patterns'!$B$20+D158-F159,0)</f>
        <v>1488557602.0161009</v>
      </c>
      <c r="E159" s="3">
        <f t="shared" si="1"/>
        <v>398</v>
      </c>
      <c r="F159" s="8">
        <f>'Prestige Patterns'!$B$5*('Prestige Patterns'!$B$6^E158-'Prestige Patterns'!$B$6^(E158+G159))/(1-'Prestige Patterns'!$B$6)</f>
        <v>0</v>
      </c>
      <c r="G159" s="8">
        <f>FLOOR(LOG('Prestige Patterns'!$B$6^(E158) - (D158*(1-'Prestige Patterns'!$B$6)/'Prestige Patterns'!$B$5),'Prestige Patterns'!$B$6)-E158,1)</f>
        <v>0</v>
      </c>
      <c r="H159">
        <f t="shared" si="2"/>
        <v>352</v>
      </c>
      <c r="I159" s="5">
        <f>1+H159*'Prestige Patterns'!$B$25</f>
        <v>4.5199999999999996</v>
      </c>
      <c r="J159">
        <f>FLOOR((K159/'Prestige Patterns'!$B$22)^'Prestige Patterns'!$B$23,1)-H158</f>
        <v>247</v>
      </c>
      <c r="K159" s="8">
        <f>K158+N158*'Prestige Patterns'!$B$20</f>
        <v>35904801930</v>
      </c>
      <c r="L159" s="2">
        <f>IF(J158&gt;='Prestige Patterns'!$B$28,IF(J158/(H158+1)&gt;('Prestige Patterns'!$B$27+1),L158+1,L158),L158)</f>
        <v>3</v>
      </c>
      <c r="N159">
        <f t="shared" si="0"/>
        <v>18421350.399999999</v>
      </c>
      <c r="O159" s="3">
        <f>'Prestige Patterns'!$B$4*E159</f>
        <v>7960</v>
      </c>
      <c r="P159">
        <f t="shared" si="3"/>
        <v>512</v>
      </c>
      <c r="Q159" s="5"/>
      <c r="R159" s="5"/>
      <c r="S159" s="3">
        <v>158</v>
      </c>
      <c r="T159" s="5"/>
    </row>
    <row r="160" spans="1:20" ht="12">
      <c r="A160" s="1"/>
      <c r="B160" s="1"/>
      <c r="C160" s="2">
        <f>(S160*'Prestige Patterns'!$B$20)/60</f>
        <v>79.5</v>
      </c>
      <c r="D160" s="2">
        <f>IF(L159=L160,N159*'Prestige Patterns'!$B$20+D159-F160,0)</f>
        <v>956269855.51689911</v>
      </c>
      <c r="E160" s="3">
        <f t="shared" si="1"/>
        <v>399</v>
      </c>
      <c r="F160" s="8">
        <f>'Prestige Patterns'!$B$5*('Prestige Patterns'!$B$6^E159-'Prestige Patterns'!$B$6^(E159+G160))/(1-'Prestige Patterns'!$B$6)</f>
        <v>1084928258.4992018</v>
      </c>
      <c r="G160" s="8">
        <f>FLOOR(LOG('Prestige Patterns'!$B$6^(E159) - (D159*(1-'Prestige Patterns'!$B$6)/'Prestige Patterns'!$B$5),'Prestige Patterns'!$B$6)-E159,1)</f>
        <v>1</v>
      </c>
      <c r="H160">
        <f t="shared" si="2"/>
        <v>352</v>
      </c>
      <c r="I160" s="5">
        <f>1+H160*'Prestige Patterns'!$B$25</f>
        <v>4.5199999999999996</v>
      </c>
      <c r="J160">
        <f>FLOOR((K160/'Prestige Patterns'!$B$22)^'Prestige Patterns'!$B$23,1)-H159</f>
        <v>251</v>
      </c>
      <c r="K160" s="8">
        <f>K159+N159*'Prestige Patterns'!$B$20</f>
        <v>36457442442</v>
      </c>
      <c r="L160" s="2">
        <f>IF(J159&gt;='Prestige Patterns'!$B$28,IF(J159/(H159+1)&gt;('Prestige Patterns'!$B$27+1),L159+1,L159),L159)</f>
        <v>3</v>
      </c>
      <c r="N160">
        <f t="shared" si="0"/>
        <v>18467635.199999999</v>
      </c>
      <c r="O160" s="3">
        <f>'Prestige Patterns'!$B$4*E160</f>
        <v>7980</v>
      </c>
      <c r="P160">
        <f t="shared" si="3"/>
        <v>512</v>
      </c>
      <c r="Q160" s="5"/>
      <c r="R160" s="5"/>
      <c r="S160" s="3">
        <v>159</v>
      </c>
      <c r="T160" s="5"/>
    </row>
    <row r="161" spans="1:20" ht="12">
      <c r="A161" s="1"/>
      <c r="B161" s="1"/>
      <c r="C161" s="2">
        <f>(S161*'Prestige Patterns'!$B$20)/60</f>
        <v>80</v>
      </c>
      <c r="D161" s="2">
        <f>IF(L160=L161,N160*'Prestige Patterns'!$B$20+D160-F161,0)</f>
        <v>1510298911.5168991</v>
      </c>
      <c r="E161" s="3">
        <f t="shared" si="1"/>
        <v>399</v>
      </c>
      <c r="F161" s="8">
        <f>'Prestige Patterns'!$B$5*('Prestige Patterns'!$B$6^E160-'Prestige Patterns'!$B$6^(E160+G161))/(1-'Prestige Patterns'!$B$6)</f>
        <v>0</v>
      </c>
      <c r="G161" s="8">
        <f>FLOOR(LOG('Prestige Patterns'!$B$6^(E160) - (D160*(1-'Prestige Patterns'!$B$6)/'Prestige Patterns'!$B$5),'Prestige Patterns'!$B$6)-E160,1)</f>
        <v>0</v>
      </c>
      <c r="H161">
        <f t="shared" si="2"/>
        <v>352</v>
      </c>
      <c r="I161" s="5">
        <f>1+H161*'Prestige Patterns'!$B$25</f>
        <v>4.5199999999999996</v>
      </c>
      <c r="J161">
        <f>FLOOR((K161/'Prestige Patterns'!$B$22)^'Prestige Patterns'!$B$23,1)-H160</f>
        <v>256</v>
      </c>
      <c r="K161" s="8">
        <f>K160+N160*'Prestige Patterns'!$B$20</f>
        <v>37011471498</v>
      </c>
      <c r="L161" s="2">
        <f>IF(J160&gt;='Prestige Patterns'!$B$28,IF(J160/(H160+1)&gt;('Prestige Patterns'!$B$27+1),L160+1,L160),L160)</f>
        <v>3</v>
      </c>
      <c r="N161">
        <f t="shared" si="0"/>
        <v>18467635.199999999</v>
      </c>
      <c r="O161" s="3">
        <f>'Prestige Patterns'!$B$4*E161</f>
        <v>7980</v>
      </c>
      <c r="P161">
        <f t="shared" si="3"/>
        <v>512</v>
      </c>
      <c r="Q161" s="5"/>
      <c r="R161" s="5"/>
      <c r="S161" s="3">
        <v>160</v>
      </c>
      <c r="T161" s="5"/>
    </row>
    <row r="162" spans="1:20" ht="12">
      <c r="A162" s="1"/>
      <c r="B162" s="1"/>
      <c r="C162" s="2">
        <f>(S162*'Prestige Patterns'!$B$20)/60</f>
        <v>80.5</v>
      </c>
      <c r="D162" s="2">
        <f>IF(L161=L162,N161*'Prestige Patterns'!$B$20+D161-F162,0)</f>
        <v>925153296.0927496</v>
      </c>
      <c r="E162" s="3">
        <f t="shared" si="1"/>
        <v>400</v>
      </c>
      <c r="F162" s="8">
        <f>'Prestige Patterns'!$B$5*('Prestige Patterns'!$B$6^E161-'Prestige Patterns'!$B$6^(E161+G162))/(1-'Prestige Patterns'!$B$6)</f>
        <v>1139174671.4241495</v>
      </c>
      <c r="G162" s="8">
        <f>FLOOR(LOG('Prestige Patterns'!$B$6^(E161) - (D161*(1-'Prestige Patterns'!$B$6)/'Prestige Patterns'!$B$5),'Prestige Patterns'!$B$6)-E161,1)</f>
        <v>1</v>
      </c>
      <c r="H162">
        <f t="shared" si="2"/>
        <v>352</v>
      </c>
      <c r="I162" s="5">
        <f>1+H162*'Prestige Patterns'!$B$25</f>
        <v>4.5199999999999996</v>
      </c>
      <c r="J162">
        <f>FLOOR((K162/'Prestige Patterns'!$B$22)^'Prestige Patterns'!$B$23,1)-H161</f>
        <v>260</v>
      </c>
      <c r="K162" s="8">
        <f>K161+N161*'Prestige Patterns'!$B$20</f>
        <v>37565500554</v>
      </c>
      <c r="L162" s="2">
        <f>IF(J161&gt;='Prestige Patterns'!$B$28,IF(J161/(H161+1)&gt;('Prestige Patterns'!$B$27+1),L161+1,L161),L161)</f>
        <v>3</v>
      </c>
      <c r="N162">
        <f t="shared" si="0"/>
        <v>148111360</v>
      </c>
      <c r="O162" s="3">
        <f>'Prestige Patterns'!$B$4*E162</f>
        <v>8000</v>
      </c>
      <c r="P162">
        <f t="shared" si="3"/>
        <v>4096</v>
      </c>
      <c r="Q162" s="5"/>
      <c r="R162" s="5"/>
      <c r="S162" s="3">
        <v>161</v>
      </c>
      <c r="T162" s="5"/>
    </row>
    <row r="163" spans="1:20" ht="12">
      <c r="A163" s="1"/>
      <c r="B163" s="1"/>
      <c r="C163" s="2">
        <f>(S163*'Prestige Patterns'!$B$20)/60</f>
        <v>81</v>
      </c>
      <c r="D163" s="2">
        <f>IF(L162=L163,N162*'Prestige Patterns'!$B$20+D162-F163,0)</f>
        <v>5368494096.0927496</v>
      </c>
      <c r="E163" s="3">
        <f t="shared" si="1"/>
        <v>400</v>
      </c>
      <c r="F163" s="8">
        <f>'Prestige Patterns'!$B$5*('Prestige Patterns'!$B$6^E162-'Prestige Patterns'!$B$6^(E162+G163))/(1-'Prestige Patterns'!$B$6)</f>
        <v>0</v>
      </c>
      <c r="G163" s="8">
        <f>FLOOR(LOG('Prestige Patterns'!$B$6^(E162) - (D162*(1-'Prestige Patterns'!$B$6)/'Prestige Patterns'!$B$5),'Prestige Patterns'!$B$6)-E162,1)</f>
        <v>0</v>
      </c>
      <c r="H163">
        <f t="shared" si="2"/>
        <v>352</v>
      </c>
      <c r="I163" s="5">
        <f>1+H163*'Prestige Patterns'!$B$25</f>
        <v>4.5199999999999996</v>
      </c>
      <c r="J163">
        <f>FLOOR((K163/'Prestige Patterns'!$B$22)^'Prestige Patterns'!$B$23,1)-H162</f>
        <v>296</v>
      </c>
      <c r="K163" s="8">
        <f>K162+N162*'Prestige Patterns'!$B$20</f>
        <v>42008841354</v>
      </c>
      <c r="L163" s="2">
        <f>IF(J162&gt;='Prestige Patterns'!$B$28,IF(J162/(H162+1)&gt;('Prestige Patterns'!$B$27+1),L162+1,L162),L162)</f>
        <v>3</v>
      </c>
      <c r="N163">
        <f t="shared" si="0"/>
        <v>148111360</v>
      </c>
      <c r="O163" s="3">
        <f>'Prestige Patterns'!$B$4*E163</f>
        <v>8000</v>
      </c>
      <c r="P163">
        <f t="shared" si="3"/>
        <v>4096</v>
      </c>
      <c r="Q163" s="5"/>
      <c r="R163" s="5"/>
      <c r="S163" s="3">
        <v>162</v>
      </c>
      <c r="T163" s="5"/>
    </row>
    <row r="164" spans="1:20" ht="12">
      <c r="A164" s="1"/>
      <c r="B164" s="1"/>
      <c r="C164" s="2">
        <f>(S164*'Prestige Patterns'!$B$20)/60</f>
        <v>81.5</v>
      </c>
      <c r="D164" s="2">
        <f>IF(L163=L164,N163*'Prestige Patterns'!$B$20+D163-F164,0)</f>
        <v>4656350403.8871069</v>
      </c>
      <c r="E164" s="3">
        <f t="shared" si="1"/>
        <v>404</v>
      </c>
      <c r="F164" s="8">
        <f>'Prestige Patterns'!$B$5*('Prestige Patterns'!$B$6^E163-'Prestige Patterns'!$B$6^(E163+G164))/(1-'Prestige Patterns'!$B$6)</f>
        <v>5155484492.2056437</v>
      </c>
      <c r="G164" s="8">
        <f>FLOOR(LOG('Prestige Patterns'!$B$6^(E163) - (D163*(1-'Prestige Patterns'!$B$6)/'Prestige Patterns'!$B$5),'Prestige Patterns'!$B$6)-E163,1)</f>
        <v>4</v>
      </c>
      <c r="H164">
        <f t="shared" si="2"/>
        <v>352</v>
      </c>
      <c r="I164" s="5">
        <f>1+H164*'Prestige Patterns'!$B$25</f>
        <v>4.5199999999999996</v>
      </c>
      <c r="J164">
        <f>FLOOR((K164/'Prestige Patterns'!$B$22)^'Prestige Patterns'!$B$23,1)-H163</f>
        <v>329</v>
      </c>
      <c r="K164" s="8">
        <f>K163+N163*'Prestige Patterns'!$B$20</f>
        <v>46452182154</v>
      </c>
      <c r="L164" s="2">
        <f>IF(J163&gt;='Prestige Patterns'!$B$28,IF(J163/(H163+1)&gt;('Prestige Patterns'!$B$27+1),L163+1,L163),L163)</f>
        <v>3</v>
      </c>
      <c r="N164">
        <f t="shared" si="0"/>
        <v>149592473.59999999</v>
      </c>
      <c r="O164" s="3">
        <f>'Prestige Patterns'!$B$4*E164</f>
        <v>8080</v>
      </c>
      <c r="P164">
        <f t="shared" si="3"/>
        <v>4096</v>
      </c>
      <c r="Q164" s="5"/>
      <c r="R164" s="5"/>
      <c r="S164" s="3">
        <v>163</v>
      </c>
      <c r="T164" s="5"/>
    </row>
    <row r="165" spans="1:20" ht="12">
      <c r="A165" s="1"/>
      <c r="B165" s="1"/>
      <c r="C165" s="2">
        <f>(S165*'Prestige Patterns'!$B$20)/60</f>
        <v>82</v>
      </c>
      <c r="D165" s="2">
        <f>IF(L164=L165,N164*'Prestige Patterns'!$B$20+D164-F165,0)</f>
        <v>4560680809.5553112</v>
      </c>
      <c r="E165" s="3">
        <f t="shared" si="1"/>
        <v>407</v>
      </c>
      <c r="F165" s="8">
        <f>'Prestige Patterns'!$B$5*('Prestige Patterns'!$B$6^E164-'Prestige Patterns'!$B$6^(E164+G165))/(1-'Prestige Patterns'!$B$6)</f>
        <v>4583443802.3317966</v>
      </c>
      <c r="G165" s="8">
        <f>FLOOR(LOG('Prestige Patterns'!$B$6^(E164) - (D164*(1-'Prestige Patterns'!$B$6)/'Prestige Patterns'!$B$5),'Prestige Patterns'!$B$6)-E164,1)</f>
        <v>3</v>
      </c>
      <c r="H165">
        <f t="shared" si="2"/>
        <v>352</v>
      </c>
      <c r="I165" s="5">
        <f>1+H165*'Prestige Patterns'!$B$25</f>
        <v>4.5199999999999996</v>
      </c>
      <c r="J165">
        <f>FLOOR((K165/'Prestige Patterns'!$B$22)^'Prestige Patterns'!$B$23,1)-H164</f>
        <v>361</v>
      </c>
      <c r="K165" s="8">
        <f>K164+N164*'Prestige Patterns'!$B$20</f>
        <v>50939956362</v>
      </c>
      <c r="L165" s="2">
        <f>IF(J164&gt;='Prestige Patterns'!$B$28,IF(J164/(H164+1)&gt;('Prestige Patterns'!$B$27+1),L164+1,L164),L164)</f>
        <v>3</v>
      </c>
      <c r="N165">
        <f t="shared" si="0"/>
        <v>150703308.79999998</v>
      </c>
      <c r="O165" s="3">
        <f>'Prestige Patterns'!$B$4*E165</f>
        <v>8140</v>
      </c>
      <c r="P165">
        <f t="shared" si="3"/>
        <v>4096</v>
      </c>
      <c r="Q165" s="5"/>
      <c r="R165" s="5"/>
      <c r="S165" s="3">
        <v>164</v>
      </c>
      <c r="T165" s="5"/>
    </row>
    <row r="166" spans="1:20" ht="12">
      <c r="A166" s="1"/>
      <c r="B166" s="1"/>
      <c r="C166" s="2">
        <f>(S166*'Prestige Patterns'!$B$20)/60</f>
        <v>82.5</v>
      </c>
      <c r="D166" s="2">
        <f>IF(L165=L166,N165*'Prestige Patterns'!$B$20+D165-F166,0)</f>
        <v>5631466443.124733</v>
      </c>
      <c r="E166" s="3">
        <f t="shared" si="1"/>
        <v>409</v>
      </c>
      <c r="F166" s="8">
        <f>'Prestige Patterns'!$B$5*('Prestige Patterns'!$B$6^E165-'Prestige Patterns'!$B$6^(E165+G166))/(1-'Prestige Patterns'!$B$6)</f>
        <v>3450313630.4305763</v>
      </c>
      <c r="G166" s="8">
        <f>FLOOR(LOG('Prestige Patterns'!$B$6^(E165) - (D165*(1-'Prestige Patterns'!$B$6)/'Prestige Patterns'!$B$5),'Prestige Patterns'!$B$6)-E165,1)</f>
        <v>2</v>
      </c>
      <c r="H166">
        <f t="shared" si="2"/>
        <v>352</v>
      </c>
      <c r="I166" s="5">
        <f>1+H166*'Prestige Patterns'!$B$25</f>
        <v>4.5199999999999996</v>
      </c>
      <c r="J166">
        <f>FLOOR((K166/'Prestige Patterns'!$B$22)^'Prestige Patterns'!$B$23,1)-H165</f>
        <v>392</v>
      </c>
      <c r="K166" s="8">
        <f>K165+N165*'Prestige Patterns'!$B$20</f>
        <v>55461055626</v>
      </c>
      <c r="L166" s="2">
        <f>IF(J165&gt;='Prestige Patterns'!$B$28,IF(J165/(H165+1)&gt;('Prestige Patterns'!$B$27+1),L165+1,L165),L165)</f>
        <v>3</v>
      </c>
      <c r="N166">
        <f t="shared" si="0"/>
        <v>151443865.59999999</v>
      </c>
      <c r="O166" s="3">
        <f>'Prestige Patterns'!$B$4*E166</f>
        <v>8180</v>
      </c>
      <c r="P166">
        <f t="shared" si="3"/>
        <v>4096</v>
      </c>
      <c r="Q166" s="5"/>
      <c r="R166" s="5"/>
      <c r="S166" s="3">
        <v>165</v>
      </c>
      <c r="T166" s="5"/>
    </row>
    <row r="167" spans="1:20" ht="12">
      <c r="A167" s="1"/>
      <c r="B167" s="1"/>
      <c r="C167" s="2">
        <f>(S167*'Prestige Patterns'!$B$20)/60</f>
        <v>83</v>
      </c>
      <c r="D167" s="2">
        <f>IF(L166=L167,N166*'Prestige Patterns'!$B$20+D166-F167,0)</f>
        <v>6370811633.5750122</v>
      </c>
      <c r="E167" s="3">
        <f t="shared" si="1"/>
        <v>411</v>
      </c>
      <c r="F167" s="8">
        <f>'Prestige Patterns'!$B$5*('Prestige Patterns'!$B$6^E166-'Prestige Patterns'!$B$6^(E166+G167))/(1-'Prestige Patterns'!$B$6)</f>
        <v>3803970777.5497212</v>
      </c>
      <c r="G167" s="8">
        <f>FLOOR(LOG('Prestige Patterns'!$B$6^(E166) - (D166*(1-'Prestige Patterns'!$B$6)/'Prestige Patterns'!$B$5),'Prestige Patterns'!$B$6)-E166,1)</f>
        <v>2</v>
      </c>
      <c r="H167">
        <f t="shared" si="2"/>
        <v>352</v>
      </c>
      <c r="I167" s="5">
        <f>1+H167*'Prestige Patterns'!$B$25</f>
        <v>4.5199999999999996</v>
      </c>
      <c r="J167">
        <f>FLOOR((K167/'Prestige Patterns'!$B$22)^'Prestige Patterns'!$B$23,1)-H166</f>
        <v>422</v>
      </c>
      <c r="K167" s="8">
        <f>K166+N166*'Prestige Patterns'!$B$20</f>
        <v>60004371594</v>
      </c>
      <c r="L167" s="2">
        <f>IF(J166&gt;='Prestige Patterns'!$B$28,IF(J166/(H166+1)&gt;('Prestige Patterns'!$B$27+1),L166+1,L166),L166)</f>
        <v>3</v>
      </c>
      <c r="N167">
        <f t="shared" si="0"/>
        <v>152184422.39999998</v>
      </c>
      <c r="O167" s="3">
        <f>'Prestige Patterns'!$B$4*E167</f>
        <v>8220</v>
      </c>
      <c r="P167">
        <f t="shared" si="3"/>
        <v>4096</v>
      </c>
      <c r="Q167" s="5"/>
      <c r="R167" s="5"/>
      <c r="S167" s="3">
        <v>166</v>
      </c>
      <c r="T167" s="5"/>
    </row>
    <row r="168" spans="1:20" ht="12">
      <c r="A168" s="1"/>
      <c r="B168" s="1"/>
      <c r="C168" s="2">
        <f>(S168*'Prestige Patterns'!$B$20)/60</f>
        <v>83.5</v>
      </c>
      <c r="D168" s="2">
        <f>IF(L167=L168,N167*'Prestige Patterns'!$B$20+D167-F168,0)</f>
        <v>6742466523.3264523</v>
      </c>
      <c r="E168" s="3">
        <f t="shared" si="1"/>
        <v>413</v>
      </c>
      <c r="F168" s="8">
        <f>'Prestige Patterns'!$B$5*('Prestige Patterns'!$B$6^E167-'Prestige Patterns'!$B$6^(E167+G168))/(1-'Prestige Patterns'!$B$6)</f>
        <v>4193877782.24856</v>
      </c>
      <c r="G168" s="8">
        <f>FLOOR(LOG('Prestige Patterns'!$B$6^(E167) - (D167*(1-'Prestige Patterns'!$B$6)/'Prestige Patterns'!$B$5),'Prestige Patterns'!$B$6)-E167,1)</f>
        <v>2</v>
      </c>
      <c r="H168">
        <f t="shared" si="2"/>
        <v>352</v>
      </c>
      <c r="I168" s="5">
        <f>1+H168*'Prestige Patterns'!$B$25</f>
        <v>4.5199999999999996</v>
      </c>
      <c r="J168">
        <f>FLOOR((K168/'Prestige Patterns'!$B$22)^'Prestige Patterns'!$B$23,1)-H167</f>
        <v>451</v>
      </c>
      <c r="K168" s="8">
        <f>K167+N167*'Prestige Patterns'!$B$20</f>
        <v>64569904266</v>
      </c>
      <c r="L168" s="2">
        <f>IF(J167&gt;='Prestige Patterns'!$B$28,IF(J167/(H167+1)&gt;('Prestige Patterns'!$B$27+1),L167+1,L167),L167)</f>
        <v>3</v>
      </c>
      <c r="N168">
        <f t="shared" si="0"/>
        <v>152924979.19999999</v>
      </c>
      <c r="O168" s="3">
        <f>'Prestige Patterns'!$B$4*E168</f>
        <v>8260</v>
      </c>
      <c r="P168">
        <f t="shared" si="3"/>
        <v>4096</v>
      </c>
      <c r="Q168" s="5"/>
      <c r="R168" s="5"/>
      <c r="S168" s="3">
        <v>167</v>
      </c>
      <c r="T168" s="5"/>
    </row>
    <row r="169" spans="1:20" ht="12">
      <c r="A169" s="1"/>
      <c r="B169" s="1"/>
      <c r="C169" s="2">
        <f>(S169*'Prestige Patterns'!$B$20)/60</f>
        <v>84</v>
      </c>
      <c r="D169" s="2">
        <f>IF(L168=L169,N168*'Prestige Patterns'!$B$20+D168-F169,0)</f>
        <v>6706465644.3974094</v>
      </c>
      <c r="E169" s="3">
        <f t="shared" si="1"/>
        <v>415</v>
      </c>
      <c r="F169" s="8">
        <f>'Prestige Patterns'!$B$5*('Prestige Patterns'!$B$6^E168-'Prestige Patterns'!$B$6^(E168+G169))/(1-'Prestige Patterns'!$B$6)</f>
        <v>4623750254.9290428</v>
      </c>
      <c r="G169" s="8">
        <f>FLOOR(LOG('Prestige Patterns'!$B$6^(E168) - (D168*(1-'Prestige Patterns'!$B$6)/'Prestige Patterns'!$B$5),'Prestige Patterns'!$B$6)-E168,1)</f>
        <v>2</v>
      </c>
      <c r="H169">
        <f t="shared" si="2"/>
        <v>352</v>
      </c>
      <c r="I169" s="5">
        <f>1+H169*'Prestige Patterns'!$B$25</f>
        <v>4.5199999999999996</v>
      </c>
      <c r="J169">
        <f>FLOOR((K169/'Prestige Patterns'!$B$22)^'Prestige Patterns'!$B$23,1)-H168</f>
        <v>479</v>
      </c>
      <c r="K169" s="8">
        <f>K168+N168*'Prestige Patterns'!$B$20</f>
        <v>69157653642</v>
      </c>
      <c r="L169" s="2">
        <f>IF(J168&gt;='Prestige Patterns'!$B$28,IF(J168/(H168+1)&gt;('Prestige Patterns'!$B$27+1),L168+1,L168),L168)</f>
        <v>3</v>
      </c>
      <c r="N169">
        <f t="shared" si="0"/>
        <v>153665536</v>
      </c>
      <c r="O169" s="3">
        <f>'Prestige Patterns'!$B$4*E169</f>
        <v>8300</v>
      </c>
      <c r="P169">
        <f t="shared" si="3"/>
        <v>4096</v>
      </c>
      <c r="Q169" s="5"/>
      <c r="R169" s="5"/>
      <c r="S169" s="3">
        <v>168</v>
      </c>
      <c r="T169" s="5"/>
    </row>
    <row r="170" spans="1:20" ht="12">
      <c r="A170" s="1"/>
      <c r="B170" s="1"/>
      <c r="C170" s="2">
        <f>(S170*'Prestige Patterns'!$B$20)/60</f>
        <v>84.5</v>
      </c>
      <c r="D170" s="2">
        <f>IF(L169=L170,N169*'Prestige Patterns'!$B$20+D169-F170,0)</f>
        <v>6218747068.3381491</v>
      </c>
      <c r="E170" s="3">
        <f t="shared" si="1"/>
        <v>417</v>
      </c>
      <c r="F170" s="8">
        <f>'Prestige Patterns'!$B$5*('Prestige Patterns'!$B$6^E169-'Prestige Patterns'!$B$6^(E169+G170))/(1-'Prestige Patterns'!$B$6)</f>
        <v>5097684656.0592604</v>
      </c>
      <c r="G170" s="8">
        <f>FLOOR(LOG('Prestige Patterns'!$B$6^(E169) - (D169*(1-'Prestige Patterns'!$B$6)/'Prestige Patterns'!$B$5),'Prestige Patterns'!$B$6)-E169,1)</f>
        <v>2</v>
      </c>
      <c r="H170">
        <f t="shared" si="2"/>
        <v>352</v>
      </c>
      <c r="I170" s="5">
        <f>1+H170*'Prestige Patterns'!$B$25</f>
        <v>4.5199999999999996</v>
      </c>
      <c r="J170">
        <f>FLOOR((K170/'Prestige Patterns'!$B$22)^'Prestige Patterns'!$B$23,1)-H169</f>
        <v>506</v>
      </c>
      <c r="K170" s="8">
        <f>K169+N169*'Prestige Patterns'!$B$20</f>
        <v>73767619722</v>
      </c>
      <c r="L170" s="2">
        <f>IF(J169&gt;='Prestige Patterns'!$B$28,IF(J169/(H169+1)&gt;('Prestige Patterns'!$B$27+1),L169+1,L169),L169)</f>
        <v>3</v>
      </c>
      <c r="N170">
        <f t="shared" si="0"/>
        <v>154406092.79999998</v>
      </c>
      <c r="O170" s="3">
        <f>'Prestige Patterns'!$B$4*E170</f>
        <v>8340</v>
      </c>
      <c r="P170">
        <f t="shared" si="3"/>
        <v>4096</v>
      </c>
      <c r="Q170" s="5"/>
      <c r="R170" s="5"/>
      <c r="S170" s="3">
        <v>169</v>
      </c>
      <c r="T170" s="5"/>
    </row>
    <row r="171" spans="1:20" ht="12">
      <c r="A171" s="1"/>
      <c r="B171" s="1"/>
      <c r="C171" s="2">
        <f>(S171*'Prestige Patterns'!$B$20)/60</f>
        <v>85</v>
      </c>
      <c r="D171" s="2">
        <f>IF(L170=L171,N170*'Prestige Patterns'!$B$20+D170-F171,0)</f>
        <v>5230732519.0328035</v>
      </c>
      <c r="E171" s="3">
        <f t="shared" si="1"/>
        <v>419</v>
      </c>
      <c r="F171" s="8">
        <f>'Prestige Patterns'!$B$5*('Prestige Patterns'!$B$6^E170-'Prestige Patterns'!$B$6^(E170+G171))/(1-'Prestige Patterns'!$B$6)</f>
        <v>5620197333.3053446</v>
      </c>
      <c r="G171" s="8">
        <f>FLOOR(LOG('Prestige Patterns'!$B$6^(E170) - (D170*(1-'Prestige Patterns'!$B$6)/'Prestige Patterns'!$B$5),'Prestige Patterns'!$B$6)-E170,1)</f>
        <v>2</v>
      </c>
      <c r="H171">
        <f t="shared" si="2"/>
        <v>352</v>
      </c>
      <c r="I171" s="5">
        <f>1+H171*'Prestige Patterns'!$B$25</f>
        <v>4.5199999999999996</v>
      </c>
      <c r="J171">
        <f>FLOOR((K171/'Prestige Patterns'!$B$22)^'Prestige Patterns'!$B$23,1)-H170</f>
        <v>533</v>
      </c>
      <c r="K171" s="8">
        <f>K170+N170*'Prestige Patterns'!$B$20</f>
        <v>78399802506</v>
      </c>
      <c r="L171" s="2">
        <f>IF(J170&gt;='Prestige Patterns'!$B$28,IF(J170/(H170+1)&gt;('Prestige Patterns'!$B$27+1),L170+1,L170),L170)</f>
        <v>3</v>
      </c>
      <c r="N171">
        <f t="shared" si="0"/>
        <v>155146649.59999999</v>
      </c>
      <c r="O171" s="3">
        <f>'Prestige Patterns'!$B$4*E171</f>
        <v>8380</v>
      </c>
      <c r="P171">
        <f t="shared" si="3"/>
        <v>4096</v>
      </c>
      <c r="Q171" s="5"/>
      <c r="R171" s="5"/>
      <c r="S171" s="3">
        <v>170</v>
      </c>
      <c r="T171" s="5"/>
    </row>
    <row r="172" spans="1:20" ht="12">
      <c r="A172" s="1"/>
      <c r="B172" s="1"/>
      <c r="C172" s="2">
        <f>(S172*'Prestige Patterns'!$B$20)/60</f>
        <v>85.5</v>
      </c>
      <c r="D172" s="2">
        <f>IF(L171=L172,N171*'Prestige Patterns'!$B$20+D171-F172,0)</f>
        <v>0</v>
      </c>
      <c r="E172" s="3">
        <f t="shared" si="1"/>
        <v>1</v>
      </c>
      <c r="F172" s="8">
        <f>'Prestige Patterns'!$B$5*('Prestige Patterns'!$B$6^E171-'Prestige Patterns'!$B$6^(E171+G172))/(1-'Prestige Patterns'!$B$6)</f>
        <v>3022569541.4483519</v>
      </c>
      <c r="G172" s="8">
        <f>FLOOR(LOG('Prestige Patterns'!$B$6^(E171) - (D171*(1-'Prestige Patterns'!$B$6)/'Prestige Patterns'!$B$5),'Prestige Patterns'!$B$6)-E171,1)</f>
        <v>1</v>
      </c>
      <c r="H172">
        <f t="shared" si="2"/>
        <v>885</v>
      </c>
      <c r="I172" s="5">
        <f>1+H172*'Prestige Patterns'!$B$25</f>
        <v>9.85</v>
      </c>
      <c r="J172">
        <f>FLOOR((K172/'Prestige Patterns'!$B$22)^'Prestige Patterns'!$B$23,1)-H171</f>
        <v>559</v>
      </c>
      <c r="K172" s="8">
        <f>K171+N171*'Prestige Patterns'!$B$20</f>
        <v>83054201994</v>
      </c>
      <c r="L172" s="2">
        <f>IF(J171&gt;='Prestige Patterns'!$B$28,IF(J171/(H171+1)&gt;('Prestige Patterns'!$B$27+1),L171+1,L171),L171)</f>
        <v>4</v>
      </c>
      <c r="N172">
        <f t="shared" si="0"/>
        <v>806912</v>
      </c>
      <c r="O172" s="3">
        <f>'Prestige Patterns'!$B$4*E172</f>
        <v>20</v>
      </c>
      <c r="P172">
        <f t="shared" si="3"/>
        <v>4096</v>
      </c>
      <c r="Q172" s="5"/>
      <c r="R172" s="5"/>
      <c r="S172" s="3">
        <v>171</v>
      </c>
      <c r="T172" s="5"/>
    </row>
    <row r="173" spans="1:20" ht="12">
      <c r="A173" s="1"/>
      <c r="B173" s="1"/>
      <c r="C173" s="2">
        <f>(S173*'Prestige Patterns'!$B$20)/60</f>
        <v>86</v>
      </c>
      <c r="D173" s="2">
        <f>IF(L172=L173,N172*'Prestige Patterns'!$B$20+D172-F173,0)</f>
        <v>24207360</v>
      </c>
      <c r="E173" s="3">
        <f t="shared" si="1"/>
        <v>1</v>
      </c>
      <c r="F173" s="8">
        <f>'Prestige Patterns'!$B$5*('Prestige Patterns'!$B$6^E172-'Prestige Patterns'!$B$6^(E172+G173))/(1-'Prestige Patterns'!$B$6)</f>
        <v>0</v>
      </c>
      <c r="G173" s="8">
        <f>FLOOR(LOG('Prestige Patterns'!$B$6^(E172) - (D172*(1-'Prestige Patterns'!$B$6)/'Prestige Patterns'!$B$5),'Prestige Patterns'!$B$6)-E172,1)</f>
        <v>0</v>
      </c>
      <c r="H173">
        <f t="shared" si="2"/>
        <v>885</v>
      </c>
      <c r="I173" s="5">
        <f>1+H173*'Prestige Patterns'!$B$25</f>
        <v>9.85</v>
      </c>
      <c r="J173">
        <f>FLOOR((K173/'Prestige Patterns'!$B$22)^'Prestige Patterns'!$B$23,1)-H172</f>
        <v>26</v>
      </c>
      <c r="K173" s="8">
        <f>K172+N172*'Prestige Patterns'!$B$20</f>
        <v>83078409354</v>
      </c>
      <c r="L173" s="2">
        <f>IF(J172&gt;='Prestige Patterns'!$B$28,IF(J172/(H172+1)&gt;('Prestige Patterns'!$B$27+1),L172+1,L172),L172)</f>
        <v>4</v>
      </c>
      <c r="N173">
        <f t="shared" si="0"/>
        <v>806912</v>
      </c>
      <c r="O173" s="3">
        <f>'Prestige Patterns'!$B$4*E173</f>
        <v>20</v>
      </c>
      <c r="P173">
        <f t="shared" si="3"/>
        <v>4096</v>
      </c>
      <c r="Q173" s="5"/>
      <c r="R173" s="5"/>
      <c r="S173" s="3">
        <v>172</v>
      </c>
      <c r="T173" s="5"/>
    </row>
    <row r="174" spans="1:20" ht="12">
      <c r="A174" s="1"/>
      <c r="B174" s="1"/>
      <c r="C174" s="2">
        <f>(S174*'Prestige Patterns'!$B$20)/60</f>
        <v>86.5</v>
      </c>
      <c r="D174" s="2">
        <f>IF(L173=L174,N173*'Prestige Patterns'!$B$20+D173-F174,0)</f>
        <v>24976340.026447646</v>
      </c>
      <c r="E174" s="3">
        <f t="shared" si="1"/>
        <v>258</v>
      </c>
      <c r="F174" s="8">
        <f>'Prestige Patterns'!$B$5*('Prestige Patterns'!$B$6^E173-'Prestige Patterns'!$B$6^(E173+G174))/(1-'Prestige Patterns'!$B$6)</f>
        <v>23438379.973552354</v>
      </c>
      <c r="G174" s="8">
        <f>FLOOR(LOG('Prestige Patterns'!$B$6^(E173) - (D173*(1-'Prestige Patterns'!$B$6)/'Prestige Patterns'!$B$5),'Prestige Patterns'!$B$6)-E173,1)</f>
        <v>257</v>
      </c>
      <c r="H174">
        <f t="shared" si="2"/>
        <v>885</v>
      </c>
      <c r="I174" s="5">
        <f>1+H174*'Prestige Patterns'!$B$25</f>
        <v>9.85</v>
      </c>
      <c r="J174">
        <f>FLOOR((K174/'Prestige Patterns'!$B$22)^'Prestige Patterns'!$B$23,1)-H173</f>
        <v>26</v>
      </c>
      <c r="K174" s="8">
        <f>K173+N173*'Prestige Patterns'!$B$20</f>
        <v>83102616714</v>
      </c>
      <c r="L174" s="2">
        <f>IF(J173&gt;='Prestige Patterns'!$B$28,IF(J173/(H173+1)&gt;('Prestige Patterns'!$B$27+1),L173+1,L173),L173)</f>
        <v>4</v>
      </c>
      <c r="N174">
        <f t="shared" si="0"/>
        <v>3252864</v>
      </c>
      <c r="O174" s="3">
        <f>'Prestige Patterns'!$B$4*E174</f>
        <v>5160</v>
      </c>
      <c r="P174">
        <f t="shared" si="3"/>
        <v>64</v>
      </c>
      <c r="Q174" s="5"/>
      <c r="R174" s="5"/>
      <c r="S174" s="3">
        <v>173</v>
      </c>
      <c r="T174" s="5"/>
    </row>
    <row r="175" spans="1:20" ht="12">
      <c r="A175" s="1"/>
      <c r="B175" s="1"/>
      <c r="C175" s="2">
        <f>(S175*'Prestige Patterns'!$B$20)/60</f>
        <v>87</v>
      </c>
      <c r="D175" s="2">
        <f>IF(L174=L175,N174*'Prestige Patterns'!$B$20+D174-F175,0)</f>
        <v>99594168.536441788</v>
      </c>
      <c r="E175" s="3">
        <f t="shared" si="1"/>
        <v>272</v>
      </c>
      <c r="F175" s="8">
        <f>'Prestige Patterns'!$B$5*('Prestige Patterns'!$B$6^E174-'Prestige Patterns'!$B$6^(E174+G175))/(1-'Prestige Patterns'!$B$6)</f>
        <v>22968091.490005862</v>
      </c>
      <c r="G175" s="8">
        <f>FLOOR(LOG('Prestige Patterns'!$B$6^(E174) - (D174*(1-'Prestige Patterns'!$B$6)/'Prestige Patterns'!$B$5),'Prestige Patterns'!$B$6)-E174,1)</f>
        <v>14</v>
      </c>
      <c r="H175">
        <f t="shared" si="2"/>
        <v>885</v>
      </c>
      <c r="I175" s="5">
        <f>1+H175*'Prestige Patterns'!$B$25</f>
        <v>9.85</v>
      </c>
      <c r="J175">
        <f>FLOOR((K175/'Prestige Patterns'!$B$22)^'Prestige Patterns'!$B$23,1)-H174</f>
        <v>27</v>
      </c>
      <c r="K175" s="8">
        <f>K174+N174*'Prestige Patterns'!$B$20</f>
        <v>83200202634</v>
      </c>
      <c r="L175" s="2">
        <f>IF(J174&gt;='Prestige Patterns'!$B$28,IF(J174/(H174+1)&gt;('Prestige Patterns'!$B$27+1),L174+1,L174),L174)</f>
        <v>4</v>
      </c>
      <c r="N175">
        <f t="shared" si="0"/>
        <v>3429376</v>
      </c>
      <c r="O175" s="3">
        <f>'Prestige Patterns'!$B$4*E175</f>
        <v>5440</v>
      </c>
      <c r="P175">
        <f t="shared" si="3"/>
        <v>64</v>
      </c>
      <c r="Q175" s="5"/>
      <c r="R175" s="5"/>
      <c r="S175" s="3">
        <v>174</v>
      </c>
      <c r="T175" s="5"/>
    </row>
    <row r="176" spans="1:20" ht="12">
      <c r="A176" s="1"/>
      <c r="B176" s="1"/>
      <c r="C176" s="2">
        <f>(S176*'Prestige Patterns'!$B$20)/60</f>
        <v>87.5</v>
      </c>
      <c r="D176" s="2">
        <f>IF(L175=L176,N175*'Prestige Patterns'!$B$20+D175-F176,0)</f>
        <v>106343166.46336351</v>
      </c>
      <c r="E176" s="3">
        <f t="shared" si="1"/>
        <v>295</v>
      </c>
      <c r="F176" s="8">
        <f>'Prestige Patterns'!$B$5*('Prestige Patterns'!$B$6^E175-'Prestige Patterns'!$B$6^(E175+G176))/(1-'Prestige Patterns'!$B$6)</f>
        <v>96132282.07307829</v>
      </c>
      <c r="G176" s="8">
        <f>FLOOR(LOG('Prestige Patterns'!$B$6^(E175) - (D175*(1-'Prestige Patterns'!$B$6)/'Prestige Patterns'!$B$5),'Prestige Patterns'!$B$6)-E175,1)</f>
        <v>23</v>
      </c>
      <c r="H176">
        <f t="shared" si="2"/>
        <v>885</v>
      </c>
      <c r="I176" s="5">
        <f>1+H176*'Prestige Patterns'!$B$25</f>
        <v>9.85</v>
      </c>
      <c r="J176">
        <f>FLOOR((K176/'Prestige Patterns'!$B$22)^'Prestige Patterns'!$B$23,1)-H175</f>
        <v>27</v>
      </c>
      <c r="K176" s="8">
        <f>K175+N175*'Prestige Patterns'!$B$20</f>
        <v>83303083914</v>
      </c>
      <c r="L176" s="2">
        <f>IF(J175&gt;='Prestige Patterns'!$B$28,IF(J175/(H175+1)&gt;('Prestige Patterns'!$B$27+1),L175+1,L175),L175)</f>
        <v>4</v>
      </c>
      <c r="N176">
        <f t="shared" si="0"/>
        <v>3719360</v>
      </c>
      <c r="O176" s="3">
        <f>'Prestige Patterns'!$B$4*E176</f>
        <v>5900</v>
      </c>
      <c r="P176">
        <f t="shared" si="3"/>
        <v>64</v>
      </c>
      <c r="Q176" s="5"/>
      <c r="R176" s="5"/>
      <c r="S176" s="3">
        <v>175</v>
      </c>
      <c r="T176" s="5"/>
    </row>
    <row r="177" spans="1:20" ht="12">
      <c r="A177" s="1"/>
      <c r="B177" s="1"/>
      <c r="C177" s="2">
        <f>(S177*'Prestige Patterns'!$B$20)/60</f>
        <v>88</v>
      </c>
      <c r="D177" s="2">
        <f>IF(L176=L177,N176*'Prestige Patterns'!$B$20+D176-F177,0)</f>
        <v>116673020.1009436</v>
      </c>
      <c r="E177" s="3">
        <f t="shared" si="1"/>
        <v>306</v>
      </c>
      <c r="F177" s="8">
        <f>'Prestige Patterns'!$B$5*('Prestige Patterns'!$B$6^E176-'Prestige Patterns'!$B$6^(E176+G177))/(1-'Prestige Patterns'!$B$6)</f>
        <v>101250946.36241993</v>
      </c>
      <c r="G177" s="8">
        <f>FLOOR(LOG('Prestige Patterns'!$B$6^(E176) - (D176*(1-'Prestige Patterns'!$B$6)/'Prestige Patterns'!$B$5),'Prestige Patterns'!$B$6)-E176,1)</f>
        <v>11</v>
      </c>
      <c r="H177">
        <f t="shared" si="2"/>
        <v>885</v>
      </c>
      <c r="I177" s="5">
        <f>1+H177*'Prestige Patterns'!$B$25</f>
        <v>9.85</v>
      </c>
      <c r="J177">
        <f>FLOOR((K177/'Prestige Patterns'!$B$22)^'Prestige Patterns'!$B$23,1)-H176</f>
        <v>28</v>
      </c>
      <c r="K177" s="8">
        <f>K176+N176*'Prestige Patterns'!$B$20</f>
        <v>83414664714</v>
      </c>
      <c r="L177" s="2">
        <f>IF(J176&gt;='Prestige Patterns'!$B$28,IF(J176/(H176+1)&gt;('Prestige Patterns'!$B$27+1),L176+1,L176),L176)</f>
        <v>4</v>
      </c>
      <c r="N177">
        <f t="shared" si="0"/>
        <v>30864384</v>
      </c>
      <c r="O177" s="3">
        <f>'Prestige Patterns'!$B$4*E177</f>
        <v>6120</v>
      </c>
      <c r="P177">
        <f t="shared" si="3"/>
        <v>512</v>
      </c>
      <c r="Q177" s="5"/>
      <c r="R177" s="5"/>
      <c r="S177" s="3">
        <v>176</v>
      </c>
      <c r="T177" s="5"/>
    </row>
    <row r="178" spans="1:20" ht="12">
      <c r="A178" s="1"/>
      <c r="B178" s="1"/>
      <c r="C178" s="2">
        <f>(S178*'Prestige Patterns'!$B$20)/60</f>
        <v>88.5</v>
      </c>
      <c r="D178" s="2">
        <f>IF(L177=L178,N177*'Prestige Patterns'!$B$20+D177-F178,0)</f>
        <v>926205780.6381799</v>
      </c>
      <c r="E178" s="3">
        <f t="shared" si="1"/>
        <v>314</v>
      </c>
      <c r="F178" s="8">
        <f>'Prestige Patterns'!$B$5*('Prestige Patterns'!$B$6^E177-'Prestige Patterns'!$B$6^(E177+G178))/(1-'Prestige Patterns'!$B$6)</f>
        <v>116398759.46276368</v>
      </c>
      <c r="G178" s="8">
        <f>FLOOR(LOG('Prestige Patterns'!$B$6^(E177) - (D177*(1-'Prestige Patterns'!$B$6)/'Prestige Patterns'!$B$5),'Prestige Patterns'!$B$6)-E177,1)</f>
        <v>8</v>
      </c>
      <c r="H178">
        <f t="shared" si="2"/>
        <v>885</v>
      </c>
      <c r="I178" s="5">
        <f>1+H178*'Prestige Patterns'!$B$25</f>
        <v>9.85</v>
      </c>
      <c r="J178">
        <f>FLOOR((K178/'Prestige Patterns'!$B$22)^'Prestige Patterns'!$B$23,1)-H177</f>
        <v>33</v>
      </c>
      <c r="K178" s="8">
        <f>K177+N177*'Prestige Patterns'!$B$20</f>
        <v>84340596234</v>
      </c>
      <c r="L178" s="2">
        <f>IF(J177&gt;='Prestige Patterns'!$B$28,IF(J177/(H177+1)&gt;('Prestige Patterns'!$B$27+1),L177+1,L177),L177)</f>
        <v>4</v>
      </c>
      <c r="N178">
        <f t="shared" si="0"/>
        <v>31671296</v>
      </c>
      <c r="O178" s="3">
        <f>'Prestige Patterns'!$B$4*E178</f>
        <v>6280</v>
      </c>
      <c r="P178">
        <f t="shared" si="3"/>
        <v>512</v>
      </c>
      <c r="Q178" s="5"/>
      <c r="R178" s="5"/>
      <c r="S178" s="3">
        <v>177</v>
      </c>
      <c r="T178" s="5"/>
    </row>
    <row r="179" spans="1:20" ht="12">
      <c r="A179" s="1"/>
      <c r="B179" s="1"/>
      <c r="C179" s="2">
        <f>(S179*'Prestige Patterns'!$B$20)/60</f>
        <v>89</v>
      </c>
      <c r="D179" s="2">
        <f>IF(L178=L179,N178*'Prestige Patterns'!$B$20+D178-F179,0)</f>
        <v>955820637.85791504</v>
      </c>
      <c r="E179" s="3">
        <f t="shared" si="1"/>
        <v>340</v>
      </c>
      <c r="F179" s="8">
        <f>'Prestige Patterns'!$B$5*('Prestige Patterns'!$B$6^E178-'Prestige Patterns'!$B$6^(E178+G179))/(1-'Prestige Patterns'!$B$6)</f>
        <v>920524022.78026474</v>
      </c>
      <c r="G179" s="8">
        <f>FLOOR(LOG('Prestige Patterns'!$B$6^(E178) - (D178*(1-'Prestige Patterns'!$B$6)/'Prestige Patterns'!$B$5),'Prestige Patterns'!$B$6)-E178,1)</f>
        <v>26</v>
      </c>
      <c r="H179">
        <f t="shared" si="2"/>
        <v>885</v>
      </c>
      <c r="I179" s="5">
        <f>1+H179*'Prestige Patterns'!$B$25</f>
        <v>9.85</v>
      </c>
      <c r="J179">
        <f>FLOOR((K179/'Prestige Patterns'!$B$22)^'Prestige Patterns'!$B$23,1)-H178</f>
        <v>38</v>
      </c>
      <c r="K179" s="8">
        <f>K178+N178*'Prestige Patterns'!$B$20</f>
        <v>85290735114</v>
      </c>
      <c r="L179" s="2">
        <f>IF(J178&gt;='Prestige Patterns'!$B$28,IF(J178/(H178+1)&gt;('Prestige Patterns'!$B$27+1),L178+1,L178),L178)</f>
        <v>4</v>
      </c>
      <c r="N179">
        <f t="shared" si="0"/>
        <v>34293760</v>
      </c>
      <c r="O179" s="3">
        <f>'Prestige Patterns'!$B$4*E179</f>
        <v>6800</v>
      </c>
      <c r="P179">
        <f t="shared" si="3"/>
        <v>512</v>
      </c>
      <c r="Q179" s="5"/>
      <c r="R179" s="5"/>
      <c r="S179" s="3">
        <v>178</v>
      </c>
      <c r="T179" s="5"/>
    </row>
    <row r="180" spans="1:20" ht="12">
      <c r="A180" s="1"/>
      <c r="B180" s="1"/>
      <c r="C180" s="2">
        <f>(S180*'Prestige Patterns'!$B$20)/60</f>
        <v>89.5</v>
      </c>
      <c r="D180" s="2">
        <f>IF(L179=L180,N179*'Prestige Patterns'!$B$20+D179-F180,0)</f>
        <v>1074892895.6930494</v>
      </c>
      <c r="E180" s="3">
        <f t="shared" si="1"/>
        <v>351</v>
      </c>
      <c r="F180" s="8">
        <f>'Prestige Patterns'!$B$5*('Prestige Patterns'!$B$6^E179-'Prestige Patterns'!$B$6^(E179+G180))/(1-'Prestige Patterns'!$B$6)</f>
        <v>909740542.16486561</v>
      </c>
      <c r="G180" s="8">
        <f>FLOOR(LOG('Prestige Patterns'!$B$6^(E179) - (D179*(1-'Prestige Patterns'!$B$6)/'Prestige Patterns'!$B$5),'Prestige Patterns'!$B$6)-E179,1)</f>
        <v>11</v>
      </c>
      <c r="H180">
        <f t="shared" si="2"/>
        <v>885</v>
      </c>
      <c r="I180" s="5">
        <f>1+H180*'Prestige Patterns'!$B$25</f>
        <v>9.85</v>
      </c>
      <c r="J180">
        <f>FLOOR((K180/'Prestige Patterns'!$B$22)^'Prestige Patterns'!$B$23,1)-H179</f>
        <v>44</v>
      </c>
      <c r="K180" s="8">
        <f>K179+N179*'Prestige Patterns'!$B$20</f>
        <v>86319547914</v>
      </c>
      <c r="L180" s="2">
        <f>IF(J179&gt;='Prestige Patterns'!$B$28,IF(J179/(H179+1)&gt;('Prestige Patterns'!$B$27+1),L179+1,L179),L179)</f>
        <v>4</v>
      </c>
      <c r="N180">
        <f t="shared" si="0"/>
        <v>35403264</v>
      </c>
      <c r="O180" s="3">
        <f>'Prestige Patterns'!$B$4*E180</f>
        <v>7020</v>
      </c>
      <c r="P180">
        <f t="shared" si="3"/>
        <v>512</v>
      </c>
      <c r="Q180" s="5"/>
      <c r="R180" s="5"/>
      <c r="S180" s="3">
        <v>179</v>
      </c>
      <c r="T180" s="5"/>
    </row>
    <row r="181" spans="1:20" ht="12">
      <c r="A181" s="1"/>
      <c r="B181" s="1"/>
      <c r="C181" s="2">
        <f>(S181*'Prestige Patterns'!$B$20)/60</f>
        <v>90</v>
      </c>
      <c r="D181" s="2">
        <f>IF(L180=L181,N180*'Prestige Patterns'!$B$20+D180-F181,0)</f>
        <v>1091147054.7672229</v>
      </c>
      <c r="E181" s="3">
        <f t="shared" si="1"/>
        <v>359</v>
      </c>
      <c r="F181" s="8">
        <f>'Prestige Patterns'!$B$5*('Prestige Patterns'!$B$6^E180-'Prestige Patterns'!$B$6^(E180+G181))/(1-'Prestige Patterns'!$B$6)</f>
        <v>1045843760.9258264</v>
      </c>
      <c r="G181" s="8">
        <f>FLOOR(LOG('Prestige Patterns'!$B$6^(E180) - (D180*(1-'Prestige Patterns'!$B$6)/'Prestige Patterns'!$B$5),'Prestige Patterns'!$B$6)-E180,1)</f>
        <v>8</v>
      </c>
      <c r="H181">
        <f t="shared" si="2"/>
        <v>885</v>
      </c>
      <c r="I181" s="5">
        <f>1+H181*'Prestige Patterns'!$B$25</f>
        <v>9.85</v>
      </c>
      <c r="J181">
        <f>FLOOR((K181/'Prestige Patterns'!$B$22)^'Prestige Patterns'!$B$23,1)-H180</f>
        <v>49</v>
      </c>
      <c r="K181" s="8">
        <f>K180+N180*'Prestige Patterns'!$B$20</f>
        <v>87381645834</v>
      </c>
      <c r="L181" s="2">
        <f>IF(J180&gt;='Prestige Patterns'!$B$28,IF(J180/(H180+1)&gt;('Prestige Patterns'!$B$27+1),L180+1,L180),L180)</f>
        <v>4</v>
      </c>
      <c r="N181">
        <f t="shared" si="0"/>
        <v>36210176</v>
      </c>
      <c r="O181" s="3">
        <f>'Prestige Patterns'!$B$4*E181</f>
        <v>7180</v>
      </c>
      <c r="P181">
        <f t="shared" si="3"/>
        <v>512</v>
      </c>
      <c r="Q181" s="5"/>
      <c r="R181" s="5"/>
      <c r="S181" s="3">
        <v>180</v>
      </c>
      <c r="T181" s="5"/>
    </row>
    <row r="182" spans="1:20" ht="12">
      <c r="A182" s="1"/>
      <c r="B182" s="1"/>
      <c r="C182" s="2">
        <f>(S182*'Prestige Patterns'!$B$20)/60</f>
        <v>90.5</v>
      </c>
      <c r="D182" s="2">
        <f>IF(L181=L182,N181*'Prestige Patterns'!$B$20+D181-F182,0)</f>
        <v>1283323179.0217335</v>
      </c>
      <c r="E182" s="3">
        <f t="shared" si="1"/>
        <v>364</v>
      </c>
      <c r="F182" s="8">
        <f>'Prestige Patterns'!$B$5*('Prestige Patterns'!$B$6^E181-'Prestige Patterns'!$B$6^(E181+G182))/(1-'Prestige Patterns'!$B$6)</f>
        <v>894129155.74548936</v>
      </c>
      <c r="G182" s="8">
        <f>FLOOR(LOG('Prestige Patterns'!$B$6^(E181) - (D181*(1-'Prestige Patterns'!$B$6)/'Prestige Patterns'!$B$5),'Prestige Patterns'!$B$6)-E181,1)</f>
        <v>5</v>
      </c>
      <c r="H182">
        <f t="shared" si="2"/>
        <v>885</v>
      </c>
      <c r="I182" s="5">
        <f>1+H182*'Prestige Patterns'!$B$25</f>
        <v>9.85</v>
      </c>
      <c r="J182">
        <f>FLOOR((K182/'Prestige Patterns'!$B$22)^'Prestige Patterns'!$B$23,1)-H181</f>
        <v>55</v>
      </c>
      <c r="K182" s="8">
        <f>K181+N181*'Prestige Patterns'!$B$20</f>
        <v>88467951114</v>
      </c>
      <c r="L182" s="2">
        <f>IF(J181&gt;='Prestige Patterns'!$B$28,IF(J181/(H181+1)&gt;('Prestige Patterns'!$B$27+1),L181+1,L181),L181)</f>
        <v>4</v>
      </c>
      <c r="N182">
        <f t="shared" si="0"/>
        <v>36714496</v>
      </c>
      <c r="O182" s="3">
        <f>'Prestige Patterns'!$B$4*E182</f>
        <v>7280</v>
      </c>
      <c r="P182">
        <f t="shared" si="3"/>
        <v>512</v>
      </c>
      <c r="Q182" s="5"/>
      <c r="R182" s="5"/>
      <c r="S182" s="3">
        <v>181</v>
      </c>
      <c r="T182" s="5"/>
    </row>
    <row r="183" spans="1:20" ht="12">
      <c r="A183" s="1"/>
      <c r="B183" s="1"/>
      <c r="C183" s="2">
        <f>(S183*'Prestige Patterns'!$B$20)/60</f>
        <v>91</v>
      </c>
      <c r="D183" s="2">
        <f>IF(L182=L183,N182*'Prestige Patterns'!$B$20+D182-F183,0)</f>
        <v>1243597503.050072</v>
      </c>
      <c r="E183" s="3">
        <f t="shared" si="1"/>
        <v>369</v>
      </c>
      <c r="F183" s="8">
        <f>'Prestige Patterns'!$B$5*('Prestige Patterns'!$B$6^E182-'Prestige Patterns'!$B$6^(E182+G183))/(1-'Prestige Patterns'!$B$6)</f>
        <v>1141160555.9716613</v>
      </c>
      <c r="G183" s="8">
        <f>FLOOR(LOG('Prestige Patterns'!$B$6^(E182) - (D182*(1-'Prestige Patterns'!$B$6)/'Prestige Patterns'!$B$5),'Prestige Patterns'!$B$6)-E182,1)</f>
        <v>5</v>
      </c>
      <c r="H183">
        <f t="shared" si="2"/>
        <v>885</v>
      </c>
      <c r="I183" s="5">
        <f>1+H183*'Prestige Patterns'!$B$25</f>
        <v>9.85</v>
      </c>
      <c r="J183">
        <f>FLOOR((K183/'Prestige Patterns'!$B$22)^'Prestige Patterns'!$B$23,1)-H182</f>
        <v>61</v>
      </c>
      <c r="K183" s="8">
        <f>K182+N182*'Prestige Patterns'!$B$20</f>
        <v>89569385994</v>
      </c>
      <c r="L183" s="2">
        <f>IF(J182&gt;='Prestige Patterns'!$B$28,IF(J182/(H182+1)&gt;('Prestige Patterns'!$B$27+1),L182+1,L182),L182)</f>
        <v>4</v>
      </c>
      <c r="N183">
        <f t="shared" si="0"/>
        <v>37218816</v>
      </c>
      <c r="O183" s="3">
        <f>'Prestige Patterns'!$B$4*E183</f>
        <v>7380</v>
      </c>
      <c r="P183">
        <f t="shared" si="3"/>
        <v>512</v>
      </c>
      <c r="Q183" s="5"/>
      <c r="R183" s="5"/>
      <c r="S183" s="3">
        <v>182</v>
      </c>
      <c r="T183" s="5"/>
    </row>
    <row r="184" spans="1:20" ht="12">
      <c r="A184" s="1"/>
      <c r="B184" s="1"/>
      <c r="C184" s="2">
        <f>(S184*'Prestige Patterns'!$B$20)/60</f>
        <v>91.5</v>
      </c>
      <c r="D184" s="2">
        <f>IF(L183=L184,N183*'Prestige Patterns'!$B$20+D183-F184,0)</f>
        <v>1224102127.4392323</v>
      </c>
      <c r="E184" s="3">
        <f t="shared" si="1"/>
        <v>373</v>
      </c>
      <c r="F184" s="8">
        <f>'Prestige Patterns'!$B$5*('Prestige Patterns'!$B$6^E183-'Prestige Patterns'!$B$6^(E183+G184))/(1-'Prestige Patterns'!$B$6)</f>
        <v>1136059855.6108394</v>
      </c>
      <c r="G184" s="8">
        <f>FLOOR(LOG('Prestige Patterns'!$B$6^(E183) - (D183*(1-'Prestige Patterns'!$B$6)/'Prestige Patterns'!$B$5),'Prestige Patterns'!$B$6)-E183,1)</f>
        <v>4</v>
      </c>
      <c r="H184">
        <f t="shared" si="2"/>
        <v>885</v>
      </c>
      <c r="I184" s="5">
        <f>1+H184*'Prestige Patterns'!$B$25</f>
        <v>9.85</v>
      </c>
      <c r="J184">
        <f>FLOOR((K184/'Prestige Patterns'!$B$22)^'Prestige Patterns'!$B$23,1)-H183</f>
        <v>67</v>
      </c>
      <c r="K184" s="8">
        <f>K183+N183*'Prestige Patterns'!$B$20</f>
        <v>90685950474</v>
      </c>
      <c r="L184" s="2">
        <f>IF(J183&gt;='Prestige Patterns'!$B$28,IF(J183/(H183+1)&gt;('Prestige Patterns'!$B$27+1),L183+1,L183),L183)</f>
        <v>4</v>
      </c>
      <c r="N184">
        <f t="shared" si="0"/>
        <v>37622272</v>
      </c>
      <c r="O184" s="3">
        <f>'Prestige Patterns'!$B$4*E184</f>
        <v>7460</v>
      </c>
      <c r="P184">
        <f t="shared" si="3"/>
        <v>512</v>
      </c>
      <c r="Q184" s="5"/>
      <c r="R184" s="5"/>
      <c r="S184" s="3">
        <v>183</v>
      </c>
      <c r="T184" s="5"/>
    </row>
    <row r="185" spans="1:20" ht="12">
      <c r="A185" s="1"/>
      <c r="B185" s="1"/>
      <c r="C185" s="2">
        <f>(S185*'Prestige Patterns'!$B$20)/60</f>
        <v>92</v>
      </c>
      <c r="D185" s="2">
        <f>IF(L184=L185,N184*'Prestige Patterns'!$B$20+D184-F185,0)</f>
        <v>1342765017.8763404</v>
      </c>
      <c r="E185" s="3">
        <f t="shared" si="1"/>
        <v>376</v>
      </c>
      <c r="F185" s="8">
        <f>'Prestige Patterns'!$B$5*('Prestige Patterns'!$B$6^E184-'Prestige Patterns'!$B$6^(E184+G185))/(1-'Prestige Patterns'!$B$6)</f>
        <v>1010005269.562892</v>
      </c>
      <c r="G185" s="8">
        <f>FLOOR(LOG('Prestige Patterns'!$B$6^(E184) - (D184*(1-'Prestige Patterns'!$B$6)/'Prestige Patterns'!$B$5),'Prestige Patterns'!$B$6)-E184,1)</f>
        <v>3</v>
      </c>
      <c r="H185">
        <f t="shared" si="2"/>
        <v>885</v>
      </c>
      <c r="I185" s="5">
        <f>1+H185*'Prestige Patterns'!$B$25</f>
        <v>9.85</v>
      </c>
      <c r="J185">
        <f>FLOOR((K185/'Prestige Patterns'!$B$22)^'Prestige Patterns'!$B$23,1)-H184</f>
        <v>73</v>
      </c>
      <c r="K185" s="8">
        <f>K184+N184*'Prestige Patterns'!$B$20</f>
        <v>91814618634</v>
      </c>
      <c r="L185" s="2">
        <f>IF(J184&gt;='Prestige Patterns'!$B$28,IF(J184/(H184+1)&gt;('Prestige Patterns'!$B$27+1),L184+1,L184),L184)</f>
        <v>4</v>
      </c>
      <c r="N185">
        <f t="shared" si="0"/>
        <v>37924864</v>
      </c>
      <c r="O185" s="3">
        <f>'Prestige Patterns'!$B$4*E185</f>
        <v>7520</v>
      </c>
      <c r="P185">
        <f t="shared" si="3"/>
        <v>512</v>
      </c>
      <c r="Q185" s="5"/>
      <c r="R185" s="5"/>
      <c r="S185" s="3">
        <v>184</v>
      </c>
      <c r="T185" s="5"/>
    </row>
    <row r="186" spans="1:20" ht="12">
      <c r="A186" s="1"/>
      <c r="B186" s="1"/>
      <c r="C186" s="2">
        <f>(S186*'Prestige Patterns'!$B$20)/60</f>
        <v>92.5</v>
      </c>
      <c r="D186" s="2">
        <f>IF(L185=L186,N185*'Prestige Patterns'!$B$20+D185-F186,0)</f>
        <v>1311303587.6985967</v>
      </c>
      <c r="E186" s="3">
        <f t="shared" si="1"/>
        <v>379</v>
      </c>
      <c r="F186" s="8">
        <f>'Prestige Patterns'!$B$5*('Prestige Patterns'!$B$6^E185-'Prestige Patterns'!$B$6^(E185+G186))/(1-'Prestige Patterns'!$B$6)</f>
        <v>1169207350.1777437</v>
      </c>
      <c r="G186" s="8">
        <f>FLOOR(LOG('Prestige Patterns'!$B$6^(E185) - (D185*(1-'Prestige Patterns'!$B$6)/'Prestige Patterns'!$B$5),'Prestige Patterns'!$B$6)-E185,1)</f>
        <v>3</v>
      </c>
      <c r="H186">
        <f t="shared" si="2"/>
        <v>885</v>
      </c>
      <c r="I186" s="5">
        <f>1+H186*'Prestige Patterns'!$B$25</f>
        <v>9.85</v>
      </c>
      <c r="J186">
        <f>FLOOR((K186/'Prestige Patterns'!$B$22)^'Prestige Patterns'!$B$23,1)-H185</f>
        <v>79</v>
      </c>
      <c r="K186" s="8">
        <f>K185+N185*'Prestige Patterns'!$B$20</f>
        <v>92952364554</v>
      </c>
      <c r="L186" s="2">
        <f>IF(J185&gt;='Prestige Patterns'!$B$28,IF(J185/(H185+1)&gt;('Prestige Patterns'!$B$27+1),L185+1,L185),L185)</f>
        <v>4</v>
      </c>
      <c r="N186">
        <f t="shared" si="0"/>
        <v>38227456</v>
      </c>
      <c r="O186" s="3">
        <f>'Prestige Patterns'!$B$4*E186</f>
        <v>7580</v>
      </c>
      <c r="P186">
        <f t="shared" si="3"/>
        <v>512</v>
      </c>
      <c r="Q186" s="5"/>
      <c r="R186" s="5"/>
      <c r="S186" s="3">
        <v>185</v>
      </c>
      <c r="T186" s="5"/>
    </row>
    <row r="187" spans="1:20" ht="12">
      <c r="A187" s="1"/>
      <c r="B187" s="1"/>
      <c r="C187" s="2">
        <f>(S187*'Prestige Patterns'!$B$20)/60</f>
        <v>93</v>
      </c>
      <c r="D187" s="2">
        <f>IF(L186=L187,N186*'Prestige Patterns'!$B$20+D186-F187,0)</f>
        <v>1577974214.4277034</v>
      </c>
      <c r="E187" s="3">
        <f t="shared" si="1"/>
        <v>381</v>
      </c>
      <c r="F187" s="8">
        <f>'Prestige Patterns'!$B$5*('Prestige Patterns'!$B$6^E186-'Prestige Patterns'!$B$6^(E186+G187))/(1-'Prestige Patterns'!$B$6)</f>
        <v>880153053.27089345</v>
      </c>
      <c r="G187" s="8">
        <f>FLOOR(LOG('Prestige Patterns'!$B$6^(E186) - (D186*(1-'Prestige Patterns'!$B$6)/'Prestige Patterns'!$B$5),'Prestige Patterns'!$B$6)-E186,1)</f>
        <v>2</v>
      </c>
      <c r="H187">
        <f t="shared" si="2"/>
        <v>885</v>
      </c>
      <c r="I187" s="5">
        <f>1+H187*'Prestige Patterns'!$B$25</f>
        <v>9.85</v>
      </c>
      <c r="J187">
        <f>FLOOR((K187/'Prestige Patterns'!$B$22)^'Prestige Patterns'!$B$23,1)-H186</f>
        <v>85</v>
      </c>
      <c r="K187" s="8">
        <f>K186+N186*'Prestige Patterns'!$B$20</f>
        <v>94099188234</v>
      </c>
      <c r="L187" s="2">
        <f>IF(J186&gt;='Prestige Patterns'!$B$28,IF(J186/(H186+1)&gt;('Prestige Patterns'!$B$27+1),L186+1,L186),L186)</f>
        <v>4</v>
      </c>
      <c r="N187">
        <f t="shared" si="0"/>
        <v>38429184</v>
      </c>
      <c r="O187" s="3">
        <f>'Prestige Patterns'!$B$4*E187</f>
        <v>7620</v>
      </c>
      <c r="P187">
        <f t="shared" si="3"/>
        <v>512</v>
      </c>
      <c r="Q187" s="5"/>
      <c r="R187" s="5"/>
      <c r="S187" s="3">
        <v>186</v>
      </c>
      <c r="T187" s="5"/>
    </row>
    <row r="188" spans="1:20" ht="12">
      <c r="A188" s="1"/>
      <c r="B188" s="1"/>
      <c r="C188" s="2">
        <f>(S188*'Prestige Patterns'!$B$20)/60</f>
        <v>93.5</v>
      </c>
      <c r="D188" s="2">
        <f>IF(L187=L188,N187*'Prestige Patterns'!$B$20+D187-F188,0)</f>
        <v>1238611950.6563699</v>
      </c>
      <c r="E188" s="3">
        <f t="shared" si="1"/>
        <v>384</v>
      </c>
      <c r="F188" s="8">
        <f>'Prestige Patterns'!$B$5*('Prestige Patterns'!$B$6^E187-'Prestige Patterns'!$B$6^(E187+G188))/(1-'Prestige Patterns'!$B$6)</f>
        <v>1492237783.7713335</v>
      </c>
      <c r="G188" s="8">
        <f>FLOOR(LOG('Prestige Patterns'!$B$6^(E187) - (D187*(1-'Prestige Patterns'!$B$6)/'Prestige Patterns'!$B$5),'Prestige Patterns'!$B$6)-E187,1)</f>
        <v>3</v>
      </c>
      <c r="H188">
        <f t="shared" si="2"/>
        <v>885</v>
      </c>
      <c r="I188" s="5">
        <f>1+H188*'Prestige Patterns'!$B$25</f>
        <v>9.85</v>
      </c>
      <c r="J188">
        <f>FLOOR((K188/'Prestige Patterns'!$B$22)^'Prestige Patterns'!$B$23,1)-H187</f>
        <v>90</v>
      </c>
      <c r="K188" s="8">
        <f>K187+N187*'Prestige Patterns'!$B$20</f>
        <v>95252063754</v>
      </c>
      <c r="L188" s="2">
        <f>IF(J187&gt;='Prestige Patterns'!$B$28,IF(J187/(H187+1)&gt;('Prestige Patterns'!$B$27+1),L187+1,L187),L187)</f>
        <v>4</v>
      </c>
      <c r="N188">
        <f t="shared" si="0"/>
        <v>38731776</v>
      </c>
      <c r="O188" s="3">
        <f>'Prestige Patterns'!$B$4*E188</f>
        <v>7680</v>
      </c>
      <c r="P188">
        <f t="shared" si="3"/>
        <v>512</v>
      </c>
      <c r="Q188" s="5"/>
      <c r="R188" s="5"/>
      <c r="S188" s="3">
        <v>187</v>
      </c>
      <c r="T188" s="5"/>
    </row>
    <row r="189" spans="1:20" ht="12">
      <c r="A189" s="1"/>
      <c r="B189" s="1"/>
      <c r="C189" s="2">
        <f>(S189*'Prestige Patterns'!$B$20)/60</f>
        <v>94</v>
      </c>
      <c r="D189" s="2">
        <f>IF(L188=L189,N188*'Prestige Patterns'!$B$20+D188-F189,0)</f>
        <v>1277242116.5886497</v>
      </c>
      <c r="E189" s="3">
        <f t="shared" si="1"/>
        <v>386</v>
      </c>
      <c r="F189" s="8">
        <f>'Prestige Patterns'!$B$5*('Prestige Patterns'!$B$6^E188-'Prestige Patterns'!$B$6^(E188+G189))/(1-'Prestige Patterns'!$B$6)</f>
        <v>1123323114.0677204</v>
      </c>
      <c r="G189" s="8">
        <f>FLOOR(LOG('Prestige Patterns'!$B$6^(E188) - (D188*(1-'Prestige Patterns'!$B$6)/'Prestige Patterns'!$B$5),'Prestige Patterns'!$B$6)-E188,1)</f>
        <v>2</v>
      </c>
      <c r="H189">
        <f t="shared" si="2"/>
        <v>885</v>
      </c>
      <c r="I189" s="5">
        <f>1+H189*'Prestige Patterns'!$B$25</f>
        <v>9.85</v>
      </c>
      <c r="J189">
        <f>FLOOR((K189/'Prestige Patterns'!$B$22)^'Prestige Patterns'!$B$23,1)-H188</f>
        <v>96</v>
      </c>
      <c r="K189" s="8">
        <f>K188+N188*'Prestige Patterns'!$B$20</f>
        <v>96414017034</v>
      </c>
      <c r="L189" s="2">
        <f>IF(J188&gt;='Prestige Patterns'!$B$28,IF(J188/(H188+1)&gt;('Prestige Patterns'!$B$27+1),L188+1,L188),L188)</f>
        <v>4</v>
      </c>
      <c r="N189">
        <f t="shared" si="0"/>
        <v>38933504</v>
      </c>
      <c r="O189" s="3">
        <f>'Prestige Patterns'!$B$4*E189</f>
        <v>7720</v>
      </c>
      <c r="P189">
        <f t="shared" si="3"/>
        <v>512</v>
      </c>
      <c r="Q189" s="5"/>
      <c r="R189" s="5"/>
      <c r="S189" s="3">
        <v>188</v>
      </c>
      <c r="T189" s="5"/>
    </row>
    <row r="190" spans="1:20" ht="12">
      <c r="A190" s="1"/>
      <c r="B190" s="1"/>
      <c r="C190" s="2">
        <f>(S190*'Prestige Patterns'!$B$20)/60</f>
        <v>94.5</v>
      </c>
      <c r="D190" s="2">
        <f>IF(L189=L190,N189*'Prestige Patterns'!$B$20+D189-F190,0)</f>
        <v>1206783503.328985</v>
      </c>
      <c r="E190" s="3">
        <f t="shared" si="1"/>
        <v>388</v>
      </c>
      <c r="F190" s="8">
        <f>'Prestige Patterns'!$B$5*('Prestige Patterns'!$B$6^E189-'Prestige Patterns'!$B$6^(E189+G190))/(1-'Prestige Patterns'!$B$6)</f>
        <v>1238463733.2596648</v>
      </c>
      <c r="G190" s="8">
        <f>FLOOR(LOG('Prestige Patterns'!$B$6^(E189) - (D189*(1-'Prestige Patterns'!$B$6)/'Prestige Patterns'!$B$5),'Prestige Patterns'!$B$6)-E189,1)</f>
        <v>2</v>
      </c>
      <c r="H190">
        <f t="shared" si="2"/>
        <v>885</v>
      </c>
      <c r="I190" s="5">
        <f>1+H190*'Prestige Patterns'!$B$25</f>
        <v>9.85</v>
      </c>
      <c r="J190">
        <f>FLOOR((K190/'Prestige Patterns'!$B$22)^'Prestige Patterns'!$B$23,1)-H189</f>
        <v>102</v>
      </c>
      <c r="K190" s="8">
        <f>K189+N189*'Prestige Patterns'!$B$20</f>
        <v>97582022154</v>
      </c>
      <c r="L190" s="2">
        <f>IF(J189&gt;='Prestige Patterns'!$B$28,IF(J189/(H189+1)&gt;('Prestige Patterns'!$B$27+1),L189+1,L189),L189)</f>
        <v>4</v>
      </c>
      <c r="N190">
        <f t="shared" si="0"/>
        <v>39135232</v>
      </c>
      <c r="O190" s="3">
        <f>'Prestige Patterns'!$B$4*E190</f>
        <v>7760</v>
      </c>
      <c r="P190">
        <f t="shared" si="3"/>
        <v>512</v>
      </c>
      <c r="Q190" s="5"/>
      <c r="R190" s="5"/>
      <c r="S190" s="3">
        <v>189</v>
      </c>
      <c r="T190" s="5"/>
    </row>
    <row r="191" spans="1:20" ht="12">
      <c r="A191" s="1"/>
      <c r="B191" s="1"/>
      <c r="C191" s="2">
        <f>(S191*'Prestige Patterns'!$B$20)/60</f>
        <v>95</v>
      </c>
      <c r="D191" s="2">
        <f>IF(L190=L191,N190*'Prestige Patterns'!$B$20+D190-F191,0)</f>
        <v>1714788626.2954326</v>
      </c>
      <c r="E191" s="3">
        <f t="shared" si="1"/>
        <v>389</v>
      </c>
      <c r="F191" s="8">
        <f>'Prestige Patterns'!$B$5*('Prestige Patterns'!$B$6^E190-'Prestige Patterns'!$B$6^(E190+G191))/(1-'Prestige Patterns'!$B$6)</f>
        <v>666051837.03355253</v>
      </c>
      <c r="G191" s="8">
        <f>FLOOR(LOG('Prestige Patterns'!$B$6^(E190) - (D190*(1-'Prestige Patterns'!$B$6)/'Prestige Patterns'!$B$5),'Prestige Patterns'!$B$6)-E190,1)</f>
        <v>1</v>
      </c>
      <c r="H191">
        <f t="shared" si="2"/>
        <v>885</v>
      </c>
      <c r="I191" s="5">
        <f>1+H191*'Prestige Patterns'!$B$25</f>
        <v>9.85</v>
      </c>
      <c r="J191">
        <f>FLOOR((K191/'Prestige Patterns'!$B$22)^'Prestige Patterns'!$B$23,1)-H190</f>
        <v>108</v>
      </c>
      <c r="K191" s="8">
        <f>K190+N190*'Prestige Patterns'!$B$20</f>
        <v>98756079114</v>
      </c>
      <c r="L191" s="2">
        <f>IF(J190&gt;='Prestige Patterns'!$B$28,IF(J190/(H190+1)&gt;('Prestige Patterns'!$B$27+1),L190+1,L190),L190)</f>
        <v>4</v>
      </c>
      <c r="N191">
        <f t="shared" si="0"/>
        <v>39236096</v>
      </c>
      <c r="O191" s="3">
        <f>'Prestige Patterns'!$B$4*E191</f>
        <v>7780</v>
      </c>
      <c r="P191">
        <f t="shared" si="3"/>
        <v>512</v>
      </c>
      <c r="Q191" s="5"/>
      <c r="R191" s="5"/>
      <c r="S191" s="3">
        <v>190</v>
      </c>
      <c r="T191" s="5"/>
    </row>
    <row r="192" spans="1:20" ht="12">
      <c r="A192" s="1"/>
      <c r="B192" s="1"/>
      <c r="C192" s="2">
        <f>(S192*'Prestige Patterns'!$B$20)/60</f>
        <v>95.5</v>
      </c>
      <c r="D192" s="2">
        <f>IF(L191=L192,N191*'Prestige Patterns'!$B$20+D191-F192,0)</f>
        <v>1458194927.0807154</v>
      </c>
      <c r="E192" s="3">
        <f t="shared" si="1"/>
        <v>391</v>
      </c>
      <c r="F192" s="8">
        <f>'Prestige Patterns'!$B$5*('Prestige Patterns'!$B$6^E191-'Prestige Patterns'!$B$6^(E191+G192))/(1-'Prestige Patterns'!$B$6)</f>
        <v>1433676579.2147171</v>
      </c>
      <c r="G192" s="8">
        <f>FLOOR(LOG('Prestige Patterns'!$B$6^(E191) - (D191*(1-'Prestige Patterns'!$B$6)/'Prestige Patterns'!$B$5),'Prestige Patterns'!$B$6)-E191,1)</f>
        <v>2</v>
      </c>
      <c r="H192">
        <f t="shared" si="2"/>
        <v>885</v>
      </c>
      <c r="I192" s="5">
        <f>1+H192*'Prestige Patterns'!$B$25</f>
        <v>9.85</v>
      </c>
      <c r="J192">
        <f>FLOOR((K192/'Prestige Patterns'!$B$22)^'Prestige Patterns'!$B$23,1)-H191</f>
        <v>114</v>
      </c>
      <c r="K192" s="8">
        <f>K191+N191*'Prestige Patterns'!$B$20</f>
        <v>99933161994</v>
      </c>
      <c r="L192" s="2">
        <f>IF(J191&gt;='Prestige Patterns'!$B$28,IF(J191/(H191+1)&gt;('Prestige Patterns'!$B$27+1),L191+1,L191),L191)</f>
        <v>4</v>
      </c>
      <c r="N192">
        <f t="shared" si="0"/>
        <v>39437824</v>
      </c>
      <c r="O192" s="3">
        <f>'Prestige Patterns'!$B$4*E192</f>
        <v>7820</v>
      </c>
      <c r="P192">
        <f t="shared" si="3"/>
        <v>512</v>
      </c>
      <c r="Q192" s="5"/>
      <c r="R192" s="5"/>
      <c r="S192" s="3">
        <v>191</v>
      </c>
      <c r="T192" s="5"/>
    </row>
    <row r="193" spans="1:20" ht="12">
      <c r="A193" s="1"/>
      <c r="B193" s="1"/>
      <c r="C193" s="2">
        <f>(S193*'Prestige Patterns'!$B$20)/60</f>
        <v>96</v>
      </c>
      <c r="D193" s="2">
        <f>IF(L192=L193,N192*'Prestige Patterns'!$B$20+D192-F193,0)</f>
        <v>1870291389.2347515</v>
      </c>
      <c r="E193" s="3">
        <f t="shared" si="1"/>
        <v>392</v>
      </c>
      <c r="F193" s="8">
        <f>'Prestige Patterns'!$B$5*('Prestige Patterns'!$B$6^E192-'Prestige Patterns'!$B$6^(E192+G193))/(1-'Prestige Patterns'!$B$6)</f>
        <v>771038257.84596372</v>
      </c>
      <c r="G193" s="8">
        <f>FLOOR(LOG('Prestige Patterns'!$B$6^(E192) - (D192*(1-'Prestige Patterns'!$B$6)/'Prestige Patterns'!$B$5),'Prestige Patterns'!$B$6)-E192,1)</f>
        <v>1</v>
      </c>
      <c r="H193">
        <f t="shared" si="2"/>
        <v>885</v>
      </c>
      <c r="I193" s="5">
        <f>1+H193*'Prestige Patterns'!$B$25</f>
        <v>9.85</v>
      </c>
      <c r="J193">
        <f>FLOOR((K193/'Prestige Patterns'!$B$22)^'Prestige Patterns'!$B$23,1)-H192</f>
        <v>120</v>
      </c>
      <c r="K193" s="8">
        <f>K192+N192*'Prestige Patterns'!$B$20</f>
        <v>101116296714</v>
      </c>
      <c r="L193" s="2">
        <f>IF(J192&gt;='Prestige Patterns'!$B$28,IF(J192/(H192+1)&gt;('Prestige Patterns'!$B$27+1),L192+1,L192),L192)</f>
        <v>4</v>
      </c>
      <c r="N193">
        <f t="shared" si="0"/>
        <v>39538688</v>
      </c>
      <c r="O193" s="3">
        <f>'Prestige Patterns'!$B$4*E193</f>
        <v>7840</v>
      </c>
      <c r="P193">
        <f t="shared" si="3"/>
        <v>512</v>
      </c>
      <c r="Q193" s="5"/>
      <c r="R193" s="5"/>
      <c r="S193" s="3">
        <v>192</v>
      </c>
      <c r="T193" s="5"/>
    </row>
    <row r="194" spans="1:20" ht="12">
      <c r="A194" s="1"/>
      <c r="B194" s="1"/>
      <c r="C194" s="2">
        <f>(S194*'Prestige Patterns'!$B$20)/60</f>
        <v>96.5</v>
      </c>
      <c r="D194" s="2">
        <f>IF(L193=L194,N193*'Prestige Patterns'!$B$20+D193-F194,0)</f>
        <v>1396792179.2213111</v>
      </c>
      <c r="E194" s="3">
        <f t="shared" si="1"/>
        <v>394</v>
      </c>
      <c r="F194" s="8">
        <f>'Prestige Patterns'!$B$5*('Prestige Patterns'!$B$6^E193-'Prestige Patterns'!$B$6^(E193+G194))/(1-'Prestige Patterns'!$B$6)</f>
        <v>1659659850.0134406</v>
      </c>
      <c r="G194" s="8">
        <f>FLOOR(LOG('Prestige Patterns'!$B$6^(E193) - (D193*(1-'Prestige Patterns'!$B$6)/'Prestige Patterns'!$B$5),'Prestige Patterns'!$B$6)-E193,1)</f>
        <v>2</v>
      </c>
      <c r="H194">
        <f t="shared" si="2"/>
        <v>885</v>
      </c>
      <c r="I194" s="5">
        <f>1+H194*'Prestige Patterns'!$B$25</f>
        <v>9.85</v>
      </c>
      <c r="J194">
        <f>FLOOR((K194/'Prestige Patterns'!$B$22)^'Prestige Patterns'!$B$23,1)-H193</f>
        <v>126</v>
      </c>
      <c r="K194" s="8">
        <f>K193+N193*'Prestige Patterns'!$B$20</f>
        <v>102302457354</v>
      </c>
      <c r="L194" s="2">
        <f>IF(J193&gt;='Prestige Patterns'!$B$28,IF(J193/(H193+1)&gt;('Prestige Patterns'!$B$27+1),L193+1,L193),L193)</f>
        <v>4</v>
      </c>
      <c r="N194">
        <f t="shared" si="0"/>
        <v>39740416</v>
      </c>
      <c r="O194" s="3">
        <f>'Prestige Patterns'!$B$4*E194</f>
        <v>7880</v>
      </c>
      <c r="P194">
        <f t="shared" si="3"/>
        <v>512</v>
      </c>
      <c r="Q194" s="5"/>
      <c r="R194" s="5"/>
      <c r="S194" s="3">
        <v>193</v>
      </c>
      <c r="T194" s="5"/>
    </row>
    <row r="195" spans="1:20" ht="12">
      <c r="A195" s="1"/>
      <c r="B195" s="1"/>
      <c r="C195" s="2">
        <f>(S195*'Prestige Patterns'!$B$20)/60</f>
        <v>97</v>
      </c>
      <c r="D195" s="2">
        <f>IF(L194=L195,N194*'Prestige Patterns'!$B$20+D194-F195,0)</f>
        <v>1696431495.982379</v>
      </c>
      <c r="E195" s="3">
        <f t="shared" si="1"/>
        <v>395</v>
      </c>
      <c r="F195" s="8">
        <f>'Prestige Patterns'!$B$5*('Prestige Patterns'!$B$6^E194-'Prestige Patterns'!$B$6^(E194+G195))/(1-'Prestige Patterns'!$B$6)</f>
        <v>892573163.23893225</v>
      </c>
      <c r="G195" s="8">
        <f>FLOOR(LOG('Prestige Patterns'!$B$6^(E194) - (D194*(1-'Prestige Patterns'!$B$6)/'Prestige Patterns'!$B$5),'Prestige Patterns'!$B$6)-E194,1)</f>
        <v>1</v>
      </c>
      <c r="H195">
        <f t="shared" si="2"/>
        <v>885</v>
      </c>
      <c r="I195" s="5">
        <f>1+H195*'Prestige Patterns'!$B$25</f>
        <v>9.85</v>
      </c>
      <c r="J195">
        <f>FLOOR((K195/'Prestige Patterns'!$B$22)^'Prestige Patterns'!$B$23,1)-H194</f>
        <v>132</v>
      </c>
      <c r="K195" s="8">
        <f>K194+N194*'Prestige Patterns'!$B$20</f>
        <v>103494669834</v>
      </c>
      <c r="L195" s="2">
        <f>IF(J194&gt;='Prestige Patterns'!$B$28,IF(J194/(H194+1)&gt;('Prestige Patterns'!$B$27+1),L194+1,L194),L194)</f>
        <v>4</v>
      </c>
      <c r="N195">
        <f t="shared" si="0"/>
        <v>39841280</v>
      </c>
      <c r="O195" s="3">
        <f>'Prestige Patterns'!$B$4*E195</f>
        <v>7900</v>
      </c>
      <c r="P195">
        <f t="shared" si="3"/>
        <v>512</v>
      </c>
      <c r="Q195" s="5"/>
      <c r="R195" s="5"/>
      <c r="S195" s="3">
        <v>194</v>
      </c>
      <c r="T195" s="5"/>
    </row>
    <row r="196" spans="1:20" ht="12">
      <c r="A196" s="1"/>
      <c r="B196" s="1"/>
      <c r="C196" s="2">
        <f>(S196*'Prestige Patterns'!$B$20)/60</f>
        <v>97.5</v>
      </c>
      <c r="D196" s="2">
        <f>IF(L195=L196,N195*'Prestige Patterns'!$B$20+D195-F196,0)</f>
        <v>1954468074.5814991</v>
      </c>
      <c r="E196" s="3">
        <f t="shared" si="1"/>
        <v>396</v>
      </c>
      <c r="F196" s="8">
        <f>'Prestige Patterns'!$B$5*('Prestige Patterns'!$B$6^E195-'Prestige Patterns'!$B$6^(E195+G196))/(1-'Prestige Patterns'!$B$6)</f>
        <v>937201821.40087998</v>
      </c>
      <c r="G196" s="8">
        <f>FLOOR(LOG('Prestige Patterns'!$B$6^(E195) - (D195*(1-'Prestige Patterns'!$B$6)/'Prestige Patterns'!$B$5),'Prestige Patterns'!$B$6)-E195,1)</f>
        <v>1</v>
      </c>
      <c r="H196">
        <f t="shared" si="2"/>
        <v>885</v>
      </c>
      <c r="I196" s="5">
        <f>1+H196*'Prestige Patterns'!$B$25</f>
        <v>9.85</v>
      </c>
      <c r="J196">
        <f>FLOOR((K196/'Prestige Patterns'!$B$22)^'Prestige Patterns'!$B$23,1)-H195</f>
        <v>138</v>
      </c>
      <c r="K196" s="8">
        <f>K195+N195*'Prestige Patterns'!$B$20</f>
        <v>104689908234</v>
      </c>
      <c r="L196" s="2">
        <f>IF(J195&gt;='Prestige Patterns'!$B$28,IF(J195/(H195+1)&gt;('Prestige Patterns'!$B$27+1),L195+1,L195),L195)</f>
        <v>4</v>
      </c>
      <c r="N196">
        <f t="shared" si="0"/>
        <v>39942144</v>
      </c>
      <c r="O196" s="3">
        <f>'Prestige Patterns'!$B$4*E196</f>
        <v>7920</v>
      </c>
      <c r="P196">
        <f t="shared" si="3"/>
        <v>512</v>
      </c>
      <c r="Q196" s="5"/>
      <c r="R196" s="5"/>
      <c r="S196" s="3">
        <v>195</v>
      </c>
      <c r="T196" s="5"/>
    </row>
    <row r="197" spans="1:20" ht="12">
      <c r="A197" s="1"/>
      <c r="B197" s="1"/>
      <c r="C197" s="2">
        <f>(S197*'Prestige Patterns'!$B$20)/60</f>
        <v>98</v>
      </c>
      <c r="D197" s="2">
        <f>IF(L196=L197,N196*'Prestige Patterns'!$B$20+D196-F197,0)</f>
        <v>2168670482.1105704</v>
      </c>
      <c r="E197" s="3">
        <f t="shared" si="1"/>
        <v>397</v>
      </c>
      <c r="F197" s="8">
        <f>'Prestige Patterns'!$B$5*('Prestige Patterns'!$B$6^E196-'Prestige Patterns'!$B$6^(E196+G197))/(1-'Prestige Patterns'!$B$6)</f>
        <v>984061912.47092879</v>
      </c>
      <c r="G197" s="8">
        <f>FLOOR(LOG('Prestige Patterns'!$B$6^(E196) - (D196*(1-'Prestige Patterns'!$B$6)/'Prestige Patterns'!$B$5),'Prestige Patterns'!$B$6)-E196,1)</f>
        <v>1</v>
      </c>
      <c r="H197">
        <f t="shared" si="2"/>
        <v>885</v>
      </c>
      <c r="I197" s="5">
        <f>1+H197*'Prestige Patterns'!$B$25</f>
        <v>9.85</v>
      </c>
      <c r="J197">
        <f>FLOOR((K197/'Prestige Patterns'!$B$22)^'Prestige Patterns'!$B$23,1)-H196</f>
        <v>144</v>
      </c>
      <c r="K197" s="8">
        <f>K196+N196*'Prestige Patterns'!$B$20</f>
        <v>105888172554</v>
      </c>
      <c r="L197" s="2">
        <f>IF(J196&gt;='Prestige Patterns'!$B$28,IF(J196/(H196+1)&gt;('Prestige Patterns'!$B$27+1),L196+1,L196),L196)</f>
        <v>4</v>
      </c>
      <c r="N197">
        <f t="shared" si="0"/>
        <v>40043008</v>
      </c>
      <c r="O197" s="3">
        <f>'Prestige Patterns'!$B$4*E197</f>
        <v>7940</v>
      </c>
      <c r="P197">
        <f t="shared" si="3"/>
        <v>512</v>
      </c>
      <c r="Q197" s="5"/>
      <c r="R197" s="5"/>
      <c r="S197" s="3">
        <v>196</v>
      </c>
      <c r="T197" s="5"/>
    </row>
    <row r="198" spans="1:20" ht="12">
      <c r="A198" s="1"/>
      <c r="B198" s="1"/>
      <c r="C198" s="2">
        <f>(S198*'Prestige Patterns'!$B$20)/60</f>
        <v>98.5</v>
      </c>
      <c r="D198" s="2">
        <f>IF(L197=L198,N197*'Prestige Patterns'!$B$20+D197-F198,0)</f>
        <v>1251767455.5169015</v>
      </c>
      <c r="E198" s="3">
        <f t="shared" si="1"/>
        <v>399</v>
      </c>
      <c r="F198" s="8">
        <f>'Prestige Patterns'!$B$5*('Prestige Patterns'!$B$6^E197-'Prestige Patterns'!$B$6^(E197+G198))/(1-'Prestige Patterns'!$B$6)</f>
        <v>2118193266.5936689</v>
      </c>
      <c r="G198" s="8">
        <f>FLOOR(LOG('Prestige Patterns'!$B$6^(E197) - (D197*(1-'Prestige Patterns'!$B$6)/'Prestige Patterns'!$B$5),'Prestige Patterns'!$B$6)-E197,1)</f>
        <v>2</v>
      </c>
      <c r="H198">
        <f t="shared" si="2"/>
        <v>885</v>
      </c>
      <c r="I198" s="5">
        <f>1+H198*'Prestige Patterns'!$B$25</f>
        <v>9.85</v>
      </c>
      <c r="J198">
        <f>FLOOR((K198/'Prestige Patterns'!$B$22)^'Prestige Patterns'!$B$23,1)-H197</f>
        <v>149</v>
      </c>
      <c r="K198" s="8">
        <f>K197+N197*'Prestige Patterns'!$B$20</f>
        <v>107089462794</v>
      </c>
      <c r="L198" s="2">
        <f>IF(J197&gt;='Prestige Patterns'!$B$28,IF(J197/(H197+1)&gt;('Prestige Patterns'!$B$27+1),L197+1,L197),L197)</f>
        <v>4</v>
      </c>
      <c r="N198">
        <f t="shared" si="0"/>
        <v>40244736</v>
      </c>
      <c r="O198" s="3">
        <f>'Prestige Patterns'!$B$4*E198</f>
        <v>7980</v>
      </c>
      <c r="P198">
        <f t="shared" si="3"/>
        <v>512</v>
      </c>
      <c r="Q198" s="5"/>
      <c r="R198" s="5"/>
      <c r="S198" s="3">
        <v>197</v>
      </c>
      <c r="T198" s="5"/>
    </row>
    <row r="199" spans="1:20" ht="12">
      <c r="A199" s="1"/>
      <c r="B199" s="1"/>
      <c r="C199" s="2">
        <f>(S199*'Prestige Patterns'!$B$20)/60</f>
        <v>99</v>
      </c>
      <c r="D199" s="2">
        <f>IF(L198=L199,N198*'Prestige Patterns'!$B$20+D198-F199,0)</f>
        <v>1319934864.092752</v>
      </c>
      <c r="E199" s="3">
        <f t="shared" si="1"/>
        <v>400</v>
      </c>
      <c r="F199" s="8">
        <f>'Prestige Patterns'!$B$5*('Prestige Patterns'!$B$6^E198-'Prestige Patterns'!$B$6^(E198+G199))/(1-'Prestige Patterns'!$B$6)</f>
        <v>1139174671.4241495</v>
      </c>
      <c r="G199" s="8">
        <f>FLOOR(LOG('Prestige Patterns'!$B$6^(E198) - (D198*(1-'Prestige Patterns'!$B$6)/'Prestige Patterns'!$B$5),'Prestige Patterns'!$B$6)-E198,1)</f>
        <v>1</v>
      </c>
      <c r="H199">
        <f t="shared" si="2"/>
        <v>885</v>
      </c>
      <c r="I199" s="5">
        <f>1+H199*'Prestige Patterns'!$B$25</f>
        <v>9.85</v>
      </c>
      <c r="J199">
        <f>FLOOR((K199/'Prestige Patterns'!$B$22)^'Prestige Patterns'!$B$23,1)-H198</f>
        <v>155</v>
      </c>
      <c r="K199" s="8">
        <f>K198+N198*'Prestige Patterns'!$B$20</f>
        <v>108296804874</v>
      </c>
      <c r="L199" s="2">
        <f>IF(J198&gt;='Prestige Patterns'!$B$28,IF(J198/(H198+1)&gt;('Prestige Patterns'!$B$27+1),L198+1,L198),L198)</f>
        <v>4</v>
      </c>
      <c r="N199">
        <f t="shared" si="0"/>
        <v>322764800</v>
      </c>
      <c r="O199" s="3">
        <f>'Prestige Patterns'!$B$4*E199</f>
        <v>8000</v>
      </c>
      <c r="P199">
        <f t="shared" si="3"/>
        <v>4096</v>
      </c>
      <c r="Q199" s="5"/>
      <c r="R199" s="5"/>
      <c r="S199" s="3">
        <v>198</v>
      </c>
      <c r="T199" s="5"/>
    </row>
    <row r="200" spans="1:20" ht="12">
      <c r="A200" s="1"/>
      <c r="B200" s="1"/>
      <c r="C200" s="2">
        <f>(S200*'Prestige Patterns'!$B$20)/60</f>
        <v>99.5</v>
      </c>
      <c r="D200" s="2">
        <f>IF(L199=L200,N199*'Prestige Patterns'!$B$20+D199-F200,0)</f>
        <v>9806745459.0973835</v>
      </c>
      <c r="E200" s="3">
        <f t="shared" si="1"/>
        <v>401</v>
      </c>
      <c r="F200" s="8">
        <f>'Prestige Patterns'!$B$5*('Prestige Patterns'!$B$6^E199-'Prestige Patterns'!$B$6^(E199+G200))/(1-'Prestige Patterns'!$B$6)</f>
        <v>1196133404.995369</v>
      </c>
      <c r="G200" s="8">
        <f>FLOOR(LOG('Prestige Patterns'!$B$6^(E199) - (D199*(1-'Prestige Patterns'!$B$6)/'Prestige Patterns'!$B$5),'Prestige Patterns'!$B$6)-E199,1)</f>
        <v>1</v>
      </c>
      <c r="H200">
        <f t="shared" si="2"/>
        <v>885</v>
      </c>
      <c r="I200" s="5">
        <f>1+H200*'Prestige Patterns'!$B$25</f>
        <v>9.85</v>
      </c>
      <c r="J200">
        <f>FLOOR((K200/'Prestige Patterns'!$B$22)^'Prestige Patterns'!$B$23,1)-H199</f>
        <v>201</v>
      </c>
      <c r="K200" s="8">
        <f>K199+N199*'Prestige Patterns'!$B$20</f>
        <v>117979748874</v>
      </c>
      <c r="L200" s="2">
        <f>IF(J199&gt;='Prestige Patterns'!$B$28,IF(J199/(H199+1)&gt;('Prestige Patterns'!$B$27+1),L199+1,L199),L199)</f>
        <v>4</v>
      </c>
      <c r="N200">
        <f t="shared" si="0"/>
        <v>323571712</v>
      </c>
      <c r="O200" s="3">
        <f>'Prestige Patterns'!$B$4*E200</f>
        <v>8020</v>
      </c>
      <c r="P200">
        <f t="shared" si="3"/>
        <v>4096</v>
      </c>
      <c r="Q200" s="5"/>
      <c r="R200" s="5"/>
      <c r="S200" s="3">
        <v>199</v>
      </c>
      <c r="T200" s="5"/>
    </row>
    <row r="201" spans="1:20" ht="12">
      <c r="A201" s="1"/>
      <c r="B201" s="1"/>
      <c r="C201" s="2">
        <f>(S201*'Prestige Patterns'!$B$20)/60</f>
        <v>100</v>
      </c>
      <c r="D201" s="2">
        <f>IF(L200=L201,N200*'Prestige Patterns'!$B$20+D200-F201,0)</f>
        <v>10971101929.555309</v>
      </c>
      <c r="E201" s="3">
        <f t="shared" si="1"/>
        <v>407</v>
      </c>
      <c r="F201" s="8">
        <f>'Prestige Patterns'!$B$5*('Prestige Patterns'!$B$6^E200-'Prestige Patterns'!$B$6^(E200+G201))/(1-'Prestige Patterns'!$B$6)</f>
        <v>8542794889.5420713</v>
      </c>
      <c r="G201" s="8">
        <f>FLOOR(LOG('Prestige Patterns'!$B$6^(E200) - (D200*(1-'Prestige Patterns'!$B$6)/'Prestige Patterns'!$B$5),'Prestige Patterns'!$B$6)-E200,1)</f>
        <v>6</v>
      </c>
      <c r="H201">
        <f t="shared" si="2"/>
        <v>885</v>
      </c>
      <c r="I201" s="5">
        <f>1+H201*'Prestige Patterns'!$B$25</f>
        <v>9.85</v>
      </c>
      <c r="J201">
        <f>FLOOR((K201/'Prestige Patterns'!$B$22)^'Prestige Patterns'!$B$23,1)-H200</f>
        <v>244</v>
      </c>
      <c r="K201" s="8">
        <f>K200+N200*'Prestige Patterns'!$B$20</f>
        <v>127686900234</v>
      </c>
      <c r="L201" s="2">
        <f>IF(J200&gt;='Prestige Patterns'!$B$28,IF(J200/(H200+1)&gt;('Prestige Patterns'!$B$27+1),L200+1,L200),L200)</f>
        <v>4</v>
      </c>
      <c r="N201">
        <f t="shared" si="0"/>
        <v>328413184</v>
      </c>
      <c r="O201" s="3">
        <f>'Prestige Patterns'!$B$4*E201</f>
        <v>8140</v>
      </c>
      <c r="P201">
        <f t="shared" si="3"/>
        <v>4096</v>
      </c>
      <c r="Q201" s="5"/>
      <c r="R201" s="5"/>
      <c r="S201" s="3">
        <v>200</v>
      </c>
      <c r="T201" s="5"/>
    </row>
    <row r="202" spans="1:20" ht="12">
      <c r="A202" s="1"/>
      <c r="B202" s="1"/>
      <c r="C202" s="2">
        <f>(S202*'Prestige Patterns'!$B$20)/60</f>
        <v>100.5</v>
      </c>
      <c r="D202" s="2">
        <f>IF(L201=L202,N201*'Prestige Patterns'!$B$20+D201-F202,0)</f>
        <v>11523419001.453764</v>
      </c>
      <c r="E202" s="3">
        <f t="shared" si="1"/>
        <v>412</v>
      </c>
      <c r="F202" s="8">
        <f>'Prestige Patterns'!$B$5*('Prestige Patterns'!$B$6^E201-'Prestige Patterns'!$B$6^(E201+G202))/(1-'Prestige Patterns'!$B$6)</f>
        <v>9300078448.1015453</v>
      </c>
      <c r="G202" s="8">
        <f>FLOOR(LOG('Prestige Patterns'!$B$6^(E201) - (D201*(1-'Prestige Patterns'!$B$6)/'Prestige Patterns'!$B$5),'Prestige Patterns'!$B$6)-E201,1)</f>
        <v>5</v>
      </c>
      <c r="H202">
        <f t="shared" si="2"/>
        <v>885</v>
      </c>
      <c r="I202" s="5">
        <f>1+H202*'Prestige Patterns'!$B$25</f>
        <v>9.85</v>
      </c>
      <c r="J202">
        <f>FLOOR((K202/'Prestige Patterns'!$B$22)^'Prestige Patterns'!$B$23,1)-H201</f>
        <v>287</v>
      </c>
      <c r="K202" s="8">
        <f>K201+N201*'Prestige Patterns'!$B$20</f>
        <v>137539295754</v>
      </c>
      <c r="L202" s="2">
        <f>IF(J201&gt;='Prestige Patterns'!$B$28,IF(J201/(H201+1)&gt;('Prestige Patterns'!$B$27+1),L201+1,L201),L201)</f>
        <v>4</v>
      </c>
      <c r="N202">
        <f t="shared" si="0"/>
        <v>332447744</v>
      </c>
      <c r="O202" s="3">
        <f>'Prestige Patterns'!$B$4*E202</f>
        <v>8240</v>
      </c>
      <c r="P202">
        <f t="shared" si="3"/>
        <v>4096</v>
      </c>
      <c r="Q202" s="5"/>
      <c r="R202" s="5"/>
      <c r="S202" s="3">
        <v>201</v>
      </c>
      <c r="T202" s="5"/>
    </row>
    <row r="203" spans="1:20" ht="12">
      <c r="A203" s="1"/>
      <c r="B203" s="1"/>
      <c r="C203" s="2">
        <f>(S203*'Prestige Patterns'!$B$20)/60</f>
        <v>101</v>
      </c>
      <c r="D203" s="2">
        <f>IF(L202=L203,N202*'Prestige Patterns'!$B$20+D202-F203,0)</f>
        <v>12238341882.41729</v>
      </c>
      <c r="E203" s="3">
        <f t="shared" si="1"/>
        <v>416</v>
      </c>
      <c r="F203" s="8">
        <f>'Prestige Patterns'!$B$5*('Prestige Patterns'!$B$6^E202-'Prestige Patterns'!$B$6^(E202+G203))/(1-'Prestige Patterns'!$B$6)</f>
        <v>9258509439.0364761</v>
      </c>
      <c r="G203" s="8">
        <f>FLOOR(LOG('Prestige Patterns'!$B$6^(E202) - (D202*(1-'Prestige Patterns'!$B$6)/'Prestige Patterns'!$B$5),'Prestige Patterns'!$B$6)-E202,1)</f>
        <v>4</v>
      </c>
      <c r="H203">
        <f t="shared" si="2"/>
        <v>885</v>
      </c>
      <c r="I203" s="5">
        <f>1+H203*'Prestige Patterns'!$B$25</f>
        <v>9.85</v>
      </c>
      <c r="J203">
        <f>FLOOR((K203/'Prestige Patterns'!$B$22)^'Prestige Patterns'!$B$23,1)-H202</f>
        <v>329</v>
      </c>
      <c r="K203" s="8">
        <f>K202+N202*'Prestige Patterns'!$B$20</f>
        <v>147512728074</v>
      </c>
      <c r="L203" s="2">
        <f>IF(J202&gt;='Prestige Patterns'!$B$28,IF(J202/(H202+1)&gt;('Prestige Patterns'!$B$27+1),L202+1,L202),L202)</f>
        <v>4</v>
      </c>
      <c r="N203">
        <f t="shared" si="0"/>
        <v>335675392</v>
      </c>
      <c r="O203" s="3">
        <f>'Prestige Patterns'!$B$4*E203</f>
        <v>8320</v>
      </c>
      <c r="P203">
        <f t="shared" si="3"/>
        <v>4096</v>
      </c>
      <c r="Q203" s="5"/>
      <c r="R203" s="5"/>
      <c r="S203" s="3">
        <v>202</v>
      </c>
      <c r="T203" s="5"/>
    </row>
    <row r="204" spans="1:20" ht="12">
      <c r="A204" s="1"/>
      <c r="B204" s="1"/>
      <c r="C204" s="2">
        <f>(S204*'Prestige Patterns'!$B$20)/60</f>
        <v>101.5</v>
      </c>
      <c r="D204" s="2">
        <f>IF(L203=L204,N203*'Prestige Patterns'!$B$20+D203-F204,0)</f>
        <v>11054827553.584454</v>
      </c>
      <c r="E204" s="3">
        <f t="shared" si="1"/>
        <v>420</v>
      </c>
      <c r="F204" s="8">
        <f>'Prestige Patterns'!$B$5*('Prestige Patterns'!$B$6^E203-'Prestige Patterns'!$B$6^(E203+G204))/(1-'Prestige Patterns'!$B$6)</f>
        <v>11253776088.832836</v>
      </c>
      <c r="G204" s="8">
        <f>FLOOR(LOG('Prestige Patterns'!$B$6^(E203) - (D203*(1-'Prestige Patterns'!$B$6)/'Prestige Patterns'!$B$5),'Prestige Patterns'!$B$6)-E203,1)</f>
        <v>4</v>
      </c>
      <c r="H204">
        <f t="shared" si="2"/>
        <v>885</v>
      </c>
      <c r="I204" s="5">
        <f>1+H204*'Prestige Patterns'!$B$25</f>
        <v>9.85</v>
      </c>
      <c r="J204">
        <f>FLOOR((K204/'Prestige Patterns'!$B$22)^'Prestige Patterns'!$B$23,1)-H203</f>
        <v>370</v>
      </c>
      <c r="K204" s="8">
        <f>K203+N203*'Prestige Patterns'!$B$20</f>
        <v>157582989834</v>
      </c>
      <c r="L204" s="2">
        <f>IF(J203&gt;='Prestige Patterns'!$B$28,IF(J203/(H203+1)&gt;('Prestige Patterns'!$B$27+1),L203+1,L203),L203)</f>
        <v>4</v>
      </c>
      <c r="N204">
        <f t="shared" si="0"/>
        <v>338903040</v>
      </c>
      <c r="O204" s="3">
        <f>'Prestige Patterns'!$B$4*E204</f>
        <v>8400</v>
      </c>
      <c r="P204">
        <f t="shared" si="3"/>
        <v>4096</v>
      </c>
      <c r="Q204" s="5"/>
      <c r="R204" s="5"/>
      <c r="S204" s="3">
        <v>203</v>
      </c>
      <c r="T204" s="5"/>
    </row>
    <row r="205" spans="1:20" ht="12">
      <c r="A205" s="1"/>
      <c r="B205" s="1"/>
      <c r="C205" s="2">
        <f>(S205*'Prestige Patterns'!$B$20)/60</f>
        <v>102</v>
      </c>
      <c r="D205" s="2">
        <f>IF(L204=L205,N204*'Prestige Patterns'!$B$20+D204-F205,0)</f>
        <v>11216835750.197689</v>
      </c>
      <c r="E205" s="3">
        <f t="shared" si="1"/>
        <v>423</v>
      </c>
      <c r="F205" s="8">
        <f>'Prestige Patterns'!$B$5*('Prestige Patterns'!$B$6^E204-'Prestige Patterns'!$B$6^(E204+G205))/(1-'Prestige Patterns'!$B$6)</f>
        <v>10005083003.386765</v>
      </c>
      <c r="G205" s="8">
        <f>FLOOR(LOG('Prestige Patterns'!$B$6^(E204) - (D204*(1-'Prestige Patterns'!$B$6)/'Prestige Patterns'!$B$5),'Prestige Patterns'!$B$6)-E204,1)</f>
        <v>3</v>
      </c>
      <c r="H205">
        <f t="shared" si="2"/>
        <v>885</v>
      </c>
      <c r="I205" s="5">
        <f>1+H205*'Prestige Patterns'!$B$25</f>
        <v>9.85</v>
      </c>
      <c r="J205">
        <f>FLOOR((K205/'Prestige Patterns'!$B$22)^'Prestige Patterns'!$B$23,1)-H204</f>
        <v>410</v>
      </c>
      <c r="K205" s="8">
        <f>K204+N204*'Prestige Patterns'!$B$20</f>
        <v>167750081034</v>
      </c>
      <c r="L205" s="2">
        <f>IF(J204&gt;='Prestige Patterns'!$B$28,IF(J204/(H204+1)&gt;('Prestige Patterns'!$B$27+1),L204+1,L204),L204)</f>
        <v>4</v>
      </c>
      <c r="N205">
        <f t="shared" si="0"/>
        <v>341323776</v>
      </c>
      <c r="O205" s="3">
        <f>'Prestige Patterns'!$B$4*E205</f>
        <v>8460</v>
      </c>
      <c r="P205">
        <f t="shared" si="3"/>
        <v>4096</v>
      </c>
      <c r="Q205" s="5"/>
      <c r="R205" s="5"/>
      <c r="S205" s="3">
        <v>204</v>
      </c>
      <c r="T205" s="5"/>
    </row>
    <row r="206" spans="1:20" ht="12">
      <c r="A206" s="1"/>
      <c r="B206" s="1"/>
      <c r="C206" s="2">
        <f>(S206*'Prestige Patterns'!$B$20)/60</f>
        <v>102.5</v>
      </c>
      <c r="D206" s="2">
        <f>IF(L205=L206,N205*'Prestige Patterns'!$B$20+D205-F206,0)</f>
        <v>13924947084.382954</v>
      </c>
      <c r="E206" s="3">
        <f t="shared" si="1"/>
        <v>425</v>
      </c>
      <c r="F206" s="8">
        <f>'Prestige Patterns'!$B$5*('Prestige Patterns'!$B$6^E205-'Prestige Patterns'!$B$6^(E205+G206))/(1-'Prestige Patterns'!$B$6)</f>
        <v>7531601945.8147364</v>
      </c>
      <c r="G206" s="8">
        <f>FLOOR(LOG('Prestige Patterns'!$B$6^(E205) - (D205*(1-'Prestige Patterns'!$B$6)/'Prestige Patterns'!$B$5),'Prestige Patterns'!$B$6)-E205,1)</f>
        <v>2</v>
      </c>
      <c r="H206">
        <f t="shared" si="2"/>
        <v>885</v>
      </c>
      <c r="I206" s="5">
        <f>1+H206*'Prestige Patterns'!$B$25</f>
        <v>9.85</v>
      </c>
      <c r="J206">
        <f>FLOOR((K206/'Prestige Patterns'!$B$22)^'Prestige Patterns'!$B$23,1)-H205</f>
        <v>449</v>
      </c>
      <c r="K206" s="8">
        <f>K205+N205*'Prestige Patterns'!$B$20</f>
        <v>177989794314</v>
      </c>
      <c r="L206" s="2">
        <f>IF(J205&gt;='Prestige Patterns'!$B$28,IF(J205/(H205+1)&gt;('Prestige Patterns'!$B$27+1),L205+1,L205),L205)</f>
        <v>4</v>
      </c>
      <c r="N206">
        <f t="shared" si="0"/>
        <v>342937600</v>
      </c>
      <c r="O206" s="3">
        <f>'Prestige Patterns'!$B$4*E206</f>
        <v>8500</v>
      </c>
      <c r="P206">
        <f t="shared" si="3"/>
        <v>4096</v>
      </c>
      <c r="Q206" s="5"/>
      <c r="R206" s="5"/>
      <c r="S206" s="3">
        <v>205</v>
      </c>
      <c r="T206" s="5"/>
    </row>
    <row r="207" spans="1:20" ht="12">
      <c r="A207" s="1"/>
      <c r="B207" s="1"/>
      <c r="C207" s="2">
        <f>(S207*'Prestige Patterns'!$B$20)/60</f>
        <v>103</v>
      </c>
      <c r="D207" s="2">
        <f>IF(L206=L207,N206*'Prestige Patterns'!$B$20+D206-F207,0)</f>
        <v>11443772115.878326</v>
      </c>
      <c r="E207" s="3">
        <f t="shared" si="1"/>
        <v>428</v>
      </c>
      <c r="F207" s="8">
        <f>'Prestige Patterns'!$B$5*('Prestige Patterns'!$B$6^E206-'Prestige Patterns'!$B$6^(E206+G207))/(1-'Prestige Patterns'!$B$6)</f>
        <v>12769302968.504627</v>
      </c>
      <c r="G207" s="8">
        <f>FLOOR(LOG('Prestige Patterns'!$B$6^(E206) - (D206*(1-'Prestige Patterns'!$B$6)/'Prestige Patterns'!$B$5),'Prestige Patterns'!$B$6)-E206,1)</f>
        <v>3</v>
      </c>
      <c r="H207">
        <f t="shared" si="2"/>
        <v>885</v>
      </c>
      <c r="I207" s="5">
        <f>1+H207*'Prestige Patterns'!$B$25</f>
        <v>9.85</v>
      </c>
      <c r="J207">
        <f>FLOOR((K207/'Prestige Patterns'!$B$22)^'Prestige Patterns'!$B$23,1)-H206</f>
        <v>487</v>
      </c>
      <c r="K207" s="8">
        <f>K206+N206*'Prestige Patterns'!$B$20</f>
        <v>188277922314</v>
      </c>
      <c r="L207" s="2">
        <f>IF(J206&gt;='Prestige Patterns'!$B$28,IF(J206/(H206+1)&gt;('Prestige Patterns'!$B$27+1),L206+1,L206),L206)</f>
        <v>4</v>
      </c>
      <c r="N207">
        <f t="shared" si="0"/>
        <v>345358336</v>
      </c>
      <c r="O207" s="3">
        <f>'Prestige Patterns'!$B$4*E207</f>
        <v>8560</v>
      </c>
      <c r="P207">
        <f t="shared" si="3"/>
        <v>4096</v>
      </c>
      <c r="Q207" s="5"/>
      <c r="R207" s="5"/>
      <c r="S207" s="3">
        <v>206</v>
      </c>
      <c r="T207" s="5"/>
    </row>
    <row r="208" spans="1:20" ht="12">
      <c r="A208" s="1"/>
      <c r="B208" s="1"/>
      <c r="C208" s="2">
        <f>(S208*'Prestige Patterns'!$B$20)/60</f>
        <v>103.5</v>
      </c>
      <c r="D208" s="2">
        <f>IF(L207=L208,N207*'Prestige Patterns'!$B$20+D207-F208,0)</f>
        <v>12192077496.345844</v>
      </c>
      <c r="E208" s="3">
        <f t="shared" si="1"/>
        <v>430</v>
      </c>
      <c r="F208" s="8">
        <f>'Prestige Patterns'!$B$5*('Prestige Patterns'!$B$6^E207-'Prestige Patterns'!$B$6^(E207+G208))/(1-'Prestige Patterns'!$B$6)</f>
        <v>9612444699.5324821</v>
      </c>
      <c r="G208" s="8">
        <f>FLOOR(LOG('Prestige Patterns'!$B$6^(E207) - (D207*(1-'Prestige Patterns'!$B$6)/'Prestige Patterns'!$B$5),'Prestige Patterns'!$B$6)-E207,1)</f>
        <v>2</v>
      </c>
      <c r="H208">
        <f t="shared" si="2"/>
        <v>885</v>
      </c>
      <c r="I208" s="5">
        <f>1+H208*'Prestige Patterns'!$B$25</f>
        <v>9.85</v>
      </c>
      <c r="J208">
        <f>FLOOR((K208/'Prestige Patterns'!$B$22)^'Prestige Patterns'!$B$23,1)-H207</f>
        <v>524</v>
      </c>
      <c r="K208" s="8">
        <f>K207+N207*'Prestige Patterns'!$B$20</f>
        <v>198638672394</v>
      </c>
      <c r="L208" s="2">
        <f>IF(J207&gt;='Prestige Patterns'!$B$28,IF(J207/(H207+1)&gt;('Prestige Patterns'!$B$27+1),L207+1,L207),L207)</f>
        <v>4</v>
      </c>
      <c r="N208">
        <f t="shared" si="0"/>
        <v>346972160</v>
      </c>
      <c r="O208" s="3">
        <f>'Prestige Patterns'!$B$4*E208</f>
        <v>8600</v>
      </c>
      <c r="P208">
        <f t="shared" si="3"/>
        <v>4096</v>
      </c>
      <c r="Q208" s="5"/>
      <c r="R208" s="5"/>
      <c r="S208" s="3">
        <v>207</v>
      </c>
      <c r="T208" s="5"/>
    </row>
    <row r="209" spans="1:20" ht="12">
      <c r="A209" s="1"/>
      <c r="B209" s="1"/>
      <c r="C209" s="2">
        <f>(S209*'Prestige Patterns'!$B$20)/60</f>
        <v>104</v>
      </c>
      <c r="D209" s="2">
        <f>IF(L208=L209,N208*'Prestige Patterns'!$B$20+D208-F209,0)</f>
        <v>12003522015.111284</v>
      </c>
      <c r="E209" s="3">
        <f t="shared" si="1"/>
        <v>432</v>
      </c>
      <c r="F209" s="8">
        <f>'Prestige Patterns'!$B$5*('Prestige Patterns'!$B$6^E208-'Prestige Patterns'!$B$6^(E208+G209))/(1-'Prestige Patterns'!$B$6)</f>
        <v>10597720281.23456</v>
      </c>
      <c r="G209" s="8">
        <f>FLOOR(LOG('Prestige Patterns'!$B$6^(E208) - (D208*(1-'Prestige Patterns'!$B$6)/'Prestige Patterns'!$B$5),'Prestige Patterns'!$B$6)-E208,1)</f>
        <v>2</v>
      </c>
      <c r="H209">
        <f t="shared" si="2"/>
        <v>885</v>
      </c>
      <c r="I209" s="5">
        <f>1+H209*'Prestige Patterns'!$B$25</f>
        <v>9.85</v>
      </c>
      <c r="J209">
        <f>FLOOR((K209/'Prestige Patterns'!$B$22)^'Prestige Patterns'!$B$23,1)-H208</f>
        <v>560</v>
      </c>
      <c r="K209" s="8">
        <f>K208+N208*'Prestige Patterns'!$B$20</f>
        <v>209047837194</v>
      </c>
      <c r="L209" s="2">
        <f>IF(J208&gt;='Prestige Patterns'!$B$28,IF(J208/(H208+1)&gt;('Prestige Patterns'!$B$27+1),L208+1,L208),L208)</f>
        <v>4</v>
      </c>
      <c r="N209">
        <f t="shared" si="0"/>
        <v>348585984</v>
      </c>
      <c r="O209" s="3">
        <f>'Prestige Patterns'!$B$4*E209</f>
        <v>8640</v>
      </c>
      <c r="P209">
        <f t="shared" si="3"/>
        <v>4096</v>
      </c>
      <c r="Q209" s="5"/>
      <c r="R209" s="5"/>
      <c r="S209" s="3">
        <v>208</v>
      </c>
      <c r="T209" s="5"/>
    </row>
    <row r="210" spans="1:20" ht="12">
      <c r="A210" s="1"/>
      <c r="B210" s="1"/>
      <c r="C210" s="2">
        <f>(S210*'Prestige Patterns'!$B$20)/60</f>
        <v>104.5</v>
      </c>
      <c r="D210" s="2">
        <f>IF(L209=L210,N209*'Prestige Patterns'!$B$20+D209-F210,0)</f>
        <v>10777114925.050161</v>
      </c>
      <c r="E210" s="3">
        <f t="shared" si="1"/>
        <v>434</v>
      </c>
      <c r="F210" s="8">
        <f>'Prestige Patterns'!$B$5*('Prestige Patterns'!$B$6^E209-'Prestige Patterns'!$B$6^(E209+G210))/(1-'Prestige Patterns'!$B$6)</f>
        <v>11683986610.061121</v>
      </c>
      <c r="G210" s="8">
        <f>FLOOR(LOG('Prestige Patterns'!$B$6^(E209) - (D209*(1-'Prestige Patterns'!$B$6)/'Prestige Patterns'!$B$5),'Prestige Patterns'!$B$6)-E209,1)</f>
        <v>2</v>
      </c>
      <c r="H210">
        <f t="shared" si="2"/>
        <v>885</v>
      </c>
      <c r="I210" s="5">
        <f>1+H210*'Prestige Patterns'!$B$25</f>
        <v>9.85</v>
      </c>
      <c r="J210">
        <f>FLOOR((K210/'Prestige Patterns'!$B$22)^'Prestige Patterns'!$B$23,1)-H209</f>
        <v>596</v>
      </c>
      <c r="K210" s="8">
        <f>K209+N209*'Prestige Patterns'!$B$20</f>
        <v>219505416714</v>
      </c>
      <c r="L210" s="2">
        <f>IF(J209&gt;='Prestige Patterns'!$B$28,IF(J209/(H209+1)&gt;('Prestige Patterns'!$B$27+1),L209+1,L209),L209)</f>
        <v>4</v>
      </c>
      <c r="N210">
        <f t="shared" si="0"/>
        <v>350199808</v>
      </c>
      <c r="O210" s="3">
        <f>'Prestige Patterns'!$B$4*E210</f>
        <v>8680</v>
      </c>
      <c r="P210">
        <f t="shared" si="3"/>
        <v>4096</v>
      </c>
      <c r="Q210" s="5"/>
      <c r="R210" s="5"/>
      <c r="S210" s="3">
        <v>209</v>
      </c>
      <c r="T210" s="5"/>
    </row>
    <row r="211" spans="1:20" ht="12">
      <c r="A211" s="1"/>
      <c r="B211" s="1"/>
      <c r="C211" s="2">
        <f>(S211*'Prestige Patterns'!$B$20)/60</f>
        <v>105</v>
      </c>
      <c r="D211" s="2">
        <f>IF(L210=L211,N210*'Prestige Patterns'!$B$20+D210-F211,0)</f>
        <v>14999404171.102682</v>
      </c>
      <c r="E211" s="3">
        <f t="shared" si="1"/>
        <v>435</v>
      </c>
      <c r="F211" s="8">
        <f>'Prestige Patterns'!$B$5*('Prestige Patterns'!$B$6^E210-'Prestige Patterns'!$B$6^(E210+G211))/(1-'Prestige Patterns'!$B$6)</f>
        <v>6283704993.9474812</v>
      </c>
      <c r="G211" s="8">
        <f>FLOOR(LOG('Prestige Patterns'!$B$6^(E210) - (D210*(1-'Prestige Patterns'!$B$6)/'Prestige Patterns'!$B$5),'Prestige Patterns'!$B$6)-E210,1)</f>
        <v>1</v>
      </c>
      <c r="H211">
        <f t="shared" si="2"/>
        <v>885</v>
      </c>
      <c r="I211" s="5">
        <f>1+H211*'Prestige Patterns'!$B$25</f>
        <v>9.85</v>
      </c>
      <c r="J211">
        <f>FLOOR((K211/'Prestige Patterns'!$B$22)^'Prestige Patterns'!$B$23,1)-H210</f>
        <v>631</v>
      </c>
      <c r="K211" s="8">
        <f>K210+N210*'Prestige Patterns'!$B$20</f>
        <v>230011410954</v>
      </c>
      <c r="L211" s="2">
        <f>IF(J210&gt;='Prestige Patterns'!$B$28,IF(J210/(H210+1)&gt;('Prestige Patterns'!$B$27+1),L210+1,L210),L210)</f>
        <v>4</v>
      </c>
      <c r="N211">
        <f t="shared" si="0"/>
        <v>351006720</v>
      </c>
      <c r="O211" s="3">
        <f>'Prestige Patterns'!$B$4*E211</f>
        <v>8700</v>
      </c>
      <c r="P211">
        <f t="shared" si="3"/>
        <v>4096</v>
      </c>
      <c r="Q211" s="5"/>
      <c r="R211" s="5"/>
      <c r="S211" s="3">
        <v>210</v>
      </c>
      <c r="T211" s="5"/>
    </row>
    <row r="212" spans="1:20" ht="12">
      <c r="A212" s="1"/>
      <c r="B212" s="1"/>
      <c r="C212" s="2">
        <f>(S212*'Prestige Patterns'!$B$20)/60</f>
        <v>105.5</v>
      </c>
      <c r="D212" s="2">
        <f>IF(L211=L212,N211*'Prestige Patterns'!$B$20+D211-F212,0)</f>
        <v>12003930771.630726</v>
      </c>
      <c r="E212" s="3">
        <f t="shared" si="1"/>
        <v>437</v>
      </c>
      <c r="F212" s="8">
        <f>'Prestige Patterns'!$B$5*('Prestige Patterns'!$B$6^E211-'Prestige Patterns'!$B$6^(E211+G212))/(1-'Prestige Patterns'!$B$6)</f>
        <v>13525674999.471958</v>
      </c>
      <c r="G212" s="8">
        <f>FLOOR(LOG('Prestige Patterns'!$B$6^(E211) - (D211*(1-'Prestige Patterns'!$B$6)/'Prestige Patterns'!$B$5),'Prestige Patterns'!$B$6)-E211,1)</f>
        <v>2</v>
      </c>
      <c r="H212">
        <f t="shared" si="2"/>
        <v>885</v>
      </c>
      <c r="I212" s="5">
        <f>1+H212*'Prestige Patterns'!$B$25</f>
        <v>9.85</v>
      </c>
      <c r="J212">
        <f>FLOOR((K212/'Prestige Patterns'!$B$22)^'Prestige Patterns'!$B$23,1)-H211</f>
        <v>665</v>
      </c>
      <c r="K212" s="8">
        <f>K211+N211*'Prestige Patterns'!$B$20</f>
        <v>240541612554</v>
      </c>
      <c r="L212" s="2">
        <f>IF(J211&gt;='Prestige Patterns'!$B$28,IF(J211/(H211+1)&gt;('Prestige Patterns'!$B$27+1),L211+1,L211),L211)</f>
        <v>4</v>
      </c>
      <c r="N212">
        <f t="shared" si="0"/>
        <v>352620544</v>
      </c>
      <c r="O212" s="3">
        <f>'Prestige Patterns'!$B$4*E212</f>
        <v>8740</v>
      </c>
      <c r="P212">
        <f t="shared" si="3"/>
        <v>4096</v>
      </c>
      <c r="Q212" s="5"/>
      <c r="R212" s="5"/>
      <c r="S212" s="3">
        <v>211</v>
      </c>
      <c r="T212" s="5"/>
    </row>
    <row r="213" spans="1:20" ht="12">
      <c r="A213" s="1"/>
      <c r="B213" s="1"/>
      <c r="C213" s="2">
        <f>(S213*'Prestige Patterns'!$B$20)/60</f>
        <v>106</v>
      </c>
      <c r="D213" s="2">
        <f>IF(L212=L213,N212*'Prestige Patterns'!$B$20+D212-F213,0)</f>
        <v>15308373098.012264</v>
      </c>
      <c r="E213" s="3">
        <f t="shared" si="1"/>
        <v>438</v>
      </c>
      <c r="F213" s="8">
        <f>'Prestige Patterns'!$B$5*('Prestige Patterns'!$B$6^E212-'Prestige Patterns'!$B$6^(E212+G213))/(1-'Prestige Patterns'!$B$6)</f>
        <v>7274173993.6184626</v>
      </c>
      <c r="G213" s="8">
        <f>FLOOR(LOG('Prestige Patterns'!$B$6^(E212) - (D212*(1-'Prestige Patterns'!$B$6)/'Prestige Patterns'!$B$5),'Prestige Patterns'!$B$6)-E212,1)</f>
        <v>1</v>
      </c>
      <c r="H213">
        <f t="shared" si="2"/>
        <v>885</v>
      </c>
      <c r="I213" s="5">
        <f>1+H213*'Prestige Patterns'!$B$25</f>
        <v>9.85</v>
      </c>
      <c r="J213">
        <f>FLOOR((K213/'Prestige Patterns'!$B$22)^'Prestige Patterns'!$B$23,1)-H212</f>
        <v>699</v>
      </c>
      <c r="K213" s="8">
        <f>K212+N212*'Prestige Patterns'!$B$20</f>
        <v>251120228874</v>
      </c>
      <c r="L213" s="2">
        <f>IF(J212&gt;='Prestige Patterns'!$B$28,IF(J212/(H212+1)&gt;('Prestige Patterns'!$B$27+1),L212+1,L212),L212)</f>
        <v>4</v>
      </c>
      <c r="N213">
        <f t="shared" si="0"/>
        <v>353427456</v>
      </c>
      <c r="O213" s="3">
        <f>'Prestige Patterns'!$B$4*E213</f>
        <v>8760</v>
      </c>
      <c r="P213">
        <f t="shared" si="3"/>
        <v>4096</v>
      </c>
      <c r="Q213" s="5"/>
      <c r="R213" s="5"/>
      <c r="S213" s="3">
        <v>212</v>
      </c>
      <c r="T213" s="5"/>
    </row>
    <row r="214" spans="1:20" ht="12">
      <c r="A214" s="1"/>
      <c r="B214" s="1"/>
      <c r="C214" s="2">
        <f>(S214*'Prestige Patterns'!$B$20)/60</f>
        <v>106.5</v>
      </c>
      <c r="D214" s="2">
        <f>IF(L213=L214,N213*'Prestige Patterns'!$B$20+D213-F214,0)</f>
        <v>18273314084.712845</v>
      </c>
      <c r="E214" s="3">
        <f t="shared" si="1"/>
        <v>439</v>
      </c>
      <c r="F214" s="8">
        <f>'Prestige Patterns'!$B$5*('Prestige Patterns'!$B$6^E213-'Prestige Patterns'!$B$6^(E213+G214))/(1-'Prestige Patterns'!$B$6)</f>
        <v>7637882693.2994204</v>
      </c>
      <c r="G214" s="8">
        <f>FLOOR(LOG('Prestige Patterns'!$B$6^(E213) - (D213*(1-'Prestige Patterns'!$B$6)/'Prestige Patterns'!$B$5),'Prestige Patterns'!$B$6)-E213,1)</f>
        <v>1</v>
      </c>
      <c r="H214">
        <f t="shared" si="2"/>
        <v>885</v>
      </c>
      <c r="I214" s="5">
        <f>1+H214*'Prestige Patterns'!$B$25</f>
        <v>9.85</v>
      </c>
      <c r="J214">
        <f>FLOOR((K214/'Prestige Patterns'!$B$22)^'Prestige Patterns'!$B$23,1)-H213</f>
        <v>732</v>
      </c>
      <c r="K214" s="8">
        <f>K213+N213*'Prestige Patterns'!$B$20</f>
        <v>261723052554</v>
      </c>
      <c r="L214" s="2">
        <f>IF(J213&gt;='Prestige Patterns'!$B$28,IF(J213/(H213+1)&gt;('Prestige Patterns'!$B$27+1),L213+1,L213),L213)</f>
        <v>4</v>
      </c>
      <c r="N214">
        <f t="shared" si="0"/>
        <v>354234368</v>
      </c>
      <c r="O214" s="3">
        <f>'Prestige Patterns'!$B$4*E214</f>
        <v>8780</v>
      </c>
      <c r="P214">
        <f t="shared" si="3"/>
        <v>4096</v>
      </c>
      <c r="Q214" s="5"/>
      <c r="R214" s="5"/>
      <c r="S214" s="3">
        <v>213</v>
      </c>
      <c r="T214" s="5"/>
    </row>
    <row r="215" spans="1:20" ht="12">
      <c r="A215" s="1"/>
      <c r="B215" s="1"/>
      <c r="C215" s="2">
        <f>(S215*'Prestige Patterns'!$B$20)/60</f>
        <v>107</v>
      </c>
      <c r="D215" s="2">
        <f>IF(L214=L215,N214*'Prestige Patterns'!$B$20+D214-F215,0)</f>
        <v>12459802627.385933</v>
      </c>
      <c r="E215" s="3">
        <f t="shared" si="1"/>
        <v>441</v>
      </c>
      <c r="F215" s="8">
        <f>'Prestige Patterns'!$B$5*('Prestige Patterns'!$B$6^E214-'Prestige Patterns'!$B$6^(E214+G215))/(1-'Prestige Patterns'!$B$6)</f>
        <v>16440542497.326912</v>
      </c>
      <c r="G215" s="8">
        <f>FLOOR(LOG('Prestige Patterns'!$B$6^(E214) - (D214*(1-'Prestige Patterns'!$B$6)/'Prestige Patterns'!$B$5),'Prestige Patterns'!$B$6)-E214,1)</f>
        <v>2</v>
      </c>
      <c r="H215">
        <f t="shared" si="2"/>
        <v>885</v>
      </c>
      <c r="I215" s="5">
        <f>1+H215*'Prestige Patterns'!$B$25</f>
        <v>9.85</v>
      </c>
      <c r="J215">
        <f>FLOOR((K215/'Prestige Patterns'!$B$22)^'Prestige Patterns'!$B$23,1)-H214</f>
        <v>765</v>
      </c>
      <c r="K215" s="8">
        <f>K214+N214*'Prestige Patterns'!$B$20</f>
        <v>272350083594</v>
      </c>
      <c r="L215" s="2">
        <f>IF(J214&gt;='Prestige Patterns'!$B$28,IF(J214/(H214+1)&gt;('Prestige Patterns'!$B$27+1),L214+1,L214),L214)</f>
        <v>4</v>
      </c>
      <c r="N215">
        <f t="shared" si="0"/>
        <v>355848192</v>
      </c>
      <c r="O215" s="3">
        <f>'Prestige Patterns'!$B$4*E215</f>
        <v>8820</v>
      </c>
      <c r="P215">
        <f t="shared" si="3"/>
        <v>4096</v>
      </c>
      <c r="Q215" s="5"/>
      <c r="R215" s="5"/>
      <c r="S215" s="3">
        <v>214</v>
      </c>
      <c r="T215" s="5"/>
    </row>
    <row r="216" spans="1:20" ht="12">
      <c r="A216" s="1"/>
      <c r="B216" s="1"/>
      <c r="C216" s="2">
        <f>(S216*'Prestige Patterns'!$B$20)/60</f>
        <v>107.5</v>
      </c>
      <c r="D216" s="2">
        <f>IF(L215=L216,N215*'Prestige Patterns'!$B$20+D215-F216,0)</f>
        <v>14293444434.555206</v>
      </c>
      <c r="E216" s="3">
        <f t="shared" si="1"/>
        <v>442</v>
      </c>
      <c r="F216" s="8">
        <f>'Prestige Patterns'!$B$5*('Prestige Patterns'!$B$6^E215-'Prestige Patterns'!$B$6^(E215+G216))/(1-'Prestige Patterns'!$B$6)</f>
        <v>8841803952.8307266</v>
      </c>
      <c r="G216" s="8">
        <f>FLOOR(LOG('Prestige Patterns'!$B$6^(E215) - (D215*(1-'Prestige Patterns'!$B$6)/'Prestige Patterns'!$B$5),'Prestige Patterns'!$B$6)-E215,1)</f>
        <v>1</v>
      </c>
      <c r="H216">
        <f t="shared" si="2"/>
        <v>885</v>
      </c>
      <c r="I216" s="5">
        <f>1+H216*'Prestige Patterns'!$B$25</f>
        <v>9.85</v>
      </c>
      <c r="J216">
        <f>FLOOR((K216/'Prestige Patterns'!$B$22)^'Prestige Patterns'!$B$23,1)-H215</f>
        <v>797</v>
      </c>
      <c r="K216" s="8">
        <f>K215+N215*'Prestige Patterns'!$B$20</f>
        <v>283025529354</v>
      </c>
      <c r="L216" s="2">
        <f>IF(J215&gt;='Prestige Patterns'!$B$28,IF(J215/(H215+1)&gt;('Prestige Patterns'!$B$27+1),L215+1,L215),L215)</f>
        <v>4</v>
      </c>
      <c r="N216">
        <f t="shared" si="0"/>
        <v>356655104</v>
      </c>
      <c r="O216" s="3">
        <f>'Prestige Patterns'!$B$4*E216</f>
        <v>8840</v>
      </c>
      <c r="P216">
        <f t="shared" si="3"/>
        <v>4096</v>
      </c>
      <c r="Q216" s="5"/>
      <c r="R216" s="5"/>
      <c r="S216" s="3">
        <v>215</v>
      </c>
      <c r="T216" s="5"/>
    </row>
    <row r="217" spans="1:20" ht="12">
      <c r="A217" s="1"/>
      <c r="B217" s="1"/>
      <c r="C217" s="2">
        <f>(S217*'Prestige Patterns'!$B$20)/60</f>
        <v>108</v>
      </c>
      <c r="D217" s="2">
        <f>IF(L216=L217,N216*'Prestige Patterns'!$B$20+D216-F217,0)</f>
        <v>15709203404.082954</v>
      </c>
      <c r="E217" s="3">
        <f t="shared" si="1"/>
        <v>443</v>
      </c>
      <c r="F217" s="8">
        <f>'Prestige Patterns'!$B$5*('Prestige Patterns'!$B$6^E216-'Prestige Patterns'!$B$6^(E216+G217))/(1-'Prestige Patterns'!$B$6)</f>
        <v>9283894150.4722519</v>
      </c>
      <c r="G217" s="8">
        <f>FLOOR(LOG('Prestige Patterns'!$B$6^(E216) - (D216*(1-'Prestige Patterns'!$B$6)/'Prestige Patterns'!$B$5),'Prestige Patterns'!$B$6)-E216,1)</f>
        <v>1</v>
      </c>
      <c r="H217">
        <f t="shared" si="2"/>
        <v>885</v>
      </c>
      <c r="I217" s="5">
        <f>1+H217*'Prestige Patterns'!$B$25</f>
        <v>9.85</v>
      </c>
      <c r="J217">
        <f>FLOOR((K217/'Prestige Patterns'!$B$22)^'Prestige Patterns'!$B$23,1)-H216</f>
        <v>828</v>
      </c>
      <c r="K217" s="8">
        <f>K216+N216*'Prestige Patterns'!$B$20</f>
        <v>293725182474</v>
      </c>
      <c r="L217" s="2">
        <f>IF(J216&gt;='Prestige Patterns'!$B$28,IF(J216/(H216+1)&gt;('Prestige Patterns'!$B$27+1),L216+1,L216),L216)</f>
        <v>4</v>
      </c>
      <c r="N217">
        <f t="shared" si="0"/>
        <v>357462016</v>
      </c>
      <c r="O217" s="3">
        <f>'Prestige Patterns'!$B$4*E217</f>
        <v>8860</v>
      </c>
      <c r="P217">
        <f t="shared" si="3"/>
        <v>4096</v>
      </c>
      <c r="Q217" s="5"/>
      <c r="R217" s="5"/>
      <c r="S217" s="3">
        <v>216</v>
      </c>
      <c r="T217" s="5"/>
    </row>
    <row r="218" spans="1:20" ht="12">
      <c r="A218" s="1"/>
      <c r="B218" s="1"/>
      <c r="C218" s="2">
        <f>(S218*'Prestige Patterns'!$B$20)/60</f>
        <v>108.5</v>
      </c>
      <c r="D218" s="2">
        <f>IF(L217=L218,N217*'Prestige Patterns'!$B$20+D217-F218,0)</f>
        <v>16684975026.08713</v>
      </c>
      <c r="E218" s="3">
        <f t="shared" si="1"/>
        <v>444</v>
      </c>
      <c r="F218" s="8">
        <f>'Prestige Patterns'!$B$5*('Prestige Patterns'!$B$6^E217-'Prestige Patterns'!$B$6^(E217+G218))/(1-'Prestige Patterns'!$B$6)</f>
        <v>9748088857.9958248</v>
      </c>
      <c r="G218" s="8">
        <f>FLOOR(LOG('Prestige Patterns'!$B$6^(E217) - (D217*(1-'Prestige Patterns'!$B$6)/'Prestige Patterns'!$B$5),'Prestige Patterns'!$B$6)-E217,1)</f>
        <v>1</v>
      </c>
      <c r="H218">
        <f t="shared" si="2"/>
        <v>885</v>
      </c>
      <c r="I218" s="5">
        <f>1+H218*'Prestige Patterns'!$B$25</f>
        <v>9.85</v>
      </c>
      <c r="J218">
        <f>FLOOR((K218/'Prestige Patterns'!$B$22)^'Prestige Patterns'!$B$23,1)-H217</f>
        <v>859</v>
      </c>
      <c r="K218" s="8">
        <f>K217+N217*'Prestige Patterns'!$B$20</f>
        <v>304449042954</v>
      </c>
      <c r="L218" s="2">
        <f>IF(J217&gt;='Prestige Patterns'!$B$28,IF(J217/(H217+1)&gt;('Prestige Patterns'!$B$27+1),L217+1,L217),L217)</f>
        <v>4</v>
      </c>
      <c r="N218">
        <f t="shared" si="0"/>
        <v>358268928</v>
      </c>
      <c r="O218" s="3">
        <f>'Prestige Patterns'!$B$4*E218</f>
        <v>8880</v>
      </c>
      <c r="P218">
        <f t="shared" si="3"/>
        <v>4096</v>
      </c>
      <c r="Q218" s="5"/>
      <c r="R218" s="5"/>
      <c r="S218" s="3">
        <v>217</v>
      </c>
      <c r="T218" s="5"/>
    </row>
    <row r="219" spans="1:20" ht="12">
      <c r="A219" s="1"/>
      <c r="B219" s="1"/>
      <c r="C219" s="2">
        <f>(S219*'Prestige Patterns'!$B$20)/60</f>
        <v>109</v>
      </c>
      <c r="D219" s="2">
        <f>IF(L218=L219,N218*'Prestige Patterns'!$B$20+D218-F219,0)</f>
        <v>17197549565.191483</v>
      </c>
      <c r="E219" s="3">
        <f t="shared" si="1"/>
        <v>445</v>
      </c>
      <c r="F219" s="8">
        <f>'Prestige Patterns'!$B$5*('Prestige Patterns'!$B$6^E218-'Prestige Patterns'!$B$6^(E218+G219))/(1-'Prestige Patterns'!$B$6)</f>
        <v>10235493300.895643</v>
      </c>
      <c r="G219" s="8">
        <f>FLOOR(LOG('Prestige Patterns'!$B$6^(E218) - (D218*(1-'Prestige Patterns'!$B$6)/'Prestige Patterns'!$B$5),'Prestige Patterns'!$B$6)-E218,1)</f>
        <v>1</v>
      </c>
      <c r="H219">
        <f t="shared" si="2"/>
        <v>885</v>
      </c>
      <c r="I219" s="5">
        <f>1+H219*'Prestige Patterns'!$B$25</f>
        <v>9.85</v>
      </c>
      <c r="J219">
        <f>FLOOR((K219/'Prestige Patterns'!$B$22)^'Prestige Patterns'!$B$23,1)-H218</f>
        <v>890</v>
      </c>
      <c r="K219" s="8">
        <f>K218+N218*'Prestige Patterns'!$B$20</f>
        <v>315197110794</v>
      </c>
      <c r="L219" s="2">
        <f>IF(J218&gt;='Prestige Patterns'!$B$28,IF(J218/(H218+1)&gt;('Prestige Patterns'!$B$27+1),L218+1,L218),L218)</f>
        <v>4</v>
      </c>
      <c r="N219">
        <f t="shared" si="0"/>
        <v>359075840</v>
      </c>
      <c r="O219" s="3">
        <f>'Prestige Patterns'!$B$4*E219</f>
        <v>8900</v>
      </c>
      <c r="P219">
        <f t="shared" si="3"/>
        <v>4096</v>
      </c>
      <c r="Q219" s="5"/>
      <c r="R219" s="5"/>
      <c r="S219" s="3">
        <v>218</v>
      </c>
      <c r="T219" s="5"/>
    </row>
    <row r="220" spans="1:20" ht="12">
      <c r="A220" s="1"/>
      <c r="B220" s="1"/>
      <c r="C220" s="2">
        <f>(S220*'Prestige Patterns'!$B$20)/60</f>
        <v>109.5</v>
      </c>
      <c r="D220" s="2">
        <f>IF(L219=L220,N219*'Prestige Patterns'!$B$20+D219-F220,0)</f>
        <v>17222556799.251091</v>
      </c>
      <c r="E220" s="3">
        <f t="shared" si="1"/>
        <v>446</v>
      </c>
      <c r="F220" s="8">
        <f>'Prestige Patterns'!$B$5*('Prestige Patterns'!$B$6^E219-'Prestige Patterns'!$B$6^(E219+G220))/(1-'Prestige Patterns'!$B$6)</f>
        <v>10747267965.94039</v>
      </c>
      <c r="G220" s="8">
        <f>FLOOR(LOG('Prestige Patterns'!$B$6^(E219) - (D219*(1-'Prestige Patterns'!$B$6)/'Prestige Patterns'!$B$5),'Prestige Patterns'!$B$6)-E219,1)</f>
        <v>1</v>
      </c>
      <c r="H220">
        <f t="shared" si="2"/>
        <v>885</v>
      </c>
      <c r="I220" s="5">
        <f>1+H220*'Prestige Patterns'!$B$25</f>
        <v>9.85</v>
      </c>
      <c r="J220">
        <f>FLOOR((K220/'Prestige Patterns'!$B$22)^'Prestige Patterns'!$B$23,1)-H219</f>
        <v>920</v>
      </c>
      <c r="K220" s="8">
        <f>K219+N219*'Prestige Patterns'!$B$20</f>
        <v>325969385994</v>
      </c>
      <c r="L220" s="2">
        <f>IF(J219&gt;='Prestige Patterns'!$B$28,IF(J219/(H219+1)&gt;('Prestige Patterns'!$B$27+1),L219+1,L219),L219)</f>
        <v>4</v>
      </c>
      <c r="N220">
        <f t="shared" si="0"/>
        <v>359882752</v>
      </c>
      <c r="O220" s="3">
        <f>'Prestige Patterns'!$B$4*E220</f>
        <v>8920</v>
      </c>
      <c r="P220">
        <f t="shared" si="3"/>
        <v>4096</v>
      </c>
      <c r="Q220" s="5"/>
      <c r="R220" s="5"/>
      <c r="S220" s="3">
        <v>219</v>
      </c>
      <c r="T220" s="5"/>
    </row>
    <row r="221" spans="1:20" ht="12">
      <c r="A221" s="1"/>
      <c r="B221" s="1"/>
      <c r="C221" s="2">
        <f>(S221*'Prestige Patterns'!$B$20)/60</f>
        <v>110</v>
      </c>
      <c r="D221" s="2">
        <f>IF(L220=L221,N220*'Prestige Patterns'!$B$20+D220-F221,0)</f>
        <v>16734407995.013582</v>
      </c>
      <c r="E221" s="3">
        <f t="shared" si="1"/>
        <v>447</v>
      </c>
      <c r="F221" s="8">
        <f>'Prestige Patterns'!$B$5*('Prestige Patterns'!$B$6^E220-'Prestige Patterns'!$B$6^(E220+G221))/(1-'Prestige Patterns'!$B$6)</f>
        <v>11284631364.237509</v>
      </c>
      <c r="G221" s="8">
        <f>FLOOR(LOG('Prestige Patterns'!$B$6^(E220) - (D220*(1-'Prestige Patterns'!$B$6)/'Prestige Patterns'!$B$5),'Prestige Patterns'!$B$6)-E220,1)</f>
        <v>1</v>
      </c>
      <c r="H221">
        <f t="shared" si="2"/>
        <v>885</v>
      </c>
      <c r="I221" s="5">
        <f>1+H221*'Prestige Patterns'!$B$25</f>
        <v>9.85</v>
      </c>
      <c r="J221">
        <f>FLOOR((K221/'Prestige Patterns'!$B$22)^'Prestige Patterns'!$B$23,1)-H220</f>
        <v>950</v>
      </c>
      <c r="K221" s="8">
        <f>K220+N220*'Prestige Patterns'!$B$20</f>
        <v>336765868554</v>
      </c>
      <c r="L221" s="2">
        <f>IF(J220&gt;='Prestige Patterns'!$B$28,IF(J220/(H220+1)&gt;('Prestige Patterns'!$B$27+1),L220+1,L220),L220)</f>
        <v>4</v>
      </c>
      <c r="N221">
        <f t="shared" si="0"/>
        <v>360689664</v>
      </c>
      <c r="O221" s="3">
        <f>'Prestige Patterns'!$B$4*E221</f>
        <v>8940</v>
      </c>
      <c r="P221">
        <f t="shared" si="3"/>
        <v>4096</v>
      </c>
      <c r="Q221" s="5"/>
      <c r="R221" s="5"/>
      <c r="S221" s="3">
        <v>220</v>
      </c>
      <c r="T221" s="5"/>
    </row>
    <row r="222" spans="1:20" ht="12">
      <c r="A222" s="1"/>
      <c r="B222" s="1"/>
      <c r="C222" s="2">
        <f>(S222*'Prestige Patterns'!$B$20)/60</f>
        <v>110.5</v>
      </c>
      <c r="D222" s="2">
        <f>IF(L221=L222,N221*'Prestige Patterns'!$B$20+D221-F222,0)</f>
        <v>15706234982.564289</v>
      </c>
      <c r="E222" s="3">
        <f t="shared" si="1"/>
        <v>448</v>
      </c>
      <c r="F222" s="8">
        <f>'Prestige Patterns'!$B$5*('Prestige Patterns'!$B$6^E221-'Prestige Patterns'!$B$6^(E221+G222))/(1-'Prestige Patterns'!$B$6)</f>
        <v>11848862932.449291</v>
      </c>
      <c r="G222" s="8">
        <f>FLOOR(LOG('Prestige Patterns'!$B$6^(E221) - (D221*(1-'Prestige Patterns'!$B$6)/'Prestige Patterns'!$B$5),'Prestige Patterns'!$B$6)-E221,1)</f>
        <v>1</v>
      </c>
      <c r="H222">
        <f t="shared" si="2"/>
        <v>885</v>
      </c>
      <c r="I222" s="5">
        <f>1+H222*'Prestige Patterns'!$B$25</f>
        <v>9.85</v>
      </c>
      <c r="J222">
        <f>FLOOR((K222/'Prestige Patterns'!$B$22)^'Prestige Patterns'!$B$23,1)-H221</f>
        <v>979</v>
      </c>
      <c r="K222" s="8">
        <f>K221+N221*'Prestige Patterns'!$B$20</f>
        <v>347586558474</v>
      </c>
      <c r="L222" s="2">
        <f>IF(J221&gt;='Prestige Patterns'!$B$28,IF(J221/(H221+1)&gt;('Prestige Patterns'!$B$27+1),L221+1,L221),L221)</f>
        <v>4</v>
      </c>
      <c r="N222">
        <f t="shared" si="0"/>
        <v>361496576</v>
      </c>
      <c r="O222" s="3">
        <f>'Prestige Patterns'!$B$4*E222</f>
        <v>8960</v>
      </c>
      <c r="P222">
        <f t="shared" si="3"/>
        <v>4096</v>
      </c>
      <c r="Q222" s="5"/>
      <c r="R222" s="5"/>
      <c r="S222" s="3">
        <v>221</v>
      </c>
      <c r="T222" s="5"/>
    </row>
    <row r="223" spans="1:20" ht="12">
      <c r="A223" s="1"/>
      <c r="B223" s="1"/>
      <c r="C223" s="2">
        <f>(S223*'Prestige Patterns'!$B$20)/60</f>
        <v>111</v>
      </c>
      <c r="D223" s="2">
        <f>IF(L222=L223,N222*'Prestige Patterns'!$B$20+D222-F223,0)</f>
        <v>14109826183.492455</v>
      </c>
      <c r="E223" s="3">
        <f t="shared" si="1"/>
        <v>449</v>
      </c>
      <c r="F223" s="8">
        <f>'Prestige Patterns'!$B$5*('Prestige Patterns'!$B$6^E222-'Prestige Patterns'!$B$6^(E222+G223))/(1-'Prestige Patterns'!$B$6)</f>
        <v>12441306079.071835</v>
      </c>
      <c r="G223" s="8">
        <f>FLOOR(LOG('Prestige Patterns'!$B$6^(E222) - (D222*(1-'Prestige Patterns'!$B$6)/'Prestige Patterns'!$B$5),'Prestige Patterns'!$B$6)-E222,1)</f>
        <v>1</v>
      </c>
      <c r="H223">
        <f t="shared" si="2"/>
        <v>885</v>
      </c>
      <c r="I223" s="5">
        <f>1+H223*'Prestige Patterns'!$B$25</f>
        <v>9.85</v>
      </c>
      <c r="J223">
        <f>FLOOR((K223/'Prestige Patterns'!$B$22)^'Prestige Patterns'!$B$23,1)-H222</f>
        <v>1008</v>
      </c>
      <c r="K223" s="8">
        <f>K222+N222*'Prestige Patterns'!$B$20</f>
        <v>358431455754</v>
      </c>
      <c r="L223" s="2">
        <f>IF(J222&gt;='Prestige Patterns'!$B$28,IF(J222/(H222+1)&gt;('Prestige Patterns'!$B$27+1),L222+1,L222),L222)</f>
        <v>4</v>
      </c>
      <c r="N223">
        <f t="shared" si="0"/>
        <v>362303488</v>
      </c>
      <c r="O223" s="3">
        <f>'Prestige Patterns'!$B$4*E223</f>
        <v>8980</v>
      </c>
      <c r="P223">
        <f t="shared" si="3"/>
        <v>4096</v>
      </c>
      <c r="Q223" s="5"/>
      <c r="R223" s="5"/>
      <c r="S223" s="3">
        <v>222</v>
      </c>
      <c r="T223" s="5"/>
    </row>
    <row r="224" spans="1:20" ht="12">
      <c r="A224" s="1"/>
      <c r="B224" s="1"/>
      <c r="C224" s="2">
        <f>(S224*'Prestige Patterns'!$B$20)/60</f>
        <v>111.5</v>
      </c>
      <c r="D224" s="2">
        <f>IF(L223=L224,N223*'Prestige Patterns'!$B$20+D223-F224,0)</f>
        <v>11915559440.467106</v>
      </c>
      <c r="E224" s="3">
        <f t="shared" si="1"/>
        <v>450</v>
      </c>
      <c r="F224" s="8">
        <f>'Prestige Patterns'!$B$5*('Prestige Patterns'!$B$6^E223-'Prestige Patterns'!$B$6^(E223+G224))/(1-'Prestige Patterns'!$B$6)</f>
        <v>13063371383.025349</v>
      </c>
      <c r="G224" s="8">
        <f>FLOOR(LOG('Prestige Patterns'!$B$6^(E223) - (D223*(1-'Prestige Patterns'!$B$6)/'Prestige Patterns'!$B$5),'Prestige Patterns'!$B$6)-E223,1)</f>
        <v>1</v>
      </c>
      <c r="H224">
        <f t="shared" si="2"/>
        <v>885</v>
      </c>
      <c r="I224" s="5">
        <f>1+H224*'Prestige Patterns'!$B$25</f>
        <v>9.85</v>
      </c>
      <c r="J224">
        <f>FLOOR((K224/'Prestige Patterns'!$B$22)^'Prestige Patterns'!$B$23,1)-H223</f>
        <v>1036</v>
      </c>
      <c r="K224" s="8">
        <f>K223+N223*'Prestige Patterns'!$B$20</f>
        <v>369300560394</v>
      </c>
      <c r="L224" s="2">
        <f>IF(J223&gt;='Prestige Patterns'!$B$28,IF(J223/(H223+1)&gt;('Prestige Patterns'!$B$27+1),L223+1,L223),L223)</f>
        <v>4</v>
      </c>
      <c r="N224">
        <f t="shared" si="0"/>
        <v>363110400</v>
      </c>
      <c r="O224" s="3">
        <f>'Prestige Patterns'!$B$4*E224</f>
        <v>9000</v>
      </c>
      <c r="P224">
        <f t="shared" si="3"/>
        <v>4096</v>
      </c>
      <c r="Q224" s="5"/>
      <c r="R224" s="5"/>
      <c r="S224" s="3">
        <v>223</v>
      </c>
      <c r="T224" s="5"/>
    </row>
    <row r="225" spans="1:20" ht="12">
      <c r="A225" s="1"/>
      <c r="B225" s="1"/>
      <c r="C225" s="2">
        <f>(S225*'Prestige Patterns'!$B$20)/60</f>
        <v>112</v>
      </c>
      <c r="D225" s="2">
        <f>IF(L224=L225,N224*'Prestige Patterns'!$B$20+D224-F225,0)</f>
        <v>22808871440.467106</v>
      </c>
      <c r="E225" s="3">
        <f t="shared" si="1"/>
        <v>450</v>
      </c>
      <c r="F225" s="8">
        <f>'Prestige Patterns'!$B$5*('Prestige Patterns'!$B$6^E224-'Prestige Patterns'!$B$6^(E224+G225))/(1-'Prestige Patterns'!$B$6)</f>
        <v>0</v>
      </c>
      <c r="G225" s="8">
        <f>FLOOR(LOG('Prestige Patterns'!$B$6^(E224) - (D224*(1-'Prestige Patterns'!$B$6)/'Prestige Patterns'!$B$5),'Prestige Patterns'!$B$6)-E224,1)</f>
        <v>0</v>
      </c>
      <c r="H225">
        <f t="shared" si="2"/>
        <v>885</v>
      </c>
      <c r="I225" s="5">
        <f>1+H225*'Prestige Patterns'!$B$25</f>
        <v>9.85</v>
      </c>
      <c r="J225">
        <f>FLOOR((K225/'Prestige Patterns'!$B$22)^'Prestige Patterns'!$B$23,1)-H224</f>
        <v>1064</v>
      </c>
      <c r="K225" s="8">
        <f>K224+N224*'Prestige Patterns'!$B$20</f>
        <v>380193872394</v>
      </c>
      <c r="L225" s="2">
        <f>IF(J224&gt;='Prestige Patterns'!$B$28,IF(J224/(H224+1)&gt;('Prestige Patterns'!$B$27+1),L224+1,L224),L224)</f>
        <v>4</v>
      </c>
      <c r="N225">
        <f t="shared" si="0"/>
        <v>363110400</v>
      </c>
      <c r="O225" s="3">
        <f>'Prestige Patterns'!$B$4*E225</f>
        <v>9000</v>
      </c>
      <c r="P225">
        <f t="shared" si="3"/>
        <v>4096</v>
      </c>
      <c r="Q225" s="5"/>
      <c r="R225" s="5"/>
      <c r="S225" s="3">
        <v>224</v>
      </c>
      <c r="T225" s="5"/>
    </row>
    <row r="226" spans="1:20" ht="12">
      <c r="A226" s="1"/>
      <c r="B226" s="1"/>
      <c r="C226" s="2">
        <f>(S226*'Prestige Patterns'!$B$20)/60</f>
        <v>112.5</v>
      </c>
      <c r="D226" s="2">
        <f>IF(L225=L226,N225*'Prestige Patterns'!$B$20+D225-F226,0)</f>
        <v>19985643488.290413</v>
      </c>
      <c r="E226" s="3">
        <f t="shared" si="1"/>
        <v>451</v>
      </c>
      <c r="F226" s="8">
        <f>'Prestige Patterns'!$B$5*('Prestige Patterns'!$B$6^E225-'Prestige Patterns'!$B$6^(E225+G226))/(1-'Prestige Patterns'!$B$6)</f>
        <v>13716539952.176693</v>
      </c>
      <c r="G226" s="8">
        <f>FLOOR(LOG('Prestige Patterns'!$B$6^(E225) - (D225*(1-'Prestige Patterns'!$B$6)/'Prestige Patterns'!$B$5),'Prestige Patterns'!$B$6)-E225,1)</f>
        <v>1</v>
      </c>
      <c r="H226">
        <f t="shared" si="2"/>
        <v>885</v>
      </c>
      <c r="I226" s="5">
        <f>1+H226*'Prestige Patterns'!$B$25</f>
        <v>9.85</v>
      </c>
      <c r="J226">
        <f>FLOOR((K226/'Prestige Patterns'!$B$22)^'Prestige Patterns'!$B$23,1)-H225</f>
        <v>1092</v>
      </c>
      <c r="K226" s="8">
        <f>K225+N225*'Prestige Patterns'!$B$20</f>
        <v>391087184394</v>
      </c>
      <c r="L226" s="2">
        <f>IF(J225&gt;='Prestige Patterns'!$B$28,IF(J225/(H225+1)&gt;('Prestige Patterns'!$B$27+1),L225+1,L225),L225)</f>
        <v>4</v>
      </c>
      <c r="N226">
        <f t="shared" si="0"/>
        <v>363917312</v>
      </c>
      <c r="O226" s="3">
        <f>'Prestige Patterns'!$B$4*E226</f>
        <v>9020</v>
      </c>
      <c r="P226">
        <f t="shared" si="3"/>
        <v>4096</v>
      </c>
      <c r="Q226" s="5"/>
      <c r="R226" s="5"/>
      <c r="S226" s="3">
        <v>225</v>
      </c>
      <c r="T226" s="5"/>
    </row>
    <row r="227" spans="1:20" ht="12">
      <c r="A227" s="1"/>
      <c r="B227" s="1"/>
      <c r="C227" s="2">
        <f>(S227*'Prestige Patterns'!$B$20)/60</f>
        <v>113</v>
      </c>
      <c r="D227" s="2">
        <f>IF(L226=L227,N226*'Prestige Patterns'!$B$20+D226-F227,0)</f>
        <v>16500795898.504965</v>
      </c>
      <c r="E227" s="3">
        <f t="shared" si="1"/>
        <v>452</v>
      </c>
      <c r="F227" s="8">
        <f>'Prestige Patterns'!$B$5*('Prestige Patterns'!$B$6^E226-'Prestige Patterns'!$B$6^(E226+G227))/(1-'Prestige Patterns'!$B$6)</f>
        <v>14402366949.785448</v>
      </c>
      <c r="G227" s="8">
        <f>FLOOR(LOG('Prestige Patterns'!$B$6^(E226) - (D226*(1-'Prestige Patterns'!$B$6)/'Prestige Patterns'!$B$5),'Prestige Patterns'!$B$6)-E226,1)</f>
        <v>1</v>
      </c>
      <c r="H227">
        <f t="shared" si="2"/>
        <v>885</v>
      </c>
      <c r="I227" s="5">
        <f>1+H227*'Prestige Patterns'!$B$25</f>
        <v>9.85</v>
      </c>
      <c r="J227">
        <f>FLOOR((K227/'Prestige Patterns'!$B$22)^'Prestige Patterns'!$B$23,1)-H226</f>
        <v>1120</v>
      </c>
      <c r="K227" s="8">
        <f>K226+N226*'Prestige Patterns'!$B$20</f>
        <v>402004703754</v>
      </c>
      <c r="L227" s="2">
        <f>IF(J226&gt;='Prestige Patterns'!$B$28,IF(J226/(H226+1)&gt;('Prestige Patterns'!$B$27+1),L226+1,L226),L226)</f>
        <v>4</v>
      </c>
      <c r="N227">
        <f t="shared" si="0"/>
        <v>364724224</v>
      </c>
      <c r="O227" s="3">
        <f>'Prestige Patterns'!$B$4*E227</f>
        <v>9040</v>
      </c>
      <c r="P227">
        <f t="shared" si="3"/>
        <v>4096</v>
      </c>
      <c r="Q227" s="5"/>
      <c r="R227" s="5"/>
      <c r="S227" s="3">
        <v>226</v>
      </c>
      <c r="T227" s="5"/>
    </row>
    <row r="228" spans="1:20" ht="12">
      <c r="A228" s="1"/>
      <c r="B228" s="1"/>
      <c r="C228" s="2">
        <f>(S228*'Prestige Patterns'!$B$20)/60</f>
        <v>113.5</v>
      </c>
      <c r="D228" s="2">
        <f>IF(L227=L228,N227*'Prestige Patterns'!$B$20+D227-F228,0)</f>
        <v>12320037321.2302</v>
      </c>
      <c r="E228" s="3">
        <f t="shared" si="1"/>
        <v>453</v>
      </c>
      <c r="F228" s="8">
        <f>'Prestige Patterns'!$B$5*('Prestige Patterns'!$B$6^E227-'Prestige Patterns'!$B$6^(E227+G228))/(1-'Prestige Patterns'!$B$6)</f>
        <v>15122485297.274767</v>
      </c>
      <c r="G228" s="8">
        <f>FLOOR(LOG('Prestige Patterns'!$B$6^(E227) - (D227*(1-'Prestige Patterns'!$B$6)/'Prestige Patterns'!$B$5),'Prestige Patterns'!$B$6)-E227,1)</f>
        <v>1</v>
      </c>
      <c r="H228">
        <f t="shared" si="2"/>
        <v>885</v>
      </c>
      <c r="I228" s="5">
        <f>1+H228*'Prestige Patterns'!$B$25</f>
        <v>9.85</v>
      </c>
      <c r="J228">
        <f>FLOOR((K228/'Prestige Patterns'!$B$22)^'Prestige Patterns'!$B$23,1)-H227</f>
        <v>1147</v>
      </c>
      <c r="K228" s="8">
        <f>K227+N227*'Prestige Patterns'!$B$20</f>
        <v>412946430474</v>
      </c>
      <c r="L228" s="2">
        <f>IF(J227&gt;='Prestige Patterns'!$B$28,IF(J227/(H227+1)&gt;('Prestige Patterns'!$B$27+1),L227+1,L227),L227)</f>
        <v>4</v>
      </c>
      <c r="N228">
        <f t="shared" si="0"/>
        <v>365531136</v>
      </c>
      <c r="O228" s="3">
        <f>'Prestige Patterns'!$B$4*E228</f>
        <v>9060</v>
      </c>
      <c r="P228">
        <f t="shared" si="3"/>
        <v>4096</v>
      </c>
      <c r="Q228" s="5"/>
      <c r="R228" s="5"/>
      <c r="S228" s="3">
        <v>227</v>
      </c>
      <c r="T228" s="5"/>
    </row>
    <row r="229" spans="1:20" ht="12">
      <c r="A229" s="1"/>
      <c r="B229" s="1"/>
      <c r="C229" s="2">
        <f>(S229*'Prestige Patterns'!$B$20)/60</f>
        <v>114</v>
      </c>
      <c r="D229" s="2">
        <f>IF(L228=L229,N228*'Prestige Patterns'!$B$20+D228-F229,0)</f>
        <v>23285971401.230202</v>
      </c>
      <c r="E229" s="3">
        <f t="shared" si="1"/>
        <v>453</v>
      </c>
      <c r="F229" s="8">
        <f>'Prestige Patterns'!$B$5*('Prestige Patterns'!$B$6^E228-'Prestige Patterns'!$B$6^(E228+G229))/(1-'Prestige Patterns'!$B$6)</f>
        <v>0</v>
      </c>
      <c r="G229" s="8">
        <f>FLOOR(LOG('Prestige Patterns'!$B$6^(E228) - (D228*(1-'Prestige Patterns'!$B$6)/'Prestige Patterns'!$B$5),'Prestige Patterns'!$B$6)-E228,1)</f>
        <v>0</v>
      </c>
      <c r="H229">
        <f t="shared" si="2"/>
        <v>885</v>
      </c>
      <c r="I229" s="5">
        <f>1+H229*'Prestige Patterns'!$B$25</f>
        <v>9.85</v>
      </c>
      <c r="J229">
        <f>FLOOR((K229/'Prestige Patterns'!$B$22)^'Prestige Patterns'!$B$23,1)-H228</f>
        <v>1173</v>
      </c>
      <c r="K229" s="8">
        <f>K228+N228*'Prestige Patterns'!$B$20</f>
        <v>423912364554</v>
      </c>
      <c r="L229" s="2">
        <f>IF(J228&gt;='Prestige Patterns'!$B$28,IF(J228/(H228+1)&gt;('Prestige Patterns'!$B$27+1),L228+1,L228),L228)</f>
        <v>4</v>
      </c>
      <c r="N229">
        <f t="shared" si="0"/>
        <v>365531136</v>
      </c>
      <c r="O229" s="3">
        <f>'Prestige Patterns'!$B$4*E229</f>
        <v>9060</v>
      </c>
      <c r="P229">
        <f t="shared" si="3"/>
        <v>4096</v>
      </c>
      <c r="Q229" s="5"/>
      <c r="R229" s="5"/>
      <c r="S229" s="3">
        <v>228</v>
      </c>
      <c r="T229" s="5"/>
    </row>
    <row r="230" spans="1:20" ht="12">
      <c r="A230" s="1"/>
      <c r="B230" s="1"/>
      <c r="C230" s="2">
        <f>(S230*'Prestige Patterns'!$B$20)/60</f>
        <v>114.5</v>
      </c>
      <c r="D230" s="2">
        <f>IF(L229=L230,N229*'Prestige Patterns'!$B$20+D229-F230,0)</f>
        <v>18373295919.091736</v>
      </c>
      <c r="E230" s="3">
        <f t="shared" si="1"/>
        <v>454</v>
      </c>
      <c r="F230" s="8">
        <f>'Prestige Patterns'!$B$5*('Prestige Patterns'!$B$6^E229-'Prestige Patterns'!$B$6^(E229+G230))/(1-'Prestige Patterns'!$B$6)</f>
        <v>15878609562.138468</v>
      </c>
      <c r="G230" s="8">
        <f>FLOOR(LOG('Prestige Patterns'!$B$6^(E229) - (D229*(1-'Prestige Patterns'!$B$6)/'Prestige Patterns'!$B$5),'Prestige Patterns'!$B$6)-E229,1)</f>
        <v>1</v>
      </c>
      <c r="H230">
        <f t="shared" si="2"/>
        <v>885</v>
      </c>
      <c r="I230" s="5">
        <f>1+H230*'Prestige Patterns'!$B$25</f>
        <v>9.85</v>
      </c>
      <c r="J230">
        <f>FLOOR((K230/'Prestige Patterns'!$B$22)^'Prestige Patterns'!$B$23,1)-H229</f>
        <v>1200</v>
      </c>
      <c r="K230" s="8">
        <f>K229+N229*'Prestige Patterns'!$B$20</f>
        <v>434878298634</v>
      </c>
      <c r="L230" s="2">
        <f>IF(J229&gt;='Prestige Patterns'!$B$28,IF(J229/(H229+1)&gt;('Prestige Patterns'!$B$27+1),L229+1,L229),L229)</f>
        <v>4</v>
      </c>
      <c r="N230">
        <f t="shared" si="0"/>
        <v>366338048</v>
      </c>
      <c r="O230" s="3">
        <f>'Prestige Patterns'!$B$4*E230</f>
        <v>9080</v>
      </c>
      <c r="P230">
        <f t="shared" si="3"/>
        <v>4096</v>
      </c>
      <c r="Q230" s="5"/>
      <c r="R230" s="5"/>
      <c r="S230" s="3">
        <v>229</v>
      </c>
      <c r="T230" s="5"/>
    </row>
    <row r="231" spans="1:20" ht="12">
      <c r="A231" s="1"/>
      <c r="B231" s="1"/>
      <c r="C231" s="2">
        <f>(S231*'Prestige Patterns'!$B$20)/60</f>
        <v>115</v>
      </c>
      <c r="D231" s="2">
        <f>IF(L230=L231,N230*'Prestige Patterns'!$B$20+D230-F231,0)</f>
        <v>12690897318.846275</v>
      </c>
      <c r="E231" s="3">
        <f t="shared" si="1"/>
        <v>455</v>
      </c>
      <c r="F231" s="8">
        <f>'Prestige Patterns'!$B$5*('Prestige Patterns'!$B$6^E230-'Prestige Patterns'!$B$6^(E230+G231))/(1-'Prestige Patterns'!$B$6)</f>
        <v>16672540040.245461</v>
      </c>
      <c r="G231" s="8">
        <f>FLOOR(LOG('Prestige Patterns'!$B$6^(E230) - (D230*(1-'Prestige Patterns'!$B$6)/'Prestige Patterns'!$B$5),'Prestige Patterns'!$B$6)-E230,1)</f>
        <v>1</v>
      </c>
      <c r="H231">
        <f t="shared" si="2"/>
        <v>885</v>
      </c>
      <c r="I231" s="5">
        <f>1+H231*'Prestige Patterns'!$B$25</f>
        <v>9.85</v>
      </c>
      <c r="J231">
        <f>FLOOR((K231/'Prestige Patterns'!$B$22)^'Prestige Patterns'!$B$23,1)-H230</f>
        <v>1226</v>
      </c>
      <c r="K231" s="8">
        <f>K230+N230*'Prestige Patterns'!$B$20</f>
        <v>445868440074</v>
      </c>
      <c r="L231" s="2">
        <f>IF(J230&gt;='Prestige Patterns'!$B$28,IF(J230/(H230+1)&gt;('Prestige Patterns'!$B$27+1),L230+1,L230),L230)</f>
        <v>4</v>
      </c>
      <c r="N231">
        <f t="shared" si="0"/>
        <v>367144960</v>
      </c>
      <c r="O231" s="3">
        <f>'Prestige Patterns'!$B$4*E231</f>
        <v>9100</v>
      </c>
      <c r="P231">
        <f t="shared" si="3"/>
        <v>4096</v>
      </c>
      <c r="Q231" s="5"/>
      <c r="R231" s="5"/>
      <c r="S231" s="3">
        <v>230</v>
      </c>
      <c r="T231" s="5"/>
    </row>
    <row r="232" spans="1:20" ht="12">
      <c r="A232" s="1"/>
      <c r="B232" s="1"/>
      <c r="C232" s="2">
        <f>(S232*'Prestige Patterns'!$B$20)/60</f>
        <v>115.5</v>
      </c>
      <c r="D232" s="2">
        <f>IF(L231=L232,N231*'Prestige Patterns'!$B$20+D231-F232,0)</f>
        <v>23705246118.846275</v>
      </c>
      <c r="E232" s="3">
        <f t="shared" si="1"/>
        <v>455</v>
      </c>
      <c r="F232" s="8">
        <f>'Prestige Patterns'!$B$5*('Prestige Patterns'!$B$6^E231-'Prestige Patterns'!$B$6^(E231+G232))/(1-'Prestige Patterns'!$B$6)</f>
        <v>0</v>
      </c>
      <c r="G232" s="8">
        <f>FLOOR(LOG('Prestige Patterns'!$B$6^(E231) - (D231*(1-'Prestige Patterns'!$B$6)/'Prestige Patterns'!$B$5),'Prestige Patterns'!$B$6)-E231,1)</f>
        <v>0</v>
      </c>
      <c r="H232">
        <f t="shared" si="2"/>
        <v>885</v>
      </c>
      <c r="I232" s="5">
        <f>1+H232*'Prestige Patterns'!$B$25</f>
        <v>9.85</v>
      </c>
      <c r="J232">
        <f>FLOOR((K232/'Prestige Patterns'!$B$22)^'Prestige Patterns'!$B$23,1)-H231</f>
        <v>1252</v>
      </c>
      <c r="K232" s="8">
        <f>K231+N231*'Prestige Patterns'!$B$20</f>
        <v>456882788874</v>
      </c>
      <c r="L232" s="2">
        <f>IF(J231&gt;='Prestige Patterns'!$B$28,IF(J231/(H231+1)&gt;('Prestige Patterns'!$B$27+1),L231+1,L231),L231)</f>
        <v>4</v>
      </c>
      <c r="N232">
        <f t="shared" si="0"/>
        <v>367144960</v>
      </c>
      <c r="O232" s="3">
        <f>'Prestige Patterns'!$B$4*E232</f>
        <v>9100</v>
      </c>
      <c r="P232">
        <f t="shared" si="3"/>
        <v>4096</v>
      </c>
      <c r="Q232" s="5"/>
      <c r="R232" s="5"/>
      <c r="S232" s="3">
        <v>231</v>
      </c>
      <c r="T232" s="5"/>
    </row>
    <row r="233" spans="1:20" ht="12">
      <c r="A233" s="1"/>
      <c r="B233" s="1"/>
      <c r="C233" s="2">
        <f>(S233*'Prestige Patterns'!$B$20)/60</f>
        <v>116</v>
      </c>
      <c r="D233" s="2">
        <f>IF(L232=L233,N232*'Prestige Patterns'!$B$20+D232-F233,0)</f>
        <v>17213427876.5886</v>
      </c>
      <c r="E233" s="3">
        <f t="shared" si="1"/>
        <v>456</v>
      </c>
      <c r="F233" s="8">
        <f>'Prestige Patterns'!$B$5*('Prestige Patterns'!$B$6^E232-'Prestige Patterns'!$B$6^(E232+G233))/(1-'Prestige Patterns'!$B$6)</f>
        <v>17506167042.257675</v>
      </c>
      <c r="G233" s="8">
        <f>FLOOR(LOG('Prestige Patterns'!$B$6^(E232) - (D232*(1-'Prestige Patterns'!$B$6)/'Prestige Patterns'!$B$5),'Prestige Patterns'!$B$6)-E232,1)</f>
        <v>1</v>
      </c>
      <c r="H233">
        <f t="shared" si="2"/>
        <v>885</v>
      </c>
      <c r="I233" s="5">
        <f>1+H233*'Prestige Patterns'!$B$25</f>
        <v>9.85</v>
      </c>
      <c r="J233">
        <f>FLOOR((K233/'Prestige Patterns'!$B$22)^'Prestige Patterns'!$B$23,1)-H232</f>
        <v>1278</v>
      </c>
      <c r="K233" s="8">
        <f>K232+N232*'Prestige Patterns'!$B$20</f>
        <v>467897137674</v>
      </c>
      <c r="L233" s="2">
        <f>IF(J232&gt;='Prestige Patterns'!$B$28,IF(J232/(H232+1)&gt;('Prestige Patterns'!$B$27+1),L232+1,L232),L232)</f>
        <v>4</v>
      </c>
      <c r="N233">
        <f t="shared" si="0"/>
        <v>367951872</v>
      </c>
      <c r="O233" s="3">
        <f>'Prestige Patterns'!$B$4*E233</f>
        <v>9120</v>
      </c>
      <c r="P233">
        <f t="shared" si="3"/>
        <v>4096</v>
      </c>
      <c r="Q233" s="5"/>
      <c r="R233" s="5"/>
      <c r="S233" s="3">
        <v>232</v>
      </c>
      <c r="T233" s="5"/>
    </row>
    <row r="234" spans="1:20" ht="12">
      <c r="A234" s="1"/>
      <c r="B234" s="1"/>
      <c r="C234" s="2">
        <f>(S234*'Prestige Patterns'!$B$20)/60</f>
        <v>116.5</v>
      </c>
      <c r="D234" s="2">
        <f>IF(L233=L234,N233*'Prestige Patterns'!$B$20+D233-F234,0)</f>
        <v>28251984036.5886</v>
      </c>
      <c r="E234" s="3">
        <f t="shared" si="1"/>
        <v>456</v>
      </c>
      <c r="F234" s="8">
        <f>'Prestige Patterns'!$B$5*('Prestige Patterns'!$B$6^E233-'Prestige Patterns'!$B$6^(E233+G234))/(1-'Prestige Patterns'!$B$6)</f>
        <v>0</v>
      </c>
      <c r="G234" s="8">
        <f>FLOOR(LOG('Prestige Patterns'!$B$6^(E233) - (D233*(1-'Prestige Patterns'!$B$6)/'Prestige Patterns'!$B$5),'Prestige Patterns'!$B$6)-E233,1)</f>
        <v>0</v>
      </c>
      <c r="H234">
        <f t="shared" si="2"/>
        <v>885</v>
      </c>
      <c r="I234" s="5">
        <f>1+H234*'Prestige Patterns'!$B$25</f>
        <v>9.85</v>
      </c>
      <c r="J234">
        <f>FLOOR((K234/'Prestige Patterns'!$B$22)^'Prestige Patterns'!$B$23,1)-H233</f>
        <v>1303</v>
      </c>
      <c r="K234" s="8">
        <f>K233+N233*'Prestige Patterns'!$B$20</f>
        <v>478935693834</v>
      </c>
      <c r="L234" s="2">
        <f>IF(J233&gt;='Prestige Patterns'!$B$28,IF(J233/(H233+1)&gt;('Prestige Patterns'!$B$27+1),L233+1,L233),L233)</f>
        <v>4</v>
      </c>
      <c r="N234">
        <f t="shared" si="0"/>
        <v>367951872</v>
      </c>
      <c r="O234" s="3">
        <f>'Prestige Patterns'!$B$4*E234</f>
        <v>9120</v>
      </c>
      <c r="P234">
        <f t="shared" si="3"/>
        <v>4096</v>
      </c>
      <c r="Q234" s="5"/>
      <c r="R234" s="5"/>
      <c r="S234" s="3">
        <v>233</v>
      </c>
      <c r="T234" s="5"/>
    </row>
    <row r="235" spans="1:20" ht="12">
      <c r="A235" s="1"/>
      <c r="B235" s="1"/>
      <c r="C235" s="2">
        <f>(S235*'Prestige Patterns'!$B$20)/60</f>
        <v>117</v>
      </c>
      <c r="D235" s="2">
        <f>IF(L234=L235,N234*'Prestige Patterns'!$B$20+D234-F235,0)</f>
        <v>20909064802.21804</v>
      </c>
      <c r="E235" s="3">
        <f t="shared" si="1"/>
        <v>457</v>
      </c>
      <c r="F235" s="8">
        <f>'Prestige Patterns'!$B$5*('Prestige Patterns'!$B$6^E234-'Prestige Patterns'!$B$6^(E234+G235))/(1-'Prestige Patterns'!$B$6)</f>
        <v>18381475394.37056</v>
      </c>
      <c r="G235" s="8">
        <f>FLOOR(LOG('Prestige Patterns'!$B$6^(E234) - (D234*(1-'Prestige Patterns'!$B$6)/'Prestige Patterns'!$B$5),'Prestige Patterns'!$B$6)-E234,1)</f>
        <v>1</v>
      </c>
      <c r="H235">
        <f t="shared" si="2"/>
        <v>885</v>
      </c>
      <c r="I235" s="5">
        <f>1+H235*'Prestige Patterns'!$B$25</f>
        <v>9.85</v>
      </c>
      <c r="J235">
        <f>FLOOR((K235/'Prestige Patterns'!$B$22)^'Prestige Patterns'!$B$23,1)-H234</f>
        <v>1328</v>
      </c>
      <c r="K235" s="8">
        <f>K234+N234*'Prestige Patterns'!$B$20</f>
        <v>489974249994</v>
      </c>
      <c r="L235" s="2">
        <f>IF(J234&gt;='Prestige Patterns'!$B$28,IF(J234/(H234+1)&gt;('Prestige Patterns'!$B$27+1),L234+1,L234),L234)</f>
        <v>4</v>
      </c>
      <c r="N235">
        <f t="shared" si="0"/>
        <v>368758784</v>
      </c>
      <c r="O235" s="3">
        <f>'Prestige Patterns'!$B$4*E235</f>
        <v>9140</v>
      </c>
      <c r="P235">
        <f t="shared" si="3"/>
        <v>4096</v>
      </c>
      <c r="Q235" s="5"/>
      <c r="R235" s="5"/>
      <c r="S235" s="3">
        <v>234</v>
      </c>
      <c r="T235" s="5"/>
    </row>
    <row r="236" spans="1:20" ht="12">
      <c r="A236" s="1"/>
      <c r="B236" s="1"/>
      <c r="C236" s="2">
        <f>(S236*'Prestige Patterns'!$B$20)/60</f>
        <v>117.5</v>
      </c>
      <c r="D236" s="2">
        <f>IF(L235=L236,N235*'Prestige Patterns'!$B$20+D235-F236,0)</f>
        <v>12671279158.129005</v>
      </c>
      <c r="E236" s="3">
        <f t="shared" si="1"/>
        <v>458</v>
      </c>
      <c r="F236" s="8">
        <f>'Prestige Patterns'!$B$5*('Prestige Patterns'!$B$6^E235-'Prestige Patterns'!$B$6^(E235+G236))/(1-'Prestige Patterns'!$B$6)</f>
        <v>19300549164.089035</v>
      </c>
      <c r="G236" s="8">
        <f>FLOOR(LOG('Prestige Patterns'!$B$6^(E235) - (D235*(1-'Prestige Patterns'!$B$6)/'Prestige Patterns'!$B$5),'Prestige Patterns'!$B$6)-E235,1)</f>
        <v>1</v>
      </c>
      <c r="H236">
        <f t="shared" si="2"/>
        <v>885</v>
      </c>
      <c r="I236" s="5">
        <f>1+H236*'Prestige Patterns'!$B$25</f>
        <v>9.85</v>
      </c>
      <c r="J236">
        <f>FLOOR((K236/'Prestige Patterns'!$B$22)^'Prestige Patterns'!$B$23,1)-H235</f>
        <v>1353</v>
      </c>
      <c r="K236" s="8">
        <f>K235+N235*'Prestige Patterns'!$B$20</f>
        <v>501037013514</v>
      </c>
      <c r="L236" s="2">
        <f>IF(J235&gt;='Prestige Patterns'!$B$28,IF(J235/(H235+1)&gt;('Prestige Patterns'!$B$27+1),L235+1,L235),L235)</f>
        <v>4</v>
      </c>
      <c r="N236">
        <f t="shared" si="0"/>
        <v>369565696</v>
      </c>
      <c r="O236" s="3">
        <f>'Prestige Patterns'!$B$4*E236</f>
        <v>9160</v>
      </c>
      <c r="P236">
        <f t="shared" si="3"/>
        <v>4096</v>
      </c>
      <c r="Q236" s="5"/>
      <c r="R236" s="5"/>
      <c r="S236" s="3">
        <v>235</v>
      </c>
      <c r="T236" s="5"/>
    </row>
    <row r="237" spans="1:20" ht="12">
      <c r="A237" s="1"/>
      <c r="B237" s="1"/>
      <c r="C237" s="2">
        <f>(S237*'Prestige Patterns'!$B$20)/60</f>
        <v>118</v>
      </c>
      <c r="D237" s="2">
        <f>IF(L236=L237,N236*'Prestige Patterns'!$B$20+D236-F237,0)</f>
        <v>0</v>
      </c>
      <c r="E237" s="3">
        <f t="shared" si="1"/>
        <v>1</v>
      </c>
      <c r="F237" s="8">
        <f>'Prestige Patterns'!$B$5*('Prestige Patterns'!$B$6^E236-'Prestige Patterns'!$B$6^(E236+G237))/(1-'Prestige Patterns'!$B$6)</f>
        <v>0</v>
      </c>
      <c r="G237" s="8">
        <f>FLOOR(LOG('Prestige Patterns'!$B$6^(E236) - (D236*(1-'Prestige Patterns'!$B$6)/'Prestige Patterns'!$B$5),'Prestige Patterns'!$B$6)-E236,1)</f>
        <v>0</v>
      </c>
      <c r="H237">
        <f t="shared" si="2"/>
        <v>2238</v>
      </c>
      <c r="I237" s="5">
        <f>1+H237*'Prestige Patterns'!$B$25</f>
        <v>23.38</v>
      </c>
      <c r="J237">
        <f>FLOOR((K237/'Prestige Patterns'!$B$22)^'Prestige Patterns'!$B$23,1)-H236</f>
        <v>1378</v>
      </c>
      <c r="K237" s="8">
        <f>K236+N236*'Prestige Patterns'!$B$20</f>
        <v>512123984394</v>
      </c>
      <c r="L237" s="2">
        <f>IF(J236&gt;='Prestige Patterns'!$B$28,IF(J236/(H236+1)&gt;('Prestige Patterns'!$B$27+1),L236+1,L236),L236)</f>
        <v>5</v>
      </c>
      <c r="N237">
        <f t="shared" si="0"/>
        <v>1915289.5999999999</v>
      </c>
      <c r="O237" s="3">
        <f>'Prestige Patterns'!$B$4*E237</f>
        <v>20</v>
      </c>
      <c r="P237">
        <f t="shared" si="3"/>
        <v>4096</v>
      </c>
      <c r="Q237" s="5"/>
      <c r="R237" s="5"/>
      <c r="S237" s="3">
        <v>236</v>
      </c>
      <c r="T237" s="5"/>
    </row>
    <row r="238" spans="1:20" ht="12">
      <c r="A238" s="1"/>
      <c r="B238" s="1"/>
      <c r="C238" s="2">
        <f>(S238*'Prestige Patterns'!$B$20)/60</f>
        <v>118.5</v>
      </c>
      <c r="D238" s="2">
        <f>IF(L237=L238,N237*'Prestige Patterns'!$B$20+D237-F238,0)</f>
        <v>57458687.999999993</v>
      </c>
      <c r="E238" s="3">
        <f t="shared" si="1"/>
        <v>1</v>
      </c>
      <c r="F238" s="8">
        <f>'Prestige Patterns'!$B$5*('Prestige Patterns'!$B$6^E237-'Prestige Patterns'!$B$6^(E237+G238))/(1-'Prestige Patterns'!$B$6)</f>
        <v>0</v>
      </c>
      <c r="G238" s="8">
        <f>FLOOR(LOG('Prestige Patterns'!$B$6^(E237) - (D237*(1-'Prestige Patterns'!$B$6)/'Prestige Patterns'!$B$5),'Prestige Patterns'!$B$6)-E237,1)</f>
        <v>0</v>
      </c>
      <c r="H238">
        <f t="shared" si="2"/>
        <v>2238</v>
      </c>
      <c r="I238" s="5">
        <f>1+H238*'Prestige Patterns'!$B$25</f>
        <v>23.38</v>
      </c>
      <c r="J238">
        <f>FLOOR((K238/'Prestige Patterns'!$B$22)^'Prestige Patterns'!$B$23,1)-H237</f>
        <v>25</v>
      </c>
      <c r="K238" s="8">
        <f>K237+N237*'Prestige Patterns'!$B$20</f>
        <v>512181443082</v>
      </c>
      <c r="L238" s="2">
        <f>IF(J237&gt;='Prestige Patterns'!$B$28,IF(J237/(H237+1)&gt;('Prestige Patterns'!$B$27+1),L237+1,L237),L237)</f>
        <v>5</v>
      </c>
      <c r="N238">
        <f t="shared" si="0"/>
        <v>1915289.5999999999</v>
      </c>
      <c r="O238" s="3">
        <f>'Prestige Patterns'!$B$4*E238</f>
        <v>20</v>
      </c>
      <c r="P238">
        <f t="shared" si="3"/>
        <v>4096</v>
      </c>
      <c r="Q238" s="5"/>
      <c r="R238" s="5"/>
      <c r="S238" s="3">
        <v>237</v>
      </c>
      <c r="T238" s="5"/>
    </row>
    <row r="239" spans="1:20" ht="12">
      <c r="A239" s="1"/>
      <c r="B239" s="1"/>
      <c r="C239" s="2">
        <f>(S239*'Prestige Patterns'!$B$20)/60</f>
        <v>119</v>
      </c>
      <c r="D239" s="2">
        <f>IF(L238=L239,N238*'Prestige Patterns'!$B$20+D238-F239,0)</f>
        <v>58510001.793073334</v>
      </c>
      <c r="E239" s="3">
        <f t="shared" si="1"/>
        <v>276</v>
      </c>
      <c r="F239" s="8">
        <f>'Prestige Patterns'!$B$5*('Prestige Patterns'!$B$6^E238-'Prestige Patterns'!$B$6^(E238+G239))/(1-'Prestige Patterns'!$B$6)</f>
        <v>56407374.206926651</v>
      </c>
      <c r="G239" s="8">
        <f>FLOOR(LOG('Prestige Patterns'!$B$6^(E238) - (D238*(1-'Prestige Patterns'!$B$6)/'Prestige Patterns'!$B$5),'Prestige Patterns'!$B$6)-E238,1)</f>
        <v>275</v>
      </c>
      <c r="H239">
        <f t="shared" si="2"/>
        <v>2238</v>
      </c>
      <c r="I239" s="5">
        <f>1+H239*'Prestige Patterns'!$B$25</f>
        <v>23.38</v>
      </c>
      <c r="J239">
        <f>FLOOR((K239/'Prestige Patterns'!$B$22)^'Prestige Patterns'!$B$23,1)-H238</f>
        <v>25</v>
      </c>
      <c r="K239" s="8">
        <f>K238+N238*'Prestige Patterns'!$B$20</f>
        <v>512238901770</v>
      </c>
      <c r="L239" s="2">
        <f>IF(J238&gt;='Prestige Patterns'!$B$28,IF(J238/(H238+1)&gt;('Prestige Patterns'!$B$27+1),L238+1,L238),L238)</f>
        <v>5</v>
      </c>
      <c r="N239">
        <f t="shared" si="0"/>
        <v>8259686.3999999994</v>
      </c>
      <c r="O239" s="3">
        <f>'Prestige Patterns'!$B$4*E239</f>
        <v>5520</v>
      </c>
      <c r="P239">
        <f t="shared" si="3"/>
        <v>64</v>
      </c>
      <c r="Q239" s="5"/>
      <c r="R239" s="5"/>
      <c r="S239" s="3">
        <v>238</v>
      </c>
      <c r="T239" s="5"/>
    </row>
    <row r="240" spans="1:20" ht="12">
      <c r="A240" s="1"/>
      <c r="B240" s="1"/>
      <c r="C240" s="2">
        <f>(S240*'Prestige Patterns'!$B$20)/60</f>
        <v>119.5</v>
      </c>
      <c r="D240" s="2">
        <f>IF(L239=L240,N239*'Prestige Patterns'!$B$20+D239-F240,0)</f>
        <v>251025143.05204868</v>
      </c>
      <c r="E240" s="3">
        <f t="shared" si="1"/>
        <v>290</v>
      </c>
      <c r="F240" s="8">
        <f>'Prestige Patterns'!$B$5*('Prestige Patterns'!$B$6^E239-'Prestige Patterns'!$B$6^(E239+G240))/(1-'Prestige Patterns'!$B$6)</f>
        <v>55275450.741024628</v>
      </c>
      <c r="G240" s="8">
        <f>FLOOR(LOG('Prestige Patterns'!$B$6^(E239) - (D239*(1-'Prestige Patterns'!$B$6)/'Prestige Patterns'!$B$5),'Prestige Patterns'!$B$6)-E239,1)</f>
        <v>14</v>
      </c>
      <c r="H240">
        <f t="shared" si="2"/>
        <v>2238</v>
      </c>
      <c r="I240" s="5">
        <f>1+H240*'Prestige Patterns'!$B$25</f>
        <v>23.38</v>
      </c>
      <c r="J240">
        <f>FLOOR((K240/'Prestige Patterns'!$B$22)^'Prestige Patterns'!$B$23,1)-H239</f>
        <v>25</v>
      </c>
      <c r="K240" s="8">
        <f>K239+N239*'Prestige Patterns'!$B$20</f>
        <v>512486692362</v>
      </c>
      <c r="L240" s="2">
        <f>IF(J239&gt;='Prestige Patterns'!$B$28,IF(J239/(H239+1)&gt;('Prestige Patterns'!$B$27+1),L239+1,L239),L239)</f>
        <v>5</v>
      </c>
      <c r="N240">
        <f t="shared" si="0"/>
        <v>8678656</v>
      </c>
      <c r="O240" s="3">
        <f>'Prestige Patterns'!$B$4*E240</f>
        <v>5800</v>
      </c>
      <c r="P240">
        <f t="shared" si="3"/>
        <v>64</v>
      </c>
      <c r="Q240" s="5"/>
      <c r="R240" s="5"/>
      <c r="S240" s="3">
        <v>239</v>
      </c>
      <c r="T240" s="5"/>
    </row>
    <row r="241" spans="1:20" ht="12">
      <c r="A241" s="1"/>
      <c r="B241" s="1"/>
      <c r="C241" s="2">
        <f>(S241*'Prestige Patterns'!$B$20)/60</f>
        <v>120</v>
      </c>
      <c r="D241" s="2">
        <f>IF(L240=L241,N240*'Prestige Patterns'!$B$20+D240-F241,0)</f>
        <v>262879188.63817987</v>
      </c>
      <c r="E241" s="3">
        <f t="shared" si="1"/>
        <v>314</v>
      </c>
      <c r="F241" s="8">
        <f>'Prestige Patterns'!$B$5*('Prestige Patterns'!$B$6^E240-'Prestige Patterns'!$B$6^(E240+G241))/(1-'Prestige Patterns'!$B$6)</f>
        <v>248505634.41386881</v>
      </c>
      <c r="G241" s="8">
        <f>FLOOR(LOG('Prestige Patterns'!$B$6^(E240) - (D240*(1-'Prestige Patterns'!$B$6)/'Prestige Patterns'!$B$5),'Prestige Patterns'!$B$6)-E240,1)</f>
        <v>24</v>
      </c>
      <c r="H241">
        <f t="shared" si="2"/>
        <v>2238</v>
      </c>
      <c r="I241" s="5">
        <f>1+H241*'Prestige Patterns'!$B$25</f>
        <v>23.38</v>
      </c>
      <c r="J241">
        <f>FLOOR((K241/'Prestige Patterns'!$B$22)^'Prestige Patterns'!$B$23,1)-H240</f>
        <v>26</v>
      </c>
      <c r="K241" s="8">
        <f>K240+N240*'Prestige Patterns'!$B$20</f>
        <v>512747052042</v>
      </c>
      <c r="L241" s="2">
        <f>IF(J240&gt;='Prestige Patterns'!$B$28,IF(J240/(H240+1)&gt;('Prestige Patterns'!$B$27+1),L240+1,L240),L240)</f>
        <v>5</v>
      </c>
      <c r="N241">
        <f t="shared" si="0"/>
        <v>75175116.799999997</v>
      </c>
      <c r="O241" s="3">
        <f>'Prestige Patterns'!$B$4*E241</f>
        <v>6280</v>
      </c>
      <c r="P241">
        <f t="shared" si="3"/>
        <v>512</v>
      </c>
      <c r="Q241" s="5"/>
      <c r="R241" s="5"/>
      <c r="S241" s="3">
        <v>240</v>
      </c>
      <c r="T241" s="5"/>
    </row>
    <row r="242" spans="1:20" ht="12">
      <c r="A242" s="1"/>
      <c r="B242" s="1"/>
      <c r="C242" s="2">
        <f>(S242*'Prestige Patterns'!$B$20)/60</f>
        <v>120.5</v>
      </c>
      <c r="D242" s="2">
        <f>IF(L241=L242,N241*'Prestige Patterns'!$B$20+D241-F242,0)</f>
        <v>2262276593.9456944</v>
      </c>
      <c r="E242" s="3">
        <f t="shared" si="1"/>
        <v>325</v>
      </c>
      <c r="F242" s="8">
        <f>'Prestige Patterns'!$B$5*('Prestige Patterns'!$B$6^E241-'Prestige Patterns'!$B$6^(E241+G242))/(1-'Prestige Patterns'!$B$6)</f>
        <v>255856098.6924853</v>
      </c>
      <c r="G242" s="8">
        <f>FLOOR(LOG('Prestige Patterns'!$B$6^(E241) - (D241*(1-'Prestige Patterns'!$B$6)/'Prestige Patterns'!$B$5),'Prestige Patterns'!$B$6)-E241,1)</f>
        <v>11</v>
      </c>
      <c r="H242">
        <f t="shared" si="2"/>
        <v>2238</v>
      </c>
      <c r="I242" s="5">
        <f>1+H242*'Prestige Patterns'!$B$25</f>
        <v>23.38</v>
      </c>
      <c r="J242">
        <f>FLOOR((K242/'Prestige Patterns'!$B$22)^'Prestige Patterns'!$B$23,1)-H241</f>
        <v>31</v>
      </c>
      <c r="K242" s="8">
        <f>K241+N241*'Prestige Patterns'!$B$20</f>
        <v>515002305546</v>
      </c>
      <c r="L242" s="2">
        <f>IF(J241&gt;='Prestige Patterns'!$B$28,IF(J241/(H241+1)&gt;('Prestige Patterns'!$B$27+1),L241+1,L241),L241)</f>
        <v>5</v>
      </c>
      <c r="N242">
        <f t="shared" si="0"/>
        <v>77808640</v>
      </c>
      <c r="O242" s="3">
        <f>'Prestige Patterns'!$B$4*E242</f>
        <v>6500</v>
      </c>
      <c r="P242">
        <f t="shared" si="3"/>
        <v>512</v>
      </c>
      <c r="Q242" s="5"/>
      <c r="R242" s="5"/>
      <c r="S242" s="3">
        <v>241</v>
      </c>
      <c r="T242" s="5"/>
    </row>
    <row r="243" spans="1:20" ht="12">
      <c r="A243" s="1"/>
      <c r="B243" s="1"/>
      <c r="C243" s="2">
        <f>(S243*'Prestige Patterns'!$B$20)/60</f>
        <v>121</v>
      </c>
      <c r="D243" s="2">
        <f>IF(L242=L243,N242*'Prestige Patterns'!$B$20+D242-F243,0)</f>
        <v>2416945520.3470235</v>
      </c>
      <c r="E243" s="3">
        <f t="shared" si="1"/>
        <v>356</v>
      </c>
      <c r="F243" s="8">
        <f>'Prestige Patterns'!$B$5*('Prestige Patterns'!$B$6^E242-'Prestige Patterns'!$B$6^(E242+G243))/(1-'Prestige Patterns'!$B$6)</f>
        <v>2179590273.5986705</v>
      </c>
      <c r="G243" s="8">
        <f>FLOOR(LOG('Prestige Patterns'!$B$6^(E242) - (D242*(1-'Prestige Patterns'!$B$6)/'Prestige Patterns'!$B$5),'Prestige Patterns'!$B$6)-E242,1)</f>
        <v>31</v>
      </c>
      <c r="H243">
        <f t="shared" si="2"/>
        <v>2238</v>
      </c>
      <c r="I243" s="5">
        <f>1+H243*'Prestige Patterns'!$B$25</f>
        <v>23.38</v>
      </c>
      <c r="J243">
        <f>FLOOR((K243/'Prestige Patterns'!$B$22)^'Prestige Patterns'!$B$23,1)-H242</f>
        <v>36</v>
      </c>
      <c r="K243" s="8">
        <f>K242+N242*'Prestige Patterns'!$B$20</f>
        <v>517336564746</v>
      </c>
      <c r="L243" s="2">
        <f>IF(J242&gt;='Prestige Patterns'!$B$28,IF(J242/(H242+1)&gt;('Prestige Patterns'!$B$27+1),L242+1,L242),L242)</f>
        <v>5</v>
      </c>
      <c r="N243">
        <f t="shared" si="0"/>
        <v>85230387.200000003</v>
      </c>
      <c r="O243" s="3">
        <f>'Prestige Patterns'!$B$4*E243</f>
        <v>7120</v>
      </c>
      <c r="P243">
        <f t="shared" si="3"/>
        <v>512</v>
      </c>
      <c r="Q243" s="5"/>
      <c r="R243" s="5"/>
      <c r="S243" s="3">
        <v>242</v>
      </c>
      <c r="T243" s="5"/>
    </row>
    <row r="244" spans="1:20" ht="12">
      <c r="A244" s="1"/>
      <c r="B244" s="1"/>
      <c r="C244" s="2">
        <f>(S244*'Prestige Patterns'!$B$20)/60</f>
        <v>121.5</v>
      </c>
      <c r="D244" s="2">
        <f>IF(L243=L244,N243*'Prestige Patterns'!$B$20+D243-F244,0)</f>
        <v>2748933403.4762583</v>
      </c>
      <c r="E244" s="3">
        <f t="shared" si="1"/>
        <v>368</v>
      </c>
      <c r="F244" s="8">
        <f>'Prestige Patterns'!$B$5*('Prestige Patterns'!$B$6^E243-'Prestige Patterns'!$B$6^(E243+G244))/(1-'Prestige Patterns'!$B$6)</f>
        <v>2224923732.8707647</v>
      </c>
      <c r="G244" s="8">
        <f>FLOOR(LOG('Prestige Patterns'!$B$6^(E243) - (D243*(1-'Prestige Patterns'!$B$6)/'Prestige Patterns'!$B$5),'Prestige Patterns'!$B$6)-E243,1)</f>
        <v>12</v>
      </c>
      <c r="H244">
        <f t="shared" si="2"/>
        <v>2238</v>
      </c>
      <c r="I244" s="5">
        <f>1+H244*'Prestige Patterns'!$B$25</f>
        <v>23.38</v>
      </c>
      <c r="J244">
        <f>FLOOR((K244/'Prestige Patterns'!$B$22)^'Prestige Patterns'!$B$23,1)-H243</f>
        <v>42</v>
      </c>
      <c r="K244" s="8">
        <f>K243+N243*'Prestige Patterns'!$B$20</f>
        <v>519893476362</v>
      </c>
      <c r="L244" s="2">
        <f>IF(J243&gt;='Prestige Patterns'!$B$28,IF(J243/(H243+1)&gt;('Prestige Patterns'!$B$27+1),L243+1,L243),L243)</f>
        <v>5</v>
      </c>
      <c r="N244">
        <f t="shared" si="0"/>
        <v>88103321.599999994</v>
      </c>
      <c r="O244" s="3">
        <f>'Prestige Patterns'!$B$4*E244</f>
        <v>7360</v>
      </c>
      <c r="P244">
        <f t="shared" si="3"/>
        <v>512</v>
      </c>
      <c r="Q244" s="5"/>
      <c r="R244" s="5"/>
      <c r="S244" s="3">
        <v>243</v>
      </c>
      <c r="T244" s="5"/>
    </row>
    <row r="245" spans="1:20" ht="12">
      <c r="A245" s="1"/>
      <c r="B245" s="1"/>
      <c r="C245" s="2">
        <f>(S245*'Prestige Patterns'!$B$20)/60</f>
        <v>122</v>
      </c>
      <c r="D245" s="2">
        <f>IF(L244=L245,N244*'Prestige Patterns'!$B$20+D244-F245,0)</f>
        <v>2994939993.8763399</v>
      </c>
      <c r="E245" s="3">
        <f t="shared" si="1"/>
        <v>376</v>
      </c>
      <c r="F245" s="8">
        <f>'Prestige Patterns'!$B$5*('Prestige Patterns'!$B$6^E244-'Prestige Patterns'!$B$6^(E244+G245))/(1-'Prestige Patterns'!$B$6)</f>
        <v>2397093057.5999184</v>
      </c>
      <c r="G245" s="8">
        <f>FLOOR(LOG('Prestige Patterns'!$B$6^(E244) - (D244*(1-'Prestige Patterns'!$B$6)/'Prestige Patterns'!$B$5),'Prestige Patterns'!$B$6)-E244,1)</f>
        <v>8</v>
      </c>
      <c r="H245">
        <f t="shared" si="2"/>
        <v>2238</v>
      </c>
      <c r="I245" s="5">
        <f>1+H245*'Prestige Patterns'!$B$25</f>
        <v>23.38</v>
      </c>
      <c r="J245">
        <f>FLOOR((K245/'Prestige Patterns'!$B$22)^'Prestige Patterns'!$B$23,1)-H244</f>
        <v>47</v>
      </c>
      <c r="K245" s="8">
        <f>K244+N244*'Prestige Patterns'!$B$20</f>
        <v>522536576010</v>
      </c>
      <c r="L245" s="2">
        <f>IF(J244&gt;='Prestige Patterns'!$B$28,IF(J244/(H244+1)&gt;('Prestige Patterns'!$B$27+1),L244+1,L244),L244)</f>
        <v>5</v>
      </c>
      <c r="N245">
        <f t="shared" si="0"/>
        <v>90018611.200000003</v>
      </c>
      <c r="O245" s="3">
        <f>'Prestige Patterns'!$B$4*E245</f>
        <v>7520</v>
      </c>
      <c r="P245">
        <f t="shared" si="3"/>
        <v>512</v>
      </c>
      <c r="Q245" s="5"/>
      <c r="R245" s="5"/>
      <c r="S245" s="3">
        <v>244</v>
      </c>
      <c r="T245" s="5"/>
    </row>
    <row r="246" spans="1:20" ht="12">
      <c r="A246" s="1"/>
      <c r="B246" s="1"/>
      <c r="C246" s="2">
        <f>(S246*'Prestige Patterns'!$B$20)/60</f>
        <v>122.5</v>
      </c>
      <c r="D246" s="2">
        <f>IF(L245=L246,N245*'Prestige Patterns'!$B$20+D245-F246,0)</f>
        <v>3172787320.9490924</v>
      </c>
      <c r="E246" s="3">
        <f t="shared" si="1"/>
        <v>382</v>
      </c>
      <c r="F246" s="8">
        <f>'Prestige Patterns'!$B$5*('Prestige Patterns'!$B$6^E245-'Prestige Patterns'!$B$6^(E245+G246))/(1-'Prestige Patterns'!$B$6)</f>
        <v>2522711008.9272475</v>
      </c>
      <c r="G246" s="8">
        <f>FLOOR(LOG('Prestige Patterns'!$B$6^(E245) - (D245*(1-'Prestige Patterns'!$B$6)/'Prestige Patterns'!$B$5),'Prestige Patterns'!$B$6)-E245,1)</f>
        <v>6</v>
      </c>
      <c r="H246">
        <f t="shared" si="2"/>
        <v>2238</v>
      </c>
      <c r="I246" s="5">
        <f>1+H246*'Prestige Patterns'!$B$25</f>
        <v>23.38</v>
      </c>
      <c r="J246">
        <f>FLOOR((K246/'Prestige Patterns'!$B$22)^'Prestige Patterns'!$B$23,1)-H245</f>
        <v>53</v>
      </c>
      <c r="K246" s="8">
        <f>K245+N245*'Prestige Patterns'!$B$20</f>
        <v>525237134346</v>
      </c>
      <c r="L246" s="2">
        <f>IF(J245&gt;='Prestige Patterns'!$B$28,IF(J245/(H245+1)&gt;('Prestige Patterns'!$B$27+1),L245+1,L245),L245)</f>
        <v>5</v>
      </c>
      <c r="N246">
        <f t="shared" si="0"/>
        <v>91455078.399999991</v>
      </c>
      <c r="O246" s="3">
        <f>'Prestige Patterns'!$B$4*E246</f>
        <v>7640</v>
      </c>
      <c r="P246">
        <f t="shared" si="3"/>
        <v>512</v>
      </c>
      <c r="Q246" s="5"/>
      <c r="R246" s="5"/>
      <c r="S246" s="3">
        <v>245</v>
      </c>
      <c r="T246" s="5"/>
    </row>
    <row r="247" spans="1:20" ht="12">
      <c r="A247" s="1"/>
      <c r="B247" s="1"/>
      <c r="C247" s="2">
        <f>(S247*'Prestige Patterns'!$B$20)/60</f>
        <v>123</v>
      </c>
      <c r="D247" s="2">
        <f>IF(L246=L247,N246*'Prestige Patterns'!$B$20+D246-F247,0)</f>
        <v>3170100730.21808</v>
      </c>
      <c r="E247" s="3">
        <f t="shared" si="1"/>
        <v>387</v>
      </c>
      <c r="F247" s="8">
        <f>'Prestige Patterns'!$B$5*('Prestige Patterns'!$B$6^E246-'Prestige Patterns'!$B$6^(E246+G247))/(1-'Prestige Patterns'!$B$6)</f>
        <v>2746338942.7310119</v>
      </c>
      <c r="G247" s="8">
        <f>FLOOR(LOG('Prestige Patterns'!$B$6^(E246) - (D246*(1-'Prestige Patterns'!$B$6)/'Prestige Patterns'!$B$5),'Prestige Patterns'!$B$6)-E246,1)</f>
        <v>5</v>
      </c>
      <c r="H247">
        <f t="shared" si="2"/>
        <v>2238</v>
      </c>
      <c r="I247" s="5">
        <f>1+H247*'Prestige Patterns'!$B$25</f>
        <v>23.38</v>
      </c>
      <c r="J247">
        <f>FLOOR((K247/'Prestige Patterns'!$B$22)^'Prestige Patterns'!$B$23,1)-H246</f>
        <v>59</v>
      </c>
      <c r="K247" s="8">
        <f>K246+N246*'Prestige Patterns'!$B$20</f>
        <v>527980786698</v>
      </c>
      <c r="L247" s="2">
        <f>IF(J246&gt;='Prestige Patterns'!$B$28,IF(J246/(H246+1)&gt;('Prestige Patterns'!$B$27+1),L246+1,L246),L246)</f>
        <v>5</v>
      </c>
      <c r="N247">
        <f t="shared" si="0"/>
        <v>92652134.399999991</v>
      </c>
      <c r="O247" s="3">
        <f>'Prestige Patterns'!$B$4*E247</f>
        <v>7740</v>
      </c>
      <c r="P247">
        <f t="shared" si="3"/>
        <v>512</v>
      </c>
      <c r="Q247" s="5"/>
      <c r="R247" s="5"/>
      <c r="S247" s="3">
        <v>246</v>
      </c>
      <c r="T247" s="5"/>
    </row>
    <row r="248" spans="1:20" ht="12">
      <c r="A248" s="1"/>
      <c r="B248" s="1"/>
      <c r="C248" s="2">
        <f>(S248*'Prestige Patterns'!$B$20)/60</f>
        <v>123.5</v>
      </c>
      <c r="D248" s="2">
        <f>IF(L247=L248,N247*'Prestige Patterns'!$B$20+D247-F248,0)</f>
        <v>3215601263.0807137</v>
      </c>
      <c r="E248" s="3">
        <f t="shared" si="1"/>
        <v>391</v>
      </c>
      <c r="F248" s="8">
        <f>'Prestige Patterns'!$B$5*('Prestige Patterns'!$B$6^E247-'Prestige Patterns'!$B$6^(E247+G248))/(1-'Prestige Patterns'!$B$6)</f>
        <v>2734063499.1373658</v>
      </c>
      <c r="G248" s="8">
        <f>FLOOR(LOG('Prestige Patterns'!$B$6^(E247) - (D247*(1-'Prestige Patterns'!$B$6)/'Prestige Patterns'!$B$5),'Prestige Patterns'!$B$6)-E247,1)</f>
        <v>4</v>
      </c>
      <c r="H248">
        <f t="shared" si="2"/>
        <v>2238</v>
      </c>
      <c r="I248" s="5">
        <f>1+H248*'Prestige Patterns'!$B$25</f>
        <v>23.38</v>
      </c>
      <c r="J248">
        <f>FLOOR((K248/'Prestige Patterns'!$B$22)^'Prestige Patterns'!$B$23,1)-H247</f>
        <v>65</v>
      </c>
      <c r="K248" s="8">
        <f>K247+N247*'Prestige Patterns'!$B$20</f>
        <v>530760350730</v>
      </c>
      <c r="L248" s="2">
        <f>IF(J247&gt;='Prestige Patterns'!$B$28,IF(J247/(H247+1)&gt;('Prestige Patterns'!$B$27+1),L247+1,L247),L247)</f>
        <v>5</v>
      </c>
      <c r="N248">
        <f t="shared" si="0"/>
        <v>93609779.200000003</v>
      </c>
      <c r="O248" s="3">
        <f>'Prestige Patterns'!$B$4*E248</f>
        <v>7820</v>
      </c>
      <c r="P248">
        <f t="shared" si="3"/>
        <v>512</v>
      </c>
      <c r="Q248" s="5"/>
      <c r="R248" s="5"/>
      <c r="S248" s="3">
        <v>247</v>
      </c>
      <c r="T248" s="5"/>
    </row>
    <row r="249" spans="1:20" ht="12">
      <c r="A249" s="1"/>
      <c r="B249" s="1"/>
      <c r="C249" s="2">
        <f>(S249*'Prestige Patterns'!$B$20)/60</f>
        <v>124</v>
      </c>
      <c r="D249" s="2">
        <f>IF(L248=L249,N248*'Prestige Patterns'!$B$20+D248-F249,0)</f>
        <v>3593196531.2213092</v>
      </c>
      <c r="E249" s="3">
        <f t="shared" si="1"/>
        <v>394</v>
      </c>
      <c r="F249" s="8">
        <f>'Prestige Patterns'!$B$5*('Prestige Patterns'!$B$6^E248-'Prestige Patterns'!$B$6^(E248+G249))/(1-'Prestige Patterns'!$B$6)</f>
        <v>2430698107.8594041</v>
      </c>
      <c r="G249" s="8">
        <f>FLOOR(LOG('Prestige Patterns'!$B$6^(E248) - (D248*(1-'Prestige Patterns'!$B$6)/'Prestige Patterns'!$B$5),'Prestige Patterns'!$B$6)-E248,1)</f>
        <v>3</v>
      </c>
      <c r="H249">
        <f t="shared" si="2"/>
        <v>2238</v>
      </c>
      <c r="I249" s="5">
        <f>1+H249*'Prestige Patterns'!$B$25</f>
        <v>23.38</v>
      </c>
      <c r="J249">
        <f>FLOOR((K249/'Prestige Patterns'!$B$22)^'Prestige Patterns'!$B$23,1)-H248</f>
        <v>71</v>
      </c>
      <c r="K249" s="8">
        <f>K248+N248*'Prestige Patterns'!$B$20</f>
        <v>533568644106</v>
      </c>
      <c r="L249" s="2">
        <f>IF(J248&gt;='Prestige Patterns'!$B$28,IF(J248/(H248+1)&gt;('Prestige Patterns'!$B$27+1),L248+1,L248),L248)</f>
        <v>5</v>
      </c>
      <c r="N249">
        <f t="shared" si="0"/>
        <v>94328012.799999997</v>
      </c>
      <c r="O249" s="3">
        <f>'Prestige Patterns'!$B$4*E249</f>
        <v>7880</v>
      </c>
      <c r="P249">
        <f t="shared" si="3"/>
        <v>512</v>
      </c>
      <c r="Q249" s="5"/>
      <c r="R249" s="5"/>
      <c r="S249" s="3">
        <v>248</v>
      </c>
      <c r="T249" s="5"/>
    </row>
    <row r="250" spans="1:20" ht="12">
      <c r="A250" s="1"/>
      <c r="B250" s="1"/>
      <c r="C250" s="2">
        <f>(S250*'Prestige Patterns'!$B$20)/60</f>
        <v>124.5</v>
      </c>
      <c r="D250" s="2">
        <f>IF(L249=L250,N249*'Prestige Patterns'!$B$20+D249-F250,0)</f>
        <v>3609200018.1105685</v>
      </c>
      <c r="E250" s="3">
        <f t="shared" si="1"/>
        <v>397</v>
      </c>
      <c r="F250" s="8">
        <f>'Prestige Patterns'!$B$5*('Prestige Patterns'!$B$6^E249-'Prestige Patterns'!$B$6^(E249+G250))/(1-'Prestige Patterns'!$B$6)</f>
        <v>2813836897.1107411</v>
      </c>
      <c r="G250" s="8">
        <f>FLOOR(LOG('Prestige Patterns'!$B$6^(E249) - (D249*(1-'Prestige Patterns'!$B$6)/'Prestige Patterns'!$B$5),'Prestige Patterns'!$B$6)-E249,1)</f>
        <v>3</v>
      </c>
      <c r="H250">
        <f t="shared" si="2"/>
        <v>2238</v>
      </c>
      <c r="I250" s="5">
        <f>1+H250*'Prestige Patterns'!$B$25</f>
        <v>23.38</v>
      </c>
      <c r="J250">
        <f>FLOOR((K250/'Prestige Patterns'!$B$22)^'Prestige Patterns'!$B$23,1)-H249</f>
        <v>78</v>
      </c>
      <c r="K250" s="8">
        <f>K249+N249*'Prestige Patterns'!$B$20</f>
        <v>536398484490</v>
      </c>
      <c r="L250" s="2">
        <f>IF(J249&gt;='Prestige Patterns'!$B$28,IF(J249/(H249+1)&gt;('Prestige Patterns'!$B$27+1),L249+1,L249),L249)</f>
        <v>5</v>
      </c>
      <c r="N250">
        <f t="shared" si="0"/>
        <v>95046246.399999991</v>
      </c>
      <c r="O250" s="3">
        <f>'Prestige Patterns'!$B$4*E250</f>
        <v>7940</v>
      </c>
      <c r="P250">
        <f t="shared" si="3"/>
        <v>512</v>
      </c>
      <c r="Q250" s="5"/>
      <c r="R250" s="5"/>
      <c r="S250" s="3">
        <v>249</v>
      </c>
      <c r="T250" s="5"/>
    </row>
    <row r="251" spans="1:20" ht="12">
      <c r="A251" s="1"/>
      <c r="B251" s="1"/>
      <c r="C251" s="2">
        <f>(S251*'Prestige Patterns'!$B$20)/60</f>
        <v>125</v>
      </c>
      <c r="D251" s="2">
        <f>IF(L250=L251,N250*'Prestige Patterns'!$B$20+D250-F251,0)</f>
        <v>3203219472.0927496</v>
      </c>
      <c r="E251" s="3">
        <f t="shared" si="1"/>
        <v>400</v>
      </c>
      <c r="F251" s="8">
        <f>'Prestige Patterns'!$B$5*('Prestige Patterns'!$B$6^E250-'Prestige Patterns'!$B$6^(E250+G251))/(1-'Prestige Patterns'!$B$6)</f>
        <v>3257367938.0178185</v>
      </c>
      <c r="G251" s="8">
        <f>FLOOR(LOG('Prestige Patterns'!$B$6^(E250) - (D250*(1-'Prestige Patterns'!$B$6)/'Prestige Patterns'!$B$5),'Prestige Patterns'!$B$6)-E250,1)</f>
        <v>3</v>
      </c>
      <c r="H251">
        <f t="shared" si="2"/>
        <v>2238</v>
      </c>
      <c r="I251" s="5">
        <f>1+H251*'Prestige Patterns'!$B$25</f>
        <v>23.38</v>
      </c>
      <c r="J251">
        <f>FLOOR((K251/'Prestige Patterns'!$B$22)^'Prestige Patterns'!$B$23,1)-H250</f>
        <v>84</v>
      </c>
      <c r="K251" s="8">
        <f>K250+N250*'Prestige Patterns'!$B$20</f>
        <v>539249871882</v>
      </c>
      <c r="L251" s="2">
        <f>IF(J250&gt;='Prestige Patterns'!$B$28,IF(J250/(H250+1)&gt;('Prestige Patterns'!$B$27+1),L250+1,L250),L250)</f>
        <v>5</v>
      </c>
      <c r="N251">
        <f t="shared" si="0"/>
        <v>766115840</v>
      </c>
      <c r="O251" s="3">
        <f>'Prestige Patterns'!$B$4*E251</f>
        <v>8000</v>
      </c>
      <c r="P251">
        <f t="shared" si="3"/>
        <v>4096</v>
      </c>
      <c r="Q251" s="5"/>
      <c r="R251" s="5"/>
      <c r="S251" s="3">
        <v>250</v>
      </c>
      <c r="T251" s="5"/>
    </row>
    <row r="252" spans="1:20" ht="12">
      <c r="A252" s="1"/>
      <c r="B252" s="1"/>
      <c r="C252" s="2">
        <f>(S252*'Prestige Patterns'!$B$20)/60</f>
        <v>125.5</v>
      </c>
      <c r="D252" s="2">
        <f>IF(L251=L252,N251*'Prestige Patterns'!$B$20+D251-F252,0)</f>
        <v>23734621191.852257</v>
      </c>
      <c r="E252" s="3">
        <f t="shared" si="1"/>
        <v>402</v>
      </c>
      <c r="F252" s="8">
        <f>'Prestige Patterns'!$B$5*('Prestige Patterns'!$B$6^E251-'Prestige Patterns'!$B$6^(E251+G252))/(1-'Prestige Patterns'!$B$6)</f>
        <v>2452073480.2404952</v>
      </c>
      <c r="G252" s="8">
        <f>FLOOR(LOG('Prestige Patterns'!$B$6^(E251) - (D251*(1-'Prestige Patterns'!$B$6)/'Prestige Patterns'!$B$5),'Prestige Patterns'!$B$6)-E251,1)</f>
        <v>2</v>
      </c>
      <c r="H252">
        <f t="shared" si="2"/>
        <v>2238</v>
      </c>
      <c r="I252" s="5">
        <f>1+H252*'Prestige Patterns'!$B$25</f>
        <v>23.38</v>
      </c>
      <c r="J252">
        <f>FLOOR((K252/'Prestige Patterns'!$B$22)^'Prestige Patterns'!$B$23,1)-H251</f>
        <v>133</v>
      </c>
      <c r="K252" s="8">
        <f>K251+N251*'Prestige Patterns'!$B$20</f>
        <v>562233347082</v>
      </c>
      <c r="L252" s="2">
        <f>IF(J251&gt;='Prestige Patterns'!$B$28,IF(J251/(H251+1)&gt;('Prestige Patterns'!$B$27+1),L251+1,L251),L251)</f>
        <v>5</v>
      </c>
      <c r="N252">
        <f t="shared" si="0"/>
        <v>769946419.19999993</v>
      </c>
      <c r="O252" s="3">
        <f>'Prestige Patterns'!$B$4*E252</f>
        <v>8040</v>
      </c>
      <c r="P252">
        <f t="shared" si="3"/>
        <v>4096</v>
      </c>
      <c r="Q252" s="5"/>
      <c r="R252" s="5"/>
      <c r="S252" s="3">
        <v>251</v>
      </c>
      <c r="T252" s="5"/>
    </row>
    <row r="253" spans="1:20" ht="12">
      <c r="A253" s="1"/>
      <c r="B253" s="1"/>
      <c r="C253" s="2">
        <f>(S253*'Prestige Patterns'!$B$20)/60</f>
        <v>126</v>
      </c>
      <c r="D253" s="2">
        <f>IF(L252=L253,N252*'Prestige Patterns'!$B$20+D252-F253,0)</f>
        <v>23474246508.397404</v>
      </c>
      <c r="E253" s="3">
        <f t="shared" si="1"/>
        <v>415</v>
      </c>
      <c r="F253" s="8">
        <f>'Prestige Patterns'!$B$5*('Prestige Patterns'!$B$6^E252-'Prestige Patterns'!$B$6^(E252+G253))/(1-'Prestige Patterns'!$B$6)</f>
        <v>23358767259.454845</v>
      </c>
      <c r="G253" s="8">
        <f>FLOOR(LOG('Prestige Patterns'!$B$6^(E252) - (D252*(1-'Prestige Patterns'!$B$6)/'Prestige Patterns'!$B$5),'Prestige Patterns'!$B$6)-E252,1)</f>
        <v>13</v>
      </c>
      <c r="H253">
        <f t="shared" si="2"/>
        <v>2238</v>
      </c>
      <c r="I253" s="5">
        <f>1+H253*'Prestige Patterns'!$B$25</f>
        <v>23.38</v>
      </c>
      <c r="J253">
        <f>FLOOR((K253/'Prestige Patterns'!$B$22)^'Prestige Patterns'!$B$23,1)-H252</f>
        <v>181</v>
      </c>
      <c r="K253" s="8">
        <f>K252+N252*'Prestige Patterns'!$B$20</f>
        <v>585331739658</v>
      </c>
      <c r="L253" s="2">
        <f>IF(J252&gt;='Prestige Patterns'!$B$28,IF(J252/(H252+1)&gt;('Prestige Patterns'!$B$27+1),L252+1,L252),L252)</f>
        <v>5</v>
      </c>
      <c r="N253">
        <f t="shared" si="0"/>
        <v>794845184</v>
      </c>
      <c r="O253" s="3">
        <f>'Prestige Patterns'!$B$4*E253</f>
        <v>8300</v>
      </c>
      <c r="P253">
        <f t="shared" si="3"/>
        <v>4096</v>
      </c>
      <c r="Q253" s="5"/>
      <c r="R253" s="5"/>
      <c r="S253" s="3">
        <v>252</v>
      </c>
      <c r="T253" s="5"/>
    </row>
    <row r="254" spans="1:20" ht="12">
      <c r="A254" s="1"/>
      <c r="B254" s="1"/>
      <c r="C254" s="2">
        <f>(S254*'Prestige Patterns'!$B$20)/60</f>
        <v>126.5</v>
      </c>
      <c r="D254" s="2">
        <f>IF(L253=L254,N253*'Prestige Patterns'!$B$20+D253-F254,0)</f>
        <v>27073069559.616852</v>
      </c>
      <c r="E254" s="3">
        <f t="shared" si="1"/>
        <v>422</v>
      </c>
      <c r="F254" s="8">
        <f>'Prestige Patterns'!$B$5*('Prestige Patterns'!$B$6^E253-'Prestige Patterns'!$B$6^(E253+G254))/(1-'Prestige Patterns'!$B$6)</f>
        <v>20246532468.780548</v>
      </c>
      <c r="G254" s="8">
        <f>FLOOR(LOG('Prestige Patterns'!$B$6^(E253) - (D253*(1-'Prestige Patterns'!$B$6)/'Prestige Patterns'!$B$5),'Prestige Patterns'!$B$6)-E253,1)</f>
        <v>7</v>
      </c>
      <c r="H254">
        <f t="shared" si="2"/>
        <v>2238</v>
      </c>
      <c r="I254" s="5">
        <f>1+H254*'Prestige Patterns'!$B$25</f>
        <v>23.38</v>
      </c>
      <c r="J254">
        <f>FLOOR((K254/'Prestige Patterns'!$B$22)^'Prestige Patterns'!$B$23,1)-H253</f>
        <v>230</v>
      </c>
      <c r="K254" s="8">
        <f>K253+N253*'Prestige Patterns'!$B$20</f>
        <v>609177095178</v>
      </c>
      <c r="L254" s="2">
        <f>IF(J253&gt;='Prestige Patterns'!$B$28,IF(J253/(H253+1)&gt;('Prestige Patterns'!$B$27+1),L253+1,L253),L253)</f>
        <v>5</v>
      </c>
      <c r="N254">
        <f t="shared" si="0"/>
        <v>808252211.19999993</v>
      </c>
      <c r="O254" s="3">
        <f>'Prestige Patterns'!$B$4*E254</f>
        <v>8440</v>
      </c>
      <c r="P254">
        <f t="shared" si="3"/>
        <v>4096</v>
      </c>
      <c r="Q254" s="5"/>
      <c r="R254" s="5"/>
      <c r="S254" s="3">
        <v>253</v>
      </c>
      <c r="T254" s="5"/>
    </row>
    <row r="255" spans="1:20" ht="12">
      <c r="A255" s="1"/>
      <c r="B255" s="1"/>
      <c r="C255" s="2">
        <f>(S255*'Prestige Patterns'!$B$20)/60</f>
        <v>127</v>
      </c>
      <c r="D255" s="2">
        <f>IF(L254=L255,N254*'Prestige Patterns'!$B$20+D254-F255,0)</f>
        <v>27520728915.878315</v>
      </c>
      <c r="E255" s="3">
        <f t="shared" si="1"/>
        <v>428</v>
      </c>
      <c r="F255" s="8">
        <f>'Prestige Patterns'!$B$5*('Prestige Patterns'!$B$6^E254-'Prestige Patterns'!$B$6^(E254+G255))/(1-'Prestige Patterns'!$B$6)</f>
        <v>23799906979.738537</v>
      </c>
      <c r="G255" s="8">
        <f>FLOOR(LOG('Prestige Patterns'!$B$6^(E254) - (D254*(1-'Prestige Patterns'!$B$6)/'Prestige Patterns'!$B$5),'Prestige Patterns'!$B$6)-E254,1)</f>
        <v>6</v>
      </c>
      <c r="H255">
        <f t="shared" si="2"/>
        <v>2238</v>
      </c>
      <c r="I255" s="5">
        <f>1+H255*'Prestige Patterns'!$B$25</f>
        <v>23.38</v>
      </c>
      <c r="J255">
        <f>FLOOR((K255/'Prestige Patterns'!$B$22)^'Prestige Patterns'!$B$23,1)-H254</f>
        <v>278</v>
      </c>
      <c r="K255" s="8">
        <f>K254+N254*'Prestige Patterns'!$B$20</f>
        <v>633424661514</v>
      </c>
      <c r="L255" s="2">
        <f>IF(J254&gt;='Prestige Patterns'!$B$28,IF(J254/(H254+1)&gt;('Prestige Patterns'!$B$27+1),L254+1,L254),L254)</f>
        <v>5</v>
      </c>
      <c r="N255">
        <f t="shared" si="0"/>
        <v>819743948.79999995</v>
      </c>
      <c r="O255" s="3">
        <f>'Prestige Patterns'!$B$4*E255</f>
        <v>8560</v>
      </c>
      <c r="P255">
        <f t="shared" si="3"/>
        <v>4096</v>
      </c>
      <c r="Q255" s="5"/>
      <c r="R255" s="5"/>
      <c r="S255" s="3">
        <v>254</v>
      </c>
      <c r="T255" s="5"/>
    </row>
    <row r="256" spans="1:20" ht="12">
      <c r="A256" s="1"/>
      <c r="B256" s="1"/>
      <c r="C256" s="2">
        <f>(S256*'Prestige Patterns'!$B$20)/60</f>
        <v>127.5</v>
      </c>
      <c r="D256" s="2">
        <f>IF(L255=L256,N255*'Prestige Patterns'!$B$20+D255-F256,0)</f>
        <v>26203376735.666813</v>
      </c>
      <c r="E256" s="3">
        <f t="shared" si="1"/>
        <v>433</v>
      </c>
      <c r="F256" s="8">
        <f>'Prestige Patterns'!$B$5*('Prestige Patterns'!$B$6^E255-'Prestige Patterns'!$B$6^(E255+G256))/(1-'Prestige Patterns'!$B$6)</f>
        <v>25909670644.211498</v>
      </c>
      <c r="G256" s="8">
        <f>FLOOR(LOG('Prestige Patterns'!$B$6^(E255) - (D255*(1-'Prestige Patterns'!$B$6)/'Prestige Patterns'!$B$5),'Prestige Patterns'!$B$6)-E255,1)</f>
        <v>5</v>
      </c>
      <c r="H256">
        <f t="shared" si="2"/>
        <v>2238</v>
      </c>
      <c r="I256" s="5">
        <f>1+H256*'Prestige Patterns'!$B$25</f>
        <v>23.38</v>
      </c>
      <c r="J256">
        <f>FLOOR((K256/'Prestige Patterns'!$B$22)^'Prestige Patterns'!$B$23,1)-H255</f>
        <v>327</v>
      </c>
      <c r="K256" s="8">
        <f>K255+N255*'Prestige Patterns'!$B$20</f>
        <v>658016979978</v>
      </c>
      <c r="L256" s="2">
        <f>IF(J255&gt;='Prestige Patterns'!$B$28,IF(J255/(H255+1)&gt;('Prestige Patterns'!$B$27+1),L255+1,L255),L255)</f>
        <v>5</v>
      </c>
      <c r="N256">
        <f t="shared" si="0"/>
        <v>829320396.79999995</v>
      </c>
      <c r="O256" s="3">
        <f>'Prestige Patterns'!$B$4*E256</f>
        <v>8660</v>
      </c>
      <c r="P256">
        <f t="shared" si="3"/>
        <v>4096</v>
      </c>
      <c r="Q256" s="5"/>
      <c r="R256" s="5"/>
      <c r="S256" s="3">
        <v>255</v>
      </c>
      <c r="T256" s="5"/>
    </row>
    <row r="257" spans="1:20" ht="12">
      <c r="A257" s="1"/>
      <c r="B257" s="1"/>
      <c r="C257" s="2">
        <f>(S257*'Prestige Patterns'!$B$20)/60</f>
        <v>128</v>
      </c>
      <c r="D257" s="2">
        <f>IF(L256=L257,N256*'Prestige Patterns'!$B$20+D256-F257,0)</f>
        <v>25289127699.630707</v>
      </c>
      <c r="E257" s="3">
        <f t="shared" si="1"/>
        <v>437</v>
      </c>
      <c r="F257" s="8">
        <f>'Prestige Patterns'!$B$5*('Prestige Patterns'!$B$6^E256-'Prestige Patterns'!$B$6^(E256+G257))/(1-'Prestige Patterns'!$B$6)</f>
        <v>25793860940.036102</v>
      </c>
      <c r="G257" s="8">
        <f>FLOOR(LOG('Prestige Patterns'!$B$6^(E256) - (D256*(1-'Prestige Patterns'!$B$6)/'Prestige Patterns'!$B$5),'Prestige Patterns'!$B$6)-E256,1)</f>
        <v>4</v>
      </c>
      <c r="H257">
        <f t="shared" si="2"/>
        <v>2238</v>
      </c>
      <c r="I257" s="5">
        <f>1+H257*'Prestige Patterns'!$B$25</f>
        <v>23.38</v>
      </c>
      <c r="J257">
        <f>FLOOR((K257/'Prestige Patterns'!$B$22)^'Prestige Patterns'!$B$23,1)-H256</f>
        <v>375</v>
      </c>
      <c r="K257" s="8">
        <f>K256+N256*'Prestige Patterns'!$B$20</f>
        <v>682896591882</v>
      </c>
      <c r="L257" s="2">
        <f>IF(J256&gt;='Prestige Patterns'!$B$28,IF(J256/(H256+1)&gt;('Prestige Patterns'!$B$27+1),L256+1,L256),L256)</f>
        <v>5</v>
      </c>
      <c r="N257">
        <f t="shared" si="0"/>
        <v>836981555.19999993</v>
      </c>
      <c r="O257" s="3">
        <f>'Prestige Patterns'!$B$4*E257</f>
        <v>8740</v>
      </c>
      <c r="P257">
        <f t="shared" si="3"/>
        <v>4096</v>
      </c>
      <c r="Q257" s="5"/>
      <c r="R257" s="5"/>
      <c r="S257" s="3">
        <v>256</v>
      </c>
      <c r="T257" s="5"/>
    </row>
    <row r="258" spans="1:20" ht="12">
      <c r="A258" s="1"/>
      <c r="B258" s="1"/>
      <c r="C258" s="2">
        <f>(S258*'Prestige Patterns'!$B$20)/60</f>
        <v>128.5</v>
      </c>
      <c r="D258" s="2">
        <f>IF(L257=L258,N257*'Prestige Patterns'!$B$20+D257-F258,0)</f>
        <v>27466740840.748505</v>
      </c>
      <c r="E258" s="3">
        <f t="shared" si="1"/>
        <v>440</v>
      </c>
      <c r="F258" s="8">
        <f>'Prestige Patterns'!$B$5*('Prestige Patterns'!$B$6^E257-'Prestige Patterns'!$B$6^(E257+G258))/(1-'Prestige Patterns'!$B$6)</f>
        <v>22931833514.882202</v>
      </c>
      <c r="G258" s="8">
        <f>FLOOR(LOG('Prestige Patterns'!$B$6^(E257) - (D257*(1-'Prestige Patterns'!$B$6)/'Prestige Patterns'!$B$5),'Prestige Patterns'!$B$6)-E257,1)</f>
        <v>3</v>
      </c>
      <c r="H258">
        <f t="shared" si="2"/>
        <v>2238</v>
      </c>
      <c r="I258" s="5">
        <f>1+H258*'Prestige Patterns'!$B$25</f>
        <v>23.38</v>
      </c>
      <c r="J258">
        <f>FLOOR((K258/'Prestige Patterns'!$B$22)^'Prestige Patterns'!$B$23,1)-H257</f>
        <v>422</v>
      </c>
      <c r="K258" s="8">
        <f>K257+N257*'Prestige Patterns'!$B$20</f>
        <v>708006038538</v>
      </c>
      <c r="L258" s="2">
        <f>IF(J257&gt;='Prestige Patterns'!$B$28,IF(J257/(H257+1)&gt;('Prestige Patterns'!$B$27+1),L257+1,L257),L257)</f>
        <v>5</v>
      </c>
      <c r="N258">
        <f t="shared" si="0"/>
        <v>842727424</v>
      </c>
      <c r="O258" s="3">
        <f>'Prestige Patterns'!$B$4*E258</f>
        <v>8800</v>
      </c>
      <c r="P258">
        <f t="shared" si="3"/>
        <v>4096</v>
      </c>
      <c r="Q258" s="5"/>
      <c r="R258" s="5"/>
      <c r="S258" s="3">
        <v>257</v>
      </c>
      <c r="T258" s="5"/>
    </row>
    <row r="259" spans="1:20" ht="12">
      <c r="A259" s="1"/>
      <c r="B259" s="1"/>
      <c r="C259" s="2">
        <f>(S259*'Prestige Patterns'!$B$20)/60</f>
        <v>129</v>
      </c>
      <c r="D259" s="2">
        <f>IF(L258=L259,N258*'Prestige Patterns'!$B$20+D258-F259,0)</f>
        <v>26202099788.082932</v>
      </c>
      <c r="E259" s="3">
        <f t="shared" si="1"/>
        <v>443</v>
      </c>
      <c r="F259" s="8">
        <f>'Prestige Patterns'!$B$5*('Prestige Patterns'!$B$6^E258-'Prestige Patterns'!$B$6^(E258+G259))/(1-'Prestige Patterns'!$B$6)</f>
        <v>26546463772.665573</v>
      </c>
      <c r="G259" s="8">
        <f>FLOOR(LOG('Prestige Patterns'!$B$6^(E258) - (D258*(1-'Prestige Patterns'!$B$6)/'Prestige Patterns'!$B$5),'Prestige Patterns'!$B$6)-E258,1)</f>
        <v>3</v>
      </c>
      <c r="H259">
        <f t="shared" si="2"/>
        <v>2238</v>
      </c>
      <c r="I259" s="5">
        <f>1+H259*'Prestige Patterns'!$B$25</f>
        <v>23.38</v>
      </c>
      <c r="J259">
        <f>FLOOR((K259/'Prestige Patterns'!$B$22)^'Prestige Patterns'!$B$23,1)-H258</f>
        <v>469</v>
      </c>
      <c r="K259" s="8">
        <f>K258+N258*'Prestige Patterns'!$B$20</f>
        <v>733287861258</v>
      </c>
      <c r="L259" s="2">
        <f>IF(J258&gt;='Prestige Patterns'!$B$28,IF(J258/(H258+1)&gt;('Prestige Patterns'!$B$27+1),L258+1,L258),L258)</f>
        <v>5</v>
      </c>
      <c r="N259">
        <f t="shared" si="0"/>
        <v>848473292.79999995</v>
      </c>
      <c r="O259" s="3">
        <f>'Prestige Patterns'!$B$4*E259</f>
        <v>8860</v>
      </c>
      <c r="P259">
        <f t="shared" si="3"/>
        <v>4096</v>
      </c>
      <c r="Q259" s="5"/>
      <c r="R259" s="5"/>
      <c r="S259" s="3">
        <v>258</v>
      </c>
      <c r="T259" s="5"/>
    </row>
    <row r="260" spans="1:20" ht="12">
      <c r="A260" s="1"/>
      <c r="B260" s="1"/>
      <c r="C260" s="2">
        <f>(S260*'Prestige Patterns'!$B$20)/60</f>
        <v>129.5</v>
      </c>
      <c r="D260" s="2">
        <f>IF(L259=L260,N259*'Prestige Patterns'!$B$20+D259-F260,0)</f>
        <v>31672716413.191463</v>
      </c>
      <c r="E260" s="3">
        <f t="shared" si="1"/>
        <v>445</v>
      </c>
      <c r="F260" s="8">
        <f>'Prestige Patterns'!$B$5*('Prestige Patterns'!$B$6^E259-'Prestige Patterns'!$B$6^(E259+G260))/(1-'Prestige Patterns'!$B$6)</f>
        <v>19983582158.891468</v>
      </c>
      <c r="G260" s="8">
        <f>FLOOR(LOG('Prestige Patterns'!$B$6^(E259) - (D259*(1-'Prestige Patterns'!$B$6)/'Prestige Patterns'!$B$5),'Prestige Patterns'!$B$6)-E259,1)</f>
        <v>2</v>
      </c>
      <c r="H260">
        <f t="shared" si="2"/>
        <v>2238</v>
      </c>
      <c r="I260" s="5">
        <f>1+H260*'Prestige Patterns'!$B$25</f>
        <v>23.38</v>
      </c>
      <c r="J260">
        <f>FLOOR((K260/'Prestige Patterns'!$B$22)^'Prestige Patterns'!$B$23,1)-H259</f>
        <v>516</v>
      </c>
      <c r="K260" s="8">
        <f>K259+N259*'Prestige Patterns'!$B$20</f>
        <v>758742060042</v>
      </c>
      <c r="L260" s="2">
        <f>IF(J259&gt;='Prestige Patterns'!$B$28,IF(J259/(H259+1)&gt;('Prestige Patterns'!$B$27+1),L259+1,L259),L259)</f>
        <v>5</v>
      </c>
      <c r="N260">
        <f t="shared" si="0"/>
        <v>852303872</v>
      </c>
      <c r="O260" s="3">
        <f>'Prestige Patterns'!$B$4*E260</f>
        <v>8900</v>
      </c>
      <c r="P260">
        <f t="shared" si="3"/>
        <v>4096</v>
      </c>
      <c r="Q260" s="5"/>
      <c r="R260" s="5"/>
      <c r="S260" s="3">
        <v>259</v>
      </c>
      <c r="T260" s="5"/>
    </row>
    <row r="261" spans="1:20" ht="12">
      <c r="A261" s="1"/>
      <c r="B261" s="1"/>
      <c r="C261" s="2">
        <f>(S261*'Prestige Patterns'!$B$20)/60</f>
        <v>130</v>
      </c>
      <c r="D261" s="2">
        <f>IF(L260=L261,N260*'Prestige Patterns'!$B$20+D260-F261,0)</f>
        <v>35209933243.013565</v>
      </c>
      <c r="E261" s="3">
        <f t="shared" si="1"/>
        <v>447</v>
      </c>
      <c r="F261" s="8">
        <f>'Prestige Patterns'!$B$5*('Prestige Patterns'!$B$6^E260-'Prestige Patterns'!$B$6^(E260+G261))/(1-'Prestige Patterns'!$B$6)</f>
        <v>22031899330.177898</v>
      </c>
      <c r="G261" s="8">
        <f>FLOOR(LOG('Prestige Patterns'!$B$6^(E260) - (D260*(1-'Prestige Patterns'!$B$6)/'Prestige Patterns'!$B$5),'Prestige Patterns'!$B$6)-E260,1)</f>
        <v>2</v>
      </c>
      <c r="H261">
        <f t="shared" si="2"/>
        <v>2238</v>
      </c>
      <c r="I261" s="5">
        <f>1+H261*'Prestige Patterns'!$B$25</f>
        <v>23.38</v>
      </c>
      <c r="J261">
        <f>FLOOR((K261/'Prestige Patterns'!$B$22)^'Prestige Patterns'!$B$23,1)-H260</f>
        <v>562</v>
      </c>
      <c r="K261" s="8">
        <f>K260+N260*'Prestige Patterns'!$B$20</f>
        <v>784311176202</v>
      </c>
      <c r="L261" s="2">
        <f>IF(J260&gt;='Prestige Patterns'!$B$28,IF(J260/(H260+1)&gt;('Prestige Patterns'!$B$27+1),L260+1,L260),L260)</f>
        <v>5</v>
      </c>
      <c r="N261">
        <f t="shared" si="0"/>
        <v>856134451.19999993</v>
      </c>
      <c r="O261" s="3">
        <f>'Prestige Patterns'!$B$4*E261</f>
        <v>8940</v>
      </c>
      <c r="P261">
        <f t="shared" si="3"/>
        <v>4096</v>
      </c>
      <c r="Q261" s="5"/>
      <c r="R261" s="5"/>
      <c r="S261" s="3">
        <v>260</v>
      </c>
      <c r="T261" s="5"/>
    </row>
    <row r="262" spans="1:20" ht="12">
      <c r="A262" s="1"/>
      <c r="B262" s="1"/>
      <c r="C262" s="2">
        <f>(S262*'Prestige Patterns'!$B$20)/60</f>
        <v>130.5</v>
      </c>
      <c r="D262" s="2">
        <f>IF(L261=L262,N261*'Prestige Patterns'!$B$20+D261-F262,0)</f>
        <v>36603797767.492439</v>
      </c>
      <c r="E262" s="3">
        <f t="shared" si="1"/>
        <v>449</v>
      </c>
      <c r="F262" s="8">
        <f>'Prestige Patterns'!$B$5*('Prestige Patterns'!$B$6^E261-'Prestige Patterns'!$B$6^(E261+G262))/(1-'Prestige Patterns'!$B$6)</f>
        <v>24290169011.521126</v>
      </c>
      <c r="G262" s="8">
        <f>FLOOR(LOG('Prestige Patterns'!$B$6^(E261) - (D261*(1-'Prestige Patterns'!$B$6)/'Prestige Patterns'!$B$5),'Prestige Patterns'!$B$6)-E261,1)</f>
        <v>2</v>
      </c>
      <c r="H262">
        <f t="shared" si="2"/>
        <v>2238</v>
      </c>
      <c r="I262" s="5">
        <f>1+H262*'Prestige Patterns'!$B$25</f>
        <v>23.38</v>
      </c>
      <c r="J262">
        <f>FLOOR((K262/'Prestige Patterns'!$B$22)^'Prestige Patterns'!$B$23,1)-H261</f>
        <v>608</v>
      </c>
      <c r="K262" s="8">
        <f>K261+N261*'Prestige Patterns'!$B$20</f>
        <v>809995209738</v>
      </c>
      <c r="L262" s="2">
        <f>IF(J261&gt;='Prestige Patterns'!$B$28,IF(J261/(H261+1)&gt;('Prestige Patterns'!$B$27+1),L261+1,L261),L261)</f>
        <v>5</v>
      </c>
      <c r="N262">
        <f t="shared" si="0"/>
        <v>859965030.39999998</v>
      </c>
      <c r="O262" s="3">
        <f>'Prestige Patterns'!$B$4*E262</f>
        <v>8980</v>
      </c>
      <c r="P262">
        <f t="shared" si="3"/>
        <v>4096</v>
      </c>
      <c r="Q262" s="5"/>
      <c r="R262" s="5"/>
      <c r="S262" s="3">
        <v>261</v>
      </c>
      <c r="T262" s="5"/>
    </row>
    <row r="263" spans="1:20" ht="12">
      <c r="A263" s="1"/>
      <c r="B263" s="1"/>
      <c r="C263" s="2">
        <f>(S263*'Prestige Patterns'!$B$20)/60</f>
        <v>131</v>
      </c>
      <c r="D263" s="2">
        <f>IF(L262=L263,N262*'Prestige Patterns'!$B$20+D262-F263,0)</f>
        <v>35622837344.290398</v>
      </c>
      <c r="E263" s="3">
        <f t="shared" si="1"/>
        <v>451</v>
      </c>
      <c r="F263" s="8">
        <f>'Prestige Patterns'!$B$5*('Prestige Patterns'!$B$6^E262-'Prestige Patterns'!$B$6^(E262+G263))/(1-'Prestige Patterns'!$B$6)</f>
        <v>26779911335.202042</v>
      </c>
      <c r="G263" s="8">
        <f>FLOOR(LOG('Prestige Patterns'!$B$6^(E262) - (D262*(1-'Prestige Patterns'!$B$6)/'Prestige Patterns'!$B$5),'Prestige Patterns'!$B$6)-E262,1)</f>
        <v>2</v>
      </c>
      <c r="H263">
        <f t="shared" si="2"/>
        <v>2238</v>
      </c>
      <c r="I263" s="5">
        <f>1+H263*'Prestige Patterns'!$B$25</f>
        <v>23.38</v>
      </c>
      <c r="J263">
        <f>FLOOR((K263/'Prestige Patterns'!$B$22)^'Prestige Patterns'!$B$23,1)-H262</f>
        <v>653</v>
      </c>
      <c r="K263" s="8">
        <f>K262+N262*'Prestige Patterns'!$B$20</f>
        <v>835794160650</v>
      </c>
      <c r="L263" s="2">
        <f>IF(J262&gt;='Prestige Patterns'!$B$28,IF(J262/(H262+1)&gt;('Prestige Patterns'!$B$27+1),L262+1,L262),L262)</f>
        <v>5</v>
      </c>
      <c r="N263">
        <f t="shared" si="0"/>
        <v>863795609.5999999</v>
      </c>
      <c r="O263" s="3">
        <f>'Prestige Patterns'!$B$4*E263</f>
        <v>9020</v>
      </c>
      <c r="P263">
        <f t="shared" si="3"/>
        <v>4096</v>
      </c>
      <c r="Q263" s="5"/>
      <c r="R263" s="5"/>
      <c r="S263" s="3">
        <v>262</v>
      </c>
      <c r="T263" s="5"/>
    </row>
    <row r="264" spans="1:20" ht="12">
      <c r="A264" s="1"/>
      <c r="B264" s="1"/>
      <c r="C264" s="2">
        <f>(S264*'Prestige Patterns'!$B$20)/60</f>
        <v>131.5</v>
      </c>
      <c r="D264" s="2">
        <f>IF(L263=L264,N263*'Prestige Patterns'!$B$20+D263-F264,0)</f>
        <v>32011853385.230175</v>
      </c>
      <c r="E264" s="3">
        <f t="shared" si="1"/>
        <v>453</v>
      </c>
      <c r="F264" s="8">
        <f>'Prestige Patterns'!$B$5*('Prestige Patterns'!$B$6^E263-'Prestige Patterns'!$B$6^(E263+G264))/(1-'Prestige Patterns'!$B$6)</f>
        <v>29524852247.060215</v>
      </c>
      <c r="G264" s="8">
        <f>FLOOR(LOG('Prestige Patterns'!$B$6^(E263) - (D263*(1-'Prestige Patterns'!$B$6)/'Prestige Patterns'!$B$5),'Prestige Patterns'!$B$6)-E263,1)</f>
        <v>2</v>
      </c>
      <c r="H264">
        <f t="shared" si="2"/>
        <v>2238</v>
      </c>
      <c r="I264" s="5">
        <f>1+H264*'Prestige Patterns'!$B$25</f>
        <v>23.38</v>
      </c>
      <c r="J264">
        <f>FLOOR((K264/'Prestige Patterns'!$B$22)^'Prestige Patterns'!$B$23,1)-H263</f>
        <v>697</v>
      </c>
      <c r="K264" s="8">
        <f>K263+N263*'Prestige Patterns'!$B$20</f>
        <v>861708028938</v>
      </c>
      <c r="L264" s="2">
        <f>IF(J263&gt;='Prestige Patterns'!$B$28,IF(J263/(H263+1)&gt;('Prestige Patterns'!$B$27+1),L263+1,L263),L263)</f>
        <v>5</v>
      </c>
      <c r="N264">
        <f t="shared" si="0"/>
        <v>867626188.79999995</v>
      </c>
      <c r="O264" s="3">
        <f>'Prestige Patterns'!$B$4*E264</f>
        <v>9060</v>
      </c>
      <c r="P264">
        <f t="shared" si="3"/>
        <v>4096</v>
      </c>
      <c r="Q264" s="5"/>
      <c r="R264" s="5"/>
      <c r="S264" s="3">
        <v>263</v>
      </c>
      <c r="T264" s="5"/>
    </row>
    <row r="265" spans="1:20" ht="12">
      <c r="A265" s="1"/>
      <c r="B265" s="1"/>
      <c r="C265" s="2">
        <f>(S265*'Prestige Patterns'!$B$20)/60</f>
        <v>132</v>
      </c>
      <c r="D265" s="2">
        <f>IF(L264=L265,N264*'Prestige Patterns'!$B$20+D264-F265,0)</f>
        <v>42162029487.091713</v>
      </c>
      <c r="E265" s="3">
        <f t="shared" si="1"/>
        <v>454</v>
      </c>
      <c r="F265" s="8">
        <f>'Prestige Patterns'!$B$5*('Prestige Patterns'!$B$6^E264-'Prestige Patterns'!$B$6^(E264+G265))/(1-'Prestige Patterns'!$B$6)</f>
        <v>15878609562.138468</v>
      </c>
      <c r="G265" s="8">
        <f>FLOOR(LOG('Prestige Patterns'!$B$6^(E264) - (D264*(1-'Prestige Patterns'!$B$6)/'Prestige Patterns'!$B$5),'Prestige Patterns'!$B$6)-E264,1)</f>
        <v>1</v>
      </c>
      <c r="H265">
        <f t="shared" si="2"/>
        <v>2238</v>
      </c>
      <c r="I265" s="5">
        <f>1+H265*'Prestige Patterns'!$B$25</f>
        <v>23.38</v>
      </c>
      <c r="J265">
        <f>FLOOR((K265/'Prestige Patterns'!$B$22)^'Prestige Patterns'!$B$23,1)-H264</f>
        <v>741</v>
      </c>
      <c r="K265" s="8">
        <f>K264+N264*'Prestige Patterns'!$B$20</f>
        <v>887736814602</v>
      </c>
      <c r="L265" s="2">
        <f>IF(J264&gt;='Prestige Patterns'!$B$28,IF(J264/(H264+1)&gt;('Prestige Patterns'!$B$27+1),L264+1,L264),L264)</f>
        <v>5</v>
      </c>
      <c r="N265">
        <f t="shared" si="0"/>
        <v>869541478.39999998</v>
      </c>
      <c r="O265" s="3">
        <f>'Prestige Patterns'!$B$4*E265</f>
        <v>9080</v>
      </c>
      <c r="P265">
        <f t="shared" si="3"/>
        <v>4096</v>
      </c>
      <c r="Q265" s="5"/>
      <c r="R265" s="5"/>
      <c r="S265" s="3">
        <v>264</v>
      </c>
      <c r="T265" s="5"/>
    </row>
    <row r="266" spans="1:20" ht="12">
      <c r="A266" s="1"/>
      <c r="B266" s="1"/>
      <c r="C266" s="2">
        <f>(S266*'Prestige Patterns'!$B$20)/60</f>
        <v>132.5</v>
      </c>
      <c r="D266" s="2">
        <f>IF(L265=L266,N265*'Prestige Patterns'!$B$20+D265-F266,0)</f>
        <v>34069566756.588577</v>
      </c>
      <c r="E266" s="3">
        <f t="shared" si="1"/>
        <v>456</v>
      </c>
      <c r="F266" s="8">
        <f>'Prestige Patterns'!$B$5*('Prestige Patterns'!$B$6^E265-'Prestige Patterns'!$B$6^(E265+G266))/(1-'Prestige Patterns'!$B$6)</f>
        <v>34178707082.503136</v>
      </c>
      <c r="G266" s="8">
        <f>FLOOR(LOG('Prestige Patterns'!$B$6^(E265) - (D265*(1-'Prestige Patterns'!$B$6)/'Prestige Patterns'!$B$5),'Prestige Patterns'!$B$6)-E265,1)</f>
        <v>2</v>
      </c>
      <c r="H266">
        <f t="shared" si="2"/>
        <v>2238</v>
      </c>
      <c r="I266" s="5">
        <f>1+H266*'Prestige Patterns'!$B$25</f>
        <v>23.38</v>
      </c>
      <c r="J266">
        <f>FLOOR((K266/'Prestige Patterns'!$B$22)^'Prestige Patterns'!$B$23,1)-H265</f>
        <v>784</v>
      </c>
      <c r="K266" s="8">
        <f>K265+N265*'Prestige Patterns'!$B$20</f>
        <v>913823058954</v>
      </c>
      <c r="L266" s="2">
        <f>IF(J265&gt;='Prestige Patterns'!$B$28,IF(J265/(H265+1)&gt;('Prestige Patterns'!$B$27+1),L265+1,L265),L265)</f>
        <v>5</v>
      </c>
      <c r="N266">
        <f t="shared" si="0"/>
        <v>873372057.5999999</v>
      </c>
      <c r="O266" s="3">
        <f>'Prestige Patterns'!$B$4*E266</f>
        <v>9120</v>
      </c>
      <c r="P266">
        <f t="shared" si="3"/>
        <v>4096</v>
      </c>
      <c r="Q266" s="5"/>
      <c r="R266" s="5"/>
      <c r="S266" s="3">
        <v>265</v>
      </c>
      <c r="T266" s="5"/>
    </row>
    <row r="267" spans="1:20" ht="12">
      <c r="A267" s="1"/>
      <c r="B267" s="1"/>
      <c r="C267" s="2">
        <f>(S267*'Prestige Patterns'!$B$20)/60</f>
        <v>133</v>
      </c>
      <c r="D267" s="2">
        <f>IF(L266=L267,N266*'Prestige Patterns'!$B$20+D266-F267,0)</f>
        <v>41889253090.218018</v>
      </c>
      <c r="E267" s="3">
        <f t="shared" si="1"/>
        <v>457</v>
      </c>
      <c r="F267" s="8">
        <f>'Prestige Patterns'!$B$5*('Prestige Patterns'!$B$6^E266-'Prestige Patterns'!$B$6^(E266+G267))/(1-'Prestige Patterns'!$B$6)</f>
        <v>18381475394.37056</v>
      </c>
      <c r="G267" s="8">
        <f>FLOOR(LOG('Prestige Patterns'!$B$6^(E266) - (D266*(1-'Prestige Patterns'!$B$6)/'Prestige Patterns'!$B$5),'Prestige Patterns'!$B$6)-E266,1)</f>
        <v>1</v>
      </c>
      <c r="H267">
        <f t="shared" si="2"/>
        <v>2238</v>
      </c>
      <c r="I267" s="5">
        <f>1+H267*'Prestige Patterns'!$B$25</f>
        <v>23.38</v>
      </c>
      <c r="J267">
        <f>FLOOR((K267/'Prestige Patterns'!$B$22)^'Prestige Patterns'!$B$23,1)-H266</f>
        <v>827</v>
      </c>
      <c r="K267" s="8">
        <f>K266+N266*'Prestige Patterns'!$B$20</f>
        <v>940024220682</v>
      </c>
      <c r="L267" s="2">
        <f>IF(J266&gt;='Prestige Patterns'!$B$28,IF(J266/(H266+1)&gt;('Prestige Patterns'!$B$27+1),L266+1,L266),L266)</f>
        <v>5</v>
      </c>
      <c r="N267">
        <f t="shared" si="0"/>
        <v>875287347.19999993</v>
      </c>
      <c r="O267" s="3">
        <f>'Prestige Patterns'!$B$4*E267</f>
        <v>9140</v>
      </c>
      <c r="P267">
        <f t="shared" si="3"/>
        <v>4096</v>
      </c>
      <c r="Q267" s="5"/>
      <c r="R267" s="5"/>
      <c r="S267" s="3">
        <v>266</v>
      </c>
      <c r="T267" s="5"/>
    </row>
    <row r="268" spans="1:20" ht="12">
      <c r="A268" s="1"/>
      <c r="B268" s="1"/>
      <c r="C268" s="2">
        <f>(S268*'Prestige Patterns'!$B$20)/60</f>
        <v>133.5</v>
      </c>
      <c r="D268" s="2">
        <f>IF(L267=L268,N267*'Prestige Patterns'!$B$20+D267-F268,0)</f>
        <v>28581747719.835381</v>
      </c>
      <c r="E268" s="3">
        <f t="shared" si="1"/>
        <v>459</v>
      </c>
      <c r="F268" s="8">
        <f>'Prestige Patterns'!$B$5*('Prestige Patterns'!$B$6^E267-'Prestige Patterns'!$B$6^(E267+G268))/(1-'Prestige Patterns'!$B$6)</f>
        <v>39566125786.382637</v>
      </c>
      <c r="G268" s="8">
        <f>FLOOR(LOG('Prestige Patterns'!$B$6^(E267) - (D267*(1-'Prestige Patterns'!$B$6)/'Prestige Patterns'!$B$5),'Prestige Patterns'!$B$6)-E267,1)</f>
        <v>2</v>
      </c>
      <c r="H268">
        <f t="shared" si="2"/>
        <v>2238</v>
      </c>
      <c r="I268" s="5">
        <f>1+H268*'Prestige Patterns'!$B$25</f>
        <v>23.38</v>
      </c>
      <c r="J268">
        <f>FLOOR((K268/'Prestige Patterns'!$B$22)^'Prestige Patterns'!$B$23,1)-H267</f>
        <v>870</v>
      </c>
      <c r="K268" s="8">
        <f>K267+N267*'Prestige Patterns'!$B$20</f>
        <v>966282841098</v>
      </c>
      <c r="L268" s="2">
        <f>IF(J267&gt;='Prestige Patterns'!$B$28,IF(J267/(H267+1)&gt;('Prestige Patterns'!$B$27+1),L267+1,L267),L267)</f>
        <v>5</v>
      </c>
      <c r="N268">
        <f t="shared" si="0"/>
        <v>879117926.39999998</v>
      </c>
      <c r="O268" s="3">
        <f>'Prestige Patterns'!$B$4*E268</f>
        <v>9180</v>
      </c>
      <c r="P268">
        <f t="shared" si="3"/>
        <v>4096</v>
      </c>
      <c r="Q268" s="5"/>
      <c r="R268" s="5"/>
      <c r="S268" s="3">
        <v>267</v>
      </c>
      <c r="T268" s="5"/>
    </row>
    <row r="269" spans="1:20" ht="12">
      <c r="A269" s="1"/>
      <c r="B269" s="1"/>
      <c r="C269" s="2">
        <f>(S269*'Prestige Patterns'!$B$20)/60</f>
        <v>134</v>
      </c>
      <c r="D269" s="2">
        <f>IF(L268=L269,N268*'Prestige Patterns'!$B$20+D268-F269,0)</f>
        <v>33676430058.427197</v>
      </c>
      <c r="E269" s="3">
        <f t="shared" si="1"/>
        <v>460</v>
      </c>
      <c r="F269" s="8">
        <f>'Prestige Patterns'!$B$5*('Prestige Patterns'!$B$6^E268-'Prestige Patterns'!$B$6^(E268+G269))/(1-'Prestige Patterns'!$B$6)</f>
        <v>21278855453.408184</v>
      </c>
      <c r="G269" s="8">
        <f>FLOOR(LOG('Prestige Patterns'!$B$6^(E268) - (D268*(1-'Prestige Patterns'!$B$6)/'Prestige Patterns'!$B$5),'Prestige Patterns'!$B$6)-E268,1)</f>
        <v>1</v>
      </c>
      <c r="H269">
        <f t="shared" si="2"/>
        <v>2238</v>
      </c>
      <c r="I269" s="5">
        <f>1+H269*'Prestige Patterns'!$B$25</f>
        <v>23.38</v>
      </c>
      <c r="J269">
        <f>FLOOR((K269/'Prestige Patterns'!$B$22)^'Prestige Patterns'!$B$23,1)-H268</f>
        <v>912</v>
      </c>
      <c r="K269" s="8">
        <f>K268+N268*'Prestige Patterns'!$B$20</f>
        <v>992656378890</v>
      </c>
      <c r="L269" s="2">
        <f>IF(J268&gt;='Prestige Patterns'!$B$28,IF(J268/(H268+1)&gt;('Prestige Patterns'!$B$27+1),L268+1,L268),L268)</f>
        <v>5</v>
      </c>
      <c r="N269">
        <f t="shared" si="0"/>
        <v>881033216</v>
      </c>
      <c r="O269" s="3">
        <f>'Prestige Patterns'!$B$4*E269</f>
        <v>9200</v>
      </c>
      <c r="P269">
        <f t="shared" si="3"/>
        <v>4096</v>
      </c>
      <c r="Q269" s="5"/>
      <c r="R269" s="5"/>
      <c r="S269" s="3">
        <v>268</v>
      </c>
      <c r="T269" s="5"/>
    </row>
    <row r="270" spans="1:20" ht="12">
      <c r="A270" s="1"/>
      <c r="B270" s="1"/>
      <c r="C270" s="2">
        <f>(S270*'Prestige Patterns'!$B$20)/60</f>
        <v>134.5</v>
      </c>
      <c r="D270" s="2">
        <f>IF(L269=L270,N269*'Prestige Patterns'!$B$20+D269-F270,0)</f>
        <v>37764628312.348419</v>
      </c>
      <c r="E270" s="3">
        <f t="shared" si="1"/>
        <v>461</v>
      </c>
      <c r="F270" s="8">
        <f>'Prestige Patterns'!$B$5*('Prestige Patterns'!$B$6^E269-'Prestige Patterns'!$B$6^(E269+G270))/(1-'Prestige Patterns'!$B$6)</f>
        <v>22342798226.078777</v>
      </c>
      <c r="G270" s="8">
        <f>FLOOR(LOG('Prestige Patterns'!$B$6^(E269) - (D269*(1-'Prestige Patterns'!$B$6)/'Prestige Patterns'!$B$5),'Prestige Patterns'!$B$6)-E269,1)</f>
        <v>1</v>
      </c>
      <c r="H270">
        <f t="shared" si="2"/>
        <v>2238</v>
      </c>
      <c r="I270" s="5">
        <f>1+H270*'Prestige Patterns'!$B$25</f>
        <v>23.38</v>
      </c>
      <c r="J270">
        <f>FLOOR((K270/'Prestige Patterns'!$B$22)^'Prestige Patterns'!$B$23,1)-H269</f>
        <v>954</v>
      </c>
      <c r="K270" s="8">
        <f>K269+N269*'Prestige Patterns'!$B$20</f>
        <v>1019087375370</v>
      </c>
      <c r="L270" s="2">
        <f>IF(J269&gt;='Prestige Patterns'!$B$28,IF(J269/(H269+1)&gt;('Prestige Patterns'!$B$27+1),L269+1,L269),L269)</f>
        <v>5</v>
      </c>
      <c r="N270">
        <f t="shared" si="0"/>
        <v>882948505.5999999</v>
      </c>
      <c r="O270" s="3">
        <f>'Prestige Patterns'!$B$4*E270</f>
        <v>9220</v>
      </c>
      <c r="P270">
        <f t="shared" si="3"/>
        <v>4096</v>
      </c>
      <c r="Q270" s="5"/>
      <c r="R270" s="5"/>
      <c r="S270" s="3">
        <v>269</v>
      </c>
      <c r="T270" s="5"/>
    </row>
    <row r="271" spans="1:20" ht="12">
      <c r="A271" s="1"/>
      <c r="B271" s="1"/>
      <c r="C271" s="2">
        <f>(S271*'Prestige Patterns'!$B$20)/60</f>
        <v>135</v>
      </c>
      <c r="D271" s="2">
        <f>IF(L270=L271,N270*'Prestige Patterns'!$B$20+D270-F271,0)</f>
        <v>40793145342.966003</v>
      </c>
      <c r="E271" s="3">
        <f t="shared" si="1"/>
        <v>462</v>
      </c>
      <c r="F271" s="8">
        <f>'Prestige Patterns'!$B$5*('Prestige Patterns'!$B$6^E270-'Prestige Patterns'!$B$6^(E270+G271))/(1-'Prestige Patterns'!$B$6)</f>
        <v>23459938137.382412</v>
      </c>
      <c r="G271" s="8">
        <f>FLOOR(LOG('Prestige Patterns'!$B$6^(E270) - (D270*(1-'Prestige Patterns'!$B$6)/'Prestige Patterns'!$B$5),'Prestige Patterns'!$B$6)-E270,1)</f>
        <v>1</v>
      </c>
      <c r="H271">
        <f t="shared" si="2"/>
        <v>2238</v>
      </c>
      <c r="I271" s="5">
        <f>1+H271*'Prestige Patterns'!$B$25</f>
        <v>23.38</v>
      </c>
      <c r="J271">
        <f>FLOOR((K271/'Prestige Patterns'!$B$22)^'Prestige Patterns'!$B$23,1)-H270</f>
        <v>995</v>
      </c>
      <c r="K271" s="8">
        <f>K270+N270*'Prestige Patterns'!$B$20</f>
        <v>1045575830538</v>
      </c>
      <c r="L271" s="2">
        <f>IF(J270&gt;='Prestige Patterns'!$B$28,IF(J270/(H270+1)&gt;('Prestige Patterns'!$B$27+1),L270+1,L270),L270)</f>
        <v>5</v>
      </c>
      <c r="N271">
        <f t="shared" si="0"/>
        <v>884863795.19999993</v>
      </c>
      <c r="O271" s="3">
        <f>'Prestige Patterns'!$B$4*E271</f>
        <v>9240</v>
      </c>
      <c r="P271">
        <f t="shared" si="3"/>
        <v>4096</v>
      </c>
      <c r="Q271" s="5"/>
      <c r="R271" s="5"/>
      <c r="S271" s="3">
        <v>270</v>
      </c>
      <c r="T271" s="5"/>
    </row>
    <row r="272" spans="1:20" ht="12">
      <c r="A272" s="1"/>
      <c r="B272" s="1"/>
      <c r="C272" s="2">
        <f>(S272*'Prestige Patterns'!$B$20)/60</f>
        <v>135.5</v>
      </c>
      <c r="D272" s="2">
        <f>IF(L271=L272,N271*'Prestige Patterns'!$B$20+D271-F272,0)</f>
        <v>42706124154.714165</v>
      </c>
      <c r="E272" s="3">
        <f t="shared" si="1"/>
        <v>463</v>
      </c>
      <c r="F272" s="8">
        <f>'Prestige Patterns'!$B$5*('Prestige Patterns'!$B$6^E271-'Prestige Patterns'!$B$6^(E271+G272))/(1-'Prestige Patterns'!$B$6)</f>
        <v>24632935044.251839</v>
      </c>
      <c r="G272" s="8">
        <f>FLOOR(LOG('Prestige Patterns'!$B$6^(E271) - (D271*(1-'Prestige Patterns'!$B$6)/'Prestige Patterns'!$B$5),'Prestige Patterns'!$B$6)-E271,1)</f>
        <v>1</v>
      </c>
      <c r="H272">
        <f t="shared" si="2"/>
        <v>2238</v>
      </c>
      <c r="I272" s="5">
        <f>1+H272*'Prestige Patterns'!$B$25</f>
        <v>23.38</v>
      </c>
      <c r="J272">
        <f>FLOOR((K272/'Prestige Patterns'!$B$22)^'Prestige Patterns'!$B$23,1)-H271</f>
        <v>1036</v>
      </c>
      <c r="K272" s="8">
        <f>K271+N271*'Prestige Patterns'!$B$20</f>
        <v>1072121744394</v>
      </c>
      <c r="L272" s="2">
        <f>IF(J271&gt;='Prestige Patterns'!$B$28,IF(J271/(H271+1)&gt;('Prestige Patterns'!$B$27+1),L271+1,L271),L271)</f>
        <v>5</v>
      </c>
      <c r="N272">
        <f t="shared" si="0"/>
        <v>886779084.79999995</v>
      </c>
      <c r="O272" s="3">
        <f>'Prestige Patterns'!$B$4*E272</f>
        <v>9260</v>
      </c>
      <c r="P272">
        <f t="shared" si="3"/>
        <v>4096</v>
      </c>
      <c r="Q272" s="5"/>
      <c r="R272" s="5"/>
      <c r="S272" s="3">
        <v>271</v>
      </c>
      <c r="T272" s="5"/>
    </row>
    <row r="273" spans="1:20" ht="12">
      <c r="A273" s="1"/>
      <c r="B273" s="1"/>
      <c r="C273" s="2">
        <f>(S273*'Prestige Patterns'!$B$20)/60</f>
        <v>136</v>
      </c>
      <c r="D273" s="2">
        <f>IF(L272=L273,N272*'Prestige Patterns'!$B$20+D272-F273,0)</f>
        <v>43444914902.249809</v>
      </c>
      <c r="E273" s="3">
        <f t="shared" si="1"/>
        <v>464</v>
      </c>
      <c r="F273" s="8">
        <f>'Prestige Patterns'!$B$5*('Prestige Patterns'!$B$6^E272-'Prestige Patterns'!$B$6^(E272+G273))/(1-'Prestige Patterns'!$B$6)</f>
        <v>25864581796.464363</v>
      </c>
      <c r="G273" s="8">
        <f>FLOOR(LOG('Prestige Patterns'!$B$6^(E272) - (D272*(1-'Prestige Patterns'!$B$6)/'Prestige Patterns'!$B$5),'Prestige Patterns'!$B$6)-E272,1)</f>
        <v>1</v>
      </c>
      <c r="H273">
        <f t="shared" si="2"/>
        <v>2238</v>
      </c>
      <c r="I273" s="5">
        <f>1+H273*'Prestige Patterns'!$B$25</f>
        <v>23.38</v>
      </c>
      <c r="J273">
        <f>FLOOR((K273/'Prestige Patterns'!$B$22)^'Prestige Patterns'!$B$23,1)-H272</f>
        <v>1076</v>
      </c>
      <c r="K273" s="8">
        <f>K272+N272*'Prestige Patterns'!$B$20</f>
        <v>1098725116938</v>
      </c>
      <c r="L273" s="2">
        <f>IF(J272&gt;='Prestige Patterns'!$B$28,IF(J272/(H272+1)&gt;('Prestige Patterns'!$B$27+1),L272+1,L272),L272)</f>
        <v>5</v>
      </c>
      <c r="N273">
        <f t="shared" si="0"/>
        <v>888694374.39999998</v>
      </c>
      <c r="O273" s="3">
        <f>'Prestige Patterns'!$B$4*E273</f>
        <v>9280</v>
      </c>
      <c r="P273">
        <f t="shared" si="3"/>
        <v>4096</v>
      </c>
      <c r="Q273" s="5"/>
      <c r="R273" s="5"/>
      <c r="S273" s="3">
        <v>272</v>
      </c>
      <c r="T273" s="5"/>
    </row>
    <row r="274" spans="1:20" ht="12">
      <c r="A274" s="1"/>
      <c r="B274" s="1"/>
      <c r="C274" s="2">
        <f>(S274*'Prestige Patterns'!$B$20)/60</f>
        <v>136.5</v>
      </c>
      <c r="D274" s="2">
        <f>IF(L273=L274,N273*'Prestige Patterns'!$B$20+D273-F274,0)</f>
        <v>42947935247.962303</v>
      </c>
      <c r="E274" s="3">
        <f t="shared" si="1"/>
        <v>465</v>
      </c>
      <c r="F274" s="8">
        <f>'Prestige Patterns'!$B$5*('Prestige Patterns'!$B$6^E273-'Prestige Patterns'!$B$6^(E273+G274))/(1-'Prestige Patterns'!$B$6)</f>
        <v>27157810886.287514</v>
      </c>
      <c r="G274" s="8">
        <f>FLOOR(LOG('Prestige Patterns'!$B$6^(E273) - (D273*(1-'Prestige Patterns'!$B$6)/'Prestige Patterns'!$B$5),'Prestige Patterns'!$B$6)-E273,1)</f>
        <v>1</v>
      </c>
      <c r="H274">
        <f t="shared" si="2"/>
        <v>2238</v>
      </c>
      <c r="I274" s="5">
        <f>1+H274*'Prestige Patterns'!$B$25</f>
        <v>23.38</v>
      </c>
      <c r="J274">
        <f>FLOOR((K274/'Prestige Patterns'!$B$22)^'Prestige Patterns'!$B$23,1)-H273</f>
        <v>1116</v>
      </c>
      <c r="K274" s="8">
        <f>K273+N273*'Prestige Patterns'!$B$20</f>
        <v>1125385948170</v>
      </c>
      <c r="L274" s="2">
        <f>IF(J273&gt;='Prestige Patterns'!$B$28,IF(J273/(H273+1)&gt;('Prestige Patterns'!$B$27+1),L273+1,L273),L273)</f>
        <v>5</v>
      </c>
      <c r="N274">
        <f t="shared" si="0"/>
        <v>890609664</v>
      </c>
      <c r="O274" s="3">
        <f>'Prestige Patterns'!$B$4*E274</f>
        <v>9300</v>
      </c>
      <c r="P274">
        <f t="shared" si="3"/>
        <v>4096</v>
      </c>
      <c r="Q274" s="5"/>
      <c r="R274" s="5"/>
      <c r="S274" s="3">
        <v>273</v>
      </c>
      <c r="T274" s="5"/>
    </row>
    <row r="275" spans="1:20" ht="12">
      <c r="A275" s="1"/>
      <c r="B275" s="1"/>
      <c r="C275" s="2">
        <f>(S275*'Prestige Patterns'!$B$20)/60</f>
        <v>137</v>
      </c>
      <c r="D275" s="2">
        <f>IF(L274=L275,N274*'Prestige Patterns'!$B$20+D274-F275,0)</f>
        <v>41150523737.360458</v>
      </c>
      <c r="E275" s="3">
        <f t="shared" si="1"/>
        <v>466</v>
      </c>
      <c r="F275" s="8">
        <f>'Prestige Patterns'!$B$5*('Prestige Patterns'!$B$6^E274-'Prestige Patterns'!$B$6^(E274+G275))/(1-'Prestige Patterns'!$B$6)</f>
        <v>28515701430.601856</v>
      </c>
      <c r="G275" s="8">
        <f>FLOOR(LOG('Prestige Patterns'!$B$6^(E274) - (D274*(1-'Prestige Patterns'!$B$6)/'Prestige Patterns'!$B$5),'Prestige Patterns'!$B$6)-E274,1)</f>
        <v>1</v>
      </c>
      <c r="H275">
        <f t="shared" si="2"/>
        <v>2238</v>
      </c>
      <c r="I275" s="5">
        <f>1+H275*'Prestige Patterns'!$B$25</f>
        <v>23.38</v>
      </c>
      <c r="J275">
        <f>FLOOR((K275/'Prestige Patterns'!$B$22)^'Prestige Patterns'!$B$23,1)-H274</f>
        <v>1156</v>
      </c>
      <c r="K275" s="8">
        <f>K274+N274*'Prestige Patterns'!$B$20</f>
        <v>1152104238090</v>
      </c>
      <c r="L275" s="2">
        <f>IF(J274&gt;='Prestige Patterns'!$B$28,IF(J274/(H274+1)&gt;('Prestige Patterns'!$B$27+1),L274+1,L274),L274)</f>
        <v>5</v>
      </c>
      <c r="N275">
        <f t="shared" si="0"/>
        <v>892524953.5999999</v>
      </c>
      <c r="O275" s="3">
        <f>'Prestige Patterns'!$B$4*E275</f>
        <v>9320</v>
      </c>
      <c r="P275">
        <f t="shared" si="3"/>
        <v>4096</v>
      </c>
      <c r="Q275" s="5"/>
      <c r="R275" s="5"/>
      <c r="S275" s="3">
        <v>274</v>
      </c>
      <c r="T275" s="5"/>
    </row>
    <row r="276" spans="1:20" ht="12">
      <c r="A276" s="1"/>
      <c r="B276" s="1"/>
      <c r="C276" s="2">
        <f>(S276*'Prestige Patterns'!$B$20)/60</f>
        <v>137.5</v>
      </c>
      <c r="D276" s="2">
        <f>IF(L275=L276,N275*'Prestige Patterns'!$B$20+D275-F276,0)</f>
        <v>37984785843.228455</v>
      </c>
      <c r="E276" s="3">
        <f t="shared" si="1"/>
        <v>467</v>
      </c>
      <c r="F276" s="8">
        <f>'Prestige Patterns'!$B$5*('Prestige Patterns'!$B$6^E275-'Prestige Patterns'!$B$6^(E275+G276))/(1-'Prestige Patterns'!$B$6)</f>
        <v>29941486502.132008</v>
      </c>
      <c r="G276" s="8">
        <f>FLOOR(LOG('Prestige Patterns'!$B$6^(E275) - (D275*(1-'Prestige Patterns'!$B$6)/'Prestige Patterns'!$B$5),'Prestige Patterns'!$B$6)-E275,1)</f>
        <v>1</v>
      </c>
      <c r="H276">
        <f t="shared" si="2"/>
        <v>2238</v>
      </c>
      <c r="I276" s="5">
        <f>1+H276*'Prestige Patterns'!$B$25</f>
        <v>23.38</v>
      </c>
      <c r="J276">
        <f>FLOOR((K276/'Prestige Patterns'!$B$22)^'Prestige Patterns'!$B$23,1)-H275</f>
        <v>1195</v>
      </c>
      <c r="K276" s="8">
        <f>K275+N275*'Prestige Patterns'!$B$20</f>
        <v>1178879986698</v>
      </c>
      <c r="L276" s="2">
        <f>IF(J275&gt;='Prestige Patterns'!$B$28,IF(J275/(H275+1)&gt;('Prestige Patterns'!$B$27+1),L275+1,L275),L275)</f>
        <v>5</v>
      </c>
      <c r="N276">
        <f t="shared" si="0"/>
        <v>894440243.19999993</v>
      </c>
      <c r="O276" s="3">
        <f>'Prestige Patterns'!$B$4*E276</f>
        <v>9340</v>
      </c>
      <c r="P276">
        <f t="shared" si="3"/>
        <v>4096</v>
      </c>
      <c r="Q276" s="5"/>
      <c r="R276" s="5"/>
      <c r="S276" s="3">
        <v>275</v>
      </c>
      <c r="T276" s="5"/>
    </row>
    <row r="277" spans="1:20" ht="12">
      <c r="A277" s="1"/>
      <c r="B277" s="1"/>
      <c r="C277" s="2">
        <f>(S277*'Prestige Patterns'!$B$20)/60</f>
        <v>138</v>
      </c>
      <c r="D277" s="2">
        <f>IF(L276=L277,N276*'Prestige Patterns'!$B$20+D276-F277,0)</f>
        <v>33379432311.989941</v>
      </c>
      <c r="E277" s="3">
        <f t="shared" si="1"/>
        <v>468</v>
      </c>
      <c r="F277" s="8">
        <f>'Prestige Patterns'!$B$5*('Prestige Patterns'!$B$6^E276-'Prestige Patterns'!$B$6^(E276+G277))/(1-'Prestige Patterns'!$B$6)</f>
        <v>31438560827.238514</v>
      </c>
      <c r="G277" s="8">
        <f>FLOOR(LOG('Prestige Patterns'!$B$6^(E276) - (D276*(1-'Prestige Patterns'!$B$6)/'Prestige Patterns'!$B$5),'Prestige Patterns'!$B$6)-E276,1)</f>
        <v>1</v>
      </c>
      <c r="H277">
        <f t="shared" si="2"/>
        <v>2238</v>
      </c>
      <c r="I277" s="5">
        <f>1+H277*'Prestige Patterns'!$B$25</f>
        <v>23.38</v>
      </c>
      <c r="J277">
        <f>FLOOR((K277/'Prestige Patterns'!$B$22)^'Prestige Patterns'!$B$23,1)-H276</f>
        <v>1234</v>
      </c>
      <c r="K277" s="8">
        <f>K276+N276*'Prestige Patterns'!$B$20</f>
        <v>1205713193994</v>
      </c>
      <c r="L277" s="2">
        <f>IF(J276&gt;='Prestige Patterns'!$B$28,IF(J276/(H276+1)&gt;('Prestige Patterns'!$B$27+1),L276+1,L276),L276)</f>
        <v>5</v>
      </c>
      <c r="N277">
        <f t="shared" si="0"/>
        <v>896355532.79999995</v>
      </c>
      <c r="O277" s="3">
        <f>'Prestige Patterns'!$B$4*E277</f>
        <v>9360</v>
      </c>
      <c r="P277">
        <f t="shared" si="3"/>
        <v>4096</v>
      </c>
      <c r="Q277" s="5"/>
      <c r="R277" s="5"/>
      <c r="S277" s="3">
        <v>276</v>
      </c>
      <c r="T277" s="5"/>
    </row>
    <row r="278" spans="1:20" ht="12">
      <c r="A278" s="1"/>
      <c r="B278" s="1"/>
      <c r="C278" s="2">
        <f>(S278*'Prestige Patterns'!$B$20)/60</f>
        <v>138.5</v>
      </c>
      <c r="D278" s="2">
        <f>IF(L277=L278,N277*'Prestige Patterns'!$B$20+D277-F278,0)</f>
        <v>27259609427.389359</v>
      </c>
      <c r="E278" s="3">
        <f t="shared" si="1"/>
        <v>469</v>
      </c>
      <c r="F278" s="8">
        <f>'Prestige Patterns'!$B$5*('Prestige Patterns'!$B$6^E277-'Prestige Patterns'!$B$6^(E277+G278))/(1-'Prestige Patterns'!$B$6)</f>
        <v>33010488868.600586</v>
      </c>
      <c r="G278" s="8">
        <f>FLOOR(LOG('Prestige Patterns'!$B$6^(E277) - (D277*(1-'Prestige Patterns'!$B$6)/'Prestige Patterns'!$B$5),'Prestige Patterns'!$B$6)-E277,1)</f>
        <v>1</v>
      </c>
      <c r="H278">
        <f t="shared" si="2"/>
        <v>2238</v>
      </c>
      <c r="I278" s="5">
        <f>1+H278*'Prestige Patterns'!$B$25</f>
        <v>23.38</v>
      </c>
      <c r="J278">
        <f>FLOOR((K278/'Prestige Patterns'!$B$22)^'Prestige Patterns'!$B$23,1)-H277</f>
        <v>1272</v>
      </c>
      <c r="K278" s="8">
        <f>K277+N277*'Prestige Patterns'!$B$20</f>
        <v>1232603859978</v>
      </c>
      <c r="L278" s="2">
        <f>IF(J277&gt;='Prestige Patterns'!$B$28,IF(J277/(H277+1)&gt;('Prestige Patterns'!$B$27+1),L277+1,L277),L277)</f>
        <v>5</v>
      </c>
      <c r="N278">
        <f t="shared" si="0"/>
        <v>898270822.39999998</v>
      </c>
      <c r="O278" s="3">
        <f>'Prestige Patterns'!$B$4*E278</f>
        <v>9380</v>
      </c>
      <c r="P278">
        <f t="shared" si="3"/>
        <v>4096</v>
      </c>
      <c r="Q278" s="5"/>
      <c r="R278" s="5"/>
      <c r="S278" s="3">
        <v>277</v>
      </c>
      <c r="T278" s="5"/>
    </row>
    <row r="279" spans="1:20" ht="12">
      <c r="A279" s="1"/>
      <c r="B279" s="1"/>
      <c r="C279" s="2">
        <f>(S279*'Prestige Patterns'!$B$20)/60</f>
        <v>139</v>
      </c>
      <c r="D279" s="2">
        <f>IF(L278=L279,N278*'Prestige Patterns'!$B$20+D278-F279,0)</f>
        <v>54207734099.389359</v>
      </c>
      <c r="E279" s="3">
        <f t="shared" si="1"/>
        <v>469</v>
      </c>
      <c r="F279" s="8">
        <f>'Prestige Patterns'!$B$5*('Prestige Patterns'!$B$6^E278-'Prestige Patterns'!$B$6^(E278+G279))/(1-'Prestige Patterns'!$B$6)</f>
        <v>0</v>
      </c>
      <c r="G279" s="8">
        <f>FLOOR(LOG('Prestige Patterns'!$B$6^(E278) - (D278*(1-'Prestige Patterns'!$B$6)/'Prestige Patterns'!$B$5),'Prestige Patterns'!$B$6)-E278,1)</f>
        <v>0</v>
      </c>
      <c r="H279">
        <f t="shared" si="2"/>
        <v>2238</v>
      </c>
      <c r="I279" s="5">
        <f>1+H279*'Prestige Patterns'!$B$25</f>
        <v>23.38</v>
      </c>
      <c r="J279">
        <f>FLOOR((K279/'Prestige Patterns'!$B$22)^'Prestige Patterns'!$B$23,1)-H278</f>
        <v>1311</v>
      </c>
      <c r="K279" s="8">
        <f>K278+N278*'Prestige Patterns'!$B$20</f>
        <v>1259551984650</v>
      </c>
      <c r="L279" s="2">
        <f>IF(J278&gt;='Prestige Patterns'!$B$28,IF(J278/(H278+1)&gt;('Prestige Patterns'!$B$27+1),L278+1,L278),L278)</f>
        <v>5</v>
      </c>
      <c r="N279">
        <f t="shared" si="0"/>
        <v>898270822.39999998</v>
      </c>
      <c r="O279" s="3">
        <f>'Prestige Patterns'!$B$4*E279</f>
        <v>9380</v>
      </c>
      <c r="P279">
        <f t="shared" si="3"/>
        <v>4096</v>
      </c>
      <c r="Q279" s="5"/>
      <c r="R279" s="5"/>
      <c r="S279" s="3">
        <v>278</v>
      </c>
      <c r="T279" s="5"/>
    </row>
    <row r="280" spans="1:20" ht="12">
      <c r="A280" s="1"/>
      <c r="B280" s="1"/>
      <c r="C280" s="2">
        <f>(S280*'Prestige Patterns'!$B$20)/60</f>
        <v>139.5</v>
      </c>
      <c r="D280" s="2">
        <f>IF(L279=L280,N279*'Prestige Patterns'!$B$20+D279-F280,0)</f>
        <v>46494845459.359055</v>
      </c>
      <c r="E280" s="3">
        <f t="shared" si="1"/>
        <v>470</v>
      </c>
      <c r="F280" s="8">
        <f>'Prestige Patterns'!$B$5*('Prestige Patterns'!$B$6^E279-'Prestige Patterns'!$B$6^(E279+G280))/(1-'Prestige Patterns'!$B$6)</f>
        <v>34661013312.030304</v>
      </c>
      <c r="G280" s="8">
        <f>FLOOR(LOG('Prestige Patterns'!$B$6^(E279) - (D279*(1-'Prestige Patterns'!$B$6)/'Prestige Patterns'!$B$5),'Prestige Patterns'!$B$6)-E279,1)</f>
        <v>1</v>
      </c>
      <c r="H280">
        <f t="shared" si="2"/>
        <v>2238</v>
      </c>
      <c r="I280" s="5">
        <f>1+H280*'Prestige Patterns'!$B$25</f>
        <v>23.38</v>
      </c>
      <c r="J280">
        <f>FLOOR((K280/'Prestige Patterns'!$B$22)^'Prestige Patterns'!$B$23,1)-H279</f>
        <v>1348</v>
      </c>
      <c r="K280" s="8">
        <f>K279+N279*'Prestige Patterns'!$B$20</f>
        <v>1286500109322</v>
      </c>
      <c r="L280" s="2">
        <f>IF(J279&gt;='Prestige Patterns'!$B$28,IF(J279/(H279+1)&gt;('Prestige Patterns'!$B$27+1),L279+1,L279),L279)</f>
        <v>5</v>
      </c>
      <c r="N280">
        <f t="shared" si="0"/>
        <v>900186112</v>
      </c>
      <c r="O280" s="3">
        <f>'Prestige Patterns'!$B$4*E280</f>
        <v>9400</v>
      </c>
      <c r="P280">
        <f t="shared" si="3"/>
        <v>4096</v>
      </c>
      <c r="Q280" s="5"/>
      <c r="R280" s="5"/>
      <c r="S280" s="3">
        <v>279</v>
      </c>
      <c r="T280" s="5"/>
    </row>
    <row r="281" spans="1:20" ht="12">
      <c r="A281" s="1"/>
      <c r="B281" s="1"/>
      <c r="C281" s="2">
        <f>(S281*'Prestige Patterns'!$B$20)/60</f>
        <v>140</v>
      </c>
      <c r="D281" s="2">
        <f>IF(L280=L281,N280*'Prestige Patterns'!$B$20+D280-F281,0)</f>
        <v>37106364841.726791</v>
      </c>
      <c r="E281" s="3">
        <f t="shared" si="1"/>
        <v>471</v>
      </c>
      <c r="F281" s="8">
        <f>'Prestige Patterns'!$B$5*('Prestige Patterns'!$B$6^E280-'Prestige Patterns'!$B$6^(E280+G281))/(1-'Prestige Patterns'!$B$6)</f>
        <v>36394063977.632263</v>
      </c>
      <c r="G281" s="8">
        <f>FLOOR(LOG('Prestige Patterns'!$B$6^(E280) - (D280*(1-'Prestige Patterns'!$B$6)/'Prestige Patterns'!$B$5),'Prestige Patterns'!$B$6)-E280,1)</f>
        <v>1</v>
      </c>
      <c r="H281">
        <f t="shared" si="2"/>
        <v>2238</v>
      </c>
      <c r="I281" s="5">
        <f>1+H281*'Prestige Patterns'!$B$25</f>
        <v>23.38</v>
      </c>
      <c r="J281">
        <f>FLOOR((K281/'Prestige Patterns'!$B$22)^'Prestige Patterns'!$B$23,1)-H280</f>
        <v>1386</v>
      </c>
      <c r="K281" s="8">
        <f>K280+N280*'Prestige Patterns'!$B$20</f>
        <v>1313505692682</v>
      </c>
      <c r="L281" s="2">
        <f>IF(J280&gt;='Prestige Patterns'!$B$28,IF(J280/(H280+1)&gt;('Prestige Patterns'!$B$27+1),L280+1,L280),L280)</f>
        <v>5</v>
      </c>
      <c r="N281">
        <f t="shared" si="0"/>
        <v>902101401.5999999</v>
      </c>
      <c r="O281" s="3">
        <f>'Prestige Patterns'!$B$4*E281</f>
        <v>9420</v>
      </c>
      <c r="P281">
        <f t="shared" si="3"/>
        <v>4096</v>
      </c>
      <c r="Q281" s="5"/>
      <c r="R281" s="5"/>
      <c r="S281" s="3">
        <v>280</v>
      </c>
      <c r="T281" s="5"/>
    </row>
    <row r="282" spans="1:20" ht="12">
      <c r="A282" s="1"/>
      <c r="B282" s="1"/>
      <c r="C282" s="2">
        <f>(S282*'Prestige Patterns'!$B$20)/60</f>
        <v>140.5</v>
      </c>
      <c r="D282" s="2">
        <f>IF(L281=L282,N281*'Prestige Patterns'!$B$20+D281-F282,0)</f>
        <v>64169406889.726791</v>
      </c>
      <c r="E282" s="3">
        <f t="shared" si="1"/>
        <v>471</v>
      </c>
      <c r="F282" s="8">
        <f>'Prestige Patterns'!$B$5*('Prestige Patterns'!$B$6^E281-'Prestige Patterns'!$B$6^(E281+G282))/(1-'Prestige Patterns'!$B$6)</f>
        <v>0</v>
      </c>
      <c r="G282" s="8">
        <f>FLOOR(LOG('Prestige Patterns'!$B$6^(E281) - (D281*(1-'Prestige Patterns'!$B$6)/'Prestige Patterns'!$B$5),'Prestige Patterns'!$B$6)-E281,1)</f>
        <v>0</v>
      </c>
      <c r="H282">
        <f t="shared" si="2"/>
        <v>2238</v>
      </c>
      <c r="I282" s="5">
        <f>1+H282*'Prestige Patterns'!$B$25</f>
        <v>23.38</v>
      </c>
      <c r="J282">
        <f>FLOOR((K282/'Prestige Patterns'!$B$22)^'Prestige Patterns'!$B$23,1)-H281</f>
        <v>1423</v>
      </c>
      <c r="K282" s="8">
        <f>K281+N281*'Prestige Patterns'!$B$20</f>
        <v>1340568734730</v>
      </c>
      <c r="L282" s="2">
        <f>IF(J281&gt;='Prestige Patterns'!$B$28,IF(J281/(H281+1)&gt;('Prestige Patterns'!$B$27+1),L281+1,L281),L281)</f>
        <v>5</v>
      </c>
      <c r="N282">
        <f t="shared" si="0"/>
        <v>902101401.5999999</v>
      </c>
      <c r="O282" s="3">
        <f>'Prestige Patterns'!$B$4*E282</f>
        <v>9420</v>
      </c>
      <c r="P282">
        <f t="shared" si="3"/>
        <v>4096</v>
      </c>
      <c r="Q282" s="5"/>
      <c r="R282" s="5"/>
      <c r="S282" s="3">
        <v>281</v>
      </c>
      <c r="T282" s="5"/>
    </row>
    <row r="283" spans="1:20" ht="12">
      <c r="A283" s="1"/>
      <c r="B283" s="1"/>
      <c r="C283" s="2">
        <f>(S283*'Prestige Patterns'!$B$20)/60</f>
        <v>141</v>
      </c>
      <c r="D283" s="2">
        <f>IF(L282=L283,N282*'Prestige Patterns'!$B$20+D282-F283,0)</f>
        <v>53018681761.213303</v>
      </c>
      <c r="E283" s="3">
        <f t="shared" si="1"/>
        <v>472</v>
      </c>
      <c r="F283" s="8">
        <f>'Prestige Patterns'!$B$5*('Prestige Patterns'!$B$6^E282-'Prestige Patterns'!$B$6^(E282+G283))/(1-'Prestige Patterns'!$B$6)</f>
        <v>38213767176.513489</v>
      </c>
      <c r="G283" s="8">
        <f>FLOOR(LOG('Prestige Patterns'!$B$6^(E282) - (D282*(1-'Prestige Patterns'!$B$6)/'Prestige Patterns'!$B$5),'Prestige Patterns'!$B$6)-E282,1)</f>
        <v>1</v>
      </c>
      <c r="H283">
        <f t="shared" si="2"/>
        <v>2238</v>
      </c>
      <c r="I283" s="5">
        <f>1+H283*'Prestige Patterns'!$B$25</f>
        <v>23.38</v>
      </c>
      <c r="J283">
        <f>FLOOR((K283/'Prestige Patterns'!$B$22)^'Prestige Patterns'!$B$23,1)-H282</f>
        <v>1460</v>
      </c>
      <c r="K283" s="8">
        <f>K282+N282*'Prestige Patterns'!$B$20</f>
        <v>1367631776778</v>
      </c>
      <c r="L283" s="2">
        <f>IF(J282&gt;='Prestige Patterns'!$B$28,IF(J282/(H282+1)&gt;('Prestige Patterns'!$B$27+1),L282+1,L282),L282)</f>
        <v>5</v>
      </c>
      <c r="N283">
        <f t="shared" si="0"/>
        <v>904016691.19999993</v>
      </c>
      <c r="O283" s="3">
        <f>'Prestige Patterns'!$B$4*E283</f>
        <v>9440</v>
      </c>
      <c r="P283">
        <f t="shared" si="3"/>
        <v>4096</v>
      </c>
      <c r="Q283" s="5"/>
      <c r="R283" s="5"/>
      <c r="S283" s="3">
        <v>282</v>
      </c>
      <c r="T283" s="5"/>
    </row>
    <row r="284" spans="1:20" ht="12">
      <c r="A284" s="1"/>
      <c r="B284" s="1"/>
      <c r="C284" s="2">
        <f>(S284*'Prestige Patterns'!$B$20)/60</f>
        <v>141.5</v>
      </c>
      <c r="D284" s="2">
        <f>IF(L283=L284,N283*'Prestige Patterns'!$B$20+D283-F284,0)</f>
        <v>40014726961.873833</v>
      </c>
      <c r="E284" s="3">
        <f t="shared" si="1"/>
        <v>473</v>
      </c>
      <c r="F284" s="8">
        <f>'Prestige Patterns'!$B$5*('Prestige Patterns'!$B$6^E283-'Prestige Patterns'!$B$6^(E283+G284))/(1-'Prestige Patterns'!$B$6)</f>
        <v>40124455535.33947</v>
      </c>
      <c r="G284" s="8">
        <f>FLOOR(LOG('Prestige Patterns'!$B$6^(E283) - (D283*(1-'Prestige Patterns'!$B$6)/'Prestige Patterns'!$B$5),'Prestige Patterns'!$B$6)-E283,1)</f>
        <v>1</v>
      </c>
      <c r="H284">
        <f t="shared" si="2"/>
        <v>2238</v>
      </c>
      <c r="I284" s="5">
        <f>1+H284*'Prestige Patterns'!$B$25</f>
        <v>23.38</v>
      </c>
      <c r="J284">
        <f>FLOOR((K284/'Prestige Patterns'!$B$22)^'Prestige Patterns'!$B$23,1)-H283</f>
        <v>1496</v>
      </c>
      <c r="K284" s="8">
        <f>K283+N283*'Prestige Patterns'!$B$20</f>
        <v>1394752277514</v>
      </c>
      <c r="L284" s="2">
        <f>IF(J283&gt;='Prestige Patterns'!$B$28,IF(J283/(H283+1)&gt;('Prestige Patterns'!$B$27+1),L283+1,L283),L283)</f>
        <v>5</v>
      </c>
      <c r="N284">
        <f t="shared" si="0"/>
        <v>905931980.79999995</v>
      </c>
      <c r="O284" s="3">
        <f>'Prestige Patterns'!$B$4*E284</f>
        <v>9460</v>
      </c>
      <c r="P284">
        <f t="shared" si="3"/>
        <v>4096</v>
      </c>
      <c r="Q284" s="5"/>
      <c r="R284" s="5"/>
      <c r="S284" s="3">
        <v>283</v>
      </c>
      <c r="T284" s="5"/>
    </row>
    <row r="285" spans="1:20" ht="12">
      <c r="A285" s="1"/>
      <c r="B285" s="1"/>
      <c r="C285" s="2">
        <f>(S285*'Prestige Patterns'!$B$20)/60</f>
        <v>142</v>
      </c>
      <c r="D285" s="2">
        <f>IF(L284=L285,N284*'Prestige Patterns'!$B$20+D284-F285,0)</f>
        <v>67192686385.873833</v>
      </c>
      <c r="E285" s="3">
        <f t="shared" si="1"/>
        <v>473</v>
      </c>
      <c r="F285" s="8">
        <f>'Prestige Patterns'!$B$5*('Prestige Patterns'!$B$6^E284-'Prestige Patterns'!$B$6^(E284+G285))/(1-'Prestige Patterns'!$B$6)</f>
        <v>0</v>
      </c>
      <c r="G285" s="8">
        <f>FLOOR(LOG('Prestige Patterns'!$B$6^(E284) - (D284*(1-'Prestige Patterns'!$B$6)/'Prestige Patterns'!$B$5),'Prestige Patterns'!$B$6)-E284,1)</f>
        <v>0</v>
      </c>
      <c r="H285">
        <f t="shared" si="2"/>
        <v>2238</v>
      </c>
      <c r="I285" s="5">
        <f>1+H285*'Prestige Patterns'!$B$25</f>
        <v>23.38</v>
      </c>
      <c r="J285">
        <f>FLOOR((K285/'Prestige Patterns'!$B$22)^'Prestige Patterns'!$B$23,1)-H284</f>
        <v>1532</v>
      </c>
      <c r="K285" s="8">
        <f>K284+N284*'Prestige Patterns'!$B$20</f>
        <v>1421930236938</v>
      </c>
      <c r="L285" s="2">
        <f>IF(J284&gt;='Prestige Patterns'!$B$28,IF(J284/(H284+1)&gt;('Prestige Patterns'!$B$27+1),L284+1,L284),L284)</f>
        <v>5</v>
      </c>
      <c r="N285">
        <f t="shared" si="0"/>
        <v>905931980.79999995</v>
      </c>
      <c r="O285" s="3">
        <f>'Prestige Patterns'!$B$4*E285</f>
        <v>9460</v>
      </c>
      <c r="P285">
        <f t="shared" si="3"/>
        <v>4096</v>
      </c>
      <c r="Q285" s="5"/>
      <c r="R285" s="5"/>
      <c r="S285" s="3">
        <v>284</v>
      </c>
      <c r="T285" s="5"/>
    </row>
    <row r="286" spans="1:20" ht="12">
      <c r="A286" s="1"/>
      <c r="B286" s="1"/>
      <c r="C286" s="2">
        <f>(S286*'Prestige Patterns'!$B$20)/60</f>
        <v>142.5</v>
      </c>
      <c r="D286" s="2">
        <f>IF(L285=L286,N285*'Prestige Patterns'!$B$20+D285-F286,0)</f>
        <v>52239967497.767555</v>
      </c>
      <c r="E286" s="3">
        <f t="shared" si="1"/>
        <v>474</v>
      </c>
      <c r="F286" s="8">
        <f>'Prestige Patterns'!$B$5*('Prestige Patterns'!$B$6^E285-'Prestige Patterns'!$B$6^(E285+G286))/(1-'Prestige Patterns'!$B$6)</f>
        <v>42130678312.106285</v>
      </c>
      <c r="G286" s="8">
        <f>FLOOR(LOG('Prestige Patterns'!$B$6^(E285) - (D285*(1-'Prestige Patterns'!$B$6)/'Prestige Patterns'!$B$5),'Prestige Patterns'!$B$6)-E285,1)</f>
        <v>1</v>
      </c>
      <c r="H286">
        <f t="shared" si="2"/>
        <v>2238</v>
      </c>
      <c r="I286" s="5">
        <f>1+H286*'Prestige Patterns'!$B$25</f>
        <v>23.38</v>
      </c>
      <c r="J286">
        <f>FLOOR((K286/'Prestige Patterns'!$B$22)^'Prestige Patterns'!$B$23,1)-H285</f>
        <v>1568</v>
      </c>
      <c r="K286" s="8">
        <f>K285+N285*'Prestige Patterns'!$B$20</f>
        <v>1449108196362</v>
      </c>
      <c r="L286" s="2">
        <f>IF(J285&gt;='Prestige Patterns'!$B$28,IF(J285/(H285+1)&gt;('Prestige Patterns'!$B$27+1),L285+1,L285),L285)</f>
        <v>5</v>
      </c>
      <c r="N286">
        <f t="shared" si="0"/>
        <v>907847270.39999998</v>
      </c>
      <c r="O286" s="3">
        <f>'Prestige Patterns'!$B$4*E286</f>
        <v>9480</v>
      </c>
      <c r="P286">
        <f t="shared" si="3"/>
        <v>4096</v>
      </c>
      <c r="Q286" s="5"/>
      <c r="R286" s="5"/>
      <c r="S286" s="3">
        <v>285</v>
      </c>
      <c r="T286" s="5"/>
    </row>
    <row r="287" spans="1:20" ht="12">
      <c r="A287" s="1"/>
      <c r="B287" s="1"/>
      <c r="C287" s="2">
        <f>(S287*'Prestige Patterns'!$B$20)/60</f>
        <v>143</v>
      </c>
      <c r="D287" s="2">
        <f>IF(L286=L287,N286*'Prestige Patterns'!$B$20+D286-F287,0)</f>
        <v>35238173382.055641</v>
      </c>
      <c r="E287" s="3">
        <f t="shared" si="1"/>
        <v>475</v>
      </c>
      <c r="F287" s="8">
        <f>'Prestige Patterns'!$B$5*('Prestige Patterns'!$B$6^E286-'Prestige Patterns'!$B$6^(E286+G287))/(1-'Prestige Patterns'!$B$6)</f>
        <v>44237212227.711906</v>
      </c>
      <c r="G287" s="8">
        <f>FLOOR(LOG('Prestige Patterns'!$B$6^(E286) - (D286*(1-'Prestige Patterns'!$B$6)/'Prestige Patterns'!$B$5),'Prestige Patterns'!$B$6)-E286,1)</f>
        <v>1</v>
      </c>
      <c r="H287">
        <f t="shared" si="2"/>
        <v>2238</v>
      </c>
      <c r="I287" s="5">
        <f>1+H287*'Prestige Patterns'!$B$25</f>
        <v>23.38</v>
      </c>
      <c r="J287">
        <f>FLOOR((K287/'Prestige Patterns'!$B$22)^'Prestige Patterns'!$B$23,1)-H286</f>
        <v>1604</v>
      </c>
      <c r="K287" s="8">
        <f>K286+N286*'Prestige Patterns'!$B$20</f>
        <v>1476343614474</v>
      </c>
      <c r="L287" s="2">
        <f>IF(J286&gt;='Prestige Patterns'!$B$28,IF(J286/(H286+1)&gt;('Prestige Patterns'!$B$27+1),L286+1,L286),L286)</f>
        <v>5</v>
      </c>
      <c r="N287">
        <f t="shared" si="0"/>
        <v>909762560</v>
      </c>
      <c r="O287" s="3">
        <f>'Prestige Patterns'!$B$4*E287</f>
        <v>9500</v>
      </c>
      <c r="P287">
        <f t="shared" si="3"/>
        <v>4096</v>
      </c>
      <c r="Q287" s="5"/>
      <c r="R287" s="5"/>
      <c r="S287" s="3">
        <v>286</v>
      </c>
      <c r="T287" s="5"/>
    </row>
    <row r="288" spans="1:20" ht="12">
      <c r="A288" s="1"/>
      <c r="B288" s="1"/>
      <c r="C288" s="2">
        <f>(S288*'Prestige Patterns'!$B$20)/60</f>
        <v>143.5</v>
      </c>
      <c r="D288" s="2">
        <f>IF(L287=L288,N287*'Prestige Patterns'!$B$20+D287-F288,0)</f>
        <v>62531050182.055641</v>
      </c>
      <c r="E288" s="3">
        <f t="shared" si="1"/>
        <v>475</v>
      </c>
      <c r="F288" s="8">
        <f>'Prestige Patterns'!$B$5*('Prestige Patterns'!$B$6^E287-'Prestige Patterns'!$B$6^(E287+G288))/(1-'Prestige Patterns'!$B$6)</f>
        <v>0</v>
      </c>
      <c r="G288" s="8">
        <f>FLOOR(LOG('Prestige Patterns'!$B$6^(E287) - (D287*(1-'Prestige Patterns'!$B$6)/'Prestige Patterns'!$B$5),'Prestige Patterns'!$B$6)-E287,1)</f>
        <v>0</v>
      </c>
      <c r="H288">
        <f t="shared" si="2"/>
        <v>2238</v>
      </c>
      <c r="I288" s="5">
        <f>1+H288*'Prestige Patterns'!$B$25</f>
        <v>23.38</v>
      </c>
      <c r="J288">
        <f>FLOOR((K288/'Prestige Patterns'!$B$22)^'Prestige Patterns'!$B$23,1)-H287</f>
        <v>1639</v>
      </c>
      <c r="K288" s="8">
        <f>K287+N287*'Prestige Patterns'!$B$20</f>
        <v>1503636491274</v>
      </c>
      <c r="L288" s="2">
        <f>IF(J287&gt;='Prestige Patterns'!$B$28,IF(J287/(H287+1)&gt;('Prestige Patterns'!$B$27+1),L287+1,L287),L287)</f>
        <v>5</v>
      </c>
      <c r="N288">
        <f t="shared" si="0"/>
        <v>909762560</v>
      </c>
      <c r="O288" s="3">
        <f>'Prestige Patterns'!$B$4*E288</f>
        <v>9500</v>
      </c>
      <c r="P288">
        <f t="shared" si="3"/>
        <v>4096</v>
      </c>
      <c r="Q288" s="5"/>
      <c r="R288" s="5"/>
      <c r="S288" s="3">
        <v>287</v>
      </c>
      <c r="T288" s="5"/>
    </row>
    <row r="289" spans="1:20" ht="12">
      <c r="A289" s="1"/>
      <c r="B289" s="1"/>
      <c r="C289" s="2">
        <f>(S289*'Prestige Patterns'!$B$20)/60</f>
        <v>144</v>
      </c>
      <c r="D289" s="2">
        <f>IF(L288=L289,N288*'Prestige Patterns'!$B$20+D288-F289,0)</f>
        <v>43374854142.958687</v>
      </c>
      <c r="E289" s="3">
        <f t="shared" si="1"/>
        <v>476</v>
      </c>
      <c r="F289" s="8">
        <f>'Prestige Patterns'!$B$5*('Prestige Patterns'!$B$6^E288-'Prestige Patterns'!$B$6^(E288+G289))/(1-'Prestige Patterns'!$B$6)</f>
        <v>46449072839.096947</v>
      </c>
      <c r="G289" s="8">
        <f>FLOOR(LOG('Prestige Patterns'!$B$6^(E288) - (D288*(1-'Prestige Patterns'!$B$6)/'Prestige Patterns'!$B$5),'Prestige Patterns'!$B$6)-E288,1)</f>
        <v>1</v>
      </c>
      <c r="H289">
        <f t="shared" si="2"/>
        <v>2238</v>
      </c>
      <c r="I289" s="5">
        <f>1+H289*'Prestige Patterns'!$B$25</f>
        <v>23.38</v>
      </c>
      <c r="J289">
        <f>FLOOR((K289/'Prestige Patterns'!$B$22)^'Prestige Patterns'!$B$23,1)-H288</f>
        <v>1674</v>
      </c>
      <c r="K289" s="8">
        <f>K288+N288*'Prestige Patterns'!$B$20</f>
        <v>1530929368074</v>
      </c>
      <c r="L289" s="2">
        <f>IF(J288&gt;='Prestige Patterns'!$B$28,IF(J288/(H288+1)&gt;('Prestige Patterns'!$B$27+1),L288+1,L288),L288)</f>
        <v>5</v>
      </c>
      <c r="N289">
        <f t="shared" si="0"/>
        <v>911677849.5999999</v>
      </c>
      <c r="O289" s="3">
        <f>'Prestige Patterns'!$B$4*E289</f>
        <v>9520</v>
      </c>
      <c r="P289">
        <f t="shared" si="3"/>
        <v>4096</v>
      </c>
      <c r="Q289" s="5"/>
      <c r="R289" s="5"/>
      <c r="S289" s="3">
        <v>288</v>
      </c>
      <c r="T289" s="5"/>
    </row>
    <row r="290" spans="1:20" ht="12">
      <c r="A290" s="1"/>
      <c r="B290" s="1"/>
      <c r="C290" s="2">
        <f>(S290*'Prestige Patterns'!$B$20)/60</f>
        <v>144.5</v>
      </c>
      <c r="D290" s="2">
        <f>IF(L289=L290,N289*'Prestige Patterns'!$B$20+D289-F290,0)</f>
        <v>70725189630.958679</v>
      </c>
      <c r="E290" s="3">
        <f t="shared" si="1"/>
        <v>476</v>
      </c>
      <c r="F290" s="8">
        <f>'Prestige Patterns'!$B$5*('Prestige Patterns'!$B$6^E289-'Prestige Patterns'!$B$6^(E289+G290))/(1-'Prestige Patterns'!$B$6)</f>
        <v>0</v>
      </c>
      <c r="G290" s="8">
        <f>FLOOR(LOG('Prestige Patterns'!$B$6^(E289) - (D289*(1-'Prestige Patterns'!$B$6)/'Prestige Patterns'!$B$5),'Prestige Patterns'!$B$6)-E289,1)</f>
        <v>0</v>
      </c>
      <c r="H290">
        <f t="shared" si="2"/>
        <v>2238</v>
      </c>
      <c r="I290" s="5">
        <f>1+H290*'Prestige Patterns'!$B$25</f>
        <v>23.38</v>
      </c>
      <c r="J290">
        <f>FLOOR((K290/'Prestige Patterns'!$B$22)^'Prestige Patterns'!$B$23,1)-H289</f>
        <v>1709</v>
      </c>
      <c r="K290" s="8">
        <f>K289+N289*'Prestige Patterns'!$B$20</f>
        <v>1558279703562</v>
      </c>
      <c r="L290" s="2">
        <f>IF(J289&gt;='Prestige Patterns'!$B$28,IF(J289/(H289+1)&gt;('Prestige Patterns'!$B$27+1),L289+1,L289),L289)</f>
        <v>5</v>
      </c>
      <c r="N290">
        <f t="shared" si="0"/>
        <v>911677849.5999999</v>
      </c>
      <c r="O290" s="3">
        <f>'Prestige Patterns'!$B$4*E290</f>
        <v>9520</v>
      </c>
      <c r="P290">
        <f t="shared" si="3"/>
        <v>4096</v>
      </c>
      <c r="Q290" s="5"/>
      <c r="R290" s="5"/>
      <c r="S290" s="3">
        <v>289</v>
      </c>
      <c r="T290" s="5"/>
    </row>
    <row r="291" spans="1:20" ht="12">
      <c r="A291" s="1"/>
      <c r="B291" s="1"/>
      <c r="C291" s="2">
        <f>(S291*'Prestige Patterns'!$B$20)/60</f>
        <v>145</v>
      </c>
      <c r="D291" s="2">
        <f>IF(L290=L291,N290*'Prestige Patterns'!$B$20+D290-F291,0)</f>
        <v>49303998637.906326</v>
      </c>
      <c r="E291" s="3">
        <f t="shared" si="1"/>
        <v>477</v>
      </c>
      <c r="F291" s="8">
        <f>'Prestige Patterns'!$B$5*('Prestige Patterns'!$B$6^E290-'Prestige Patterns'!$B$6^(E290+G291))/(1-'Prestige Patterns'!$B$6)</f>
        <v>48771526481.052353</v>
      </c>
      <c r="G291" s="8">
        <f>FLOOR(LOG('Prestige Patterns'!$B$6^(E290) - (D290*(1-'Prestige Patterns'!$B$6)/'Prestige Patterns'!$B$5),'Prestige Patterns'!$B$6)-E290,1)</f>
        <v>1</v>
      </c>
      <c r="H291">
        <f t="shared" si="2"/>
        <v>2238</v>
      </c>
      <c r="I291" s="5">
        <f>1+H291*'Prestige Patterns'!$B$25</f>
        <v>23.38</v>
      </c>
      <c r="J291">
        <f>FLOOR((K291/'Prestige Patterns'!$B$22)^'Prestige Patterns'!$B$23,1)-H290</f>
        <v>1743</v>
      </c>
      <c r="K291" s="8">
        <f>K290+N290*'Prestige Patterns'!$B$20</f>
        <v>1585630039050</v>
      </c>
      <c r="L291" s="2">
        <f>IF(J290&gt;='Prestige Patterns'!$B$28,IF(J290/(H290+1)&gt;('Prestige Patterns'!$B$27+1),L290+1,L290),L290)</f>
        <v>5</v>
      </c>
      <c r="N291">
        <f t="shared" si="0"/>
        <v>913593139.19999993</v>
      </c>
      <c r="O291" s="3">
        <f>'Prestige Patterns'!$B$4*E291</f>
        <v>9540</v>
      </c>
      <c r="P291">
        <f t="shared" si="3"/>
        <v>4096</v>
      </c>
      <c r="Q291" s="5"/>
      <c r="R291" s="5"/>
      <c r="S291" s="3">
        <v>290</v>
      </c>
      <c r="T291" s="5"/>
    </row>
    <row r="292" spans="1:20" ht="12">
      <c r="A292" s="1"/>
      <c r="B292" s="1"/>
      <c r="C292" s="2">
        <f>(S292*'Prestige Patterns'!$B$20)/60</f>
        <v>145.5</v>
      </c>
      <c r="D292" s="2">
        <f>IF(L291=L292,N291*'Prestige Patterns'!$B$20+D291-F292,0)</f>
        <v>76711792813.906326</v>
      </c>
      <c r="E292" s="3">
        <f t="shared" si="1"/>
        <v>477</v>
      </c>
      <c r="F292" s="8">
        <f>'Prestige Patterns'!$B$5*('Prestige Patterns'!$B$6^E291-'Prestige Patterns'!$B$6^(E291+G292))/(1-'Prestige Patterns'!$B$6)</f>
        <v>0</v>
      </c>
      <c r="G292" s="8">
        <f>FLOOR(LOG('Prestige Patterns'!$B$6^(E291) - (D291*(1-'Prestige Patterns'!$B$6)/'Prestige Patterns'!$B$5),'Prestige Patterns'!$B$6)-E291,1)</f>
        <v>0</v>
      </c>
      <c r="H292">
        <f t="shared" si="2"/>
        <v>2238</v>
      </c>
      <c r="I292" s="5">
        <f>1+H292*'Prestige Patterns'!$B$25</f>
        <v>23.38</v>
      </c>
      <c r="J292">
        <f>FLOOR((K292/'Prestige Patterns'!$B$22)^'Prestige Patterns'!$B$23,1)-H291</f>
        <v>1778</v>
      </c>
      <c r="K292" s="8">
        <f>K291+N291*'Prestige Patterns'!$B$20</f>
        <v>1613037833226</v>
      </c>
      <c r="L292" s="2">
        <f>IF(J291&gt;='Prestige Patterns'!$B$28,IF(J291/(H291+1)&gt;('Prestige Patterns'!$B$27+1),L291+1,L291),L291)</f>
        <v>5</v>
      </c>
      <c r="N292">
        <f t="shared" si="0"/>
        <v>913593139.19999993</v>
      </c>
      <c r="O292" s="3">
        <f>'Prestige Patterns'!$B$4*E292</f>
        <v>9540</v>
      </c>
      <c r="P292">
        <f t="shared" si="3"/>
        <v>4096</v>
      </c>
      <c r="Q292" s="5"/>
      <c r="R292" s="5"/>
      <c r="S292" s="3">
        <v>291</v>
      </c>
      <c r="T292" s="5"/>
    </row>
    <row r="293" spans="1:20" ht="12">
      <c r="A293" s="1"/>
      <c r="B293" s="1"/>
      <c r="C293" s="2">
        <f>(S293*'Prestige Patterns'!$B$20)/60</f>
        <v>146</v>
      </c>
      <c r="D293" s="2">
        <f>IF(L292=L293,N292*'Prestige Patterns'!$B$20+D292-F293,0)</f>
        <v>52909484184.802155</v>
      </c>
      <c r="E293" s="3">
        <f t="shared" si="1"/>
        <v>478</v>
      </c>
      <c r="F293" s="8">
        <f>'Prestige Patterns'!$B$5*('Prestige Patterns'!$B$6^E292-'Prestige Patterns'!$B$6^(E292+G293))/(1-'Prestige Patterns'!$B$6)</f>
        <v>51210102805.104172</v>
      </c>
      <c r="G293" s="8">
        <f>FLOOR(LOG('Prestige Patterns'!$B$6^(E292) - (D292*(1-'Prestige Patterns'!$B$6)/'Prestige Patterns'!$B$5),'Prestige Patterns'!$B$6)-E292,1)</f>
        <v>1</v>
      </c>
      <c r="H293">
        <f t="shared" si="2"/>
        <v>2238</v>
      </c>
      <c r="I293" s="5">
        <f>1+H293*'Prestige Patterns'!$B$25</f>
        <v>23.38</v>
      </c>
      <c r="J293">
        <f>FLOOR((K293/'Prestige Patterns'!$B$22)^'Prestige Patterns'!$B$23,1)-H292</f>
        <v>1812</v>
      </c>
      <c r="K293" s="8">
        <f>K292+N292*'Prestige Patterns'!$B$20</f>
        <v>1640445627402</v>
      </c>
      <c r="L293" s="2">
        <f>IF(J292&gt;='Prestige Patterns'!$B$28,IF(J292/(H292+1)&gt;('Prestige Patterns'!$B$27+1),L292+1,L292),L292)</f>
        <v>5</v>
      </c>
      <c r="N293">
        <f t="shared" si="0"/>
        <v>915508428.79999995</v>
      </c>
      <c r="O293" s="3">
        <f>'Prestige Patterns'!$B$4*E293</f>
        <v>9560</v>
      </c>
      <c r="P293">
        <f t="shared" si="3"/>
        <v>4096</v>
      </c>
      <c r="Q293" s="5"/>
      <c r="R293" s="5"/>
      <c r="S293" s="3">
        <v>292</v>
      </c>
      <c r="T293" s="5"/>
    </row>
    <row r="294" spans="1:20" ht="12">
      <c r="A294" s="1"/>
      <c r="B294" s="1"/>
      <c r="C294" s="2">
        <f>(S294*'Prestige Patterns'!$B$20)/60</f>
        <v>146.5</v>
      </c>
      <c r="D294" s="2">
        <f>IF(L293=L294,N293*'Prestige Patterns'!$B$20+D293-F294,0)</f>
        <v>80374737048.802155</v>
      </c>
      <c r="E294" s="3">
        <f t="shared" si="1"/>
        <v>478</v>
      </c>
      <c r="F294" s="8">
        <f>'Prestige Patterns'!$B$5*('Prestige Patterns'!$B$6^E293-'Prestige Patterns'!$B$6^(E293+G294))/(1-'Prestige Patterns'!$B$6)</f>
        <v>0</v>
      </c>
      <c r="G294" s="8">
        <f>FLOOR(LOG('Prestige Patterns'!$B$6^(E293) - (D293*(1-'Prestige Patterns'!$B$6)/'Prestige Patterns'!$B$5),'Prestige Patterns'!$B$6)-E293,1)</f>
        <v>0</v>
      </c>
      <c r="H294">
        <f t="shared" si="2"/>
        <v>2238</v>
      </c>
      <c r="I294" s="5">
        <f>1+H294*'Prestige Patterns'!$B$25</f>
        <v>23.38</v>
      </c>
      <c r="J294">
        <f>FLOOR((K294/'Prestige Patterns'!$B$22)^'Prestige Patterns'!$B$23,1)-H293</f>
        <v>1846</v>
      </c>
      <c r="K294" s="8">
        <f>K293+N293*'Prestige Patterns'!$B$20</f>
        <v>1667910880266</v>
      </c>
      <c r="L294" s="2">
        <f>IF(J293&gt;='Prestige Patterns'!$B$28,IF(J293/(H293+1)&gt;('Prestige Patterns'!$B$27+1),L293+1,L293),L293)</f>
        <v>5</v>
      </c>
      <c r="N294">
        <f t="shared" si="0"/>
        <v>915508428.79999995</v>
      </c>
      <c r="O294" s="3">
        <f>'Prestige Patterns'!$B$4*E294</f>
        <v>9560</v>
      </c>
      <c r="P294">
        <f t="shared" si="3"/>
        <v>4096</v>
      </c>
      <c r="Q294" s="5"/>
      <c r="R294" s="5"/>
      <c r="S294" s="3">
        <v>293</v>
      </c>
      <c r="T294" s="5"/>
    </row>
    <row r="295" spans="1:20" ht="12">
      <c r="A295" s="1"/>
      <c r="B295" s="1"/>
      <c r="C295" s="2">
        <f>(S295*'Prestige Patterns'!$B$20)/60</f>
        <v>147</v>
      </c>
      <c r="D295" s="2">
        <f>IF(L294=L295,N294*'Prestige Patterns'!$B$20+D294-F295,0)</f>
        <v>54069381967.441635</v>
      </c>
      <c r="E295" s="3">
        <f t="shared" si="1"/>
        <v>479</v>
      </c>
      <c r="F295" s="8">
        <f>'Prestige Patterns'!$B$5*('Prestige Patterns'!$B$6^E294-'Prestige Patterns'!$B$6^(E294+G295))/(1-'Prestige Patterns'!$B$6)</f>
        <v>53770607945.360519</v>
      </c>
      <c r="G295" s="8">
        <f>FLOOR(LOG('Prestige Patterns'!$B$6^(E294) - (D294*(1-'Prestige Patterns'!$B$6)/'Prestige Patterns'!$B$5),'Prestige Patterns'!$B$6)-E294,1)</f>
        <v>1</v>
      </c>
      <c r="H295">
        <f t="shared" si="2"/>
        <v>2238</v>
      </c>
      <c r="I295" s="5">
        <f>1+H295*'Prestige Patterns'!$B$25</f>
        <v>23.38</v>
      </c>
      <c r="J295">
        <f>FLOOR((K295/'Prestige Patterns'!$B$22)^'Prestige Patterns'!$B$23,1)-H294</f>
        <v>1879</v>
      </c>
      <c r="K295" s="8">
        <f>K294+N294*'Prestige Patterns'!$B$20</f>
        <v>1695376133130</v>
      </c>
      <c r="L295" s="2">
        <f>IF(J294&gt;='Prestige Patterns'!$B$28,IF(J294/(H294+1)&gt;('Prestige Patterns'!$B$27+1),L294+1,L294),L294)</f>
        <v>5</v>
      </c>
      <c r="N295">
        <f t="shared" si="0"/>
        <v>917423718.39999998</v>
      </c>
      <c r="O295" s="3">
        <f>'Prestige Patterns'!$B$4*E295</f>
        <v>9580</v>
      </c>
      <c r="P295">
        <f t="shared" si="3"/>
        <v>4096</v>
      </c>
      <c r="Q295" s="5"/>
      <c r="R295" s="5"/>
      <c r="S295" s="3">
        <v>294</v>
      </c>
      <c r="T295" s="5"/>
    </row>
    <row r="296" spans="1:20" ht="12">
      <c r="A296" s="1"/>
      <c r="B296" s="1"/>
      <c r="C296" s="2">
        <f>(S296*'Prestige Patterns'!$B$20)/60</f>
        <v>147.5</v>
      </c>
      <c r="D296" s="2">
        <f>IF(L295=L296,N295*'Prestige Patterns'!$B$20+D295-F296,0)</f>
        <v>81592093519.441635</v>
      </c>
      <c r="E296" s="3">
        <f t="shared" si="1"/>
        <v>479</v>
      </c>
      <c r="F296" s="8">
        <f>'Prestige Patterns'!$B$5*('Prestige Patterns'!$B$6^E295-'Prestige Patterns'!$B$6^(E295+G296))/(1-'Prestige Patterns'!$B$6)</f>
        <v>0</v>
      </c>
      <c r="G296" s="8">
        <f>FLOOR(LOG('Prestige Patterns'!$B$6^(E295) - (D295*(1-'Prestige Patterns'!$B$6)/'Prestige Patterns'!$B$5),'Prestige Patterns'!$B$6)-E295,1)</f>
        <v>0</v>
      </c>
      <c r="H296">
        <f t="shared" si="2"/>
        <v>2238</v>
      </c>
      <c r="I296" s="5">
        <f>1+H296*'Prestige Patterns'!$B$25</f>
        <v>23.38</v>
      </c>
      <c r="J296">
        <f>FLOOR((K296/'Prestige Patterns'!$B$22)^'Prestige Patterns'!$B$23,1)-H295</f>
        <v>1912</v>
      </c>
      <c r="K296" s="8">
        <f>K295+N295*'Prestige Patterns'!$B$20</f>
        <v>1722898844682</v>
      </c>
      <c r="L296" s="2">
        <f>IF(J295&gt;='Prestige Patterns'!$B$28,IF(J295/(H295+1)&gt;('Prestige Patterns'!$B$27+1),L295+1,L295),L295)</f>
        <v>5</v>
      </c>
      <c r="N296">
        <f t="shared" si="0"/>
        <v>917423718.39999998</v>
      </c>
      <c r="O296" s="3">
        <f>'Prestige Patterns'!$B$4*E296</f>
        <v>9580</v>
      </c>
      <c r="P296">
        <f t="shared" si="3"/>
        <v>4096</v>
      </c>
      <c r="Q296" s="5"/>
      <c r="R296" s="5"/>
      <c r="S296" s="3">
        <v>295</v>
      </c>
      <c r="T296" s="5"/>
    </row>
    <row r="297" spans="1:20" ht="12">
      <c r="A297" s="1"/>
      <c r="B297" s="1"/>
      <c r="C297" s="2">
        <f>(S297*'Prestige Patterns'!$B$20)/60</f>
        <v>148</v>
      </c>
      <c r="D297" s="2">
        <f>IF(L296=L297,N296*'Prestige Patterns'!$B$20+D296-F297,0)</f>
        <v>52655666728.813972</v>
      </c>
      <c r="E297" s="3">
        <f t="shared" si="1"/>
        <v>480</v>
      </c>
      <c r="F297" s="8">
        <f>'Prestige Patterns'!$B$5*('Prestige Patterns'!$B$6^E296-'Prestige Patterns'!$B$6^(E296+G297))/(1-'Prestige Patterns'!$B$6)</f>
        <v>56459138342.627663</v>
      </c>
      <c r="G297" s="8">
        <f>FLOOR(LOG('Prestige Patterns'!$B$6^(E296) - (D296*(1-'Prestige Patterns'!$B$6)/'Prestige Patterns'!$B$5),'Prestige Patterns'!$B$6)-E296,1)</f>
        <v>1</v>
      </c>
      <c r="H297">
        <f t="shared" si="2"/>
        <v>2238</v>
      </c>
      <c r="I297" s="5">
        <f>1+H297*'Prestige Patterns'!$B$25</f>
        <v>23.38</v>
      </c>
      <c r="J297">
        <f>FLOOR((K297/'Prestige Patterns'!$B$22)^'Prestige Patterns'!$B$23,1)-H296</f>
        <v>1945</v>
      </c>
      <c r="K297" s="8">
        <f>K296+N296*'Prestige Patterns'!$B$20</f>
        <v>1750421556234</v>
      </c>
      <c r="L297" s="2">
        <f>IF(J296&gt;='Prestige Patterns'!$B$28,IF(J296/(H296+1)&gt;('Prestige Patterns'!$B$27+1),L296+1,L296),L296)</f>
        <v>5</v>
      </c>
      <c r="N297">
        <f t="shared" si="0"/>
        <v>919339008</v>
      </c>
      <c r="O297" s="3">
        <f>'Prestige Patterns'!$B$4*E297</f>
        <v>9600</v>
      </c>
      <c r="P297">
        <f t="shared" si="3"/>
        <v>4096</v>
      </c>
      <c r="Q297" s="5"/>
      <c r="R297" s="5"/>
      <c r="S297" s="3">
        <v>296</v>
      </c>
      <c r="T297" s="5"/>
    </row>
    <row r="298" spans="1:20" ht="12">
      <c r="A298" s="1"/>
      <c r="B298" s="1"/>
      <c r="C298" s="2">
        <f>(S298*'Prestige Patterns'!$B$20)/60</f>
        <v>148.5</v>
      </c>
      <c r="D298" s="2">
        <f>IF(L297=L298,N297*'Prestige Patterns'!$B$20+D297-F298,0)</f>
        <v>80235836968.813965</v>
      </c>
      <c r="E298" s="3">
        <f t="shared" si="1"/>
        <v>480</v>
      </c>
      <c r="F298" s="8">
        <f>'Prestige Patterns'!$B$5*('Prestige Patterns'!$B$6^E297-'Prestige Patterns'!$B$6^(E297+G298))/(1-'Prestige Patterns'!$B$6)</f>
        <v>0</v>
      </c>
      <c r="G298" s="8">
        <f>FLOOR(LOG('Prestige Patterns'!$B$6^(E297) - (D297*(1-'Prestige Patterns'!$B$6)/'Prestige Patterns'!$B$5),'Prestige Patterns'!$B$6)-E297,1)</f>
        <v>0</v>
      </c>
      <c r="H298">
        <f t="shared" si="2"/>
        <v>2238</v>
      </c>
      <c r="I298" s="5">
        <f>1+H298*'Prestige Patterns'!$B$25</f>
        <v>23.38</v>
      </c>
      <c r="J298">
        <f>FLOOR((K298/'Prestige Patterns'!$B$22)^'Prestige Patterns'!$B$23,1)-H297</f>
        <v>1978</v>
      </c>
      <c r="K298" s="8">
        <f>K297+N297*'Prestige Patterns'!$B$20</f>
        <v>1778001726474</v>
      </c>
      <c r="L298" s="2">
        <f>IF(J297&gt;='Prestige Patterns'!$B$28,IF(J297/(H297+1)&gt;('Prestige Patterns'!$B$27+1),L297+1,L297),L297)</f>
        <v>5</v>
      </c>
      <c r="N298">
        <f t="shared" si="0"/>
        <v>919339008</v>
      </c>
      <c r="O298" s="3">
        <f>'Prestige Patterns'!$B$4*E298</f>
        <v>9600</v>
      </c>
      <c r="P298">
        <f t="shared" si="3"/>
        <v>4096</v>
      </c>
      <c r="Q298" s="5"/>
      <c r="R298" s="5"/>
      <c r="S298" s="3">
        <v>297</v>
      </c>
      <c r="T298" s="5"/>
    </row>
    <row r="299" spans="1:20" ht="12">
      <c r="A299" s="1"/>
      <c r="B299" s="1"/>
      <c r="C299" s="2">
        <f>(S299*'Prestige Patterns'!$B$20)/60</f>
        <v>149</v>
      </c>
      <c r="D299" s="2">
        <f>IF(L298=L299,N298*'Prestige Patterns'!$B$20+D298-F299,0)</f>
        <v>48533911949.054497</v>
      </c>
      <c r="E299" s="3">
        <f t="shared" si="1"/>
        <v>481</v>
      </c>
      <c r="F299" s="8">
        <f>'Prestige Patterns'!$B$5*('Prestige Patterns'!$B$6^E298-'Prestige Patterns'!$B$6^(E298+G299))/(1-'Prestige Patterns'!$B$6)</f>
        <v>59282095259.759468</v>
      </c>
      <c r="G299" s="8">
        <f>FLOOR(LOG('Prestige Patterns'!$B$6^(E298) - (D298*(1-'Prestige Patterns'!$B$6)/'Prestige Patterns'!$B$5),'Prestige Patterns'!$B$6)-E298,1)</f>
        <v>1</v>
      </c>
      <c r="H299">
        <f t="shared" si="2"/>
        <v>2238</v>
      </c>
      <c r="I299" s="5">
        <f>1+H299*'Prestige Patterns'!$B$25</f>
        <v>23.38</v>
      </c>
      <c r="J299">
        <f>FLOOR((K299/'Prestige Patterns'!$B$22)^'Prestige Patterns'!$B$23,1)-H298</f>
        <v>2011</v>
      </c>
      <c r="K299" s="8">
        <f>K298+N298*'Prestige Patterns'!$B$20</f>
        <v>1805581896714</v>
      </c>
      <c r="L299" s="2">
        <f>IF(J298&gt;='Prestige Patterns'!$B$28,IF(J298/(H298+1)&gt;('Prestige Patterns'!$B$27+1),L298+1,L298),L298)</f>
        <v>5</v>
      </c>
      <c r="N299">
        <f t="shared" si="0"/>
        <v>921254297.5999999</v>
      </c>
      <c r="O299" s="3">
        <f>'Prestige Patterns'!$B$4*E299</f>
        <v>9620</v>
      </c>
      <c r="P299">
        <f t="shared" si="3"/>
        <v>4096</v>
      </c>
      <c r="Q299" s="5"/>
      <c r="R299" s="5"/>
      <c r="S299" s="3">
        <v>298</v>
      </c>
      <c r="T299" s="5"/>
    </row>
    <row r="300" spans="1:20" ht="12">
      <c r="A300" s="1"/>
      <c r="B300" s="1"/>
      <c r="C300" s="2">
        <f>(S300*'Prestige Patterns'!$B$20)/60</f>
        <v>149.5</v>
      </c>
      <c r="D300" s="2">
        <f>IF(L299=L300,N299*'Prestige Patterns'!$B$20+D299-F300,0)</f>
        <v>76171540877.054489</v>
      </c>
      <c r="E300" s="3">
        <f t="shared" si="1"/>
        <v>481</v>
      </c>
      <c r="F300" s="8">
        <f>'Prestige Patterns'!$B$5*('Prestige Patterns'!$B$6^E299-'Prestige Patterns'!$B$6^(E299+G300))/(1-'Prestige Patterns'!$B$6)</f>
        <v>0</v>
      </c>
      <c r="G300" s="8">
        <f>FLOOR(LOG('Prestige Patterns'!$B$6^(E299) - (D299*(1-'Prestige Patterns'!$B$6)/'Prestige Patterns'!$B$5),'Prestige Patterns'!$B$6)-E299,1)</f>
        <v>0</v>
      </c>
      <c r="H300">
        <f t="shared" si="2"/>
        <v>2238</v>
      </c>
      <c r="I300" s="5">
        <f>1+H300*'Prestige Patterns'!$B$25</f>
        <v>23.38</v>
      </c>
      <c r="J300">
        <f>FLOOR((K300/'Prestige Patterns'!$B$22)^'Prestige Patterns'!$B$23,1)-H299</f>
        <v>2043</v>
      </c>
      <c r="K300" s="8">
        <f>K299+N299*'Prestige Patterns'!$B$20</f>
        <v>1833219525642</v>
      </c>
      <c r="L300" s="2">
        <f>IF(J299&gt;='Prestige Patterns'!$B$28,IF(J299/(H299+1)&gt;('Prestige Patterns'!$B$27+1),L299+1,L299),L299)</f>
        <v>5</v>
      </c>
      <c r="N300">
        <f t="shared" si="0"/>
        <v>921254297.5999999</v>
      </c>
      <c r="O300" s="3">
        <f>'Prestige Patterns'!$B$4*E300</f>
        <v>9620</v>
      </c>
      <c r="P300">
        <f t="shared" si="3"/>
        <v>4096</v>
      </c>
      <c r="Q300" s="5"/>
      <c r="R300" s="5"/>
      <c r="S300" s="3">
        <v>299</v>
      </c>
      <c r="T300" s="5"/>
    </row>
    <row r="301" spans="1:20" ht="12">
      <c r="A301" s="1"/>
      <c r="B301" s="1"/>
      <c r="C301" s="2">
        <f>(S301*'Prestige Patterns'!$B$20)/60</f>
        <v>150</v>
      </c>
      <c r="D301" s="2">
        <f>IF(L300=L301,N300*'Prestige Patterns'!$B$20+D300-F301,0)</f>
        <v>41562969782.30735</v>
      </c>
      <c r="E301" s="3">
        <f t="shared" si="1"/>
        <v>482</v>
      </c>
      <c r="F301" s="8">
        <f>'Prestige Patterns'!$B$5*('Prestige Patterns'!$B$6^E300-'Prestige Patterns'!$B$6^(E300+G301))/(1-'Prestige Patterns'!$B$6)</f>
        <v>62246200022.747139</v>
      </c>
      <c r="G301" s="8">
        <f>FLOOR(LOG('Prestige Patterns'!$B$6^(E300) - (D300*(1-'Prestige Patterns'!$B$6)/'Prestige Patterns'!$B$5),'Prestige Patterns'!$B$6)-E300,1)</f>
        <v>1</v>
      </c>
      <c r="H301">
        <f t="shared" si="2"/>
        <v>2238</v>
      </c>
      <c r="I301" s="5">
        <f>1+H301*'Prestige Patterns'!$B$25</f>
        <v>23.38</v>
      </c>
      <c r="J301">
        <f>FLOOR((K301/'Prestige Patterns'!$B$22)^'Prestige Patterns'!$B$23,1)-H300</f>
        <v>2075</v>
      </c>
      <c r="K301" s="8">
        <f>K300+N300*'Prestige Patterns'!$B$20</f>
        <v>1860857154570</v>
      </c>
      <c r="L301" s="2">
        <f>IF(J300&gt;='Prestige Patterns'!$B$28,IF(J300/(H300+1)&gt;('Prestige Patterns'!$B$27+1),L300+1,L300),L300)</f>
        <v>5</v>
      </c>
      <c r="N301">
        <f t="shared" si="0"/>
        <v>923169587.19999993</v>
      </c>
      <c r="O301" s="3">
        <f>'Prestige Patterns'!$B$4*E301</f>
        <v>9640</v>
      </c>
      <c r="P301">
        <f t="shared" si="3"/>
        <v>4096</v>
      </c>
      <c r="Q301" s="5"/>
      <c r="R301" s="5"/>
      <c r="S301" s="3">
        <v>300</v>
      </c>
      <c r="T301" s="5"/>
    </row>
    <row r="302" spans="1:20" ht="12">
      <c r="A302" s="1"/>
      <c r="B302" s="1"/>
      <c r="C302" s="2">
        <f>(S302*'Prestige Patterns'!$B$20)/60</f>
        <v>150.5</v>
      </c>
      <c r="D302" s="2">
        <f>IF(L301=L302,N301*'Prestige Patterns'!$B$20+D301-F302,0)</f>
        <v>69258057398.307343</v>
      </c>
      <c r="E302" s="3">
        <f t="shared" si="1"/>
        <v>482</v>
      </c>
      <c r="F302" s="8">
        <f>'Prestige Patterns'!$B$5*('Prestige Patterns'!$B$6^E301-'Prestige Patterns'!$B$6^(E301+G302))/(1-'Prestige Patterns'!$B$6)</f>
        <v>0</v>
      </c>
      <c r="G302" s="8">
        <f>FLOOR(LOG('Prestige Patterns'!$B$6^(E301) - (D301*(1-'Prestige Patterns'!$B$6)/'Prestige Patterns'!$B$5),'Prestige Patterns'!$B$6)-E301,1)</f>
        <v>0</v>
      </c>
      <c r="H302">
        <f t="shared" si="2"/>
        <v>2238</v>
      </c>
      <c r="I302" s="5">
        <f>1+H302*'Prestige Patterns'!$B$25</f>
        <v>23.38</v>
      </c>
      <c r="J302">
        <f>FLOOR((K302/'Prestige Patterns'!$B$22)^'Prestige Patterns'!$B$23,1)-H301</f>
        <v>2107</v>
      </c>
      <c r="K302" s="8">
        <f>K301+N301*'Prestige Patterns'!$B$20</f>
        <v>1888552242186</v>
      </c>
      <c r="L302" s="2">
        <f>IF(J301&gt;='Prestige Patterns'!$B$28,IF(J301/(H301+1)&gt;('Prestige Patterns'!$B$27+1),L301+1,L301),L301)</f>
        <v>5</v>
      </c>
      <c r="N302">
        <f t="shared" si="0"/>
        <v>923169587.19999993</v>
      </c>
      <c r="O302" s="3">
        <f>'Prestige Patterns'!$B$4*E302</f>
        <v>9640</v>
      </c>
      <c r="P302">
        <f t="shared" si="3"/>
        <v>4096</v>
      </c>
      <c r="Q302" s="5"/>
      <c r="R302" s="5"/>
      <c r="S302" s="3">
        <v>301</v>
      </c>
      <c r="T302" s="5"/>
    </row>
    <row r="303" spans="1:20" ht="12">
      <c r="A303" s="1"/>
      <c r="B303" s="1"/>
      <c r="C303" s="2">
        <f>(S303*'Prestige Patterns'!$B$20)/60</f>
        <v>151</v>
      </c>
      <c r="D303" s="2">
        <f>IF(L302=L303,N302*'Prestige Patterns'!$B$20+D302-F303,0)</f>
        <v>31594634990.422363</v>
      </c>
      <c r="E303" s="3">
        <f t="shared" si="1"/>
        <v>483</v>
      </c>
      <c r="F303" s="8">
        <f>'Prestige Patterns'!$B$5*('Prestige Patterns'!$B$6^E302-'Prestige Patterns'!$B$6^(E302+G303))/(1-'Prestige Patterns'!$B$6)</f>
        <v>65358510023.884979</v>
      </c>
      <c r="G303" s="8">
        <f>FLOOR(LOG('Prestige Patterns'!$B$6^(E302) - (D302*(1-'Prestige Patterns'!$B$6)/'Prestige Patterns'!$B$5),'Prestige Patterns'!$B$6)-E302,1)</f>
        <v>1</v>
      </c>
      <c r="H303">
        <f t="shared" si="2"/>
        <v>2238</v>
      </c>
      <c r="I303" s="5">
        <f>1+H303*'Prestige Patterns'!$B$25</f>
        <v>23.38</v>
      </c>
      <c r="J303">
        <f>FLOOR((K303/'Prestige Patterns'!$B$22)^'Prestige Patterns'!$B$23,1)-H302</f>
        <v>2139</v>
      </c>
      <c r="K303" s="8">
        <f>K302+N302*'Prestige Patterns'!$B$20</f>
        <v>1916247329802</v>
      </c>
      <c r="L303" s="2">
        <f>IF(J302&gt;='Prestige Patterns'!$B$28,IF(J302/(H302+1)&gt;('Prestige Patterns'!$B$27+1),L302+1,L302),L302)</f>
        <v>5</v>
      </c>
      <c r="N303">
        <f t="shared" si="0"/>
        <v>925084876.79999995</v>
      </c>
      <c r="O303" s="3">
        <f>'Prestige Patterns'!$B$4*E303</f>
        <v>9660</v>
      </c>
      <c r="P303">
        <f t="shared" si="3"/>
        <v>4096</v>
      </c>
      <c r="Q303" s="5"/>
      <c r="R303" s="5"/>
      <c r="S303" s="3">
        <v>302</v>
      </c>
      <c r="T303" s="5"/>
    </row>
    <row r="304" spans="1:20" ht="12">
      <c r="A304" s="1"/>
      <c r="B304" s="1"/>
      <c r="C304" s="2">
        <f>(S304*'Prestige Patterns'!$B$20)/60</f>
        <v>151.5</v>
      </c>
      <c r="D304" s="2">
        <f>IF(L303=L304,N303*'Prestige Patterns'!$B$20+D303-F304,0)</f>
        <v>59347181294.422363</v>
      </c>
      <c r="E304" s="3">
        <f t="shared" si="1"/>
        <v>483</v>
      </c>
      <c r="F304" s="8">
        <f>'Prestige Patterns'!$B$5*('Prestige Patterns'!$B$6^E303-'Prestige Patterns'!$B$6^(E303+G304))/(1-'Prestige Patterns'!$B$6)</f>
        <v>0</v>
      </c>
      <c r="G304" s="8">
        <f>FLOOR(LOG('Prestige Patterns'!$B$6^(E303) - (D303*(1-'Prestige Patterns'!$B$6)/'Prestige Patterns'!$B$5),'Prestige Patterns'!$B$6)-E303,1)</f>
        <v>0</v>
      </c>
      <c r="H304">
        <f t="shared" si="2"/>
        <v>2238</v>
      </c>
      <c r="I304" s="5">
        <f>1+H304*'Prestige Patterns'!$B$25</f>
        <v>23.38</v>
      </c>
      <c r="J304">
        <f>FLOOR((K304/'Prestige Patterns'!$B$22)^'Prestige Patterns'!$B$23,1)-H303</f>
        <v>2171</v>
      </c>
      <c r="K304" s="8">
        <f>K303+N303*'Prestige Patterns'!$B$20</f>
        <v>1943999876106</v>
      </c>
      <c r="L304" s="2">
        <f>IF(J303&gt;='Prestige Patterns'!$B$28,IF(J303/(H303+1)&gt;('Prestige Patterns'!$B$27+1),L303+1,L303),L303)</f>
        <v>5</v>
      </c>
      <c r="N304">
        <f t="shared" si="0"/>
        <v>925084876.79999995</v>
      </c>
      <c r="O304" s="3">
        <f>'Prestige Patterns'!$B$4*E304</f>
        <v>9660</v>
      </c>
      <c r="P304">
        <f t="shared" si="3"/>
        <v>4096</v>
      </c>
      <c r="Q304" s="5"/>
      <c r="R304" s="5"/>
      <c r="S304" s="3">
        <v>303</v>
      </c>
      <c r="T304" s="5"/>
    </row>
    <row r="305" spans="1:20" ht="12">
      <c r="A305" s="1"/>
      <c r="B305" s="1"/>
      <c r="C305" s="2">
        <f>(S305*'Prestige Patterns'!$B$20)/60</f>
        <v>152</v>
      </c>
      <c r="D305" s="2">
        <f>IF(L304=L305,N304*'Prestige Patterns'!$B$20+D304-F305,0)</f>
        <v>87099727598.422363</v>
      </c>
      <c r="E305" s="3">
        <f t="shared" si="1"/>
        <v>483</v>
      </c>
      <c r="F305" s="8">
        <f>'Prestige Patterns'!$B$5*('Prestige Patterns'!$B$6^E304-'Prestige Patterns'!$B$6^(E304+G305))/(1-'Prestige Patterns'!$B$6)</f>
        <v>0</v>
      </c>
      <c r="G305" s="8">
        <f>FLOOR(LOG('Prestige Patterns'!$B$6^(E304) - (D304*(1-'Prestige Patterns'!$B$6)/'Prestige Patterns'!$B$5),'Prestige Patterns'!$B$6)-E304,1)</f>
        <v>0</v>
      </c>
      <c r="H305">
        <f t="shared" si="2"/>
        <v>2238</v>
      </c>
      <c r="I305" s="5">
        <f>1+H305*'Prestige Patterns'!$B$25</f>
        <v>23.38</v>
      </c>
      <c r="J305">
        <f>FLOOR((K305/'Prestige Patterns'!$B$22)^'Prestige Patterns'!$B$23,1)-H304</f>
        <v>2202</v>
      </c>
      <c r="K305" s="8">
        <f>K304+N304*'Prestige Patterns'!$B$20</f>
        <v>1971752422410</v>
      </c>
      <c r="L305" s="2">
        <f>IF(J304&gt;='Prestige Patterns'!$B$28,IF(J304/(H304+1)&gt;('Prestige Patterns'!$B$27+1),L304+1,L304),L304)</f>
        <v>5</v>
      </c>
      <c r="N305">
        <f t="shared" si="0"/>
        <v>925084876.79999995</v>
      </c>
      <c r="O305" s="3">
        <f>'Prestige Patterns'!$B$4*E305</f>
        <v>9660</v>
      </c>
      <c r="P305">
        <f t="shared" si="3"/>
        <v>4096</v>
      </c>
      <c r="Q305" s="5"/>
      <c r="R305" s="5"/>
      <c r="S305" s="3">
        <v>304</v>
      </c>
      <c r="T305" s="5"/>
    </row>
    <row r="306" spans="1:20" ht="12">
      <c r="A306" s="1"/>
      <c r="B306" s="1"/>
      <c r="C306" s="2">
        <f>(S306*'Prestige Patterns'!$B$20)/60</f>
        <v>152.5</v>
      </c>
      <c r="D306" s="2">
        <f>IF(L305=L306,N305*'Prestige Patterns'!$B$20+D305-F306,0)</f>
        <v>46225838377.343842</v>
      </c>
      <c r="E306" s="3">
        <f t="shared" si="1"/>
        <v>484</v>
      </c>
      <c r="F306" s="8">
        <f>'Prestige Patterns'!$B$5*('Prestige Patterns'!$B$6^E305-'Prestige Patterns'!$B$6^(E305+G306))/(1-'Prestige Patterns'!$B$6)</f>
        <v>68626435525.078522</v>
      </c>
      <c r="G306" s="8">
        <f>FLOOR(LOG('Prestige Patterns'!$B$6^(E305) - (D305*(1-'Prestige Patterns'!$B$6)/'Prestige Patterns'!$B$5),'Prestige Patterns'!$B$6)-E305,1)</f>
        <v>1</v>
      </c>
      <c r="H306">
        <f t="shared" si="2"/>
        <v>2238</v>
      </c>
      <c r="I306" s="5">
        <f>1+H306*'Prestige Patterns'!$B$25</f>
        <v>23.38</v>
      </c>
      <c r="J306">
        <f>FLOOR((K306/'Prestige Patterns'!$B$22)^'Prestige Patterns'!$B$23,1)-H305</f>
        <v>2233</v>
      </c>
      <c r="K306" s="8">
        <f>K305+N305*'Prestige Patterns'!$B$20</f>
        <v>1999504968714</v>
      </c>
      <c r="L306" s="2">
        <f>IF(J305&gt;='Prestige Patterns'!$B$28,IF(J305/(H305+1)&gt;('Prestige Patterns'!$B$27+1),L305+1,L305),L305)</f>
        <v>5</v>
      </c>
      <c r="N306">
        <f t="shared" si="0"/>
        <v>927000166.39999998</v>
      </c>
      <c r="O306" s="3">
        <f>'Prestige Patterns'!$B$4*E306</f>
        <v>9680</v>
      </c>
      <c r="P306">
        <f t="shared" si="3"/>
        <v>4096</v>
      </c>
      <c r="Q306" s="5"/>
      <c r="R306" s="5"/>
      <c r="S306" s="3">
        <v>305</v>
      </c>
      <c r="T306" s="5"/>
    </row>
    <row r="307" spans="1:20" ht="12">
      <c r="A307" s="1"/>
      <c r="B307" s="1"/>
      <c r="C307" s="2">
        <f>(S307*'Prestige Patterns'!$B$20)/60</f>
        <v>153</v>
      </c>
      <c r="D307" s="2">
        <f>IF(L306=L307,N306*'Prestige Patterns'!$B$20+D306-F307,0)</f>
        <v>74035843369.343842</v>
      </c>
      <c r="E307" s="3">
        <f t="shared" si="1"/>
        <v>484</v>
      </c>
      <c r="F307" s="8">
        <f>'Prestige Patterns'!$B$5*('Prestige Patterns'!$B$6^E306-'Prestige Patterns'!$B$6^(E306+G307))/(1-'Prestige Patterns'!$B$6)</f>
        <v>0</v>
      </c>
      <c r="G307" s="8">
        <f>FLOOR(LOG('Prestige Patterns'!$B$6^(E306) - (D306*(1-'Prestige Patterns'!$B$6)/'Prestige Patterns'!$B$5),'Prestige Patterns'!$B$6)-E306,1)</f>
        <v>0</v>
      </c>
      <c r="H307">
        <f t="shared" si="2"/>
        <v>2238</v>
      </c>
      <c r="I307" s="5">
        <f>1+H307*'Prestige Patterns'!$B$25</f>
        <v>23.38</v>
      </c>
      <c r="J307">
        <f>FLOOR((K307/'Prestige Patterns'!$B$22)^'Prestige Patterns'!$B$23,1)-H306</f>
        <v>2264</v>
      </c>
      <c r="K307" s="8">
        <f>K306+N306*'Prestige Patterns'!$B$20</f>
        <v>2027314973706</v>
      </c>
      <c r="L307" s="2">
        <f>IF(J306&gt;='Prestige Patterns'!$B$28,IF(J306/(H306+1)&gt;('Prestige Patterns'!$B$27+1),L306+1,L306),L306)</f>
        <v>5</v>
      </c>
      <c r="N307">
        <f t="shared" si="0"/>
        <v>927000166.39999998</v>
      </c>
      <c r="O307" s="3">
        <f>'Prestige Patterns'!$B$4*E307</f>
        <v>9680</v>
      </c>
      <c r="P307">
        <f t="shared" si="3"/>
        <v>4096</v>
      </c>
      <c r="Q307" s="5"/>
      <c r="R307" s="5"/>
      <c r="S307" s="3">
        <v>306</v>
      </c>
      <c r="T307" s="5"/>
    </row>
    <row r="308" spans="1:20" ht="12">
      <c r="A308" s="1"/>
      <c r="B308" s="1"/>
      <c r="C308" s="2">
        <f>(S308*'Prestige Patterns'!$B$20)/60</f>
        <v>153.5</v>
      </c>
      <c r="D308" s="2">
        <f>IF(L307=L308,N307*'Prestige Patterns'!$B$20+D307-F308,0)</f>
        <v>29788091060.0112</v>
      </c>
      <c r="E308" s="3">
        <f t="shared" si="1"/>
        <v>485</v>
      </c>
      <c r="F308" s="8">
        <f>'Prestige Patterns'!$B$5*('Prestige Patterns'!$B$6^E307-'Prestige Patterns'!$B$6^(E307+G308))/(1-'Prestige Patterns'!$B$6)</f>
        <v>72057757301.332642</v>
      </c>
      <c r="G308" s="8">
        <f>FLOOR(LOG('Prestige Patterns'!$B$6^(E307) - (D307*(1-'Prestige Patterns'!$B$6)/'Prestige Patterns'!$B$5),'Prestige Patterns'!$B$6)-E307,1)</f>
        <v>1</v>
      </c>
      <c r="H308">
        <f t="shared" si="2"/>
        <v>2238</v>
      </c>
      <c r="I308" s="5">
        <f>1+H308*'Prestige Patterns'!$B$25</f>
        <v>23.38</v>
      </c>
      <c r="J308">
        <f>FLOOR((K308/'Prestige Patterns'!$B$22)^'Prestige Patterns'!$B$23,1)-H307</f>
        <v>2295</v>
      </c>
      <c r="K308" s="8">
        <f>K307+N307*'Prestige Patterns'!$B$20</f>
        <v>2055124978698</v>
      </c>
      <c r="L308" s="2">
        <f>IF(J307&gt;='Prestige Patterns'!$B$28,IF(J307/(H307+1)&gt;('Prestige Patterns'!$B$27+1),L307+1,L307),L307)</f>
        <v>5</v>
      </c>
      <c r="N308">
        <f t="shared" si="0"/>
        <v>928915456</v>
      </c>
      <c r="O308" s="3">
        <f>'Prestige Patterns'!$B$4*E308</f>
        <v>9700</v>
      </c>
      <c r="P308">
        <f t="shared" si="3"/>
        <v>4096</v>
      </c>
      <c r="Q308" s="5"/>
      <c r="R308" s="5"/>
      <c r="S308" s="3">
        <v>307</v>
      </c>
      <c r="T308" s="5"/>
    </row>
    <row r="309" spans="1:20" ht="12">
      <c r="A309" s="1"/>
      <c r="B309" s="1"/>
      <c r="C309" s="2">
        <f>(S309*'Prestige Patterns'!$B$20)/60</f>
        <v>154</v>
      </c>
      <c r="D309" s="2">
        <f>IF(L308=L309,N308*'Prestige Patterns'!$B$20+D308-F309,0)</f>
        <v>57655554740.0112</v>
      </c>
      <c r="E309" s="3">
        <f t="shared" si="1"/>
        <v>485</v>
      </c>
      <c r="F309" s="8">
        <f>'Prestige Patterns'!$B$5*('Prestige Patterns'!$B$6^E308-'Prestige Patterns'!$B$6^(E308+G309))/(1-'Prestige Patterns'!$B$6)</f>
        <v>0</v>
      </c>
      <c r="G309" s="8">
        <f>FLOOR(LOG('Prestige Patterns'!$B$6^(E308) - (D308*(1-'Prestige Patterns'!$B$6)/'Prestige Patterns'!$B$5),'Prestige Patterns'!$B$6)-E308,1)</f>
        <v>0</v>
      </c>
      <c r="H309">
        <f t="shared" si="2"/>
        <v>2238</v>
      </c>
      <c r="I309" s="5">
        <f>1+H309*'Prestige Patterns'!$B$25</f>
        <v>23.38</v>
      </c>
      <c r="J309">
        <f>FLOOR((K309/'Prestige Patterns'!$B$22)^'Prestige Patterns'!$B$23,1)-H308</f>
        <v>2325</v>
      </c>
      <c r="K309" s="8">
        <f>K308+N308*'Prestige Patterns'!$B$20</f>
        <v>2082992442378</v>
      </c>
      <c r="L309" s="2">
        <f>IF(J308&gt;='Prestige Patterns'!$B$28,IF(J308/(H308+1)&gt;('Prestige Patterns'!$B$27+1),L308+1,L308),L308)</f>
        <v>5</v>
      </c>
      <c r="N309">
        <f t="shared" si="0"/>
        <v>928915456</v>
      </c>
      <c r="O309" s="3">
        <f>'Prestige Patterns'!$B$4*E309</f>
        <v>9700</v>
      </c>
      <c r="P309">
        <f t="shared" si="3"/>
        <v>4096</v>
      </c>
      <c r="Q309" s="5"/>
      <c r="R309" s="5"/>
      <c r="S309" s="3">
        <v>308</v>
      </c>
      <c r="T309" s="5"/>
    </row>
    <row r="310" spans="1:20" ht="12">
      <c r="A310" s="1"/>
      <c r="B310" s="1"/>
      <c r="C310" s="2">
        <f>(S310*'Prestige Patterns'!$B$20)/60</f>
        <v>154.5</v>
      </c>
      <c r="D310" s="2">
        <f>IF(L309=L310,N309*'Prestige Patterns'!$B$20+D309-F310,0)</f>
        <v>85523018420.0112</v>
      </c>
      <c r="E310" s="3">
        <f t="shared" si="1"/>
        <v>485</v>
      </c>
      <c r="F310" s="8">
        <f>'Prestige Patterns'!$B$5*('Prestige Patterns'!$B$6^E309-'Prestige Patterns'!$B$6^(E309+G310))/(1-'Prestige Patterns'!$B$6)</f>
        <v>0</v>
      </c>
      <c r="G310" s="8">
        <f>FLOOR(LOG('Prestige Patterns'!$B$6^(E309) - (D309*(1-'Prestige Patterns'!$B$6)/'Prestige Patterns'!$B$5),'Prestige Patterns'!$B$6)-E309,1)</f>
        <v>0</v>
      </c>
      <c r="H310">
        <f t="shared" si="2"/>
        <v>2238</v>
      </c>
      <c r="I310" s="5">
        <f>1+H310*'Prestige Patterns'!$B$25</f>
        <v>23.38</v>
      </c>
      <c r="J310">
        <f>FLOOR((K310/'Prestige Patterns'!$B$22)^'Prestige Patterns'!$B$23,1)-H309</f>
        <v>2356</v>
      </c>
      <c r="K310" s="8">
        <f>K309+N309*'Prestige Patterns'!$B$20</f>
        <v>2110859906058</v>
      </c>
      <c r="L310" s="2">
        <f>IF(J309&gt;='Prestige Patterns'!$B$28,IF(J309/(H309+1)&gt;('Prestige Patterns'!$B$27+1),L309+1,L309),L309)</f>
        <v>5</v>
      </c>
      <c r="N310">
        <f t="shared" si="0"/>
        <v>928915456</v>
      </c>
      <c r="O310" s="3">
        <f>'Prestige Patterns'!$B$4*E310</f>
        <v>9700</v>
      </c>
      <c r="P310">
        <f t="shared" si="3"/>
        <v>4096</v>
      </c>
      <c r="Q310" s="5"/>
      <c r="R310" s="5"/>
      <c r="S310" s="3">
        <v>309</v>
      </c>
      <c r="T310" s="5"/>
    </row>
    <row r="311" spans="1:20" ht="12">
      <c r="A311" s="1"/>
      <c r="B311" s="1"/>
      <c r="C311" s="2">
        <f>(S311*'Prestige Patterns'!$B$20)/60</f>
        <v>155</v>
      </c>
      <c r="D311" s="2">
        <f>IF(L310=L311,N310*'Prestige Patterns'!$B$20+D310-F311,0)</f>
        <v>37729836933.611725</v>
      </c>
      <c r="E311" s="3">
        <f t="shared" si="1"/>
        <v>486</v>
      </c>
      <c r="F311" s="8">
        <f>'Prestige Patterns'!$B$5*('Prestige Patterns'!$B$6^E310-'Prestige Patterns'!$B$6^(E310+G311))/(1-'Prestige Patterns'!$B$6)</f>
        <v>75660645166.399475</v>
      </c>
      <c r="G311" s="8">
        <f>FLOOR(LOG('Prestige Patterns'!$B$6^(E310) - (D310*(1-'Prestige Patterns'!$B$6)/'Prestige Patterns'!$B$5),'Prestige Patterns'!$B$6)-E310,1)</f>
        <v>1</v>
      </c>
      <c r="H311">
        <f t="shared" si="2"/>
        <v>2238</v>
      </c>
      <c r="I311" s="5">
        <f>1+H311*'Prestige Patterns'!$B$25</f>
        <v>23.38</v>
      </c>
      <c r="J311">
        <f>FLOOR((K311/'Prestige Patterns'!$B$22)^'Prestige Patterns'!$B$23,1)-H310</f>
        <v>2386</v>
      </c>
      <c r="K311" s="8">
        <f>K310+N310*'Prestige Patterns'!$B$20</f>
        <v>2138727369738</v>
      </c>
      <c r="L311" s="2">
        <f>IF(J310&gt;='Prestige Patterns'!$B$28,IF(J310/(H310+1)&gt;('Prestige Patterns'!$B$27+1),L310+1,L310),L310)</f>
        <v>5</v>
      </c>
      <c r="N311">
        <f t="shared" si="0"/>
        <v>930830745.5999999</v>
      </c>
      <c r="O311" s="3">
        <f>'Prestige Patterns'!$B$4*E311</f>
        <v>9720</v>
      </c>
      <c r="P311">
        <f t="shared" si="3"/>
        <v>4096</v>
      </c>
      <c r="Q311" s="5"/>
      <c r="R311" s="5"/>
      <c r="S311" s="3">
        <v>310</v>
      </c>
      <c r="T311" s="5"/>
    </row>
    <row r="312" spans="1:20" ht="12">
      <c r="A312" s="1"/>
      <c r="B312" s="1"/>
      <c r="C312" s="2">
        <f>(S312*'Prestige Patterns'!$B$20)/60</f>
        <v>155.5</v>
      </c>
      <c r="D312" s="2">
        <f>IF(L311=L312,N311*'Prestige Patterns'!$B$20+D311-F312,0)</f>
        <v>65654759301.611725</v>
      </c>
      <c r="E312" s="3">
        <f t="shared" si="1"/>
        <v>486</v>
      </c>
      <c r="F312" s="8">
        <f>'Prestige Patterns'!$B$5*('Prestige Patterns'!$B$6^E311-'Prestige Patterns'!$B$6^(E311+G312))/(1-'Prestige Patterns'!$B$6)</f>
        <v>0</v>
      </c>
      <c r="G312" s="8">
        <f>FLOOR(LOG('Prestige Patterns'!$B$6^(E311) - (D311*(1-'Prestige Patterns'!$B$6)/'Prestige Patterns'!$B$5),'Prestige Patterns'!$B$6)-E311,1)</f>
        <v>0</v>
      </c>
      <c r="H312">
        <f t="shared" si="2"/>
        <v>2238</v>
      </c>
      <c r="I312" s="5">
        <f>1+H312*'Prestige Patterns'!$B$25</f>
        <v>23.38</v>
      </c>
      <c r="J312">
        <f>FLOOR((K312/'Prestige Patterns'!$B$22)^'Prestige Patterns'!$B$23,1)-H311</f>
        <v>2416</v>
      </c>
      <c r="K312" s="8">
        <f>K311+N311*'Prestige Patterns'!$B$20</f>
        <v>2166652292106</v>
      </c>
      <c r="L312" s="2">
        <f>IF(J311&gt;='Prestige Patterns'!$B$28,IF(J311/(H311+1)&gt;('Prestige Patterns'!$B$27+1),L311+1,L311),L311)</f>
        <v>5</v>
      </c>
      <c r="N312">
        <f t="shared" si="0"/>
        <v>930830745.5999999</v>
      </c>
      <c r="O312" s="3">
        <f>'Prestige Patterns'!$B$4*E312</f>
        <v>9720</v>
      </c>
      <c r="P312">
        <f t="shared" si="3"/>
        <v>4096</v>
      </c>
      <c r="Q312" s="5"/>
      <c r="R312" s="5"/>
      <c r="S312" s="3">
        <v>311</v>
      </c>
      <c r="T312" s="5"/>
    </row>
    <row r="313" spans="1:20" ht="12">
      <c r="A313" s="1"/>
      <c r="B313" s="1"/>
      <c r="C313" s="2">
        <f>(S313*'Prestige Patterns'!$B$20)/60</f>
        <v>156</v>
      </c>
      <c r="D313" s="2">
        <f>IF(L312=L313,N312*'Prestige Patterns'!$B$20+D312-F313,0)</f>
        <v>93579681669.611725</v>
      </c>
      <c r="E313" s="3">
        <f t="shared" si="1"/>
        <v>486</v>
      </c>
      <c r="F313" s="8">
        <f>'Prestige Patterns'!$B$5*('Prestige Patterns'!$B$6^E312-'Prestige Patterns'!$B$6^(E312+G313))/(1-'Prestige Patterns'!$B$6)</f>
        <v>0</v>
      </c>
      <c r="G313" s="8">
        <f>FLOOR(LOG('Prestige Patterns'!$B$6^(E312) - (D312*(1-'Prestige Patterns'!$B$6)/'Prestige Patterns'!$B$5),'Prestige Patterns'!$B$6)-E312,1)</f>
        <v>0</v>
      </c>
      <c r="H313">
        <f t="shared" si="2"/>
        <v>2238</v>
      </c>
      <c r="I313" s="5">
        <f>1+H313*'Prestige Patterns'!$B$25</f>
        <v>23.38</v>
      </c>
      <c r="J313">
        <f>FLOOR((K313/'Prestige Patterns'!$B$22)^'Prestige Patterns'!$B$23,1)-H312</f>
        <v>2446</v>
      </c>
      <c r="K313" s="8">
        <f>K312+N312*'Prestige Patterns'!$B$20</f>
        <v>2194577214474</v>
      </c>
      <c r="L313" s="2">
        <f>IF(J312&gt;='Prestige Patterns'!$B$28,IF(J312/(H312+1)&gt;('Prestige Patterns'!$B$27+1),L312+1,L312),L312)</f>
        <v>5</v>
      </c>
      <c r="N313">
        <f t="shared" si="0"/>
        <v>930830745.5999999</v>
      </c>
      <c r="O313" s="3">
        <f>'Prestige Patterns'!$B$4*E313</f>
        <v>9720</v>
      </c>
      <c r="P313">
        <f t="shared" si="3"/>
        <v>4096</v>
      </c>
      <c r="Q313" s="5"/>
      <c r="R313" s="5"/>
      <c r="S313" s="3">
        <v>312</v>
      </c>
      <c r="T313" s="5"/>
    </row>
    <row r="314" spans="1:20" ht="12">
      <c r="A314" s="1"/>
      <c r="B314" s="1"/>
      <c r="C314" s="2">
        <f>(S314*'Prestige Patterns'!$B$20)/60</f>
        <v>156.5</v>
      </c>
      <c r="D314" s="2">
        <f>IF(L313=L314,N313*'Prestige Patterns'!$B$20+D313-F314,0)</f>
        <v>42060926612.891953</v>
      </c>
      <c r="E314" s="3">
        <f t="shared" si="1"/>
        <v>487</v>
      </c>
      <c r="F314" s="8">
        <f>'Prestige Patterns'!$B$5*('Prestige Patterns'!$B$6^E313-'Prestige Patterns'!$B$6^(E313+G314))/(1-'Prestige Patterns'!$B$6)</f>
        <v>79443677424.719772</v>
      </c>
      <c r="G314" s="8">
        <f>FLOOR(LOG('Prestige Patterns'!$B$6^(E313) - (D313*(1-'Prestige Patterns'!$B$6)/'Prestige Patterns'!$B$5),'Prestige Patterns'!$B$6)-E313,1)</f>
        <v>1</v>
      </c>
      <c r="H314">
        <f t="shared" si="2"/>
        <v>2238</v>
      </c>
      <c r="I314" s="5">
        <f>1+H314*'Prestige Patterns'!$B$25</f>
        <v>23.38</v>
      </c>
      <c r="J314">
        <f>FLOOR((K314/'Prestige Patterns'!$B$22)^'Prestige Patterns'!$B$23,1)-H313</f>
        <v>2476</v>
      </c>
      <c r="K314" s="8">
        <f>K313+N313*'Prestige Patterns'!$B$20</f>
        <v>2222502136842</v>
      </c>
      <c r="L314" s="2">
        <f>IF(J313&gt;='Prestige Patterns'!$B$28,IF(J313/(H313+1)&gt;('Prestige Patterns'!$B$27+1),L313+1,L313),L313)</f>
        <v>5</v>
      </c>
      <c r="N314">
        <f t="shared" si="0"/>
        <v>932746035.19999993</v>
      </c>
      <c r="O314" s="3">
        <f>'Prestige Patterns'!$B$4*E314</f>
        <v>9740</v>
      </c>
      <c r="P314">
        <f t="shared" si="3"/>
        <v>4096</v>
      </c>
      <c r="Q314" s="5"/>
      <c r="R314" s="5"/>
      <c r="S314" s="3">
        <v>313</v>
      </c>
      <c r="T314" s="5"/>
    </row>
    <row r="315" spans="1:20" ht="12">
      <c r="A315" s="1"/>
      <c r="B315" s="1"/>
      <c r="C315" s="2">
        <f>(S315*'Prestige Patterns'!$B$20)/60</f>
        <v>157</v>
      </c>
      <c r="D315" s="2">
        <f>IF(L314=L315,N314*'Prestige Patterns'!$B$20+D314-F315,0)</f>
        <v>70043307668.891953</v>
      </c>
      <c r="E315" s="3">
        <f t="shared" si="1"/>
        <v>487</v>
      </c>
      <c r="F315" s="8">
        <f>'Prestige Patterns'!$B$5*('Prestige Patterns'!$B$6^E314-'Prestige Patterns'!$B$6^(E314+G315))/(1-'Prestige Patterns'!$B$6)</f>
        <v>0</v>
      </c>
      <c r="G315" s="8">
        <f>FLOOR(LOG('Prestige Patterns'!$B$6^(E314) - (D314*(1-'Prestige Patterns'!$B$6)/'Prestige Patterns'!$B$5),'Prestige Patterns'!$B$6)-E314,1)</f>
        <v>0</v>
      </c>
      <c r="H315">
        <f t="shared" si="2"/>
        <v>2238</v>
      </c>
      <c r="I315" s="5">
        <f>1+H315*'Prestige Patterns'!$B$25</f>
        <v>23.38</v>
      </c>
      <c r="J315">
        <f>FLOOR((K315/'Prestige Patterns'!$B$22)^'Prestige Patterns'!$B$23,1)-H314</f>
        <v>2505</v>
      </c>
      <c r="K315" s="8">
        <f>K314+N314*'Prestige Patterns'!$B$20</f>
        <v>2250484517898</v>
      </c>
      <c r="L315" s="2">
        <f>IF(J314&gt;='Prestige Patterns'!$B$28,IF(J314/(H314+1)&gt;('Prestige Patterns'!$B$27+1),L314+1,L314),L314)</f>
        <v>5</v>
      </c>
      <c r="N315">
        <f t="shared" si="0"/>
        <v>932746035.19999993</v>
      </c>
      <c r="O315" s="3">
        <f>'Prestige Patterns'!$B$4*E315</f>
        <v>9740</v>
      </c>
      <c r="P315">
        <f t="shared" si="3"/>
        <v>4096</v>
      </c>
      <c r="Q315" s="5"/>
      <c r="R315" s="5"/>
      <c r="S315" s="3">
        <v>314</v>
      </c>
      <c r="T315" s="5"/>
    </row>
    <row r="316" spans="1:20" ht="12">
      <c r="A316" s="1"/>
      <c r="B316" s="1"/>
      <c r="C316" s="2">
        <f>(S316*'Prestige Patterns'!$B$20)/60</f>
        <v>157.5</v>
      </c>
      <c r="D316" s="2">
        <f>IF(L315=L316,N315*'Prestige Patterns'!$B$20+D315-F316,0)</f>
        <v>98025688724.891953</v>
      </c>
      <c r="E316" s="3">
        <f t="shared" si="1"/>
        <v>487</v>
      </c>
      <c r="F316" s="8">
        <f>'Prestige Patterns'!$B$5*('Prestige Patterns'!$B$6^E315-'Prestige Patterns'!$B$6^(E315+G316))/(1-'Prestige Patterns'!$B$6)</f>
        <v>0</v>
      </c>
      <c r="G316" s="8">
        <f>FLOOR(LOG('Prestige Patterns'!$B$6^(E315) - (D315*(1-'Prestige Patterns'!$B$6)/'Prestige Patterns'!$B$5),'Prestige Patterns'!$B$6)-E315,1)</f>
        <v>0</v>
      </c>
      <c r="H316">
        <f t="shared" si="2"/>
        <v>2238</v>
      </c>
      <c r="I316" s="5">
        <f>1+H316*'Prestige Patterns'!$B$25</f>
        <v>23.38</v>
      </c>
      <c r="J316">
        <f>FLOOR((K316/'Prestige Patterns'!$B$22)^'Prestige Patterns'!$B$23,1)-H315</f>
        <v>2535</v>
      </c>
      <c r="K316" s="8">
        <f>K315+N315*'Prestige Patterns'!$B$20</f>
        <v>2278466898954</v>
      </c>
      <c r="L316" s="2">
        <f>IF(J315&gt;='Prestige Patterns'!$B$28,IF(J315/(H315+1)&gt;('Prestige Patterns'!$B$27+1),L315+1,L315),L315)</f>
        <v>5</v>
      </c>
      <c r="N316">
        <f t="shared" si="0"/>
        <v>932746035.19999993</v>
      </c>
      <c r="O316" s="3">
        <f>'Prestige Patterns'!$B$4*E316</f>
        <v>9740</v>
      </c>
      <c r="P316">
        <f t="shared" si="3"/>
        <v>4096</v>
      </c>
      <c r="Q316" s="5"/>
      <c r="R316" s="5"/>
      <c r="S316" s="3">
        <v>315</v>
      </c>
      <c r="T316" s="5"/>
    </row>
    <row r="317" spans="1:20" ht="12">
      <c r="A317" s="1"/>
      <c r="B317" s="1"/>
      <c r="C317" s="2">
        <f>(S317*'Prestige Patterns'!$B$20)/60</f>
        <v>158</v>
      </c>
      <c r="D317" s="2">
        <f>IF(L316=L317,N316*'Prestige Patterns'!$B$20+D316-F317,0)</f>
        <v>42592208484.936829</v>
      </c>
      <c r="E317" s="3">
        <f t="shared" si="1"/>
        <v>488</v>
      </c>
      <c r="F317" s="8">
        <f>'Prestige Patterns'!$B$5*('Prestige Patterns'!$B$6^E316-'Prestige Patterns'!$B$6^(E316+G317))/(1-'Prestige Patterns'!$B$6)</f>
        <v>83415861295.955124</v>
      </c>
      <c r="G317" s="8">
        <f>FLOOR(LOG('Prestige Patterns'!$B$6^(E316) - (D316*(1-'Prestige Patterns'!$B$6)/'Prestige Patterns'!$B$5),'Prestige Patterns'!$B$6)-E316,1)</f>
        <v>1</v>
      </c>
      <c r="H317">
        <f t="shared" si="2"/>
        <v>2238</v>
      </c>
      <c r="I317" s="5">
        <f>1+H317*'Prestige Patterns'!$B$25</f>
        <v>23.38</v>
      </c>
      <c r="J317">
        <f>FLOOR((K317/'Prestige Patterns'!$B$22)^'Prestige Patterns'!$B$23,1)-H316</f>
        <v>2564</v>
      </c>
      <c r="K317" s="8">
        <f>K316+N316*'Prestige Patterns'!$B$20</f>
        <v>2306449280010</v>
      </c>
      <c r="L317" s="2">
        <f>IF(J316&gt;='Prestige Patterns'!$B$28,IF(J316/(H316+1)&gt;('Prestige Patterns'!$B$27+1),L316+1,L316),L316)</f>
        <v>5</v>
      </c>
      <c r="N317">
        <f t="shared" si="0"/>
        <v>934661324.79999995</v>
      </c>
      <c r="O317" s="3">
        <f>'Prestige Patterns'!$B$4*E317</f>
        <v>9760</v>
      </c>
      <c r="P317">
        <f t="shared" si="3"/>
        <v>4096</v>
      </c>
      <c r="Q317" s="5"/>
      <c r="R317" s="5"/>
      <c r="S317" s="3">
        <v>316</v>
      </c>
      <c r="T317" s="5"/>
    </row>
    <row r="318" spans="1:20" ht="12">
      <c r="A318" s="1"/>
      <c r="B318" s="1"/>
      <c r="C318" s="2">
        <f>(S318*'Prestige Patterns'!$B$20)/60</f>
        <v>158.5</v>
      </c>
      <c r="D318" s="2">
        <f>IF(L317=L318,N317*'Prestige Patterns'!$B$20+D317-F318,0)</f>
        <v>70632048228.936829</v>
      </c>
      <c r="E318" s="3">
        <f t="shared" si="1"/>
        <v>488</v>
      </c>
      <c r="F318" s="8">
        <f>'Prestige Patterns'!$B$5*('Prestige Patterns'!$B$6^E317-'Prestige Patterns'!$B$6^(E317+G318))/(1-'Prestige Patterns'!$B$6)</f>
        <v>0</v>
      </c>
      <c r="G318" s="8">
        <f>FLOOR(LOG('Prestige Patterns'!$B$6^(E317) - (D317*(1-'Prestige Patterns'!$B$6)/'Prestige Patterns'!$B$5),'Prestige Patterns'!$B$6)-E317,1)</f>
        <v>0</v>
      </c>
      <c r="H318">
        <f t="shared" si="2"/>
        <v>2238</v>
      </c>
      <c r="I318" s="5">
        <f>1+H318*'Prestige Patterns'!$B$25</f>
        <v>23.38</v>
      </c>
      <c r="J318">
        <f>FLOOR((K318/'Prestige Patterns'!$B$22)^'Prestige Patterns'!$B$23,1)-H317</f>
        <v>2593</v>
      </c>
      <c r="K318" s="8">
        <f>K317+N317*'Prestige Patterns'!$B$20</f>
        <v>2334489119754</v>
      </c>
      <c r="L318" s="2">
        <f>IF(J317&gt;='Prestige Patterns'!$B$28,IF(J317/(H317+1)&gt;('Prestige Patterns'!$B$27+1),L317+1,L317),L317)</f>
        <v>5</v>
      </c>
      <c r="N318">
        <f t="shared" si="0"/>
        <v>934661324.79999995</v>
      </c>
      <c r="O318" s="3">
        <f>'Prestige Patterns'!$B$4*E318</f>
        <v>9760</v>
      </c>
      <c r="P318">
        <f t="shared" si="3"/>
        <v>4096</v>
      </c>
      <c r="Q318" s="5"/>
      <c r="R318" s="5"/>
      <c r="S318" s="3">
        <v>317</v>
      </c>
      <c r="T318" s="5"/>
    </row>
    <row r="319" spans="1:20" ht="12">
      <c r="A319" s="1"/>
      <c r="B319" s="1"/>
      <c r="C319" s="2">
        <f>(S319*'Prestige Patterns'!$B$20)/60</f>
        <v>159</v>
      </c>
      <c r="D319" s="2">
        <f>IF(L318=L319,N318*'Prestige Patterns'!$B$20+D318-F319,0)</f>
        <v>98671887972.936829</v>
      </c>
      <c r="E319" s="3">
        <f t="shared" si="1"/>
        <v>488</v>
      </c>
      <c r="F319" s="8">
        <f>'Prestige Patterns'!$B$5*('Prestige Patterns'!$B$6^E318-'Prestige Patterns'!$B$6^(E318+G319))/(1-'Prestige Patterns'!$B$6)</f>
        <v>0</v>
      </c>
      <c r="G319" s="8">
        <f>FLOOR(LOG('Prestige Patterns'!$B$6^(E318) - (D318*(1-'Prestige Patterns'!$B$6)/'Prestige Patterns'!$B$5),'Prestige Patterns'!$B$6)-E318,1)</f>
        <v>0</v>
      </c>
      <c r="H319">
        <f t="shared" si="2"/>
        <v>2238</v>
      </c>
      <c r="I319" s="5">
        <f>1+H319*'Prestige Patterns'!$B$25</f>
        <v>23.38</v>
      </c>
      <c r="J319">
        <f>FLOOR((K319/'Prestige Patterns'!$B$22)^'Prestige Patterns'!$B$23,1)-H318</f>
        <v>2622</v>
      </c>
      <c r="K319" s="8">
        <f>K318+N318*'Prestige Patterns'!$B$20</f>
        <v>2362528959498</v>
      </c>
      <c r="L319" s="2">
        <f>IF(J318&gt;='Prestige Patterns'!$B$28,IF(J318/(H318+1)&gt;('Prestige Patterns'!$B$27+1),L318+1,L318),L318)</f>
        <v>5</v>
      </c>
      <c r="N319">
        <f t="shared" si="0"/>
        <v>934661324.79999995</v>
      </c>
      <c r="O319" s="3">
        <f>'Prestige Patterns'!$B$4*E319</f>
        <v>9760</v>
      </c>
      <c r="P319">
        <f t="shared" si="3"/>
        <v>4096</v>
      </c>
      <c r="Q319" s="5"/>
      <c r="R319" s="5"/>
      <c r="S319" s="3">
        <v>318</v>
      </c>
      <c r="T319" s="5"/>
    </row>
    <row r="320" spans="1:20" ht="12">
      <c r="A320" s="1"/>
      <c r="B320" s="1"/>
      <c r="C320" s="2">
        <f>(S320*'Prestige Patterns'!$B$20)/60</f>
        <v>159.5</v>
      </c>
      <c r="D320" s="2">
        <f>IF(L319=L320,N319*'Prestige Patterns'!$B$20+D319-F320,0)</f>
        <v>39125073356.183426</v>
      </c>
      <c r="E320" s="3">
        <f t="shared" si="1"/>
        <v>489</v>
      </c>
      <c r="F320" s="8">
        <f>'Prestige Patterns'!$B$5*('Prestige Patterns'!$B$6^E319-'Prestige Patterns'!$B$6^(E319+G320))/(1-'Prestige Patterns'!$B$6)</f>
        <v>87586654360.753403</v>
      </c>
      <c r="G320" s="8">
        <f>FLOOR(LOG('Prestige Patterns'!$B$6^(E319) - (D319*(1-'Prestige Patterns'!$B$6)/'Prestige Patterns'!$B$5),'Prestige Patterns'!$B$6)-E319,1)</f>
        <v>1</v>
      </c>
      <c r="H320">
        <f t="shared" si="2"/>
        <v>2238</v>
      </c>
      <c r="I320" s="5">
        <f>1+H320*'Prestige Patterns'!$B$25</f>
        <v>23.38</v>
      </c>
      <c r="J320">
        <f>FLOOR((K320/'Prestige Patterns'!$B$22)^'Prestige Patterns'!$B$23,1)-H319</f>
        <v>2651</v>
      </c>
      <c r="K320" s="8">
        <f>K319+N319*'Prestige Patterns'!$B$20</f>
        <v>2390568799242</v>
      </c>
      <c r="L320" s="2">
        <f>IF(J319&gt;='Prestige Patterns'!$B$28,IF(J319/(H319+1)&gt;('Prestige Patterns'!$B$27+1),L319+1,L319),L319)</f>
        <v>5</v>
      </c>
      <c r="N320">
        <f t="shared" si="0"/>
        <v>936576614.39999998</v>
      </c>
      <c r="O320" s="3">
        <f>'Prestige Patterns'!$B$4*E320</f>
        <v>9780</v>
      </c>
      <c r="P320">
        <f t="shared" si="3"/>
        <v>4096</v>
      </c>
      <c r="Q320" s="5"/>
      <c r="R320" s="5"/>
      <c r="S320" s="3">
        <v>319</v>
      </c>
      <c r="T320" s="5"/>
    </row>
    <row r="321" spans="1:20" ht="12">
      <c r="A321" s="1"/>
      <c r="B321" s="1"/>
      <c r="C321" s="2">
        <f>(S321*'Prestige Patterns'!$B$20)/60</f>
        <v>160</v>
      </c>
      <c r="D321" s="2">
        <f>IF(L320=L321,N320*'Prestige Patterns'!$B$20+D320-F321,0)</f>
        <v>67222371788.183426</v>
      </c>
      <c r="E321" s="3">
        <f t="shared" si="1"/>
        <v>489</v>
      </c>
      <c r="F321" s="8">
        <f>'Prestige Patterns'!$B$5*('Prestige Patterns'!$B$6^E320-'Prestige Patterns'!$B$6^(E320+G321))/(1-'Prestige Patterns'!$B$6)</f>
        <v>0</v>
      </c>
      <c r="G321" s="8">
        <f>FLOOR(LOG('Prestige Patterns'!$B$6^(E320) - (D320*(1-'Prestige Patterns'!$B$6)/'Prestige Patterns'!$B$5),'Prestige Patterns'!$B$6)-E320,1)</f>
        <v>0</v>
      </c>
      <c r="H321">
        <f t="shared" si="2"/>
        <v>2238</v>
      </c>
      <c r="I321" s="5">
        <f>1+H321*'Prestige Patterns'!$B$25</f>
        <v>23.38</v>
      </c>
      <c r="J321">
        <f>FLOOR((K321/'Prestige Patterns'!$B$22)^'Prestige Patterns'!$B$23,1)-H320</f>
        <v>2679</v>
      </c>
      <c r="K321" s="8">
        <f>K320+N320*'Prestige Patterns'!$B$20</f>
        <v>2418666097674</v>
      </c>
      <c r="L321" s="2">
        <f>IF(J320&gt;='Prestige Patterns'!$B$28,IF(J320/(H320+1)&gt;('Prestige Patterns'!$B$27+1),L320+1,L320),L320)</f>
        <v>5</v>
      </c>
      <c r="N321">
        <f t="shared" si="0"/>
        <v>936576614.39999998</v>
      </c>
      <c r="O321" s="3">
        <f>'Prestige Patterns'!$B$4*E321</f>
        <v>9780</v>
      </c>
      <c r="P321">
        <f t="shared" si="3"/>
        <v>4096</v>
      </c>
      <c r="Q321" s="5"/>
      <c r="R321" s="5"/>
      <c r="S321" s="3">
        <v>320</v>
      </c>
      <c r="T321" s="5"/>
    </row>
    <row r="322" spans="1:20" ht="12">
      <c r="A322" s="1"/>
      <c r="B322" s="1"/>
      <c r="C322" s="2">
        <f>(S322*'Prestige Patterns'!$B$20)/60</f>
        <v>160.5</v>
      </c>
      <c r="D322" s="2">
        <f>IF(L321=L322,N321*'Prestige Patterns'!$B$20+D321-F322,0)</f>
        <v>95319670220.183426</v>
      </c>
      <c r="E322" s="3">
        <f t="shared" si="1"/>
        <v>489</v>
      </c>
      <c r="F322" s="8">
        <f>'Prestige Patterns'!$B$5*('Prestige Patterns'!$B$6^E321-'Prestige Patterns'!$B$6^(E321+G322))/(1-'Prestige Patterns'!$B$6)</f>
        <v>0</v>
      </c>
      <c r="G322" s="8">
        <f>FLOOR(LOG('Prestige Patterns'!$B$6^(E321) - (D321*(1-'Prestige Patterns'!$B$6)/'Prestige Patterns'!$B$5),'Prestige Patterns'!$B$6)-E321,1)</f>
        <v>0</v>
      </c>
      <c r="H322">
        <f t="shared" si="2"/>
        <v>2238</v>
      </c>
      <c r="I322" s="5">
        <f>1+H322*'Prestige Patterns'!$B$25</f>
        <v>23.38</v>
      </c>
      <c r="J322">
        <f>FLOOR((K322/'Prestige Patterns'!$B$22)^'Prestige Patterns'!$B$23,1)-H321</f>
        <v>2708</v>
      </c>
      <c r="K322" s="8">
        <f>K321+N321*'Prestige Patterns'!$B$20</f>
        <v>2446763396106</v>
      </c>
      <c r="L322" s="2">
        <f>IF(J321&gt;='Prestige Patterns'!$B$28,IF(J321/(H321+1)&gt;('Prestige Patterns'!$B$27+1),L321+1,L321),L321)</f>
        <v>5</v>
      </c>
      <c r="N322">
        <f t="shared" si="0"/>
        <v>936576614.39999998</v>
      </c>
      <c r="O322" s="3">
        <f>'Prestige Patterns'!$B$4*E322</f>
        <v>9780</v>
      </c>
      <c r="P322">
        <f t="shared" si="3"/>
        <v>4096</v>
      </c>
      <c r="Q322" s="5"/>
      <c r="R322" s="5"/>
      <c r="S322" s="3">
        <v>321</v>
      </c>
      <c r="T322" s="5"/>
    </row>
    <row r="323" spans="1:20" ht="12">
      <c r="A323" s="1"/>
      <c r="B323" s="1"/>
      <c r="C323" s="2">
        <f>(S323*'Prestige Patterns'!$B$20)/60</f>
        <v>161</v>
      </c>
      <c r="D323" s="2">
        <f>IF(L322=L323,N322*'Prestige Patterns'!$B$20+D322-F323,0)</f>
        <v>31450981573.392609</v>
      </c>
      <c r="E323" s="3">
        <f t="shared" si="1"/>
        <v>490</v>
      </c>
      <c r="F323" s="8">
        <f>'Prestige Patterns'!$B$5*('Prestige Patterns'!$B$6^E322-'Prestige Patterns'!$B$6^(E322+G323))/(1-'Prestige Patterns'!$B$6)</f>
        <v>91965987078.790817</v>
      </c>
      <c r="G323" s="8">
        <f>FLOOR(LOG('Prestige Patterns'!$B$6^(E322) - (D322*(1-'Prestige Patterns'!$B$6)/'Prestige Patterns'!$B$5),'Prestige Patterns'!$B$6)-E322,1)</f>
        <v>1</v>
      </c>
      <c r="H323">
        <f t="shared" si="2"/>
        <v>2238</v>
      </c>
      <c r="I323" s="5">
        <f>1+H323*'Prestige Patterns'!$B$25</f>
        <v>23.38</v>
      </c>
      <c r="J323">
        <f>FLOOR((K323/'Prestige Patterns'!$B$22)^'Prestige Patterns'!$B$23,1)-H322</f>
        <v>2736</v>
      </c>
      <c r="K323" s="8">
        <f>K322+N322*'Prestige Patterns'!$B$20</f>
        <v>2474860694538</v>
      </c>
      <c r="L323" s="2">
        <f>IF(J322&gt;='Prestige Patterns'!$B$28,IF(J322/(H322+1)&gt;('Prestige Patterns'!$B$27+1),L322+1,L322),L322)</f>
        <v>5</v>
      </c>
      <c r="N323">
        <f t="shared" si="0"/>
        <v>938491904</v>
      </c>
      <c r="O323" s="3">
        <f>'Prestige Patterns'!$B$4*E323</f>
        <v>9800</v>
      </c>
      <c r="P323">
        <f t="shared" si="3"/>
        <v>4096</v>
      </c>
      <c r="Q323" s="5"/>
      <c r="R323" s="5"/>
      <c r="S323" s="3">
        <v>322</v>
      </c>
      <c r="T323" s="5"/>
    </row>
    <row r="324" spans="1:20" ht="12">
      <c r="A324" s="1"/>
      <c r="B324" s="1"/>
      <c r="C324" s="2">
        <f>(S324*'Prestige Patterns'!$B$20)/60</f>
        <v>161.5</v>
      </c>
      <c r="D324" s="2">
        <f>IF(L323=L324,N323*'Prestige Patterns'!$B$20+D323-F324,0)</f>
        <v>59605738693.392609</v>
      </c>
      <c r="E324" s="3">
        <f t="shared" si="1"/>
        <v>490</v>
      </c>
      <c r="F324" s="8">
        <f>'Prestige Patterns'!$B$5*('Prestige Patterns'!$B$6^E323-'Prestige Patterns'!$B$6^(E323+G324))/(1-'Prestige Patterns'!$B$6)</f>
        <v>0</v>
      </c>
      <c r="G324" s="8">
        <f>FLOOR(LOG('Prestige Patterns'!$B$6^(E323) - (D323*(1-'Prestige Patterns'!$B$6)/'Prestige Patterns'!$B$5),'Prestige Patterns'!$B$6)-E323,1)</f>
        <v>0</v>
      </c>
      <c r="H324">
        <f t="shared" si="2"/>
        <v>2238</v>
      </c>
      <c r="I324" s="5">
        <f>1+H324*'Prestige Patterns'!$B$25</f>
        <v>23.38</v>
      </c>
      <c r="J324">
        <f>FLOOR((K324/'Prestige Patterns'!$B$22)^'Prestige Patterns'!$B$23,1)-H323</f>
        <v>2765</v>
      </c>
      <c r="K324" s="8">
        <f>K323+N323*'Prestige Patterns'!$B$20</f>
        <v>2503015451658</v>
      </c>
      <c r="L324" s="2">
        <f>IF(J323&gt;='Prestige Patterns'!$B$28,IF(J323/(H323+1)&gt;('Prestige Patterns'!$B$27+1),L323+1,L323),L323)</f>
        <v>5</v>
      </c>
      <c r="N324">
        <f t="shared" si="0"/>
        <v>938491904</v>
      </c>
      <c r="O324" s="3">
        <f>'Prestige Patterns'!$B$4*E324</f>
        <v>9800</v>
      </c>
      <c r="P324">
        <f t="shared" si="3"/>
        <v>4096</v>
      </c>
      <c r="Q324" s="5"/>
      <c r="R324" s="5"/>
      <c r="S324" s="3">
        <v>323</v>
      </c>
      <c r="T324" s="5"/>
    </row>
    <row r="325" spans="1:20" ht="12">
      <c r="A325" s="1"/>
      <c r="B325" s="1"/>
      <c r="C325" s="2">
        <f>(S325*'Prestige Patterns'!$B$20)/60</f>
        <v>162</v>
      </c>
      <c r="D325" s="2">
        <f>IF(L324=L325,N324*'Prestige Patterns'!$B$20+D324-F325,0)</f>
        <v>87760495813.392609</v>
      </c>
      <c r="E325" s="3">
        <f t="shared" si="1"/>
        <v>490</v>
      </c>
      <c r="F325" s="8">
        <f>'Prestige Patterns'!$B$5*('Prestige Patterns'!$B$6^E324-'Prestige Patterns'!$B$6^(E324+G325))/(1-'Prestige Patterns'!$B$6)</f>
        <v>0</v>
      </c>
      <c r="G325" s="8">
        <f>FLOOR(LOG('Prestige Patterns'!$B$6^(E324) - (D324*(1-'Prestige Patterns'!$B$6)/'Prestige Patterns'!$B$5),'Prestige Patterns'!$B$6)-E324,1)</f>
        <v>0</v>
      </c>
      <c r="H325">
        <f t="shared" si="2"/>
        <v>2238</v>
      </c>
      <c r="I325" s="5">
        <f>1+H325*'Prestige Patterns'!$B$25</f>
        <v>23.38</v>
      </c>
      <c r="J325">
        <f>FLOOR((K325/'Prestige Patterns'!$B$22)^'Prestige Patterns'!$B$23,1)-H324</f>
        <v>2793</v>
      </c>
      <c r="K325" s="8">
        <f>K324+N324*'Prestige Patterns'!$B$20</f>
        <v>2531170208778</v>
      </c>
      <c r="L325" s="2">
        <f>IF(J324&gt;='Prestige Patterns'!$B$28,IF(J324/(H324+1)&gt;('Prestige Patterns'!$B$27+1),L324+1,L324),L324)</f>
        <v>5</v>
      </c>
      <c r="N325">
        <f t="shared" si="0"/>
        <v>938491904</v>
      </c>
      <c r="O325" s="3">
        <f>'Prestige Patterns'!$B$4*E325</f>
        <v>9800</v>
      </c>
      <c r="P325">
        <f t="shared" si="3"/>
        <v>4096</v>
      </c>
      <c r="Q325" s="5"/>
      <c r="R325" s="5"/>
      <c r="S325" s="3">
        <v>324</v>
      </c>
      <c r="T325" s="5"/>
    </row>
    <row r="326" spans="1:20" ht="12">
      <c r="A326" s="1"/>
      <c r="B326" s="1"/>
      <c r="C326" s="2">
        <f>(S326*'Prestige Patterns'!$B$20)/60</f>
        <v>162.5</v>
      </c>
      <c r="D326" s="2">
        <f>IF(L325=L326,N325*'Prestige Patterns'!$B$20+D325-F326,0)</f>
        <v>115915252933.39261</v>
      </c>
      <c r="E326" s="3">
        <f t="shared" si="1"/>
        <v>490</v>
      </c>
      <c r="F326" s="8">
        <f>'Prestige Patterns'!$B$5*('Prestige Patterns'!$B$6^E325-'Prestige Patterns'!$B$6^(E325+G326))/(1-'Prestige Patterns'!$B$6)</f>
        <v>0</v>
      </c>
      <c r="G326" s="8">
        <f>FLOOR(LOG('Prestige Patterns'!$B$6^(E325) - (D325*(1-'Prestige Patterns'!$B$6)/'Prestige Patterns'!$B$5),'Prestige Patterns'!$B$6)-E325,1)</f>
        <v>0</v>
      </c>
      <c r="H326">
        <f t="shared" si="2"/>
        <v>2238</v>
      </c>
      <c r="I326" s="5">
        <f>1+H326*'Prestige Patterns'!$B$25</f>
        <v>23.38</v>
      </c>
      <c r="J326">
        <f>FLOOR((K326/'Prestige Patterns'!$B$22)^'Prestige Patterns'!$B$23,1)-H325</f>
        <v>2820</v>
      </c>
      <c r="K326" s="8">
        <f>K325+N325*'Prestige Patterns'!$B$20</f>
        <v>2559324965898</v>
      </c>
      <c r="L326" s="2">
        <f>IF(J325&gt;='Prestige Patterns'!$B$28,IF(J325/(H325+1)&gt;('Prestige Patterns'!$B$27+1),L325+1,L325),L325)</f>
        <v>5</v>
      </c>
      <c r="N326">
        <f t="shared" si="0"/>
        <v>938491904</v>
      </c>
      <c r="O326" s="3">
        <f>'Prestige Patterns'!$B$4*E326</f>
        <v>9800</v>
      </c>
      <c r="P326">
        <f t="shared" si="3"/>
        <v>4096</v>
      </c>
      <c r="Q326" s="5"/>
      <c r="R326" s="5"/>
      <c r="S326" s="3">
        <v>325</v>
      </c>
      <c r="T326" s="5"/>
    </row>
    <row r="327" spans="1:20" ht="12">
      <c r="A327" s="1"/>
      <c r="B327" s="1"/>
      <c r="C327" s="2">
        <f>(S327*'Prestige Patterns'!$B$20)/60</f>
        <v>163</v>
      </c>
      <c r="D327" s="2">
        <f>IF(L326=L327,N326*'Prestige Patterns'!$B$20+D326-F327,0)</f>
        <v>47505723620.661987</v>
      </c>
      <c r="E327" s="3">
        <f t="shared" si="1"/>
        <v>491</v>
      </c>
      <c r="F327" s="8">
        <f>'Prestige Patterns'!$B$5*('Prestige Patterns'!$B$6^E326-'Prestige Patterns'!$B$6^(E326+G327))/(1-'Prestige Patterns'!$B$6)</f>
        <v>96564286432.730621</v>
      </c>
      <c r="G327" s="8">
        <f>FLOOR(LOG('Prestige Patterns'!$B$6^(E326) - (D326*(1-'Prestige Patterns'!$B$6)/'Prestige Patterns'!$B$5),'Prestige Patterns'!$B$6)-E326,1)</f>
        <v>1</v>
      </c>
      <c r="H327">
        <f t="shared" si="2"/>
        <v>2238</v>
      </c>
      <c r="I327" s="5">
        <f>1+H327*'Prestige Patterns'!$B$25</f>
        <v>23.38</v>
      </c>
      <c r="J327">
        <f>FLOOR((K327/'Prestige Patterns'!$B$22)^'Prestige Patterns'!$B$23,1)-H326</f>
        <v>2848</v>
      </c>
      <c r="K327" s="8">
        <f>K326+N326*'Prestige Patterns'!$B$20</f>
        <v>2587479723018</v>
      </c>
      <c r="L327" s="2">
        <f>IF(J326&gt;='Prestige Patterns'!$B$28,IF(J326/(H326+1)&gt;('Prestige Patterns'!$B$27+1),L326+1,L326),L326)</f>
        <v>5</v>
      </c>
      <c r="N327">
        <f t="shared" si="0"/>
        <v>940407193.5999999</v>
      </c>
      <c r="O327" s="3">
        <f>'Prestige Patterns'!$B$4*E327</f>
        <v>9820</v>
      </c>
      <c r="P327">
        <f t="shared" si="3"/>
        <v>4096</v>
      </c>
      <c r="Q327" s="5"/>
      <c r="R327" s="5"/>
      <c r="S327" s="3">
        <v>326</v>
      </c>
      <c r="T327" s="5"/>
    </row>
    <row r="328" spans="1:20" ht="12">
      <c r="A328" s="1"/>
      <c r="B328" s="1"/>
      <c r="C328" s="2">
        <f>(S328*'Prestige Patterns'!$B$20)/60</f>
        <v>163.5</v>
      </c>
      <c r="D328" s="2">
        <f>IF(L327=L328,N327*'Prestige Patterns'!$B$20+D327-F328,0)</f>
        <v>75717939428.661987</v>
      </c>
      <c r="E328" s="3">
        <f t="shared" si="1"/>
        <v>491</v>
      </c>
      <c r="F328" s="8">
        <f>'Prestige Patterns'!$B$5*('Prestige Patterns'!$B$6^E327-'Prestige Patterns'!$B$6^(E327+G328))/(1-'Prestige Patterns'!$B$6)</f>
        <v>0</v>
      </c>
      <c r="G328" s="8">
        <f>FLOOR(LOG('Prestige Patterns'!$B$6^(E327) - (D327*(1-'Prestige Patterns'!$B$6)/'Prestige Patterns'!$B$5),'Prestige Patterns'!$B$6)-E327,1)</f>
        <v>0</v>
      </c>
      <c r="H328">
        <f t="shared" si="2"/>
        <v>2238</v>
      </c>
      <c r="I328" s="5">
        <f>1+H328*'Prestige Patterns'!$B$25</f>
        <v>23.38</v>
      </c>
      <c r="J328">
        <f>FLOOR((K328/'Prestige Patterns'!$B$22)^'Prestige Patterns'!$B$23,1)-H327</f>
        <v>2876</v>
      </c>
      <c r="K328" s="8">
        <f>K327+N327*'Prestige Patterns'!$B$20</f>
        <v>2615691938826</v>
      </c>
      <c r="L328" s="2">
        <f>IF(J327&gt;='Prestige Patterns'!$B$28,IF(J327/(H327+1)&gt;('Prestige Patterns'!$B$27+1),L327+1,L327),L327)</f>
        <v>5</v>
      </c>
      <c r="N328">
        <f t="shared" si="0"/>
        <v>940407193.5999999</v>
      </c>
      <c r="O328" s="3">
        <f>'Prestige Patterns'!$B$4*E328</f>
        <v>9820</v>
      </c>
      <c r="P328">
        <f t="shared" si="3"/>
        <v>4096</v>
      </c>
      <c r="Q328" s="5"/>
      <c r="R328" s="5"/>
      <c r="S328" s="3">
        <v>327</v>
      </c>
      <c r="T328" s="5"/>
    </row>
    <row r="329" spans="1:20" ht="12">
      <c r="A329" s="1"/>
      <c r="B329" s="1"/>
      <c r="C329" s="2">
        <f>(S329*'Prestige Patterns'!$B$20)/60</f>
        <v>164</v>
      </c>
      <c r="D329" s="2">
        <f>IF(L328=L329,N328*'Prestige Patterns'!$B$20+D328-F329,0)</f>
        <v>103930155236.66199</v>
      </c>
      <c r="E329" s="3">
        <f t="shared" si="1"/>
        <v>491</v>
      </c>
      <c r="F329" s="8">
        <f>'Prestige Patterns'!$B$5*('Prestige Patterns'!$B$6^E328-'Prestige Patterns'!$B$6^(E328+G329))/(1-'Prestige Patterns'!$B$6)</f>
        <v>0</v>
      </c>
      <c r="G329" s="8">
        <f>FLOOR(LOG('Prestige Patterns'!$B$6^(E328) - (D328*(1-'Prestige Patterns'!$B$6)/'Prestige Patterns'!$B$5),'Prestige Patterns'!$B$6)-E328,1)</f>
        <v>0</v>
      </c>
      <c r="H329">
        <f t="shared" si="2"/>
        <v>2238</v>
      </c>
      <c r="I329" s="5">
        <f>1+H329*'Prestige Patterns'!$B$25</f>
        <v>23.38</v>
      </c>
      <c r="J329">
        <f>FLOOR((K329/'Prestige Patterns'!$B$22)^'Prestige Patterns'!$B$23,1)-H328</f>
        <v>2903</v>
      </c>
      <c r="K329" s="8">
        <f>K328+N328*'Prestige Patterns'!$B$20</f>
        <v>2643904154634</v>
      </c>
      <c r="L329" s="2">
        <f>IF(J328&gt;='Prestige Patterns'!$B$28,IF(J328/(H328+1)&gt;('Prestige Patterns'!$B$27+1),L328+1,L328),L328)</f>
        <v>5</v>
      </c>
      <c r="N329">
        <f t="shared" si="0"/>
        <v>940407193.5999999</v>
      </c>
      <c r="O329" s="3">
        <f>'Prestige Patterns'!$B$4*E329</f>
        <v>9820</v>
      </c>
      <c r="P329">
        <f t="shared" si="3"/>
        <v>4096</v>
      </c>
      <c r="Q329" s="5"/>
      <c r="R329" s="5"/>
      <c r="S329" s="3">
        <v>328</v>
      </c>
      <c r="T329" s="5"/>
    </row>
    <row r="330" spans="1:20" ht="12">
      <c r="A330" s="1"/>
      <c r="B330" s="1"/>
      <c r="C330" s="2">
        <f>(S330*'Prestige Patterns'!$B$20)/60</f>
        <v>164.5</v>
      </c>
      <c r="D330" s="2">
        <f>IF(L329=L330,N329*'Prestige Patterns'!$B$20+D329-F330,0)</f>
        <v>30749870290.295624</v>
      </c>
      <c r="E330" s="3">
        <f t="shared" si="1"/>
        <v>492</v>
      </c>
      <c r="F330" s="8">
        <f>'Prestige Patterns'!$B$5*('Prestige Patterns'!$B$6^E329-'Prestige Patterns'!$B$6^(E329+G330))/(1-'Prestige Patterns'!$B$6)</f>
        <v>101392500754.36636</v>
      </c>
      <c r="G330" s="8">
        <f>FLOOR(LOG('Prestige Patterns'!$B$6^(E329) - (D329*(1-'Prestige Patterns'!$B$6)/'Prestige Patterns'!$B$5),'Prestige Patterns'!$B$6)-E329,1)</f>
        <v>1</v>
      </c>
      <c r="H330">
        <f t="shared" si="2"/>
        <v>2238</v>
      </c>
      <c r="I330" s="5">
        <f>1+H330*'Prestige Patterns'!$B$25</f>
        <v>23.38</v>
      </c>
      <c r="J330">
        <f>FLOOR((K330/'Prestige Patterns'!$B$22)^'Prestige Patterns'!$B$23,1)-H329</f>
        <v>2931</v>
      </c>
      <c r="K330" s="8">
        <f>K329+N329*'Prestige Patterns'!$B$20</f>
        <v>2672116370442</v>
      </c>
      <c r="L330" s="2">
        <f>IF(J329&gt;='Prestige Patterns'!$B$28,IF(J329/(H329+1)&gt;('Prestige Patterns'!$B$27+1),L329+1,L329),L329)</f>
        <v>5</v>
      </c>
      <c r="N330">
        <f t="shared" si="0"/>
        <v>942322483.19999993</v>
      </c>
      <c r="O330" s="3">
        <f>'Prestige Patterns'!$B$4*E330</f>
        <v>9840</v>
      </c>
      <c r="P330">
        <f t="shared" si="3"/>
        <v>4096</v>
      </c>
      <c r="Q330" s="5"/>
      <c r="R330" s="5"/>
      <c r="S330" s="3">
        <v>329</v>
      </c>
      <c r="T330" s="5"/>
    </row>
    <row r="331" spans="1:20" ht="12">
      <c r="A331" s="1"/>
      <c r="B331" s="1"/>
      <c r="C331" s="2">
        <f>(S331*'Prestige Patterns'!$B$20)/60</f>
        <v>165</v>
      </c>
      <c r="D331" s="2">
        <f>IF(L330=L331,N330*'Prestige Patterns'!$B$20+D330-F331,0)</f>
        <v>59019544786.295624</v>
      </c>
      <c r="E331" s="3">
        <f t="shared" si="1"/>
        <v>492</v>
      </c>
      <c r="F331" s="8">
        <f>'Prestige Patterns'!$B$5*('Prestige Patterns'!$B$6^E330-'Prestige Patterns'!$B$6^(E330+G331))/(1-'Prestige Patterns'!$B$6)</f>
        <v>0</v>
      </c>
      <c r="G331" s="8">
        <f>FLOOR(LOG('Prestige Patterns'!$B$6^(E330) - (D330*(1-'Prestige Patterns'!$B$6)/'Prestige Patterns'!$B$5),'Prestige Patterns'!$B$6)-E330,1)</f>
        <v>0</v>
      </c>
      <c r="H331">
        <f t="shared" si="2"/>
        <v>2238</v>
      </c>
      <c r="I331" s="5">
        <f>1+H331*'Prestige Patterns'!$B$25</f>
        <v>23.38</v>
      </c>
      <c r="J331">
        <f>FLOOR((K331/'Prestige Patterns'!$B$22)^'Prestige Patterns'!$B$23,1)-H330</f>
        <v>2958</v>
      </c>
      <c r="K331" s="8">
        <f>K330+N330*'Prestige Patterns'!$B$20</f>
        <v>2700386044938</v>
      </c>
      <c r="L331" s="2">
        <f>IF(J330&gt;='Prestige Patterns'!$B$28,IF(J330/(H330+1)&gt;('Prestige Patterns'!$B$27+1),L330+1,L330),L330)</f>
        <v>5</v>
      </c>
      <c r="N331">
        <f t="shared" si="0"/>
        <v>942322483.19999993</v>
      </c>
      <c r="O331" s="3">
        <f>'Prestige Patterns'!$B$4*E331</f>
        <v>9840</v>
      </c>
      <c r="P331">
        <f t="shared" si="3"/>
        <v>4096</v>
      </c>
      <c r="Q331" s="5"/>
      <c r="R331" s="5"/>
      <c r="S331" s="3">
        <v>330</v>
      </c>
      <c r="T331" s="5"/>
    </row>
    <row r="332" spans="1:20" ht="12">
      <c r="A332" s="1"/>
      <c r="B332" s="1"/>
      <c r="C332" s="2">
        <f>(S332*'Prestige Patterns'!$B$20)/60</f>
        <v>165.5</v>
      </c>
      <c r="D332" s="2">
        <f>IF(L331=L332,N331*'Prestige Patterns'!$B$20+D331-F332,0)</f>
        <v>87289219282.295624</v>
      </c>
      <c r="E332" s="3">
        <f t="shared" si="1"/>
        <v>492</v>
      </c>
      <c r="F332" s="8">
        <f>'Prestige Patterns'!$B$5*('Prestige Patterns'!$B$6^E331-'Prestige Patterns'!$B$6^(E331+G332))/(1-'Prestige Patterns'!$B$6)</f>
        <v>0</v>
      </c>
      <c r="G332" s="8">
        <f>FLOOR(LOG('Prestige Patterns'!$B$6^(E331) - (D331*(1-'Prestige Patterns'!$B$6)/'Prestige Patterns'!$B$5),'Prestige Patterns'!$B$6)-E331,1)</f>
        <v>0</v>
      </c>
      <c r="H332">
        <f t="shared" si="2"/>
        <v>2238</v>
      </c>
      <c r="I332" s="5">
        <f>1+H332*'Prestige Patterns'!$B$25</f>
        <v>23.38</v>
      </c>
      <c r="J332">
        <f>FLOOR((K332/'Prestige Patterns'!$B$22)^'Prestige Patterns'!$B$23,1)-H331</f>
        <v>2985</v>
      </c>
      <c r="K332" s="8">
        <f>K331+N331*'Prestige Patterns'!$B$20</f>
        <v>2728655719434</v>
      </c>
      <c r="L332" s="2">
        <f>IF(J331&gt;='Prestige Patterns'!$B$28,IF(J331/(H331+1)&gt;('Prestige Patterns'!$B$27+1),L331+1,L331),L331)</f>
        <v>5</v>
      </c>
      <c r="N332">
        <f t="shared" si="0"/>
        <v>942322483.19999993</v>
      </c>
      <c r="O332" s="3">
        <f>'Prestige Patterns'!$B$4*E332</f>
        <v>9840</v>
      </c>
      <c r="P332">
        <f t="shared" si="3"/>
        <v>4096</v>
      </c>
      <c r="Q332" s="5"/>
      <c r="R332" s="5"/>
      <c r="S332" s="3">
        <v>331</v>
      </c>
      <c r="T332" s="5"/>
    </row>
    <row r="333" spans="1:20" ht="12">
      <c r="A333" s="1"/>
      <c r="B333" s="1"/>
      <c r="C333" s="2">
        <f>(S333*'Prestige Patterns'!$B$20)/60</f>
        <v>166</v>
      </c>
      <c r="D333" s="2">
        <f>IF(L332=L333,N332*'Prestige Patterns'!$B$20+D332-F333,0)</f>
        <v>115558893778.29562</v>
      </c>
      <c r="E333" s="3">
        <f t="shared" si="1"/>
        <v>492</v>
      </c>
      <c r="F333" s="8">
        <f>'Prestige Patterns'!$B$5*('Prestige Patterns'!$B$6^E332-'Prestige Patterns'!$B$6^(E332+G333))/(1-'Prestige Patterns'!$B$6)</f>
        <v>0</v>
      </c>
      <c r="G333" s="8">
        <f>FLOOR(LOG('Prestige Patterns'!$B$6^(E332) - (D332*(1-'Prestige Patterns'!$B$6)/'Prestige Patterns'!$B$5),'Prestige Patterns'!$B$6)-E332,1)</f>
        <v>0</v>
      </c>
      <c r="H333">
        <f t="shared" si="2"/>
        <v>2238</v>
      </c>
      <c r="I333" s="5">
        <f>1+H333*'Prestige Patterns'!$B$25</f>
        <v>23.38</v>
      </c>
      <c r="J333">
        <f>FLOOR((K333/'Prestige Patterns'!$B$22)^'Prestige Patterns'!$B$23,1)-H332</f>
        <v>3012</v>
      </c>
      <c r="K333" s="8">
        <f>K332+N332*'Prestige Patterns'!$B$20</f>
        <v>2756925393930</v>
      </c>
      <c r="L333" s="2">
        <f>IF(J332&gt;='Prestige Patterns'!$B$28,IF(J332/(H332+1)&gt;('Prestige Patterns'!$B$27+1),L332+1,L332),L332)</f>
        <v>5</v>
      </c>
      <c r="N333">
        <f t="shared" si="0"/>
        <v>942322483.19999993</v>
      </c>
      <c r="O333" s="3">
        <f>'Prestige Patterns'!$B$4*E333</f>
        <v>9840</v>
      </c>
      <c r="P333">
        <f t="shared" si="3"/>
        <v>4096</v>
      </c>
      <c r="Q333" s="5"/>
      <c r="R333" s="5"/>
      <c r="S333" s="3">
        <v>332</v>
      </c>
      <c r="T333" s="5"/>
    </row>
    <row r="334" spans="1:20" ht="12">
      <c r="A334" s="1"/>
      <c r="B334" s="1"/>
      <c r="C334" s="2">
        <f>(S334*'Prestige Patterns'!$B$20)/60</f>
        <v>166.5</v>
      </c>
      <c r="D334" s="2">
        <f>IF(L333=L334,N333*'Prestige Patterns'!$B$20+D333-F334,0)</f>
        <v>37366442482.209839</v>
      </c>
      <c r="E334" s="3">
        <f t="shared" si="1"/>
        <v>493</v>
      </c>
      <c r="F334" s="8">
        <f>'Prestige Patterns'!$B$5*('Prestige Patterns'!$B$6^E333-'Prestige Patterns'!$B$6^(E333+G334))/(1-'Prestige Patterns'!$B$6)</f>
        <v>106462125792.08578</v>
      </c>
      <c r="G334" s="8">
        <f>FLOOR(LOG('Prestige Patterns'!$B$6^(E333) - (D333*(1-'Prestige Patterns'!$B$6)/'Prestige Patterns'!$B$5),'Prestige Patterns'!$B$6)-E333,1)</f>
        <v>1</v>
      </c>
      <c r="H334">
        <f t="shared" si="2"/>
        <v>2238</v>
      </c>
      <c r="I334" s="5">
        <f>1+H334*'Prestige Patterns'!$B$25</f>
        <v>23.38</v>
      </c>
      <c r="J334">
        <f>FLOOR((K334/'Prestige Patterns'!$B$22)^'Prestige Patterns'!$B$23,1)-H333</f>
        <v>3039</v>
      </c>
      <c r="K334" s="8">
        <f>K333+N333*'Prestige Patterns'!$B$20</f>
        <v>2785195068426</v>
      </c>
      <c r="L334" s="2">
        <f>IF(J333&gt;='Prestige Patterns'!$B$28,IF(J333/(H333+1)&gt;('Prestige Patterns'!$B$27+1),L333+1,L333),L333)</f>
        <v>5</v>
      </c>
      <c r="N334">
        <f t="shared" si="0"/>
        <v>944237772.79999995</v>
      </c>
      <c r="O334" s="3">
        <f>'Prestige Patterns'!$B$4*E334</f>
        <v>9860</v>
      </c>
      <c r="P334">
        <f t="shared" si="3"/>
        <v>4096</v>
      </c>
      <c r="Q334" s="5"/>
      <c r="R334" s="5"/>
      <c r="S334" s="3">
        <v>333</v>
      </c>
      <c r="T334" s="5"/>
    </row>
    <row r="335" spans="1:20" ht="12">
      <c r="A335" s="1"/>
      <c r="B335" s="1"/>
      <c r="C335" s="2">
        <f>(S335*'Prestige Patterns'!$B$20)/60</f>
        <v>167</v>
      </c>
      <c r="D335" s="2">
        <f>IF(L334=L335,N334*'Prestige Patterns'!$B$20+D334-F335,0)</f>
        <v>65693575666.209839</v>
      </c>
      <c r="E335" s="3">
        <f t="shared" si="1"/>
        <v>493</v>
      </c>
      <c r="F335" s="8">
        <f>'Prestige Patterns'!$B$5*('Prestige Patterns'!$B$6^E334-'Prestige Patterns'!$B$6^(E334+G335))/(1-'Prestige Patterns'!$B$6)</f>
        <v>0</v>
      </c>
      <c r="G335" s="8">
        <f>FLOOR(LOG('Prestige Patterns'!$B$6^(E334) - (D334*(1-'Prestige Patterns'!$B$6)/'Prestige Patterns'!$B$5),'Prestige Patterns'!$B$6)-E334,1)</f>
        <v>0</v>
      </c>
      <c r="H335">
        <f t="shared" si="2"/>
        <v>2238</v>
      </c>
      <c r="I335" s="5">
        <f>1+H335*'Prestige Patterns'!$B$25</f>
        <v>23.38</v>
      </c>
      <c r="J335">
        <f>FLOOR((K335/'Prestige Patterns'!$B$22)^'Prestige Patterns'!$B$23,1)-H334</f>
        <v>3066</v>
      </c>
      <c r="K335" s="8">
        <f>K334+N334*'Prestige Patterns'!$B$20</f>
        <v>2813522201610</v>
      </c>
      <c r="L335" s="2">
        <f>IF(J334&gt;='Prestige Patterns'!$B$28,IF(J334/(H334+1)&gt;('Prestige Patterns'!$B$27+1),L334+1,L334),L334)</f>
        <v>5</v>
      </c>
      <c r="N335">
        <f t="shared" si="0"/>
        <v>944237772.79999995</v>
      </c>
      <c r="O335" s="3">
        <f>'Prestige Patterns'!$B$4*E335</f>
        <v>9860</v>
      </c>
      <c r="P335">
        <f t="shared" si="3"/>
        <v>4096</v>
      </c>
      <c r="Q335" s="5"/>
      <c r="R335" s="5"/>
      <c r="S335" s="3">
        <v>334</v>
      </c>
      <c r="T335" s="5"/>
    </row>
    <row r="336" spans="1:20" ht="12">
      <c r="A336" s="1"/>
      <c r="B336" s="1"/>
      <c r="C336" s="2">
        <f>(S336*'Prestige Patterns'!$B$20)/60</f>
        <v>167.5</v>
      </c>
      <c r="D336" s="2">
        <f>IF(L335=L336,N335*'Prestige Patterns'!$B$20+D335-F336,0)</f>
        <v>94020708850.209839</v>
      </c>
      <c r="E336" s="3">
        <f t="shared" si="1"/>
        <v>493</v>
      </c>
      <c r="F336" s="8">
        <f>'Prestige Patterns'!$B$5*('Prestige Patterns'!$B$6^E335-'Prestige Patterns'!$B$6^(E335+G336))/(1-'Prestige Patterns'!$B$6)</f>
        <v>0</v>
      </c>
      <c r="G336" s="8">
        <f>FLOOR(LOG('Prestige Patterns'!$B$6^(E335) - (D335*(1-'Prestige Patterns'!$B$6)/'Prestige Patterns'!$B$5),'Prestige Patterns'!$B$6)-E335,1)</f>
        <v>0</v>
      </c>
      <c r="H336">
        <f t="shared" si="2"/>
        <v>2238</v>
      </c>
      <c r="I336" s="5">
        <f>1+H336*'Prestige Patterns'!$B$25</f>
        <v>23.38</v>
      </c>
      <c r="J336">
        <f>FLOOR((K336/'Prestige Patterns'!$B$22)^'Prestige Patterns'!$B$23,1)-H335</f>
        <v>3092</v>
      </c>
      <c r="K336" s="8">
        <f>K335+N335*'Prestige Patterns'!$B$20</f>
        <v>2841849334794</v>
      </c>
      <c r="L336" s="2">
        <f>IF(J335&gt;='Prestige Patterns'!$B$28,IF(J335/(H335+1)&gt;('Prestige Patterns'!$B$27+1),L335+1,L335),L335)</f>
        <v>5</v>
      </c>
      <c r="N336">
        <f t="shared" si="0"/>
        <v>944237772.79999995</v>
      </c>
      <c r="O336" s="3">
        <f>'Prestige Patterns'!$B$4*E336</f>
        <v>9860</v>
      </c>
      <c r="P336">
        <f t="shared" si="3"/>
        <v>4096</v>
      </c>
      <c r="Q336" s="5"/>
      <c r="R336" s="5"/>
      <c r="S336" s="3">
        <v>335</v>
      </c>
      <c r="T336" s="5"/>
    </row>
    <row r="337" spans="1:20" ht="12">
      <c r="A337" s="1"/>
      <c r="B337" s="1"/>
      <c r="C337" s="2">
        <f>(S337*'Prestige Patterns'!$B$20)/60</f>
        <v>168</v>
      </c>
      <c r="D337" s="2">
        <f>IF(L336=L337,N336*'Prestige Patterns'!$B$20+D336-F337,0)</f>
        <v>122347842034.20984</v>
      </c>
      <c r="E337" s="3">
        <f t="shared" si="1"/>
        <v>493</v>
      </c>
      <c r="F337" s="8">
        <f>'Prestige Patterns'!$B$5*('Prestige Patterns'!$B$6^E336-'Prestige Patterns'!$B$6^(E336+G337))/(1-'Prestige Patterns'!$B$6)</f>
        <v>0</v>
      </c>
      <c r="G337" s="8">
        <f>FLOOR(LOG('Prestige Patterns'!$B$6^(E336) - (D336*(1-'Prestige Patterns'!$B$6)/'Prestige Patterns'!$B$5),'Prestige Patterns'!$B$6)-E336,1)</f>
        <v>0</v>
      </c>
      <c r="H337">
        <f t="shared" si="2"/>
        <v>2238</v>
      </c>
      <c r="I337" s="5">
        <f>1+H337*'Prestige Patterns'!$B$25</f>
        <v>23.38</v>
      </c>
      <c r="J337">
        <f>FLOOR((K337/'Prestige Patterns'!$B$22)^'Prestige Patterns'!$B$23,1)-H336</f>
        <v>3119</v>
      </c>
      <c r="K337" s="8">
        <f>K336+N336*'Prestige Patterns'!$B$20</f>
        <v>2870176467978</v>
      </c>
      <c r="L337" s="2">
        <f>IF(J336&gt;='Prestige Patterns'!$B$28,IF(J336/(H336+1)&gt;('Prestige Patterns'!$B$27+1),L336+1,L336),L336)</f>
        <v>5</v>
      </c>
      <c r="N337">
        <f t="shared" si="0"/>
        <v>944237772.79999995</v>
      </c>
      <c r="O337" s="3">
        <f>'Prestige Patterns'!$B$4*E337</f>
        <v>9860</v>
      </c>
      <c r="P337">
        <f t="shared" si="3"/>
        <v>4096</v>
      </c>
      <c r="Q337" s="5"/>
      <c r="R337" s="5"/>
      <c r="S337" s="3">
        <v>336</v>
      </c>
      <c r="T337" s="5"/>
    </row>
    <row r="338" spans="1:20" ht="12">
      <c r="A338" s="1"/>
      <c r="B338" s="1"/>
      <c r="C338" s="2">
        <f>(S338*'Prestige Patterns'!$B$20)/60</f>
        <v>168.5</v>
      </c>
      <c r="D338" s="2">
        <f>IF(L337=L338,N337*'Prestige Patterns'!$B$20+D337-F338,0)</f>
        <v>38889743136.521103</v>
      </c>
      <c r="E338" s="3">
        <f t="shared" si="1"/>
        <v>494</v>
      </c>
      <c r="F338" s="8">
        <f>'Prestige Patterns'!$B$5*('Prestige Patterns'!$B$6^E337-'Prestige Patterns'!$B$6^(E337+G338))/(1-'Prestige Patterns'!$B$6)</f>
        <v>111785232081.68874</v>
      </c>
      <c r="G338" s="8">
        <f>FLOOR(LOG('Prestige Patterns'!$B$6^(E337) - (D337*(1-'Prestige Patterns'!$B$6)/'Prestige Patterns'!$B$5),'Prestige Patterns'!$B$6)-E337,1)</f>
        <v>1</v>
      </c>
      <c r="H338">
        <f t="shared" si="2"/>
        <v>2238</v>
      </c>
      <c r="I338" s="5">
        <f>1+H338*'Prestige Patterns'!$B$25</f>
        <v>23.38</v>
      </c>
      <c r="J338">
        <f>FLOOR((K338/'Prestige Patterns'!$B$22)^'Prestige Patterns'!$B$23,1)-H337</f>
        <v>3145</v>
      </c>
      <c r="K338" s="8">
        <f>K337+N337*'Prestige Patterns'!$B$20</f>
        <v>2898503601162</v>
      </c>
      <c r="L338" s="2">
        <f>IF(J337&gt;='Prestige Patterns'!$B$28,IF(J337/(H337+1)&gt;('Prestige Patterns'!$B$27+1),L337+1,L337),L337)</f>
        <v>5</v>
      </c>
      <c r="N338">
        <f t="shared" si="0"/>
        <v>946153062.39999998</v>
      </c>
      <c r="O338" s="3">
        <f>'Prestige Patterns'!$B$4*E338</f>
        <v>9880</v>
      </c>
      <c r="P338">
        <f t="shared" si="3"/>
        <v>4096</v>
      </c>
      <c r="Q338" s="5"/>
      <c r="R338" s="5"/>
      <c r="S338" s="3">
        <v>337</v>
      </c>
      <c r="T338" s="5"/>
    </row>
    <row r="339" spans="1:20" ht="12">
      <c r="A339" s="1"/>
      <c r="B339" s="1"/>
      <c r="C339" s="2">
        <f>(S339*'Prestige Patterns'!$B$20)/60</f>
        <v>169</v>
      </c>
      <c r="D339" s="2">
        <f>IF(L338=L339,N338*'Prestige Patterns'!$B$20+D338-F339,0)</f>
        <v>67274335008.521103</v>
      </c>
      <c r="E339" s="3">
        <f t="shared" si="1"/>
        <v>494</v>
      </c>
      <c r="F339" s="8">
        <f>'Prestige Patterns'!$B$5*('Prestige Patterns'!$B$6^E338-'Prestige Patterns'!$B$6^(E338+G339))/(1-'Prestige Patterns'!$B$6)</f>
        <v>0</v>
      </c>
      <c r="G339" s="8">
        <f>FLOOR(LOG('Prestige Patterns'!$B$6^(E338) - (D338*(1-'Prestige Patterns'!$B$6)/'Prestige Patterns'!$B$5),'Prestige Patterns'!$B$6)-E338,1)</f>
        <v>0</v>
      </c>
      <c r="H339">
        <f t="shared" si="2"/>
        <v>2238</v>
      </c>
      <c r="I339" s="5">
        <f>1+H339*'Prestige Patterns'!$B$25</f>
        <v>23.38</v>
      </c>
      <c r="J339">
        <f>FLOOR((K339/'Prestige Patterns'!$B$22)^'Prestige Patterns'!$B$23,1)-H338</f>
        <v>3172</v>
      </c>
      <c r="K339" s="8">
        <f>K338+N338*'Prestige Patterns'!$B$20</f>
        <v>2926888193034</v>
      </c>
      <c r="L339" s="2">
        <f>IF(J338&gt;='Prestige Patterns'!$B$28,IF(J338/(H338+1)&gt;('Prestige Patterns'!$B$27+1),L338+1,L338),L338)</f>
        <v>5</v>
      </c>
      <c r="N339">
        <f t="shared" si="0"/>
        <v>946153062.39999998</v>
      </c>
      <c r="O339" s="3">
        <f>'Prestige Patterns'!$B$4*E339</f>
        <v>9880</v>
      </c>
      <c r="P339">
        <f t="shared" si="3"/>
        <v>4096</v>
      </c>
      <c r="Q339" s="5"/>
      <c r="R339" s="5"/>
      <c r="S339" s="3">
        <v>338</v>
      </c>
      <c r="T339" s="5"/>
    </row>
    <row r="340" spans="1:20" ht="12">
      <c r="A340" s="1"/>
      <c r="B340" s="1"/>
      <c r="C340" s="2">
        <f>(S340*'Prestige Patterns'!$B$20)/60</f>
        <v>169.5</v>
      </c>
      <c r="D340" s="2">
        <f>IF(L339=L340,N339*'Prestige Patterns'!$B$20+D339-F340,0)</f>
        <v>95658926880.521103</v>
      </c>
      <c r="E340" s="3">
        <f t="shared" si="1"/>
        <v>494</v>
      </c>
      <c r="F340" s="8">
        <f>'Prestige Patterns'!$B$5*('Prestige Patterns'!$B$6^E339-'Prestige Patterns'!$B$6^(E339+G340))/(1-'Prestige Patterns'!$B$6)</f>
        <v>0</v>
      </c>
      <c r="G340" s="8">
        <f>FLOOR(LOG('Prestige Patterns'!$B$6^(E339) - (D339*(1-'Prestige Patterns'!$B$6)/'Prestige Patterns'!$B$5),'Prestige Patterns'!$B$6)-E339,1)</f>
        <v>0</v>
      </c>
      <c r="H340">
        <f t="shared" si="2"/>
        <v>2238</v>
      </c>
      <c r="I340" s="5">
        <f>1+H340*'Prestige Patterns'!$B$25</f>
        <v>23.38</v>
      </c>
      <c r="J340">
        <f>FLOOR((K340/'Prestige Patterns'!$B$22)^'Prestige Patterns'!$B$23,1)-H339</f>
        <v>3198</v>
      </c>
      <c r="K340" s="8">
        <f>K339+N339*'Prestige Patterns'!$B$20</f>
        <v>2955272784906</v>
      </c>
      <c r="L340" s="2">
        <f>IF(J339&gt;='Prestige Patterns'!$B$28,IF(J339/(H339+1)&gt;('Prestige Patterns'!$B$27+1),L339+1,L339),L339)</f>
        <v>5</v>
      </c>
      <c r="N340">
        <f t="shared" si="0"/>
        <v>946153062.39999998</v>
      </c>
      <c r="O340" s="3">
        <f>'Prestige Patterns'!$B$4*E340</f>
        <v>9880</v>
      </c>
      <c r="P340">
        <f t="shared" si="3"/>
        <v>4096</v>
      </c>
      <c r="Q340" s="5"/>
      <c r="R340" s="5"/>
      <c r="S340" s="3">
        <v>339</v>
      </c>
      <c r="T340" s="5"/>
    </row>
    <row r="341" spans="1:20" ht="12">
      <c r="A341" s="1"/>
      <c r="B341" s="1"/>
      <c r="C341" s="2">
        <f>(S341*'Prestige Patterns'!$B$20)/60</f>
        <v>170</v>
      </c>
      <c r="D341" s="2">
        <f>IF(L340=L341,N340*'Prestige Patterns'!$B$20+D340-F341,0)</f>
        <v>124043518752.5211</v>
      </c>
      <c r="E341" s="3">
        <f t="shared" si="1"/>
        <v>494</v>
      </c>
      <c r="F341" s="8">
        <f>'Prestige Patterns'!$B$5*('Prestige Patterns'!$B$6^E340-'Prestige Patterns'!$B$6^(E340+G341))/(1-'Prestige Patterns'!$B$6)</f>
        <v>0</v>
      </c>
      <c r="G341" s="8">
        <f>FLOOR(LOG('Prestige Patterns'!$B$6^(E340) - (D340*(1-'Prestige Patterns'!$B$6)/'Prestige Patterns'!$B$5),'Prestige Patterns'!$B$6)-E340,1)</f>
        <v>0</v>
      </c>
      <c r="H341">
        <f t="shared" si="2"/>
        <v>2238</v>
      </c>
      <c r="I341" s="5">
        <f>1+H341*'Prestige Patterns'!$B$25</f>
        <v>23.38</v>
      </c>
      <c r="J341">
        <f>FLOOR((K341/'Prestige Patterns'!$B$22)^'Prestige Patterns'!$B$23,1)-H340</f>
        <v>3224</v>
      </c>
      <c r="K341" s="8">
        <f>K340+N340*'Prestige Patterns'!$B$20</f>
        <v>2983657376778</v>
      </c>
      <c r="L341" s="2">
        <f>IF(J340&gt;='Prestige Patterns'!$B$28,IF(J340/(H340+1)&gt;('Prestige Patterns'!$B$27+1),L340+1,L340),L340)</f>
        <v>5</v>
      </c>
      <c r="N341">
        <f t="shared" si="0"/>
        <v>946153062.39999998</v>
      </c>
      <c r="O341" s="3">
        <f>'Prestige Patterns'!$B$4*E341</f>
        <v>9880</v>
      </c>
      <c r="P341">
        <f t="shared" si="3"/>
        <v>4096</v>
      </c>
      <c r="Q341" s="5"/>
      <c r="R341" s="5"/>
      <c r="S341" s="3">
        <v>340</v>
      </c>
      <c r="T341" s="5"/>
    </row>
    <row r="342" spans="1:20" ht="12">
      <c r="A342" s="1"/>
      <c r="B342" s="1"/>
      <c r="C342" s="2">
        <f>(S342*'Prestige Patterns'!$B$20)/60</f>
        <v>170.5</v>
      </c>
      <c r="D342" s="2">
        <f>IF(L341=L342,N341*'Prestige Patterns'!$B$20+D341-F342,0)</f>
        <v>35053616938.746078</v>
      </c>
      <c r="E342" s="3">
        <f t="shared" si="1"/>
        <v>495</v>
      </c>
      <c r="F342" s="8">
        <f>'Prestige Patterns'!$B$5*('Prestige Patterns'!$B$6^E341-'Prestige Patterns'!$B$6^(E341+G342))/(1-'Prestige Patterns'!$B$6)</f>
        <v>117374493685.77504</v>
      </c>
      <c r="G342" s="8">
        <f>FLOOR(LOG('Prestige Patterns'!$B$6^(E341) - (D341*(1-'Prestige Patterns'!$B$6)/'Prestige Patterns'!$B$5),'Prestige Patterns'!$B$6)-E341,1)</f>
        <v>1</v>
      </c>
      <c r="H342">
        <f t="shared" si="2"/>
        <v>2238</v>
      </c>
      <c r="I342" s="5">
        <f>1+H342*'Prestige Patterns'!$B$25</f>
        <v>23.38</v>
      </c>
      <c r="J342">
        <f>FLOOR((K342/'Prestige Patterns'!$B$22)^'Prestige Patterns'!$B$23,1)-H341</f>
        <v>3250</v>
      </c>
      <c r="K342" s="8">
        <f>K341+N341*'Prestige Patterns'!$B$20</f>
        <v>3012041968650</v>
      </c>
      <c r="L342" s="2">
        <f>IF(J341&gt;='Prestige Patterns'!$B$28,IF(J341/(H341+1)&gt;('Prestige Patterns'!$B$27+1),L341+1,L341),L341)</f>
        <v>5</v>
      </c>
      <c r="N342">
        <f t="shared" si="0"/>
        <v>948068352</v>
      </c>
      <c r="O342" s="3">
        <f>'Prestige Patterns'!$B$4*E342</f>
        <v>9900</v>
      </c>
      <c r="P342">
        <f t="shared" si="3"/>
        <v>4096</v>
      </c>
      <c r="Q342" s="5"/>
      <c r="R342" s="5"/>
      <c r="S342" s="3">
        <v>341</v>
      </c>
      <c r="T342" s="5"/>
    </row>
    <row r="343" spans="1:20" ht="12">
      <c r="A343" s="1"/>
      <c r="B343" s="1"/>
      <c r="C343" s="2">
        <f>(S343*'Prestige Patterns'!$B$20)/60</f>
        <v>171</v>
      </c>
      <c r="D343" s="2">
        <f>IF(L342=L343,N342*'Prestige Patterns'!$B$20+D342-F343,0)</f>
        <v>63495667498.746078</v>
      </c>
      <c r="E343" s="3">
        <f t="shared" si="1"/>
        <v>495</v>
      </c>
      <c r="F343" s="8">
        <f>'Prestige Patterns'!$B$5*('Prestige Patterns'!$B$6^E342-'Prestige Patterns'!$B$6^(E342+G343))/(1-'Prestige Patterns'!$B$6)</f>
        <v>0</v>
      </c>
      <c r="G343" s="8">
        <f>FLOOR(LOG('Prestige Patterns'!$B$6^(E342) - (D342*(1-'Prestige Patterns'!$B$6)/'Prestige Patterns'!$B$5),'Prestige Patterns'!$B$6)-E342,1)</f>
        <v>0</v>
      </c>
      <c r="H343">
        <f t="shared" si="2"/>
        <v>2238</v>
      </c>
      <c r="I343" s="5">
        <f>1+H343*'Prestige Patterns'!$B$25</f>
        <v>23.38</v>
      </c>
      <c r="J343">
        <f>FLOOR((K343/'Prestige Patterns'!$B$22)^'Prestige Patterns'!$B$23,1)-H342</f>
        <v>3276</v>
      </c>
      <c r="K343" s="8">
        <f>K342+N342*'Prestige Patterns'!$B$20</f>
        <v>3040484019210</v>
      </c>
      <c r="L343" s="2">
        <f>IF(J342&gt;='Prestige Patterns'!$B$28,IF(J342/(H342+1)&gt;('Prestige Patterns'!$B$27+1),L342+1,L342),L342)</f>
        <v>5</v>
      </c>
      <c r="N343">
        <f t="shared" si="0"/>
        <v>948068352</v>
      </c>
      <c r="O343" s="3">
        <f>'Prestige Patterns'!$B$4*E343</f>
        <v>9900</v>
      </c>
      <c r="P343">
        <f t="shared" si="3"/>
        <v>4096</v>
      </c>
      <c r="Q343" s="5"/>
      <c r="R343" s="5"/>
      <c r="S343" s="3">
        <v>342</v>
      </c>
      <c r="T343" s="5"/>
    </row>
    <row r="344" spans="1:20" ht="12">
      <c r="A344" s="1"/>
      <c r="B344" s="1"/>
      <c r="C344" s="2">
        <f>(S344*'Prestige Patterns'!$B$20)/60</f>
        <v>171.5</v>
      </c>
      <c r="D344" s="2">
        <f>IF(L343=L344,N343*'Prestige Patterns'!$B$20+D343-F344,0)</f>
        <v>91937718058.746078</v>
      </c>
      <c r="E344" s="3">
        <f t="shared" si="1"/>
        <v>495</v>
      </c>
      <c r="F344" s="8">
        <f>'Prestige Patterns'!$B$5*('Prestige Patterns'!$B$6^E343-'Prestige Patterns'!$B$6^(E343+G344))/(1-'Prestige Patterns'!$B$6)</f>
        <v>0</v>
      </c>
      <c r="G344" s="8">
        <f>FLOOR(LOG('Prestige Patterns'!$B$6^(E343) - (D343*(1-'Prestige Patterns'!$B$6)/'Prestige Patterns'!$B$5),'Prestige Patterns'!$B$6)-E343,1)</f>
        <v>0</v>
      </c>
      <c r="H344">
        <f t="shared" si="2"/>
        <v>2238</v>
      </c>
      <c r="I344" s="5">
        <f>1+H344*'Prestige Patterns'!$B$25</f>
        <v>23.38</v>
      </c>
      <c r="J344">
        <f>FLOOR((K344/'Prestige Patterns'!$B$22)^'Prestige Patterns'!$B$23,1)-H343</f>
        <v>3301</v>
      </c>
      <c r="K344" s="8">
        <f>K343+N343*'Prestige Patterns'!$B$20</f>
        <v>3068926069770</v>
      </c>
      <c r="L344" s="2">
        <f>IF(J343&gt;='Prestige Patterns'!$B$28,IF(J343/(H343+1)&gt;('Prestige Patterns'!$B$27+1),L343+1,L343),L343)</f>
        <v>5</v>
      </c>
      <c r="N344">
        <f t="shared" si="0"/>
        <v>948068352</v>
      </c>
      <c r="O344" s="3">
        <f>'Prestige Patterns'!$B$4*E344</f>
        <v>9900</v>
      </c>
      <c r="P344">
        <f t="shared" si="3"/>
        <v>4096</v>
      </c>
      <c r="Q344" s="5"/>
      <c r="R344" s="5"/>
      <c r="S344" s="3">
        <v>343</v>
      </c>
      <c r="T344" s="5"/>
    </row>
    <row r="345" spans="1:20" ht="12">
      <c r="A345" s="1"/>
      <c r="B345" s="1"/>
      <c r="C345" s="2">
        <f>(S345*'Prestige Patterns'!$B$20)/60</f>
        <v>172</v>
      </c>
      <c r="D345" s="2">
        <f>IF(L344=L345,N344*'Prestige Patterns'!$B$20+D344-F345,0)</f>
        <v>120379768618.74608</v>
      </c>
      <c r="E345" s="3">
        <f t="shared" si="1"/>
        <v>495</v>
      </c>
      <c r="F345" s="8">
        <f>'Prestige Patterns'!$B$5*('Prestige Patterns'!$B$6^E344-'Prestige Patterns'!$B$6^(E344+G345))/(1-'Prestige Patterns'!$B$6)</f>
        <v>0</v>
      </c>
      <c r="G345" s="8">
        <f>FLOOR(LOG('Prestige Patterns'!$B$6^(E344) - (D344*(1-'Prestige Patterns'!$B$6)/'Prestige Patterns'!$B$5),'Prestige Patterns'!$B$6)-E344,1)</f>
        <v>0</v>
      </c>
      <c r="H345">
        <f t="shared" si="2"/>
        <v>2238</v>
      </c>
      <c r="I345" s="5">
        <f>1+H345*'Prestige Patterns'!$B$25</f>
        <v>23.38</v>
      </c>
      <c r="J345">
        <f>FLOOR((K345/'Prestige Patterns'!$B$22)^'Prestige Patterns'!$B$23,1)-H344</f>
        <v>3327</v>
      </c>
      <c r="K345" s="8">
        <f>K344+N344*'Prestige Patterns'!$B$20</f>
        <v>3097368120330</v>
      </c>
      <c r="L345" s="2">
        <f>IF(J344&gt;='Prestige Patterns'!$B$28,IF(J344/(H344+1)&gt;('Prestige Patterns'!$B$27+1),L344+1,L344),L344)</f>
        <v>5</v>
      </c>
      <c r="N345">
        <f t="shared" si="0"/>
        <v>948068352</v>
      </c>
      <c r="O345" s="3">
        <f>'Prestige Patterns'!$B$4*E345</f>
        <v>9900</v>
      </c>
      <c r="P345">
        <f t="shared" si="3"/>
        <v>4096</v>
      </c>
      <c r="Q345" s="5"/>
      <c r="R345" s="5"/>
      <c r="S345" s="3">
        <v>344</v>
      </c>
      <c r="T345" s="5"/>
    </row>
    <row r="346" spans="1:20" ht="12">
      <c r="A346" s="1"/>
      <c r="B346" s="1"/>
      <c r="C346" s="2">
        <f>(S346*'Prestige Patterns'!$B$20)/60</f>
        <v>172.5</v>
      </c>
      <c r="D346" s="2">
        <f>IF(L345=L346,N345*'Prestige Patterns'!$B$20+D345-F346,0)</f>
        <v>148821819178.74609</v>
      </c>
      <c r="E346" s="3">
        <f t="shared" si="1"/>
        <v>495</v>
      </c>
      <c r="F346" s="8">
        <f>'Prestige Patterns'!$B$5*('Prestige Patterns'!$B$6^E345-'Prestige Patterns'!$B$6^(E345+G346))/(1-'Prestige Patterns'!$B$6)</f>
        <v>0</v>
      </c>
      <c r="G346" s="8">
        <f>FLOOR(LOG('Prestige Patterns'!$B$6^(E345) - (D345*(1-'Prestige Patterns'!$B$6)/'Prestige Patterns'!$B$5),'Prestige Patterns'!$B$6)-E345,1)</f>
        <v>0</v>
      </c>
      <c r="H346">
        <f t="shared" si="2"/>
        <v>2238</v>
      </c>
      <c r="I346" s="5">
        <f>1+H346*'Prestige Patterns'!$B$25</f>
        <v>23.38</v>
      </c>
      <c r="J346">
        <f>FLOOR((K346/'Prestige Patterns'!$B$22)^'Prestige Patterns'!$B$23,1)-H345</f>
        <v>3352</v>
      </c>
      <c r="K346" s="8">
        <f>K345+N345*'Prestige Patterns'!$B$20</f>
        <v>3125810170890</v>
      </c>
      <c r="L346" s="2">
        <f>IF(J345&gt;='Prestige Patterns'!$B$28,IF(J345/(H345+1)&gt;('Prestige Patterns'!$B$27+1),L345+1,L345),L345)</f>
        <v>5</v>
      </c>
      <c r="N346">
        <f t="shared" si="0"/>
        <v>948068352</v>
      </c>
      <c r="O346" s="3">
        <f>'Prestige Patterns'!$B$4*E346</f>
        <v>9900</v>
      </c>
      <c r="P346">
        <f t="shared" si="3"/>
        <v>4096</v>
      </c>
      <c r="Q346" s="5"/>
      <c r="R346" s="5"/>
      <c r="S346" s="3">
        <v>345</v>
      </c>
      <c r="T346" s="5"/>
    </row>
    <row r="347" spans="1:20" ht="12">
      <c r="A347" s="1"/>
      <c r="B347" s="1"/>
      <c r="C347" s="2">
        <f>(S347*'Prestige Patterns'!$B$20)/60</f>
        <v>173</v>
      </c>
      <c r="D347" s="2">
        <f>IF(L346=L347,N346*'Prestige Patterns'!$B$20+D346-F347,0)</f>
        <v>54020651368.683334</v>
      </c>
      <c r="E347" s="3">
        <f t="shared" si="1"/>
        <v>496</v>
      </c>
      <c r="F347" s="8">
        <f>'Prestige Patterns'!$B$5*('Prestige Patterns'!$B$6^E346-'Prestige Patterns'!$B$6^(E346+G347))/(1-'Prestige Patterns'!$B$6)</f>
        <v>123243218370.06276</v>
      </c>
      <c r="G347" s="8">
        <f>FLOOR(LOG('Prestige Patterns'!$B$6^(E346) - (D346*(1-'Prestige Patterns'!$B$6)/'Prestige Patterns'!$B$5),'Prestige Patterns'!$B$6)-E346,1)</f>
        <v>1</v>
      </c>
      <c r="H347">
        <f t="shared" si="2"/>
        <v>2238</v>
      </c>
      <c r="I347" s="5">
        <f>1+H347*'Prestige Patterns'!$B$25</f>
        <v>23.38</v>
      </c>
      <c r="J347">
        <f>FLOOR((K347/'Prestige Patterns'!$B$22)^'Prestige Patterns'!$B$23,1)-H346</f>
        <v>3378</v>
      </c>
      <c r="K347" s="8">
        <f>K346+N346*'Prestige Patterns'!$B$20</f>
        <v>3154252221450</v>
      </c>
      <c r="L347" s="2">
        <f>IF(J346&gt;='Prestige Patterns'!$B$28,IF(J346/(H346+1)&gt;('Prestige Patterns'!$B$27+1),L346+1,L346),L346)</f>
        <v>5</v>
      </c>
      <c r="N347">
        <f t="shared" si="0"/>
        <v>949983641.5999999</v>
      </c>
      <c r="O347" s="3">
        <f>'Prestige Patterns'!$B$4*E347</f>
        <v>9920</v>
      </c>
      <c r="P347">
        <f t="shared" si="3"/>
        <v>4096</v>
      </c>
      <c r="Q347" s="5"/>
      <c r="R347" s="5"/>
      <c r="S347" s="3">
        <v>346</v>
      </c>
      <c r="T347" s="5"/>
    </row>
    <row r="348" spans="1:20" ht="12">
      <c r="A348" s="1"/>
      <c r="B348" s="1"/>
      <c r="C348" s="2">
        <f>(S348*'Prestige Patterns'!$B$20)/60</f>
        <v>173.5</v>
      </c>
      <c r="D348" s="2">
        <f>IF(L347=L348,N347*'Prestige Patterns'!$B$20+D347-F348,0)</f>
        <v>0</v>
      </c>
      <c r="E348" s="3">
        <f t="shared" si="1"/>
        <v>1</v>
      </c>
      <c r="F348" s="8">
        <f>'Prestige Patterns'!$B$5*('Prestige Patterns'!$B$6^E347-'Prestige Patterns'!$B$6^(E347+G348))/(1-'Prestige Patterns'!$B$6)</f>
        <v>0</v>
      </c>
      <c r="G348" s="8">
        <f>FLOOR(LOG('Prestige Patterns'!$B$6^(E347) - (D347*(1-'Prestige Patterns'!$B$6)/'Prestige Patterns'!$B$5),'Prestige Patterns'!$B$6)-E347,1)</f>
        <v>0</v>
      </c>
      <c r="H348">
        <f t="shared" si="2"/>
        <v>5616</v>
      </c>
      <c r="I348" s="5">
        <f>1+H348*'Prestige Patterns'!$B$25</f>
        <v>57.160000000000004</v>
      </c>
      <c r="J348">
        <f>FLOOR((K348/'Prestige Patterns'!$B$22)^'Prestige Patterns'!$B$23,1)-H347</f>
        <v>3403</v>
      </c>
      <c r="K348" s="8">
        <f>K347+N347*'Prestige Patterns'!$B$20</f>
        <v>3182751730698</v>
      </c>
      <c r="L348" s="2">
        <f>IF(J347&gt;='Prestige Patterns'!$B$28,IF(J347/(H347+1)&gt;('Prestige Patterns'!$B$27+1),L347+1,L347),L347)</f>
        <v>6</v>
      </c>
      <c r="N348">
        <f t="shared" si="0"/>
        <v>4682547.2000000002</v>
      </c>
      <c r="O348" s="3">
        <f>'Prestige Patterns'!$B$4*E348</f>
        <v>20</v>
      </c>
      <c r="P348">
        <f t="shared" si="3"/>
        <v>4096</v>
      </c>
      <c r="Q348" s="5"/>
      <c r="R348" s="5"/>
      <c r="S348" s="3">
        <v>347</v>
      </c>
      <c r="T348" s="5"/>
    </row>
    <row r="349" spans="1:20" ht="12">
      <c r="A349" s="1"/>
      <c r="B349" s="1"/>
      <c r="C349" s="2">
        <f>(S349*'Prestige Patterns'!$B$20)/60</f>
        <v>174</v>
      </c>
      <c r="D349" s="2">
        <f>IF(L348=L349,N348*'Prestige Patterns'!$B$20+D348-F349,0)</f>
        <v>140476416</v>
      </c>
      <c r="E349" s="3">
        <f t="shared" si="1"/>
        <v>1</v>
      </c>
      <c r="F349" s="8">
        <f>'Prestige Patterns'!$B$5*('Prestige Patterns'!$B$6^E348-'Prestige Patterns'!$B$6^(E348+G349))/(1-'Prestige Patterns'!$B$6)</f>
        <v>0</v>
      </c>
      <c r="G349" s="8">
        <f>FLOOR(LOG('Prestige Patterns'!$B$6^(E348) - (D348*(1-'Prestige Patterns'!$B$6)/'Prestige Patterns'!$B$5),'Prestige Patterns'!$B$6)-E348,1)</f>
        <v>0</v>
      </c>
      <c r="H349">
        <f t="shared" si="2"/>
        <v>5616</v>
      </c>
      <c r="I349" s="5">
        <f>1+H349*'Prestige Patterns'!$B$25</f>
        <v>57.160000000000004</v>
      </c>
      <c r="J349">
        <f>FLOOR((K349/'Prestige Patterns'!$B$22)^'Prestige Patterns'!$B$23,1)-H348</f>
        <v>25</v>
      </c>
      <c r="K349" s="8">
        <f>K348+N348*'Prestige Patterns'!$B$20</f>
        <v>3182892207114</v>
      </c>
      <c r="L349" s="2">
        <f>IF(J348&gt;='Prestige Patterns'!$B$28,IF(J348/(H348+1)&gt;('Prestige Patterns'!$B$27+1),L348+1,L348),L348)</f>
        <v>6</v>
      </c>
      <c r="N349">
        <f t="shared" si="0"/>
        <v>4682547.2000000002</v>
      </c>
      <c r="O349" s="3">
        <f>'Prestige Patterns'!$B$4*E349</f>
        <v>20</v>
      </c>
      <c r="P349">
        <f t="shared" si="3"/>
        <v>4096</v>
      </c>
      <c r="Q349" s="5"/>
      <c r="R349" s="5"/>
      <c r="S349" s="3">
        <v>348</v>
      </c>
      <c r="T349" s="5"/>
    </row>
    <row r="350" spans="1:20" ht="12">
      <c r="A350" s="1"/>
      <c r="B350" s="1"/>
      <c r="C350" s="2">
        <f>(S350*'Prestige Patterns'!$B$20)/60</f>
        <v>174.5</v>
      </c>
      <c r="D350" s="2">
        <f>IF(L349=L350,N349*'Prestige Patterns'!$B$20+D349-F350,0)</f>
        <v>145201642.15558431</v>
      </c>
      <c r="E350" s="3">
        <f t="shared" si="1"/>
        <v>294</v>
      </c>
      <c r="F350" s="8">
        <f>'Prestige Patterns'!$B$5*('Prestige Patterns'!$B$6^E349-'Prestige Patterns'!$B$6^(E349+G350))/(1-'Prestige Patterns'!$B$6)</f>
        <v>135751189.84441569</v>
      </c>
      <c r="G350" s="8">
        <f>FLOOR(LOG('Prestige Patterns'!$B$6^(E349) - (D349*(1-'Prestige Patterns'!$B$6)/'Prestige Patterns'!$B$5),'Prestige Patterns'!$B$6)-E349,1)</f>
        <v>293</v>
      </c>
      <c r="H350">
        <f t="shared" si="2"/>
        <v>5616</v>
      </c>
      <c r="I350" s="5">
        <f>1+H350*'Prestige Patterns'!$B$25</f>
        <v>57.160000000000004</v>
      </c>
      <c r="J350">
        <f>FLOOR((K350/'Prestige Patterns'!$B$22)^'Prestige Patterns'!$B$23,1)-H349</f>
        <v>25</v>
      </c>
      <c r="K350" s="8">
        <f>K349+N349*'Prestige Patterns'!$B$20</f>
        <v>3183032683530</v>
      </c>
      <c r="L350" s="2">
        <f>IF(J349&gt;='Prestige Patterns'!$B$28,IF(J349/(H349+1)&gt;('Prestige Patterns'!$B$27+1),L349+1,L349),L349)</f>
        <v>6</v>
      </c>
      <c r="N350">
        <f t="shared" si="0"/>
        <v>21510451.200000003</v>
      </c>
      <c r="O350" s="3">
        <f>'Prestige Patterns'!$B$4*E350</f>
        <v>5880</v>
      </c>
      <c r="P350">
        <f t="shared" si="3"/>
        <v>64</v>
      </c>
      <c r="Q350" s="5"/>
      <c r="R350" s="5"/>
      <c r="S350" s="3">
        <v>349</v>
      </c>
      <c r="T350" s="5"/>
    </row>
    <row r="351" spans="1:20" ht="12">
      <c r="A351" s="1"/>
      <c r="B351" s="1"/>
      <c r="C351" s="2">
        <f>(S351*'Prestige Patterns'!$B$20)/60</f>
        <v>175</v>
      </c>
      <c r="D351" s="2">
        <f>IF(L350=L351,N350*'Prestige Patterns'!$B$20+D350-F351,0)</f>
        <v>657488215.25129044</v>
      </c>
      <c r="E351" s="3">
        <f t="shared" si="1"/>
        <v>308</v>
      </c>
      <c r="F351" s="8">
        <f>'Prestige Patterns'!$B$5*('Prestige Patterns'!$B$6^E350-'Prestige Patterns'!$B$6^(E350+G351))/(1-'Prestige Patterns'!$B$6)</f>
        <v>133026962.904294</v>
      </c>
      <c r="G351" s="8">
        <f>FLOOR(LOG('Prestige Patterns'!$B$6^(E350) - (D350*(1-'Prestige Patterns'!$B$6)/'Prestige Patterns'!$B$5),'Prestige Patterns'!$B$6)-E350,1)</f>
        <v>14</v>
      </c>
      <c r="H351">
        <f t="shared" si="2"/>
        <v>5616</v>
      </c>
      <c r="I351" s="5">
        <f>1+H351*'Prestige Patterns'!$B$25</f>
        <v>57.160000000000004</v>
      </c>
      <c r="J351">
        <f>FLOOR((K351/'Prestige Patterns'!$B$22)^'Prestige Patterns'!$B$23,1)-H350</f>
        <v>26</v>
      </c>
      <c r="K351" s="8">
        <f>K350+N350*'Prestige Patterns'!$B$20</f>
        <v>3183677997066</v>
      </c>
      <c r="L351" s="2">
        <f>IF(J350&gt;='Prestige Patterns'!$B$28,IF(J350/(H350+1)&gt;('Prestige Patterns'!$B$27+1),L350+1,L350),L350)</f>
        <v>6</v>
      </c>
      <c r="N351">
        <f t="shared" si="0"/>
        <v>180278067.20000002</v>
      </c>
      <c r="O351" s="3">
        <f>'Prestige Patterns'!$B$4*E351</f>
        <v>6160</v>
      </c>
      <c r="P351">
        <f t="shared" si="3"/>
        <v>512</v>
      </c>
      <c r="Q351" s="5"/>
      <c r="R351" s="5"/>
      <c r="S351" s="3">
        <v>350</v>
      </c>
      <c r="T351" s="5"/>
    </row>
    <row r="352" spans="1:20" ht="12">
      <c r="A352" s="1"/>
      <c r="B352" s="1"/>
      <c r="C352" s="2">
        <f>(S352*'Prestige Patterns'!$B$20)/60</f>
        <v>175.5</v>
      </c>
      <c r="D352" s="2">
        <f>IF(L351=L352,N351*'Prestige Patterns'!$B$20+D351-F352,0)</f>
        <v>5424429957.9797831</v>
      </c>
      <c r="E352" s="3">
        <f t="shared" si="1"/>
        <v>333</v>
      </c>
      <c r="F352" s="8">
        <f>'Prestige Patterns'!$B$5*('Prestige Patterns'!$B$6^E351-'Prestige Patterns'!$B$6^(E351+G352))/(1-'Prestige Patterns'!$B$6)</f>
        <v>641400273.27150834</v>
      </c>
      <c r="G352" s="8">
        <f>FLOOR(LOG('Prestige Patterns'!$B$6^(E351) - (D351*(1-'Prestige Patterns'!$B$6)/'Prestige Patterns'!$B$5),'Prestige Patterns'!$B$6)-E351,1)</f>
        <v>25</v>
      </c>
      <c r="H352">
        <f t="shared" si="2"/>
        <v>5616</v>
      </c>
      <c r="I352" s="5">
        <f>1+H352*'Prestige Patterns'!$B$25</f>
        <v>57.160000000000004</v>
      </c>
      <c r="J352">
        <f>FLOOR((K352/'Prestige Patterns'!$B$22)^'Prestige Patterns'!$B$23,1)-H351</f>
        <v>31</v>
      </c>
      <c r="K352" s="8">
        <f>K351+N351*'Prestige Patterns'!$B$20</f>
        <v>3189086339082</v>
      </c>
      <c r="L352" s="2">
        <f>IF(J351&gt;='Prestige Patterns'!$B$28,IF(J351/(H351+1)&gt;('Prestige Patterns'!$B$27+1),L351+1,L351),L351)</f>
        <v>6</v>
      </c>
      <c r="N352">
        <f t="shared" si="0"/>
        <v>194911027.20000002</v>
      </c>
      <c r="O352" s="3">
        <f>'Prestige Patterns'!$B$4*E352</f>
        <v>6660</v>
      </c>
      <c r="P352">
        <f t="shared" si="3"/>
        <v>512</v>
      </c>
      <c r="Q352" s="5"/>
      <c r="R352" s="5"/>
      <c r="S352" s="3">
        <v>351</v>
      </c>
      <c r="T352" s="5"/>
    </row>
    <row r="353" spans="1:20" ht="12">
      <c r="A353" s="1"/>
      <c r="B353" s="1"/>
      <c r="C353" s="2">
        <f>(S353*'Prestige Patterns'!$B$20)/60</f>
        <v>176</v>
      </c>
      <c r="D353" s="2">
        <f>IF(L352=L353,N352*'Prestige Patterns'!$B$20+D352-F353,0)</f>
        <v>6079418868.2278414</v>
      </c>
      <c r="E353" s="3">
        <f t="shared" si="1"/>
        <v>372</v>
      </c>
      <c r="F353" s="8">
        <f>'Prestige Patterns'!$B$5*('Prestige Patterns'!$B$6^E352-'Prestige Patterns'!$B$6^(E352+G353))/(1-'Prestige Patterns'!$B$6)</f>
        <v>5192341905.7519426</v>
      </c>
      <c r="G353" s="8">
        <f>FLOOR(LOG('Prestige Patterns'!$B$6^(E352) - (D352*(1-'Prestige Patterns'!$B$6)/'Prestige Patterns'!$B$5),'Prestige Patterns'!$B$6)-E352,1)</f>
        <v>39</v>
      </c>
      <c r="H353">
        <f t="shared" si="2"/>
        <v>5616</v>
      </c>
      <c r="I353" s="5">
        <f>1+H353*'Prestige Patterns'!$B$25</f>
        <v>57.160000000000004</v>
      </c>
      <c r="J353">
        <f>FLOOR((K353/'Prestige Patterns'!$B$22)^'Prestige Patterns'!$B$23,1)-H352</f>
        <v>36</v>
      </c>
      <c r="K353" s="8">
        <f>K352+N352*'Prestige Patterns'!$B$20</f>
        <v>3194933669898</v>
      </c>
      <c r="L353" s="2">
        <f>IF(J352&gt;='Prestige Patterns'!$B$28,IF(J352/(H352+1)&gt;('Prestige Patterns'!$B$27+1),L352+1,L352),L352)</f>
        <v>6</v>
      </c>
      <c r="N353">
        <f t="shared" si="0"/>
        <v>217738444.80000001</v>
      </c>
      <c r="O353" s="3">
        <f>'Prestige Patterns'!$B$4*E353</f>
        <v>7440</v>
      </c>
      <c r="P353">
        <f t="shared" si="3"/>
        <v>512</v>
      </c>
      <c r="Q353" s="5"/>
      <c r="R353" s="5"/>
      <c r="S353" s="3">
        <v>352</v>
      </c>
      <c r="T353" s="5"/>
    </row>
    <row r="354" spans="1:20" ht="12">
      <c r="A354" s="1"/>
      <c r="B354" s="1"/>
      <c r="C354" s="2">
        <f>(S354*'Prestige Patterns'!$B$20)/60</f>
        <v>176.5</v>
      </c>
      <c r="D354" s="2">
        <f>IF(L353=L354,N353*'Prestige Patterns'!$B$20+D353-F354,0)</f>
        <v>6631519620.5886517</v>
      </c>
      <c r="E354" s="3">
        <f t="shared" si="1"/>
        <v>386</v>
      </c>
      <c r="F354" s="8">
        <f>'Prestige Patterns'!$B$5*('Prestige Patterns'!$B$6^E353-'Prestige Patterns'!$B$6^(E353+G354))/(1-'Prestige Patterns'!$B$6)</f>
        <v>5980052591.6391888</v>
      </c>
      <c r="G354" s="8">
        <f>FLOOR(LOG('Prestige Patterns'!$B$6^(E353) - (D353*(1-'Prestige Patterns'!$B$6)/'Prestige Patterns'!$B$5),'Prestige Patterns'!$B$6)-E353,1)</f>
        <v>14</v>
      </c>
      <c r="H354">
        <f t="shared" si="2"/>
        <v>5616</v>
      </c>
      <c r="I354" s="5">
        <f>1+H354*'Prestige Patterns'!$B$25</f>
        <v>57.160000000000004</v>
      </c>
      <c r="J354">
        <f>FLOOR((K354/'Prestige Patterns'!$B$22)^'Prestige Patterns'!$B$23,1)-H353</f>
        <v>42</v>
      </c>
      <c r="K354" s="8">
        <f>K353+N353*'Prestige Patterns'!$B$20</f>
        <v>3201465823242</v>
      </c>
      <c r="L354" s="2">
        <f>IF(J353&gt;='Prestige Patterns'!$B$28,IF(J353/(H353+1)&gt;('Prestige Patterns'!$B$27+1),L353+1,L353),L353)</f>
        <v>6</v>
      </c>
      <c r="N354">
        <f t="shared" si="0"/>
        <v>225932902.40000001</v>
      </c>
      <c r="O354" s="3">
        <f>'Prestige Patterns'!$B$4*E354</f>
        <v>7720</v>
      </c>
      <c r="P354">
        <f t="shared" si="3"/>
        <v>512</v>
      </c>
      <c r="Q354" s="5"/>
      <c r="R354" s="5"/>
      <c r="S354" s="3">
        <v>353</v>
      </c>
      <c r="T354" s="5"/>
    </row>
    <row r="355" spans="1:20" ht="12">
      <c r="A355" s="1"/>
      <c r="B355" s="1"/>
      <c r="C355" s="2">
        <f>(S355*'Prestige Patterns'!$B$20)/60</f>
        <v>177</v>
      </c>
      <c r="D355" s="2">
        <f>IF(L354=L355,N354*'Prestige Patterns'!$B$20+D354-F355,0)</f>
        <v>7640616435.2213125</v>
      </c>
      <c r="E355" s="3">
        <f t="shared" si="1"/>
        <v>394</v>
      </c>
      <c r="F355" s="8">
        <f>'Prestige Patterns'!$B$5*('Prestige Patterns'!$B$6^E354-'Prestige Patterns'!$B$6^(E354+G355))/(1-'Prestige Patterns'!$B$6)</f>
        <v>5768890257.3673391</v>
      </c>
      <c r="G355" s="8">
        <f>FLOOR(LOG('Prestige Patterns'!$B$6^(E354) - (D354*(1-'Prestige Patterns'!$B$6)/'Prestige Patterns'!$B$5),'Prestige Patterns'!$B$6)-E354,1)</f>
        <v>8</v>
      </c>
      <c r="H355">
        <f t="shared" si="2"/>
        <v>5616</v>
      </c>
      <c r="I355" s="5">
        <f>1+H355*'Prestige Patterns'!$B$25</f>
        <v>57.160000000000004</v>
      </c>
      <c r="J355">
        <f>FLOOR((K355/'Prestige Patterns'!$B$22)^'Prestige Patterns'!$B$23,1)-H354</f>
        <v>48</v>
      </c>
      <c r="K355" s="8">
        <f>K354+N354*'Prestige Patterns'!$B$20</f>
        <v>3208243810314</v>
      </c>
      <c r="L355" s="2">
        <f>IF(J354&gt;='Prestige Patterns'!$B$28,IF(J354/(H354+1)&gt;('Prestige Patterns'!$B$27+1),L354+1,L354),L354)</f>
        <v>6</v>
      </c>
      <c r="N355">
        <f t="shared" si="0"/>
        <v>230615449.60000002</v>
      </c>
      <c r="O355" s="3">
        <f>'Prestige Patterns'!$B$4*E355</f>
        <v>7880</v>
      </c>
      <c r="P355">
        <f t="shared" si="3"/>
        <v>512</v>
      </c>
      <c r="Q355" s="5"/>
      <c r="R355" s="5"/>
      <c r="S355" s="3">
        <v>354</v>
      </c>
      <c r="T355" s="5"/>
    </row>
    <row r="356" spans="1:20" ht="12">
      <c r="A356" s="1"/>
      <c r="B356" s="1"/>
      <c r="C356" s="2">
        <f>(S356*'Prestige Patterns'!$B$20)/60</f>
        <v>177.5</v>
      </c>
      <c r="D356" s="2">
        <f>IF(L355=L356,N355*'Prestige Patterns'!$B$20+D355-F356,0)</f>
        <v>7291741683.0973854</v>
      </c>
      <c r="E356" s="3">
        <f t="shared" si="1"/>
        <v>401</v>
      </c>
      <c r="F356" s="8">
        <f>'Prestige Patterns'!$B$5*('Prestige Patterns'!$B$6^E355-'Prestige Patterns'!$B$6^(E355+G356))/(1-'Prestige Patterns'!$B$6)</f>
        <v>7267338240.1239281</v>
      </c>
      <c r="G356" s="8">
        <f>FLOOR(LOG('Prestige Patterns'!$B$6^(E355) - (D355*(1-'Prestige Patterns'!$B$6)/'Prestige Patterns'!$B$5),'Prestige Patterns'!$B$6)-E355,1)</f>
        <v>7</v>
      </c>
      <c r="H356">
        <f t="shared" si="2"/>
        <v>5616</v>
      </c>
      <c r="I356" s="5">
        <f>1+H356*'Prestige Patterns'!$B$25</f>
        <v>57.160000000000004</v>
      </c>
      <c r="J356">
        <f>FLOOR((K356/'Prestige Patterns'!$B$22)^'Prestige Patterns'!$B$23,1)-H355</f>
        <v>54</v>
      </c>
      <c r="K356" s="8">
        <f>K355+N355*'Prestige Patterns'!$B$20</f>
        <v>3215162273802</v>
      </c>
      <c r="L356" s="2">
        <f>IF(J355&gt;='Prestige Patterns'!$B$28,IF(J355/(H355+1)&gt;('Prestige Patterns'!$B$27+1),L355+1,L355),L355)</f>
        <v>6</v>
      </c>
      <c r="N356">
        <f t="shared" si="0"/>
        <v>1877701427.2</v>
      </c>
      <c r="O356" s="3">
        <f>'Prestige Patterns'!$B$4*E356</f>
        <v>8020</v>
      </c>
      <c r="P356">
        <f t="shared" si="3"/>
        <v>4096</v>
      </c>
      <c r="Q356" s="5"/>
      <c r="R356" s="5"/>
      <c r="S356" s="3">
        <v>355</v>
      </c>
      <c r="T356" s="5"/>
    </row>
    <row r="357" spans="1:20" ht="12">
      <c r="A357" s="1"/>
      <c r="B357" s="1"/>
      <c r="C357" s="2">
        <f>(S357*'Prestige Patterns'!$B$20)/60</f>
        <v>178</v>
      </c>
      <c r="D357" s="2">
        <f>IF(L356=L357,N356*'Prestige Patterns'!$B$20+D356-F357,0)</f>
        <v>56682922771.195541</v>
      </c>
      <c r="E357" s="3">
        <f t="shared" si="1"/>
        <v>406</v>
      </c>
      <c r="F357" s="8">
        <f>'Prestige Patterns'!$B$5*('Prestige Patterns'!$B$6^E356-'Prestige Patterns'!$B$6^(E356+G357))/(1-'Prestige Patterns'!$B$6)</f>
        <v>6939861727.9018393</v>
      </c>
      <c r="G357" s="8">
        <f>FLOOR(LOG('Prestige Patterns'!$B$6^(E356) - (D356*(1-'Prestige Patterns'!$B$6)/'Prestige Patterns'!$B$5),'Prestige Patterns'!$B$6)-E356,1)</f>
        <v>5</v>
      </c>
      <c r="H357">
        <f t="shared" si="2"/>
        <v>5616</v>
      </c>
      <c r="I357" s="5">
        <f>1+H357*'Prestige Patterns'!$B$25</f>
        <v>57.160000000000004</v>
      </c>
      <c r="J357">
        <f>FLOOR((K357/'Prestige Patterns'!$B$22)^'Prestige Patterns'!$B$23,1)-H356</f>
        <v>103</v>
      </c>
      <c r="K357" s="8">
        <f>K356+N356*'Prestige Patterns'!$B$20</f>
        <v>3271493316618</v>
      </c>
      <c r="L357" s="2">
        <f>IF(J356&gt;='Prestige Patterns'!$B$28,IF(J356/(H356+1)&gt;('Prestige Patterns'!$B$27+1),L356+1,L356),L356)</f>
        <v>6</v>
      </c>
      <c r="N357">
        <f t="shared" si="0"/>
        <v>1901114163.2</v>
      </c>
      <c r="O357" s="3">
        <f>'Prestige Patterns'!$B$4*E357</f>
        <v>8120</v>
      </c>
      <c r="P357">
        <f t="shared" si="3"/>
        <v>4096</v>
      </c>
      <c r="Q357" s="5"/>
      <c r="R357" s="5"/>
      <c r="S357" s="3">
        <v>356</v>
      </c>
      <c r="T357" s="5"/>
    </row>
    <row r="358" spans="1:20" ht="12">
      <c r="A358" s="1"/>
      <c r="B358" s="1"/>
      <c r="C358" s="2">
        <f>(S358*'Prestige Patterns'!$B$20)/60</f>
        <v>178.5</v>
      </c>
      <c r="D358" s="2">
        <f>IF(L357=L358,N357*'Prestige Patterns'!$B$20+D357-F358,0)</f>
        <v>60713833314.402107</v>
      </c>
      <c r="E358" s="3">
        <f t="shared" si="1"/>
        <v>426</v>
      </c>
      <c r="F358" s="8">
        <f>'Prestige Patterns'!$B$5*('Prestige Patterns'!$B$6^E357-'Prestige Patterns'!$B$6^(E357+G358))/(1-'Prestige Patterns'!$B$6)</f>
        <v>53002514352.793434</v>
      </c>
      <c r="G358" s="8">
        <f>FLOOR(LOG('Prestige Patterns'!$B$6^(E357) - (D357*(1-'Prestige Patterns'!$B$6)/'Prestige Patterns'!$B$5),'Prestige Patterns'!$B$6)-E357,1)</f>
        <v>20</v>
      </c>
      <c r="H358">
        <f t="shared" si="2"/>
        <v>5616</v>
      </c>
      <c r="I358" s="5">
        <f>1+H358*'Prestige Patterns'!$B$25</f>
        <v>57.160000000000004</v>
      </c>
      <c r="J358">
        <f>FLOOR((K358/'Prestige Patterns'!$B$22)^'Prestige Patterns'!$B$23,1)-H357</f>
        <v>153</v>
      </c>
      <c r="K358" s="8">
        <f>K357+N357*'Prestige Patterns'!$B$20</f>
        <v>3328526741514</v>
      </c>
      <c r="L358" s="2">
        <f>IF(J357&gt;='Prestige Patterns'!$B$28,IF(J357/(H357+1)&gt;('Prestige Patterns'!$B$27+1),L357+1,L357),L357)</f>
        <v>6</v>
      </c>
      <c r="N358">
        <f t="shared" si="0"/>
        <v>1994765107.2</v>
      </c>
      <c r="O358" s="3">
        <f>'Prestige Patterns'!$B$4*E358</f>
        <v>8520</v>
      </c>
      <c r="P358">
        <f t="shared" si="3"/>
        <v>4096</v>
      </c>
      <c r="Q358" s="5"/>
      <c r="R358" s="5"/>
      <c r="S358" s="3">
        <v>357</v>
      </c>
      <c r="T358" s="5"/>
    </row>
    <row r="359" spans="1:20" ht="12">
      <c r="A359" s="1"/>
      <c r="B359" s="1"/>
      <c r="C359" s="2">
        <f>(S359*'Prestige Patterns'!$B$20)/60</f>
        <v>179</v>
      </c>
      <c r="D359" s="2">
        <f>IF(L358=L359,N358*'Prestige Patterns'!$B$20+D358-F359,0)</f>
        <v>60134484243.630714</v>
      </c>
      <c r="E359" s="3">
        <f t="shared" si="1"/>
        <v>437</v>
      </c>
      <c r="F359" s="8">
        <f>'Prestige Patterns'!$B$5*('Prestige Patterns'!$B$6^E358-'Prestige Patterns'!$B$6^(E358+G359))/(1-'Prestige Patterns'!$B$6)</f>
        <v>60422302286.771385</v>
      </c>
      <c r="G359" s="8">
        <f>FLOOR(LOG('Prestige Patterns'!$B$6^(E358) - (D358*(1-'Prestige Patterns'!$B$6)/'Prestige Patterns'!$B$5),'Prestige Patterns'!$B$6)-E358,1)</f>
        <v>11</v>
      </c>
      <c r="H359">
        <f t="shared" si="2"/>
        <v>5616</v>
      </c>
      <c r="I359" s="5">
        <f>1+H359*'Prestige Patterns'!$B$25</f>
        <v>57.160000000000004</v>
      </c>
      <c r="J359">
        <f>FLOOR((K359/'Prestige Patterns'!$B$22)^'Prestige Patterns'!$B$23,1)-H358</f>
        <v>204</v>
      </c>
      <c r="K359" s="8">
        <f>K358+N358*'Prestige Patterns'!$B$20</f>
        <v>3388369694730</v>
      </c>
      <c r="L359" s="2">
        <f>IF(J358&gt;='Prestige Patterns'!$B$28,IF(J358/(H358+1)&gt;('Prestige Patterns'!$B$27+1),L358+1,L358),L358)</f>
        <v>6</v>
      </c>
      <c r="N359">
        <f t="shared" si="0"/>
        <v>2046273126.4000001</v>
      </c>
      <c r="O359" s="3">
        <f>'Prestige Patterns'!$B$4*E359</f>
        <v>8740</v>
      </c>
      <c r="P359">
        <f t="shared" si="3"/>
        <v>4096</v>
      </c>
      <c r="Q359" s="5"/>
      <c r="R359" s="5"/>
      <c r="S359" s="3">
        <v>358</v>
      </c>
      <c r="T359" s="5"/>
    </row>
    <row r="360" spans="1:20" ht="12">
      <c r="A360" s="1"/>
      <c r="B360" s="1"/>
      <c r="C360" s="2">
        <f>(S360*'Prestige Patterns'!$B$20)/60</f>
        <v>179.5</v>
      </c>
      <c r="D360" s="2">
        <f>IF(L359=L360,N359*'Prestige Patterns'!$B$20+D359-F360,0)</f>
        <v>62296291890.087105</v>
      </c>
      <c r="E360" s="3">
        <f t="shared" si="1"/>
        <v>444</v>
      </c>
      <c r="F360" s="8">
        <f>'Prestige Patterns'!$B$5*('Prestige Patterns'!$B$6^E359-'Prestige Patterns'!$B$6^(E359+G360))/(1-'Prestige Patterns'!$B$6)</f>
        <v>59226386145.543602</v>
      </c>
      <c r="G360" s="8">
        <f>FLOOR(LOG('Prestige Patterns'!$B$6^(E359) - (D359*(1-'Prestige Patterns'!$B$6)/'Prestige Patterns'!$B$5),'Prestige Patterns'!$B$6)-E359,1)</f>
        <v>7</v>
      </c>
      <c r="H360">
        <f t="shared" si="2"/>
        <v>5616</v>
      </c>
      <c r="I360" s="5">
        <f>1+H360*'Prestige Patterns'!$B$25</f>
        <v>57.160000000000004</v>
      </c>
      <c r="J360">
        <f>FLOOR((K360/'Prestige Patterns'!$B$22)^'Prestige Patterns'!$B$23,1)-H359</f>
        <v>257</v>
      </c>
      <c r="K360" s="8">
        <f>K359+N359*'Prestige Patterns'!$B$20</f>
        <v>3449757888522</v>
      </c>
      <c r="L360" s="2">
        <f>IF(J359&gt;='Prestige Patterns'!$B$28,IF(J359/(H359+1)&gt;('Prestige Patterns'!$B$27+1),L359+1,L359),L359)</f>
        <v>6</v>
      </c>
      <c r="N360">
        <f t="shared" si="0"/>
        <v>2079050956.8000002</v>
      </c>
      <c r="O360" s="3">
        <f>'Prestige Patterns'!$B$4*E360</f>
        <v>8880</v>
      </c>
      <c r="P360">
        <f t="shared" si="3"/>
        <v>4096</v>
      </c>
      <c r="Q360" s="5"/>
      <c r="R360" s="5"/>
      <c r="S360" s="3">
        <v>359</v>
      </c>
      <c r="T360" s="5"/>
    </row>
    <row r="361" spans="1:20" ht="12">
      <c r="A361" s="1"/>
      <c r="B361" s="1"/>
      <c r="C361" s="2">
        <f>(S361*'Prestige Patterns'!$B$20)/60</f>
        <v>180</v>
      </c>
      <c r="D361" s="2">
        <f>IF(L360=L361,N360*'Prestige Patterns'!$B$20+D360-F361,0)</f>
        <v>68110258951.492447</v>
      </c>
      <c r="E361" s="3">
        <f t="shared" si="1"/>
        <v>449</v>
      </c>
      <c r="F361" s="8">
        <f>'Prestige Patterns'!$B$5*('Prestige Patterns'!$B$6^E360-'Prestige Patterns'!$B$6^(E360+G361))/(1-'Prestige Patterns'!$B$6)</f>
        <v>56557561642.594666</v>
      </c>
      <c r="G361" s="8">
        <f>FLOOR(LOG('Prestige Patterns'!$B$6^(E360) - (D360*(1-'Prestige Patterns'!$B$6)/'Prestige Patterns'!$B$5),'Prestige Patterns'!$B$6)-E360,1)</f>
        <v>5</v>
      </c>
      <c r="H361">
        <f t="shared" si="2"/>
        <v>5616</v>
      </c>
      <c r="I361" s="5">
        <f>1+H361*'Prestige Patterns'!$B$25</f>
        <v>57.160000000000004</v>
      </c>
      <c r="J361">
        <f>FLOOR((K361/'Prestige Patterns'!$B$22)^'Prestige Patterns'!$B$23,1)-H360</f>
        <v>310</v>
      </c>
      <c r="K361" s="8">
        <f>K360+N360*'Prestige Patterns'!$B$20</f>
        <v>3512129417226</v>
      </c>
      <c r="L361" s="2">
        <f>IF(J360&gt;='Prestige Patterns'!$B$28,IF(J360/(H360+1)&gt;('Prestige Patterns'!$B$27+1),L360+1,L360),L360)</f>
        <v>6</v>
      </c>
      <c r="N361">
        <f t="shared" si="0"/>
        <v>2102463692.8000002</v>
      </c>
      <c r="O361" s="3">
        <f>'Prestige Patterns'!$B$4*E361</f>
        <v>8980</v>
      </c>
      <c r="P361">
        <f t="shared" si="3"/>
        <v>4096</v>
      </c>
      <c r="Q361" s="5"/>
      <c r="R361" s="5"/>
      <c r="S361" s="3">
        <v>360</v>
      </c>
      <c r="T361" s="5"/>
    </row>
    <row r="362" spans="1:20" ht="12">
      <c r="A362" s="1"/>
      <c r="B362" s="1"/>
      <c r="C362" s="2">
        <f>(S362*'Prestige Patterns'!$B$20)/60</f>
        <v>180.5</v>
      </c>
      <c r="D362" s="2">
        <f>IF(L361=L362,N361*'Prestige Patterns'!$B$20+D361-F362,0)</f>
        <v>74879406153.230209</v>
      </c>
      <c r="E362" s="3">
        <f t="shared" si="1"/>
        <v>453</v>
      </c>
      <c r="F362" s="8">
        <f>'Prestige Patterns'!$B$5*('Prestige Patterns'!$B$6^E361-'Prestige Patterns'!$B$6^(E361+G362))/(1-'Prestige Patterns'!$B$6)</f>
        <v>56304763582.262253</v>
      </c>
      <c r="G362" s="8">
        <f>FLOOR(LOG('Prestige Patterns'!$B$6^(E361) - (D361*(1-'Prestige Patterns'!$B$6)/'Prestige Patterns'!$B$5),'Prestige Patterns'!$B$6)-E361,1)</f>
        <v>4</v>
      </c>
      <c r="H362">
        <f t="shared" si="2"/>
        <v>5616</v>
      </c>
      <c r="I362" s="5">
        <f>1+H362*'Prestige Patterns'!$B$25</f>
        <v>57.160000000000004</v>
      </c>
      <c r="J362">
        <f>FLOOR((K362/'Prestige Patterns'!$B$22)^'Prestige Patterns'!$B$23,1)-H361</f>
        <v>363</v>
      </c>
      <c r="K362" s="8">
        <f>K361+N361*'Prestige Patterns'!$B$20</f>
        <v>3575203328010</v>
      </c>
      <c r="L362" s="2">
        <f>IF(J361&gt;='Prestige Patterns'!$B$28,IF(J361/(H361+1)&gt;('Prestige Patterns'!$B$27+1),L361+1,L361),L361)</f>
        <v>6</v>
      </c>
      <c r="N362">
        <f t="shared" si="0"/>
        <v>2121193881.6000001</v>
      </c>
      <c r="O362" s="3">
        <f>'Prestige Patterns'!$B$4*E362</f>
        <v>9060</v>
      </c>
      <c r="P362">
        <f t="shared" si="3"/>
        <v>4096</v>
      </c>
      <c r="Q362" s="5"/>
      <c r="R362" s="5"/>
      <c r="S362" s="3">
        <v>361</v>
      </c>
      <c r="T362" s="5"/>
    </row>
    <row r="363" spans="1:20" ht="12">
      <c r="A363" s="1"/>
      <c r="B363" s="1"/>
      <c r="C363" s="2">
        <f>(S363*'Prestige Patterns'!$B$20)/60</f>
        <v>181</v>
      </c>
      <c r="D363" s="2">
        <f>IF(L362=L363,N362*'Prestige Patterns'!$B$20+D362-F363,0)</f>
        <v>70076430562.218063</v>
      </c>
      <c r="E363" s="3">
        <f t="shared" si="1"/>
        <v>457</v>
      </c>
      <c r="F363" s="8">
        <f>'Prestige Patterns'!$B$5*('Prestige Patterns'!$B$6^E362-'Prestige Patterns'!$B$6^(E362+G363))/(1-'Prestige Patterns'!$B$6)</f>
        <v>68438792039.012161</v>
      </c>
      <c r="G363" s="8">
        <f>FLOOR(LOG('Prestige Patterns'!$B$6^(E362) - (D362*(1-'Prestige Patterns'!$B$6)/'Prestige Patterns'!$B$5),'Prestige Patterns'!$B$6)-E362,1)</f>
        <v>4</v>
      </c>
      <c r="H363">
        <f t="shared" si="2"/>
        <v>5616</v>
      </c>
      <c r="I363" s="5">
        <f>1+H363*'Prestige Patterns'!$B$25</f>
        <v>57.160000000000004</v>
      </c>
      <c r="J363">
        <f>FLOOR((K363/'Prestige Patterns'!$B$22)^'Prestige Patterns'!$B$23,1)-H362</f>
        <v>416</v>
      </c>
      <c r="K363" s="8">
        <f>K362+N362*'Prestige Patterns'!$B$20</f>
        <v>3638839144458</v>
      </c>
      <c r="L363" s="2">
        <f>IF(J362&gt;='Prestige Patterns'!$B$28,IF(J362/(H362+1)&gt;('Prestige Patterns'!$B$27+1),L362+1,L362),L362)</f>
        <v>6</v>
      </c>
      <c r="N363">
        <f t="shared" si="0"/>
        <v>2139924070.4000001</v>
      </c>
      <c r="O363" s="3">
        <f>'Prestige Patterns'!$B$4*E363</f>
        <v>9140</v>
      </c>
      <c r="P363">
        <f t="shared" si="3"/>
        <v>4096</v>
      </c>
      <c r="Q363" s="5"/>
      <c r="R363" s="5"/>
      <c r="S363" s="3">
        <v>362</v>
      </c>
      <c r="T363" s="5"/>
    </row>
    <row r="364" spans="1:20" ht="12">
      <c r="A364" s="1"/>
      <c r="B364" s="1"/>
      <c r="C364" s="2">
        <f>(S364*'Prestige Patterns'!$B$20)/60</f>
        <v>181.5</v>
      </c>
      <c r="D364" s="2">
        <f>IF(L363=L364,N363*'Prestige Patterns'!$B$20+D363-F364,0)</f>
        <v>73429171434.427246</v>
      </c>
      <c r="E364" s="3">
        <f t="shared" si="1"/>
        <v>460</v>
      </c>
      <c r="F364" s="8">
        <f>'Prestige Patterns'!$B$5*('Prestige Patterns'!$B$6^E363-'Prestige Patterns'!$B$6^(E363+G364))/(1-'Prestige Patterns'!$B$6)</f>
        <v>60844981239.790825</v>
      </c>
      <c r="G364" s="8">
        <f>FLOOR(LOG('Prestige Patterns'!$B$6^(E363) - (D363*(1-'Prestige Patterns'!$B$6)/'Prestige Patterns'!$B$5),'Prestige Patterns'!$B$6)-E363,1)</f>
        <v>3</v>
      </c>
      <c r="H364">
        <f t="shared" si="2"/>
        <v>5616</v>
      </c>
      <c r="I364" s="5">
        <f>1+H364*'Prestige Patterns'!$B$25</f>
        <v>57.160000000000004</v>
      </c>
      <c r="J364">
        <f>FLOOR((K364/'Prestige Patterns'!$B$22)^'Prestige Patterns'!$B$23,1)-H363</f>
        <v>469</v>
      </c>
      <c r="K364" s="8">
        <f>K363+N363*'Prestige Patterns'!$B$20</f>
        <v>3703036866570</v>
      </c>
      <c r="L364" s="2">
        <f>IF(J363&gt;='Prestige Patterns'!$B$28,IF(J363/(H363+1)&gt;('Prestige Patterns'!$B$27+1),L363+1,L363),L363)</f>
        <v>6</v>
      </c>
      <c r="N364">
        <f t="shared" si="0"/>
        <v>2153971712</v>
      </c>
      <c r="O364" s="3">
        <f>'Prestige Patterns'!$B$4*E364</f>
        <v>9200</v>
      </c>
      <c r="P364">
        <f t="shared" si="3"/>
        <v>4096</v>
      </c>
      <c r="Q364" s="5"/>
      <c r="R364" s="5"/>
      <c r="S364" s="3">
        <v>363</v>
      </c>
      <c r="T364" s="5"/>
    </row>
    <row r="365" spans="1:20" ht="12">
      <c r="A365" s="1"/>
      <c r="B365" s="1"/>
      <c r="C365" s="2">
        <f>(S365*'Prestige Patterns'!$B$20)/60</f>
        <v>182</v>
      </c>
      <c r="D365" s="2">
        <f>IF(L364=L365,N364*'Prestige Patterns'!$B$20+D364-F365,0)</f>
        <v>67612651386.714218</v>
      </c>
      <c r="E365" s="3">
        <f t="shared" si="1"/>
        <v>463</v>
      </c>
      <c r="F365" s="8">
        <f>'Prestige Patterns'!$B$5*('Prestige Patterns'!$B$6^E364-'Prestige Patterns'!$B$6^(E364+G365))/(1-'Prestige Patterns'!$B$6)</f>
        <v>70435671407.713028</v>
      </c>
      <c r="G365" s="8">
        <f>FLOOR(LOG('Prestige Patterns'!$B$6^(E364) - (D364*(1-'Prestige Patterns'!$B$6)/'Prestige Patterns'!$B$5),'Prestige Patterns'!$B$6)-E364,1)</f>
        <v>3</v>
      </c>
      <c r="H365">
        <f t="shared" si="2"/>
        <v>5616</v>
      </c>
      <c r="I365" s="5">
        <f>1+H365*'Prestige Patterns'!$B$25</f>
        <v>57.160000000000004</v>
      </c>
      <c r="J365">
        <f>FLOOR((K365/'Prestige Patterns'!$B$22)^'Prestige Patterns'!$B$23,1)-H364</f>
        <v>522</v>
      </c>
      <c r="K365" s="8">
        <f>K364+N364*'Prestige Patterns'!$B$20</f>
        <v>3767656017930</v>
      </c>
      <c r="L365" s="2">
        <f>IF(J364&gt;='Prestige Patterns'!$B$28,IF(J364/(H364+1)&gt;('Prestige Patterns'!$B$27+1),L364+1,L364),L364)</f>
        <v>6</v>
      </c>
      <c r="N365">
        <f t="shared" si="0"/>
        <v>2168019353.5999999</v>
      </c>
      <c r="O365" s="3">
        <f>'Prestige Patterns'!$B$4*E365</f>
        <v>9260</v>
      </c>
      <c r="P365">
        <f t="shared" si="3"/>
        <v>4096</v>
      </c>
      <c r="Q365" s="5"/>
      <c r="R365" s="5"/>
      <c r="S365" s="3">
        <v>364</v>
      </c>
      <c r="T365" s="5"/>
    </row>
    <row r="366" spans="1:20" ht="12">
      <c r="A366" s="1"/>
      <c r="B366" s="1"/>
      <c r="C366" s="2">
        <f>(S366*'Prestige Patterns'!$B$20)/60</f>
        <v>182.5</v>
      </c>
      <c r="D366" s="2">
        <f>IF(L365=L366,N365*'Prestige Patterns'!$B$20+D365-F366,0)</f>
        <v>79630839311.962341</v>
      </c>
      <c r="E366" s="3">
        <f t="shared" si="1"/>
        <v>465</v>
      </c>
      <c r="F366" s="8">
        <f>'Prestige Patterns'!$B$5*('Prestige Patterns'!$B$6^E365-'Prestige Patterns'!$B$6^(E365+G366))/(1-'Prestige Patterns'!$B$6)</f>
        <v>53022392682.751877</v>
      </c>
      <c r="G366" s="8">
        <f>FLOOR(LOG('Prestige Patterns'!$B$6^(E365) - (D365*(1-'Prestige Patterns'!$B$6)/'Prestige Patterns'!$B$5),'Prestige Patterns'!$B$6)-E365,1)</f>
        <v>2</v>
      </c>
      <c r="H366">
        <f t="shared" si="2"/>
        <v>5616</v>
      </c>
      <c r="I366" s="5">
        <f>1+H366*'Prestige Patterns'!$B$25</f>
        <v>57.160000000000004</v>
      </c>
      <c r="J366">
        <f>FLOOR((K366/'Prestige Patterns'!$B$22)^'Prestige Patterns'!$B$23,1)-H365</f>
        <v>574</v>
      </c>
      <c r="K366" s="8">
        <f>K365+N365*'Prestige Patterns'!$B$20</f>
        <v>3832696598538</v>
      </c>
      <c r="L366" s="2">
        <f>IF(J365&gt;='Prestige Patterns'!$B$28,IF(J365/(H365+1)&gt;('Prestige Patterns'!$B$27+1),L365+1,L365),L365)</f>
        <v>6</v>
      </c>
      <c r="N366">
        <f t="shared" si="0"/>
        <v>2177384448</v>
      </c>
      <c r="O366" s="3">
        <f>'Prestige Patterns'!$B$4*E366</f>
        <v>9300</v>
      </c>
      <c r="P366">
        <f t="shared" si="3"/>
        <v>4096</v>
      </c>
      <c r="Q366" s="5"/>
      <c r="R366" s="5"/>
      <c r="S366" s="3">
        <v>365</v>
      </c>
      <c r="T366" s="5"/>
    </row>
    <row r="367" spans="1:20" ht="12">
      <c r="A367" s="1"/>
      <c r="B367" s="1"/>
      <c r="C367" s="2">
        <f>(S367*'Prestige Patterns'!$B$20)/60</f>
        <v>183</v>
      </c>
      <c r="D367" s="2">
        <f>IF(L366=L367,N366*'Prestige Patterns'!$B$20+D366-F367,0)</f>
        <v>86495184819.228485</v>
      </c>
      <c r="E367" s="3">
        <f t="shared" si="1"/>
        <v>467</v>
      </c>
      <c r="F367" s="8">
        <f>'Prestige Patterns'!$B$5*('Prestige Patterns'!$B$6^E366-'Prestige Patterns'!$B$6^(E366+G367))/(1-'Prestige Patterns'!$B$6)</f>
        <v>58457187932.733864</v>
      </c>
      <c r="G367" s="8">
        <f>FLOOR(LOG('Prestige Patterns'!$B$6^(E366) - (D366*(1-'Prestige Patterns'!$B$6)/'Prestige Patterns'!$B$5),'Prestige Patterns'!$B$6)-E366,1)</f>
        <v>2</v>
      </c>
      <c r="H367">
        <f t="shared" si="2"/>
        <v>5616</v>
      </c>
      <c r="I367" s="5">
        <f>1+H367*'Prestige Patterns'!$B$25</f>
        <v>57.160000000000004</v>
      </c>
      <c r="J367">
        <f>FLOOR((K367/'Prestige Patterns'!$B$22)^'Prestige Patterns'!$B$23,1)-H366</f>
        <v>627</v>
      </c>
      <c r="K367" s="8">
        <f>K366+N366*'Prestige Patterns'!$B$20</f>
        <v>3898018131978</v>
      </c>
      <c r="L367" s="2">
        <f>IF(J366&gt;='Prestige Patterns'!$B$28,IF(J366/(H366+1)&gt;('Prestige Patterns'!$B$27+1),L366+1,L366),L366)</f>
        <v>6</v>
      </c>
      <c r="N367">
        <f t="shared" si="0"/>
        <v>2186749542.4000001</v>
      </c>
      <c r="O367" s="3">
        <f>'Prestige Patterns'!$B$4*E367</f>
        <v>9340</v>
      </c>
      <c r="P367">
        <f t="shared" si="3"/>
        <v>4096</v>
      </c>
      <c r="Q367" s="5"/>
      <c r="R367" s="5"/>
      <c r="S367" s="3">
        <v>366</v>
      </c>
      <c r="T367" s="5"/>
    </row>
    <row r="368" spans="1:20" ht="12">
      <c r="A368" s="1"/>
      <c r="B368" s="1"/>
      <c r="C368" s="2">
        <f>(S368*'Prestige Patterns'!$B$20)/60</f>
        <v>183.5</v>
      </c>
      <c r="D368" s="2">
        <f>IF(L367=L368,N367*'Prestige Patterns'!$B$20+D367-F368,0)</f>
        <v>87648621395.389389</v>
      </c>
      <c r="E368" s="3">
        <f t="shared" si="1"/>
        <v>469</v>
      </c>
      <c r="F368" s="8">
        <f>'Prestige Patterns'!$B$5*('Prestige Patterns'!$B$6^E367-'Prestige Patterns'!$B$6^(E367+G368))/(1-'Prestige Patterns'!$B$6)</f>
        <v>64449049695.839096</v>
      </c>
      <c r="G368" s="8">
        <f>FLOOR(LOG('Prestige Patterns'!$B$6^(E367) - (D367*(1-'Prestige Patterns'!$B$6)/'Prestige Patterns'!$B$5),'Prestige Patterns'!$B$6)-E367,1)</f>
        <v>2</v>
      </c>
      <c r="H368">
        <f t="shared" si="2"/>
        <v>5616</v>
      </c>
      <c r="I368" s="5">
        <f>1+H368*'Prestige Patterns'!$B$25</f>
        <v>57.160000000000004</v>
      </c>
      <c r="J368">
        <f>FLOOR((K368/'Prestige Patterns'!$B$22)^'Prestige Patterns'!$B$23,1)-H367</f>
        <v>679</v>
      </c>
      <c r="K368" s="8">
        <f>K367+N367*'Prestige Patterns'!$B$20</f>
        <v>3963620618250</v>
      </c>
      <c r="L368" s="2">
        <f>IF(J367&gt;='Prestige Patterns'!$B$28,IF(J367/(H367+1)&gt;('Prestige Patterns'!$B$27+1),L367+1,L367),L367)</f>
        <v>6</v>
      </c>
      <c r="N368">
        <f t="shared" si="0"/>
        <v>2196114636.8000002</v>
      </c>
      <c r="O368" s="3">
        <f>'Prestige Patterns'!$B$4*E368</f>
        <v>9380</v>
      </c>
      <c r="P368">
        <f t="shared" si="3"/>
        <v>4096</v>
      </c>
      <c r="Q368" s="5"/>
      <c r="R368" s="5"/>
      <c r="S368" s="3">
        <v>367</v>
      </c>
      <c r="T368" s="5"/>
    </row>
    <row r="369" spans="1:20" ht="12">
      <c r="A369" s="1"/>
      <c r="B369" s="1"/>
      <c r="C369" s="2">
        <f>(S369*'Prestige Patterns'!$B$20)/60</f>
        <v>184</v>
      </c>
      <c r="D369" s="2">
        <f>IF(L368=L369,N368*'Prestige Patterns'!$B$20+D368-F369,0)</f>
        <v>82476983209.726837</v>
      </c>
      <c r="E369" s="3">
        <f t="shared" si="1"/>
        <v>471</v>
      </c>
      <c r="F369" s="8">
        <f>'Prestige Patterns'!$B$5*('Prestige Patterns'!$B$6^E368-'Prestige Patterns'!$B$6^(E368+G369))/(1-'Prestige Patterns'!$B$6)</f>
        <v>71055077289.662567</v>
      </c>
      <c r="G369" s="8">
        <f>FLOOR(LOG('Prestige Patterns'!$B$6^(E368) - (D368*(1-'Prestige Patterns'!$B$6)/'Prestige Patterns'!$B$5),'Prestige Patterns'!$B$6)-E368,1)</f>
        <v>2</v>
      </c>
      <c r="H369">
        <f t="shared" si="2"/>
        <v>5616</v>
      </c>
      <c r="I369" s="5">
        <f>1+H369*'Prestige Patterns'!$B$25</f>
        <v>57.160000000000004</v>
      </c>
      <c r="J369">
        <f>FLOOR((K369/'Prestige Patterns'!$B$22)^'Prestige Patterns'!$B$23,1)-H368</f>
        <v>731</v>
      </c>
      <c r="K369" s="8">
        <f>K368+N368*'Prestige Patterns'!$B$20</f>
        <v>4029504057354</v>
      </c>
      <c r="L369" s="2">
        <f>IF(J368&gt;='Prestige Patterns'!$B$28,IF(J368/(H368+1)&gt;('Prestige Patterns'!$B$27+1),L368+1,L368),L368)</f>
        <v>6</v>
      </c>
      <c r="N369">
        <f t="shared" si="0"/>
        <v>2205479731.2000003</v>
      </c>
      <c r="O369" s="3">
        <f>'Prestige Patterns'!$B$4*E369</f>
        <v>9420</v>
      </c>
      <c r="P369">
        <f t="shared" si="3"/>
        <v>4096</v>
      </c>
      <c r="Q369" s="5"/>
      <c r="R369" s="5"/>
      <c r="S369" s="3">
        <v>368</v>
      </c>
      <c r="T369" s="5"/>
    </row>
    <row r="370" spans="1:20" ht="12">
      <c r="A370" s="1"/>
      <c r="B370" s="1"/>
      <c r="C370" s="2">
        <f>(S370*'Prestige Patterns'!$B$20)/60</f>
        <v>184.5</v>
      </c>
      <c r="D370" s="2">
        <f>IF(L369=L370,N369*'Prestige Patterns'!$B$20+D369-F370,0)</f>
        <v>70303152433.873886</v>
      </c>
      <c r="E370" s="3">
        <f t="shared" si="1"/>
        <v>473</v>
      </c>
      <c r="F370" s="8">
        <f>'Prestige Patterns'!$B$5*('Prestige Patterns'!$B$6^E369-'Prestige Patterns'!$B$6^(E369+G370))/(1-'Prestige Patterns'!$B$6)</f>
        <v>78338222711.852951</v>
      </c>
      <c r="G370" s="8">
        <f>FLOOR(LOG('Prestige Patterns'!$B$6^(E369) - (D369*(1-'Prestige Patterns'!$B$6)/'Prestige Patterns'!$B$5),'Prestige Patterns'!$B$6)-E369,1)</f>
        <v>2</v>
      </c>
      <c r="H370">
        <f t="shared" si="2"/>
        <v>5616</v>
      </c>
      <c r="I370" s="5">
        <f>1+H370*'Prestige Patterns'!$B$25</f>
        <v>57.160000000000004</v>
      </c>
      <c r="J370">
        <f>FLOOR((K370/'Prestige Patterns'!$B$22)^'Prestige Patterns'!$B$23,1)-H369</f>
        <v>783</v>
      </c>
      <c r="K370" s="8">
        <f>K369+N369*'Prestige Patterns'!$B$20</f>
        <v>4095668449290</v>
      </c>
      <c r="L370" s="2">
        <f>IF(J369&gt;='Prestige Patterns'!$B$28,IF(J369/(H369+1)&gt;('Prestige Patterns'!$B$27+1),L369+1,L369),L369)</f>
        <v>6</v>
      </c>
      <c r="N370">
        <f t="shared" si="0"/>
        <v>2214844825.6000004</v>
      </c>
      <c r="O370" s="3">
        <f>'Prestige Patterns'!$B$4*E370</f>
        <v>9460</v>
      </c>
      <c r="P370">
        <f t="shared" si="3"/>
        <v>4096</v>
      </c>
      <c r="Q370" s="5"/>
      <c r="R370" s="5"/>
      <c r="S370" s="3">
        <v>369</v>
      </c>
      <c r="T370" s="5"/>
    </row>
    <row r="371" spans="1:20" ht="12">
      <c r="A371" s="1"/>
      <c r="B371" s="1"/>
      <c r="C371" s="2">
        <f>(S371*'Prestige Patterns'!$B$20)/60</f>
        <v>185</v>
      </c>
      <c r="D371" s="2">
        <f>IF(L370=L371,N370*'Prestige Patterns'!$B$20+D370-F371,0)</f>
        <v>94617818889.767609</v>
      </c>
      <c r="E371" s="3">
        <f t="shared" si="1"/>
        <v>474</v>
      </c>
      <c r="F371" s="8">
        <f>'Prestige Patterns'!$B$5*('Prestige Patterns'!$B$6^E370-'Prestige Patterns'!$B$6^(E370+G371))/(1-'Prestige Patterns'!$B$6)</f>
        <v>42130678312.106285</v>
      </c>
      <c r="G371" s="8">
        <f>FLOOR(LOG('Prestige Patterns'!$B$6^(E370) - (D370*(1-'Prestige Patterns'!$B$6)/'Prestige Patterns'!$B$5),'Prestige Patterns'!$B$6)-E370,1)</f>
        <v>1</v>
      </c>
      <c r="H371">
        <f t="shared" si="2"/>
        <v>5616</v>
      </c>
      <c r="I371" s="5">
        <f>1+H371*'Prestige Patterns'!$B$25</f>
        <v>57.160000000000004</v>
      </c>
      <c r="J371">
        <f>FLOOR((K371/'Prestige Patterns'!$B$22)^'Prestige Patterns'!$B$23,1)-H370</f>
        <v>835</v>
      </c>
      <c r="K371" s="8">
        <f>K370+N370*'Prestige Patterns'!$B$20</f>
        <v>4162113794058</v>
      </c>
      <c r="L371" s="2">
        <f>IF(J370&gt;='Prestige Patterns'!$B$28,IF(J370/(H370+1)&gt;('Prestige Patterns'!$B$27+1),L370+1,L370),L370)</f>
        <v>6</v>
      </c>
      <c r="N371">
        <f t="shared" si="0"/>
        <v>2219527372.8000002</v>
      </c>
      <c r="O371" s="3">
        <f>'Prestige Patterns'!$B$4*E371</f>
        <v>9480</v>
      </c>
      <c r="P371">
        <f t="shared" si="3"/>
        <v>4096</v>
      </c>
      <c r="Q371" s="5"/>
      <c r="R371" s="5"/>
      <c r="S371" s="3">
        <v>370</v>
      </c>
      <c r="T371" s="5"/>
    </row>
    <row r="372" spans="1:20" ht="12">
      <c r="A372" s="1"/>
      <c r="B372" s="1"/>
      <c r="C372" s="2">
        <f>(S372*'Prestige Patterns'!$B$20)/60</f>
        <v>185.5</v>
      </c>
      <c r="D372" s="2">
        <f>IF(L371=L372,N371*'Prestige Patterns'!$B$20+D371-F372,0)</f>
        <v>70517355006.958755</v>
      </c>
      <c r="E372" s="3">
        <f t="shared" si="1"/>
        <v>476</v>
      </c>
      <c r="F372" s="8">
        <f>'Prestige Patterns'!$B$5*('Prestige Patterns'!$B$6^E371-'Prestige Patterns'!$B$6^(E371+G372))/(1-'Prestige Patterns'!$B$6)</f>
        <v>90686285066.808853</v>
      </c>
      <c r="G372" s="8">
        <f>FLOOR(LOG('Prestige Patterns'!$B$6^(E371) - (D371*(1-'Prestige Patterns'!$B$6)/'Prestige Patterns'!$B$5),'Prestige Patterns'!$B$6)-E371,1)</f>
        <v>2</v>
      </c>
      <c r="H372">
        <f t="shared" si="2"/>
        <v>5616</v>
      </c>
      <c r="I372" s="5">
        <f>1+H372*'Prestige Patterns'!$B$25</f>
        <v>57.160000000000004</v>
      </c>
      <c r="J372">
        <f>FLOOR((K372/'Prestige Patterns'!$B$22)^'Prestige Patterns'!$B$23,1)-H371</f>
        <v>886</v>
      </c>
      <c r="K372" s="8">
        <f>K371+N371*'Prestige Patterns'!$B$20</f>
        <v>4228699615242</v>
      </c>
      <c r="L372" s="2">
        <f>IF(J371&gt;='Prestige Patterns'!$B$28,IF(J371/(H371+1)&gt;('Prestige Patterns'!$B$27+1),L371+1,L371),L371)</f>
        <v>6</v>
      </c>
      <c r="N372">
        <f t="shared" si="0"/>
        <v>2228892467.2000003</v>
      </c>
      <c r="O372" s="3">
        <f>'Prestige Patterns'!$B$4*E372</f>
        <v>9520</v>
      </c>
      <c r="P372">
        <f t="shared" si="3"/>
        <v>4096</v>
      </c>
      <c r="Q372" s="5"/>
      <c r="R372" s="5"/>
      <c r="S372" s="3">
        <v>371</v>
      </c>
      <c r="T372" s="5"/>
    </row>
    <row r="373" spans="1:20" ht="12">
      <c r="A373" s="1"/>
      <c r="B373" s="1"/>
      <c r="C373" s="2">
        <f>(S373*'Prestige Patterns'!$B$20)/60</f>
        <v>186</v>
      </c>
      <c r="D373" s="2">
        <f>IF(L372=L373,N372*'Prestige Patterns'!$B$20+D372-F373,0)</f>
        <v>88612602541.906418</v>
      </c>
      <c r="E373" s="3">
        <f t="shared" si="1"/>
        <v>477</v>
      </c>
      <c r="F373" s="8">
        <f>'Prestige Patterns'!$B$5*('Prestige Patterns'!$B$6^E372-'Prestige Patterns'!$B$6^(E372+G373))/(1-'Prestige Patterns'!$B$6)</f>
        <v>48771526481.052353</v>
      </c>
      <c r="G373" s="8">
        <f>FLOOR(LOG('Prestige Patterns'!$B$6^(E372) - (D372*(1-'Prestige Patterns'!$B$6)/'Prestige Patterns'!$B$5),'Prestige Patterns'!$B$6)-E372,1)</f>
        <v>1</v>
      </c>
      <c r="H373">
        <f t="shared" si="2"/>
        <v>5616</v>
      </c>
      <c r="I373" s="5">
        <f>1+H373*'Prestige Patterns'!$B$25</f>
        <v>57.160000000000004</v>
      </c>
      <c r="J373">
        <f>FLOOR((K373/'Prestige Patterns'!$B$22)^'Prestige Patterns'!$B$23,1)-H372</f>
        <v>938</v>
      </c>
      <c r="K373" s="8">
        <f>K372+N372*'Prestige Patterns'!$B$20</f>
        <v>4295566389258</v>
      </c>
      <c r="L373" s="2">
        <f>IF(J372&gt;='Prestige Patterns'!$B$28,IF(J372/(H372+1)&gt;('Prestige Patterns'!$B$27+1),L372+1,L372),L372)</f>
        <v>6</v>
      </c>
      <c r="N373">
        <f t="shared" si="0"/>
        <v>2233575014.4000001</v>
      </c>
      <c r="O373" s="3">
        <f>'Prestige Patterns'!$B$4*E373</f>
        <v>9540</v>
      </c>
      <c r="P373">
        <f t="shared" si="3"/>
        <v>4096</v>
      </c>
      <c r="Q373" s="5"/>
      <c r="R373" s="5"/>
      <c r="S373" s="3">
        <v>372</v>
      </c>
      <c r="T373" s="5"/>
    </row>
    <row r="374" spans="1:20" ht="12">
      <c r="A374" s="1"/>
      <c r="B374" s="1"/>
      <c r="C374" s="2">
        <f>(S374*'Prestige Patterns'!$B$20)/60</f>
        <v>186.5</v>
      </c>
      <c r="D374" s="2">
        <f>IF(L373=L374,N373*'Prestige Patterns'!$B$20+D373-F374,0)</f>
        <v>104409750168.80226</v>
      </c>
      <c r="E374" s="3">
        <f t="shared" si="1"/>
        <v>478</v>
      </c>
      <c r="F374" s="8">
        <f>'Prestige Patterns'!$B$5*('Prestige Patterns'!$B$6^E373-'Prestige Patterns'!$B$6^(E373+G374))/(1-'Prestige Patterns'!$B$6)</f>
        <v>51210102805.104172</v>
      </c>
      <c r="G374" s="8">
        <f>FLOOR(LOG('Prestige Patterns'!$B$6^(E373) - (D373*(1-'Prestige Patterns'!$B$6)/'Prestige Patterns'!$B$5),'Prestige Patterns'!$B$6)-E373,1)</f>
        <v>1</v>
      </c>
      <c r="H374">
        <f t="shared" si="2"/>
        <v>5616</v>
      </c>
      <c r="I374" s="5">
        <f>1+H374*'Prestige Patterns'!$B$25</f>
        <v>57.160000000000004</v>
      </c>
      <c r="J374">
        <f>FLOOR((K374/'Prestige Patterns'!$B$22)^'Prestige Patterns'!$B$23,1)-H373</f>
        <v>988</v>
      </c>
      <c r="K374" s="8">
        <f>K373+N373*'Prestige Patterns'!$B$20</f>
        <v>4362573639690</v>
      </c>
      <c r="L374" s="2">
        <f>IF(J373&gt;='Prestige Patterns'!$B$28,IF(J373/(H373+1)&gt;('Prestige Patterns'!$B$27+1),L373+1,L373),L373)</f>
        <v>6</v>
      </c>
      <c r="N374">
        <f t="shared" si="0"/>
        <v>2238257561.6000004</v>
      </c>
      <c r="O374" s="3">
        <f>'Prestige Patterns'!$B$4*E374</f>
        <v>9560</v>
      </c>
      <c r="P374">
        <f t="shared" si="3"/>
        <v>4096</v>
      </c>
      <c r="Q374" s="5"/>
      <c r="R374" s="5"/>
      <c r="S374" s="3">
        <v>373</v>
      </c>
      <c r="T374" s="5"/>
    </row>
    <row r="375" spans="1:20" ht="12">
      <c r="A375" s="1"/>
      <c r="B375" s="1"/>
      <c r="C375" s="2">
        <f>(S375*'Prestige Patterns'!$B$20)/60</f>
        <v>187</v>
      </c>
      <c r="D375" s="2">
        <f>IF(L374=L375,N374*'Prestige Patterns'!$B$20+D374-F375,0)</f>
        <v>117786869071.44176</v>
      </c>
      <c r="E375" s="3">
        <f t="shared" si="1"/>
        <v>479</v>
      </c>
      <c r="F375" s="8">
        <f>'Prestige Patterns'!$B$5*('Prestige Patterns'!$B$6^E374-'Prestige Patterns'!$B$6^(E374+G375))/(1-'Prestige Patterns'!$B$6)</f>
        <v>53770607945.360519</v>
      </c>
      <c r="G375" s="8">
        <f>FLOOR(LOG('Prestige Patterns'!$B$6^(E374) - (D374*(1-'Prestige Patterns'!$B$6)/'Prestige Patterns'!$B$5),'Prestige Patterns'!$B$6)-E374,1)</f>
        <v>1</v>
      </c>
      <c r="H375">
        <f t="shared" si="2"/>
        <v>5616</v>
      </c>
      <c r="I375" s="5">
        <f>1+H375*'Prestige Patterns'!$B$25</f>
        <v>57.160000000000004</v>
      </c>
      <c r="J375">
        <f>FLOOR((K375/'Prestige Patterns'!$B$22)^'Prestige Patterns'!$B$23,1)-H374</f>
        <v>1039</v>
      </c>
      <c r="K375" s="8">
        <f>K374+N374*'Prestige Patterns'!$B$20</f>
        <v>4429721366538</v>
      </c>
      <c r="L375" s="2">
        <f>IF(J374&gt;='Prestige Patterns'!$B$28,IF(J374/(H374+1)&gt;('Prestige Patterns'!$B$27+1),L374+1,L374),L374)</f>
        <v>6</v>
      </c>
      <c r="N375">
        <f t="shared" si="0"/>
        <v>2242940108.8000002</v>
      </c>
      <c r="O375" s="3">
        <f>'Prestige Patterns'!$B$4*E375</f>
        <v>9580</v>
      </c>
      <c r="P375">
        <f t="shared" si="3"/>
        <v>4096</v>
      </c>
      <c r="Q375" s="5"/>
      <c r="R375" s="5"/>
      <c r="S375" s="3">
        <v>374</v>
      </c>
      <c r="T375" s="5"/>
    </row>
    <row r="376" spans="1:20" ht="12">
      <c r="A376" s="1"/>
      <c r="B376" s="1"/>
      <c r="C376" s="2">
        <f>(S376*'Prestige Patterns'!$B$20)/60</f>
        <v>187.5</v>
      </c>
      <c r="D376" s="2">
        <f>IF(L375=L376,N375*'Prestige Patterns'!$B$20+D375-F376,0)</f>
        <v>69333838733.054642</v>
      </c>
      <c r="E376" s="3">
        <f t="shared" si="1"/>
        <v>481</v>
      </c>
      <c r="F376" s="8">
        <f>'Prestige Patterns'!$B$5*('Prestige Patterns'!$B$6^E375-'Prestige Patterns'!$B$6^(E375+G376))/(1-'Prestige Patterns'!$B$6)</f>
        <v>115741233602.38713</v>
      </c>
      <c r="G376" s="8">
        <f>FLOOR(LOG('Prestige Patterns'!$B$6^(E375) - (D375*(1-'Prestige Patterns'!$B$6)/'Prestige Patterns'!$B$5),'Prestige Patterns'!$B$6)-E375,1)</f>
        <v>2</v>
      </c>
      <c r="H376">
        <f t="shared" si="2"/>
        <v>5616</v>
      </c>
      <c r="I376" s="5">
        <f>1+H376*'Prestige Patterns'!$B$25</f>
        <v>57.160000000000004</v>
      </c>
      <c r="J376">
        <f>FLOOR((K376/'Prestige Patterns'!$B$22)^'Prestige Patterns'!$B$23,1)-H375</f>
        <v>1089</v>
      </c>
      <c r="K376" s="8">
        <f>K375+N375*'Prestige Patterns'!$B$20</f>
        <v>4497009569802</v>
      </c>
      <c r="L376" s="2">
        <f>IF(J375&gt;='Prestige Patterns'!$B$28,IF(J375/(H375+1)&gt;('Prestige Patterns'!$B$27+1),L375+1,L375),L375)</f>
        <v>6</v>
      </c>
      <c r="N376">
        <f t="shared" si="0"/>
        <v>2252305203.2000003</v>
      </c>
      <c r="O376" s="3">
        <f>'Prestige Patterns'!$B$4*E376</f>
        <v>9620</v>
      </c>
      <c r="P376">
        <f t="shared" si="3"/>
        <v>4096</v>
      </c>
      <c r="Q376" s="5"/>
      <c r="R376" s="5"/>
      <c r="S376" s="3">
        <v>375</v>
      </c>
      <c r="T376" s="5"/>
    </row>
    <row r="377" spans="1:20" ht="12">
      <c r="A377" s="1"/>
      <c r="B377" s="1"/>
      <c r="C377" s="2">
        <f>(S377*'Prestige Patterns'!$B$20)/60</f>
        <v>188</v>
      </c>
      <c r="D377" s="2">
        <f>IF(L376=L377,N376*'Prestige Patterns'!$B$20+D376-F377,0)</f>
        <v>74656794806.307526</v>
      </c>
      <c r="E377" s="3">
        <f t="shared" si="1"/>
        <v>482</v>
      </c>
      <c r="F377" s="8">
        <f>'Prestige Patterns'!$B$5*('Prestige Patterns'!$B$6^E376-'Prestige Patterns'!$B$6^(E376+G377))/(1-'Prestige Patterns'!$B$6)</f>
        <v>62246200022.747139</v>
      </c>
      <c r="G377" s="8">
        <f>FLOOR(LOG('Prestige Patterns'!$B$6^(E376) - (D376*(1-'Prestige Patterns'!$B$6)/'Prestige Patterns'!$B$5),'Prestige Patterns'!$B$6)-E376,1)</f>
        <v>1</v>
      </c>
      <c r="H377">
        <f t="shared" si="2"/>
        <v>5616</v>
      </c>
      <c r="I377" s="5">
        <f>1+H377*'Prestige Patterns'!$B$25</f>
        <v>57.160000000000004</v>
      </c>
      <c r="J377">
        <f>FLOOR((K377/'Prestige Patterns'!$B$22)^'Prestige Patterns'!$B$23,1)-H376</f>
        <v>1140</v>
      </c>
      <c r="K377" s="8">
        <f>K376+N376*'Prestige Patterns'!$B$20</f>
        <v>4564578725898</v>
      </c>
      <c r="L377" s="2">
        <f>IF(J376&gt;='Prestige Patterns'!$B$28,IF(J376/(H376+1)&gt;('Prestige Patterns'!$B$27+1),L376+1,L376),L376)</f>
        <v>6</v>
      </c>
      <c r="N377">
        <f t="shared" si="0"/>
        <v>2256987750.4000001</v>
      </c>
      <c r="O377" s="3">
        <f>'Prestige Patterns'!$B$4*E377</f>
        <v>9640</v>
      </c>
      <c r="P377">
        <f t="shared" si="3"/>
        <v>4096</v>
      </c>
      <c r="Q377" s="5"/>
      <c r="R377" s="5"/>
      <c r="S377" s="3">
        <v>376</v>
      </c>
      <c r="T377" s="5"/>
    </row>
    <row r="378" spans="1:20" ht="12">
      <c r="A378" s="1"/>
      <c r="B378" s="1"/>
      <c r="C378" s="2">
        <f>(S378*'Prestige Patterns'!$B$20)/60</f>
        <v>188.5</v>
      </c>
      <c r="D378" s="2">
        <f>IF(L377=L378,N377*'Prestige Patterns'!$B$20+D377-F378,0)</f>
        <v>77007917294.422546</v>
      </c>
      <c r="E378" s="3">
        <f t="shared" si="1"/>
        <v>483</v>
      </c>
      <c r="F378" s="8">
        <f>'Prestige Patterns'!$B$5*('Prestige Patterns'!$B$6^E377-'Prestige Patterns'!$B$6^(E377+G378))/(1-'Prestige Patterns'!$B$6)</f>
        <v>65358510023.884979</v>
      </c>
      <c r="G378" s="8">
        <f>FLOOR(LOG('Prestige Patterns'!$B$6^(E377) - (D377*(1-'Prestige Patterns'!$B$6)/'Prestige Patterns'!$B$5),'Prestige Patterns'!$B$6)-E377,1)</f>
        <v>1</v>
      </c>
      <c r="H378">
        <f t="shared" si="2"/>
        <v>5616</v>
      </c>
      <c r="I378" s="5">
        <f>1+H378*'Prestige Patterns'!$B$25</f>
        <v>57.160000000000004</v>
      </c>
      <c r="J378">
        <f>FLOOR((K378/'Prestige Patterns'!$B$22)^'Prestige Patterns'!$B$23,1)-H377</f>
        <v>1190</v>
      </c>
      <c r="K378" s="8">
        <f>K377+N377*'Prestige Patterns'!$B$20</f>
        <v>4632288358410</v>
      </c>
      <c r="L378" s="2">
        <f>IF(J377&gt;='Prestige Patterns'!$B$28,IF(J377/(H377+1)&gt;('Prestige Patterns'!$B$27+1),L377+1,L377),L377)</f>
        <v>6</v>
      </c>
      <c r="N378">
        <f t="shared" si="0"/>
        <v>2261670297.6000004</v>
      </c>
      <c r="O378" s="3">
        <f>'Prestige Patterns'!$B$4*E378</f>
        <v>9660</v>
      </c>
      <c r="P378">
        <f t="shared" si="3"/>
        <v>4096</v>
      </c>
      <c r="Q378" s="5"/>
      <c r="R378" s="5"/>
      <c r="S378" s="3">
        <v>377</v>
      </c>
      <c r="T378" s="5"/>
    </row>
    <row r="379" spans="1:20" ht="12">
      <c r="A379" s="1"/>
      <c r="B379" s="1"/>
      <c r="C379" s="2">
        <f>(S379*'Prestige Patterns'!$B$20)/60</f>
        <v>189</v>
      </c>
      <c r="D379" s="2">
        <f>IF(L378=L379,N378*'Prestige Patterns'!$B$20+D378-F379,0)</f>
        <v>76231590697.344025</v>
      </c>
      <c r="E379" s="3">
        <f t="shared" si="1"/>
        <v>484</v>
      </c>
      <c r="F379" s="8">
        <f>'Prestige Patterns'!$B$5*('Prestige Patterns'!$B$6^E378-'Prestige Patterns'!$B$6^(E378+G379))/(1-'Prestige Patterns'!$B$6)</f>
        <v>68626435525.078522</v>
      </c>
      <c r="G379" s="8">
        <f>FLOOR(LOG('Prestige Patterns'!$B$6^(E378) - (D378*(1-'Prestige Patterns'!$B$6)/'Prestige Patterns'!$B$5),'Prestige Patterns'!$B$6)-E378,1)</f>
        <v>1</v>
      </c>
      <c r="H379">
        <f t="shared" si="2"/>
        <v>5616</v>
      </c>
      <c r="I379" s="5">
        <f>1+H379*'Prestige Patterns'!$B$25</f>
        <v>57.160000000000004</v>
      </c>
      <c r="J379">
        <f>FLOOR((K379/'Prestige Patterns'!$B$22)^'Prestige Patterns'!$B$23,1)-H378</f>
        <v>1239</v>
      </c>
      <c r="K379" s="8">
        <f>K378+N378*'Prestige Patterns'!$B$20</f>
        <v>4700138467338</v>
      </c>
      <c r="L379" s="2">
        <f>IF(J378&gt;='Prestige Patterns'!$B$28,IF(J378/(H378+1)&gt;('Prestige Patterns'!$B$27+1),L378+1,L378),L378)</f>
        <v>6</v>
      </c>
      <c r="N379">
        <f t="shared" si="0"/>
        <v>2266352844.8000002</v>
      </c>
      <c r="O379" s="3">
        <f>'Prestige Patterns'!$B$4*E379</f>
        <v>9680</v>
      </c>
      <c r="P379">
        <f t="shared" si="3"/>
        <v>4096</v>
      </c>
      <c r="Q379" s="5"/>
      <c r="R379" s="5"/>
      <c r="S379" s="3">
        <v>378</v>
      </c>
      <c r="T379" s="5"/>
    </row>
    <row r="380" spans="1:20" ht="12">
      <c r="A380" s="1"/>
      <c r="B380" s="1"/>
      <c r="C380" s="2">
        <f>(S380*'Prestige Patterns'!$B$20)/60</f>
        <v>189.5</v>
      </c>
      <c r="D380" s="2">
        <f>IF(L379=L380,N379*'Prestige Patterns'!$B$20+D379-F380,0)</f>
        <v>72164418740.011383</v>
      </c>
      <c r="E380" s="3">
        <f t="shared" si="1"/>
        <v>485</v>
      </c>
      <c r="F380" s="8">
        <f>'Prestige Patterns'!$B$5*('Prestige Patterns'!$B$6^E379-'Prestige Patterns'!$B$6^(E379+G380))/(1-'Prestige Patterns'!$B$6)</f>
        <v>72057757301.332642</v>
      </c>
      <c r="G380" s="8">
        <f>FLOOR(LOG('Prestige Patterns'!$B$6^(E379) - (D379*(1-'Prestige Patterns'!$B$6)/'Prestige Patterns'!$B$5),'Prestige Patterns'!$B$6)-E379,1)</f>
        <v>1</v>
      </c>
      <c r="H380">
        <f t="shared" si="2"/>
        <v>5616</v>
      </c>
      <c r="I380" s="5">
        <f>1+H380*'Prestige Patterns'!$B$25</f>
        <v>57.160000000000004</v>
      </c>
      <c r="J380">
        <f>FLOOR((K380/'Prestige Patterns'!$B$22)^'Prestige Patterns'!$B$23,1)-H379</f>
        <v>1289</v>
      </c>
      <c r="K380" s="8">
        <f>K379+N379*'Prestige Patterns'!$B$20</f>
        <v>4768129052682</v>
      </c>
      <c r="L380" s="2">
        <f>IF(J379&gt;='Prestige Patterns'!$B$28,IF(J379/(H379+1)&gt;('Prestige Patterns'!$B$27+1),L379+1,L379),L379)</f>
        <v>6</v>
      </c>
      <c r="N380">
        <f t="shared" si="0"/>
        <v>2271035392</v>
      </c>
      <c r="O380" s="3">
        <f>'Prestige Patterns'!$B$4*E380</f>
        <v>9700</v>
      </c>
      <c r="P380">
        <f t="shared" si="3"/>
        <v>4096</v>
      </c>
      <c r="Q380" s="5"/>
      <c r="R380" s="5"/>
      <c r="S380" s="3">
        <v>379</v>
      </c>
      <c r="T380" s="5"/>
    </row>
    <row r="381" spans="1:20" ht="12">
      <c r="A381" s="1"/>
      <c r="B381" s="1"/>
      <c r="C381" s="2">
        <f>(S381*'Prestige Patterns'!$B$20)/60</f>
        <v>190</v>
      </c>
      <c r="D381" s="2">
        <f>IF(L380=L381,N380*'Prestige Patterns'!$B$20+D380-F381,0)</f>
        <v>140295480500.01138</v>
      </c>
      <c r="E381" s="3">
        <f t="shared" si="1"/>
        <v>485</v>
      </c>
      <c r="F381" s="8">
        <f>'Prestige Patterns'!$B$5*('Prestige Patterns'!$B$6^E380-'Prestige Patterns'!$B$6^(E380+G381))/(1-'Prestige Patterns'!$B$6)</f>
        <v>0</v>
      </c>
      <c r="G381" s="8">
        <f>FLOOR(LOG('Prestige Patterns'!$B$6^(E380) - (D380*(1-'Prestige Patterns'!$B$6)/'Prestige Patterns'!$B$5),'Prestige Patterns'!$B$6)-E380,1)</f>
        <v>0</v>
      </c>
      <c r="H381">
        <f t="shared" si="2"/>
        <v>5616</v>
      </c>
      <c r="I381" s="5">
        <f>1+H381*'Prestige Patterns'!$B$25</f>
        <v>57.160000000000004</v>
      </c>
      <c r="J381">
        <f>FLOOR((K381/'Prestige Patterns'!$B$22)^'Prestige Patterns'!$B$23,1)-H380</f>
        <v>1338</v>
      </c>
      <c r="K381" s="8">
        <f>K380+N380*'Prestige Patterns'!$B$20</f>
        <v>4836260114442</v>
      </c>
      <c r="L381" s="2">
        <f>IF(J380&gt;='Prestige Patterns'!$B$28,IF(J380/(H380+1)&gt;('Prestige Patterns'!$B$27+1),L380+1,L380),L380)</f>
        <v>6</v>
      </c>
      <c r="N381">
        <f t="shared" si="0"/>
        <v>2271035392</v>
      </c>
      <c r="O381" s="3">
        <f>'Prestige Patterns'!$B$4*E381</f>
        <v>9700</v>
      </c>
      <c r="P381">
        <f t="shared" si="3"/>
        <v>4096</v>
      </c>
      <c r="Q381" s="5"/>
      <c r="R381" s="5"/>
      <c r="S381" s="3">
        <v>380</v>
      </c>
      <c r="T381" s="5"/>
    </row>
    <row r="382" spans="1:20" ht="12">
      <c r="A382" s="1"/>
      <c r="B382" s="1"/>
      <c r="C382" s="2">
        <f>(S382*'Prestige Patterns'!$B$20)/60</f>
        <v>190.5</v>
      </c>
      <c r="D382" s="2">
        <f>IF(L381=L382,N381*'Prestige Patterns'!$B$20+D381-F382,0)</f>
        <v>132765897093.61191</v>
      </c>
      <c r="E382" s="3">
        <f t="shared" si="1"/>
        <v>486</v>
      </c>
      <c r="F382" s="8">
        <f>'Prestige Patterns'!$B$5*('Prestige Patterns'!$B$6^E381-'Prestige Patterns'!$B$6^(E381+G382))/(1-'Prestige Patterns'!$B$6)</f>
        <v>75660645166.399475</v>
      </c>
      <c r="G382" s="8">
        <f>FLOOR(LOG('Prestige Patterns'!$B$6^(E381) - (D381*(1-'Prestige Patterns'!$B$6)/'Prestige Patterns'!$B$5),'Prestige Patterns'!$B$6)-E381,1)</f>
        <v>1</v>
      </c>
      <c r="H382">
        <f t="shared" si="2"/>
        <v>5616</v>
      </c>
      <c r="I382" s="5">
        <f>1+H382*'Prestige Patterns'!$B$25</f>
        <v>57.160000000000004</v>
      </c>
      <c r="J382">
        <f>FLOOR((K382/'Prestige Patterns'!$B$22)^'Prestige Patterns'!$B$23,1)-H381</f>
        <v>1387</v>
      </c>
      <c r="K382" s="8">
        <f>K381+N381*'Prestige Patterns'!$B$20</f>
        <v>4904391176202</v>
      </c>
      <c r="L382" s="2">
        <f>IF(J381&gt;='Prestige Patterns'!$B$28,IF(J381/(H381+1)&gt;('Prestige Patterns'!$B$27+1),L381+1,L381),L381)</f>
        <v>6</v>
      </c>
      <c r="N382">
        <f t="shared" si="0"/>
        <v>2275717939.2000003</v>
      </c>
      <c r="O382" s="3">
        <f>'Prestige Patterns'!$B$4*E382</f>
        <v>9720</v>
      </c>
      <c r="P382">
        <f t="shared" si="3"/>
        <v>4096</v>
      </c>
      <c r="Q382" s="5"/>
      <c r="R382" s="5"/>
      <c r="S382" s="3">
        <v>381</v>
      </c>
      <c r="T382" s="5"/>
    </row>
    <row r="383" spans="1:20" ht="12">
      <c r="A383" s="1"/>
      <c r="B383" s="1"/>
      <c r="C383" s="2">
        <f>(S383*'Prestige Patterns'!$B$20)/60</f>
        <v>191</v>
      </c>
      <c r="D383" s="2">
        <f>IF(L382=L383,N382*'Prestige Patterns'!$B$20+D382-F383,0)</f>
        <v>121593757844.89214</v>
      </c>
      <c r="E383" s="3">
        <f t="shared" si="1"/>
        <v>487</v>
      </c>
      <c r="F383" s="8">
        <f>'Prestige Patterns'!$B$5*('Prestige Patterns'!$B$6^E382-'Prestige Patterns'!$B$6^(E382+G383))/(1-'Prestige Patterns'!$B$6)</f>
        <v>79443677424.719772</v>
      </c>
      <c r="G383" s="8">
        <f>FLOOR(LOG('Prestige Patterns'!$B$6^(E382) - (D382*(1-'Prestige Patterns'!$B$6)/'Prestige Patterns'!$B$5),'Prestige Patterns'!$B$6)-E382,1)</f>
        <v>1</v>
      </c>
      <c r="H383">
        <f t="shared" si="2"/>
        <v>5616</v>
      </c>
      <c r="I383" s="5">
        <f>1+H383*'Prestige Patterns'!$B$25</f>
        <v>57.160000000000004</v>
      </c>
      <c r="J383">
        <f>FLOOR((K383/'Prestige Patterns'!$B$22)^'Prestige Patterns'!$B$23,1)-H382</f>
        <v>1435</v>
      </c>
      <c r="K383" s="8">
        <f>K382+N382*'Prestige Patterns'!$B$20</f>
        <v>4972662714378</v>
      </c>
      <c r="L383" s="2">
        <f>IF(J382&gt;='Prestige Patterns'!$B$28,IF(J382/(H382+1)&gt;('Prestige Patterns'!$B$27+1),L382+1,L382),L382)</f>
        <v>6</v>
      </c>
      <c r="N383">
        <f t="shared" si="0"/>
        <v>2280400486.4000001</v>
      </c>
      <c r="O383" s="3">
        <f>'Prestige Patterns'!$B$4*E383</f>
        <v>9740</v>
      </c>
      <c r="P383">
        <f t="shared" si="3"/>
        <v>4096</v>
      </c>
      <c r="Q383" s="5"/>
      <c r="R383" s="5"/>
      <c r="S383" s="3">
        <v>382</v>
      </c>
      <c r="T383" s="5"/>
    </row>
    <row r="384" spans="1:20" ht="12">
      <c r="A384" s="1"/>
      <c r="B384" s="1"/>
      <c r="C384" s="2">
        <f>(S384*'Prestige Patterns'!$B$20)/60</f>
        <v>191.5</v>
      </c>
      <c r="D384" s="2">
        <f>IF(L383=L384,N383*'Prestige Patterns'!$B$20+D383-F384,0)</f>
        <v>106589911140.93703</v>
      </c>
      <c r="E384" s="3">
        <f t="shared" si="1"/>
        <v>488</v>
      </c>
      <c r="F384" s="8">
        <f>'Prestige Patterns'!$B$5*('Prestige Patterns'!$B$6^E383-'Prestige Patterns'!$B$6^(E383+G384))/(1-'Prestige Patterns'!$B$6)</f>
        <v>83415861295.955124</v>
      </c>
      <c r="G384" s="8">
        <f>FLOOR(LOG('Prestige Patterns'!$B$6^(E383) - (D383*(1-'Prestige Patterns'!$B$6)/'Prestige Patterns'!$B$5),'Prestige Patterns'!$B$6)-E383,1)</f>
        <v>1</v>
      </c>
      <c r="H384">
        <f t="shared" si="2"/>
        <v>5616</v>
      </c>
      <c r="I384" s="5">
        <f>1+H384*'Prestige Patterns'!$B$25</f>
        <v>57.160000000000004</v>
      </c>
      <c r="J384">
        <f>FLOOR((K384/'Prestige Patterns'!$B$22)^'Prestige Patterns'!$B$23,1)-H383</f>
        <v>1484</v>
      </c>
      <c r="K384" s="8">
        <f>K383+N383*'Prestige Patterns'!$B$20</f>
        <v>5041074728970</v>
      </c>
      <c r="L384" s="2">
        <f>IF(J383&gt;='Prestige Patterns'!$B$28,IF(J383/(H383+1)&gt;('Prestige Patterns'!$B$27+1),L383+1,L383),L383)</f>
        <v>6</v>
      </c>
      <c r="N384">
        <f t="shared" si="0"/>
        <v>2285083033.6000004</v>
      </c>
      <c r="O384" s="3">
        <f>'Prestige Patterns'!$B$4*E384</f>
        <v>9760</v>
      </c>
      <c r="P384">
        <f t="shared" si="3"/>
        <v>4096</v>
      </c>
      <c r="Q384" s="5"/>
      <c r="R384" s="5"/>
      <c r="S384" s="3">
        <v>383</v>
      </c>
      <c r="T384" s="5"/>
    </row>
    <row r="385" spans="1:20" ht="12">
      <c r="A385" s="1"/>
      <c r="B385" s="1"/>
      <c r="C385" s="2">
        <f>(S385*'Prestige Patterns'!$B$20)/60</f>
        <v>192</v>
      </c>
      <c r="D385" s="2">
        <f>IF(L384=L385,N384*'Prestige Patterns'!$B$20+D384-F385,0)</f>
        <v>87555747788.18364</v>
      </c>
      <c r="E385" s="3">
        <f t="shared" si="1"/>
        <v>489</v>
      </c>
      <c r="F385" s="8">
        <f>'Prestige Patterns'!$B$5*('Prestige Patterns'!$B$6^E384-'Prestige Patterns'!$B$6^(E384+G385))/(1-'Prestige Patterns'!$B$6)</f>
        <v>87586654360.753403</v>
      </c>
      <c r="G385" s="8">
        <f>FLOOR(LOG('Prestige Patterns'!$B$6^(E384) - (D384*(1-'Prestige Patterns'!$B$6)/'Prestige Patterns'!$B$5),'Prestige Patterns'!$B$6)-E384,1)</f>
        <v>1</v>
      </c>
      <c r="H385">
        <f t="shared" si="2"/>
        <v>5616</v>
      </c>
      <c r="I385" s="5">
        <f>1+H385*'Prestige Patterns'!$B$25</f>
        <v>57.160000000000004</v>
      </c>
      <c r="J385">
        <f>FLOOR((K385/'Prestige Patterns'!$B$22)^'Prestige Patterns'!$B$23,1)-H384</f>
        <v>1532</v>
      </c>
      <c r="K385" s="8">
        <f>K384+N384*'Prestige Patterns'!$B$20</f>
        <v>5109627219978</v>
      </c>
      <c r="L385" s="2">
        <f>IF(J384&gt;='Prestige Patterns'!$B$28,IF(J384/(H384+1)&gt;('Prestige Patterns'!$B$27+1),L384+1,L384),L384)</f>
        <v>6</v>
      </c>
      <c r="N385">
        <f t="shared" si="0"/>
        <v>2289765580.8000002</v>
      </c>
      <c r="O385" s="3">
        <f>'Prestige Patterns'!$B$4*E385</f>
        <v>9780</v>
      </c>
      <c r="P385">
        <f t="shared" si="3"/>
        <v>4096</v>
      </c>
      <c r="Q385" s="5"/>
      <c r="R385" s="5"/>
      <c r="S385" s="3">
        <v>384</v>
      </c>
      <c r="T385" s="5"/>
    </row>
    <row r="386" spans="1:20" ht="12">
      <c r="A386" s="1"/>
      <c r="B386" s="1"/>
      <c r="C386" s="2">
        <f>(S386*'Prestige Patterns'!$B$20)/60</f>
        <v>192.5</v>
      </c>
      <c r="D386" s="2">
        <f>IF(L385=L386,N385*'Prestige Patterns'!$B$20+D385-F386,0)</f>
        <v>156248715212.18365</v>
      </c>
      <c r="E386" s="3">
        <f t="shared" si="1"/>
        <v>489</v>
      </c>
      <c r="F386" s="8">
        <f>'Prestige Patterns'!$B$5*('Prestige Patterns'!$B$6^E385-'Prestige Patterns'!$B$6^(E385+G386))/(1-'Prestige Patterns'!$B$6)</f>
        <v>0</v>
      </c>
      <c r="G386" s="8">
        <f>FLOOR(LOG('Prestige Patterns'!$B$6^(E385) - (D385*(1-'Prestige Patterns'!$B$6)/'Prestige Patterns'!$B$5),'Prestige Patterns'!$B$6)-E385,1)</f>
        <v>0</v>
      </c>
      <c r="H386">
        <f t="shared" si="2"/>
        <v>5616</v>
      </c>
      <c r="I386" s="5">
        <f>1+H386*'Prestige Patterns'!$B$25</f>
        <v>57.160000000000004</v>
      </c>
      <c r="J386">
        <f>FLOOR((K386/'Prestige Patterns'!$B$22)^'Prestige Patterns'!$B$23,1)-H385</f>
        <v>1580</v>
      </c>
      <c r="K386" s="8">
        <f>K385+N385*'Prestige Patterns'!$B$20</f>
        <v>5178320187402</v>
      </c>
      <c r="L386" s="2">
        <f>IF(J385&gt;='Prestige Patterns'!$B$28,IF(J385/(H385+1)&gt;('Prestige Patterns'!$B$27+1),L385+1,L385),L385)</f>
        <v>6</v>
      </c>
      <c r="N386">
        <f t="shared" si="0"/>
        <v>2289765580.8000002</v>
      </c>
      <c r="O386" s="3">
        <f>'Prestige Patterns'!$B$4*E386</f>
        <v>9780</v>
      </c>
      <c r="P386">
        <f t="shared" si="3"/>
        <v>4096</v>
      </c>
      <c r="Q386" s="5"/>
      <c r="R386" s="5"/>
      <c r="S386" s="3">
        <v>385</v>
      </c>
      <c r="T386" s="5"/>
    </row>
    <row r="387" spans="1:20" ht="12">
      <c r="A387" s="1"/>
      <c r="B387" s="1"/>
      <c r="C387" s="2">
        <f>(S387*'Prestige Patterns'!$B$20)/60</f>
        <v>193</v>
      </c>
      <c r="D387" s="2">
        <f>IF(L386=L387,N386*'Prestige Patterns'!$B$20+D386-F387,0)</f>
        <v>132975695557.39284</v>
      </c>
      <c r="E387" s="3">
        <f t="shared" si="1"/>
        <v>490</v>
      </c>
      <c r="F387" s="8">
        <f>'Prestige Patterns'!$B$5*('Prestige Patterns'!$B$6^E386-'Prestige Patterns'!$B$6^(E386+G387))/(1-'Prestige Patterns'!$B$6)</f>
        <v>91965987078.790817</v>
      </c>
      <c r="G387" s="8">
        <f>FLOOR(LOG('Prestige Patterns'!$B$6^(E386) - (D386*(1-'Prestige Patterns'!$B$6)/'Prestige Patterns'!$B$5),'Prestige Patterns'!$B$6)-E386,1)</f>
        <v>1</v>
      </c>
      <c r="H387">
        <f t="shared" si="2"/>
        <v>5616</v>
      </c>
      <c r="I387" s="5">
        <f>1+H387*'Prestige Patterns'!$B$25</f>
        <v>57.160000000000004</v>
      </c>
      <c r="J387">
        <f>FLOOR((K387/'Prestige Patterns'!$B$22)^'Prestige Patterns'!$B$23,1)-H386</f>
        <v>1627</v>
      </c>
      <c r="K387" s="8">
        <f>K386+N386*'Prestige Patterns'!$B$20</f>
        <v>5247013154826</v>
      </c>
      <c r="L387" s="2">
        <f>IF(J386&gt;='Prestige Patterns'!$B$28,IF(J386/(H386+1)&gt;('Prestige Patterns'!$B$27+1),L386+1,L386),L386)</f>
        <v>6</v>
      </c>
      <c r="N387">
        <f t="shared" si="0"/>
        <v>2294448128</v>
      </c>
      <c r="O387" s="3">
        <f>'Prestige Patterns'!$B$4*E387</f>
        <v>9800</v>
      </c>
      <c r="P387">
        <f t="shared" si="3"/>
        <v>4096</v>
      </c>
      <c r="Q387" s="5"/>
      <c r="R387" s="5"/>
      <c r="S387" s="3">
        <v>386</v>
      </c>
      <c r="T387" s="5"/>
    </row>
    <row r="388" spans="1:20" ht="12">
      <c r="A388" s="1"/>
      <c r="B388" s="1"/>
      <c r="C388" s="2">
        <f>(S388*'Prestige Patterns'!$B$20)/60</f>
        <v>193.5</v>
      </c>
      <c r="D388" s="2">
        <f>IF(L387=L388,N387*'Prestige Patterns'!$B$20+D387-F388,0)</f>
        <v>105244852964.6622</v>
      </c>
      <c r="E388" s="3">
        <f t="shared" si="1"/>
        <v>491</v>
      </c>
      <c r="F388" s="8">
        <f>'Prestige Patterns'!$B$5*('Prestige Patterns'!$B$6^E387-'Prestige Patterns'!$B$6^(E387+G388))/(1-'Prestige Patterns'!$B$6)</f>
        <v>96564286432.730621</v>
      </c>
      <c r="G388" s="8">
        <f>FLOOR(LOG('Prestige Patterns'!$B$6^(E387) - (D387*(1-'Prestige Patterns'!$B$6)/'Prestige Patterns'!$B$5),'Prestige Patterns'!$B$6)-E387,1)</f>
        <v>1</v>
      </c>
      <c r="H388">
        <f t="shared" si="2"/>
        <v>5616</v>
      </c>
      <c r="I388" s="5">
        <f>1+H388*'Prestige Patterns'!$B$25</f>
        <v>57.160000000000004</v>
      </c>
      <c r="J388">
        <f>FLOOR((K388/'Prestige Patterns'!$B$22)^'Prestige Patterns'!$B$23,1)-H387</f>
        <v>1674</v>
      </c>
      <c r="K388" s="8">
        <f>K387+N387*'Prestige Patterns'!$B$20</f>
        <v>5315846598666</v>
      </c>
      <c r="L388" s="2">
        <f>IF(J387&gt;='Prestige Patterns'!$B$28,IF(J387/(H387+1)&gt;('Prestige Patterns'!$B$27+1),L387+1,L387),L387)</f>
        <v>6</v>
      </c>
      <c r="N388">
        <f t="shared" si="0"/>
        <v>2299130675.2000003</v>
      </c>
      <c r="O388" s="3">
        <f>'Prestige Patterns'!$B$4*E388</f>
        <v>9820</v>
      </c>
      <c r="P388">
        <f t="shared" si="3"/>
        <v>4096</v>
      </c>
      <c r="Q388" s="5"/>
      <c r="R388" s="5"/>
      <c r="S388" s="3">
        <v>387</v>
      </c>
      <c r="T388" s="5"/>
    </row>
    <row r="389" spans="1:20" ht="12">
      <c r="A389" s="1"/>
      <c r="B389" s="1"/>
      <c r="C389" s="2">
        <f>(S389*'Prestige Patterns'!$B$20)/60</f>
        <v>194</v>
      </c>
      <c r="D389" s="2">
        <f>IF(L388=L389,N388*'Prestige Patterns'!$B$20+D388-F389,0)</f>
        <v>72826272466.295868</v>
      </c>
      <c r="E389" s="3">
        <f t="shared" si="1"/>
        <v>492</v>
      </c>
      <c r="F389" s="8">
        <f>'Prestige Patterns'!$B$5*('Prestige Patterns'!$B$6^E388-'Prestige Patterns'!$B$6^(E388+G389))/(1-'Prestige Patterns'!$B$6)</f>
        <v>101392500754.36636</v>
      </c>
      <c r="G389" s="8">
        <f>FLOOR(LOG('Prestige Patterns'!$B$6^(E388) - (D388*(1-'Prestige Patterns'!$B$6)/'Prestige Patterns'!$B$5),'Prestige Patterns'!$B$6)-E388,1)</f>
        <v>1</v>
      </c>
      <c r="H389">
        <f t="shared" si="2"/>
        <v>5616</v>
      </c>
      <c r="I389" s="5">
        <f>1+H389*'Prestige Patterns'!$B$25</f>
        <v>57.160000000000004</v>
      </c>
      <c r="J389">
        <f>FLOOR((K389/'Prestige Patterns'!$B$22)^'Prestige Patterns'!$B$23,1)-H388</f>
        <v>1722</v>
      </c>
      <c r="K389" s="8">
        <f>K388+N388*'Prestige Patterns'!$B$20</f>
        <v>5384820518922</v>
      </c>
      <c r="L389" s="2">
        <f>IF(J388&gt;='Prestige Patterns'!$B$28,IF(J388/(H388+1)&gt;('Prestige Patterns'!$B$27+1),L388+1,L388),L388)</f>
        <v>6</v>
      </c>
      <c r="N389">
        <f t="shared" si="0"/>
        <v>2303813222.4000001</v>
      </c>
      <c r="O389" s="3">
        <f>'Prestige Patterns'!$B$4*E389</f>
        <v>9840</v>
      </c>
      <c r="P389">
        <f t="shared" si="3"/>
        <v>4096</v>
      </c>
      <c r="Q389" s="5"/>
      <c r="R389" s="5"/>
      <c r="S389" s="3">
        <v>388</v>
      </c>
      <c r="T389" s="5"/>
    </row>
    <row r="390" spans="1:20" ht="12">
      <c r="A390" s="1"/>
      <c r="B390" s="1"/>
      <c r="C390" s="2">
        <f>(S390*'Prestige Patterns'!$B$20)/60</f>
        <v>194.5</v>
      </c>
      <c r="D390" s="2">
        <f>IF(L389=L390,N389*'Prestige Patterns'!$B$20+D389-F390,0)</f>
        <v>141940669138.29587</v>
      </c>
      <c r="E390" s="3">
        <f t="shared" si="1"/>
        <v>492</v>
      </c>
      <c r="F390" s="8">
        <f>'Prestige Patterns'!$B$5*('Prestige Patterns'!$B$6^E389-'Prestige Patterns'!$B$6^(E389+G390))/(1-'Prestige Patterns'!$B$6)</f>
        <v>0</v>
      </c>
      <c r="G390" s="8">
        <f>FLOOR(LOG('Prestige Patterns'!$B$6^(E389) - (D389*(1-'Prestige Patterns'!$B$6)/'Prestige Patterns'!$B$5),'Prestige Patterns'!$B$6)-E389,1)</f>
        <v>0</v>
      </c>
      <c r="H390">
        <f t="shared" si="2"/>
        <v>5616</v>
      </c>
      <c r="I390" s="5">
        <f>1+H390*'Prestige Patterns'!$B$25</f>
        <v>57.160000000000004</v>
      </c>
      <c r="J390">
        <f>FLOOR((K390/'Prestige Patterns'!$B$22)^'Prestige Patterns'!$B$23,1)-H389</f>
        <v>1769</v>
      </c>
      <c r="K390" s="8">
        <f>K389+N389*'Prestige Patterns'!$B$20</f>
        <v>5453934915594</v>
      </c>
      <c r="L390" s="2">
        <f>IF(J389&gt;='Prestige Patterns'!$B$28,IF(J389/(H389+1)&gt;('Prestige Patterns'!$B$27+1),L389+1,L389),L389)</f>
        <v>6</v>
      </c>
      <c r="N390">
        <f t="shared" si="0"/>
        <v>2303813222.4000001</v>
      </c>
      <c r="O390" s="3">
        <f>'Prestige Patterns'!$B$4*E390</f>
        <v>9840</v>
      </c>
      <c r="P390">
        <f t="shared" si="3"/>
        <v>4096</v>
      </c>
      <c r="Q390" s="5"/>
      <c r="R390" s="5"/>
      <c r="S390" s="3">
        <v>389</v>
      </c>
      <c r="T390" s="5"/>
    </row>
    <row r="391" spans="1:20" ht="12">
      <c r="A391" s="1"/>
      <c r="B391" s="1"/>
      <c r="C391" s="2">
        <f>(S391*'Prestige Patterns'!$B$20)/60</f>
        <v>195</v>
      </c>
      <c r="D391" s="2">
        <f>IF(L390=L391,N390*'Prestige Patterns'!$B$20+D390-F391,0)</f>
        <v>104592940018.21008</v>
      </c>
      <c r="E391" s="3">
        <f t="shared" si="1"/>
        <v>493</v>
      </c>
      <c r="F391" s="8">
        <f>'Prestige Patterns'!$B$5*('Prestige Patterns'!$B$6^E390-'Prestige Patterns'!$B$6^(E390+G391))/(1-'Prestige Patterns'!$B$6)</f>
        <v>106462125792.08578</v>
      </c>
      <c r="G391" s="8">
        <f>FLOOR(LOG('Prestige Patterns'!$B$6^(E390) - (D390*(1-'Prestige Patterns'!$B$6)/'Prestige Patterns'!$B$5),'Prestige Patterns'!$B$6)-E390,1)</f>
        <v>1</v>
      </c>
      <c r="H391">
        <f t="shared" si="2"/>
        <v>5616</v>
      </c>
      <c r="I391" s="5">
        <f>1+H391*'Prestige Patterns'!$B$25</f>
        <v>57.160000000000004</v>
      </c>
      <c r="J391">
        <f>FLOOR((K391/'Prestige Patterns'!$B$22)^'Prestige Patterns'!$B$23,1)-H390</f>
        <v>1815</v>
      </c>
      <c r="K391" s="8">
        <f>K390+N390*'Prestige Patterns'!$B$20</f>
        <v>5523049312266</v>
      </c>
      <c r="L391" s="2">
        <f>IF(J390&gt;='Prestige Patterns'!$B$28,IF(J390/(H390+1)&gt;('Prestige Patterns'!$B$27+1),L390+1,L390),L390)</f>
        <v>6</v>
      </c>
      <c r="N391">
        <f t="shared" si="0"/>
        <v>2308495769.6000004</v>
      </c>
      <c r="O391" s="3">
        <f>'Prestige Patterns'!$B$4*E391</f>
        <v>9860</v>
      </c>
      <c r="P391">
        <f t="shared" si="3"/>
        <v>4096</v>
      </c>
      <c r="Q391" s="5"/>
      <c r="R391" s="5"/>
      <c r="S391" s="3">
        <v>390</v>
      </c>
      <c r="T391" s="5"/>
    </row>
    <row r="392" spans="1:20" ht="12">
      <c r="A392" s="1"/>
      <c r="B392" s="1"/>
      <c r="C392" s="2">
        <f>(S392*'Prestige Patterns'!$B$20)/60</f>
        <v>195.5</v>
      </c>
      <c r="D392" s="2">
        <f>IF(L391=L392,N391*'Prestige Patterns'!$B$20+D391-F392,0)</f>
        <v>173847813106.21008</v>
      </c>
      <c r="E392" s="3">
        <f t="shared" si="1"/>
        <v>493</v>
      </c>
      <c r="F392" s="8">
        <f>'Prestige Patterns'!$B$5*('Prestige Patterns'!$B$6^E391-'Prestige Patterns'!$B$6^(E391+G392))/(1-'Prestige Patterns'!$B$6)</f>
        <v>0</v>
      </c>
      <c r="G392" s="8">
        <f>FLOOR(LOG('Prestige Patterns'!$B$6^(E391) - (D391*(1-'Prestige Patterns'!$B$6)/'Prestige Patterns'!$B$5),'Prestige Patterns'!$B$6)-E391,1)</f>
        <v>0</v>
      </c>
      <c r="H392">
        <f t="shared" si="2"/>
        <v>5616</v>
      </c>
      <c r="I392" s="5">
        <f>1+H392*'Prestige Patterns'!$B$25</f>
        <v>57.160000000000004</v>
      </c>
      <c r="J392">
        <f>FLOOR((K392/'Prestige Patterns'!$B$22)^'Prestige Patterns'!$B$23,1)-H391</f>
        <v>1862</v>
      </c>
      <c r="K392" s="8">
        <f>K391+N391*'Prestige Patterns'!$B$20</f>
        <v>5592304185354</v>
      </c>
      <c r="L392" s="2">
        <f>IF(J391&gt;='Prestige Patterns'!$B$28,IF(J391/(H391+1)&gt;('Prestige Patterns'!$B$27+1),L391+1,L391),L391)</f>
        <v>6</v>
      </c>
      <c r="N392">
        <f t="shared" si="0"/>
        <v>2308495769.6000004</v>
      </c>
      <c r="O392" s="3">
        <f>'Prestige Patterns'!$B$4*E392</f>
        <v>9860</v>
      </c>
      <c r="P392">
        <f t="shared" si="3"/>
        <v>4096</v>
      </c>
      <c r="Q392" s="5"/>
      <c r="R392" s="5"/>
      <c r="S392" s="3">
        <v>391</v>
      </c>
      <c r="T392" s="5"/>
    </row>
    <row r="393" spans="1:20" ht="12">
      <c r="A393" s="1"/>
      <c r="B393" s="1"/>
      <c r="C393" s="2">
        <f>(S393*'Prestige Patterns'!$B$20)/60</f>
        <v>196</v>
      </c>
      <c r="D393" s="2">
        <f>IF(L392=L393,N392*'Prestige Patterns'!$B$20+D392-F393,0)</f>
        <v>131317454112.52135</v>
      </c>
      <c r="E393" s="3">
        <f t="shared" si="1"/>
        <v>494</v>
      </c>
      <c r="F393" s="8">
        <f>'Prestige Patterns'!$B$5*('Prestige Patterns'!$B$6^E392-'Prestige Patterns'!$B$6^(E392+G393))/(1-'Prestige Patterns'!$B$6)</f>
        <v>111785232081.68874</v>
      </c>
      <c r="G393" s="8">
        <f>FLOOR(LOG('Prestige Patterns'!$B$6^(E392) - (D392*(1-'Prestige Patterns'!$B$6)/'Prestige Patterns'!$B$5),'Prestige Patterns'!$B$6)-E392,1)</f>
        <v>1</v>
      </c>
      <c r="H393">
        <f t="shared" si="2"/>
        <v>5616</v>
      </c>
      <c r="I393" s="5">
        <f>1+H393*'Prestige Patterns'!$B$25</f>
        <v>57.160000000000004</v>
      </c>
      <c r="J393">
        <f>FLOOR((K393/'Prestige Patterns'!$B$22)^'Prestige Patterns'!$B$23,1)-H392</f>
        <v>1908</v>
      </c>
      <c r="K393" s="8">
        <f>K392+N392*'Prestige Patterns'!$B$20</f>
        <v>5661559058442</v>
      </c>
      <c r="L393" s="2">
        <f>IF(J392&gt;='Prestige Patterns'!$B$28,IF(J392/(H392+1)&gt;('Prestige Patterns'!$B$27+1),L392+1,L392),L392)</f>
        <v>6</v>
      </c>
      <c r="N393">
        <f t="shared" si="0"/>
        <v>2313178316.8000002</v>
      </c>
      <c r="O393" s="3">
        <f>'Prestige Patterns'!$B$4*E393</f>
        <v>9880</v>
      </c>
      <c r="P393">
        <f t="shared" si="3"/>
        <v>4096</v>
      </c>
      <c r="Q393" s="5"/>
      <c r="R393" s="5"/>
      <c r="S393" s="3">
        <v>392</v>
      </c>
      <c r="T393" s="5"/>
    </row>
    <row r="394" spans="1:20" ht="12">
      <c r="A394" s="1"/>
      <c r="B394" s="1"/>
      <c r="C394" s="2">
        <f>(S394*'Prestige Patterns'!$B$20)/60</f>
        <v>196.5</v>
      </c>
      <c r="D394" s="2">
        <f>IF(L393=L394,N393*'Prestige Patterns'!$B$20+D393-F394,0)</f>
        <v>83338309930.746323</v>
      </c>
      <c r="E394" s="3">
        <f t="shared" si="1"/>
        <v>495</v>
      </c>
      <c r="F394" s="8">
        <f>'Prestige Patterns'!$B$5*('Prestige Patterns'!$B$6^E393-'Prestige Patterns'!$B$6^(E393+G394))/(1-'Prestige Patterns'!$B$6)</f>
        <v>117374493685.77504</v>
      </c>
      <c r="G394" s="8">
        <f>FLOOR(LOG('Prestige Patterns'!$B$6^(E393) - (D393*(1-'Prestige Patterns'!$B$6)/'Prestige Patterns'!$B$5),'Prestige Patterns'!$B$6)-E393,1)</f>
        <v>1</v>
      </c>
      <c r="H394">
        <f t="shared" si="2"/>
        <v>5616</v>
      </c>
      <c r="I394" s="5">
        <f>1+H394*'Prestige Patterns'!$B$25</f>
        <v>57.160000000000004</v>
      </c>
      <c r="J394">
        <f>FLOOR((K394/'Prestige Patterns'!$B$22)^'Prestige Patterns'!$B$23,1)-H393</f>
        <v>1954</v>
      </c>
      <c r="K394" s="8">
        <f>K393+N393*'Prestige Patterns'!$B$20</f>
        <v>5730954407946</v>
      </c>
      <c r="L394" s="2">
        <f>IF(J393&gt;='Prestige Patterns'!$B$28,IF(J393/(H393+1)&gt;('Prestige Patterns'!$B$27+1),L393+1,L393),L393)</f>
        <v>6</v>
      </c>
      <c r="N394">
        <f t="shared" si="0"/>
        <v>2317860864</v>
      </c>
      <c r="O394" s="3">
        <f>'Prestige Patterns'!$B$4*E394</f>
        <v>9900</v>
      </c>
      <c r="P394">
        <f t="shared" si="3"/>
        <v>4096</v>
      </c>
      <c r="Q394" s="5"/>
      <c r="R394" s="5"/>
      <c r="S394" s="3">
        <v>393</v>
      </c>
      <c r="T394" s="5"/>
    </row>
    <row r="395" spans="1:20" ht="12">
      <c r="A395" s="1"/>
      <c r="B395" s="1"/>
      <c r="C395" s="2">
        <f>(S395*'Prestige Patterns'!$B$20)/60</f>
        <v>197</v>
      </c>
      <c r="D395" s="2">
        <f>IF(L394=L395,N394*'Prestige Patterns'!$B$20+D394-F395,0)</f>
        <v>152874135850.74634</v>
      </c>
      <c r="E395" s="3">
        <f t="shared" si="1"/>
        <v>495</v>
      </c>
      <c r="F395" s="8">
        <f>'Prestige Patterns'!$B$5*('Prestige Patterns'!$B$6^E394-'Prestige Patterns'!$B$6^(E394+G395))/(1-'Prestige Patterns'!$B$6)</f>
        <v>0</v>
      </c>
      <c r="G395" s="8">
        <f>FLOOR(LOG('Prestige Patterns'!$B$6^(E394) - (D394*(1-'Prestige Patterns'!$B$6)/'Prestige Patterns'!$B$5),'Prestige Patterns'!$B$6)-E394,1)</f>
        <v>0</v>
      </c>
      <c r="H395">
        <f t="shared" si="2"/>
        <v>5616</v>
      </c>
      <c r="I395" s="5">
        <f>1+H395*'Prestige Patterns'!$B$25</f>
        <v>57.160000000000004</v>
      </c>
      <c r="J395">
        <f>FLOOR((K395/'Prestige Patterns'!$B$22)^'Prestige Patterns'!$B$23,1)-H394</f>
        <v>2000</v>
      </c>
      <c r="K395" s="8">
        <f>K394+N394*'Prestige Patterns'!$B$20</f>
        <v>5800490233866</v>
      </c>
      <c r="L395" s="2">
        <f>IF(J394&gt;='Prestige Patterns'!$B$28,IF(J394/(H394+1)&gt;('Prestige Patterns'!$B$27+1),L394+1,L394),L394)</f>
        <v>6</v>
      </c>
      <c r="N395">
        <f t="shared" si="0"/>
        <v>2317860864</v>
      </c>
      <c r="O395" s="3">
        <f>'Prestige Patterns'!$B$4*E395</f>
        <v>9900</v>
      </c>
      <c r="P395">
        <f t="shared" si="3"/>
        <v>4096</v>
      </c>
      <c r="Q395" s="5"/>
      <c r="R395" s="5"/>
      <c r="S395" s="3">
        <v>394</v>
      </c>
      <c r="T395" s="5"/>
    </row>
    <row r="396" spans="1:20" ht="12">
      <c r="A396" s="1"/>
      <c r="B396" s="1"/>
      <c r="C396" s="2">
        <f>(S396*'Prestige Patterns'!$B$20)/60</f>
        <v>197.5</v>
      </c>
      <c r="D396" s="2">
        <f>IF(L395=L396,N395*'Prestige Patterns'!$B$20+D395-F396,0)</f>
        <v>99166743400.683578</v>
      </c>
      <c r="E396" s="3">
        <f t="shared" si="1"/>
        <v>496</v>
      </c>
      <c r="F396" s="8">
        <f>'Prestige Patterns'!$B$5*('Prestige Patterns'!$B$6^E395-'Prestige Patterns'!$B$6^(E395+G396))/(1-'Prestige Patterns'!$B$6)</f>
        <v>123243218370.06276</v>
      </c>
      <c r="G396" s="8">
        <f>FLOOR(LOG('Prestige Patterns'!$B$6^(E395) - (D395*(1-'Prestige Patterns'!$B$6)/'Prestige Patterns'!$B$5),'Prestige Patterns'!$B$6)-E395,1)</f>
        <v>1</v>
      </c>
      <c r="H396">
        <f t="shared" si="2"/>
        <v>5616</v>
      </c>
      <c r="I396" s="5">
        <f>1+H396*'Prestige Patterns'!$B$25</f>
        <v>57.160000000000004</v>
      </c>
      <c r="J396">
        <f>FLOOR((K396/'Prestige Patterns'!$B$22)^'Prestige Patterns'!$B$23,1)-H395</f>
        <v>2045</v>
      </c>
      <c r="K396" s="8">
        <f>K395+N395*'Prestige Patterns'!$B$20</f>
        <v>5870026059786</v>
      </c>
      <c r="L396" s="2">
        <f>IF(J395&gt;='Prestige Patterns'!$B$28,IF(J395/(H395+1)&gt;('Prestige Patterns'!$B$27+1),L395+1,L395),L395)</f>
        <v>6</v>
      </c>
      <c r="N396">
        <f t="shared" si="0"/>
        <v>2322543411.2000003</v>
      </c>
      <c r="O396" s="3">
        <f>'Prestige Patterns'!$B$4*E396</f>
        <v>9920</v>
      </c>
      <c r="P396">
        <f t="shared" si="3"/>
        <v>4096</v>
      </c>
      <c r="Q396" s="5"/>
      <c r="R396" s="5"/>
      <c r="S396" s="3">
        <v>395</v>
      </c>
      <c r="T396" s="5"/>
    </row>
    <row r="397" spans="1:20" ht="12">
      <c r="A397" s="1"/>
      <c r="B397" s="1"/>
      <c r="C397" s="2">
        <f>(S397*'Prestige Patterns'!$B$20)/60</f>
        <v>198</v>
      </c>
      <c r="D397" s="2">
        <f>IF(L396=L397,N396*'Prestige Patterns'!$B$20+D396-F397,0)</f>
        <v>168843045736.68359</v>
      </c>
      <c r="E397" s="3">
        <f t="shared" si="1"/>
        <v>496</v>
      </c>
      <c r="F397" s="8">
        <f>'Prestige Patterns'!$B$5*('Prestige Patterns'!$B$6^E396-'Prestige Patterns'!$B$6^(E396+G397))/(1-'Prestige Patterns'!$B$6)</f>
        <v>0</v>
      </c>
      <c r="G397" s="8">
        <f>FLOOR(LOG('Prestige Patterns'!$B$6^(E396) - (D396*(1-'Prestige Patterns'!$B$6)/'Prestige Patterns'!$B$5),'Prestige Patterns'!$B$6)-E396,1)</f>
        <v>0</v>
      </c>
      <c r="H397">
        <f t="shared" si="2"/>
        <v>5616</v>
      </c>
      <c r="I397" s="5">
        <f>1+H397*'Prestige Patterns'!$B$25</f>
        <v>57.160000000000004</v>
      </c>
      <c r="J397">
        <f>FLOOR((K397/'Prestige Patterns'!$B$22)^'Prestige Patterns'!$B$23,1)-H396</f>
        <v>2090</v>
      </c>
      <c r="K397" s="8">
        <f>K396+N396*'Prestige Patterns'!$B$20</f>
        <v>5939702362122</v>
      </c>
      <c r="L397" s="2">
        <f>IF(J396&gt;='Prestige Patterns'!$B$28,IF(J396/(H396+1)&gt;('Prestige Patterns'!$B$27+1),L396+1,L396),L396)</f>
        <v>6</v>
      </c>
      <c r="N397">
        <f t="shared" si="0"/>
        <v>2322543411.2000003</v>
      </c>
      <c r="O397" s="3">
        <f>'Prestige Patterns'!$B$4*E397</f>
        <v>9920</v>
      </c>
      <c r="P397">
        <f t="shared" si="3"/>
        <v>4096</v>
      </c>
      <c r="Q397" s="5"/>
      <c r="R397" s="5"/>
      <c r="S397" s="3">
        <v>396</v>
      </c>
      <c r="T397" s="5"/>
    </row>
    <row r="398" spans="1:20" ht="12">
      <c r="A398" s="1"/>
      <c r="B398" s="1"/>
      <c r="C398" s="2">
        <f>(S398*'Prestige Patterns'!$B$20)/60</f>
        <v>198.5</v>
      </c>
      <c r="D398" s="2">
        <f>IF(L397=L398,N397*'Prestige Patterns'!$B$20+D397-F398,0)</f>
        <v>109113968784.11774</v>
      </c>
      <c r="E398" s="3">
        <f t="shared" si="1"/>
        <v>497</v>
      </c>
      <c r="F398" s="8">
        <f>'Prestige Patterns'!$B$5*('Prestige Patterns'!$B$6^E397-'Prestige Patterns'!$B$6^(E397+G398))/(1-'Prestige Patterns'!$B$6)</f>
        <v>129405379288.56586</v>
      </c>
      <c r="G398" s="8">
        <f>FLOOR(LOG('Prestige Patterns'!$B$6^(E397) - (D397*(1-'Prestige Patterns'!$B$6)/'Prestige Patterns'!$B$5),'Prestige Patterns'!$B$6)-E397,1)</f>
        <v>1</v>
      </c>
      <c r="H398">
        <f t="shared" si="2"/>
        <v>5616</v>
      </c>
      <c r="I398" s="5">
        <f>1+H398*'Prestige Patterns'!$B$25</f>
        <v>57.160000000000004</v>
      </c>
      <c r="J398">
        <f>FLOOR((K398/'Prestige Patterns'!$B$22)^'Prestige Patterns'!$B$23,1)-H397</f>
        <v>2136</v>
      </c>
      <c r="K398" s="8">
        <f>K397+N397*'Prestige Patterns'!$B$20</f>
        <v>6009378664458</v>
      </c>
      <c r="L398" s="2">
        <f>IF(J397&gt;='Prestige Patterns'!$B$28,IF(J397/(H397+1)&gt;('Prestige Patterns'!$B$27+1),L397+1,L397),L397)</f>
        <v>6</v>
      </c>
      <c r="N398">
        <f t="shared" si="0"/>
        <v>2327225958.4000001</v>
      </c>
      <c r="O398" s="3">
        <f>'Prestige Patterns'!$B$4*E398</f>
        <v>9940</v>
      </c>
      <c r="P398">
        <f t="shared" si="3"/>
        <v>4096</v>
      </c>
      <c r="Q398" s="5"/>
      <c r="R398" s="5"/>
      <c r="S398" s="3">
        <v>397</v>
      </c>
      <c r="T398" s="5"/>
    </row>
    <row r="399" spans="1:20" ht="12">
      <c r="A399" s="1"/>
      <c r="B399" s="1"/>
      <c r="C399" s="2">
        <f>(S399*'Prestige Patterns'!$B$20)/60</f>
        <v>199</v>
      </c>
      <c r="D399" s="2">
        <f>IF(L398=L399,N398*'Prestige Patterns'!$B$20+D398-F399,0)</f>
        <v>178930747536.11774</v>
      </c>
      <c r="E399" s="3">
        <f t="shared" si="1"/>
        <v>497</v>
      </c>
      <c r="F399" s="8">
        <f>'Prestige Patterns'!$B$5*('Prestige Patterns'!$B$6^E398-'Prestige Patterns'!$B$6^(E398+G399))/(1-'Prestige Patterns'!$B$6)</f>
        <v>0</v>
      </c>
      <c r="G399" s="8">
        <f>FLOOR(LOG('Prestige Patterns'!$B$6^(E398) - (D398*(1-'Prestige Patterns'!$B$6)/'Prestige Patterns'!$B$5),'Prestige Patterns'!$B$6)-E398,1)</f>
        <v>0</v>
      </c>
      <c r="H399">
        <f t="shared" si="2"/>
        <v>5616</v>
      </c>
      <c r="I399" s="5">
        <f>1+H399*'Prestige Patterns'!$B$25</f>
        <v>57.160000000000004</v>
      </c>
      <c r="J399">
        <f>FLOOR((K399/'Prestige Patterns'!$B$22)^'Prestige Patterns'!$B$23,1)-H398</f>
        <v>2180</v>
      </c>
      <c r="K399" s="8">
        <f>K398+N398*'Prestige Patterns'!$B$20</f>
        <v>6079195443210</v>
      </c>
      <c r="L399" s="2">
        <f>IF(J398&gt;='Prestige Patterns'!$B$28,IF(J398/(H398+1)&gt;('Prestige Patterns'!$B$27+1),L398+1,L398),L398)</f>
        <v>6</v>
      </c>
      <c r="N399">
        <f t="shared" si="0"/>
        <v>2327225958.4000001</v>
      </c>
      <c r="O399" s="3">
        <f>'Prestige Patterns'!$B$4*E399</f>
        <v>9940</v>
      </c>
      <c r="P399">
        <f t="shared" si="3"/>
        <v>4096</v>
      </c>
      <c r="Q399" s="5"/>
      <c r="R399" s="5"/>
      <c r="S399" s="3">
        <v>398</v>
      </c>
      <c r="T399" s="5"/>
    </row>
    <row r="400" spans="1:20" ht="12">
      <c r="A400" s="1"/>
      <c r="B400" s="1"/>
      <c r="C400" s="2">
        <f>(S400*'Prestige Patterns'!$B$20)/60</f>
        <v>199.5</v>
      </c>
      <c r="D400" s="2">
        <f>IF(L399=L400,N399*'Prestige Patterns'!$B$20+D399-F400,0)</f>
        <v>112871878035.12378</v>
      </c>
      <c r="E400" s="3">
        <f t="shared" si="1"/>
        <v>498</v>
      </c>
      <c r="F400" s="8">
        <f>'Prestige Patterns'!$B$5*('Prestige Patterns'!$B$6^E399-'Prestige Patterns'!$B$6^(E399+G400))/(1-'Prestige Patterns'!$B$6)</f>
        <v>135875648252.99396</v>
      </c>
      <c r="G400" s="8">
        <f>FLOOR(LOG('Prestige Patterns'!$B$6^(E399) - (D399*(1-'Prestige Patterns'!$B$6)/'Prestige Patterns'!$B$5),'Prestige Patterns'!$B$6)-E399,1)</f>
        <v>1</v>
      </c>
      <c r="H400">
        <f t="shared" si="2"/>
        <v>5616</v>
      </c>
      <c r="I400" s="5">
        <f>1+H400*'Prestige Patterns'!$B$25</f>
        <v>57.160000000000004</v>
      </c>
      <c r="J400">
        <f>FLOOR((K400/'Prestige Patterns'!$B$22)^'Prestige Patterns'!$B$23,1)-H399</f>
        <v>2225</v>
      </c>
      <c r="K400" s="8">
        <f>K399+N399*'Prestige Patterns'!$B$20</f>
        <v>6149012221962</v>
      </c>
      <c r="L400" s="2">
        <f>IF(J399&gt;='Prestige Patterns'!$B$28,IF(J399/(H399+1)&gt;('Prestige Patterns'!$B$27+1),L399+1,L399),L399)</f>
        <v>6</v>
      </c>
      <c r="N400">
        <f t="shared" si="0"/>
        <v>2331908505.6000004</v>
      </c>
      <c r="O400" s="3">
        <f>'Prestige Patterns'!$B$4*E400</f>
        <v>9960</v>
      </c>
      <c r="P400">
        <f t="shared" si="3"/>
        <v>4096</v>
      </c>
      <c r="Q400" s="5"/>
      <c r="R400" s="5"/>
      <c r="S400" s="3">
        <v>399</v>
      </c>
      <c r="T400" s="5"/>
    </row>
    <row r="401" spans="1:20" ht="12">
      <c r="A401" s="1"/>
      <c r="B401" s="1"/>
      <c r="C401" s="2">
        <f>(S401*'Prestige Patterns'!$B$20)/60</f>
        <v>200</v>
      </c>
      <c r="D401" s="2">
        <f>IF(L400=L401,N400*'Prestige Patterns'!$B$20+D400-F401,0)</f>
        <v>182829133203.12378</v>
      </c>
      <c r="E401" s="3">
        <f t="shared" si="1"/>
        <v>498</v>
      </c>
      <c r="F401" s="8">
        <f>'Prestige Patterns'!$B$5*('Prestige Patterns'!$B$6^E400-'Prestige Patterns'!$B$6^(E400+G401))/(1-'Prestige Patterns'!$B$6)</f>
        <v>0</v>
      </c>
      <c r="G401" s="8">
        <f>FLOOR(LOG('Prestige Patterns'!$B$6^(E400) - (D400*(1-'Prestige Patterns'!$B$6)/'Prestige Patterns'!$B$5),'Prestige Patterns'!$B$6)-E400,1)</f>
        <v>0</v>
      </c>
      <c r="H401">
        <f t="shared" si="2"/>
        <v>5616</v>
      </c>
      <c r="I401" s="5">
        <f>1+H401*'Prestige Patterns'!$B$25</f>
        <v>57.160000000000004</v>
      </c>
      <c r="J401">
        <f>FLOOR((K401/'Prestige Patterns'!$B$22)^'Prestige Patterns'!$B$23,1)-H400</f>
        <v>2270</v>
      </c>
      <c r="K401" s="8">
        <f>K400+N400*'Prestige Patterns'!$B$20</f>
        <v>6218969477130</v>
      </c>
      <c r="L401" s="2">
        <f>IF(J400&gt;='Prestige Patterns'!$B$28,IF(J400/(H400+1)&gt;('Prestige Patterns'!$B$27+1),L400+1,L400),L400)</f>
        <v>6</v>
      </c>
      <c r="N401">
        <f t="shared" si="0"/>
        <v>2331908505.6000004</v>
      </c>
      <c r="O401" s="3">
        <f>'Prestige Patterns'!$B$4*E401</f>
        <v>9960</v>
      </c>
      <c r="P401">
        <f t="shared" si="3"/>
        <v>4096</v>
      </c>
      <c r="Q401" s="5"/>
      <c r="R401" s="5"/>
      <c r="S401" s="3">
        <v>400</v>
      </c>
      <c r="T401" s="5"/>
    </row>
    <row r="402" spans="1:20" ht="12">
      <c r="A402" s="1"/>
      <c r="B402" s="1"/>
      <c r="C402" s="2">
        <f>(S402*'Prestige Patterns'!$B$20)/60</f>
        <v>200.5</v>
      </c>
      <c r="D402" s="2">
        <f>IF(L401=L402,N401*'Prestige Patterns'!$B$20+D401-F402,0)</f>
        <v>110116957705.47998</v>
      </c>
      <c r="E402" s="3">
        <f t="shared" si="1"/>
        <v>499</v>
      </c>
      <c r="F402" s="8">
        <f>'Prestige Patterns'!$B$5*('Prestige Patterns'!$B$6^E401-'Prestige Patterns'!$B$6^(E401+G402))/(1-'Prestige Patterns'!$B$6)</f>
        <v>142669430665.6438</v>
      </c>
      <c r="G402" s="8">
        <f>FLOOR(LOG('Prestige Patterns'!$B$6^(E401) - (D401*(1-'Prestige Patterns'!$B$6)/'Prestige Patterns'!$B$5),'Prestige Patterns'!$B$6)-E401,1)</f>
        <v>1</v>
      </c>
      <c r="H402">
        <f t="shared" si="2"/>
        <v>5616</v>
      </c>
      <c r="I402" s="5">
        <f>1+H402*'Prestige Patterns'!$B$25</f>
        <v>57.160000000000004</v>
      </c>
      <c r="J402">
        <f>FLOOR((K402/'Prestige Patterns'!$B$22)^'Prestige Patterns'!$B$23,1)-H401</f>
        <v>2314</v>
      </c>
      <c r="K402" s="8">
        <f>K401+N401*'Prestige Patterns'!$B$20</f>
        <v>6288926732298</v>
      </c>
      <c r="L402" s="2">
        <f>IF(J401&gt;='Prestige Patterns'!$B$28,IF(J401/(H401+1)&gt;('Prestige Patterns'!$B$27+1),L401+1,L401),L401)</f>
        <v>6</v>
      </c>
      <c r="N402">
        <f t="shared" si="0"/>
        <v>2336591052.8000002</v>
      </c>
      <c r="O402" s="3">
        <f>'Prestige Patterns'!$B$4*E402</f>
        <v>9980</v>
      </c>
      <c r="P402">
        <f t="shared" si="3"/>
        <v>4096</v>
      </c>
      <c r="Q402" s="5"/>
      <c r="R402" s="5"/>
      <c r="S402" s="3">
        <v>401</v>
      </c>
      <c r="T402" s="5"/>
    </row>
    <row r="403" spans="1:20" ht="12">
      <c r="A403" s="1"/>
      <c r="B403" s="1"/>
      <c r="C403" s="2">
        <f>(S403*'Prestige Patterns'!$B$20)/60</f>
        <v>201</v>
      </c>
      <c r="D403" s="2">
        <f>IF(L402=L403,N402*'Prestige Patterns'!$B$20+D402-F403,0)</f>
        <v>180214689289.47998</v>
      </c>
      <c r="E403" s="3">
        <f t="shared" si="1"/>
        <v>499</v>
      </c>
      <c r="F403" s="8">
        <f>'Prestige Patterns'!$B$5*('Prestige Patterns'!$B$6^E402-'Prestige Patterns'!$B$6^(E402+G403))/(1-'Prestige Patterns'!$B$6)</f>
        <v>0</v>
      </c>
      <c r="G403" s="8">
        <f>FLOOR(LOG('Prestige Patterns'!$B$6^(E402) - (D402*(1-'Prestige Patterns'!$B$6)/'Prestige Patterns'!$B$5),'Prestige Patterns'!$B$6)-E402,1)</f>
        <v>0</v>
      </c>
      <c r="H403">
        <f t="shared" si="2"/>
        <v>5616</v>
      </c>
      <c r="I403" s="5">
        <f>1+H403*'Prestige Patterns'!$B$25</f>
        <v>57.160000000000004</v>
      </c>
      <c r="J403">
        <f>FLOOR((K403/'Prestige Patterns'!$B$22)^'Prestige Patterns'!$B$23,1)-H402</f>
        <v>2358</v>
      </c>
      <c r="K403" s="8">
        <f>K402+N402*'Prestige Patterns'!$B$20</f>
        <v>6359024463882</v>
      </c>
      <c r="L403" s="2">
        <f>IF(J402&gt;='Prestige Patterns'!$B$28,IF(J402/(H402+1)&gt;('Prestige Patterns'!$B$27+1),L402+1,L402),L402)</f>
        <v>6</v>
      </c>
      <c r="N403">
        <f t="shared" si="0"/>
        <v>2336591052.8000002</v>
      </c>
      <c r="O403" s="3">
        <f>'Prestige Patterns'!$B$4*E403</f>
        <v>9980</v>
      </c>
      <c r="P403">
        <f t="shared" si="3"/>
        <v>4096</v>
      </c>
      <c r="Q403" s="5"/>
      <c r="R403" s="5"/>
      <c r="S403" s="3">
        <v>402</v>
      </c>
      <c r="T403" s="5"/>
    </row>
    <row r="404" spans="1:20" ht="12">
      <c r="A404" s="1"/>
      <c r="B404" s="1"/>
      <c r="C404" s="2">
        <f>(S404*'Prestige Patterns'!$B$20)/60</f>
        <v>201.5</v>
      </c>
      <c r="D404" s="2">
        <f>IF(L403=L404,N403*'Prestige Patterns'!$B$20+D403-F404,0)</f>
        <v>100509518674.5531</v>
      </c>
      <c r="E404" s="3">
        <f t="shared" si="1"/>
        <v>500</v>
      </c>
      <c r="F404" s="8">
        <f>'Prestige Patterns'!$B$5*('Prestige Patterns'!$B$6^E403-'Prestige Patterns'!$B$6^(E403+G404))/(1-'Prestige Patterns'!$B$6)</f>
        <v>149802902198.92688</v>
      </c>
      <c r="G404" s="8">
        <f>FLOOR(LOG('Prestige Patterns'!$B$6^(E403) - (D403*(1-'Prestige Patterns'!$B$6)/'Prestige Patterns'!$B$5),'Prestige Patterns'!$B$6)-E403,1)</f>
        <v>1</v>
      </c>
      <c r="H404">
        <f t="shared" si="2"/>
        <v>5616</v>
      </c>
      <c r="I404" s="5">
        <f>1+H404*'Prestige Patterns'!$B$25</f>
        <v>57.160000000000004</v>
      </c>
      <c r="J404">
        <f>FLOOR((K404/'Prestige Patterns'!$B$22)^'Prestige Patterns'!$B$23,1)-H403</f>
        <v>2402</v>
      </c>
      <c r="K404" s="8">
        <f>K403+N403*'Prestige Patterns'!$B$20</f>
        <v>6429122195466</v>
      </c>
      <c r="L404" s="2">
        <f>IF(J403&gt;='Prestige Patterns'!$B$28,IF(J403/(H403+1)&gt;('Prestige Patterns'!$B$27+1),L403+1,L403),L403)</f>
        <v>6</v>
      </c>
      <c r="N404">
        <f t="shared" si="0"/>
        <v>37460377600</v>
      </c>
      <c r="O404" s="3">
        <f>'Prestige Patterns'!$B$4*E404</f>
        <v>10000</v>
      </c>
      <c r="P404">
        <f t="shared" si="3"/>
        <v>65536</v>
      </c>
      <c r="Q404" s="5"/>
      <c r="R404" s="5"/>
      <c r="S404" s="3">
        <v>403</v>
      </c>
      <c r="T404" s="5"/>
    </row>
    <row r="405" spans="1:20" ht="12">
      <c r="A405" s="1"/>
      <c r="B405" s="1"/>
      <c r="C405" s="2">
        <f>(S405*'Prestige Patterns'!$B$20)/60</f>
        <v>202</v>
      </c>
      <c r="D405" s="2">
        <f>IF(L404=L405,N404*'Prestige Patterns'!$B$20+D404-F405,0)</f>
        <v>1224320846674.5532</v>
      </c>
      <c r="E405" s="3">
        <f t="shared" si="1"/>
        <v>500</v>
      </c>
      <c r="F405" s="8">
        <f>'Prestige Patterns'!$B$5*('Prestige Patterns'!$B$6^E404-'Prestige Patterns'!$B$6^(E404+G405))/(1-'Prestige Patterns'!$B$6)</f>
        <v>0</v>
      </c>
      <c r="G405" s="8">
        <f>FLOOR(LOG('Prestige Patterns'!$B$6^(E404) - (D404*(1-'Prestige Patterns'!$B$6)/'Prestige Patterns'!$B$5),'Prestige Patterns'!$B$6)-E404,1)</f>
        <v>0</v>
      </c>
      <c r="H405">
        <f t="shared" si="2"/>
        <v>5616</v>
      </c>
      <c r="I405" s="5">
        <f>1+H405*'Prestige Patterns'!$B$25</f>
        <v>57.160000000000004</v>
      </c>
      <c r="J405">
        <f>FLOOR((K405/'Prestige Patterns'!$B$22)^'Prestige Patterns'!$B$23,1)-H404</f>
        <v>3074</v>
      </c>
      <c r="K405" s="8">
        <f>K404+N404*'Prestige Patterns'!$B$20</f>
        <v>7552933523466</v>
      </c>
      <c r="L405" s="2">
        <f>IF(J404&gt;='Prestige Patterns'!$B$28,IF(J404/(H404+1)&gt;('Prestige Patterns'!$B$27+1),L404+1,L404),L404)</f>
        <v>6</v>
      </c>
      <c r="N405">
        <f t="shared" si="0"/>
        <v>37460377600</v>
      </c>
      <c r="O405" s="3">
        <f>'Prestige Patterns'!$B$4*E405</f>
        <v>10000</v>
      </c>
      <c r="P405">
        <f t="shared" si="3"/>
        <v>65536</v>
      </c>
      <c r="Q405" s="5"/>
      <c r="R405" s="5"/>
      <c r="S405" s="3">
        <v>404</v>
      </c>
      <c r="T405" s="5"/>
    </row>
    <row r="406" spans="1:20" ht="12">
      <c r="A406" s="1"/>
      <c r="B406" s="1"/>
      <c r="C406" s="2">
        <f>(S406*'Prestige Patterns'!$B$20)/60</f>
        <v>202.5</v>
      </c>
      <c r="D406" s="2">
        <f>IF(L405=L406,N405*'Prestige Patterns'!$B$20+D405-F406,0)</f>
        <v>1278238580867.1665</v>
      </c>
      <c r="E406" s="3">
        <f t="shared" si="1"/>
        <v>506</v>
      </c>
      <c r="F406" s="8">
        <f>'Prestige Patterns'!$B$5*('Prestige Patterns'!$B$6^E405-'Prestige Patterns'!$B$6^(E405+G406))/(1-'Prestige Patterns'!$B$6)</f>
        <v>1069893593807.3867</v>
      </c>
      <c r="G406" s="8">
        <f>FLOOR(LOG('Prestige Patterns'!$B$6^(E405) - (D405*(1-'Prestige Patterns'!$B$6)/'Prestige Patterns'!$B$5),'Prestige Patterns'!$B$6)-E405,1)</f>
        <v>6</v>
      </c>
      <c r="H406">
        <f t="shared" si="2"/>
        <v>5616</v>
      </c>
      <c r="I406" s="5">
        <f>1+H406*'Prestige Patterns'!$B$25</f>
        <v>57.160000000000004</v>
      </c>
      <c r="J406">
        <f>FLOOR((K406/'Prestige Patterns'!$B$22)^'Prestige Patterns'!$B$23,1)-H405</f>
        <v>3698</v>
      </c>
      <c r="K406" s="8">
        <f>K405+N405*'Prestige Patterns'!$B$20</f>
        <v>8676744851466</v>
      </c>
      <c r="L406" s="2">
        <f>IF(J405&gt;='Prestige Patterns'!$B$28,IF(J405/(H405+1)&gt;('Prestige Patterns'!$B$27+1),L405+1,L405),L405)</f>
        <v>6</v>
      </c>
      <c r="N406">
        <f t="shared" si="0"/>
        <v>37909902131.200005</v>
      </c>
      <c r="O406" s="3">
        <f>'Prestige Patterns'!$B$4*E406</f>
        <v>10120</v>
      </c>
      <c r="P406">
        <f t="shared" si="3"/>
        <v>65536</v>
      </c>
      <c r="Q406" s="5"/>
      <c r="R406" s="5"/>
      <c r="S406" s="3">
        <v>405</v>
      </c>
      <c r="T406" s="5"/>
    </row>
    <row r="407" spans="1:20" ht="12">
      <c r="A407" s="1"/>
      <c r="B407" s="1"/>
      <c r="C407" s="2">
        <f>(S407*'Prestige Patterns'!$B$20)/60</f>
        <v>203</v>
      </c>
      <c r="D407" s="2">
        <f>IF(L406=L407,N406*'Prestige Patterns'!$B$20+D406-F407,0)</f>
        <v>1250800393379.6877</v>
      </c>
      <c r="E407" s="3">
        <f t="shared" si="1"/>
        <v>511</v>
      </c>
      <c r="F407" s="8">
        <f>'Prestige Patterns'!$B$5*('Prestige Patterns'!$B$6^E406-'Prestige Patterns'!$B$6^(E406+G407))/(1-'Prestige Patterns'!$B$6)</f>
        <v>1164735251423.4792</v>
      </c>
      <c r="G407" s="8">
        <f>FLOOR(LOG('Prestige Patterns'!$B$6^(E406) - (D406*(1-'Prestige Patterns'!$B$6)/'Prestige Patterns'!$B$5),'Prestige Patterns'!$B$6)-E406,1)</f>
        <v>5</v>
      </c>
      <c r="H407">
        <f t="shared" si="2"/>
        <v>5616</v>
      </c>
      <c r="I407" s="5">
        <f>1+H407*'Prestige Patterns'!$B$25</f>
        <v>57.160000000000004</v>
      </c>
      <c r="J407">
        <f>FLOOR((K407/'Prestige Patterns'!$B$22)^'Prestige Patterns'!$B$23,1)-H406</f>
        <v>4290</v>
      </c>
      <c r="K407" s="8">
        <f>K406+N406*'Prestige Patterns'!$B$20</f>
        <v>9814041915402</v>
      </c>
      <c r="L407" s="2">
        <f>IF(J406&gt;='Prestige Patterns'!$B$28,IF(J406/(H406+1)&gt;('Prestige Patterns'!$B$27+1),L406+1,L406),L406)</f>
        <v>6</v>
      </c>
      <c r="N407">
        <f t="shared" si="0"/>
        <v>38284505907.200005</v>
      </c>
      <c r="O407" s="3">
        <f>'Prestige Patterns'!$B$4*E407</f>
        <v>10220</v>
      </c>
      <c r="P407">
        <f t="shared" si="3"/>
        <v>65536</v>
      </c>
      <c r="Q407" s="5"/>
      <c r="R407" s="5"/>
      <c r="S407" s="3">
        <v>406</v>
      </c>
      <c r="T407" s="5"/>
    </row>
    <row r="408" spans="1:20" ht="12">
      <c r="A408" s="1"/>
      <c r="B408" s="1"/>
      <c r="C408" s="2">
        <f>(S408*'Prestige Patterns'!$B$20)/60</f>
        <v>203.5</v>
      </c>
      <c r="D408" s="2">
        <f>IF(L407=L408,N407*'Prestige Patterns'!$B$20+D407-F408,0)</f>
        <v>1239806392486.0002</v>
      </c>
      <c r="E408" s="3">
        <f t="shared" si="1"/>
        <v>515</v>
      </c>
      <c r="F408" s="8">
        <f>'Prestige Patterns'!$B$5*('Prestige Patterns'!$B$6^E407-'Prestige Patterns'!$B$6^(E407+G408))/(1-'Prestige Patterns'!$B$6)</f>
        <v>1159529178109.6877</v>
      </c>
      <c r="G408" s="8">
        <f>FLOOR(LOG('Prestige Patterns'!$B$6^(E407) - (D407*(1-'Prestige Patterns'!$B$6)/'Prestige Patterns'!$B$5),'Prestige Patterns'!$B$6)-E407,1)</f>
        <v>4</v>
      </c>
      <c r="H408">
        <f t="shared" si="2"/>
        <v>5616</v>
      </c>
      <c r="I408" s="5">
        <f>1+H408*'Prestige Patterns'!$B$25</f>
        <v>57.160000000000004</v>
      </c>
      <c r="J408">
        <f>FLOOR((K408/'Prestige Patterns'!$B$22)^'Prestige Patterns'!$B$23,1)-H407</f>
        <v>4854</v>
      </c>
      <c r="K408" s="8">
        <f>K407+N407*'Prestige Patterns'!$B$20</f>
        <v>10962577092618</v>
      </c>
      <c r="L408" s="2">
        <f>IF(J407&gt;='Prestige Patterns'!$B$28,IF(J407/(H407+1)&gt;('Prestige Patterns'!$B$27+1),L407+1,L407),L407)</f>
        <v>6</v>
      </c>
      <c r="N408">
        <f t="shared" si="0"/>
        <v>38584188928</v>
      </c>
      <c r="O408" s="3">
        <f>'Prestige Patterns'!$B$4*E408</f>
        <v>10300</v>
      </c>
      <c r="P408">
        <f t="shared" si="3"/>
        <v>65536</v>
      </c>
      <c r="Q408" s="5"/>
      <c r="R408" s="5"/>
      <c r="S408" s="3">
        <v>407</v>
      </c>
      <c r="T408" s="5"/>
    </row>
    <row r="409" spans="1:20" ht="12">
      <c r="A409" s="1"/>
      <c r="B409" s="1"/>
      <c r="C409" s="2">
        <f>(S409*'Prestige Patterns'!$B$20)/60</f>
        <v>204</v>
      </c>
      <c r="D409" s="2">
        <f>IF(L408=L409,N408*'Prestige Patterns'!$B$20+D408-F409,0)</f>
        <v>1366461570255.7263</v>
      </c>
      <c r="E409" s="3">
        <f t="shared" si="1"/>
        <v>518</v>
      </c>
      <c r="F409" s="8">
        <f>'Prestige Patterns'!$B$5*('Prestige Patterns'!$B$6^E408-'Prestige Patterns'!$B$6^(E408+G409))/(1-'Prestige Patterns'!$B$6)</f>
        <v>1030870490070.2737</v>
      </c>
      <c r="G409" s="8">
        <f>FLOOR(LOG('Prestige Patterns'!$B$6^(E408) - (D408*(1-'Prestige Patterns'!$B$6)/'Prestige Patterns'!$B$5),'Prestige Patterns'!$B$6)-E408,1)</f>
        <v>3</v>
      </c>
      <c r="H409">
        <f t="shared" si="2"/>
        <v>5616</v>
      </c>
      <c r="I409" s="5">
        <f>1+H409*'Prestige Patterns'!$B$25</f>
        <v>57.160000000000004</v>
      </c>
      <c r="J409">
        <f>FLOOR((K409/'Prestige Patterns'!$B$22)^'Prestige Patterns'!$B$23,1)-H408</f>
        <v>5393</v>
      </c>
      <c r="K409" s="8">
        <f>K408+N408*'Prestige Patterns'!$B$20</f>
        <v>12120102760458</v>
      </c>
      <c r="L409" s="2">
        <f>IF(J408&gt;='Prestige Patterns'!$B$28,IF(J408/(H408+1)&gt;('Prestige Patterns'!$B$27+1),L408+1,L408),L408)</f>
        <v>6</v>
      </c>
      <c r="N409">
        <f t="shared" si="0"/>
        <v>38808951193.600006</v>
      </c>
      <c r="O409" s="3">
        <f>'Prestige Patterns'!$B$4*E409</f>
        <v>10360</v>
      </c>
      <c r="P409">
        <f t="shared" si="3"/>
        <v>65536</v>
      </c>
      <c r="Q409" s="5"/>
      <c r="R409" s="5"/>
      <c r="S409" s="3">
        <v>408</v>
      </c>
      <c r="T409" s="5"/>
    </row>
    <row r="410" spans="1:20" ht="12">
      <c r="A410" s="1"/>
      <c r="B410" s="1"/>
      <c r="C410" s="2">
        <f>(S410*'Prestige Patterns'!$B$20)/60</f>
        <v>204.5</v>
      </c>
      <c r="D410" s="2">
        <f>IF(L409=L410,N409*'Prestige Patterns'!$B$20+D409-F410,0)</f>
        <v>1337368654996.1238</v>
      </c>
      <c r="E410" s="3">
        <f t="shared" si="1"/>
        <v>521</v>
      </c>
      <c r="F410" s="8">
        <f>'Prestige Patterns'!$B$5*('Prestige Patterns'!$B$6^E409-'Prestige Patterns'!$B$6^(E409+G410))/(1-'Prestige Patterns'!$B$6)</f>
        <v>1193361451067.6028</v>
      </c>
      <c r="G410" s="8">
        <f>FLOOR(LOG('Prestige Patterns'!$B$6^(E409) - (D409*(1-'Prestige Patterns'!$B$6)/'Prestige Patterns'!$B$5),'Prestige Patterns'!$B$6)-E409,1)</f>
        <v>3</v>
      </c>
      <c r="H410">
        <f t="shared" si="2"/>
        <v>5616</v>
      </c>
      <c r="I410" s="5">
        <f>1+H410*'Prestige Patterns'!$B$25</f>
        <v>57.160000000000004</v>
      </c>
      <c r="J410">
        <f>FLOOR((K410/'Prestige Patterns'!$B$22)^'Prestige Patterns'!$B$23,1)-H409</f>
        <v>5909</v>
      </c>
      <c r="K410" s="8">
        <f>K409+N409*'Prestige Patterns'!$B$20</f>
        <v>13284371296266</v>
      </c>
      <c r="L410" s="2">
        <f>IF(J409&gt;='Prestige Patterns'!$B$28,IF(J409/(H409+1)&gt;('Prestige Patterns'!$B$27+1),L409+1,L409),L409)</f>
        <v>6</v>
      </c>
      <c r="N410">
        <f t="shared" si="0"/>
        <v>39033713459.200005</v>
      </c>
      <c r="O410" s="3">
        <f>'Prestige Patterns'!$B$4*E410</f>
        <v>10420</v>
      </c>
      <c r="P410">
        <f t="shared" si="3"/>
        <v>65536</v>
      </c>
      <c r="Q410" s="5"/>
      <c r="R410" s="5"/>
      <c r="S410" s="3">
        <v>409</v>
      </c>
      <c r="T410" s="5"/>
    </row>
    <row r="411" spans="1:20" ht="12">
      <c r="A411" s="1"/>
      <c r="B411" s="1"/>
      <c r="C411" s="2">
        <f>(S411*'Prestige Patterns'!$B$20)/60</f>
        <v>205</v>
      </c>
      <c r="D411" s="2">
        <f>IF(L410=L411,N410*'Prestige Patterns'!$B$20+D410-F411,0)</f>
        <v>1610044340429.896</v>
      </c>
      <c r="E411" s="3">
        <f t="shared" si="1"/>
        <v>523</v>
      </c>
      <c r="F411" s="8">
        <f>'Prestige Patterns'!$B$5*('Prestige Patterns'!$B$6^E410-'Prestige Patterns'!$B$6^(E410+G411))/(1-'Prestige Patterns'!$B$6)</f>
        <v>898335718342.22815</v>
      </c>
      <c r="G411" s="8">
        <f>FLOOR(LOG('Prestige Patterns'!$B$6^(E410) - (D410*(1-'Prestige Patterns'!$B$6)/'Prestige Patterns'!$B$5),'Prestige Patterns'!$B$6)-E410,1)</f>
        <v>2</v>
      </c>
      <c r="H411">
        <f t="shared" si="2"/>
        <v>5616</v>
      </c>
      <c r="I411" s="5">
        <f>1+H411*'Prestige Patterns'!$B$25</f>
        <v>57.160000000000004</v>
      </c>
      <c r="J411">
        <f>FLOOR((K411/'Prestige Patterns'!$B$22)^'Prestige Patterns'!$B$23,1)-H410</f>
        <v>6407</v>
      </c>
      <c r="K411" s="8">
        <f>K410+N410*'Prestige Patterns'!$B$20</f>
        <v>14455382700042</v>
      </c>
      <c r="L411" s="2">
        <f>IF(J410&gt;='Prestige Patterns'!$B$28,IF(J410/(H410+1)&gt;('Prestige Patterns'!$B$27+1),L410+1,L410),L410)</f>
        <v>6</v>
      </c>
      <c r="N411">
        <f t="shared" si="0"/>
        <v>39183554969.600006</v>
      </c>
      <c r="O411" s="3">
        <f>'Prestige Patterns'!$B$4*E411</f>
        <v>10460</v>
      </c>
      <c r="P411">
        <f t="shared" si="3"/>
        <v>65536</v>
      </c>
      <c r="Q411" s="5"/>
      <c r="R411" s="5"/>
      <c r="S411" s="3">
        <v>410</v>
      </c>
      <c r="T411" s="5"/>
    </row>
    <row r="412" spans="1:20" ht="12">
      <c r="A412" s="1"/>
      <c r="B412" s="1"/>
      <c r="C412" s="2">
        <f>(S412*'Prestige Patterns'!$B$20)/60</f>
        <v>205.5</v>
      </c>
      <c r="D412" s="2">
        <f>IF(L411=L412,N411*'Prestige Patterns'!$B$20+D411-F412,0)</f>
        <v>1262485772122.0715</v>
      </c>
      <c r="E412" s="3">
        <f t="shared" si="1"/>
        <v>526</v>
      </c>
      <c r="F412" s="8">
        <f>'Prestige Patterns'!$B$5*('Prestige Patterns'!$B$6^E411-'Prestige Patterns'!$B$6^(E411+G412))/(1-'Prestige Patterns'!$B$6)</f>
        <v>1523065217395.825</v>
      </c>
      <c r="G412" s="8">
        <f>FLOOR(LOG('Prestige Patterns'!$B$6^(E411) - (D411*(1-'Prestige Patterns'!$B$6)/'Prestige Patterns'!$B$5),'Prestige Patterns'!$B$6)-E411,1)</f>
        <v>3</v>
      </c>
      <c r="H412">
        <f t="shared" si="2"/>
        <v>5616</v>
      </c>
      <c r="I412" s="5">
        <f>1+H412*'Prestige Patterns'!$B$25</f>
        <v>57.160000000000004</v>
      </c>
      <c r="J412">
        <f>FLOOR((K412/'Prestige Patterns'!$B$22)^'Prestige Patterns'!$B$23,1)-H411</f>
        <v>6886</v>
      </c>
      <c r="K412" s="8">
        <f>K411+N411*'Prestige Patterns'!$B$20</f>
        <v>15630889349130</v>
      </c>
      <c r="L412" s="2">
        <f>IF(J411&gt;='Prestige Patterns'!$B$28,IF(J411/(H411+1)&gt;('Prestige Patterns'!$B$27+1),L411+1,L411),L411)</f>
        <v>6</v>
      </c>
      <c r="N412">
        <f t="shared" si="0"/>
        <v>39408317235.200005</v>
      </c>
      <c r="O412" s="3">
        <f>'Prestige Patterns'!$B$4*E412</f>
        <v>10520</v>
      </c>
      <c r="P412">
        <f t="shared" si="3"/>
        <v>65536</v>
      </c>
      <c r="Q412" s="5"/>
      <c r="R412" s="5"/>
      <c r="S412" s="3">
        <v>411</v>
      </c>
      <c r="T412" s="5"/>
    </row>
    <row r="413" spans="1:20" ht="12">
      <c r="A413" s="1"/>
      <c r="B413" s="1"/>
      <c r="C413" s="2">
        <f>(S413*'Prestige Patterns'!$B$20)/60</f>
        <v>206</v>
      </c>
      <c r="D413" s="2">
        <f>IF(L412=L413,N412*'Prestige Patterns'!$B$20+D412-F413,0)</f>
        <v>1298205974922.6919</v>
      </c>
      <c r="E413" s="3">
        <f t="shared" si="1"/>
        <v>528</v>
      </c>
      <c r="F413" s="8">
        <f>'Prestige Patterns'!$B$5*('Prestige Patterns'!$B$6^E412-'Prestige Patterns'!$B$6^(E412+G413))/(1-'Prestige Patterns'!$B$6)</f>
        <v>1146529314255.3799</v>
      </c>
      <c r="G413" s="8">
        <f>FLOOR(LOG('Prestige Patterns'!$B$6^(E412) - (D412*(1-'Prestige Patterns'!$B$6)/'Prestige Patterns'!$B$5),'Prestige Patterns'!$B$6)-E412,1)</f>
        <v>2</v>
      </c>
      <c r="H413">
        <f t="shared" si="2"/>
        <v>5616</v>
      </c>
      <c r="I413" s="5">
        <f>1+H413*'Prestige Patterns'!$B$25</f>
        <v>57.160000000000004</v>
      </c>
      <c r="J413">
        <f>FLOOR((K413/'Prestige Patterns'!$B$22)^'Prestige Patterns'!$B$23,1)-H412</f>
        <v>7350</v>
      </c>
      <c r="K413" s="8">
        <f>K412+N412*'Prestige Patterns'!$B$20</f>
        <v>16813138866186</v>
      </c>
      <c r="L413" s="2">
        <f>IF(J412&gt;='Prestige Patterns'!$B$28,IF(J412/(H412+1)&gt;('Prestige Patterns'!$B$27+1),L412+1,L412),L412)</f>
        <v>6</v>
      </c>
      <c r="N413">
        <f t="shared" si="0"/>
        <v>39558158745.600006</v>
      </c>
      <c r="O413" s="3">
        <f>'Prestige Patterns'!$B$4*E413</f>
        <v>10560</v>
      </c>
      <c r="P413">
        <f t="shared" si="3"/>
        <v>65536</v>
      </c>
      <c r="Q413" s="5"/>
      <c r="R413" s="5"/>
      <c r="S413" s="3">
        <v>412</v>
      </c>
      <c r="T413" s="5"/>
    </row>
    <row r="414" spans="1:20" ht="12">
      <c r="A414" s="1"/>
      <c r="B414" s="1"/>
      <c r="C414" s="2">
        <f>(S414*'Prestige Patterns'!$B$20)/60</f>
        <v>206.5</v>
      </c>
      <c r="D414" s="2">
        <f>IF(L413=L414,N413*'Prestige Patterns'!$B$20+D413-F414,0)</f>
        <v>1220902168324.136</v>
      </c>
      <c r="E414" s="3">
        <f t="shared" si="1"/>
        <v>530</v>
      </c>
      <c r="F414" s="8">
        <f>'Prestige Patterns'!$B$5*('Prestige Patterns'!$B$6^E413-'Prestige Patterns'!$B$6^(E413+G414))/(1-'Prestige Patterns'!$B$6)</f>
        <v>1264048568966.5564</v>
      </c>
      <c r="G414" s="8">
        <f>FLOOR(LOG('Prestige Patterns'!$B$6^(E413) - (D413*(1-'Prestige Patterns'!$B$6)/'Prestige Patterns'!$B$5),'Prestige Patterns'!$B$6)-E413,1)</f>
        <v>2</v>
      </c>
      <c r="H414">
        <f t="shared" si="2"/>
        <v>5616</v>
      </c>
      <c r="I414" s="5">
        <f>1+H414*'Prestige Patterns'!$B$25</f>
        <v>57.160000000000004</v>
      </c>
      <c r="J414">
        <f>FLOOR((K414/'Prestige Patterns'!$B$22)^'Prestige Patterns'!$B$23,1)-H413</f>
        <v>7800</v>
      </c>
      <c r="K414" s="8">
        <f>K413+N413*'Prestige Patterns'!$B$20</f>
        <v>17999883628554</v>
      </c>
      <c r="L414" s="2">
        <f>IF(J413&gt;='Prestige Patterns'!$B$28,IF(J413/(H413+1)&gt;('Prestige Patterns'!$B$27+1),L413+1,L413),L413)</f>
        <v>6</v>
      </c>
      <c r="N414">
        <f t="shared" si="0"/>
        <v>39708000256</v>
      </c>
      <c r="O414" s="3">
        <f>'Prestige Patterns'!$B$4*E414</f>
        <v>10600</v>
      </c>
      <c r="P414">
        <f t="shared" si="3"/>
        <v>65536</v>
      </c>
      <c r="Q414" s="5"/>
      <c r="R414" s="5"/>
      <c r="S414" s="3">
        <v>413</v>
      </c>
      <c r="T414" s="5"/>
    </row>
    <row r="415" spans="1:20" ht="12">
      <c r="A415" s="1"/>
      <c r="B415" s="1"/>
      <c r="C415" s="2">
        <f>(S415*'Prestige Patterns'!$B$20)/60</f>
        <v>207</v>
      </c>
      <c r="D415" s="2">
        <f>IF(L414=L415,N414*'Prestige Patterns'!$B$20+D414-F415,0)</f>
        <v>1732330689523.3428</v>
      </c>
      <c r="E415" s="3">
        <f t="shared" si="1"/>
        <v>531</v>
      </c>
      <c r="F415" s="8">
        <f>'Prestige Patterns'!$B$5*('Prestige Patterns'!$B$6^E414-'Prestige Patterns'!$B$6^(E414+G415))/(1-'Prestige Patterns'!$B$6)</f>
        <v>679811486480.79285</v>
      </c>
      <c r="G415" s="8">
        <f>FLOOR(LOG('Prestige Patterns'!$B$6^(E414) - (D414*(1-'Prestige Patterns'!$B$6)/'Prestige Patterns'!$B$5),'Prestige Patterns'!$B$6)-E414,1)</f>
        <v>1</v>
      </c>
      <c r="H415">
        <f t="shared" si="2"/>
        <v>5616</v>
      </c>
      <c r="I415" s="5">
        <f>1+H415*'Prestige Patterns'!$B$25</f>
        <v>57.160000000000004</v>
      </c>
      <c r="J415">
        <f>FLOOR((K415/'Prestige Patterns'!$B$22)^'Prestige Patterns'!$B$23,1)-H414</f>
        <v>8237</v>
      </c>
      <c r="K415" s="8">
        <f>K414+N414*'Prestige Patterns'!$B$20</f>
        <v>19191123636234</v>
      </c>
      <c r="L415" s="2">
        <f>IF(J414&gt;='Prestige Patterns'!$B$28,IF(J414/(H414+1)&gt;('Prestige Patterns'!$B$27+1),L414+1,L414),L414)</f>
        <v>6</v>
      </c>
      <c r="N415">
        <f t="shared" si="0"/>
        <v>39782921011.200005</v>
      </c>
      <c r="O415" s="3">
        <f>'Prestige Patterns'!$B$4*E415</f>
        <v>10620</v>
      </c>
      <c r="P415">
        <f t="shared" si="3"/>
        <v>65536</v>
      </c>
      <c r="Q415" s="5"/>
      <c r="R415" s="5"/>
      <c r="S415" s="3">
        <v>414</v>
      </c>
      <c r="T415" s="5"/>
    </row>
    <row r="416" spans="1:20" ht="12">
      <c r="A416" s="1"/>
      <c r="B416" s="1"/>
      <c r="C416" s="2">
        <f>(S416*'Prestige Patterns'!$B$20)/60</f>
        <v>207.5</v>
      </c>
      <c r="D416" s="2">
        <f>IF(L415=L416,N415*'Prestige Patterns'!$B$20+D415-F416,0)</f>
        <v>1462524095209.4368</v>
      </c>
      <c r="E416" s="3">
        <f t="shared" si="1"/>
        <v>533</v>
      </c>
      <c r="F416" s="8">
        <f>'Prestige Patterns'!$B$5*('Prestige Patterns'!$B$6^E415-'Prestige Patterns'!$B$6^(E415+G416))/(1-'Prestige Patterns'!$B$6)</f>
        <v>1463294224649.906</v>
      </c>
      <c r="G416" s="8">
        <f>FLOOR(LOG('Prestige Patterns'!$B$6^(E415) - (D415*(1-'Prestige Patterns'!$B$6)/'Prestige Patterns'!$B$5),'Prestige Patterns'!$B$6)-E415,1)</f>
        <v>2</v>
      </c>
      <c r="H416">
        <f t="shared" si="2"/>
        <v>5616</v>
      </c>
      <c r="I416" s="5">
        <f>1+H416*'Prestige Patterns'!$B$25</f>
        <v>57.160000000000004</v>
      </c>
      <c r="J416">
        <f>FLOOR((K416/'Prestige Patterns'!$B$22)^'Prestige Patterns'!$B$23,1)-H415</f>
        <v>8661</v>
      </c>
      <c r="K416" s="8">
        <f>K415+N415*'Prestige Patterns'!$B$20</f>
        <v>20384611266570</v>
      </c>
      <c r="L416" s="2">
        <f>IF(J415&gt;='Prestige Patterns'!$B$28,IF(J415/(H415+1)&gt;('Prestige Patterns'!$B$27+1),L415+1,L415),L415)</f>
        <v>6</v>
      </c>
      <c r="N416">
        <f t="shared" si="0"/>
        <v>39932762521.600006</v>
      </c>
      <c r="O416" s="3">
        <f>'Prestige Patterns'!$B$4*E416</f>
        <v>10660</v>
      </c>
      <c r="P416">
        <f t="shared" si="3"/>
        <v>65536</v>
      </c>
      <c r="Q416" s="5"/>
      <c r="R416" s="5"/>
      <c r="S416" s="3">
        <v>415</v>
      </c>
      <c r="T416" s="5"/>
    </row>
    <row r="417" spans="1:20" ht="12">
      <c r="A417" s="1"/>
      <c r="B417" s="1"/>
      <c r="C417" s="2">
        <f>(S417*'Prestige Patterns'!$B$20)/60</f>
        <v>208</v>
      </c>
      <c r="D417" s="2">
        <f>IF(L416=L417,N416*'Prestige Patterns'!$B$20+D416-F417,0)</f>
        <v>0</v>
      </c>
      <c r="E417" s="3">
        <f t="shared" si="1"/>
        <v>1</v>
      </c>
      <c r="F417" s="8">
        <f>'Prestige Patterns'!$B$5*('Prestige Patterns'!$B$6^E416-'Prestige Patterns'!$B$6^(E416+G417))/(1-'Prestige Patterns'!$B$6)</f>
        <v>786966772037.32837</v>
      </c>
      <c r="G417" s="8">
        <f>FLOOR(LOG('Prestige Patterns'!$B$6^(E416) - (D416*(1-'Prestige Patterns'!$B$6)/'Prestige Patterns'!$B$5),'Prestige Patterns'!$B$6)-E416,1)</f>
        <v>1</v>
      </c>
      <c r="H417">
        <f t="shared" si="2"/>
        <v>14277</v>
      </c>
      <c r="I417" s="5">
        <f>1+H417*'Prestige Patterns'!$B$25</f>
        <v>143.77000000000001</v>
      </c>
      <c r="J417">
        <f>FLOOR((K417/'Prestige Patterns'!$B$22)^'Prestige Patterns'!$B$23,1)-H416</f>
        <v>9075</v>
      </c>
      <c r="K417" s="8">
        <f>K416+N416*'Prestige Patterns'!$B$20</f>
        <v>21582594142218</v>
      </c>
      <c r="L417" s="2">
        <f>IF(J416&gt;='Prestige Patterns'!$B$28,IF(J416/(H416+1)&gt;('Prestige Patterns'!$B$27+1),L416+1,L416),L416)</f>
        <v>7</v>
      </c>
      <c r="N417">
        <f t="shared" si="0"/>
        <v>188442214.40000001</v>
      </c>
      <c r="O417" s="3">
        <f>'Prestige Patterns'!$B$4*E417</f>
        <v>20</v>
      </c>
      <c r="P417">
        <f t="shared" si="3"/>
        <v>65536</v>
      </c>
      <c r="Q417" s="5"/>
      <c r="R417" s="5"/>
      <c r="S417" s="3">
        <v>416</v>
      </c>
      <c r="T417" s="5"/>
    </row>
    <row r="418" spans="1:20" ht="12">
      <c r="A418" s="1"/>
      <c r="B418" s="1"/>
      <c r="C418" s="2">
        <f>(S418*'Prestige Patterns'!$B$20)/60</f>
        <v>208.5</v>
      </c>
      <c r="D418" s="2">
        <f>IF(L417=L418,N417*'Prestige Patterns'!$B$20+D417-F418,0)</f>
        <v>5653266432</v>
      </c>
      <c r="E418" s="3">
        <f t="shared" si="1"/>
        <v>1</v>
      </c>
      <c r="F418" s="8">
        <f>'Prestige Patterns'!$B$5*('Prestige Patterns'!$B$6^E417-'Prestige Patterns'!$B$6^(E417+G418))/(1-'Prestige Patterns'!$B$6)</f>
        <v>0</v>
      </c>
      <c r="G418" s="8">
        <f>FLOOR(LOG('Prestige Patterns'!$B$6^(E417) - (D417*(1-'Prestige Patterns'!$B$6)/'Prestige Patterns'!$B$5),'Prestige Patterns'!$B$6)-E417,1)</f>
        <v>0</v>
      </c>
      <c r="H418">
        <f t="shared" si="2"/>
        <v>14277</v>
      </c>
      <c r="I418" s="5">
        <f>1+H418*'Prestige Patterns'!$B$25</f>
        <v>143.77000000000001</v>
      </c>
      <c r="J418">
        <f>FLOOR((K418/'Prestige Patterns'!$B$22)^'Prestige Patterns'!$B$23,1)-H417</f>
        <v>415</v>
      </c>
      <c r="K418" s="8">
        <f>K417+N417*'Prestige Patterns'!$B$20</f>
        <v>21588247408650</v>
      </c>
      <c r="L418" s="2">
        <f>IF(J417&gt;='Prestige Patterns'!$B$28,IF(J417/(H417+1)&gt;('Prestige Patterns'!$B$27+1),L417+1,L417),L417)</f>
        <v>7</v>
      </c>
      <c r="N418">
        <f t="shared" si="0"/>
        <v>188442214.40000001</v>
      </c>
      <c r="O418" s="3">
        <f>'Prestige Patterns'!$B$4*E418</f>
        <v>20</v>
      </c>
      <c r="P418">
        <f t="shared" si="3"/>
        <v>65536</v>
      </c>
      <c r="Q418" s="5"/>
      <c r="R418" s="5"/>
      <c r="S418" s="3">
        <v>417</v>
      </c>
      <c r="T418" s="5"/>
    </row>
    <row r="419" spans="1:20" ht="12">
      <c r="A419" s="1"/>
      <c r="B419" s="1"/>
      <c r="C419" s="2">
        <f>(S419*'Prestige Patterns'!$B$20)/60</f>
        <v>209</v>
      </c>
      <c r="D419" s="2">
        <f>IF(L418=L419,N418*'Prestige Patterns'!$B$20+D418-F419,0)</f>
        <v>5771367038.0025749</v>
      </c>
      <c r="E419" s="3">
        <f t="shared" si="1"/>
        <v>370</v>
      </c>
      <c r="F419" s="8">
        <f>'Prestige Patterns'!$B$5*('Prestige Patterns'!$B$6^E418-'Prestige Patterns'!$B$6^(E418+G419))/(1-'Prestige Patterns'!$B$6)</f>
        <v>5535165825.9974251</v>
      </c>
      <c r="G419" s="8">
        <f>FLOOR(LOG('Prestige Patterns'!$B$6^(E418) - (D418*(1-'Prestige Patterns'!$B$6)/'Prestige Patterns'!$B$5),'Prestige Patterns'!$B$6)-E418,1)</f>
        <v>369</v>
      </c>
      <c r="H419">
        <f t="shared" si="2"/>
        <v>14277</v>
      </c>
      <c r="I419" s="5">
        <f>1+H419*'Prestige Patterns'!$B$25</f>
        <v>143.77000000000001</v>
      </c>
      <c r="J419">
        <f>FLOOR((K419/'Prestige Patterns'!$B$22)^'Prestige Patterns'!$B$23,1)-H418</f>
        <v>417</v>
      </c>
      <c r="K419" s="8">
        <f>K418+N418*'Prestige Patterns'!$B$20</f>
        <v>21593900675082</v>
      </c>
      <c r="L419" s="2">
        <f>IF(J418&gt;='Prestige Patterns'!$B$28,IF(J418/(H418+1)&gt;('Prestige Patterns'!$B$27+1),L418+1,L418),L418)</f>
        <v>7</v>
      </c>
      <c r="N419">
        <f t="shared" si="0"/>
        <v>544715776</v>
      </c>
      <c r="O419" s="3">
        <f>'Prestige Patterns'!$B$4*E419</f>
        <v>7400</v>
      </c>
      <c r="P419">
        <f t="shared" si="3"/>
        <v>512</v>
      </c>
      <c r="Q419" s="5"/>
      <c r="R419" s="5"/>
      <c r="S419" s="3">
        <v>418</v>
      </c>
      <c r="T419" s="5"/>
    </row>
    <row r="420" spans="1:20" ht="12">
      <c r="A420" s="1"/>
      <c r="B420" s="1"/>
      <c r="C420" s="2">
        <f>(S420*'Prestige Patterns'!$B$20)/60</f>
        <v>209.5</v>
      </c>
      <c r="D420" s="2">
        <f>IF(L419=L420,N419*'Prestige Patterns'!$B$20+D419-F420,0)</f>
        <v>16688756334.65637</v>
      </c>
      <c r="E420" s="3">
        <f t="shared" si="1"/>
        <v>384</v>
      </c>
      <c r="F420" s="8">
        <f>'Prestige Patterns'!$B$5*('Prestige Patterns'!$B$6^E419-'Prestige Patterns'!$B$6^(E419+G420))/(1-'Prestige Patterns'!$B$6)</f>
        <v>5424083983.3462048</v>
      </c>
      <c r="G420" s="8">
        <f>FLOOR(LOG('Prestige Patterns'!$B$6^(E419) - (D419*(1-'Prestige Patterns'!$B$6)/'Prestige Patterns'!$B$5),'Prestige Patterns'!$B$6)-E419,1)</f>
        <v>14</v>
      </c>
      <c r="H420">
        <f t="shared" si="2"/>
        <v>14277</v>
      </c>
      <c r="I420" s="5">
        <f>1+H420*'Prestige Patterns'!$B$25</f>
        <v>143.77000000000001</v>
      </c>
      <c r="J420">
        <f>FLOOR((K420/'Prestige Patterns'!$B$22)^'Prestige Patterns'!$B$23,1)-H419</f>
        <v>423</v>
      </c>
      <c r="K420" s="8">
        <f>K419+N419*'Prestige Patterns'!$B$20</f>
        <v>21610242148362</v>
      </c>
      <c r="L420" s="2">
        <f>IF(J419&gt;='Prestige Patterns'!$B$28,IF(J419/(H419+1)&gt;('Prestige Patterns'!$B$27+1),L419+1,L419),L419)</f>
        <v>7</v>
      </c>
      <c r="N420">
        <f t="shared" si="0"/>
        <v>565326643.20000005</v>
      </c>
      <c r="O420" s="3">
        <f>'Prestige Patterns'!$B$4*E420</f>
        <v>7680</v>
      </c>
      <c r="P420">
        <f t="shared" si="3"/>
        <v>512</v>
      </c>
      <c r="Q420" s="5"/>
      <c r="R420" s="5"/>
      <c r="S420" s="3">
        <v>419</v>
      </c>
      <c r="T420" s="5"/>
    </row>
    <row r="421" spans="1:20" ht="12">
      <c r="A421" s="1"/>
      <c r="B421" s="1"/>
      <c r="C421" s="2">
        <f>(S421*'Prestige Patterns'!$B$20)/60</f>
        <v>210</v>
      </c>
      <c r="D421" s="2">
        <f>IF(L420=L421,N420*'Prestige Patterns'!$B$20+D420-F421,0)</f>
        <v>18233063943.852257</v>
      </c>
      <c r="E421" s="3">
        <f t="shared" si="1"/>
        <v>402</v>
      </c>
      <c r="F421" s="8">
        <f>'Prestige Patterns'!$B$5*('Prestige Patterns'!$B$6^E420-'Prestige Patterns'!$B$6^(E420+G421))/(1-'Prestige Patterns'!$B$6)</f>
        <v>15415491686.804113</v>
      </c>
      <c r="G421" s="8">
        <f>FLOOR(LOG('Prestige Patterns'!$B$6^(E420) - (D420*(1-'Prestige Patterns'!$B$6)/'Prestige Patterns'!$B$5),'Prestige Patterns'!$B$6)-E420,1)</f>
        <v>18</v>
      </c>
      <c r="H421">
        <f t="shared" si="2"/>
        <v>14277</v>
      </c>
      <c r="I421" s="5">
        <f>1+H421*'Prestige Patterns'!$B$25</f>
        <v>143.77000000000001</v>
      </c>
      <c r="J421">
        <f>FLOOR((K421/'Prestige Patterns'!$B$22)^'Prestige Patterns'!$B$23,1)-H420</f>
        <v>429</v>
      </c>
      <c r="K421" s="8">
        <f>K420+N420*'Prestige Patterns'!$B$20</f>
        <v>21627201947658</v>
      </c>
      <c r="L421" s="2">
        <f>IF(J420&gt;='Prestige Patterns'!$B$28,IF(J420/(H420+1)&gt;('Prestige Patterns'!$B$27+1),L420+1,L420),L420)</f>
        <v>7</v>
      </c>
      <c r="N421">
        <f t="shared" si="0"/>
        <v>4734610636.8000002</v>
      </c>
      <c r="O421" s="3">
        <f>'Prestige Patterns'!$B$4*E421</f>
        <v>8040</v>
      </c>
      <c r="P421">
        <f t="shared" si="3"/>
        <v>4096</v>
      </c>
      <c r="Q421" s="5"/>
      <c r="R421" s="5"/>
      <c r="S421" s="3">
        <v>420</v>
      </c>
      <c r="T421" s="5"/>
    </row>
    <row r="422" spans="1:20" ht="12">
      <c r="A422" s="1"/>
      <c r="B422" s="1"/>
      <c r="C422" s="2">
        <f>(S422*'Prestige Patterns'!$B$20)/60</f>
        <v>210.5</v>
      </c>
      <c r="D422" s="2">
        <f>IF(L421=L422,N421*'Prestige Patterns'!$B$20+D421-F422,0)</f>
        <v>143684449785.45377</v>
      </c>
      <c r="E422" s="3">
        <f t="shared" si="1"/>
        <v>412</v>
      </c>
      <c r="F422" s="8">
        <f>'Prestige Patterns'!$B$5*('Prestige Patterns'!$B$6^E421-'Prestige Patterns'!$B$6^(E421+G422))/(1-'Prestige Patterns'!$B$6)</f>
        <v>16586933262.398491</v>
      </c>
      <c r="G422" s="8">
        <f>FLOOR(LOG('Prestige Patterns'!$B$6^(E421) - (D421*(1-'Prestige Patterns'!$B$6)/'Prestige Patterns'!$B$5),'Prestige Patterns'!$B$6)-E421,1)</f>
        <v>10</v>
      </c>
      <c r="H422">
        <f t="shared" si="2"/>
        <v>14277</v>
      </c>
      <c r="I422" s="5">
        <f>1+H422*'Prestige Patterns'!$B$25</f>
        <v>143.77000000000001</v>
      </c>
      <c r="J422">
        <f>FLOOR((K422/'Prestige Patterns'!$B$22)^'Prestige Patterns'!$B$23,1)-H421</f>
        <v>477</v>
      </c>
      <c r="K422" s="8">
        <f>K421+N421*'Prestige Patterns'!$B$20</f>
        <v>21769240266762</v>
      </c>
      <c r="L422" s="2">
        <f>IF(J421&gt;='Prestige Patterns'!$B$28,IF(J421/(H421+1)&gt;('Prestige Patterns'!$B$27+1),L421+1,L421),L421)</f>
        <v>7</v>
      </c>
      <c r="N422">
        <f t="shared" si="0"/>
        <v>4852387020.8000002</v>
      </c>
      <c r="O422" s="3">
        <f>'Prestige Patterns'!$B$4*E422</f>
        <v>8240</v>
      </c>
      <c r="P422">
        <f t="shared" si="3"/>
        <v>4096</v>
      </c>
      <c r="Q422" s="5"/>
      <c r="R422" s="5"/>
      <c r="S422" s="3">
        <v>421</v>
      </c>
      <c r="T422" s="5"/>
    </row>
    <row r="423" spans="1:20" ht="12">
      <c r="A423" s="1"/>
      <c r="B423" s="1"/>
      <c r="C423" s="2">
        <f>(S423*'Prestige Patterns'!$B$20)/60</f>
        <v>211</v>
      </c>
      <c r="D423" s="2">
        <f>IF(L422=L423,N422*'Prestige Patterns'!$B$20+D422-F423,0)</f>
        <v>146539852242.55518</v>
      </c>
      <c r="E423" s="3">
        <f t="shared" si="1"/>
        <v>442</v>
      </c>
      <c r="F423" s="8">
        <f>'Prestige Patterns'!$B$5*('Prestige Patterns'!$B$6^E422-'Prestige Patterns'!$B$6^(E422+G423))/(1-'Prestige Patterns'!$B$6)</f>
        <v>142716208166.89856</v>
      </c>
      <c r="G423" s="8">
        <f>FLOOR(LOG('Prestige Patterns'!$B$6^(E422) - (D422*(1-'Prestige Patterns'!$B$6)/'Prestige Patterns'!$B$5),'Prestige Patterns'!$B$6)-E422,1)</f>
        <v>30</v>
      </c>
      <c r="H423">
        <f t="shared" si="2"/>
        <v>14277</v>
      </c>
      <c r="I423" s="5">
        <f>1+H423*'Prestige Patterns'!$B$25</f>
        <v>143.77000000000001</v>
      </c>
      <c r="J423">
        <f>FLOOR((K423/'Prestige Patterns'!$B$22)^'Prestige Patterns'!$B$23,1)-H422</f>
        <v>526</v>
      </c>
      <c r="K423" s="8">
        <f>K422+N422*'Prestige Patterns'!$B$20</f>
        <v>21914811877386</v>
      </c>
      <c r="L423" s="2">
        <f>IF(J422&gt;='Prestige Patterns'!$B$28,IF(J422/(H422+1)&gt;('Prestige Patterns'!$B$27+1),L422+1,L422),L422)</f>
        <v>7</v>
      </c>
      <c r="N423">
        <f t="shared" si="0"/>
        <v>5205716172.8000002</v>
      </c>
      <c r="O423" s="3">
        <f>'Prestige Patterns'!$B$4*E423</f>
        <v>8840</v>
      </c>
      <c r="P423">
        <f t="shared" si="3"/>
        <v>4096</v>
      </c>
      <c r="Q423" s="5"/>
      <c r="R423" s="5"/>
      <c r="S423" s="3">
        <v>422</v>
      </c>
      <c r="T423" s="5"/>
    </row>
    <row r="424" spans="1:20" ht="12">
      <c r="A424" s="1"/>
      <c r="B424" s="1"/>
      <c r="C424" s="2">
        <f>(S424*'Prestige Patterns'!$B$20)/60</f>
        <v>211.5</v>
      </c>
      <c r="D424" s="2">
        <f>IF(L423=L424,N423*'Prestige Patterns'!$B$20+D423-F424,0)</f>
        <v>170817029193.23016</v>
      </c>
      <c r="E424" s="3">
        <f t="shared" si="1"/>
        <v>453</v>
      </c>
      <c r="F424" s="8">
        <f>'Prestige Patterns'!$B$5*('Prestige Patterns'!$B$6^E423-'Prestige Patterns'!$B$6^(E423+G424))/(1-'Prestige Patterns'!$B$6)</f>
        <v>131894308233.325</v>
      </c>
      <c r="G424" s="8">
        <f>FLOOR(LOG('Prestige Patterns'!$B$6^(E423) - (D423*(1-'Prestige Patterns'!$B$6)/'Prestige Patterns'!$B$5),'Prestige Patterns'!$B$6)-E423,1)</f>
        <v>11</v>
      </c>
      <c r="H424">
        <f t="shared" si="2"/>
        <v>14277</v>
      </c>
      <c r="I424" s="5">
        <f>1+H424*'Prestige Patterns'!$B$25</f>
        <v>143.77000000000001</v>
      </c>
      <c r="J424">
        <f>FLOOR((K424/'Prestige Patterns'!$B$22)^'Prestige Patterns'!$B$23,1)-H423</f>
        <v>579</v>
      </c>
      <c r="K424" s="8">
        <f>K423+N423*'Prestige Patterns'!$B$20</f>
        <v>22070983362570</v>
      </c>
      <c r="L424" s="2">
        <f>IF(J423&gt;='Prestige Patterns'!$B$28,IF(J423/(H423+1)&gt;('Prestige Patterns'!$B$27+1),L423+1,L423),L423)</f>
        <v>7</v>
      </c>
      <c r="N424">
        <f t="shared" si="0"/>
        <v>5335270195.2000008</v>
      </c>
      <c r="O424" s="3">
        <f>'Prestige Patterns'!$B$4*E424</f>
        <v>9060</v>
      </c>
      <c r="P424">
        <f t="shared" si="3"/>
        <v>4096</v>
      </c>
      <c r="Q424" s="5"/>
      <c r="R424" s="5"/>
      <c r="S424" s="3">
        <v>423</v>
      </c>
      <c r="T424" s="5"/>
    </row>
    <row r="425" spans="1:20" ht="12">
      <c r="A425" s="1"/>
      <c r="B425" s="1"/>
      <c r="C425" s="2">
        <f>(S425*'Prestige Patterns'!$B$20)/60</f>
        <v>212</v>
      </c>
      <c r="D425" s="2">
        <f>IF(L424=L425,N424*'Prestige Patterns'!$B$20+D424-F425,0)</f>
        <v>179248563544.34845</v>
      </c>
      <c r="E425" s="3">
        <f t="shared" si="1"/>
        <v>461</v>
      </c>
      <c r="F425" s="8">
        <f>'Prestige Patterns'!$B$5*('Prestige Patterns'!$B$6^E424-'Prestige Patterns'!$B$6^(E424+G425))/(1-'Prestige Patterns'!$B$6)</f>
        <v>151626571504.88177</v>
      </c>
      <c r="G425" s="8">
        <f>FLOOR(LOG('Prestige Patterns'!$B$6^(E424) - (D424*(1-'Prestige Patterns'!$B$6)/'Prestige Patterns'!$B$5),'Prestige Patterns'!$B$6)-E424,1)</f>
        <v>8</v>
      </c>
      <c r="H425">
        <f t="shared" si="2"/>
        <v>14277</v>
      </c>
      <c r="I425" s="5">
        <f>1+H425*'Prestige Patterns'!$B$25</f>
        <v>143.77000000000001</v>
      </c>
      <c r="J425">
        <f>FLOOR((K425/'Prestige Patterns'!$B$22)^'Prestige Patterns'!$B$23,1)-H424</f>
        <v>633</v>
      </c>
      <c r="K425" s="8">
        <f>K424+N424*'Prestige Patterns'!$B$20</f>
        <v>22231041468426</v>
      </c>
      <c r="L425" s="2">
        <f>IF(J424&gt;='Prestige Patterns'!$B$28,IF(J424/(H424+1)&gt;('Prestige Patterns'!$B$27+1),L424+1,L424),L424)</f>
        <v>7</v>
      </c>
      <c r="N425">
        <f t="shared" si="0"/>
        <v>5429491302.4000006</v>
      </c>
      <c r="O425" s="3">
        <f>'Prestige Patterns'!$B$4*E425</f>
        <v>9220</v>
      </c>
      <c r="P425">
        <f t="shared" si="3"/>
        <v>4096</v>
      </c>
      <c r="Q425" s="5"/>
      <c r="R425" s="5"/>
      <c r="S425" s="3">
        <v>424</v>
      </c>
      <c r="T425" s="5"/>
    </row>
    <row r="426" spans="1:20" ht="12">
      <c r="A426" s="1"/>
      <c r="B426" s="1"/>
      <c r="C426" s="2">
        <f>(S426*'Prestige Patterns'!$B$20)/60</f>
        <v>212.5</v>
      </c>
      <c r="D426" s="2">
        <f>IF(L425=L426,N425*'Prestige Patterns'!$B$20+D425-F426,0)</f>
        <v>182560848819.22852</v>
      </c>
      <c r="E426" s="3">
        <f t="shared" si="1"/>
        <v>467</v>
      </c>
      <c r="F426" s="8">
        <f>'Prestige Patterns'!$B$5*('Prestige Patterns'!$B$6^E425-'Prestige Patterns'!$B$6^(E425+G426))/(1-'Prestige Patterns'!$B$6)</f>
        <v>159572453797.12</v>
      </c>
      <c r="G426" s="8">
        <f>FLOOR(LOG('Prestige Patterns'!$B$6^(E425) - (D425*(1-'Prestige Patterns'!$B$6)/'Prestige Patterns'!$B$5),'Prestige Patterns'!$B$6)-E425,1)</f>
        <v>6</v>
      </c>
      <c r="H426">
        <f t="shared" si="2"/>
        <v>14277</v>
      </c>
      <c r="I426" s="5">
        <f>1+H426*'Prestige Patterns'!$B$25</f>
        <v>143.77000000000001</v>
      </c>
      <c r="J426">
        <f>FLOOR((K426/'Prestige Patterns'!$B$22)^'Prestige Patterns'!$B$23,1)-H425</f>
        <v>687</v>
      </c>
      <c r="K426" s="8">
        <f>K425+N425*'Prestige Patterns'!$B$20</f>
        <v>22393926207498</v>
      </c>
      <c r="L426" s="2">
        <f>IF(J425&gt;='Prestige Patterns'!$B$28,IF(J425/(H425+1)&gt;('Prestige Patterns'!$B$27+1),L425+1,L425),L425)</f>
        <v>7</v>
      </c>
      <c r="N426">
        <f t="shared" si="0"/>
        <v>5500157132.8000002</v>
      </c>
      <c r="O426" s="3">
        <f>'Prestige Patterns'!$B$4*E426</f>
        <v>9340</v>
      </c>
      <c r="P426">
        <f t="shared" si="3"/>
        <v>4096</v>
      </c>
      <c r="Q426" s="5"/>
      <c r="R426" s="5"/>
      <c r="S426" s="3">
        <v>425</v>
      </c>
      <c r="T426" s="5"/>
    </row>
    <row r="427" spans="1:20" ht="12">
      <c r="A427" s="1"/>
      <c r="B427" s="1"/>
      <c r="C427" s="2">
        <f>(S427*'Prestige Patterns'!$B$20)/60</f>
        <v>213</v>
      </c>
      <c r="D427" s="2">
        <f>IF(L426=L427,N426*'Prestige Patterns'!$B$20+D426-F427,0)</f>
        <v>173847668641.21338</v>
      </c>
      <c r="E427" s="3">
        <f t="shared" si="1"/>
        <v>472</v>
      </c>
      <c r="F427" s="8">
        <f>'Prestige Patterns'!$B$5*('Prestige Patterns'!$B$6^E426-'Prestige Patterns'!$B$6^(E426+G427))/(1-'Prestige Patterns'!$B$6)</f>
        <v>173717894162.01514</v>
      </c>
      <c r="G427" s="8">
        <f>FLOOR(LOG('Prestige Patterns'!$B$6^(E426) - (D426*(1-'Prestige Patterns'!$B$6)/'Prestige Patterns'!$B$5),'Prestige Patterns'!$B$6)-E426,1)</f>
        <v>5</v>
      </c>
      <c r="H427">
        <f t="shared" si="2"/>
        <v>14277</v>
      </c>
      <c r="I427" s="5">
        <f>1+H427*'Prestige Patterns'!$B$25</f>
        <v>143.77000000000001</v>
      </c>
      <c r="J427">
        <f>FLOOR((K427/'Prestige Patterns'!$B$22)^'Prestige Patterns'!$B$23,1)-H426</f>
        <v>742</v>
      </c>
      <c r="K427" s="8">
        <f>K426+N426*'Prestige Patterns'!$B$20</f>
        <v>22558930921482</v>
      </c>
      <c r="L427" s="2">
        <f>IF(J426&gt;='Prestige Patterns'!$B$28,IF(J426/(H426+1)&gt;('Prestige Patterns'!$B$27+1),L426+1,L426),L426)</f>
        <v>7</v>
      </c>
      <c r="N427">
        <f t="shared" si="0"/>
        <v>5559045324.8000002</v>
      </c>
      <c r="O427" s="3">
        <f>'Prestige Patterns'!$B$4*E427</f>
        <v>9440</v>
      </c>
      <c r="P427">
        <f t="shared" si="3"/>
        <v>4096</v>
      </c>
      <c r="Q427" s="5"/>
      <c r="R427" s="5"/>
      <c r="S427" s="3">
        <v>426</v>
      </c>
      <c r="T427" s="5"/>
    </row>
    <row r="428" spans="1:20" ht="12">
      <c r="A428" s="1"/>
      <c r="B428" s="1"/>
      <c r="C428" s="2">
        <f>(S428*'Prestige Patterns'!$B$20)/60</f>
        <v>213.5</v>
      </c>
      <c r="D428" s="2">
        <f>IF(L427=L428,N427*'Prestige Patterns'!$B$20+D427-F428,0)</f>
        <v>167677609470.95877</v>
      </c>
      <c r="E428" s="3">
        <f t="shared" si="1"/>
        <v>476</v>
      </c>
      <c r="F428" s="8">
        <f>'Prestige Patterns'!$B$5*('Prestige Patterns'!$B$6^E427-'Prestige Patterns'!$B$6^(E427+G428))/(1-'Prestige Patterns'!$B$6)</f>
        <v>172941418914.25461</v>
      </c>
      <c r="G428" s="8">
        <f>FLOOR(LOG('Prestige Patterns'!$B$6^(E427) - (D427*(1-'Prestige Patterns'!$B$6)/'Prestige Patterns'!$B$5),'Prestige Patterns'!$B$6)-E427,1)</f>
        <v>4</v>
      </c>
      <c r="H428">
        <f t="shared" si="2"/>
        <v>14277</v>
      </c>
      <c r="I428" s="5">
        <f>1+H428*'Prestige Patterns'!$B$25</f>
        <v>143.77000000000001</v>
      </c>
      <c r="J428">
        <f>FLOOR((K428/'Prestige Patterns'!$B$22)^'Prestige Patterns'!$B$23,1)-H427</f>
        <v>798</v>
      </c>
      <c r="K428" s="8">
        <f>K427+N427*'Prestige Patterns'!$B$20</f>
        <v>22725702281226</v>
      </c>
      <c r="L428" s="2">
        <f>IF(J427&gt;='Prestige Patterns'!$B$28,IF(J427/(H427+1)&gt;('Prestige Patterns'!$B$27+1),L427+1,L427),L427)</f>
        <v>7</v>
      </c>
      <c r="N428">
        <f t="shared" si="0"/>
        <v>5606155878.4000006</v>
      </c>
      <c r="O428" s="3">
        <f>'Prestige Patterns'!$B$4*E428</f>
        <v>9520</v>
      </c>
      <c r="P428">
        <f t="shared" si="3"/>
        <v>4096</v>
      </c>
      <c r="Q428" s="5"/>
      <c r="R428" s="5"/>
      <c r="S428" s="3">
        <v>427</v>
      </c>
      <c r="T428" s="5"/>
    </row>
    <row r="429" spans="1:20" ht="12">
      <c r="A429" s="1"/>
      <c r="B429" s="1"/>
      <c r="C429" s="2">
        <f>(S429*'Prestige Patterns'!$B$20)/60</f>
        <v>214</v>
      </c>
      <c r="D429" s="2">
        <f>IF(L428=L429,N428*'Prestige Patterns'!$B$20+D428-F429,0)</f>
        <v>182110048591.44174</v>
      </c>
      <c r="E429" s="3">
        <f t="shared" si="1"/>
        <v>479</v>
      </c>
      <c r="F429" s="8">
        <f>'Prestige Patterns'!$B$5*('Prestige Patterns'!$B$6^E428-'Prestige Patterns'!$B$6^(E428+G429))/(1-'Prestige Patterns'!$B$6)</f>
        <v>153752237231.51706</v>
      </c>
      <c r="G429" s="8">
        <f>FLOOR(LOG('Prestige Patterns'!$B$6^(E428) - (D428*(1-'Prestige Patterns'!$B$6)/'Prestige Patterns'!$B$5),'Prestige Patterns'!$B$6)-E428,1)</f>
        <v>3</v>
      </c>
      <c r="H429">
        <f t="shared" si="2"/>
        <v>14277</v>
      </c>
      <c r="I429" s="5">
        <f>1+H429*'Prestige Patterns'!$B$25</f>
        <v>143.77000000000001</v>
      </c>
      <c r="J429">
        <f>FLOOR((K429/'Prestige Patterns'!$B$22)^'Prestige Patterns'!$B$23,1)-H428</f>
        <v>853</v>
      </c>
      <c r="K429" s="8">
        <f>K428+N428*'Prestige Patterns'!$B$20</f>
        <v>22893886957578</v>
      </c>
      <c r="L429" s="2">
        <f>IF(J428&gt;='Prestige Patterns'!$B$28,IF(J428/(H428+1)&gt;('Prestige Patterns'!$B$27+1),L428+1,L428),L428)</f>
        <v>7</v>
      </c>
      <c r="N429">
        <f t="shared" si="0"/>
        <v>5641488793.6000004</v>
      </c>
      <c r="O429" s="3">
        <f>'Prestige Patterns'!$B$4*E429</f>
        <v>9580</v>
      </c>
      <c r="P429">
        <f t="shared" si="3"/>
        <v>4096</v>
      </c>
      <c r="Q429" s="5"/>
      <c r="R429" s="5"/>
      <c r="S429" s="3">
        <v>428</v>
      </c>
      <c r="T429" s="5"/>
    </row>
    <row r="430" spans="1:20" ht="12">
      <c r="A430" s="1"/>
      <c r="B430" s="1"/>
      <c r="C430" s="2">
        <f>(S430*'Prestige Patterns'!$B$20)/60</f>
        <v>214.5</v>
      </c>
      <c r="D430" s="2">
        <f>IF(L429=L430,N429*'Prestige Patterns'!$B$20+D429-F430,0)</f>
        <v>173367278774.3075</v>
      </c>
      <c r="E430" s="3">
        <f t="shared" si="1"/>
        <v>482</v>
      </c>
      <c r="F430" s="8">
        <f>'Prestige Patterns'!$B$5*('Prestige Patterns'!$B$6^E429-'Prestige Patterns'!$B$6^(E429+G430))/(1-'Prestige Patterns'!$B$6)</f>
        <v>177987433625.13428</v>
      </c>
      <c r="G430" s="8">
        <f>FLOOR(LOG('Prestige Patterns'!$B$6^(E429) - (D429*(1-'Prestige Patterns'!$B$6)/'Prestige Patterns'!$B$5),'Prestige Patterns'!$B$6)-E429,1)</f>
        <v>3</v>
      </c>
      <c r="H430">
        <f t="shared" si="2"/>
        <v>14277</v>
      </c>
      <c r="I430" s="5">
        <f>1+H430*'Prestige Patterns'!$B$25</f>
        <v>143.77000000000001</v>
      </c>
      <c r="J430">
        <f>FLOOR((K430/'Prestige Patterns'!$B$22)^'Prestige Patterns'!$B$23,1)-H429</f>
        <v>909</v>
      </c>
      <c r="K430" s="8">
        <f>K429+N429*'Prestige Patterns'!$B$20</f>
        <v>23063131621386</v>
      </c>
      <c r="L430" s="2">
        <f>IF(J429&gt;='Prestige Patterns'!$B$28,IF(J429/(H429+1)&gt;('Prestige Patterns'!$B$27+1),L429+1,L429),L429)</f>
        <v>7</v>
      </c>
      <c r="N430">
        <f t="shared" si="0"/>
        <v>5676821708.8000002</v>
      </c>
      <c r="O430" s="3">
        <f>'Prestige Patterns'!$B$4*E430</f>
        <v>9640</v>
      </c>
      <c r="P430">
        <f t="shared" si="3"/>
        <v>4096</v>
      </c>
      <c r="Q430" s="5"/>
      <c r="R430" s="5"/>
      <c r="S430" s="3">
        <v>429</v>
      </c>
      <c r="T430" s="5"/>
    </row>
    <row r="431" spans="1:20" ht="12">
      <c r="A431" s="1"/>
      <c r="B431" s="1"/>
      <c r="C431" s="2">
        <f>(S431*'Prestige Patterns'!$B$20)/60</f>
        <v>215</v>
      </c>
      <c r="D431" s="2">
        <f>IF(L430=L431,N430*'Prestige Patterns'!$B$20+D430-F431,0)</f>
        <v>209686984489.34399</v>
      </c>
      <c r="E431" s="3">
        <f t="shared" si="1"/>
        <v>484</v>
      </c>
      <c r="F431" s="8">
        <f>'Prestige Patterns'!$B$5*('Prestige Patterns'!$B$6^E430-'Prestige Patterns'!$B$6^(E430+G431))/(1-'Prestige Patterns'!$B$6)</f>
        <v>133984945548.9635</v>
      </c>
      <c r="G431" s="8">
        <f>FLOOR(LOG('Prestige Patterns'!$B$6^(E430) - (D430*(1-'Prestige Patterns'!$B$6)/'Prestige Patterns'!$B$5),'Prestige Patterns'!$B$6)-E430,1)</f>
        <v>2</v>
      </c>
      <c r="H431">
        <f t="shared" si="2"/>
        <v>14277</v>
      </c>
      <c r="I431" s="5">
        <f>1+H431*'Prestige Patterns'!$B$25</f>
        <v>143.77000000000001</v>
      </c>
      <c r="J431">
        <f>FLOOR((K431/'Prestige Patterns'!$B$22)^'Prestige Patterns'!$B$23,1)-H430</f>
        <v>965</v>
      </c>
      <c r="K431" s="8">
        <f>K430+N430*'Prestige Patterns'!$B$20</f>
        <v>23233436272650</v>
      </c>
      <c r="L431" s="2">
        <f>IF(J430&gt;='Prestige Patterns'!$B$28,IF(J430/(H430+1)&gt;('Prestige Patterns'!$B$27+1),L430+1,L430),L430)</f>
        <v>7</v>
      </c>
      <c r="N431">
        <f t="shared" si="0"/>
        <v>5700376985.6000004</v>
      </c>
      <c r="O431" s="3">
        <f>'Prestige Patterns'!$B$4*E431</f>
        <v>9680</v>
      </c>
      <c r="P431">
        <f t="shared" si="3"/>
        <v>4096</v>
      </c>
      <c r="Q431" s="5"/>
      <c r="R431" s="5"/>
      <c r="S431" s="3">
        <v>430</v>
      </c>
      <c r="T431" s="5"/>
    </row>
    <row r="432" spans="1:20" ht="12">
      <c r="A432" s="1"/>
      <c r="B432" s="1"/>
      <c r="C432" s="2">
        <f>(S432*'Prestige Patterns'!$B$20)/60</f>
        <v>215.5</v>
      </c>
      <c r="D432" s="2">
        <f>IF(L431=L432,N431*'Prestige Patterns'!$B$20+D431-F432,0)</f>
        <v>232979891589.61188</v>
      </c>
      <c r="E432" s="3">
        <f t="shared" si="1"/>
        <v>486</v>
      </c>
      <c r="F432" s="8">
        <f>'Prestige Patterns'!$B$5*('Prestige Patterns'!$B$6^E431-'Prestige Patterns'!$B$6^(E431+G432))/(1-'Prestige Patterns'!$B$6)</f>
        <v>147718402467.73212</v>
      </c>
      <c r="G432" s="8">
        <f>FLOOR(LOG('Prestige Patterns'!$B$6^(E431) - (D431*(1-'Prestige Patterns'!$B$6)/'Prestige Patterns'!$B$5),'Prestige Patterns'!$B$6)-E431,1)</f>
        <v>2</v>
      </c>
      <c r="H432">
        <f t="shared" si="2"/>
        <v>14277</v>
      </c>
      <c r="I432" s="5">
        <f>1+H432*'Prestige Patterns'!$B$25</f>
        <v>143.77000000000001</v>
      </c>
      <c r="J432">
        <f>FLOOR((K432/'Prestige Patterns'!$B$22)^'Prestige Patterns'!$B$23,1)-H431</f>
        <v>1021</v>
      </c>
      <c r="K432" s="8">
        <f>K431+N431*'Prestige Patterns'!$B$20</f>
        <v>23404447582218</v>
      </c>
      <c r="L432" s="2">
        <f>IF(J431&gt;='Prestige Patterns'!$B$28,IF(J431/(H431+1)&gt;('Prestige Patterns'!$B$27+1),L431+1,L431),L431)</f>
        <v>7</v>
      </c>
      <c r="N432">
        <f t="shared" si="0"/>
        <v>5723932262.4000006</v>
      </c>
      <c r="O432" s="3">
        <f>'Prestige Patterns'!$B$4*E432</f>
        <v>9720</v>
      </c>
      <c r="P432">
        <f t="shared" si="3"/>
        <v>4096</v>
      </c>
      <c r="Q432" s="5"/>
      <c r="R432" s="5"/>
      <c r="S432" s="3">
        <v>431</v>
      </c>
      <c r="T432" s="5"/>
    </row>
    <row r="433" spans="1:20" ht="12">
      <c r="A433" s="1"/>
      <c r="B433" s="1"/>
      <c r="C433" s="2">
        <f>(S433*'Prestige Patterns'!$B$20)/60</f>
        <v>216</v>
      </c>
      <c r="D433" s="2">
        <f>IF(L432=L433,N432*'Prestige Patterns'!$B$20+D432-F433,0)</f>
        <v>241838320740.93704</v>
      </c>
      <c r="E433" s="3">
        <f t="shared" si="1"/>
        <v>488</v>
      </c>
      <c r="F433" s="8">
        <f>'Prestige Patterns'!$B$5*('Prestige Patterns'!$B$6^E432-'Prestige Patterns'!$B$6^(E432+G433))/(1-'Prestige Patterns'!$B$6)</f>
        <v>162859538720.6749</v>
      </c>
      <c r="G433" s="8">
        <f>FLOOR(LOG('Prestige Patterns'!$B$6^(E432) - (D432*(1-'Prestige Patterns'!$B$6)/'Prestige Patterns'!$B$5),'Prestige Patterns'!$B$6)-E432,1)</f>
        <v>2</v>
      </c>
      <c r="H433">
        <f t="shared" si="2"/>
        <v>14277</v>
      </c>
      <c r="I433" s="5">
        <f>1+H433*'Prestige Patterns'!$B$25</f>
        <v>143.77000000000001</v>
      </c>
      <c r="J433">
        <f>FLOOR((K433/'Prestige Patterns'!$B$22)^'Prestige Patterns'!$B$23,1)-H432</f>
        <v>1077</v>
      </c>
      <c r="K433" s="8">
        <f>K432+N432*'Prestige Patterns'!$B$20</f>
        <v>23576165550090</v>
      </c>
      <c r="L433" s="2">
        <f>IF(J432&gt;='Prestige Patterns'!$B$28,IF(J432/(H432+1)&gt;('Prestige Patterns'!$B$27+1),L432+1,L432),L432)</f>
        <v>7</v>
      </c>
      <c r="N433">
        <f t="shared" si="0"/>
        <v>5747487539.2000008</v>
      </c>
      <c r="O433" s="3">
        <f>'Prestige Patterns'!$B$4*E433</f>
        <v>9760</v>
      </c>
      <c r="P433">
        <f t="shared" si="3"/>
        <v>4096</v>
      </c>
      <c r="Q433" s="5"/>
      <c r="R433" s="5"/>
      <c r="S433" s="3">
        <v>432</v>
      </c>
      <c r="T433" s="5"/>
    </row>
    <row r="434" spans="1:20" ht="12">
      <c r="A434" s="1"/>
      <c r="B434" s="1"/>
      <c r="C434" s="2">
        <f>(S434*'Prestige Patterns'!$B$20)/60</f>
        <v>216.5</v>
      </c>
      <c r="D434" s="2">
        <f>IF(L433=L434,N433*'Prestige Patterns'!$B$20+D433-F434,0)</f>
        <v>234710305477.39285</v>
      </c>
      <c r="E434" s="3">
        <f t="shared" si="1"/>
        <v>490</v>
      </c>
      <c r="F434" s="8">
        <f>'Prestige Patterns'!$B$5*('Prestige Patterns'!$B$6^E433-'Prestige Patterns'!$B$6^(E433+G434))/(1-'Prestige Patterns'!$B$6)</f>
        <v>179552641439.54422</v>
      </c>
      <c r="G434" s="8">
        <f>FLOOR(LOG('Prestige Patterns'!$B$6^(E433) - (D433*(1-'Prestige Patterns'!$B$6)/'Prestige Patterns'!$B$5),'Prestige Patterns'!$B$6)-E433,1)</f>
        <v>2</v>
      </c>
      <c r="H434">
        <f t="shared" si="2"/>
        <v>14277</v>
      </c>
      <c r="I434" s="5">
        <f>1+H434*'Prestige Patterns'!$B$25</f>
        <v>143.77000000000001</v>
      </c>
      <c r="J434">
        <f>FLOOR((K434/'Prestige Patterns'!$B$22)^'Prestige Patterns'!$B$23,1)-H433</f>
        <v>1133</v>
      </c>
      <c r="K434" s="8">
        <f>K433+N433*'Prestige Patterns'!$B$20</f>
        <v>23748590176266</v>
      </c>
      <c r="L434" s="2">
        <f>IF(J433&gt;='Prestige Patterns'!$B$28,IF(J433/(H433+1)&gt;('Prestige Patterns'!$B$27+1),L433+1,L433),L433)</f>
        <v>7</v>
      </c>
      <c r="N434">
        <f t="shared" si="0"/>
        <v>5771042816</v>
      </c>
      <c r="O434" s="3">
        <f>'Prestige Patterns'!$B$4*E434</f>
        <v>9800</v>
      </c>
      <c r="P434">
        <f t="shared" si="3"/>
        <v>4096</v>
      </c>
      <c r="Q434" s="5"/>
      <c r="R434" s="5"/>
      <c r="S434" s="3">
        <v>433</v>
      </c>
      <c r="T434" s="5"/>
    </row>
    <row r="435" spans="1:20" ht="12">
      <c r="A435" s="1"/>
      <c r="B435" s="1"/>
      <c r="C435" s="2">
        <f>(S435*'Prestige Patterns'!$B$20)/60</f>
        <v>217</v>
      </c>
      <c r="D435" s="2">
        <f>IF(L434=L435,N434*'Prestige Patterns'!$B$20+D434-F435,0)</f>
        <v>209884802770.29584</v>
      </c>
      <c r="E435" s="3">
        <f t="shared" si="1"/>
        <v>492</v>
      </c>
      <c r="F435" s="8">
        <f>'Prestige Patterns'!$B$5*('Prestige Patterns'!$B$6^E434-'Prestige Patterns'!$B$6^(E434+G435))/(1-'Prestige Patterns'!$B$6)</f>
        <v>197956787187.09698</v>
      </c>
      <c r="G435" s="8">
        <f>FLOOR(LOG('Prestige Patterns'!$B$6^(E434) - (D434*(1-'Prestige Patterns'!$B$6)/'Prestige Patterns'!$B$5),'Prestige Patterns'!$B$6)-E434,1)</f>
        <v>2</v>
      </c>
      <c r="H435">
        <f t="shared" si="2"/>
        <v>14277</v>
      </c>
      <c r="I435" s="5">
        <f>1+H435*'Prestige Patterns'!$B$25</f>
        <v>143.77000000000001</v>
      </c>
      <c r="J435">
        <f>FLOOR((K435/'Prestige Patterns'!$B$22)^'Prestige Patterns'!$B$23,1)-H434</f>
        <v>1189</v>
      </c>
      <c r="K435" s="8">
        <f>K434+N434*'Prestige Patterns'!$B$20</f>
        <v>23921721460746</v>
      </c>
      <c r="L435" s="2">
        <f>IF(J434&gt;='Prestige Patterns'!$B$28,IF(J434/(H434+1)&gt;('Prestige Patterns'!$B$27+1),L434+1,L434),L434)</f>
        <v>7</v>
      </c>
      <c r="N435">
        <f t="shared" si="0"/>
        <v>5794598092.8000002</v>
      </c>
      <c r="O435" s="3">
        <f>'Prestige Patterns'!$B$4*E435</f>
        <v>9840</v>
      </c>
      <c r="P435">
        <f t="shared" si="3"/>
        <v>4096</v>
      </c>
      <c r="Q435" s="5"/>
      <c r="R435" s="5"/>
      <c r="S435" s="3">
        <v>434</v>
      </c>
      <c r="T435" s="5"/>
    </row>
    <row r="436" spans="1:20" ht="12">
      <c r="A436" s="1"/>
      <c r="B436" s="1"/>
      <c r="C436" s="2">
        <f>(S436*'Prestige Patterns'!$B$20)/60</f>
        <v>217.5</v>
      </c>
      <c r="D436" s="2">
        <f>IF(L435=L436,N435*'Prestige Patterns'!$B$20+D435-F436,0)</f>
        <v>277260619762.21008</v>
      </c>
      <c r="E436" s="3">
        <f t="shared" si="1"/>
        <v>493</v>
      </c>
      <c r="F436" s="8">
        <f>'Prestige Patterns'!$B$5*('Prestige Patterns'!$B$6^E435-'Prestige Patterns'!$B$6^(E435+G436))/(1-'Prestige Patterns'!$B$6)</f>
        <v>106462125792.08578</v>
      </c>
      <c r="G436" s="8">
        <f>FLOOR(LOG('Prestige Patterns'!$B$6^(E435) - (D435*(1-'Prestige Patterns'!$B$6)/'Prestige Patterns'!$B$5),'Prestige Patterns'!$B$6)-E435,1)</f>
        <v>1</v>
      </c>
      <c r="H436">
        <f t="shared" si="2"/>
        <v>14277</v>
      </c>
      <c r="I436" s="5">
        <f>1+H436*'Prestige Patterns'!$B$25</f>
        <v>143.77000000000001</v>
      </c>
      <c r="J436">
        <f>FLOOR((K436/'Prestige Patterns'!$B$22)^'Prestige Patterns'!$B$23,1)-H435</f>
        <v>1245</v>
      </c>
      <c r="K436" s="8">
        <f>K435+N435*'Prestige Patterns'!$B$20</f>
        <v>24095559403530</v>
      </c>
      <c r="L436" s="2">
        <f>IF(J435&gt;='Prestige Patterns'!$B$28,IF(J435/(H435+1)&gt;('Prestige Patterns'!$B$27+1),L435+1,L435),L435)</f>
        <v>7</v>
      </c>
      <c r="N436">
        <f t="shared" si="0"/>
        <v>5806375731.2000008</v>
      </c>
      <c r="O436" s="3">
        <f>'Prestige Patterns'!$B$4*E436</f>
        <v>9860</v>
      </c>
      <c r="P436">
        <f t="shared" si="3"/>
        <v>4096</v>
      </c>
      <c r="Q436" s="5"/>
      <c r="R436" s="5"/>
      <c r="S436" s="3">
        <v>435</v>
      </c>
      <c r="T436" s="5"/>
    </row>
    <row r="437" spans="1:20" ht="12">
      <c r="A437" s="1"/>
      <c r="B437" s="1"/>
      <c r="C437" s="2">
        <f>(S437*'Prestige Patterns'!$B$20)/60</f>
        <v>218</v>
      </c>
      <c r="D437" s="2">
        <f>IF(L436=L437,N436*'Prestige Patterns'!$B$20+D436-F437,0)</f>
        <v>222292165930.74631</v>
      </c>
      <c r="E437" s="3">
        <f t="shared" si="1"/>
        <v>495</v>
      </c>
      <c r="F437" s="8">
        <f>'Prestige Patterns'!$B$5*('Prestige Patterns'!$B$6^E436-'Prestige Patterns'!$B$6^(E436+G437))/(1-'Prestige Patterns'!$B$6)</f>
        <v>229159725767.46378</v>
      </c>
      <c r="G437" s="8">
        <f>FLOOR(LOG('Prestige Patterns'!$B$6^(E436) - (D436*(1-'Prestige Patterns'!$B$6)/'Prestige Patterns'!$B$5),'Prestige Patterns'!$B$6)-E436,1)</f>
        <v>2</v>
      </c>
      <c r="H437">
        <f t="shared" si="2"/>
        <v>14277</v>
      </c>
      <c r="I437" s="5">
        <f>1+H437*'Prestige Patterns'!$B$25</f>
        <v>143.77000000000001</v>
      </c>
      <c r="J437">
        <f>FLOOR((K437/'Prestige Patterns'!$B$22)^'Prestige Patterns'!$B$23,1)-H436</f>
        <v>1301</v>
      </c>
      <c r="K437" s="8">
        <f>K436+N436*'Prestige Patterns'!$B$20</f>
        <v>24269750675466</v>
      </c>
      <c r="L437" s="2">
        <f>IF(J436&gt;='Prestige Patterns'!$B$28,IF(J436/(H436+1)&gt;('Prestige Patterns'!$B$27+1),L436+1,L436),L436)</f>
        <v>7</v>
      </c>
      <c r="N437">
        <f t="shared" si="0"/>
        <v>5829931008</v>
      </c>
      <c r="O437" s="3">
        <f>'Prestige Patterns'!$B$4*E437</f>
        <v>9900</v>
      </c>
      <c r="P437">
        <f t="shared" si="3"/>
        <v>4096</v>
      </c>
      <c r="Q437" s="5"/>
      <c r="R437" s="5"/>
      <c r="S437" s="3">
        <v>436</v>
      </c>
      <c r="T437" s="5"/>
    </row>
    <row r="438" spans="1:20" ht="12">
      <c r="A438" s="1"/>
      <c r="B438" s="1"/>
      <c r="C438" s="2">
        <f>(S438*'Prestige Patterns'!$B$20)/60</f>
        <v>218.5</v>
      </c>
      <c r="D438" s="2">
        <f>IF(L437=L438,N437*'Prestige Patterns'!$B$20+D437-F438,0)</f>
        <v>273946877800.68359</v>
      </c>
      <c r="E438" s="3">
        <f t="shared" si="1"/>
        <v>496</v>
      </c>
      <c r="F438" s="8">
        <f>'Prestige Patterns'!$B$5*('Prestige Patterns'!$B$6^E437-'Prestige Patterns'!$B$6^(E437+G438))/(1-'Prestige Patterns'!$B$6)</f>
        <v>123243218370.06276</v>
      </c>
      <c r="G438" s="8">
        <f>FLOOR(LOG('Prestige Patterns'!$B$6^(E437) - (D437*(1-'Prestige Patterns'!$B$6)/'Prestige Patterns'!$B$5),'Prestige Patterns'!$B$6)-E437,1)</f>
        <v>1</v>
      </c>
      <c r="H438">
        <f t="shared" si="2"/>
        <v>14277</v>
      </c>
      <c r="I438" s="5">
        <f>1+H438*'Prestige Patterns'!$B$25</f>
        <v>143.77000000000001</v>
      </c>
      <c r="J438">
        <f>FLOOR((K438/'Prestige Patterns'!$B$22)^'Prestige Patterns'!$B$23,1)-H437</f>
        <v>1357</v>
      </c>
      <c r="K438" s="8">
        <f>K437+N437*'Prestige Patterns'!$B$20</f>
        <v>24444648605706</v>
      </c>
      <c r="L438" s="2">
        <f>IF(J437&gt;='Prestige Patterns'!$B$28,IF(J437/(H437+1)&gt;('Prestige Patterns'!$B$27+1),L437+1,L437),L437)</f>
        <v>7</v>
      </c>
      <c r="N438">
        <f t="shared" si="0"/>
        <v>5841708646.4000006</v>
      </c>
      <c r="O438" s="3">
        <f>'Prestige Patterns'!$B$4*E438</f>
        <v>9920</v>
      </c>
      <c r="P438">
        <f t="shared" si="3"/>
        <v>4096</v>
      </c>
      <c r="Q438" s="5"/>
      <c r="R438" s="5"/>
      <c r="S438" s="3">
        <v>437</v>
      </c>
      <c r="T438" s="5"/>
    </row>
    <row r="439" spans="1:20" ht="12">
      <c r="A439" s="1"/>
      <c r="B439" s="1"/>
      <c r="C439" s="2">
        <f>(S439*'Prestige Patterns'!$B$20)/60</f>
        <v>219</v>
      </c>
      <c r="D439" s="2">
        <f>IF(L438=L439,N438*'Prestige Patterns'!$B$20+D438-F439,0)</f>
        <v>183917109651.12378</v>
      </c>
      <c r="E439" s="3">
        <f t="shared" si="1"/>
        <v>498</v>
      </c>
      <c r="F439" s="8">
        <f>'Prestige Patterns'!$B$5*('Prestige Patterns'!$B$6^E438-'Prestige Patterns'!$B$6^(E438+G439))/(1-'Prestige Patterns'!$B$6)</f>
        <v>265281027541.55981</v>
      </c>
      <c r="G439" s="8">
        <f>FLOOR(LOG('Prestige Patterns'!$B$6^(E438) - (D438*(1-'Prestige Patterns'!$B$6)/'Prestige Patterns'!$B$5),'Prestige Patterns'!$B$6)-E438,1)</f>
        <v>2</v>
      </c>
      <c r="H439">
        <f t="shared" si="2"/>
        <v>14277</v>
      </c>
      <c r="I439" s="5">
        <f>1+H439*'Prestige Patterns'!$B$25</f>
        <v>143.77000000000001</v>
      </c>
      <c r="J439">
        <f>FLOOR((K439/'Prestige Patterns'!$B$22)^'Prestige Patterns'!$B$23,1)-H438</f>
        <v>1413</v>
      </c>
      <c r="K439" s="8">
        <f>K438+N438*'Prestige Patterns'!$B$20</f>
        <v>24619899865098</v>
      </c>
      <c r="L439" s="2">
        <f>IF(J438&gt;='Prestige Patterns'!$B$28,IF(J438/(H438+1)&gt;('Prestige Patterns'!$B$27+1),L438+1,L438),L438)</f>
        <v>7</v>
      </c>
      <c r="N439">
        <f t="shared" si="0"/>
        <v>5865263923.2000008</v>
      </c>
      <c r="O439" s="3">
        <f>'Prestige Patterns'!$B$4*E439</f>
        <v>9960</v>
      </c>
      <c r="P439">
        <f t="shared" si="3"/>
        <v>4096</v>
      </c>
      <c r="Q439" s="5"/>
      <c r="R439" s="5"/>
      <c r="S439" s="3">
        <v>438</v>
      </c>
      <c r="T439" s="5"/>
    </row>
    <row r="440" spans="1:20" ht="12">
      <c r="A440" s="1"/>
      <c r="B440" s="1"/>
      <c r="C440" s="2">
        <f>(S440*'Prestige Patterns'!$B$20)/60</f>
        <v>219.5</v>
      </c>
      <c r="D440" s="2">
        <f>IF(L439=L440,N439*'Prestige Patterns'!$B$20+D439-F440,0)</f>
        <v>217205596681.47998</v>
      </c>
      <c r="E440" s="3">
        <f t="shared" si="1"/>
        <v>499</v>
      </c>
      <c r="F440" s="8">
        <f>'Prestige Patterns'!$B$5*('Prestige Patterns'!$B$6^E439-'Prestige Patterns'!$B$6^(E439+G440))/(1-'Prestige Patterns'!$B$6)</f>
        <v>142669430665.6438</v>
      </c>
      <c r="G440" s="8">
        <f>FLOOR(LOG('Prestige Patterns'!$B$6^(E439) - (D439*(1-'Prestige Patterns'!$B$6)/'Prestige Patterns'!$B$5),'Prestige Patterns'!$B$6)-E439,1)</f>
        <v>1</v>
      </c>
      <c r="H440">
        <f t="shared" si="2"/>
        <v>14277</v>
      </c>
      <c r="I440" s="5">
        <f>1+H440*'Prestige Patterns'!$B$25</f>
        <v>143.77000000000001</v>
      </c>
      <c r="J440">
        <f>FLOOR((K440/'Prestige Patterns'!$B$22)^'Prestige Patterns'!$B$23,1)-H439</f>
        <v>1469</v>
      </c>
      <c r="K440" s="8">
        <f>K439+N439*'Prestige Patterns'!$B$20</f>
        <v>24795857782794</v>
      </c>
      <c r="L440" s="2">
        <f>IF(J439&gt;='Prestige Patterns'!$B$28,IF(J439/(H439+1)&gt;('Prestige Patterns'!$B$27+1),L439+1,L439),L439)</f>
        <v>7</v>
      </c>
      <c r="N440">
        <f t="shared" si="0"/>
        <v>5877041561.6000004</v>
      </c>
      <c r="O440" s="3">
        <f>'Prestige Patterns'!$B$4*E440</f>
        <v>9980</v>
      </c>
      <c r="P440">
        <f t="shared" si="3"/>
        <v>4096</v>
      </c>
      <c r="Q440" s="5"/>
      <c r="R440" s="5"/>
      <c r="S440" s="3">
        <v>439</v>
      </c>
      <c r="T440" s="5"/>
    </row>
    <row r="441" spans="1:20" ht="12">
      <c r="A441" s="1"/>
      <c r="B441" s="1"/>
      <c r="C441" s="2">
        <f>(S441*'Prestige Patterns'!$B$20)/60</f>
        <v>220</v>
      </c>
      <c r="D441" s="2">
        <f>IF(L440=L441,N440*'Prestige Patterns'!$B$20+D440-F441,0)</f>
        <v>243713941330.5531</v>
      </c>
      <c r="E441" s="3">
        <f t="shared" si="1"/>
        <v>500</v>
      </c>
      <c r="F441" s="8">
        <f>'Prestige Patterns'!$B$5*('Prestige Patterns'!$B$6^E440-'Prestige Patterns'!$B$6^(E440+G441))/(1-'Prestige Patterns'!$B$6)</f>
        <v>149802902198.92688</v>
      </c>
      <c r="G441" s="8">
        <f>FLOOR(LOG('Prestige Patterns'!$B$6^(E440) - (D440*(1-'Prestige Patterns'!$B$6)/'Prestige Patterns'!$B$5),'Prestige Patterns'!$B$6)-E440,1)</f>
        <v>1</v>
      </c>
      <c r="H441">
        <f t="shared" si="2"/>
        <v>14277</v>
      </c>
      <c r="I441" s="5">
        <f>1+H441*'Prestige Patterns'!$B$25</f>
        <v>143.77000000000001</v>
      </c>
      <c r="J441">
        <f>FLOOR((K441/'Prestige Patterns'!$B$22)^'Prestige Patterns'!$B$23,1)-H440</f>
        <v>1525</v>
      </c>
      <c r="K441" s="8">
        <f>K440+N440*'Prestige Patterns'!$B$20</f>
        <v>24972169029642</v>
      </c>
      <c r="L441" s="2">
        <f>IF(J440&gt;='Prestige Patterns'!$B$28,IF(J440/(H440+1)&gt;('Prestige Patterns'!$B$27+1),L440+1,L440),L440)</f>
        <v>7</v>
      </c>
      <c r="N441">
        <f t="shared" si="0"/>
        <v>94221107200</v>
      </c>
      <c r="O441" s="3">
        <f>'Prestige Patterns'!$B$4*E441</f>
        <v>10000</v>
      </c>
      <c r="P441">
        <f t="shared" si="3"/>
        <v>65536</v>
      </c>
      <c r="Q441" s="5"/>
      <c r="R441" s="5"/>
      <c r="S441" s="3">
        <v>440</v>
      </c>
      <c r="T441" s="5"/>
    </row>
    <row r="442" spans="1:20" ht="12">
      <c r="A442" s="1"/>
      <c r="B442" s="1"/>
      <c r="C442" s="2">
        <f>(S442*'Prestige Patterns'!$B$20)/60</f>
        <v>220.5</v>
      </c>
      <c r="D442" s="2">
        <f>IF(L441=L442,N441*'Prestige Patterns'!$B$20+D441-F442,0)</f>
        <v>2913054110021.6826</v>
      </c>
      <c r="E442" s="3">
        <f t="shared" si="1"/>
        <v>501</v>
      </c>
      <c r="F442" s="8">
        <f>'Prestige Patterns'!$B$5*('Prestige Patterns'!$B$6^E441-'Prestige Patterns'!$B$6^(E441+G442))/(1-'Prestige Patterns'!$B$6)</f>
        <v>157293047308.8707</v>
      </c>
      <c r="G442" s="8">
        <f>FLOOR(LOG('Prestige Patterns'!$B$6^(E441) - (D441*(1-'Prestige Patterns'!$B$6)/'Prestige Patterns'!$B$5),'Prestige Patterns'!$B$6)-E441,1)</f>
        <v>1</v>
      </c>
      <c r="H442">
        <f t="shared" si="2"/>
        <v>14277</v>
      </c>
      <c r="I442" s="5">
        <f>1+H442*'Prestige Patterns'!$B$25</f>
        <v>143.77000000000001</v>
      </c>
      <c r="J442">
        <f>FLOOR((K442/'Prestige Patterns'!$B$22)^'Prestige Patterns'!$B$23,1)-H441</f>
        <v>2395</v>
      </c>
      <c r="K442" s="8">
        <f>K441+N441*'Prestige Patterns'!$B$20</f>
        <v>27798802245642</v>
      </c>
      <c r="L442" s="2">
        <f>IF(J441&gt;='Prestige Patterns'!$B$28,IF(J441/(H441+1)&gt;('Prestige Patterns'!$B$27+1),L441+1,L441),L441)</f>
        <v>7</v>
      </c>
      <c r="N442">
        <f t="shared" si="0"/>
        <v>94409549414.400009</v>
      </c>
      <c r="O442" s="3">
        <f>'Prestige Patterns'!$B$4*E442</f>
        <v>10020</v>
      </c>
      <c r="P442">
        <f t="shared" si="3"/>
        <v>65536</v>
      </c>
      <c r="Q442" s="5"/>
      <c r="R442" s="5"/>
      <c r="S442" s="3">
        <v>441</v>
      </c>
      <c r="T442" s="5"/>
    </row>
    <row r="443" spans="1:20" ht="12">
      <c r="A443" s="1"/>
      <c r="B443" s="1"/>
      <c r="C443" s="2">
        <f>(S443*'Prestige Patterns'!$B$20)/60</f>
        <v>221</v>
      </c>
      <c r="D443" s="2">
        <f>IF(L442=L443,N442*'Prestige Patterns'!$B$20+D442-F443,0)</f>
        <v>3116504590912.3369</v>
      </c>
      <c r="E443" s="3">
        <f t="shared" si="1"/>
        <v>513</v>
      </c>
      <c r="F443" s="8">
        <f>'Prestige Patterns'!$B$5*('Prestige Patterns'!$B$6^E442-'Prestige Patterns'!$B$6^(E442+G443))/(1-'Prestige Patterns'!$B$6)</f>
        <v>2628836001541.3467</v>
      </c>
      <c r="G443" s="8">
        <f>FLOOR(LOG('Prestige Patterns'!$B$6^(E442) - (D442*(1-'Prestige Patterns'!$B$6)/'Prestige Patterns'!$B$5),'Prestige Patterns'!$B$6)-E442,1)</f>
        <v>12</v>
      </c>
      <c r="H443">
        <f t="shared" si="2"/>
        <v>14277</v>
      </c>
      <c r="I443" s="5">
        <f>1+H443*'Prestige Patterns'!$B$25</f>
        <v>143.77000000000001</v>
      </c>
      <c r="J443">
        <f>FLOOR((K443/'Prestige Patterns'!$B$22)^'Prestige Patterns'!$B$23,1)-H442</f>
        <v>3224</v>
      </c>
      <c r="K443" s="8">
        <f>K442+N442*'Prestige Patterns'!$B$20</f>
        <v>30631088728074</v>
      </c>
      <c r="L443" s="2">
        <f>IF(J442&gt;='Prestige Patterns'!$B$28,IF(J442/(H442+1)&gt;('Prestige Patterns'!$B$27+1),L442+1,L442),L442)</f>
        <v>7</v>
      </c>
      <c r="N443">
        <f t="shared" si="0"/>
        <v>96670855987.200012</v>
      </c>
      <c r="O443" s="3">
        <f>'Prestige Patterns'!$B$4*E443</f>
        <v>10260</v>
      </c>
      <c r="P443">
        <f t="shared" si="3"/>
        <v>65536</v>
      </c>
      <c r="Q443" s="5"/>
      <c r="R443" s="5"/>
      <c r="S443" s="3">
        <v>442</v>
      </c>
      <c r="T443" s="5"/>
    </row>
    <row r="444" spans="1:20" ht="12">
      <c r="A444" s="1"/>
      <c r="B444" s="1"/>
      <c r="C444" s="2">
        <f>(S444*'Prestige Patterns'!$B$20)/60</f>
        <v>221.5</v>
      </c>
      <c r="D444" s="2">
        <f>IF(L443=L444,N443*'Prestige Patterns'!$B$20+D443-F444,0)</f>
        <v>3184369354900.125</v>
      </c>
      <c r="E444" s="3">
        <f t="shared" si="1"/>
        <v>521</v>
      </c>
      <c r="F444" s="8">
        <f>'Prestige Patterns'!$B$5*('Prestige Patterns'!$B$6^E443-'Prestige Patterns'!$B$6^(E443+G444))/(1-'Prestige Patterns'!$B$6)</f>
        <v>2832260915628.2129</v>
      </c>
      <c r="G444" s="8">
        <f>FLOOR(LOG('Prestige Patterns'!$B$6^(E443) - (D443*(1-'Prestige Patterns'!$B$6)/'Prestige Patterns'!$B$5),'Prestige Patterns'!$B$6)-E443,1)</f>
        <v>8</v>
      </c>
      <c r="H444">
        <f t="shared" si="2"/>
        <v>14277</v>
      </c>
      <c r="I444" s="5">
        <f>1+H444*'Prestige Patterns'!$B$25</f>
        <v>143.77000000000001</v>
      </c>
      <c r="J444">
        <f>FLOOR((K444/'Prestige Patterns'!$B$22)^'Prestige Patterns'!$B$23,1)-H443</f>
        <v>4034</v>
      </c>
      <c r="K444" s="8">
        <f>K443+N443*'Prestige Patterns'!$B$20</f>
        <v>33531214407690</v>
      </c>
      <c r="L444" s="2">
        <f>IF(J443&gt;='Prestige Patterns'!$B$28,IF(J443/(H443+1)&gt;('Prestige Patterns'!$B$27+1),L443+1,L443),L443)</f>
        <v>7</v>
      </c>
      <c r="N444">
        <f t="shared" si="0"/>
        <v>98178393702.400009</v>
      </c>
      <c r="O444" s="3">
        <f>'Prestige Patterns'!$B$4*E444</f>
        <v>10420</v>
      </c>
      <c r="P444">
        <f t="shared" si="3"/>
        <v>65536</v>
      </c>
      <c r="Q444" s="5"/>
      <c r="R444" s="5"/>
      <c r="S444" s="3">
        <v>443</v>
      </c>
      <c r="T444" s="5"/>
    </row>
    <row r="445" spans="1:20" ht="12">
      <c r="A445" s="1"/>
      <c r="B445" s="1"/>
      <c r="C445" s="2">
        <f>(S445*'Prestige Patterns'!$B$20)/60</f>
        <v>222</v>
      </c>
      <c r="D445" s="2">
        <f>IF(L444=L445,N444*'Prestige Patterns'!$B$20+D444-F445,0)</f>
        <v>3149037637914.3726</v>
      </c>
      <c r="E445" s="3">
        <f t="shared" si="1"/>
        <v>527</v>
      </c>
      <c r="F445" s="8">
        <f>'Prestige Patterns'!$B$5*('Prestige Patterns'!$B$6^E444-'Prestige Patterns'!$B$6^(E444+G445))/(1-'Prestige Patterns'!$B$6)</f>
        <v>2980683528057.7524</v>
      </c>
      <c r="G445" s="8">
        <f>FLOOR(LOG('Prestige Patterns'!$B$6^(E444) - (D444*(1-'Prestige Patterns'!$B$6)/'Prestige Patterns'!$B$5),'Prestige Patterns'!$B$6)-E444,1)</f>
        <v>6</v>
      </c>
      <c r="H445">
        <f t="shared" si="2"/>
        <v>14277</v>
      </c>
      <c r="I445" s="5">
        <f>1+H445*'Prestige Patterns'!$B$25</f>
        <v>143.77000000000001</v>
      </c>
      <c r="J445">
        <f>FLOOR((K445/'Prestige Patterns'!$B$22)^'Prestige Patterns'!$B$23,1)-H444</f>
        <v>4821</v>
      </c>
      <c r="K445" s="8">
        <f>K444+N444*'Prestige Patterns'!$B$20</f>
        <v>36476566218762</v>
      </c>
      <c r="L445" s="2">
        <f>IF(J444&gt;='Prestige Patterns'!$B$28,IF(J444/(H444+1)&gt;('Prestige Patterns'!$B$27+1),L444+1,L444),L444)</f>
        <v>7</v>
      </c>
      <c r="N445">
        <f t="shared" si="0"/>
        <v>99309046988.800003</v>
      </c>
      <c r="O445" s="3">
        <f>'Prestige Patterns'!$B$4*E445</f>
        <v>10540</v>
      </c>
      <c r="P445">
        <f t="shared" si="3"/>
        <v>65536</v>
      </c>
      <c r="Q445" s="5"/>
      <c r="R445" s="5"/>
      <c r="S445" s="3">
        <v>444</v>
      </c>
      <c r="T445" s="5"/>
    </row>
    <row r="446" spans="1:20" ht="12">
      <c r="A446" s="1"/>
      <c r="B446" s="1"/>
      <c r="C446" s="2">
        <f>(S446*'Prestige Patterns'!$B$20)/60</f>
        <v>222.5</v>
      </c>
      <c r="D446" s="2">
        <f>IF(L445=L446,N445*'Prestige Patterns'!$B$20+D445-F446,0)</f>
        <v>3597202270195.3433</v>
      </c>
      <c r="E446" s="3">
        <f t="shared" si="1"/>
        <v>531</v>
      </c>
      <c r="F446" s="8">
        <f>'Prestige Patterns'!$B$5*('Prestige Patterns'!$B$6^E445-'Prestige Patterns'!$B$6^(E445+G446))/(1-'Prestige Patterns'!$B$6)</f>
        <v>2531106777383.0298</v>
      </c>
      <c r="G446" s="8">
        <f>FLOOR(LOG('Prestige Patterns'!$B$6^(E445) - (D445*(1-'Prestige Patterns'!$B$6)/'Prestige Patterns'!$B$5),'Prestige Patterns'!$B$6)-E445,1)</f>
        <v>4</v>
      </c>
      <c r="H446">
        <f t="shared" si="2"/>
        <v>14277</v>
      </c>
      <c r="I446" s="5">
        <f>1+H446*'Prestige Patterns'!$B$25</f>
        <v>143.77000000000001</v>
      </c>
      <c r="J446">
        <f>FLOOR((K446/'Prestige Patterns'!$B$22)^'Prestige Patterns'!$B$23,1)-H445</f>
        <v>5586</v>
      </c>
      <c r="K446" s="8">
        <f>K445+N445*'Prestige Patterns'!$B$20</f>
        <v>39455837628426</v>
      </c>
      <c r="L446" s="2">
        <f>IF(J445&gt;='Prestige Patterns'!$B$28,IF(J445/(H445+1)&gt;('Prestige Patterns'!$B$27+1),L445+1,L445),L445)</f>
        <v>7</v>
      </c>
      <c r="N446">
        <f t="shared" si="0"/>
        <v>100062815846.40001</v>
      </c>
      <c r="O446" s="3">
        <f>'Prestige Patterns'!$B$4*E446</f>
        <v>10620</v>
      </c>
      <c r="P446">
        <f t="shared" si="3"/>
        <v>65536</v>
      </c>
      <c r="Q446" s="5"/>
      <c r="R446" s="5"/>
      <c r="S446" s="3">
        <v>445</v>
      </c>
      <c r="T446" s="5"/>
    </row>
    <row r="447" spans="1:20" ht="12">
      <c r="A447" s="1"/>
      <c r="B447" s="1"/>
      <c r="C447" s="2">
        <f>(S447*'Prestige Patterns'!$B$20)/60</f>
        <v>223</v>
      </c>
      <c r="D447" s="2">
        <f>IF(L446=L447,N446*'Prestige Patterns'!$B$20+D446-F447,0)</f>
        <v>3522510638260.9111</v>
      </c>
      <c r="E447" s="3">
        <f t="shared" si="1"/>
        <v>535</v>
      </c>
      <c r="F447" s="8">
        <f>'Prestige Patterns'!$B$5*('Prestige Patterns'!$B$6^E446-'Prestige Patterns'!$B$6^(E446+G447))/(1-'Prestige Patterns'!$B$6)</f>
        <v>3076576107326.4326</v>
      </c>
      <c r="G447" s="8">
        <f>FLOOR(LOG('Prestige Patterns'!$B$6^(E446) - (D446*(1-'Prestige Patterns'!$B$6)/'Prestige Patterns'!$B$5),'Prestige Patterns'!$B$6)-E446,1)</f>
        <v>4</v>
      </c>
      <c r="H447">
        <f t="shared" si="2"/>
        <v>14277</v>
      </c>
      <c r="I447" s="5">
        <f>1+H447*'Prestige Patterns'!$B$25</f>
        <v>143.77000000000001</v>
      </c>
      <c r="J447">
        <f>FLOOR((K447/'Prestige Patterns'!$B$22)^'Prestige Patterns'!$B$23,1)-H446</f>
        <v>6328</v>
      </c>
      <c r="K447" s="8">
        <f>K446+N446*'Prestige Patterns'!$B$20</f>
        <v>42457722103818</v>
      </c>
      <c r="L447" s="2">
        <f>IF(J446&gt;='Prestige Patterns'!$B$28,IF(J446/(H446+1)&gt;('Prestige Patterns'!$B$27+1),L446+1,L446),L446)</f>
        <v>7</v>
      </c>
      <c r="N447">
        <f t="shared" si="0"/>
        <v>100816584704</v>
      </c>
      <c r="O447" s="3">
        <f>'Prestige Patterns'!$B$4*E447</f>
        <v>10700</v>
      </c>
      <c r="P447">
        <f t="shared" si="3"/>
        <v>65536</v>
      </c>
      <c r="Q447" s="5"/>
      <c r="R447" s="5"/>
      <c r="S447" s="3">
        <v>446</v>
      </c>
      <c r="T447" s="5"/>
    </row>
    <row r="448" spans="1:20" ht="12">
      <c r="A448" s="1"/>
      <c r="B448" s="1"/>
      <c r="C448" s="2">
        <f>(S448*'Prestige Patterns'!$B$20)/60</f>
        <v>223.5</v>
      </c>
      <c r="D448" s="2">
        <f>IF(L447=L448,N447*'Prestige Patterns'!$B$20+D447-F448,0)</f>
        <v>3811801873776.3481</v>
      </c>
      <c r="E448" s="3">
        <f t="shared" si="1"/>
        <v>538</v>
      </c>
      <c r="F448" s="8">
        <f>'Prestige Patterns'!$B$5*('Prestige Patterns'!$B$6^E447-'Prestige Patterns'!$B$6^(E447+G448))/(1-'Prestige Patterns'!$B$6)</f>
        <v>2735206305604.563</v>
      </c>
      <c r="G448" s="8">
        <f>FLOOR(LOG('Prestige Patterns'!$B$6^(E447) - (D447*(1-'Prestige Patterns'!$B$6)/'Prestige Patterns'!$B$5),'Prestige Patterns'!$B$6)-E447,1)</f>
        <v>3</v>
      </c>
      <c r="H448">
        <f t="shared" si="2"/>
        <v>14277</v>
      </c>
      <c r="I448" s="5">
        <f>1+H448*'Prestige Patterns'!$B$25</f>
        <v>143.77000000000001</v>
      </c>
      <c r="J448">
        <f>FLOOR((K448/'Prestige Patterns'!$B$22)^'Prestige Patterns'!$B$23,1)-H447</f>
        <v>7049</v>
      </c>
      <c r="K448" s="8">
        <f>K447+N447*'Prestige Patterns'!$B$20</f>
        <v>45482219644938</v>
      </c>
      <c r="L448" s="2">
        <f>IF(J447&gt;='Prestige Patterns'!$B$28,IF(J447/(H447+1)&gt;('Prestige Patterns'!$B$27+1),L447+1,L447),L447)</f>
        <v>7</v>
      </c>
      <c r="N448">
        <f t="shared" si="0"/>
        <v>101381911347.20001</v>
      </c>
      <c r="O448" s="3">
        <f>'Prestige Patterns'!$B$4*E448</f>
        <v>10760</v>
      </c>
      <c r="P448">
        <f t="shared" si="3"/>
        <v>65536</v>
      </c>
      <c r="Q448" s="5"/>
      <c r="R448" s="5"/>
      <c r="S448" s="3">
        <v>447</v>
      </c>
      <c r="T448" s="5"/>
    </row>
    <row r="449" spans="1:20" ht="12">
      <c r="A449" s="1"/>
      <c r="B449" s="1"/>
      <c r="C449" s="2">
        <f>(S449*'Prestige Patterns'!$B$20)/60</f>
        <v>224</v>
      </c>
      <c r="D449" s="2">
        <f>IF(L448=L449,N448*'Prestige Patterns'!$B$20+D448-F449,0)</f>
        <v>3686916014666.8608</v>
      </c>
      <c r="E449" s="3">
        <f t="shared" si="1"/>
        <v>541</v>
      </c>
      <c r="F449" s="8">
        <f>'Prestige Patterns'!$B$5*('Prestige Patterns'!$B$6^E448-'Prestige Patterns'!$B$6^(E448+G449))/(1-'Prestige Patterns'!$B$6)</f>
        <v>3166343199525.4878</v>
      </c>
      <c r="G449" s="8">
        <f>FLOOR(LOG('Prestige Patterns'!$B$6^(E448) - (D448*(1-'Prestige Patterns'!$B$6)/'Prestige Patterns'!$B$5),'Prestige Patterns'!$B$6)-E448,1)</f>
        <v>3</v>
      </c>
      <c r="H449">
        <f t="shared" si="2"/>
        <v>14277</v>
      </c>
      <c r="I449" s="5">
        <f>1+H449*'Prestige Patterns'!$B$25</f>
        <v>143.77000000000001</v>
      </c>
      <c r="J449">
        <f>FLOOR((K449/'Prestige Patterns'!$B$22)^'Prestige Patterns'!$B$23,1)-H448</f>
        <v>7751</v>
      </c>
      <c r="K449" s="8">
        <f>K448+N448*'Prestige Patterns'!$B$20</f>
        <v>48523676985354</v>
      </c>
      <c r="L449" s="2">
        <f>IF(J448&gt;='Prestige Patterns'!$B$28,IF(J448/(H448+1)&gt;('Prestige Patterns'!$B$27+1),L448+1,L448),L448)</f>
        <v>7</v>
      </c>
      <c r="N449">
        <f t="shared" si="0"/>
        <v>101947237990.40001</v>
      </c>
      <c r="O449" s="3">
        <f>'Prestige Patterns'!$B$4*E449</f>
        <v>10820</v>
      </c>
      <c r="P449">
        <f t="shared" si="3"/>
        <v>65536</v>
      </c>
      <c r="Q449" s="5"/>
      <c r="R449" s="5"/>
      <c r="S449" s="3">
        <v>448</v>
      </c>
      <c r="T449" s="5"/>
    </row>
    <row r="450" spans="1:20" ht="12">
      <c r="A450" s="1"/>
      <c r="B450" s="1"/>
      <c r="C450" s="2">
        <f>(S450*'Prestige Patterns'!$B$20)/60</f>
        <v>224.5</v>
      </c>
      <c r="D450" s="2">
        <f>IF(L449=L450,N449*'Prestige Patterns'!$B$20+D449-F450,0)</f>
        <v>3079895108028.1763</v>
      </c>
      <c r="E450" s="3">
        <f t="shared" si="1"/>
        <v>544</v>
      </c>
      <c r="F450" s="8">
        <f>'Prestige Patterns'!$B$5*('Prestige Patterns'!$B$6^E449-'Prestige Patterns'!$B$6^(E449+G450))/(1-'Prestige Patterns'!$B$6)</f>
        <v>3665438046350.6851</v>
      </c>
      <c r="G450" s="8">
        <f>FLOOR(LOG('Prestige Patterns'!$B$6^(E449) - (D449*(1-'Prestige Patterns'!$B$6)/'Prestige Patterns'!$B$5),'Prestige Patterns'!$B$6)-E449,1)</f>
        <v>3</v>
      </c>
      <c r="H450">
        <f t="shared" si="2"/>
        <v>14277</v>
      </c>
      <c r="I450" s="5">
        <f>1+H450*'Prestige Patterns'!$B$25</f>
        <v>143.77000000000001</v>
      </c>
      <c r="J450">
        <f>FLOOR((K450/'Prestige Patterns'!$B$22)^'Prestige Patterns'!$B$23,1)-H449</f>
        <v>8434</v>
      </c>
      <c r="K450" s="8">
        <f>K449+N449*'Prestige Patterns'!$B$20</f>
        <v>51582094125066</v>
      </c>
      <c r="L450" s="2">
        <f>IF(J449&gt;='Prestige Patterns'!$B$28,IF(J449/(H449+1)&gt;('Prestige Patterns'!$B$27+1),L449+1,L449),L449)</f>
        <v>7</v>
      </c>
      <c r="N450">
        <f t="shared" si="0"/>
        <v>102512564633.60001</v>
      </c>
      <c r="O450" s="3">
        <f>'Prestige Patterns'!$B$4*E450</f>
        <v>10880</v>
      </c>
      <c r="P450">
        <f t="shared" si="3"/>
        <v>65536</v>
      </c>
      <c r="Q450" s="5"/>
      <c r="R450" s="5"/>
      <c r="S450" s="3">
        <v>449</v>
      </c>
      <c r="T450" s="5"/>
    </row>
    <row r="451" spans="1:20" ht="12">
      <c r="A451" s="1"/>
      <c r="B451" s="1"/>
      <c r="C451" s="2">
        <f>(S451*'Prestige Patterns'!$B$20)/60</f>
        <v>225</v>
      </c>
      <c r="D451" s="2">
        <f>IF(L450=L451,N450*'Prestige Patterns'!$B$20+D450-F451,0)</f>
        <v>3396012547358.5317</v>
      </c>
      <c r="E451" s="3">
        <f t="shared" si="1"/>
        <v>546</v>
      </c>
      <c r="F451" s="8">
        <f>'Prestige Patterns'!$B$5*('Prestige Patterns'!$B$6^E450-'Prestige Patterns'!$B$6^(E450+G451))/(1-'Prestige Patterns'!$B$6)</f>
        <v>2759259499677.644</v>
      </c>
      <c r="G451" s="8">
        <f>FLOOR(LOG('Prestige Patterns'!$B$6^(E450) - (D450*(1-'Prestige Patterns'!$B$6)/'Prestige Patterns'!$B$5),'Prestige Patterns'!$B$6)-E450,1)</f>
        <v>2</v>
      </c>
      <c r="H451">
        <f t="shared" si="2"/>
        <v>14277</v>
      </c>
      <c r="I451" s="5">
        <f>1+H451*'Prestige Patterns'!$B$25</f>
        <v>143.77000000000001</v>
      </c>
      <c r="J451">
        <f>FLOOR((K451/'Prestige Patterns'!$B$22)^'Prestige Patterns'!$B$23,1)-H450</f>
        <v>9101</v>
      </c>
      <c r="K451" s="8">
        <f>K450+N450*'Prestige Patterns'!$B$20</f>
        <v>54657471064074</v>
      </c>
      <c r="L451" s="2">
        <f>IF(J450&gt;='Prestige Patterns'!$B$28,IF(J450/(H450+1)&gt;('Prestige Patterns'!$B$27+1),L450+1,L450),L450)</f>
        <v>7</v>
      </c>
      <c r="N451">
        <f t="shared" si="0"/>
        <v>102889449062.40001</v>
      </c>
      <c r="O451" s="3">
        <f>'Prestige Patterns'!$B$4*E451</f>
        <v>10920</v>
      </c>
      <c r="P451">
        <f t="shared" si="3"/>
        <v>65536</v>
      </c>
      <c r="Q451" s="5"/>
      <c r="R451" s="5"/>
      <c r="S451" s="3">
        <v>450</v>
      </c>
      <c r="T451" s="5"/>
    </row>
    <row r="452" spans="1:20" ht="12">
      <c r="A452" s="1"/>
      <c r="B452" s="1"/>
      <c r="C452" s="2">
        <f>(S452*'Prestige Patterns'!$B$20)/60</f>
        <v>225.5</v>
      </c>
      <c r="D452" s="2">
        <f>IF(L451=L452,N451*'Prestige Patterns'!$B$20+D451-F452,0)</f>
        <v>3440612420835.9307</v>
      </c>
      <c r="E452" s="3">
        <f t="shared" si="1"/>
        <v>548</v>
      </c>
      <c r="F452" s="8">
        <f>'Prestige Patterns'!$B$5*('Prestige Patterns'!$B$6^E451-'Prestige Patterns'!$B$6^(E451+G452))/(1-'Prestige Patterns'!$B$6)</f>
        <v>3042083598394.6016</v>
      </c>
      <c r="G452" s="8">
        <f>FLOOR(LOG('Prestige Patterns'!$B$6^(E451) - (D451*(1-'Prestige Patterns'!$B$6)/'Prestige Patterns'!$B$5),'Prestige Patterns'!$B$6)-E451,1)</f>
        <v>2</v>
      </c>
      <c r="H452">
        <f t="shared" si="2"/>
        <v>14277</v>
      </c>
      <c r="I452" s="5">
        <f>1+H452*'Prestige Patterns'!$B$25</f>
        <v>143.77000000000001</v>
      </c>
      <c r="J452">
        <f>FLOOR((K452/'Prestige Patterns'!$B$22)^'Prestige Patterns'!$B$23,1)-H451</f>
        <v>9753</v>
      </c>
      <c r="K452" s="8">
        <f>K451+N451*'Prestige Patterns'!$B$20</f>
        <v>57744154535946</v>
      </c>
      <c r="L452" s="2">
        <f>IF(J451&gt;='Prestige Patterns'!$B$28,IF(J451/(H451+1)&gt;('Prestige Patterns'!$B$27+1),L451+1,L451),L451)</f>
        <v>7</v>
      </c>
      <c r="N452">
        <f t="shared" si="0"/>
        <v>103266333491.20001</v>
      </c>
      <c r="O452" s="3">
        <f>'Prestige Patterns'!$B$4*E452</f>
        <v>10960</v>
      </c>
      <c r="P452">
        <f t="shared" si="3"/>
        <v>65536</v>
      </c>
      <c r="Q452" s="5"/>
      <c r="R452" s="5"/>
      <c r="S452" s="3">
        <v>451</v>
      </c>
      <c r="T452" s="5"/>
    </row>
    <row r="453" spans="1:20" ht="12">
      <c r="A453" s="1"/>
      <c r="B453" s="1"/>
      <c r="C453" s="2">
        <f>(S453*'Prestige Patterns'!$B$20)/60</f>
        <v>226</v>
      </c>
      <c r="D453" s="2">
        <f>IF(L452=L453,N452*'Prestige Patterns'!$B$20+D452-F453,0)</f>
        <v>3184705258341.8857</v>
      </c>
      <c r="E453" s="3">
        <f t="shared" si="1"/>
        <v>550</v>
      </c>
      <c r="F453" s="8">
        <f>'Prestige Patterns'!$B$5*('Prestige Patterns'!$B$6^E452-'Prestige Patterns'!$B$6^(E452+G453))/(1-'Prestige Patterns'!$B$6)</f>
        <v>3353897167230.0459</v>
      </c>
      <c r="G453" s="8">
        <f>FLOOR(LOG('Prestige Patterns'!$B$6^(E452) - (D452*(1-'Prestige Patterns'!$B$6)/'Prestige Patterns'!$B$5),'Prestige Patterns'!$B$6)-E452,1)</f>
        <v>2</v>
      </c>
      <c r="H453">
        <f t="shared" si="2"/>
        <v>14277</v>
      </c>
      <c r="I453" s="5">
        <f>1+H453*'Prestige Patterns'!$B$25</f>
        <v>143.77000000000001</v>
      </c>
      <c r="J453">
        <f>FLOOR((K453/'Prestige Patterns'!$B$22)^'Prestige Patterns'!$B$23,1)-H452</f>
        <v>10389</v>
      </c>
      <c r="K453" s="8">
        <f>K452+N452*'Prestige Patterns'!$B$20</f>
        <v>60842144540682</v>
      </c>
      <c r="L453" s="2">
        <f>IF(J452&gt;='Prestige Patterns'!$B$28,IF(J452/(H452+1)&gt;('Prestige Patterns'!$B$27+1),L452+1,L452),L452)</f>
        <v>7</v>
      </c>
      <c r="N453">
        <f t="shared" si="0"/>
        <v>103643217920</v>
      </c>
      <c r="O453" s="3">
        <f>'Prestige Patterns'!$B$4*E453</f>
        <v>11000</v>
      </c>
      <c r="P453">
        <f t="shared" si="3"/>
        <v>65536</v>
      </c>
      <c r="Q453" s="5"/>
      <c r="R453" s="5"/>
      <c r="S453" s="3">
        <v>452</v>
      </c>
      <c r="T453" s="5"/>
    </row>
    <row r="454" spans="1:20" ht="12">
      <c r="A454" s="1"/>
      <c r="B454" s="1"/>
      <c r="C454" s="2">
        <f>(S454*'Prestige Patterns'!$B$20)/60</f>
        <v>226.5</v>
      </c>
      <c r="D454" s="2">
        <f>IF(L453=L454,N453*'Prestige Patterns'!$B$20+D453-F454,0)</f>
        <v>4490259538931.5752</v>
      </c>
      <c r="E454" s="3">
        <f t="shared" si="1"/>
        <v>551</v>
      </c>
      <c r="F454" s="8">
        <f>'Prestige Patterns'!$B$5*('Prestige Patterns'!$B$6^E453-'Prestige Patterns'!$B$6^(E453+G454))/(1-'Prestige Patterns'!$B$6)</f>
        <v>1803742257010.3108</v>
      </c>
      <c r="G454" s="8">
        <f>FLOOR(LOG('Prestige Patterns'!$B$6^(E453) - (D453*(1-'Prestige Patterns'!$B$6)/'Prestige Patterns'!$B$5),'Prestige Patterns'!$B$6)-E453,1)</f>
        <v>1</v>
      </c>
      <c r="H454">
        <f t="shared" si="2"/>
        <v>14277</v>
      </c>
      <c r="I454" s="5">
        <f>1+H454*'Prestige Patterns'!$B$25</f>
        <v>143.77000000000001</v>
      </c>
      <c r="J454">
        <f>FLOOR((K454/'Prestige Patterns'!$B$22)^'Prestige Patterns'!$B$23,1)-H453</f>
        <v>11011</v>
      </c>
      <c r="K454" s="8">
        <f>K453+N453*'Prestige Patterns'!$B$20</f>
        <v>63951441078282</v>
      </c>
      <c r="L454" s="2">
        <f>IF(J453&gt;='Prestige Patterns'!$B$28,IF(J453/(H453+1)&gt;('Prestige Patterns'!$B$27+1),L453+1,L453),L453)</f>
        <v>7</v>
      </c>
      <c r="N454">
        <f t="shared" si="0"/>
        <v>103831660134.40001</v>
      </c>
      <c r="O454" s="3">
        <f>'Prestige Patterns'!$B$4*E454</f>
        <v>11020</v>
      </c>
      <c r="P454">
        <f t="shared" si="3"/>
        <v>65536</v>
      </c>
      <c r="Q454" s="5"/>
      <c r="R454" s="5"/>
      <c r="S454" s="3">
        <v>453</v>
      </c>
      <c r="T454" s="5"/>
    </row>
    <row r="455" spans="1:20" ht="12">
      <c r="A455" s="1"/>
      <c r="B455" s="1"/>
      <c r="C455" s="2">
        <f>(S455*'Prestige Patterns'!$B$20)/60</f>
        <v>227</v>
      </c>
      <c r="D455" s="2">
        <f>IF(L454=L455,N454*'Prestige Patterns'!$B$20+D454-F455,0)</f>
        <v>3722654134748.8921</v>
      </c>
      <c r="E455" s="3">
        <f t="shared" si="1"/>
        <v>553</v>
      </c>
      <c r="F455" s="8">
        <f>'Prestige Patterns'!$B$5*('Prestige Patterns'!$B$6^E454-'Prestige Patterns'!$B$6^(E454+G455))/(1-'Prestige Patterns'!$B$6)</f>
        <v>3882555208214.6841</v>
      </c>
      <c r="G455" s="8">
        <f>FLOOR(LOG('Prestige Patterns'!$B$6^(E454) - (D454*(1-'Prestige Patterns'!$B$6)/'Prestige Patterns'!$B$5),'Prestige Patterns'!$B$6)-E454,1)</f>
        <v>2</v>
      </c>
      <c r="H455">
        <f t="shared" si="2"/>
        <v>14277</v>
      </c>
      <c r="I455" s="5">
        <f>1+H455*'Prestige Patterns'!$B$25</f>
        <v>143.77000000000001</v>
      </c>
      <c r="J455">
        <f>FLOOR((K455/'Prestige Patterns'!$B$22)^'Prestige Patterns'!$B$23,1)-H454</f>
        <v>11620</v>
      </c>
      <c r="K455" s="8">
        <f>K454+N454*'Prestige Patterns'!$B$20</f>
        <v>67066390882314</v>
      </c>
      <c r="L455" s="2">
        <f>IF(J454&gt;='Prestige Patterns'!$B$28,IF(J454/(H454+1)&gt;('Prestige Patterns'!$B$27+1),L454+1,L454),L454)</f>
        <v>7</v>
      </c>
      <c r="N455">
        <f t="shared" si="0"/>
        <v>104208544563.20001</v>
      </c>
      <c r="O455" s="3">
        <f>'Prestige Patterns'!$B$4*E455</f>
        <v>11060</v>
      </c>
      <c r="P455">
        <f t="shared" si="3"/>
        <v>65536</v>
      </c>
      <c r="Q455" s="5"/>
      <c r="R455" s="5"/>
      <c r="S455" s="3">
        <v>454</v>
      </c>
      <c r="T455" s="5"/>
    </row>
    <row r="456" spans="1:20" ht="12">
      <c r="A456" s="1"/>
      <c r="B456" s="1"/>
      <c r="C456" s="2">
        <f>(S456*'Prestige Patterns'!$B$20)/60</f>
        <v>227.5</v>
      </c>
      <c r="D456" s="2">
        <f>IF(L455=L456,N455*'Prestige Patterns'!$B$20+D455-F456,0)</f>
        <v>4760853341373.3369</v>
      </c>
      <c r="E456" s="3">
        <f t="shared" si="1"/>
        <v>554</v>
      </c>
      <c r="F456" s="8">
        <f>'Prestige Patterns'!$B$5*('Prestige Patterns'!$B$6^E455-'Prestige Patterns'!$B$6^(E455+G456))/(1-'Prestige Patterns'!$B$6)</f>
        <v>2088057130271.5557</v>
      </c>
      <c r="G456" s="8">
        <f>FLOOR(LOG('Prestige Patterns'!$B$6^(E455) - (D455*(1-'Prestige Patterns'!$B$6)/'Prestige Patterns'!$B$5),'Prestige Patterns'!$B$6)-E455,1)</f>
        <v>1</v>
      </c>
      <c r="H456">
        <f t="shared" si="2"/>
        <v>14277</v>
      </c>
      <c r="I456" s="5">
        <f>1+H456*'Prestige Patterns'!$B$25</f>
        <v>143.77000000000001</v>
      </c>
      <c r="J456">
        <f>FLOOR((K456/'Prestige Patterns'!$B$22)^'Prestige Patterns'!$B$23,1)-H455</f>
        <v>12216</v>
      </c>
      <c r="K456" s="8">
        <f>K455+N455*'Prestige Patterns'!$B$20</f>
        <v>70192647219210</v>
      </c>
      <c r="L456" s="2">
        <f>IF(J455&gt;='Prestige Patterns'!$B$28,IF(J455/(H455+1)&gt;('Prestige Patterns'!$B$27+1),L455+1,L455),L455)</f>
        <v>7</v>
      </c>
      <c r="N456">
        <f t="shared" si="0"/>
        <v>104396986777.60001</v>
      </c>
      <c r="O456" s="3">
        <f>'Prestige Patterns'!$B$4*E456</f>
        <v>11080</v>
      </c>
      <c r="P456">
        <f t="shared" si="3"/>
        <v>65536</v>
      </c>
      <c r="Q456" s="5"/>
      <c r="R456" s="5"/>
      <c r="S456" s="3">
        <v>455</v>
      </c>
      <c r="T456" s="5"/>
    </row>
    <row r="457" spans="1:20" ht="12">
      <c r="A457" s="1"/>
      <c r="B457" s="1"/>
      <c r="C457" s="2">
        <f>(S457*'Prestige Patterns'!$B$20)/60</f>
        <v>228</v>
      </c>
      <c r="D457" s="2">
        <f>IF(L456=L457,N456*'Prestige Patterns'!$B$20+D456-F457,0)</f>
        <v>3398219971791.8145</v>
      </c>
      <c r="E457" s="3">
        <f t="shared" si="1"/>
        <v>556</v>
      </c>
      <c r="F457" s="8">
        <f>'Prestige Patterns'!$B$5*('Prestige Patterns'!$B$6^E456-'Prestige Patterns'!$B$6^(E456+G457))/(1-'Prestige Patterns'!$B$6)</f>
        <v>4494542972909.5225</v>
      </c>
      <c r="G457" s="8">
        <f>FLOOR(LOG('Prestige Patterns'!$B$6^(E456) - (D456*(1-'Prestige Patterns'!$B$6)/'Prestige Patterns'!$B$5),'Prestige Patterns'!$B$6)-E456,1)</f>
        <v>2</v>
      </c>
      <c r="H457">
        <f t="shared" si="2"/>
        <v>14277</v>
      </c>
      <c r="I457" s="5">
        <f>1+H457*'Prestige Patterns'!$B$25</f>
        <v>143.77000000000001</v>
      </c>
      <c r="J457">
        <f>FLOOR((K457/'Prestige Patterns'!$B$22)^'Prestige Patterns'!$B$23,1)-H456</f>
        <v>12801</v>
      </c>
      <c r="K457" s="8">
        <f>K456+N456*'Prestige Patterns'!$B$20</f>
        <v>73324556822538</v>
      </c>
      <c r="L457" s="2">
        <f>IF(J456&gt;='Prestige Patterns'!$B$28,IF(J456/(H456+1)&gt;('Prestige Patterns'!$B$27+1),L456+1,L456),L456)</f>
        <v>7</v>
      </c>
      <c r="N457">
        <f t="shared" si="0"/>
        <v>104773871206.40001</v>
      </c>
      <c r="O457" s="3">
        <f>'Prestige Patterns'!$B$4*E457</f>
        <v>11120</v>
      </c>
      <c r="P457">
        <f t="shared" si="3"/>
        <v>65536</v>
      </c>
      <c r="Q457" s="5"/>
      <c r="R457" s="5"/>
      <c r="S457" s="3">
        <v>456</v>
      </c>
      <c r="T457" s="5"/>
    </row>
    <row r="458" spans="1:20" ht="12">
      <c r="A458" s="1"/>
      <c r="B458" s="1"/>
      <c r="C458" s="2">
        <f>(S458*'Prestige Patterns'!$B$20)/60</f>
        <v>228.5</v>
      </c>
      <c r="D458" s="2">
        <f>IF(L457=L458,N457*'Prestige Patterns'!$B$20+D457-F458,0)</f>
        <v>4124248972553.1914</v>
      </c>
      <c r="E458" s="3">
        <f t="shared" si="1"/>
        <v>557</v>
      </c>
      <c r="F458" s="8">
        <f>'Prestige Patterns'!$B$5*('Prestige Patterns'!$B$6^E457-'Prestige Patterns'!$B$6^(E457+G458))/(1-'Prestige Patterns'!$B$6)</f>
        <v>2417187135430.623</v>
      </c>
      <c r="G458" s="8">
        <f>FLOOR(LOG('Prestige Patterns'!$B$6^(E457) - (D457*(1-'Prestige Patterns'!$B$6)/'Prestige Patterns'!$B$5),'Prestige Patterns'!$B$6)-E457,1)</f>
        <v>1</v>
      </c>
      <c r="H458">
        <f t="shared" si="2"/>
        <v>14277</v>
      </c>
      <c r="I458" s="5">
        <f>1+H458*'Prestige Patterns'!$B$25</f>
        <v>143.77000000000001</v>
      </c>
      <c r="J458">
        <f>FLOOR((K458/'Prestige Patterns'!$B$22)^'Prestige Patterns'!$B$23,1)-H457</f>
        <v>13375</v>
      </c>
      <c r="K458" s="8">
        <f>K457+N457*'Prestige Patterns'!$B$20</f>
        <v>76467772958730</v>
      </c>
      <c r="L458" s="2">
        <f>IF(J457&gt;='Prestige Patterns'!$B$28,IF(J457/(H457+1)&gt;('Prestige Patterns'!$B$27+1),L457+1,L457),L457)</f>
        <v>7</v>
      </c>
      <c r="N458">
        <f t="shared" si="0"/>
        <v>104962313420.8</v>
      </c>
      <c r="O458" s="3">
        <f>'Prestige Patterns'!$B$4*E458</f>
        <v>11140</v>
      </c>
      <c r="P458">
        <f t="shared" si="3"/>
        <v>65536</v>
      </c>
      <c r="Q458" s="5"/>
      <c r="R458" s="5"/>
      <c r="S458" s="3">
        <v>457</v>
      </c>
      <c r="T458" s="5"/>
    </row>
    <row r="459" spans="1:20" ht="12">
      <c r="A459" s="1"/>
      <c r="B459" s="1"/>
      <c r="C459" s="2">
        <f>(S459*'Prestige Patterns'!$B$20)/60</f>
        <v>229</v>
      </c>
      <c r="D459" s="2">
        <f>IF(L458=L459,N458*'Prestige Patterns'!$B$20+D458-F459,0)</f>
        <v>4735071882975.0645</v>
      </c>
      <c r="E459" s="3">
        <f t="shared" si="1"/>
        <v>558</v>
      </c>
      <c r="F459" s="8">
        <f>'Prestige Patterns'!$B$5*('Prestige Patterns'!$B$6^E458-'Prestige Patterns'!$B$6^(E458+G459))/(1-'Prestige Patterns'!$B$6)</f>
        <v>2538046492202.1265</v>
      </c>
      <c r="G459" s="8">
        <f>FLOOR(LOG('Prestige Patterns'!$B$6^(E458) - (D458*(1-'Prestige Patterns'!$B$6)/'Prestige Patterns'!$B$5),'Prestige Patterns'!$B$6)-E458,1)</f>
        <v>1</v>
      </c>
      <c r="H459">
        <f t="shared" si="2"/>
        <v>14277</v>
      </c>
      <c r="I459" s="5">
        <f>1+H459*'Prestige Patterns'!$B$25</f>
        <v>143.77000000000001</v>
      </c>
      <c r="J459">
        <f>FLOOR((K459/'Prestige Patterns'!$B$22)^'Prestige Patterns'!$B$23,1)-H458</f>
        <v>13939</v>
      </c>
      <c r="K459" s="8">
        <f>K458+N458*'Prestige Patterns'!$B$20</f>
        <v>79616642361354</v>
      </c>
      <c r="L459" s="2">
        <f>IF(J458&gt;='Prestige Patterns'!$B$28,IF(J458/(H458+1)&gt;('Prestige Patterns'!$B$27+1),L458+1,L458),L458)</f>
        <v>7</v>
      </c>
      <c r="N459">
        <f t="shared" si="0"/>
        <v>105150755635.20001</v>
      </c>
      <c r="O459" s="3">
        <f>'Prestige Patterns'!$B$4*E459</f>
        <v>11160</v>
      </c>
      <c r="P459">
        <f t="shared" si="3"/>
        <v>65536</v>
      </c>
      <c r="Q459" s="5"/>
      <c r="R459" s="5"/>
      <c r="S459" s="3">
        <v>458</v>
      </c>
      <c r="T459" s="5"/>
    </row>
    <row r="460" spans="1:20" ht="12">
      <c r="A460" s="1"/>
      <c r="B460" s="1"/>
      <c r="C460" s="2">
        <f>(S460*'Prestige Patterns'!$B$20)/60</f>
        <v>229.5</v>
      </c>
      <c r="D460" s="2">
        <f>IF(L459=L460,N459*'Prestige Patterns'!$B$20+D459-F460,0)</f>
        <v>5224645735218.8008</v>
      </c>
      <c r="E460" s="3">
        <f t="shared" si="1"/>
        <v>559</v>
      </c>
      <c r="F460" s="8">
        <f>'Prestige Patterns'!$B$5*('Prestige Patterns'!$B$6^E459-'Prestige Patterns'!$B$6^(E459+G460))/(1-'Prestige Patterns'!$B$6)</f>
        <v>2664948816812.2632</v>
      </c>
      <c r="G460" s="8">
        <f>FLOOR(LOG('Prestige Patterns'!$B$6^(E459) - (D459*(1-'Prestige Patterns'!$B$6)/'Prestige Patterns'!$B$5),'Prestige Patterns'!$B$6)-E459,1)</f>
        <v>1</v>
      </c>
      <c r="H460">
        <f t="shared" si="2"/>
        <v>14277</v>
      </c>
      <c r="I460" s="5">
        <f>1+H460*'Prestige Patterns'!$B$25</f>
        <v>143.77000000000001</v>
      </c>
      <c r="J460">
        <f>FLOOR((K460/'Prestige Patterns'!$B$22)^'Prestige Patterns'!$B$23,1)-H459</f>
        <v>14492</v>
      </c>
      <c r="K460" s="8">
        <f>K459+N459*'Prestige Patterns'!$B$20</f>
        <v>82771165030410</v>
      </c>
      <c r="L460" s="2">
        <f>IF(J459&gt;='Prestige Patterns'!$B$28,IF(J459/(H459+1)&gt;('Prestige Patterns'!$B$27+1),L459+1,L459),L459)</f>
        <v>7</v>
      </c>
      <c r="N460">
        <f t="shared" si="0"/>
        <v>105339197849.60001</v>
      </c>
      <c r="O460" s="3">
        <f>'Prestige Patterns'!$B$4*E460</f>
        <v>11180</v>
      </c>
      <c r="P460">
        <f t="shared" si="3"/>
        <v>65536</v>
      </c>
      <c r="Q460" s="5"/>
      <c r="R460" s="5"/>
      <c r="S460" s="3">
        <v>459</v>
      </c>
      <c r="T460" s="5"/>
    </row>
    <row r="461" spans="1:20" ht="12">
      <c r="A461" s="1"/>
      <c r="B461" s="1"/>
      <c r="C461" s="2">
        <f>(S461*'Prestige Patterns'!$B$20)/60</f>
        <v>230</v>
      </c>
      <c r="D461" s="2">
        <f>IF(L460=L461,N460*'Prestige Patterns'!$B$20+D460-F461,0)</f>
        <v>5586625413053.9414</v>
      </c>
      <c r="E461" s="3">
        <f t="shared" si="1"/>
        <v>560</v>
      </c>
      <c r="F461" s="8">
        <f>'Prestige Patterns'!$B$5*('Prestige Patterns'!$B$6^E460-'Prestige Patterns'!$B$6^(E460+G461))/(1-'Prestige Patterns'!$B$6)</f>
        <v>2798196257652.8589</v>
      </c>
      <c r="G461" s="8">
        <f>FLOOR(LOG('Prestige Patterns'!$B$6^(E460) - (D460*(1-'Prestige Patterns'!$B$6)/'Prestige Patterns'!$B$5),'Prestige Patterns'!$B$6)-E460,1)</f>
        <v>1</v>
      </c>
      <c r="H461">
        <f t="shared" si="2"/>
        <v>14277</v>
      </c>
      <c r="I461" s="5">
        <f>1+H461*'Prestige Patterns'!$B$25</f>
        <v>143.77000000000001</v>
      </c>
      <c r="J461">
        <f>FLOOR((K461/'Prestige Patterns'!$B$22)^'Prestige Patterns'!$B$23,1)-H460</f>
        <v>15037</v>
      </c>
      <c r="K461" s="8">
        <f>K460+N460*'Prestige Patterns'!$B$20</f>
        <v>85931340965898</v>
      </c>
      <c r="L461" s="2">
        <f>IF(J460&gt;='Prestige Patterns'!$B$28,IF(J460/(H460+1)&gt;('Prestige Patterns'!$B$27+1),L460+1,L460),L460)</f>
        <v>7</v>
      </c>
      <c r="N461">
        <f t="shared" si="0"/>
        <v>105527640064</v>
      </c>
      <c r="O461" s="3">
        <f>'Prestige Patterns'!$B$4*E461</f>
        <v>11200</v>
      </c>
      <c r="P461">
        <f t="shared" si="3"/>
        <v>65536</v>
      </c>
      <c r="Q461" s="5"/>
      <c r="R461" s="5"/>
      <c r="S461" s="3">
        <v>460</v>
      </c>
      <c r="T461" s="5"/>
    </row>
    <row r="462" spans="1:20" ht="12">
      <c r="A462" s="1"/>
      <c r="B462" s="1"/>
      <c r="C462" s="2">
        <f>(S462*'Prestige Patterns'!$B$20)/60</f>
        <v>230.5</v>
      </c>
      <c r="D462" s="2">
        <f>IF(L461=L462,N461*'Prestige Patterns'!$B$20+D461-F462,0)</f>
        <v>5814348544438.4355</v>
      </c>
      <c r="E462" s="3">
        <f t="shared" si="1"/>
        <v>561</v>
      </c>
      <c r="F462" s="8">
        <f>'Prestige Patterns'!$B$5*('Prestige Patterns'!$B$6^E461-'Prestige Patterns'!$B$6^(E461+G462))/(1-'Prestige Patterns'!$B$6)</f>
        <v>2938106070535.5054</v>
      </c>
      <c r="G462" s="8">
        <f>FLOOR(LOG('Prestige Patterns'!$B$6^(E461) - (D461*(1-'Prestige Patterns'!$B$6)/'Prestige Patterns'!$B$5),'Prestige Patterns'!$B$6)-E461,1)</f>
        <v>1</v>
      </c>
      <c r="H462">
        <f t="shared" si="2"/>
        <v>14277</v>
      </c>
      <c r="I462" s="5">
        <f>1+H462*'Prestige Patterns'!$B$25</f>
        <v>143.77000000000001</v>
      </c>
      <c r="J462">
        <f>FLOOR((K462/'Prestige Patterns'!$B$22)^'Prestige Patterns'!$B$23,1)-H461</f>
        <v>15572</v>
      </c>
      <c r="K462" s="8">
        <f>K461+N461*'Prestige Patterns'!$B$20</f>
        <v>89097170167818</v>
      </c>
      <c r="L462" s="2">
        <f>IF(J461&gt;='Prestige Patterns'!$B$28,IF(J461/(H461+1)&gt;('Prestige Patterns'!$B$27+1),L461+1,L461),L461)</f>
        <v>7</v>
      </c>
      <c r="N462">
        <f t="shared" si="0"/>
        <v>105716082278.40001</v>
      </c>
      <c r="O462" s="3">
        <f>'Prestige Patterns'!$B$4*E462</f>
        <v>11220</v>
      </c>
      <c r="P462">
        <f t="shared" si="3"/>
        <v>65536</v>
      </c>
      <c r="Q462" s="5"/>
      <c r="R462" s="5"/>
      <c r="S462" s="3">
        <v>461</v>
      </c>
      <c r="T462" s="5"/>
    </row>
    <row r="463" spans="1:20" ht="12">
      <c r="A463" s="1"/>
      <c r="B463" s="1"/>
      <c r="C463" s="2">
        <f>(S463*'Prestige Patterns'!$B$20)/60</f>
        <v>231</v>
      </c>
      <c r="D463" s="2">
        <f>IF(L462=L463,N462*'Prestige Patterns'!$B$20+D462-F463,0)</f>
        <v>5900819638728.1631</v>
      </c>
      <c r="E463" s="3">
        <f t="shared" si="1"/>
        <v>562</v>
      </c>
      <c r="F463" s="8">
        <f>'Prestige Patterns'!$B$5*('Prestige Patterns'!$B$6^E462-'Prestige Patterns'!$B$6^(E462+G463))/(1-'Prestige Patterns'!$B$6)</f>
        <v>3085011374062.2725</v>
      </c>
      <c r="G463" s="8">
        <f>FLOOR(LOG('Prestige Patterns'!$B$6^(E462) - (D462*(1-'Prestige Patterns'!$B$6)/'Prestige Patterns'!$B$5),'Prestige Patterns'!$B$6)-E462,1)</f>
        <v>1</v>
      </c>
      <c r="H463">
        <f t="shared" si="2"/>
        <v>14277</v>
      </c>
      <c r="I463" s="5">
        <f>1+H463*'Prestige Patterns'!$B$25</f>
        <v>143.77000000000001</v>
      </c>
      <c r="J463">
        <f>FLOOR((K463/'Prestige Patterns'!$B$22)^'Prestige Patterns'!$B$23,1)-H462</f>
        <v>16098</v>
      </c>
      <c r="K463" s="8">
        <f>K462+N462*'Prestige Patterns'!$B$20</f>
        <v>92268652636170</v>
      </c>
      <c r="L463" s="2">
        <f>IF(J462&gt;='Prestige Patterns'!$B$28,IF(J462/(H462+1)&gt;('Prestige Patterns'!$B$27+1),L462+1,L462),L462)</f>
        <v>7</v>
      </c>
      <c r="N463">
        <f t="shared" si="0"/>
        <v>105904524492.8</v>
      </c>
      <c r="O463" s="3">
        <f>'Prestige Patterns'!$B$4*E463</f>
        <v>11240</v>
      </c>
      <c r="P463">
        <f t="shared" si="3"/>
        <v>65536</v>
      </c>
      <c r="Q463" s="5"/>
      <c r="R463" s="5"/>
      <c r="S463" s="3">
        <v>462</v>
      </c>
      <c r="T463" s="5"/>
    </row>
    <row r="464" spans="1:20" ht="12">
      <c r="A464" s="1"/>
      <c r="B464" s="1"/>
      <c r="C464" s="2">
        <f>(S464*'Prestige Patterns'!$B$20)/60</f>
        <v>231.5</v>
      </c>
      <c r="D464" s="2">
        <f>IF(L463=L464,N463*'Prestige Patterns'!$B$20+D463-F464,0)</f>
        <v>5838693430746.7666</v>
      </c>
      <c r="E464" s="3">
        <f t="shared" si="1"/>
        <v>563</v>
      </c>
      <c r="F464" s="8">
        <f>'Prestige Patterns'!$B$5*('Prestige Patterns'!$B$6^E463-'Prestige Patterns'!$B$6^(E463+G464))/(1-'Prestige Patterns'!$B$6)</f>
        <v>3239261942765.3975</v>
      </c>
      <c r="G464" s="8">
        <f>FLOOR(LOG('Prestige Patterns'!$B$6^(E463) - (D463*(1-'Prestige Patterns'!$B$6)/'Prestige Patterns'!$B$5),'Prestige Patterns'!$B$6)-E463,1)</f>
        <v>1</v>
      </c>
      <c r="H464">
        <f t="shared" si="2"/>
        <v>14277</v>
      </c>
      <c r="I464" s="5">
        <f>1+H464*'Prestige Patterns'!$B$25</f>
        <v>143.77000000000001</v>
      </c>
      <c r="J464">
        <f>FLOOR((K464/'Prestige Patterns'!$B$22)^'Prestige Patterns'!$B$23,1)-H463</f>
        <v>16617</v>
      </c>
      <c r="K464" s="8">
        <f>K463+N463*'Prestige Patterns'!$B$20</f>
        <v>95445788370954</v>
      </c>
      <c r="L464" s="2">
        <f>IF(J463&gt;='Prestige Patterns'!$B$28,IF(J463/(H463+1)&gt;('Prestige Patterns'!$B$27+1),L463+1,L463),L463)</f>
        <v>7</v>
      </c>
      <c r="N464">
        <f t="shared" si="0"/>
        <v>106092966707.20001</v>
      </c>
      <c r="O464" s="3">
        <f>'Prestige Patterns'!$B$4*E464</f>
        <v>11260</v>
      </c>
      <c r="P464">
        <f t="shared" si="3"/>
        <v>65536</v>
      </c>
      <c r="Q464" s="5"/>
      <c r="R464" s="5"/>
      <c r="S464" s="3">
        <v>463</v>
      </c>
      <c r="T464" s="5"/>
    </row>
    <row r="465" spans="1:20" ht="12">
      <c r="A465" s="1"/>
      <c r="B465" s="1"/>
      <c r="C465" s="2">
        <f>(S465*'Prestige Patterns'!$B$20)/60</f>
        <v>232</v>
      </c>
      <c r="D465" s="2">
        <f>IF(L464=L465,N464*'Prestige Patterns'!$B$20+D464-F465,0)</f>
        <v>5620257392059.1084</v>
      </c>
      <c r="E465" s="3">
        <f t="shared" si="1"/>
        <v>564</v>
      </c>
      <c r="F465" s="8">
        <f>'Prestige Patterns'!$B$5*('Prestige Patterns'!$B$6^E464-'Prestige Patterns'!$B$6^(E464+G465))/(1-'Prestige Patterns'!$B$6)</f>
        <v>3401225039903.6592</v>
      </c>
      <c r="G465" s="8">
        <f>FLOOR(LOG('Prestige Patterns'!$B$6^(E464) - (D464*(1-'Prestige Patterns'!$B$6)/'Prestige Patterns'!$B$5),'Prestige Patterns'!$B$6)-E464,1)</f>
        <v>1</v>
      </c>
      <c r="H465">
        <f t="shared" si="2"/>
        <v>14277</v>
      </c>
      <c r="I465" s="5">
        <f>1+H465*'Prestige Patterns'!$B$25</f>
        <v>143.77000000000001</v>
      </c>
      <c r="J465">
        <f>FLOOR((K465/'Prestige Patterns'!$B$22)^'Prestige Patterns'!$B$23,1)-H464</f>
        <v>17128</v>
      </c>
      <c r="K465" s="8">
        <f>K464+N464*'Prestige Patterns'!$B$20</f>
        <v>98628577372170</v>
      </c>
      <c r="L465" s="2">
        <f>IF(J464&gt;='Prestige Patterns'!$B$28,IF(J464/(H464+1)&gt;('Prestige Patterns'!$B$27+1),L464+1,L464),L464)</f>
        <v>7</v>
      </c>
      <c r="N465">
        <f t="shared" si="0"/>
        <v>106281408921.60001</v>
      </c>
      <c r="O465" s="3">
        <f>'Prestige Patterns'!$B$4*E465</f>
        <v>11280</v>
      </c>
      <c r="P465">
        <f t="shared" si="3"/>
        <v>65536</v>
      </c>
      <c r="Q465" s="5"/>
      <c r="R465" s="5"/>
      <c r="S465" s="3">
        <v>464</v>
      </c>
      <c r="T465" s="5"/>
    </row>
    <row r="466" spans="1:20" ht="12">
      <c r="A466" s="1"/>
      <c r="B466" s="1"/>
      <c r="C466" s="2">
        <f>(S466*'Prestige Patterns'!$B$20)/60</f>
        <v>232.5</v>
      </c>
      <c r="D466" s="2">
        <f>IF(L465=L466,N465*'Prestige Patterns'!$B$20+D465-F466,0)</f>
        <v>5237413367808.2744</v>
      </c>
      <c r="E466" s="3">
        <f t="shared" si="1"/>
        <v>565</v>
      </c>
      <c r="F466" s="8">
        <f>'Prestige Patterns'!$B$5*('Prestige Patterns'!$B$6^E465-'Prestige Patterns'!$B$6^(E465+G466))/(1-'Prestige Patterns'!$B$6)</f>
        <v>3571286291898.835</v>
      </c>
      <c r="G466" s="8">
        <f>FLOOR(LOG('Prestige Patterns'!$B$6^(E465) - (D465*(1-'Prestige Patterns'!$B$6)/'Prestige Patterns'!$B$5),'Prestige Patterns'!$B$6)-E465,1)</f>
        <v>1</v>
      </c>
      <c r="H466">
        <f t="shared" si="2"/>
        <v>14277</v>
      </c>
      <c r="I466" s="5">
        <f>1+H466*'Prestige Patterns'!$B$25</f>
        <v>143.77000000000001</v>
      </c>
      <c r="J466">
        <f>FLOOR((K466/'Prestige Patterns'!$B$22)^'Prestige Patterns'!$B$23,1)-H465</f>
        <v>17631</v>
      </c>
      <c r="K466" s="8">
        <f>K465+N465*'Prestige Patterns'!$B$20</f>
        <v>101817019639818</v>
      </c>
      <c r="L466" s="2">
        <f>IF(J465&gt;='Prestige Patterns'!$B$28,IF(J465/(H465+1)&gt;('Prestige Patterns'!$B$27+1),L465+1,L465),L465)</f>
        <v>7</v>
      </c>
      <c r="N466">
        <f t="shared" si="0"/>
        <v>106469851136</v>
      </c>
      <c r="O466" s="3">
        <f>'Prestige Patterns'!$B$4*E466</f>
        <v>11300</v>
      </c>
      <c r="P466">
        <f t="shared" si="3"/>
        <v>65536</v>
      </c>
      <c r="Q466" s="5"/>
      <c r="R466" s="5"/>
      <c r="S466" s="3">
        <v>465</v>
      </c>
      <c r="T466" s="5"/>
    </row>
    <row r="467" spans="1:20" ht="12">
      <c r="A467" s="1"/>
      <c r="B467" s="1"/>
      <c r="C467" s="2">
        <f>(S467*'Prestige Patterns'!$B$20)/60</f>
        <v>233</v>
      </c>
      <c r="D467" s="2">
        <f>IF(L466=L467,N466*'Prestige Patterns'!$B$20+D466-F467,0)</f>
        <v>4681658295394.4883</v>
      </c>
      <c r="E467" s="3">
        <f t="shared" si="1"/>
        <v>566</v>
      </c>
      <c r="F467" s="8">
        <f>'Prestige Patterns'!$B$5*('Prestige Patterns'!$B$6^E466-'Prestige Patterns'!$B$6^(E466+G467))/(1-'Prestige Patterns'!$B$6)</f>
        <v>3749850606493.7856</v>
      </c>
      <c r="G467" s="8">
        <f>FLOOR(LOG('Prestige Patterns'!$B$6^(E466) - (D466*(1-'Prestige Patterns'!$B$6)/'Prestige Patterns'!$B$5),'Prestige Patterns'!$B$6)-E466,1)</f>
        <v>1</v>
      </c>
      <c r="H467">
        <f t="shared" si="2"/>
        <v>14277</v>
      </c>
      <c r="I467" s="5">
        <f>1+H467*'Prestige Patterns'!$B$25</f>
        <v>143.77000000000001</v>
      </c>
      <c r="J467">
        <f>FLOOR((K467/'Prestige Patterns'!$B$22)^'Prestige Patterns'!$B$23,1)-H466</f>
        <v>18128</v>
      </c>
      <c r="K467" s="8">
        <f>K466+N466*'Prestige Patterns'!$B$20</f>
        <v>105011115173898</v>
      </c>
      <c r="L467" s="2">
        <f>IF(J466&gt;='Prestige Patterns'!$B$28,IF(J466/(H466+1)&gt;('Prestige Patterns'!$B$27+1),L466+1,L466),L466)</f>
        <v>7</v>
      </c>
      <c r="N467">
        <f t="shared" si="0"/>
        <v>106658293350.40001</v>
      </c>
      <c r="O467" s="3">
        <f>'Prestige Patterns'!$B$4*E467</f>
        <v>11320</v>
      </c>
      <c r="P467">
        <f t="shared" si="3"/>
        <v>65536</v>
      </c>
      <c r="Q467" s="5"/>
      <c r="R467" s="5"/>
      <c r="S467" s="3">
        <v>466</v>
      </c>
      <c r="T467" s="5"/>
    </row>
    <row r="468" spans="1:20" ht="12">
      <c r="A468" s="1"/>
      <c r="B468" s="1"/>
      <c r="C468" s="2">
        <f>(S468*'Prestige Patterns'!$B$20)/60</f>
        <v>233.5</v>
      </c>
      <c r="D468" s="2">
        <f>IF(L467=L468,N467*'Prestige Patterns'!$B$20+D467-F468,0)</f>
        <v>3944063959087.9956</v>
      </c>
      <c r="E468" s="3">
        <f t="shared" si="1"/>
        <v>567</v>
      </c>
      <c r="F468" s="8">
        <f>'Prestige Patterns'!$B$5*('Prestige Patterns'!$B$6^E467-'Prestige Patterns'!$B$6^(E467+G468))/(1-'Prestige Patterns'!$B$6)</f>
        <v>3937343136818.4927</v>
      </c>
      <c r="G468" s="8">
        <f>FLOOR(LOG('Prestige Patterns'!$B$6^(E467) - (D467*(1-'Prestige Patterns'!$B$6)/'Prestige Patterns'!$B$5),'Prestige Patterns'!$B$6)-E467,1)</f>
        <v>1</v>
      </c>
      <c r="H468">
        <f t="shared" si="2"/>
        <v>14277</v>
      </c>
      <c r="I468" s="5">
        <f>1+H468*'Prestige Patterns'!$B$25</f>
        <v>143.77000000000001</v>
      </c>
      <c r="J468">
        <f>FLOOR((K468/'Prestige Patterns'!$B$22)^'Prestige Patterns'!$B$23,1)-H467</f>
        <v>18618</v>
      </c>
      <c r="K468" s="8">
        <f>K467+N467*'Prestige Patterns'!$B$20</f>
        <v>108210863974410</v>
      </c>
      <c r="L468" s="2">
        <f>IF(J467&gt;='Prestige Patterns'!$B$28,IF(J467/(H467+1)&gt;('Prestige Patterns'!$B$27+1),L467+1,L467),L467)</f>
        <v>7</v>
      </c>
      <c r="N468">
        <f t="shared" si="0"/>
        <v>106846735564.8</v>
      </c>
      <c r="O468" s="3">
        <f>'Prestige Patterns'!$B$4*E468</f>
        <v>11340</v>
      </c>
      <c r="P468">
        <f t="shared" si="3"/>
        <v>65536</v>
      </c>
      <c r="Q468" s="5"/>
      <c r="R468" s="5"/>
      <c r="S468" s="3">
        <v>467</v>
      </c>
      <c r="T468" s="5"/>
    </row>
    <row r="469" spans="1:20" ht="12">
      <c r="A469" s="1"/>
      <c r="B469" s="1"/>
      <c r="C469" s="2">
        <f>(S469*'Prestige Patterns'!$B$20)/60</f>
        <v>234</v>
      </c>
      <c r="D469" s="2">
        <f>IF(L468=L469,N468*'Prestige Patterns'!$B$20+D468-F469,0)</f>
        <v>7149466026031.9961</v>
      </c>
      <c r="E469" s="3">
        <f t="shared" si="1"/>
        <v>567</v>
      </c>
      <c r="F469" s="8">
        <f>'Prestige Patterns'!$B$5*('Prestige Patterns'!$B$6^E468-'Prestige Patterns'!$B$6^(E468+G469))/(1-'Prestige Patterns'!$B$6)</f>
        <v>0</v>
      </c>
      <c r="G469" s="8">
        <f>FLOOR(LOG('Prestige Patterns'!$B$6^(E468) - (D468*(1-'Prestige Patterns'!$B$6)/'Prestige Patterns'!$B$5),'Prestige Patterns'!$B$6)-E468,1)</f>
        <v>0</v>
      </c>
      <c r="H469">
        <f t="shared" si="2"/>
        <v>14277</v>
      </c>
      <c r="I469" s="5">
        <f>1+H469*'Prestige Patterns'!$B$25</f>
        <v>143.77000000000001</v>
      </c>
      <c r="J469">
        <f>FLOOR((K469/'Prestige Patterns'!$B$22)^'Prestige Patterns'!$B$23,1)-H468</f>
        <v>19102</v>
      </c>
      <c r="K469" s="8">
        <f>K468+N468*'Prestige Patterns'!$B$20</f>
        <v>111416266041354</v>
      </c>
      <c r="L469" s="2">
        <f>IF(J468&gt;='Prestige Patterns'!$B$28,IF(J468/(H468+1)&gt;('Prestige Patterns'!$B$27+1),L468+1,L468),L468)</f>
        <v>7</v>
      </c>
      <c r="N469">
        <f t="shared" si="0"/>
        <v>106846735564.8</v>
      </c>
      <c r="O469" s="3">
        <f>'Prestige Patterns'!$B$4*E469</f>
        <v>11340</v>
      </c>
      <c r="P469">
        <f t="shared" si="3"/>
        <v>65536</v>
      </c>
      <c r="Q469" s="5"/>
      <c r="R469" s="5"/>
      <c r="S469" s="3">
        <v>468</v>
      </c>
      <c r="T469" s="5"/>
    </row>
    <row r="470" spans="1:20" ht="12">
      <c r="A470" s="1"/>
      <c r="B470" s="1"/>
      <c r="C470" s="2">
        <f>(S470*'Prestige Patterns'!$B$20)/60</f>
        <v>234.5</v>
      </c>
      <c r="D470" s="2">
        <f>IF(L469=L470,N469*'Prestige Patterns'!$B$20+D469-F470,0)</f>
        <v>6220657799316.6055</v>
      </c>
      <c r="E470" s="3">
        <f t="shared" si="1"/>
        <v>568</v>
      </c>
      <c r="F470" s="8">
        <f>'Prestige Patterns'!$B$5*('Prestige Patterns'!$B$6^E469-'Prestige Patterns'!$B$6^(E469+G470))/(1-'Prestige Patterns'!$B$6)</f>
        <v>4134210293659.3906</v>
      </c>
      <c r="G470" s="8">
        <f>FLOOR(LOG('Prestige Patterns'!$B$6^(E469) - (D469*(1-'Prestige Patterns'!$B$6)/'Prestige Patterns'!$B$5),'Prestige Patterns'!$B$6)-E469,1)</f>
        <v>1</v>
      </c>
      <c r="H470">
        <f t="shared" si="2"/>
        <v>14277</v>
      </c>
      <c r="I470" s="5">
        <f>1+H470*'Prestige Patterns'!$B$25</f>
        <v>143.77000000000001</v>
      </c>
      <c r="J470">
        <f>FLOOR((K470/'Prestige Patterns'!$B$22)^'Prestige Patterns'!$B$23,1)-H469</f>
        <v>19578</v>
      </c>
      <c r="K470" s="8">
        <f>K469+N469*'Prestige Patterns'!$B$20</f>
        <v>114621668108298</v>
      </c>
      <c r="L470" s="2">
        <f>IF(J469&gt;='Prestige Patterns'!$B$28,IF(J469/(H469+1)&gt;('Prestige Patterns'!$B$27+1),L469+1,L469),L469)</f>
        <v>7</v>
      </c>
      <c r="N470">
        <f t="shared" si="0"/>
        <v>107035177779.20001</v>
      </c>
      <c r="O470" s="3">
        <f>'Prestige Patterns'!$B$4*E470</f>
        <v>11360</v>
      </c>
      <c r="P470">
        <f t="shared" si="3"/>
        <v>65536</v>
      </c>
      <c r="Q470" s="5"/>
      <c r="R470" s="5"/>
      <c r="S470" s="3">
        <v>469</v>
      </c>
      <c r="T470" s="5"/>
    </row>
    <row r="471" spans="1:20" ht="12">
      <c r="A471" s="1"/>
      <c r="B471" s="1"/>
      <c r="C471" s="2">
        <f>(S471*'Prestige Patterns'!$B$20)/60</f>
        <v>235</v>
      </c>
      <c r="D471" s="2">
        <f>IF(L470=L471,N470*'Prestige Patterns'!$B$20+D470-F471,0)</f>
        <v>5090792324350.2266</v>
      </c>
      <c r="E471" s="3">
        <f t="shared" si="1"/>
        <v>569</v>
      </c>
      <c r="F471" s="8">
        <f>'Prestige Patterns'!$B$5*('Prestige Patterns'!$B$6^E470-'Prestige Patterns'!$B$6^(E470+G471))/(1-'Prestige Patterns'!$B$6)</f>
        <v>4340920808342.3789</v>
      </c>
      <c r="G471" s="8">
        <f>FLOOR(LOG('Prestige Patterns'!$B$6^(E470) - (D470*(1-'Prestige Patterns'!$B$6)/'Prestige Patterns'!$B$5),'Prestige Patterns'!$B$6)-E470,1)</f>
        <v>1</v>
      </c>
      <c r="H471">
        <f t="shared" si="2"/>
        <v>14277</v>
      </c>
      <c r="I471" s="5">
        <f>1+H471*'Prestige Patterns'!$B$25</f>
        <v>143.77000000000001</v>
      </c>
      <c r="J471">
        <f>FLOOR((K471/'Prestige Patterns'!$B$22)^'Prestige Patterns'!$B$23,1)-H470</f>
        <v>20049</v>
      </c>
      <c r="K471" s="8">
        <f>K470+N470*'Prestige Patterns'!$B$20</f>
        <v>117832723441674</v>
      </c>
      <c r="L471" s="2">
        <f>IF(J470&gt;='Prestige Patterns'!$B$28,IF(J470/(H470+1)&gt;('Prestige Patterns'!$B$27+1),L470+1,L470),L470)</f>
        <v>7</v>
      </c>
      <c r="N471">
        <f t="shared" si="0"/>
        <v>107223619993.60001</v>
      </c>
      <c r="O471" s="3">
        <f>'Prestige Patterns'!$B$4*E471</f>
        <v>11380</v>
      </c>
      <c r="P471">
        <f t="shared" si="3"/>
        <v>65536</v>
      </c>
      <c r="Q471" s="5"/>
      <c r="R471" s="5"/>
      <c r="S471" s="3">
        <v>470</v>
      </c>
      <c r="T471" s="5"/>
    </row>
    <row r="472" spans="1:20" ht="12">
      <c r="A472" s="1"/>
      <c r="B472" s="1"/>
      <c r="C472" s="2">
        <f>(S472*'Prestige Patterns'!$B$20)/60</f>
        <v>235.5</v>
      </c>
      <c r="D472" s="2">
        <f>IF(L471=L472,N471*'Prestige Patterns'!$B$20+D471-F472,0)</f>
        <v>3749534075398.7383</v>
      </c>
      <c r="E472" s="3">
        <f t="shared" si="1"/>
        <v>570</v>
      </c>
      <c r="F472" s="8">
        <f>'Prestige Patterns'!$B$5*('Prestige Patterns'!$B$6^E471-'Prestige Patterns'!$B$6^(E471+G472))/(1-'Prestige Patterns'!$B$6)</f>
        <v>4557966848759.4883</v>
      </c>
      <c r="G472" s="8">
        <f>FLOOR(LOG('Prestige Patterns'!$B$6^(E471) - (D471*(1-'Prestige Patterns'!$B$6)/'Prestige Patterns'!$B$5),'Prestige Patterns'!$B$6)-E471,1)</f>
        <v>1</v>
      </c>
      <c r="H472">
        <f t="shared" si="2"/>
        <v>14277</v>
      </c>
      <c r="I472" s="5">
        <f>1+H472*'Prestige Patterns'!$B$25</f>
        <v>143.77000000000001</v>
      </c>
      <c r="J472">
        <f>FLOOR((K472/'Prestige Patterns'!$B$22)^'Prestige Patterns'!$B$23,1)-H471</f>
        <v>20515</v>
      </c>
      <c r="K472" s="8">
        <f>K471+N471*'Prestige Patterns'!$B$20</f>
        <v>121049432041482</v>
      </c>
      <c r="L472" s="2">
        <f>IF(J471&gt;='Prestige Patterns'!$B$28,IF(J471/(H471+1)&gt;('Prestige Patterns'!$B$27+1),L471+1,L471),L471)</f>
        <v>7</v>
      </c>
      <c r="N472">
        <f t="shared" si="0"/>
        <v>107412062208.00002</v>
      </c>
      <c r="O472" s="3">
        <f>'Prestige Patterns'!$B$4*E472</f>
        <v>11400</v>
      </c>
      <c r="P472">
        <f t="shared" si="3"/>
        <v>65536</v>
      </c>
      <c r="Q472" s="5"/>
      <c r="R472" s="5"/>
      <c r="S472" s="3">
        <v>471</v>
      </c>
      <c r="T472" s="5"/>
    </row>
    <row r="473" spans="1:20" ht="12">
      <c r="A473" s="1"/>
      <c r="B473" s="1"/>
      <c r="C473" s="2">
        <f>(S473*'Prestige Patterns'!$B$20)/60</f>
        <v>236</v>
      </c>
      <c r="D473" s="2">
        <f>IF(L472=L473,N472*'Prestige Patterns'!$B$20+D472-F473,0)</f>
        <v>6971895941638.7383</v>
      </c>
      <c r="E473" s="3">
        <f t="shared" si="1"/>
        <v>570</v>
      </c>
      <c r="F473" s="8">
        <f>'Prestige Patterns'!$B$5*('Prestige Patterns'!$B$6^E472-'Prestige Patterns'!$B$6^(E472+G473))/(1-'Prestige Patterns'!$B$6)</f>
        <v>0</v>
      </c>
      <c r="G473" s="8">
        <f>FLOOR(LOG('Prestige Patterns'!$B$6^(E472) - (D472*(1-'Prestige Patterns'!$B$6)/'Prestige Patterns'!$B$5),'Prestige Patterns'!$B$6)-E472,1)</f>
        <v>0</v>
      </c>
      <c r="H473">
        <f t="shared" si="2"/>
        <v>14277</v>
      </c>
      <c r="I473" s="5">
        <f>1+H473*'Prestige Patterns'!$B$25</f>
        <v>143.77000000000001</v>
      </c>
      <c r="J473">
        <f>FLOOR((K473/'Prestige Patterns'!$B$22)^'Prestige Patterns'!$B$23,1)-H472</f>
        <v>20975</v>
      </c>
      <c r="K473" s="8">
        <f>K472+N472*'Prestige Patterns'!$B$20</f>
        <v>124271793907722</v>
      </c>
      <c r="L473" s="2">
        <f>IF(J472&gt;='Prestige Patterns'!$B$28,IF(J472/(H472+1)&gt;('Prestige Patterns'!$B$27+1),L472+1,L472),L472)</f>
        <v>7</v>
      </c>
      <c r="N473">
        <f t="shared" si="0"/>
        <v>107412062208.00002</v>
      </c>
      <c r="O473" s="3">
        <f>'Prestige Patterns'!$B$4*E473</f>
        <v>11400</v>
      </c>
      <c r="P473">
        <f t="shared" si="3"/>
        <v>65536</v>
      </c>
      <c r="Q473" s="5"/>
      <c r="R473" s="5"/>
      <c r="S473" s="3">
        <v>472</v>
      </c>
      <c r="T473" s="5"/>
    </row>
    <row r="474" spans="1:20" ht="12">
      <c r="A474" s="1"/>
      <c r="B474" s="1"/>
      <c r="C474" s="2">
        <f>(S474*'Prestige Patterns'!$B$20)/60</f>
        <v>236.5</v>
      </c>
      <c r="D474" s="2">
        <f>IF(L473=L474,N473*'Prestige Patterns'!$B$20+D473-F474,0)</f>
        <v>5408392616681.2617</v>
      </c>
      <c r="E474" s="3">
        <f t="shared" si="1"/>
        <v>571</v>
      </c>
      <c r="F474" s="8">
        <f>'Prestige Patterns'!$B$5*('Prestige Patterns'!$B$6^E473-'Prestige Patterns'!$B$6^(E473+G474))/(1-'Prestige Patterns'!$B$6)</f>
        <v>4785865191197.4766</v>
      </c>
      <c r="G474" s="8">
        <f>FLOOR(LOG('Prestige Patterns'!$B$6^(E473) - (D473*(1-'Prestige Patterns'!$B$6)/'Prestige Patterns'!$B$5),'Prestige Patterns'!$B$6)-E473,1)</f>
        <v>1</v>
      </c>
      <c r="H474">
        <f t="shared" si="2"/>
        <v>14277</v>
      </c>
      <c r="I474" s="5">
        <f>1+H474*'Prestige Patterns'!$B$25</f>
        <v>143.77000000000001</v>
      </c>
      <c r="J474">
        <f>FLOOR((K474/'Prestige Patterns'!$B$22)^'Prestige Patterns'!$B$23,1)-H473</f>
        <v>21429</v>
      </c>
      <c r="K474" s="8">
        <f>K473+N473*'Prestige Patterns'!$B$20</f>
        <v>127494155773962</v>
      </c>
      <c r="L474" s="2">
        <f>IF(J473&gt;='Prestige Patterns'!$B$28,IF(J473/(H473+1)&gt;('Prestige Patterns'!$B$27+1),L473+1,L473),L473)</f>
        <v>7</v>
      </c>
      <c r="N474">
        <f t="shared" si="0"/>
        <v>107600504422.40001</v>
      </c>
      <c r="O474" s="3">
        <f>'Prestige Patterns'!$B$4*E474</f>
        <v>11420</v>
      </c>
      <c r="P474">
        <f t="shared" si="3"/>
        <v>65536</v>
      </c>
      <c r="Q474" s="5"/>
      <c r="R474" s="5"/>
      <c r="S474" s="3">
        <v>473</v>
      </c>
      <c r="T474" s="5"/>
    </row>
    <row r="475" spans="1:20" ht="12">
      <c r="A475" s="1"/>
      <c r="B475" s="1"/>
      <c r="C475" s="2">
        <f>(S475*'Prestige Patterns'!$B$20)/60</f>
        <v>237</v>
      </c>
      <c r="D475" s="2">
        <f>IF(L474=L475,N474*'Prestige Patterns'!$B$20+D474-F475,0)</f>
        <v>0</v>
      </c>
      <c r="E475" s="3">
        <f t="shared" si="1"/>
        <v>1</v>
      </c>
      <c r="F475" s="8">
        <f>'Prestige Patterns'!$B$5*('Prestige Patterns'!$B$6^E474-'Prestige Patterns'!$B$6^(E474+G475))/(1-'Prestige Patterns'!$B$6)</f>
        <v>5025158450757.3193</v>
      </c>
      <c r="G475" s="8">
        <f>FLOOR(LOG('Prestige Patterns'!$B$6^(E474) - (D474*(1-'Prestige Patterns'!$B$6)/'Prestige Patterns'!$B$5),'Prestige Patterns'!$B$6)-E474,1)</f>
        <v>1</v>
      </c>
      <c r="H475">
        <f t="shared" si="2"/>
        <v>35706</v>
      </c>
      <c r="I475" s="5">
        <f>1+H475*'Prestige Patterns'!$B$25</f>
        <v>358.06</v>
      </c>
      <c r="J475">
        <f>FLOOR((K475/'Prestige Patterns'!$B$22)^'Prestige Patterns'!$B$23,1)-H474</f>
        <v>21878</v>
      </c>
      <c r="K475" s="8">
        <f>K474+N474*'Prestige Patterns'!$B$20</f>
        <v>130722170906634</v>
      </c>
      <c r="L475" s="2">
        <f>IF(J474&gt;='Prestige Patterns'!$B$28,IF(J474/(H474+1)&gt;('Prestige Patterns'!$B$27+1),L474+1,L474),L474)</f>
        <v>8</v>
      </c>
      <c r="N475">
        <f t="shared" si="0"/>
        <v>469316403.19999999</v>
      </c>
      <c r="O475" s="3">
        <f>'Prestige Patterns'!$B$4*E475</f>
        <v>20</v>
      </c>
      <c r="P475">
        <f t="shared" si="3"/>
        <v>65536</v>
      </c>
      <c r="Q475" s="5"/>
      <c r="R475" s="5"/>
      <c r="S475" s="3">
        <v>474</v>
      </c>
      <c r="T475" s="5"/>
    </row>
    <row r="476" spans="1:20" ht="12">
      <c r="A476" s="1"/>
      <c r="B476" s="1"/>
      <c r="C476" s="2">
        <f>(S476*'Prestige Patterns'!$B$20)/60</f>
        <v>237.5</v>
      </c>
      <c r="D476" s="2">
        <f>IF(L475=L476,N475*'Prestige Patterns'!$B$20+D475-F476,0)</f>
        <v>14079492096</v>
      </c>
      <c r="E476" s="3">
        <f t="shared" si="1"/>
        <v>1</v>
      </c>
      <c r="F476" s="8">
        <f>'Prestige Patterns'!$B$5*('Prestige Patterns'!$B$6^E475-'Prestige Patterns'!$B$6^(E475+G476))/(1-'Prestige Patterns'!$B$6)</f>
        <v>0</v>
      </c>
      <c r="G476" s="8">
        <f>FLOOR(LOG('Prestige Patterns'!$B$6^(E475) - (D475*(1-'Prestige Patterns'!$B$6)/'Prestige Patterns'!$B$5),'Prestige Patterns'!$B$6)-E475,1)</f>
        <v>0</v>
      </c>
      <c r="H476">
        <f t="shared" si="2"/>
        <v>35706</v>
      </c>
      <c r="I476" s="5">
        <f>1+H476*'Prestige Patterns'!$B$25</f>
        <v>358.06</v>
      </c>
      <c r="J476">
        <f>FLOOR((K476/'Prestige Patterns'!$B$22)^'Prestige Patterns'!$B$23,1)-H475</f>
        <v>451</v>
      </c>
      <c r="K476" s="8">
        <f>K475+N475*'Prestige Patterns'!$B$20</f>
        <v>130736250398730</v>
      </c>
      <c r="L476" s="2">
        <f>IF(J475&gt;='Prestige Patterns'!$B$28,IF(J475/(H475+1)&gt;('Prestige Patterns'!$B$27+1),L475+1,L475),L475)</f>
        <v>8</v>
      </c>
      <c r="N476">
        <f t="shared" si="0"/>
        <v>469316403.19999999</v>
      </c>
      <c r="O476" s="3">
        <f>'Prestige Patterns'!$B$4*E476</f>
        <v>20</v>
      </c>
      <c r="P476">
        <f t="shared" si="3"/>
        <v>65536</v>
      </c>
      <c r="Q476" s="5"/>
      <c r="R476" s="5"/>
      <c r="S476" s="3">
        <v>475</v>
      </c>
      <c r="T476" s="5"/>
    </row>
    <row r="477" spans="1:20" ht="12">
      <c r="A477" s="1"/>
      <c r="B477" s="1"/>
      <c r="C477" s="2">
        <f>(S477*'Prestige Patterns'!$B$20)/60</f>
        <v>238</v>
      </c>
      <c r="D477" s="2">
        <f>IF(L476=L477,N476*'Prestige Patterns'!$B$20+D476-F477,0)</f>
        <v>14171895698.295433</v>
      </c>
      <c r="E477" s="3">
        <f t="shared" si="1"/>
        <v>389</v>
      </c>
      <c r="F477" s="8">
        <f>'Prestige Patterns'!$B$5*('Prestige Patterns'!$B$6^E476-'Prestige Patterns'!$B$6^(E476+G477))/(1-'Prestige Patterns'!$B$6)</f>
        <v>13987088493.704567</v>
      </c>
      <c r="G477" s="8">
        <f>FLOOR(LOG('Prestige Patterns'!$B$6^(E476) - (D476*(1-'Prestige Patterns'!$B$6)/'Prestige Patterns'!$B$5),'Prestige Patterns'!$B$6)-E476,1)</f>
        <v>388</v>
      </c>
      <c r="H477">
        <f t="shared" si="2"/>
        <v>35706</v>
      </c>
      <c r="I477" s="5">
        <f>1+H477*'Prestige Patterns'!$B$25</f>
        <v>358.06</v>
      </c>
      <c r="J477">
        <f>FLOOR((K477/'Prestige Patterns'!$B$22)^'Prestige Patterns'!$B$23,1)-H476</f>
        <v>453</v>
      </c>
      <c r="K477" s="8">
        <f>K476+N476*'Prestige Patterns'!$B$20</f>
        <v>130750329890826</v>
      </c>
      <c r="L477" s="2">
        <f>IF(J476&gt;='Prestige Patterns'!$B$28,IF(J476/(H476+1)&gt;('Prestige Patterns'!$B$27+1),L476+1,L476),L476)</f>
        <v>8</v>
      </c>
      <c r="N477">
        <f t="shared" si="0"/>
        <v>1426281881.5999999</v>
      </c>
      <c r="O477" s="3">
        <f>'Prestige Patterns'!$B$4*E477</f>
        <v>7780</v>
      </c>
      <c r="P477">
        <f t="shared" si="3"/>
        <v>512</v>
      </c>
      <c r="Q477" s="5"/>
      <c r="R477" s="5"/>
      <c r="S477" s="3">
        <v>476</v>
      </c>
      <c r="T477" s="5"/>
    </row>
    <row r="478" spans="1:20" ht="12">
      <c r="A478" s="1"/>
      <c r="B478" s="1"/>
      <c r="C478" s="2">
        <f>(S478*'Prestige Patterns'!$B$20)/60</f>
        <v>238.5</v>
      </c>
      <c r="D478" s="2">
        <f>IF(L477=L478,N477*'Prestige Patterns'!$B$20+D477-F478,0)</f>
        <v>43253962064.844864</v>
      </c>
      <c r="E478" s="3">
        <f t="shared" si="1"/>
        <v>403</v>
      </c>
      <c r="F478" s="8">
        <f>'Prestige Patterns'!$B$5*('Prestige Patterns'!$B$6^E477-'Prestige Patterns'!$B$6^(E477+G478))/(1-'Prestige Patterns'!$B$6)</f>
        <v>13706390081.450567</v>
      </c>
      <c r="G478" s="8">
        <f>FLOOR(LOG('Prestige Patterns'!$B$6^(E477) - (D477*(1-'Prestige Patterns'!$B$6)/'Prestige Patterns'!$B$5),'Prestige Patterns'!$B$6)-E477,1)</f>
        <v>14</v>
      </c>
      <c r="H478">
        <f t="shared" si="2"/>
        <v>35706</v>
      </c>
      <c r="I478" s="5">
        <f>1+H478*'Prestige Patterns'!$B$25</f>
        <v>358.06</v>
      </c>
      <c r="J478">
        <f>FLOOR((K478/'Prestige Patterns'!$B$22)^'Prestige Patterns'!$B$23,1)-H477</f>
        <v>459</v>
      </c>
      <c r="K478" s="8">
        <f>K477+N477*'Prestige Patterns'!$B$20</f>
        <v>130793118347274</v>
      </c>
      <c r="L478" s="2">
        <f>IF(J477&gt;='Prestige Patterns'!$B$28,IF(J477/(H477+1)&gt;('Prestige Patterns'!$B$27+1),L477+1,L477),L477)</f>
        <v>8</v>
      </c>
      <c r="N478">
        <f t="shared" si="0"/>
        <v>11820906905.6</v>
      </c>
      <c r="O478" s="3">
        <f>'Prestige Patterns'!$B$4*E478</f>
        <v>8060</v>
      </c>
      <c r="P478">
        <f t="shared" si="3"/>
        <v>4096</v>
      </c>
      <c r="Q478" s="5"/>
      <c r="R478" s="5"/>
      <c r="S478" s="3">
        <v>477</v>
      </c>
      <c r="T478" s="5"/>
    </row>
    <row r="479" spans="1:20" ht="12">
      <c r="A479" s="1"/>
      <c r="B479" s="1"/>
      <c r="C479" s="2">
        <f>(S479*'Prestige Patterns'!$B$20)/60</f>
        <v>239</v>
      </c>
      <c r="D479" s="2">
        <f>IF(L478=L479,N478*'Prestige Patterns'!$B$20+D478-F479,0)</f>
        <v>355594606583.61682</v>
      </c>
      <c r="E479" s="3">
        <f t="shared" si="1"/>
        <v>422</v>
      </c>
      <c r="F479" s="8">
        <f>'Prestige Patterns'!$B$5*('Prestige Patterns'!$B$6^E478-'Prestige Patterns'!$B$6^(E478+G479))/(1-'Prestige Patterns'!$B$6)</f>
        <v>42286562649.228004</v>
      </c>
      <c r="G479" s="8">
        <f>FLOOR(LOG('Prestige Patterns'!$B$6^(E478) - (D478*(1-'Prestige Patterns'!$B$6)/'Prestige Patterns'!$B$5),'Prestige Patterns'!$B$6)-E478,1)</f>
        <v>19</v>
      </c>
      <c r="H479">
        <f t="shared" si="2"/>
        <v>35706</v>
      </c>
      <c r="I479" s="5">
        <f>1+H479*'Prestige Patterns'!$B$25</f>
        <v>358.06</v>
      </c>
      <c r="J479">
        <f>FLOOR((K479/'Prestige Patterns'!$B$22)^'Prestige Patterns'!$B$23,1)-H478</f>
        <v>508</v>
      </c>
      <c r="K479" s="8">
        <f>K478+N478*'Prestige Patterns'!$B$20</f>
        <v>131147745554442</v>
      </c>
      <c r="L479" s="2">
        <f>IF(J478&gt;='Prestige Patterns'!$B$28,IF(J478/(H478+1)&gt;('Prestige Patterns'!$B$27+1),L478+1,L478),L478)</f>
        <v>8</v>
      </c>
      <c r="N479">
        <f t="shared" si="0"/>
        <v>12378220134.4</v>
      </c>
      <c r="O479" s="3">
        <f>'Prestige Patterns'!$B$4*E479</f>
        <v>8440</v>
      </c>
      <c r="P479">
        <f t="shared" si="3"/>
        <v>4096</v>
      </c>
      <c r="Q479" s="5"/>
      <c r="R479" s="5"/>
      <c r="S479" s="3">
        <v>478</v>
      </c>
      <c r="T479" s="5"/>
    </row>
    <row r="480" spans="1:20" ht="12">
      <c r="A480" s="1"/>
      <c r="B480" s="1"/>
      <c r="C480" s="2">
        <f>(S480*'Prestige Patterns'!$B$20)/60</f>
        <v>239.5</v>
      </c>
      <c r="D480" s="2">
        <f>IF(L479=L480,N479*'Prestige Patterns'!$B$20+D479-F480,0)</f>
        <v>391609719478.12897</v>
      </c>
      <c r="E480" s="3">
        <f t="shared" si="1"/>
        <v>458</v>
      </c>
      <c r="F480" s="8">
        <f>'Prestige Patterns'!$B$5*('Prestige Patterns'!$B$6^E479-'Prestige Patterns'!$B$6^(E479+G480))/(1-'Prestige Patterns'!$B$6)</f>
        <v>335331491137.48785</v>
      </c>
      <c r="G480" s="8">
        <f>FLOOR(LOG('Prestige Patterns'!$B$6^(E479) - (D479*(1-'Prestige Patterns'!$B$6)/'Prestige Patterns'!$B$5),'Prestige Patterns'!$B$6)-E479,1)</f>
        <v>36</v>
      </c>
      <c r="H480">
        <f t="shared" si="2"/>
        <v>35706</v>
      </c>
      <c r="I480" s="5">
        <f>1+H480*'Prestige Patterns'!$B$25</f>
        <v>358.06</v>
      </c>
      <c r="J480">
        <f>FLOOR((K480/'Prestige Patterns'!$B$22)^'Prestige Patterns'!$B$23,1)-H479</f>
        <v>559</v>
      </c>
      <c r="K480" s="8">
        <f>K479+N479*'Prestige Patterns'!$B$20</f>
        <v>131519092158474</v>
      </c>
      <c r="L480" s="2">
        <f>IF(J479&gt;='Prestige Patterns'!$B$28,IF(J479/(H479+1)&gt;('Prestige Patterns'!$B$27+1),L479+1,L479),L479)</f>
        <v>8</v>
      </c>
      <c r="N480">
        <f t="shared" si="0"/>
        <v>13434182041.6</v>
      </c>
      <c r="O480" s="3">
        <f>'Prestige Patterns'!$B$4*E480</f>
        <v>9160</v>
      </c>
      <c r="P480">
        <f t="shared" si="3"/>
        <v>4096</v>
      </c>
      <c r="Q480" s="5"/>
      <c r="R480" s="5"/>
      <c r="S480" s="3">
        <v>479</v>
      </c>
      <c r="T480" s="5"/>
    </row>
    <row r="481" spans="1:20" ht="12">
      <c r="A481" s="1"/>
      <c r="B481" s="1"/>
      <c r="C481" s="2">
        <f>(S481*'Prestige Patterns'!$B$20)/60</f>
        <v>240</v>
      </c>
      <c r="D481" s="2">
        <f>IF(L480=L481,N480*'Prestige Patterns'!$B$20+D480-F481,0)</f>
        <v>435671369641.72668</v>
      </c>
      <c r="E481" s="3">
        <f t="shared" si="1"/>
        <v>471</v>
      </c>
      <c r="F481" s="8">
        <f>'Prestige Patterns'!$B$5*('Prestige Patterns'!$B$6^E480-'Prestige Patterns'!$B$6^(E480+G481))/(1-'Prestige Patterns'!$B$6)</f>
        <v>358963811084.40222</v>
      </c>
      <c r="G481" s="8">
        <f>FLOOR(LOG('Prestige Patterns'!$B$6^(E480) - (D480*(1-'Prestige Patterns'!$B$6)/'Prestige Patterns'!$B$5),'Prestige Patterns'!$B$6)-E480,1)</f>
        <v>13</v>
      </c>
      <c r="H481">
        <f t="shared" si="2"/>
        <v>35706</v>
      </c>
      <c r="I481" s="5">
        <f>1+H481*'Prestige Patterns'!$B$25</f>
        <v>358.06</v>
      </c>
      <c r="J481">
        <f>FLOOR((K481/'Prestige Patterns'!$B$22)^'Prestige Patterns'!$B$23,1)-H480</f>
        <v>615</v>
      </c>
      <c r="K481" s="8">
        <f>K480+N480*'Prestige Patterns'!$B$20</f>
        <v>131922117619722</v>
      </c>
      <c r="L481" s="2">
        <f>IF(J480&gt;='Prestige Patterns'!$B$28,IF(J480/(H480+1)&gt;('Prestige Patterns'!$B$27+1),L480+1,L480),L480)</f>
        <v>8</v>
      </c>
      <c r="N481">
        <f t="shared" si="0"/>
        <v>13815501619.200001</v>
      </c>
      <c r="O481" s="3">
        <f>'Prestige Patterns'!$B$4*E481</f>
        <v>9420</v>
      </c>
      <c r="P481">
        <f t="shared" si="3"/>
        <v>4096</v>
      </c>
      <c r="Q481" s="5"/>
      <c r="R481" s="5"/>
      <c r="S481" s="3">
        <v>480</v>
      </c>
      <c r="T481" s="5"/>
    </row>
    <row r="482" spans="1:20" ht="12">
      <c r="A482" s="1"/>
      <c r="B482" s="1"/>
      <c r="C482" s="2">
        <f>(S482*'Prestige Patterns'!$B$20)/60</f>
        <v>240.5</v>
      </c>
      <c r="D482" s="2">
        <f>IF(L481=L482,N481*'Prestige Patterns'!$B$20+D481-F482,0)</f>
        <v>428769856552.8139</v>
      </c>
      <c r="E482" s="3">
        <f t="shared" si="1"/>
        <v>480</v>
      </c>
      <c r="F482" s="8">
        <f>'Prestige Patterns'!$B$5*('Prestige Patterns'!$B$6^E481-'Prestige Patterns'!$B$6^(E481+G482))/(1-'Prestige Patterns'!$B$6)</f>
        <v>421366561664.91278</v>
      </c>
      <c r="G482" s="8">
        <f>FLOOR(LOG('Prestige Patterns'!$B$6^(E481) - (D481*(1-'Prestige Patterns'!$B$6)/'Prestige Patterns'!$B$5),'Prestige Patterns'!$B$6)-E481,1)</f>
        <v>9</v>
      </c>
      <c r="H482">
        <f t="shared" si="2"/>
        <v>35706</v>
      </c>
      <c r="I482" s="5">
        <f>1+H482*'Prestige Patterns'!$B$25</f>
        <v>358.06</v>
      </c>
      <c r="J482">
        <f>FLOOR((K482/'Prestige Patterns'!$B$22)^'Prestige Patterns'!$B$23,1)-H481</f>
        <v>672</v>
      </c>
      <c r="K482" s="8">
        <f>K481+N481*'Prestige Patterns'!$B$20</f>
        <v>132336582668298</v>
      </c>
      <c r="L482" s="2">
        <f>IF(J481&gt;='Prestige Patterns'!$B$28,IF(J481/(H481+1)&gt;('Prestige Patterns'!$B$27+1),L481+1,L481),L481)</f>
        <v>8</v>
      </c>
      <c r="N482">
        <f t="shared" si="0"/>
        <v>14079492096</v>
      </c>
      <c r="O482" s="3">
        <f>'Prestige Patterns'!$B$4*E482</f>
        <v>9600</v>
      </c>
      <c r="P482">
        <f t="shared" si="3"/>
        <v>4096</v>
      </c>
      <c r="Q482" s="5"/>
      <c r="R482" s="5"/>
      <c r="S482" s="3">
        <v>481</v>
      </c>
      <c r="T482" s="5"/>
    </row>
    <row r="483" spans="1:20" ht="12">
      <c r="A483" s="1"/>
      <c r="B483" s="1"/>
      <c r="C483" s="2">
        <f>(S483*'Prestige Patterns'!$B$20)/60</f>
        <v>241</v>
      </c>
      <c r="D483" s="2">
        <f>IF(L482=L483,N482*'Prestige Patterns'!$B$20+D482-F483,0)</f>
        <v>447922976133.61176</v>
      </c>
      <c r="E483" s="3">
        <f t="shared" si="1"/>
        <v>486</v>
      </c>
      <c r="F483" s="8">
        <f>'Prestige Patterns'!$B$5*('Prestige Patterns'!$B$6^E482-'Prestige Patterns'!$B$6^(E482+G483))/(1-'Prestige Patterns'!$B$6)</f>
        <v>403231643299.20221</v>
      </c>
      <c r="G483" s="8">
        <f>FLOOR(LOG('Prestige Patterns'!$B$6^(E482) - (D482*(1-'Prestige Patterns'!$B$6)/'Prestige Patterns'!$B$5),'Prestige Patterns'!$B$6)-E482,1)</f>
        <v>6</v>
      </c>
      <c r="H483">
        <f t="shared" si="2"/>
        <v>35706</v>
      </c>
      <c r="I483" s="5">
        <f>1+H483*'Prestige Patterns'!$B$25</f>
        <v>358.06</v>
      </c>
      <c r="J483">
        <f>FLOOR((K483/'Prestige Patterns'!$B$22)^'Prestige Patterns'!$B$23,1)-H482</f>
        <v>730</v>
      </c>
      <c r="K483" s="8">
        <f>K482+N482*'Prestige Patterns'!$B$20</f>
        <v>132758967431178</v>
      </c>
      <c r="L483" s="2">
        <f>IF(J482&gt;='Prestige Patterns'!$B$28,IF(J482/(H482+1)&gt;('Prestige Patterns'!$B$27+1),L482+1,L482),L482)</f>
        <v>8</v>
      </c>
      <c r="N483">
        <f t="shared" si="0"/>
        <v>14255485747.200001</v>
      </c>
      <c r="O483" s="3">
        <f>'Prestige Patterns'!$B$4*E483</f>
        <v>9720</v>
      </c>
      <c r="P483">
        <f t="shared" si="3"/>
        <v>4096</v>
      </c>
      <c r="Q483" s="5"/>
      <c r="R483" s="5"/>
      <c r="S483" s="3">
        <v>482</v>
      </c>
      <c r="T483" s="5"/>
    </row>
    <row r="484" spans="1:20" ht="12">
      <c r="A484" s="1"/>
      <c r="B484" s="1"/>
      <c r="C484" s="2">
        <f>(S484*'Prestige Patterns'!$B$20)/60</f>
        <v>241.5</v>
      </c>
      <c r="D484" s="2">
        <f>IF(L483=L484,N483*'Prestige Patterns'!$B$20+D483-F484,0)</f>
        <v>436611081956.66205</v>
      </c>
      <c r="E484" s="3">
        <f t="shared" si="1"/>
        <v>491</v>
      </c>
      <c r="F484" s="8">
        <f>'Prestige Patterns'!$B$5*('Prestige Patterns'!$B$6^E483-'Prestige Patterns'!$B$6^(E483+G484))/(1-'Prestige Patterns'!$B$6)</f>
        <v>438976466592.94977</v>
      </c>
      <c r="G484" s="8">
        <f>FLOOR(LOG('Prestige Patterns'!$B$6^(E483) - (D483*(1-'Prestige Patterns'!$B$6)/'Prestige Patterns'!$B$5),'Prestige Patterns'!$B$6)-E483,1)</f>
        <v>5</v>
      </c>
      <c r="H484">
        <f t="shared" si="2"/>
        <v>35706</v>
      </c>
      <c r="I484" s="5">
        <f>1+H484*'Prestige Patterns'!$B$25</f>
        <v>358.06</v>
      </c>
      <c r="J484">
        <f>FLOOR((K484/'Prestige Patterns'!$B$22)^'Prestige Patterns'!$B$23,1)-H483</f>
        <v>788</v>
      </c>
      <c r="K484" s="8">
        <f>K483+N483*'Prestige Patterns'!$B$20</f>
        <v>133186632003594</v>
      </c>
      <c r="L484" s="2">
        <f>IF(J483&gt;='Prestige Patterns'!$B$28,IF(J483/(H483+1)&gt;('Prestige Patterns'!$B$27+1),L483+1,L483),L483)</f>
        <v>8</v>
      </c>
      <c r="N484">
        <f t="shared" si="0"/>
        <v>14402147123.200001</v>
      </c>
      <c r="O484" s="3">
        <f>'Prestige Patterns'!$B$4*E484</f>
        <v>9820</v>
      </c>
      <c r="P484">
        <f t="shared" si="3"/>
        <v>4096</v>
      </c>
      <c r="Q484" s="5"/>
      <c r="R484" s="5"/>
      <c r="S484" s="3">
        <v>483</v>
      </c>
      <c r="T484" s="5"/>
    </row>
    <row r="485" spans="1:20" ht="12">
      <c r="A485" s="1"/>
      <c r="B485" s="1"/>
      <c r="C485" s="2">
        <f>(S485*'Prestige Patterns'!$B$20)/60</f>
        <v>242</v>
      </c>
      <c r="D485" s="2">
        <f>IF(L484=L485,N484*'Prestige Patterns'!$B$20+D484-F485,0)</f>
        <v>549035637024.52124</v>
      </c>
      <c r="E485" s="3">
        <f t="shared" si="1"/>
        <v>494</v>
      </c>
      <c r="F485" s="8">
        <f>'Prestige Patterns'!$B$5*('Prestige Patterns'!$B$6^E484-'Prestige Patterns'!$B$6^(E484+G485))/(1-'Prestige Patterns'!$B$6)</f>
        <v>319639858628.14087</v>
      </c>
      <c r="G485" s="8">
        <f>FLOOR(LOG('Prestige Patterns'!$B$6^(E484) - (D484*(1-'Prestige Patterns'!$B$6)/'Prestige Patterns'!$B$5),'Prestige Patterns'!$B$6)-E484,1)</f>
        <v>3</v>
      </c>
      <c r="H485">
        <f t="shared" si="2"/>
        <v>35706</v>
      </c>
      <c r="I485" s="5">
        <f>1+H485*'Prestige Patterns'!$B$25</f>
        <v>358.06</v>
      </c>
      <c r="J485">
        <f>FLOOR((K485/'Prestige Patterns'!$B$22)^'Prestige Patterns'!$B$23,1)-H484</f>
        <v>847</v>
      </c>
      <c r="K485" s="8">
        <f>K484+N484*'Prestige Patterns'!$B$20</f>
        <v>133618696417290</v>
      </c>
      <c r="L485" s="2">
        <f>IF(J484&gt;='Prestige Patterns'!$B$28,IF(J484/(H484+1)&gt;('Prestige Patterns'!$B$27+1),L484+1,L484),L484)</f>
        <v>8</v>
      </c>
      <c r="N485">
        <f t="shared" si="0"/>
        <v>14490143948.799999</v>
      </c>
      <c r="O485" s="3">
        <f>'Prestige Patterns'!$B$4*E485</f>
        <v>9880</v>
      </c>
      <c r="P485">
        <f t="shared" si="3"/>
        <v>4096</v>
      </c>
      <c r="Q485" s="5"/>
      <c r="R485" s="5"/>
      <c r="S485" s="3">
        <v>484</v>
      </c>
      <c r="T485" s="5"/>
    </row>
    <row r="486" spans="1:20" ht="12">
      <c r="A486" s="1"/>
      <c r="B486" s="1"/>
      <c r="C486" s="2">
        <f>(S486*'Prestige Patterns'!$B$20)/60</f>
        <v>242.5</v>
      </c>
      <c r="D486" s="2">
        <f>IF(L485=L486,N485*'Prestige Patterns'!$B$20+D485-F486,0)</f>
        <v>477841215891.1236</v>
      </c>
      <c r="E486" s="3">
        <f t="shared" si="1"/>
        <v>498</v>
      </c>
      <c r="F486" s="8">
        <f>'Prestige Patterns'!$B$5*('Prestige Patterns'!$B$6^E485-'Prestige Patterns'!$B$6^(E485+G486))/(1-'Prestige Patterns'!$B$6)</f>
        <v>505898739597.39764</v>
      </c>
      <c r="G486" s="8">
        <f>FLOOR(LOG('Prestige Patterns'!$B$6^(E485) - (D485*(1-'Prestige Patterns'!$B$6)/'Prestige Patterns'!$B$5),'Prestige Patterns'!$B$6)-E485,1)</f>
        <v>4</v>
      </c>
      <c r="H486">
        <f t="shared" si="2"/>
        <v>35706</v>
      </c>
      <c r="I486" s="5">
        <f>1+H486*'Prestige Patterns'!$B$25</f>
        <v>358.06</v>
      </c>
      <c r="J486">
        <f>FLOOR((K486/'Prestige Patterns'!$B$22)^'Prestige Patterns'!$B$23,1)-H485</f>
        <v>907</v>
      </c>
      <c r="K486" s="8">
        <f>K485+N485*'Prestige Patterns'!$B$20</f>
        <v>134053400735754</v>
      </c>
      <c r="L486" s="2">
        <f>IF(J485&gt;='Prestige Patterns'!$B$28,IF(J485/(H485+1)&gt;('Prestige Patterns'!$B$27+1),L485+1,L485),L485)</f>
        <v>8</v>
      </c>
      <c r="N486">
        <f t="shared" si="0"/>
        <v>14607473049.6</v>
      </c>
      <c r="O486" s="3">
        <f>'Prestige Patterns'!$B$4*E486</f>
        <v>9960</v>
      </c>
      <c r="P486">
        <f t="shared" si="3"/>
        <v>4096</v>
      </c>
      <c r="Q486" s="5"/>
      <c r="R486" s="5"/>
      <c r="S486" s="3">
        <v>485</v>
      </c>
      <c r="T486" s="5"/>
    </row>
    <row r="487" spans="1:20" ht="12">
      <c r="A487" s="1"/>
      <c r="B487" s="1"/>
      <c r="C487" s="2">
        <f>(S487*'Prestige Patterns'!$B$20)/60</f>
        <v>243</v>
      </c>
      <c r="D487" s="2">
        <f>IF(L486=L487,N486*'Prestige Patterns'!$B$20+D486-F487,0)</f>
        <v>466300027205.68219</v>
      </c>
      <c r="E487" s="3">
        <f t="shared" si="1"/>
        <v>501</v>
      </c>
      <c r="F487" s="8">
        <f>'Prestige Patterns'!$B$5*('Prestige Patterns'!$B$6^E486-'Prestige Patterns'!$B$6^(E486+G487))/(1-'Prestige Patterns'!$B$6)</f>
        <v>449765380173.44135</v>
      </c>
      <c r="G487" s="8">
        <f>FLOOR(LOG('Prestige Patterns'!$B$6^(E486) - (D486*(1-'Prestige Patterns'!$B$6)/'Prestige Patterns'!$B$5),'Prestige Patterns'!$B$6)-E486,1)</f>
        <v>3</v>
      </c>
      <c r="H487">
        <f t="shared" si="2"/>
        <v>35706</v>
      </c>
      <c r="I487" s="5">
        <f>1+H487*'Prestige Patterns'!$B$25</f>
        <v>358.06</v>
      </c>
      <c r="J487">
        <f>FLOOR((K487/'Prestige Patterns'!$B$22)^'Prestige Patterns'!$B$23,1)-H486</f>
        <v>967</v>
      </c>
      <c r="K487" s="8">
        <f>K486+N486*'Prestige Patterns'!$B$20</f>
        <v>134491624927242</v>
      </c>
      <c r="L487" s="2">
        <f>IF(J486&gt;='Prestige Patterns'!$B$28,IF(J486/(H486+1)&gt;('Prestige Patterns'!$B$27+1),L486+1,L486),L486)</f>
        <v>8</v>
      </c>
      <c r="N487">
        <f t="shared" si="0"/>
        <v>235127518003.20001</v>
      </c>
      <c r="O487" s="3">
        <f>'Prestige Patterns'!$B$4*E487</f>
        <v>10020</v>
      </c>
      <c r="P487">
        <f t="shared" si="3"/>
        <v>65536</v>
      </c>
      <c r="Q487" s="5"/>
      <c r="R487" s="5"/>
      <c r="S487" s="3">
        <v>486</v>
      </c>
      <c r="T487" s="5"/>
    </row>
    <row r="488" spans="1:20" ht="12">
      <c r="A488" s="1"/>
      <c r="B488" s="1"/>
      <c r="C488" s="2">
        <f>(S488*'Prestige Patterns'!$B$20)/60</f>
        <v>243.5</v>
      </c>
      <c r="D488" s="2">
        <f>IF(L487=L488,N487*'Prestige Patterns'!$B$20+D487-F488,0)</f>
        <v>7181552282969.334</v>
      </c>
      <c r="E488" s="3">
        <f t="shared" si="1"/>
        <v>503</v>
      </c>
      <c r="F488" s="8">
        <f>'Prestige Patterns'!$B$5*('Prestige Patterns'!$B$6^E487-'Prestige Patterns'!$B$6^(E487+G488))/(1-'Prestige Patterns'!$B$6)</f>
        <v>338573284332.34833</v>
      </c>
      <c r="G488" s="8">
        <f>FLOOR(LOG('Prestige Patterns'!$B$6^(E487) - (D487*(1-'Prestige Patterns'!$B$6)/'Prestige Patterns'!$B$5),'Prestige Patterns'!$B$6)-E487,1)</f>
        <v>2</v>
      </c>
      <c r="H488">
        <f t="shared" si="2"/>
        <v>35706</v>
      </c>
      <c r="I488" s="5">
        <f>1+H488*'Prestige Patterns'!$B$25</f>
        <v>358.06</v>
      </c>
      <c r="J488">
        <f>FLOOR((K488/'Prestige Patterns'!$B$22)^'Prestige Patterns'!$B$23,1)-H487</f>
        <v>1916</v>
      </c>
      <c r="K488" s="8">
        <f>K487+N487*'Prestige Patterns'!$B$20</f>
        <v>141545450467338</v>
      </c>
      <c r="L488" s="2">
        <f>IF(J487&gt;='Prestige Patterns'!$B$28,IF(J487/(H487+1)&gt;('Prestige Patterns'!$B$27+1),L487+1,L487),L487)</f>
        <v>8</v>
      </c>
      <c r="N488">
        <f t="shared" si="0"/>
        <v>236066150809.60001</v>
      </c>
      <c r="O488" s="3">
        <f>'Prestige Patterns'!$B$4*E488</f>
        <v>10060</v>
      </c>
      <c r="P488">
        <f t="shared" si="3"/>
        <v>65536</v>
      </c>
      <c r="Q488" s="5"/>
      <c r="R488" s="5"/>
      <c r="S488" s="3">
        <v>487</v>
      </c>
      <c r="T488" s="5"/>
    </row>
    <row r="489" spans="1:20" ht="12">
      <c r="A489" s="1"/>
      <c r="B489" s="1"/>
      <c r="C489" s="2">
        <f>(S489*'Prestige Patterns'!$B$20)/60</f>
        <v>244</v>
      </c>
      <c r="D489" s="2">
        <f>IF(L488=L489,N488*'Prestige Patterns'!$B$20+D488-F489,0)</f>
        <v>7252262326605.5889</v>
      </c>
      <c r="E489" s="3">
        <f t="shared" si="1"/>
        <v>525</v>
      </c>
      <c r="F489" s="8">
        <f>'Prestige Patterns'!$B$5*('Prestige Patterns'!$B$6^E488-'Prestige Patterns'!$B$6^(E488+G489))/(1-'Prestige Patterns'!$B$6)</f>
        <v>7011274480651.7451</v>
      </c>
      <c r="G489" s="8">
        <f>FLOOR(LOG('Prestige Patterns'!$B$6^(E488) - (D488*(1-'Prestige Patterns'!$B$6)/'Prestige Patterns'!$B$5),'Prestige Patterns'!$B$6)-E488,1)</f>
        <v>22</v>
      </c>
      <c r="H489">
        <f t="shared" si="2"/>
        <v>35706</v>
      </c>
      <c r="I489" s="5">
        <f>1+H489*'Prestige Patterns'!$B$25</f>
        <v>358.06</v>
      </c>
      <c r="J489">
        <f>FLOOR((K489/'Prestige Patterns'!$B$22)^'Prestige Patterns'!$B$23,1)-H488</f>
        <v>2846</v>
      </c>
      <c r="K489" s="8">
        <f>K488+N488*'Prestige Patterns'!$B$20</f>
        <v>148627434991626</v>
      </c>
      <c r="L489" s="2">
        <f>IF(J488&gt;='Prestige Patterns'!$B$28,IF(J488/(H488+1)&gt;('Prestige Patterns'!$B$27+1),L488+1,L488),L488)</f>
        <v>8</v>
      </c>
      <c r="N489">
        <f t="shared" si="0"/>
        <v>246391111680</v>
      </c>
      <c r="O489" s="3">
        <f>'Prestige Patterns'!$B$4*E489</f>
        <v>10500</v>
      </c>
      <c r="P489">
        <f t="shared" si="3"/>
        <v>65536</v>
      </c>
      <c r="Q489" s="5"/>
      <c r="R489" s="5"/>
      <c r="S489" s="3">
        <v>488</v>
      </c>
      <c r="T489" s="5"/>
    </row>
    <row r="490" spans="1:20" ht="12">
      <c r="A490" s="1"/>
      <c r="B490" s="1"/>
      <c r="C490" s="2">
        <f>(S490*'Prestige Patterns'!$B$20)/60</f>
        <v>244.5</v>
      </c>
      <c r="D490" s="2">
        <f>IF(L489=L490,N489*'Prestige Patterns'!$B$20+D489-F490,0)</f>
        <v>7944380112052.9092</v>
      </c>
      <c r="E490" s="3">
        <f t="shared" si="1"/>
        <v>535</v>
      </c>
      <c r="F490" s="8">
        <f>'Prestige Patterns'!$B$5*('Prestige Patterns'!$B$6^E489-'Prestige Patterns'!$B$6^(E489+G490))/(1-'Prestige Patterns'!$B$6)</f>
        <v>6699615564952.6807</v>
      </c>
      <c r="G490" s="8">
        <f>FLOOR(LOG('Prestige Patterns'!$B$6^(E489) - (D489*(1-'Prestige Patterns'!$B$6)/'Prestige Patterns'!$B$5),'Prestige Patterns'!$B$6)-E489,1)</f>
        <v>10</v>
      </c>
      <c r="H490">
        <f t="shared" si="2"/>
        <v>35706</v>
      </c>
      <c r="I490" s="5">
        <f>1+H490*'Prestige Patterns'!$B$25</f>
        <v>358.06</v>
      </c>
      <c r="J490">
        <f>FLOOR((K490/'Prestige Patterns'!$B$22)^'Prestige Patterns'!$B$23,1)-H489</f>
        <v>3793</v>
      </c>
      <c r="K490" s="8">
        <f>K489+N489*'Prestige Patterns'!$B$20</f>
        <v>156019168342026</v>
      </c>
      <c r="L490" s="2">
        <f>IF(J489&gt;='Prestige Patterns'!$B$28,IF(J489/(H489+1)&gt;('Prestige Patterns'!$B$27+1),L489+1,L489),L489)</f>
        <v>8</v>
      </c>
      <c r="N490">
        <f t="shared" si="0"/>
        <v>251084275712</v>
      </c>
      <c r="O490" s="3">
        <f>'Prestige Patterns'!$B$4*E490</f>
        <v>10700</v>
      </c>
      <c r="P490">
        <f t="shared" si="3"/>
        <v>65536</v>
      </c>
      <c r="Q490" s="5"/>
      <c r="R490" s="5"/>
      <c r="S490" s="3">
        <v>489</v>
      </c>
      <c r="T490" s="5"/>
    </row>
    <row r="491" spans="1:20" ht="12">
      <c r="A491" s="1"/>
      <c r="B491" s="1"/>
      <c r="C491" s="2">
        <f>(S491*'Prestige Patterns'!$B$20)/60</f>
        <v>245</v>
      </c>
      <c r="D491" s="2">
        <f>IF(L490=L491,N490*'Prestige Patterns'!$B$20+D490-F491,0)</f>
        <v>8412650536855.2139</v>
      </c>
      <c r="E491" s="3">
        <f t="shared" si="1"/>
        <v>542</v>
      </c>
      <c r="F491" s="8">
        <f>'Prestige Patterns'!$B$5*('Prestige Patterns'!$B$6^E490-'Prestige Patterns'!$B$6^(E490+G491))/(1-'Prestige Patterns'!$B$6)</f>
        <v>7064257846557.6963</v>
      </c>
      <c r="G491" s="8">
        <f>FLOOR(LOG('Prestige Patterns'!$B$6^(E490) - (D490*(1-'Prestige Patterns'!$B$6)/'Prestige Patterns'!$B$5),'Prestige Patterns'!$B$6)-E490,1)</f>
        <v>7</v>
      </c>
      <c r="H491">
        <f t="shared" si="2"/>
        <v>35706</v>
      </c>
      <c r="I491" s="5">
        <f>1+H491*'Prestige Patterns'!$B$25</f>
        <v>358.06</v>
      </c>
      <c r="J491">
        <f>FLOOR((K491/'Prestige Patterns'!$B$22)^'Prestige Patterns'!$B$23,1)-H490</f>
        <v>4735</v>
      </c>
      <c r="K491" s="8">
        <f>K490+N490*'Prestige Patterns'!$B$20</f>
        <v>163551696613386</v>
      </c>
      <c r="L491" s="2">
        <f>IF(J490&gt;='Prestige Patterns'!$B$28,IF(J490/(H490+1)&gt;('Prestige Patterns'!$B$27+1),L490+1,L490),L490)</f>
        <v>8</v>
      </c>
      <c r="N491">
        <f t="shared" si="0"/>
        <v>254369490534.39999</v>
      </c>
      <c r="O491" s="3">
        <f>'Prestige Patterns'!$B$4*E491</f>
        <v>10840</v>
      </c>
      <c r="P491">
        <f t="shared" si="3"/>
        <v>65536</v>
      </c>
      <c r="Q491" s="5"/>
      <c r="R491" s="5"/>
      <c r="S491" s="3">
        <v>490</v>
      </c>
      <c r="T491" s="5"/>
    </row>
    <row r="492" spans="1:20" ht="12">
      <c r="A492" s="1"/>
      <c r="B492" s="1"/>
      <c r="C492" s="2">
        <f>(S492*'Prestige Patterns'!$B$20)/60</f>
        <v>245.5</v>
      </c>
      <c r="D492" s="2">
        <f>IF(L491=L492,N491*'Prestige Patterns'!$B$20+D491-F492,0)</f>
        <v>7739662449891.9297</v>
      </c>
      <c r="E492" s="3">
        <f t="shared" si="1"/>
        <v>548</v>
      </c>
      <c r="F492" s="8">
        <f>'Prestige Patterns'!$B$5*('Prestige Patterns'!$B$6^E491-'Prestige Patterns'!$B$6^(E491+G492))/(1-'Prestige Patterns'!$B$6)</f>
        <v>8304072802995.2852</v>
      </c>
      <c r="G492" s="8">
        <f>FLOOR(LOG('Prestige Patterns'!$B$6^(E491) - (D491*(1-'Prestige Patterns'!$B$6)/'Prestige Patterns'!$B$5),'Prestige Patterns'!$B$6)-E491,1)</f>
        <v>6</v>
      </c>
      <c r="H492">
        <f t="shared" si="2"/>
        <v>35706</v>
      </c>
      <c r="I492" s="5">
        <f>1+H492*'Prestige Patterns'!$B$25</f>
        <v>358.06</v>
      </c>
      <c r="J492">
        <f>FLOOR((K492/'Prestige Patterns'!$B$22)^'Prestige Patterns'!$B$23,1)-H491</f>
        <v>5668</v>
      </c>
      <c r="K492" s="8">
        <f>K491+N491*'Prestige Patterns'!$B$20</f>
        <v>171182781329418</v>
      </c>
      <c r="L492" s="2">
        <f>IF(J491&gt;='Prestige Patterns'!$B$28,IF(J491/(H491+1)&gt;('Prestige Patterns'!$B$27+1),L491+1,L491),L491)</f>
        <v>8</v>
      </c>
      <c r="N492">
        <f t="shared" si="0"/>
        <v>257185388953.60001</v>
      </c>
      <c r="O492" s="3">
        <f>'Prestige Patterns'!$B$4*E492</f>
        <v>10960</v>
      </c>
      <c r="P492">
        <f t="shared" si="3"/>
        <v>65536</v>
      </c>
      <c r="Q492" s="5"/>
      <c r="R492" s="5"/>
      <c r="S492" s="3">
        <v>491</v>
      </c>
      <c r="T492" s="5"/>
    </row>
    <row r="493" spans="1:20" ht="12">
      <c r="A493" s="1"/>
      <c r="B493" s="1"/>
      <c r="C493" s="2">
        <f>(S493*'Prestige Patterns'!$B$20)/60</f>
        <v>246</v>
      </c>
      <c r="D493" s="2">
        <f>IF(L492=L493,N492*'Prestige Patterns'!$B$20+D492-F493,0)</f>
        <v>8403655324398.7539</v>
      </c>
      <c r="E493" s="3">
        <f t="shared" si="1"/>
        <v>552</v>
      </c>
      <c r="F493" s="8">
        <f>'Prestige Patterns'!$B$5*('Prestige Patterns'!$B$6^E492-'Prestige Patterns'!$B$6^(E492+G493))/(1-'Prestige Patterns'!$B$6)</f>
        <v>7051568794101.1758</v>
      </c>
      <c r="G493" s="8">
        <f>FLOOR(LOG('Prestige Patterns'!$B$6^(E492) - (D492*(1-'Prestige Patterns'!$B$6)/'Prestige Patterns'!$B$5),'Prestige Patterns'!$B$6)-E492,1)</f>
        <v>4</v>
      </c>
      <c r="H493">
        <f t="shared" si="2"/>
        <v>35706</v>
      </c>
      <c r="I493" s="5">
        <f>1+H493*'Prestige Patterns'!$B$25</f>
        <v>358.06</v>
      </c>
      <c r="J493">
        <f>FLOOR((K493/'Prestige Patterns'!$B$22)^'Prestige Patterns'!$B$23,1)-H492</f>
        <v>6590</v>
      </c>
      <c r="K493" s="8">
        <f>K492+N492*'Prestige Patterns'!$B$20</f>
        <v>178898342998026</v>
      </c>
      <c r="L493" s="2">
        <f>IF(J492&gt;='Prestige Patterns'!$B$28,IF(J492/(H492+1)&gt;('Prestige Patterns'!$B$27+1),L492+1,L492),L492)</f>
        <v>8</v>
      </c>
      <c r="N493">
        <f t="shared" si="0"/>
        <v>259062654566.39999</v>
      </c>
      <c r="O493" s="3">
        <f>'Prestige Patterns'!$B$4*E493</f>
        <v>11040</v>
      </c>
      <c r="P493">
        <f t="shared" si="3"/>
        <v>65536</v>
      </c>
      <c r="Q493" s="5"/>
      <c r="R493" s="5"/>
      <c r="S493" s="3">
        <v>492</v>
      </c>
      <c r="T493" s="5"/>
    </row>
    <row r="494" spans="1:20" ht="12">
      <c r="A494" s="1"/>
      <c r="B494" s="1"/>
      <c r="C494" s="2">
        <f>(S494*'Prestige Patterns'!$B$20)/60</f>
        <v>246.5</v>
      </c>
      <c r="D494" s="2">
        <f>IF(L493=L494,N493*'Prestige Patterns'!$B$20+D493-F494,0)</f>
        <v>9906392005980.1934</v>
      </c>
      <c r="E494" s="3">
        <f t="shared" si="1"/>
        <v>555</v>
      </c>
      <c r="F494" s="8">
        <f>'Prestige Patterns'!$B$5*('Prestige Patterns'!$B$6^E493-'Prestige Patterns'!$B$6^(E493+G494))/(1-'Prestige Patterns'!$B$6)</f>
        <v>6269142955410.5605</v>
      </c>
      <c r="G494" s="8">
        <f>FLOOR(LOG('Prestige Patterns'!$B$6^(E493) - (D493*(1-'Prestige Patterns'!$B$6)/'Prestige Patterns'!$B$5),'Prestige Patterns'!$B$6)-E493,1)</f>
        <v>3</v>
      </c>
      <c r="H494">
        <f t="shared" si="2"/>
        <v>35706</v>
      </c>
      <c r="I494" s="5">
        <f>1+H494*'Prestige Patterns'!$B$25</f>
        <v>358.06</v>
      </c>
      <c r="J494">
        <f>FLOOR((K494/'Prestige Patterns'!$B$22)^'Prestige Patterns'!$B$23,1)-H493</f>
        <v>7499</v>
      </c>
      <c r="K494" s="8">
        <f>K493+N493*'Prestige Patterns'!$B$20</f>
        <v>186670222635018</v>
      </c>
      <c r="L494" s="2">
        <f>IF(J493&gt;='Prestige Patterns'!$B$28,IF(J493/(H493+1)&gt;('Prestige Patterns'!$B$27+1),L493+1,L493),L493)</f>
        <v>8</v>
      </c>
      <c r="N494">
        <f t="shared" si="0"/>
        <v>260470603776</v>
      </c>
      <c r="O494" s="3">
        <f>'Prestige Patterns'!$B$4*E494</f>
        <v>11100</v>
      </c>
      <c r="P494">
        <f t="shared" si="3"/>
        <v>65536</v>
      </c>
      <c r="Q494" s="5"/>
      <c r="R494" s="5"/>
      <c r="S494" s="3">
        <v>493</v>
      </c>
      <c r="T494" s="5"/>
    </row>
    <row r="495" spans="1:20" ht="12">
      <c r="A495" s="1"/>
      <c r="B495" s="1"/>
      <c r="C495" s="2">
        <f>(S495*'Prestige Patterns'!$B$20)/60</f>
        <v>247</v>
      </c>
      <c r="D495" s="2">
        <f>IF(L494=L495,N494*'Prestige Patterns'!$B$20+D494-F495,0)</f>
        <v>10463193505503.062</v>
      </c>
      <c r="E495" s="3">
        <f t="shared" si="1"/>
        <v>558</v>
      </c>
      <c r="F495" s="8">
        <f>'Prestige Patterns'!$B$5*('Prestige Patterns'!$B$6^E494-'Prestige Patterns'!$B$6^(E494+G495))/(1-'Prestige Patterns'!$B$6)</f>
        <v>7257316613757.1318</v>
      </c>
      <c r="G495" s="8">
        <f>FLOOR(LOG('Prestige Patterns'!$B$6^(E494) - (D494*(1-'Prestige Patterns'!$B$6)/'Prestige Patterns'!$B$5),'Prestige Patterns'!$B$6)-E494,1)</f>
        <v>3</v>
      </c>
      <c r="H495">
        <f t="shared" si="2"/>
        <v>35706</v>
      </c>
      <c r="I495" s="5">
        <f>1+H495*'Prestige Patterns'!$B$25</f>
        <v>358.06</v>
      </c>
      <c r="J495">
        <f>FLOOR((K495/'Prestige Patterns'!$B$22)^'Prestige Patterns'!$B$23,1)-H494</f>
        <v>8394</v>
      </c>
      <c r="K495" s="8">
        <f>K494+N494*'Prestige Patterns'!$B$20</f>
        <v>194484340748298</v>
      </c>
      <c r="L495" s="2">
        <f>IF(J494&gt;='Prestige Patterns'!$B$28,IF(J494/(H494+1)&gt;('Prestige Patterns'!$B$27+1),L494+1,L494),L494)</f>
        <v>8</v>
      </c>
      <c r="N495">
        <f t="shared" si="0"/>
        <v>261878552985.60001</v>
      </c>
      <c r="O495" s="3">
        <f>'Prestige Patterns'!$B$4*E495</f>
        <v>11160</v>
      </c>
      <c r="P495">
        <f t="shared" si="3"/>
        <v>65536</v>
      </c>
      <c r="Q495" s="5"/>
      <c r="R495" s="5"/>
      <c r="S495" s="3">
        <v>494</v>
      </c>
      <c r="T495" s="5"/>
    </row>
    <row r="496" spans="1:20" ht="12">
      <c r="A496" s="1"/>
      <c r="B496" s="1"/>
      <c r="C496" s="2">
        <f>(S496*'Prestige Patterns'!$B$20)/60</f>
        <v>247.5</v>
      </c>
      <c r="D496" s="2">
        <f>IF(L495=L496,N495*'Prestige Patterns'!$B$20+D495-F496,0)</f>
        <v>9918298950070.4355</v>
      </c>
      <c r="E496" s="3">
        <f t="shared" si="1"/>
        <v>561</v>
      </c>
      <c r="F496" s="8">
        <f>'Prestige Patterns'!$B$5*('Prestige Patterns'!$B$6^E495-'Prestige Patterns'!$B$6^(E495+G496))/(1-'Prestige Patterns'!$B$6)</f>
        <v>8401251145000.627</v>
      </c>
      <c r="G496" s="8">
        <f>FLOOR(LOG('Prestige Patterns'!$B$6^(E495) - (D495*(1-'Prestige Patterns'!$B$6)/'Prestige Patterns'!$B$5),'Prestige Patterns'!$B$6)-E495,1)</f>
        <v>3</v>
      </c>
      <c r="H496">
        <f t="shared" si="2"/>
        <v>35706</v>
      </c>
      <c r="I496" s="5">
        <f>1+H496*'Prestige Patterns'!$B$25</f>
        <v>358.06</v>
      </c>
      <c r="J496">
        <f>FLOOR((K496/'Prestige Patterns'!$B$22)^'Prestige Patterns'!$B$23,1)-H495</f>
        <v>9276</v>
      </c>
      <c r="K496" s="8">
        <f>K495+N495*'Prestige Patterns'!$B$20</f>
        <v>202340697337866</v>
      </c>
      <c r="L496" s="2">
        <f>IF(J495&gt;='Prestige Patterns'!$B$28,IF(J495/(H495+1)&gt;('Prestige Patterns'!$B$27+1),L495+1,L495),L495)</f>
        <v>8</v>
      </c>
      <c r="N496">
        <f t="shared" si="0"/>
        <v>263286502195.20001</v>
      </c>
      <c r="O496" s="3">
        <f>'Prestige Patterns'!$B$4*E496</f>
        <v>11220</v>
      </c>
      <c r="P496">
        <f t="shared" si="3"/>
        <v>65536</v>
      </c>
      <c r="Q496" s="5"/>
      <c r="R496" s="5"/>
      <c r="S496" s="3">
        <v>495</v>
      </c>
      <c r="T496" s="5"/>
    </row>
    <row r="497" spans="1:20" ht="12">
      <c r="A497" s="1"/>
      <c r="B497" s="1"/>
      <c r="C497" s="2">
        <f>(S497*'Prestige Patterns'!$B$20)/60</f>
        <v>248</v>
      </c>
      <c r="D497" s="2">
        <f>IF(L496=L497,N496*'Prestige Patterns'!$B$20+D496-F497,0)</f>
        <v>8091395659195.1074</v>
      </c>
      <c r="E497" s="3">
        <f t="shared" si="1"/>
        <v>564</v>
      </c>
      <c r="F497" s="8">
        <f>'Prestige Patterns'!$B$5*('Prestige Patterns'!$B$6^E496-'Prestige Patterns'!$B$6^(E496+G497))/(1-'Prestige Patterns'!$B$6)</f>
        <v>9725498356731.3301</v>
      </c>
      <c r="G497" s="8">
        <f>FLOOR(LOG('Prestige Patterns'!$B$6^(E496) - (D496*(1-'Prestige Patterns'!$B$6)/'Prestige Patterns'!$B$5),'Prestige Patterns'!$B$6)-E496,1)</f>
        <v>3</v>
      </c>
      <c r="H497">
        <f t="shared" si="2"/>
        <v>35706</v>
      </c>
      <c r="I497" s="5">
        <f>1+H497*'Prestige Patterns'!$B$25</f>
        <v>358.06</v>
      </c>
      <c r="J497">
        <f>FLOOR((K497/'Prestige Patterns'!$B$22)^'Prestige Patterns'!$B$23,1)-H496</f>
        <v>10145</v>
      </c>
      <c r="K497" s="8">
        <f>K496+N496*'Prestige Patterns'!$B$20</f>
        <v>210239292403722</v>
      </c>
      <c r="L497" s="2">
        <f>IF(J496&gt;='Prestige Patterns'!$B$28,IF(J496/(H496+1)&gt;('Prestige Patterns'!$B$27+1),L496+1,L496),L496)</f>
        <v>8</v>
      </c>
      <c r="N497">
        <f t="shared" si="0"/>
        <v>264694451404.79999</v>
      </c>
      <c r="O497" s="3">
        <f>'Prestige Patterns'!$B$4*E497</f>
        <v>11280</v>
      </c>
      <c r="P497">
        <f t="shared" si="3"/>
        <v>65536</v>
      </c>
      <c r="Q497" s="5"/>
      <c r="R497" s="5"/>
      <c r="S497" s="3">
        <v>496</v>
      </c>
      <c r="T497" s="5"/>
    </row>
    <row r="498" spans="1:20" ht="12">
      <c r="A498" s="1"/>
      <c r="B498" s="1"/>
      <c r="C498" s="2">
        <f>(S498*'Prestige Patterns'!$B$20)/60</f>
        <v>248.5</v>
      </c>
      <c r="D498" s="2">
        <f>IF(L497=L498,N497*'Prestige Patterns'!$B$20+D497-F498,0)</f>
        <v>8711092302946.4873</v>
      </c>
      <c r="E498" s="3">
        <f t="shared" si="1"/>
        <v>566</v>
      </c>
      <c r="F498" s="8">
        <f>'Prestige Patterns'!$B$5*('Prestige Patterns'!$B$6^E497-'Prestige Patterns'!$B$6^(E497+G498))/(1-'Prestige Patterns'!$B$6)</f>
        <v>7321136898392.6201</v>
      </c>
      <c r="G498" s="8">
        <f>FLOOR(LOG('Prestige Patterns'!$B$6^(E497) - (D497*(1-'Prestige Patterns'!$B$6)/'Prestige Patterns'!$B$5),'Prestige Patterns'!$B$6)-E497,1)</f>
        <v>2</v>
      </c>
      <c r="H498">
        <f t="shared" si="2"/>
        <v>35706</v>
      </c>
      <c r="I498" s="5">
        <f>1+H498*'Prestige Patterns'!$B$25</f>
        <v>358.06</v>
      </c>
      <c r="J498">
        <f>FLOOR((K498/'Prestige Patterns'!$B$22)^'Prestige Patterns'!$B$23,1)-H497</f>
        <v>11003</v>
      </c>
      <c r="K498" s="8">
        <f>K497+N497*'Prestige Patterns'!$B$20</f>
        <v>218180125945866</v>
      </c>
      <c r="L498" s="2">
        <f>IF(J497&gt;='Prestige Patterns'!$B$28,IF(J497/(H497+1)&gt;('Prestige Patterns'!$B$27+1),L497+1,L497),L497)</f>
        <v>8</v>
      </c>
      <c r="N498">
        <f t="shared" si="0"/>
        <v>265633084211.20001</v>
      </c>
      <c r="O498" s="3">
        <f>'Prestige Patterns'!$B$4*E498</f>
        <v>11320</v>
      </c>
      <c r="P498">
        <f t="shared" si="3"/>
        <v>65536</v>
      </c>
      <c r="Q498" s="5"/>
      <c r="R498" s="5"/>
      <c r="S498" s="3">
        <v>497</v>
      </c>
      <c r="T498" s="5"/>
    </row>
    <row r="499" spans="1:20" ht="12">
      <c r="A499" s="1"/>
      <c r="B499" s="1"/>
      <c r="C499" s="2">
        <f>(S499*'Prestige Patterns'!$B$20)/60</f>
        <v>249</v>
      </c>
      <c r="D499" s="2">
        <f>IF(L498=L499,N498*'Prestige Patterns'!$B$20+D498-F499,0)</f>
        <v>8608531398804.6045</v>
      </c>
      <c r="E499" s="3">
        <f t="shared" si="1"/>
        <v>568</v>
      </c>
      <c r="F499" s="8">
        <f>'Prestige Patterns'!$B$5*('Prestige Patterns'!$B$6^E498-'Prestige Patterns'!$B$6^(E498+G499))/(1-'Prestige Patterns'!$B$6)</f>
        <v>8071553430477.8838</v>
      </c>
      <c r="G499" s="8">
        <f>FLOOR(LOG('Prestige Patterns'!$B$6^(E498) - (D498*(1-'Prestige Patterns'!$B$6)/'Prestige Patterns'!$B$5),'Prestige Patterns'!$B$6)-E498,1)</f>
        <v>2</v>
      </c>
      <c r="H499">
        <f t="shared" si="2"/>
        <v>35706</v>
      </c>
      <c r="I499" s="5">
        <f>1+H499*'Prestige Patterns'!$B$25</f>
        <v>358.06</v>
      </c>
      <c r="J499">
        <f>FLOOR((K499/'Prestige Patterns'!$B$22)^'Prestige Patterns'!$B$23,1)-H498</f>
        <v>11849</v>
      </c>
      <c r="K499" s="8">
        <f>K498+N498*'Prestige Patterns'!$B$20</f>
        <v>226149118472202</v>
      </c>
      <c r="L499" s="2">
        <f>IF(J498&gt;='Prestige Patterns'!$B$28,IF(J498/(H498+1)&gt;('Prestige Patterns'!$B$27+1),L498+1,L498),L498)</f>
        <v>8</v>
      </c>
      <c r="N499">
        <f t="shared" si="0"/>
        <v>266571717017.60001</v>
      </c>
      <c r="O499" s="3">
        <f>'Prestige Patterns'!$B$4*E499</f>
        <v>11360</v>
      </c>
      <c r="P499">
        <f t="shared" si="3"/>
        <v>65536</v>
      </c>
      <c r="Q499" s="5"/>
      <c r="R499" s="5"/>
      <c r="S499" s="3">
        <v>498</v>
      </c>
      <c r="T499" s="5"/>
    </row>
    <row r="500" spans="1:20" ht="12">
      <c r="A500" s="1"/>
      <c r="B500" s="1"/>
      <c r="C500" s="2">
        <f>(S500*'Prestige Patterns'!$B$20)/60</f>
        <v>249.5</v>
      </c>
      <c r="D500" s="2">
        <f>IF(L499=L500,N499*'Prestige Patterns'!$B$20+D499-F500,0)</f>
        <v>12264762100990.227</v>
      </c>
      <c r="E500" s="3">
        <f t="shared" si="1"/>
        <v>569</v>
      </c>
      <c r="F500" s="8">
        <f>'Prestige Patterns'!$B$5*('Prestige Patterns'!$B$6^E499-'Prestige Patterns'!$B$6^(E499+G500))/(1-'Prestige Patterns'!$B$6)</f>
        <v>4340920808342.3789</v>
      </c>
      <c r="G500" s="8">
        <f>FLOOR(LOG('Prestige Patterns'!$B$6^(E499) - (D499*(1-'Prestige Patterns'!$B$6)/'Prestige Patterns'!$B$5),'Prestige Patterns'!$B$6)-E499,1)</f>
        <v>1</v>
      </c>
      <c r="H500">
        <f t="shared" si="2"/>
        <v>35706</v>
      </c>
      <c r="I500" s="5">
        <f>1+H500*'Prestige Patterns'!$B$25</f>
        <v>358.06</v>
      </c>
      <c r="J500">
        <f>FLOOR((K500/'Prestige Patterns'!$B$22)^'Prestige Patterns'!$B$23,1)-H499</f>
        <v>12682</v>
      </c>
      <c r="K500" s="8">
        <f>K499+N499*'Prestige Patterns'!$B$20</f>
        <v>234146269982730</v>
      </c>
      <c r="L500" s="2">
        <f>IF(J499&gt;='Prestige Patterns'!$B$28,IF(J499/(H499+1)&gt;('Prestige Patterns'!$B$27+1),L499+1,L499),L499)</f>
        <v>8</v>
      </c>
      <c r="N500">
        <f t="shared" si="0"/>
        <v>267041033420.79999</v>
      </c>
      <c r="O500" s="3">
        <f>'Prestige Patterns'!$B$4*E500</f>
        <v>11380</v>
      </c>
      <c r="P500">
        <f t="shared" si="3"/>
        <v>65536</v>
      </c>
      <c r="Q500" s="5"/>
      <c r="R500" s="5"/>
      <c r="S500" s="3">
        <v>499</v>
      </c>
      <c r="T500" s="5"/>
    </row>
    <row r="501" spans="1:20" ht="12">
      <c r="A501" s="1"/>
      <c r="B501" s="1"/>
      <c r="C501" s="2">
        <f>(S501*'Prestige Patterns'!$B$20)/60</f>
        <v>250</v>
      </c>
      <c r="D501" s="2">
        <f>IF(L500=L501,N500*'Prestige Patterns'!$B$20+D500-F501,0)</f>
        <v>10932161063657.262</v>
      </c>
      <c r="E501" s="3">
        <f t="shared" si="1"/>
        <v>571</v>
      </c>
      <c r="F501" s="8">
        <f>'Prestige Patterns'!$B$5*('Prestige Patterns'!$B$6^E500-'Prestige Patterns'!$B$6^(E500+G501))/(1-'Prestige Patterns'!$B$6)</f>
        <v>9343832039956.9648</v>
      </c>
      <c r="G501" s="8">
        <f>FLOOR(LOG('Prestige Patterns'!$B$6^(E500) - (D500*(1-'Prestige Patterns'!$B$6)/'Prestige Patterns'!$B$5),'Prestige Patterns'!$B$6)-E500,1)</f>
        <v>2</v>
      </c>
      <c r="H501">
        <f t="shared" si="2"/>
        <v>35706</v>
      </c>
      <c r="I501" s="5">
        <f>1+H501*'Prestige Patterns'!$B$25</f>
        <v>358.06</v>
      </c>
      <c r="J501">
        <f>FLOOR((K501/'Prestige Patterns'!$B$22)^'Prestige Patterns'!$B$23,1)-H500</f>
        <v>13503</v>
      </c>
      <c r="K501" s="8">
        <f>K500+N500*'Prestige Patterns'!$B$20</f>
        <v>242157500985354</v>
      </c>
      <c r="L501" s="2">
        <f>IF(J500&gt;='Prestige Patterns'!$B$28,IF(J500/(H500+1)&gt;('Prestige Patterns'!$B$27+1),L500+1,L500),L500)</f>
        <v>8</v>
      </c>
      <c r="N501">
        <f t="shared" si="0"/>
        <v>267979666227.20001</v>
      </c>
      <c r="O501" s="3">
        <f>'Prestige Patterns'!$B$4*E501</f>
        <v>11420</v>
      </c>
      <c r="P501">
        <f t="shared" si="3"/>
        <v>65536</v>
      </c>
      <c r="Q501" s="5"/>
      <c r="R501" s="5"/>
      <c r="S501" s="3">
        <v>500</v>
      </c>
      <c r="T501" s="5"/>
    </row>
    <row r="502" spans="1:20" ht="12">
      <c r="A502" s="1"/>
      <c r="B502" s="1"/>
      <c r="C502" s="2">
        <f>(S502*'Prestige Patterns'!$B$20)/60</f>
        <v>250.5</v>
      </c>
      <c r="D502" s="2">
        <f>IF(L501=L502,N501*'Prestige Patterns'!$B$20+D501-F502,0)</f>
        <v>8669976226420.7129</v>
      </c>
      <c r="E502" s="3">
        <f t="shared" si="1"/>
        <v>573</v>
      </c>
      <c r="F502" s="8">
        <f>'Prestige Patterns'!$B$5*('Prestige Patterns'!$B$6^E501-'Prestige Patterns'!$B$6^(E501+G502))/(1-'Prestige Patterns'!$B$6)</f>
        <v>10301574824052.549</v>
      </c>
      <c r="G502" s="8">
        <f>FLOOR(LOG('Prestige Patterns'!$B$6^(E501) - (D501*(1-'Prestige Patterns'!$B$6)/'Prestige Patterns'!$B$5),'Prestige Patterns'!$B$6)-E501,1)</f>
        <v>2</v>
      </c>
      <c r="H502">
        <f t="shared" si="2"/>
        <v>35706</v>
      </c>
      <c r="I502" s="5">
        <f>1+H502*'Prestige Patterns'!$B$25</f>
        <v>358.06</v>
      </c>
      <c r="J502">
        <f>FLOOR((K502/'Prestige Patterns'!$B$22)^'Prestige Patterns'!$B$23,1)-H501</f>
        <v>14313</v>
      </c>
      <c r="K502" s="8">
        <f>K501+N501*'Prestige Patterns'!$B$20</f>
        <v>250196890972170</v>
      </c>
      <c r="L502" s="2">
        <f>IF(J501&gt;='Prestige Patterns'!$B$28,IF(J501/(H501+1)&gt;('Prestige Patterns'!$B$27+1),L501+1,L501),L501)</f>
        <v>8</v>
      </c>
      <c r="N502">
        <f t="shared" si="0"/>
        <v>268918299033.60001</v>
      </c>
      <c r="O502" s="3">
        <f>'Prestige Patterns'!$B$4*E502</f>
        <v>11460</v>
      </c>
      <c r="P502">
        <f t="shared" si="3"/>
        <v>65536</v>
      </c>
      <c r="Q502" s="5"/>
      <c r="R502" s="5"/>
      <c r="S502" s="3">
        <v>501</v>
      </c>
      <c r="T502" s="5"/>
    </row>
    <row r="503" spans="1:20" ht="12">
      <c r="A503" s="1"/>
      <c r="B503" s="1"/>
      <c r="C503" s="2">
        <f>(S503*'Prestige Patterns'!$B$20)/60</f>
        <v>251</v>
      </c>
      <c r="D503" s="2">
        <f>IF(L502=L503,N502*'Prestige Patterns'!$B$20+D502-F503,0)</f>
        <v>11197288005468.797</v>
      </c>
      <c r="E503" s="3">
        <f t="shared" si="1"/>
        <v>574</v>
      </c>
      <c r="F503" s="8">
        <f>'Prestige Patterns'!$B$5*('Prestige Patterns'!$B$6^E502-'Prestige Patterns'!$B$6^(E502+G503))/(1-'Prestige Patterns'!$B$6)</f>
        <v>5540237191959.917</v>
      </c>
      <c r="G503" s="8">
        <f>FLOOR(LOG('Prestige Patterns'!$B$6^(E502) - (D502*(1-'Prestige Patterns'!$B$6)/'Prestige Patterns'!$B$5),'Prestige Patterns'!$B$6)-E502,1)</f>
        <v>1</v>
      </c>
      <c r="H503">
        <f t="shared" si="2"/>
        <v>35706</v>
      </c>
      <c r="I503" s="5">
        <f>1+H503*'Prestige Patterns'!$B$25</f>
        <v>358.06</v>
      </c>
      <c r="J503">
        <f>FLOOR((K503/'Prestige Patterns'!$B$22)^'Prestige Patterns'!$B$23,1)-H502</f>
        <v>15113</v>
      </c>
      <c r="K503" s="8">
        <f>K502+N502*'Prestige Patterns'!$B$20</f>
        <v>258264439943178</v>
      </c>
      <c r="L503" s="2">
        <f>IF(J502&gt;='Prestige Patterns'!$B$28,IF(J502/(H502+1)&gt;('Prestige Patterns'!$B$27+1),L502+1,L502),L502)</f>
        <v>8</v>
      </c>
      <c r="N503">
        <f t="shared" si="0"/>
        <v>269387615436.79999</v>
      </c>
      <c r="O503" s="3">
        <f>'Prestige Patterns'!$B$4*E503</f>
        <v>11480</v>
      </c>
      <c r="P503">
        <f t="shared" si="3"/>
        <v>65536</v>
      </c>
      <c r="Q503" s="5"/>
      <c r="R503" s="5"/>
      <c r="S503" s="3">
        <v>502</v>
      </c>
      <c r="T503" s="5"/>
    </row>
    <row r="504" spans="1:20" ht="12">
      <c r="A504" s="1"/>
      <c r="B504" s="1"/>
      <c r="C504" s="2">
        <f>(S504*'Prestige Patterns'!$B$20)/60</f>
        <v>251.5</v>
      </c>
      <c r="D504" s="2">
        <f>IF(L503=L504,N503*'Prestige Patterns'!$B$20+D503-F504,0)</f>
        <v>13461667417014.773</v>
      </c>
      <c r="E504" s="3">
        <f t="shared" si="1"/>
        <v>575</v>
      </c>
      <c r="F504" s="8">
        <f>'Prestige Patterns'!$B$5*('Prestige Patterns'!$B$6^E503-'Prestige Patterns'!$B$6^(E503+G504))/(1-'Prestige Patterns'!$B$6)</f>
        <v>5817249051558.0225</v>
      </c>
      <c r="G504" s="8">
        <f>FLOOR(LOG('Prestige Patterns'!$B$6^(E503) - (D503*(1-'Prestige Patterns'!$B$6)/'Prestige Patterns'!$B$5),'Prestige Patterns'!$B$6)-E503,1)</f>
        <v>1</v>
      </c>
      <c r="H504">
        <f t="shared" si="2"/>
        <v>35706</v>
      </c>
      <c r="I504" s="5">
        <f>1+H504*'Prestige Patterns'!$B$25</f>
        <v>358.06</v>
      </c>
      <c r="J504">
        <f>FLOOR((K504/'Prestige Patterns'!$B$22)^'Prestige Patterns'!$B$23,1)-H503</f>
        <v>15902</v>
      </c>
      <c r="K504" s="8">
        <f>K503+N503*'Prestige Patterns'!$B$20</f>
        <v>266346068406282</v>
      </c>
      <c r="L504" s="2">
        <f>IF(J503&gt;='Prestige Patterns'!$B$28,IF(J503/(H503+1)&gt;('Prestige Patterns'!$B$27+1),L503+1,L503),L503)</f>
        <v>8</v>
      </c>
      <c r="N504">
        <f t="shared" si="0"/>
        <v>269856931840</v>
      </c>
      <c r="O504" s="3">
        <f>'Prestige Patterns'!$B$4*E504</f>
        <v>11500</v>
      </c>
      <c r="P504">
        <f t="shared" si="3"/>
        <v>65536</v>
      </c>
      <c r="Q504" s="5"/>
      <c r="R504" s="5"/>
      <c r="S504" s="3">
        <v>503</v>
      </c>
      <c r="T504" s="5"/>
    </row>
    <row r="505" spans="1:20" ht="12">
      <c r="A505" s="1"/>
      <c r="B505" s="1"/>
      <c r="C505" s="2">
        <f>(S505*'Prestige Patterns'!$B$20)/60</f>
        <v>252</v>
      </c>
      <c r="D505" s="2">
        <f>IF(L504=L505,N504*'Prestige Patterns'!$B$20+D504-F505,0)</f>
        <v>9035746788736.2695</v>
      </c>
      <c r="E505" s="3">
        <f t="shared" si="1"/>
        <v>577</v>
      </c>
      <c r="F505" s="8">
        <f>'Prestige Patterns'!$B$5*('Prestige Patterns'!$B$6^E504-'Prestige Patterns'!$B$6^(E504+G505))/(1-'Prestige Patterns'!$B$6)</f>
        <v>12521628583478.504</v>
      </c>
      <c r="G505" s="8">
        <f>FLOOR(LOG('Prestige Patterns'!$B$6^(E504) - (D504*(1-'Prestige Patterns'!$B$6)/'Prestige Patterns'!$B$5),'Prestige Patterns'!$B$6)-E504,1)</f>
        <v>2</v>
      </c>
      <c r="H505">
        <f t="shared" si="2"/>
        <v>35706</v>
      </c>
      <c r="I505" s="5">
        <f>1+H505*'Prestige Patterns'!$B$25</f>
        <v>358.06</v>
      </c>
      <c r="J505">
        <f>FLOOR((K505/'Prestige Patterns'!$B$22)^'Prestige Patterns'!$B$23,1)-H504</f>
        <v>16681</v>
      </c>
      <c r="K505" s="8">
        <f>K504+N504*'Prestige Patterns'!$B$20</f>
        <v>274441776361482</v>
      </c>
      <c r="L505" s="2">
        <f>IF(J504&gt;='Prestige Patterns'!$B$28,IF(J504/(H504+1)&gt;('Prestige Patterns'!$B$27+1),L504+1,L504),L504)</f>
        <v>8</v>
      </c>
      <c r="N505">
        <f t="shared" si="0"/>
        <v>270795564646.39999</v>
      </c>
      <c r="O505" s="3">
        <f>'Prestige Patterns'!$B$4*E505</f>
        <v>11540</v>
      </c>
      <c r="P505">
        <f t="shared" si="3"/>
        <v>65536</v>
      </c>
      <c r="Q505" s="5"/>
      <c r="R505" s="5"/>
      <c r="S505" s="3">
        <v>504</v>
      </c>
      <c r="T505" s="5"/>
    </row>
    <row r="506" spans="1:20" ht="12">
      <c r="A506" s="1"/>
      <c r="B506" s="1"/>
      <c r="C506" s="2">
        <f>(S506*'Prestige Patterns'!$B$20)/60</f>
        <v>252.5</v>
      </c>
      <c r="D506" s="2">
        <f>IF(L505=L506,N505*'Prestige Patterns'!$B$20+D505-F506,0)</f>
        <v>10425420794818.49</v>
      </c>
      <c r="E506" s="3">
        <f t="shared" si="1"/>
        <v>578</v>
      </c>
      <c r="F506" s="8">
        <f>'Prestige Patterns'!$B$5*('Prestige Patterns'!$B$6^E505-'Prestige Patterns'!$B$6^(E505+G506))/(1-'Prestige Patterns'!$B$6)</f>
        <v>6734192933309.7793</v>
      </c>
      <c r="G506" s="8">
        <f>FLOOR(LOG('Prestige Patterns'!$B$6^(E505) - (D505*(1-'Prestige Patterns'!$B$6)/'Prestige Patterns'!$B$5),'Prestige Patterns'!$B$6)-E505,1)</f>
        <v>1</v>
      </c>
      <c r="H506">
        <f t="shared" si="2"/>
        <v>35706</v>
      </c>
      <c r="I506" s="5">
        <f>1+H506*'Prestige Patterns'!$B$25</f>
        <v>358.06</v>
      </c>
      <c r="J506">
        <f>FLOOR((K506/'Prestige Patterns'!$B$22)^'Prestige Patterns'!$B$23,1)-H505</f>
        <v>17450</v>
      </c>
      <c r="K506" s="8">
        <f>K505+N505*'Prestige Patterns'!$B$20</f>
        <v>282565643300874</v>
      </c>
      <c r="L506" s="2">
        <f>IF(J505&gt;='Prestige Patterns'!$B$28,IF(J505/(H505+1)&gt;('Prestige Patterns'!$B$27+1),L505+1,L505),L505)</f>
        <v>8</v>
      </c>
      <c r="N506">
        <f t="shared" si="0"/>
        <v>271264881049.60001</v>
      </c>
      <c r="O506" s="3">
        <f>'Prestige Patterns'!$B$4*E506</f>
        <v>11560</v>
      </c>
      <c r="P506">
        <f t="shared" si="3"/>
        <v>65536</v>
      </c>
      <c r="Q506" s="5"/>
      <c r="R506" s="5"/>
      <c r="S506" s="3">
        <v>505</v>
      </c>
      <c r="T506" s="5"/>
    </row>
    <row r="507" spans="1:20" ht="12">
      <c r="A507" s="1"/>
      <c r="B507" s="1"/>
      <c r="C507" s="2">
        <f>(S507*'Prestige Patterns'!$B$20)/60</f>
        <v>253</v>
      </c>
      <c r="D507" s="2">
        <f>IF(L506=L507,N506*'Prestige Patterns'!$B$20+D506-F507,0)</f>
        <v>11492464646331.205</v>
      </c>
      <c r="E507" s="3">
        <f t="shared" si="1"/>
        <v>579</v>
      </c>
      <c r="F507" s="8">
        <f>'Prestige Patterns'!$B$5*('Prestige Patterns'!$B$6^E506-'Prestige Patterns'!$B$6^(E506+G507))/(1-'Prestige Patterns'!$B$6)</f>
        <v>7070902579975.2871</v>
      </c>
      <c r="G507" s="8">
        <f>FLOOR(LOG('Prestige Patterns'!$B$6^(E506) - (D506*(1-'Prestige Patterns'!$B$6)/'Prestige Patterns'!$B$5),'Prestige Patterns'!$B$6)-E506,1)</f>
        <v>1</v>
      </c>
      <c r="H507">
        <f t="shared" si="2"/>
        <v>35706</v>
      </c>
      <c r="I507" s="5">
        <f>1+H507*'Prestige Patterns'!$B$25</f>
        <v>358.06</v>
      </c>
      <c r="J507">
        <f>FLOOR((K507/'Prestige Patterns'!$B$22)^'Prestige Patterns'!$B$23,1)-H506</f>
        <v>18210</v>
      </c>
      <c r="K507" s="8">
        <f>K506+N506*'Prestige Patterns'!$B$20</f>
        <v>290703589732362</v>
      </c>
      <c r="L507" s="2">
        <f>IF(J506&gt;='Prestige Patterns'!$B$28,IF(J506/(H506+1)&gt;('Prestige Patterns'!$B$27+1),L506+1,L506),L506)</f>
        <v>8</v>
      </c>
      <c r="N507">
        <f t="shared" si="0"/>
        <v>271734197452.79999</v>
      </c>
      <c r="O507" s="3">
        <f>'Prestige Patterns'!$B$4*E507</f>
        <v>11580</v>
      </c>
      <c r="P507">
        <f t="shared" si="3"/>
        <v>65536</v>
      </c>
      <c r="Q507" s="5"/>
      <c r="R507" s="5"/>
      <c r="S507" s="3">
        <v>506</v>
      </c>
      <c r="T507" s="5"/>
    </row>
    <row r="508" spans="1:20" ht="12">
      <c r="A508" s="1"/>
      <c r="B508" s="1"/>
      <c r="C508" s="2">
        <f>(S508*'Prestige Patterns'!$B$20)/60</f>
        <v>253.5</v>
      </c>
      <c r="D508" s="2">
        <f>IF(L507=L508,N507*'Prestige Patterns'!$B$20+D507-F508,0)</f>
        <v>12220042860941.168</v>
      </c>
      <c r="E508" s="3">
        <f t="shared" si="1"/>
        <v>580</v>
      </c>
      <c r="F508" s="8">
        <f>'Prestige Patterns'!$B$5*('Prestige Patterns'!$B$6^E507-'Prestige Patterns'!$B$6^(E507+G508))/(1-'Prestige Patterns'!$B$6)</f>
        <v>7424447708974.0361</v>
      </c>
      <c r="G508" s="8">
        <f>FLOOR(LOG('Prestige Patterns'!$B$6^(E507) - (D507*(1-'Prestige Patterns'!$B$6)/'Prestige Patterns'!$B$5),'Prestige Patterns'!$B$6)-E507,1)</f>
        <v>1</v>
      </c>
      <c r="H508">
        <f t="shared" si="2"/>
        <v>35706</v>
      </c>
      <c r="I508" s="5">
        <f>1+H508*'Prestige Patterns'!$B$25</f>
        <v>358.06</v>
      </c>
      <c r="J508">
        <f>FLOOR((K508/'Prestige Patterns'!$B$22)^'Prestige Patterns'!$B$23,1)-H507</f>
        <v>18961</v>
      </c>
      <c r="K508" s="8">
        <f>K507+N507*'Prestige Patterns'!$B$20</f>
        <v>298855615655946</v>
      </c>
      <c r="L508" s="2">
        <f>IF(J507&gt;='Prestige Patterns'!$B$28,IF(J507/(H507+1)&gt;('Prestige Patterns'!$B$27+1),L507+1,L507),L507)</f>
        <v>8</v>
      </c>
      <c r="N508">
        <f t="shared" si="0"/>
        <v>272203513856</v>
      </c>
      <c r="O508" s="3">
        <f>'Prestige Patterns'!$B$4*E508</f>
        <v>11600</v>
      </c>
      <c r="P508">
        <f t="shared" si="3"/>
        <v>65536</v>
      </c>
      <c r="Q508" s="5"/>
      <c r="R508" s="5"/>
      <c r="S508" s="3">
        <v>507</v>
      </c>
      <c r="T508" s="5"/>
    </row>
    <row r="509" spans="1:20" ht="12">
      <c r="A509" s="1"/>
      <c r="B509" s="1"/>
      <c r="C509" s="2">
        <f>(S509*'Prestige Patterns'!$B$20)/60</f>
        <v>254</v>
      </c>
      <c r="D509" s="2">
        <f>IF(L508=L509,N508*'Prestige Patterns'!$B$20+D508-F509,0)</f>
        <v>12590478182198.422</v>
      </c>
      <c r="E509" s="3">
        <f t="shared" si="1"/>
        <v>581</v>
      </c>
      <c r="F509" s="8">
        <f>'Prestige Patterns'!$B$5*('Prestige Patterns'!$B$6^E508-'Prestige Patterns'!$B$6^(E508+G509))/(1-'Prestige Patterns'!$B$6)</f>
        <v>7795670094422.7471</v>
      </c>
      <c r="G509" s="8">
        <f>FLOOR(LOG('Prestige Patterns'!$B$6^(E508) - (D508*(1-'Prestige Patterns'!$B$6)/'Prestige Patterns'!$B$5),'Prestige Patterns'!$B$6)-E508,1)</f>
        <v>1</v>
      </c>
      <c r="H509">
        <f t="shared" si="2"/>
        <v>35706</v>
      </c>
      <c r="I509" s="5">
        <f>1+H509*'Prestige Patterns'!$B$25</f>
        <v>358.06</v>
      </c>
      <c r="J509">
        <f>FLOOR((K509/'Prestige Patterns'!$B$22)^'Prestige Patterns'!$B$23,1)-H508</f>
        <v>19703</v>
      </c>
      <c r="K509" s="8">
        <f>K508+N508*'Prestige Patterns'!$B$20</f>
        <v>307021721071626</v>
      </c>
      <c r="L509" s="2">
        <f>IF(J508&gt;='Prestige Patterns'!$B$28,IF(J508/(H508+1)&gt;('Prestige Patterns'!$B$27+1),L508+1,L508),L508)</f>
        <v>8</v>
      </c>
      <c r="N509">
        <f t="shared" si="0"/>
        <v>272672830259.20001</v>
      </c>
      <c r="O509" s="3">
        <f>'Prestige Patterns'!$B$4*E509</f>
        <v>11620</v>
      </c>
      <c r="P509">
        <f t="shared" si="3"/>
        <v>65536</v>
      </c>
      <c r="Q509" s="5"/>
      <c r="R509" s="5"/>
      <c r="S509" s="3">
        <v>508</v>
      </c>
      <c r="T509" s="5"/>
    </row>
    <row r="510" spans="1:20" ht="12">
      <c r="A510" s="1"/>
      <c r="B510" s="1"/>
      <c r="C510" s="2">
        <f>(S510*'Prestige Patterns'!$B$20)/60</f>
        <v>254.5</v>
      </c>
      <c r="D510" s="2">
        <f>IF(L509=L510,N509*'Prestige Patterns'!$B$20+D509-F510,0)</f>
        <v>12585209490830.562</v>
      </c>
      <c r="E510" s="3">
        <f t="shared" si="1"/>
        <v>582</v>
      </c>
      <c r="F510" s="8">
        <f>'Prestige Patterns'!$B$5*('Prestige Patterns'!$B$6^E509-'Prestige Patterns'!$B$6^(E509+G510))/(1-'Prestige Patterns'!$B$6)</f>
        <v>8185453599143.8604</v>
      </c>
      <c r="G510" s="8">
        <f>FLOOR(LOG('Prestige Patterns'!$B$6^(E509) - (D509*(1-'Prestige Patterns'!$B$6)/'Prestige Patterns'!$B$5),'Prestige Patterns'!$B$6)-E509,1)</f>
        <v>1</v>
      </c>
      <c r="H510">
        <f t="shared" si="2"/>
        <v>35706</v>
      </c>
      <c r="I510" s="5">
        <f>1+H510*'Prestige Patterns'!$B$25</f>
        <v>358.06</v>
      </c>
      <c r="J510">
        <f>FLOOR((K510/'Prestige Patterns'!$B$22)^'Prestige Patterns'!$B$23,1)-H509</f>
        <v>20436</v>
      </c>
      <c r="K510" s="8">
        <f>K509+N509*'Prestige Patterns'!$B$20</f>
        <v>315201905979402</v>
      </c>
      <c r="L510" s="2">
        <f>IF(J509&gt;='Prestige Patterns'!$B$28,IF(J509/(H509+1)&gt;('Prestige Patterns'!$B$27+1),L509+1,L509),L509)</f>
        <v>8</v>
      </c>
      <c r="N510">
        <f t="shared" si="0"/>
        <v>273142146662.39999</v>
      </c>
      <c r="O510" s="3">
        <f>'Prestige Patterns'!$B$4*E510</f>
        <v>11640</v>
      </c>
      <c r="P510">
        <f t="shared" si="3"/>
        <v>65536</v>
      </c>
      <c r="Q510" s="5"/>
      <c r="R510" s="5"/>
      <c r="S510" s="3">
        <v>509</v>
      </c>
      <c r="T510" s="5"/>
    </row>
    <row r="511" spans="1:20" ht="12">
      <c r="A511" s="1"/>
      <c r="B511" s="1"/>
      <c r="C511" s="2">
        <f>(S511*'Prestige Patterns'!$B$20)/60</f>
        <v>255</v>
      </c>
      <c r="D511" s="2">
        <f>IF(L510=L511,N510*'Prestige Patterns'!$B$20+D510-F511,0)</f>
        <v>12184747611601.477</v>
      </c>
      <c r="E511" s="3">
        <f t="shared" si="1"/>
        <v>583</v>
      </c>
      <c r="F511" s="8">
        <f>'Prestige Patterns'!$B$5*('Prestige Patterns'!$B$6^E510-'Prestige Patterns'!$B$6^(E510+G511))/(1-'Prestige Patterns'!$B$6)</f>
        <v>8594726279101.0859</v>
      </c>
      <c r="G511" s="8">
        <f>FLOOR(LOG('Prestige Patterns'!$B$6^(E510) - (D510*(1-'Prestige Patterns'!$B$6)/'Prestige Patterns'!$B$5),'Prestige Patterns'!$B$6)-E510,1)</f>
        <v>1</v>
      </c>
      <c r="H511">
        <f t="shared" si="2"/>
        <v>35706</v>
      </c>
      <c r="I511" s="5">
        <f>1+H511*'Prestige Patterns'!$B$25</f>
        <v>358.06</v>
      </c>
      <c r="J511">
        <f>FLOOR((K511/'Prestige Patterns'!$B$22)^'Prestige Patterns'!$B$23,1)-H510</f>
        <v>21161</v>
      </c>
      <c r="K511" s="8">
        <f>K510+N510*'Prestige Patterns'!$B$20</f>
        <v>323396170379274</v>
      </c>
      <c r="L511" s="2">
        <f>IF(J510&gt;='Prestige Patterns'!$B$28,IF(J510/(H510+1)&gt;('Prestige Patterns'!$B$27+1),L510+1,L510),L510)</f>
        <v>8</v>
      </c>
      <c r="N511">
        <f t="shared" si="0"/>
        <v>273611463065.60001</v>
      </c>
      <c r="O511" s="3">
        <f>'Prestige Patterns'!$B$4*E511</f>
        <v>11660</v>
      </c>
      <c r="P511">
        <f t="shared" si="3"/>
        <v>65536</v>
      </c>
      <c r="Q511" s="5"/>
      <c r="R511" s="5"/>
      <c r="S511" s="3">
        <v>510</v>
      </c>
      <c r="T511" s="5"/>
    </row>
    <row r="512" spans="1:20" ht="12">
      <c r="A512" s="1"/>
      <c r="B512" s="1"/>
      <c r="C512" s="2">
        <f>(S512*'Prestige Patterns'!$B$20)/60</f>
        <v>255.5</v>
      </c>
      <c r="D512" s="2">
        <f>IF(L511=L512,N511*'Prestige Patterns'!$B$20+D511-F512,0)</f>
        <v>11368628910513.352</v>
      </c>
      <c r="E512" s="3">
        <f t="shared" si="1"/>
        <v>584</v>
      </c>
      <c r="F512" s="8">
        <f>'Prestige Patterns'!$B$5*('Prestige Patterns'!$B$6^E511-'Prestige Patterns'!$B$6^(E511+G512))/(1-'Prestige Patterns'!$B$6)</f>
        <v>9024462593056.125</v>
      </c>
      <c r="G512" s="8">
        <f>FLOOR(LOG('Prestige Patterns'!$B$6^(E511) - (D511*(1-'Prestige Patterns'!$B$6)/'Prestige Patterns'!$B$5),'Prestige Patterns'!$B$6)-E511,1)</f>
        <v>1</v>
      </c>
      <c r="H512">
        <f t="shared" si="2"/>
        <v>35706</v>
      </c>
      <c r="I512" s="5">
        <f>1+H512*'Prestige Patterns'!$B$25</f>
        <v>358.06</v>
      </c>
      <c r="J512">
        <f>FLOOR((K512/'Prestige Patterns'!$B$22)^'Prestige Patterns'!$B$23,1)-H511</f>
        <v>21879</v>
      </c>
      <c r="K512" s="8">
        <f>K511+N511*'Prestige Patterns'!$B$20</f>
        <v>331604514271242</v>
      </c>
      <c r="L512" s="2">
        <f>IF(J511&gt;='Prestige Patterns'!$B$28,IF(J511/(H511+1)&gt;('Prestige Patterns'!$B$27+1),L511+1,L511),L511)</f>
        <v>8</v>
      </c>
      <c r="N512">
        <f t="shared" si="0"/>
        <v>274080779468.79999</v>
      </c>
      <c r="O512" s="3">
        <f>'Prestige Patterns'!$B$4*E512</f>
        <v>11680</v>
      </c>
      <c r="P512">
        <f t="shared" si="3"/>
        <v>65536</v>
      </c>
      <c r="Q512" s="5"/>
      <c r="R512" s="5"/>
      <c r="S512" s="3">
        <v>511</v>
      </c>
      <c r="T512" s="5"/>
    </row>
    <row r="513" spans="1:20" ht="12">
      <c r="A513" s="1"/>
      <c r="B513" s="1"/>
      <c r="C513" s="2">
        <f>(S513*'Prestige Patterns'!$B$20)/60</f>
        <v>256</v>
      </c>
      <c r="D513" s="2">
        <f>IF(L512=L513,N512*'Prestige Patterns'!$B$20+D512-F513,0)</f>
        <v>10115366571868.414</v>
      </c>
      <c r="E513" s="3">
        <f t="shared" si="1"/>
        <v>585</v>
      </c>
      <c r="F513" s="8">
        <f>'Prestige Patterns'!$B$5*('Prestige Patterns'!$B$6^E512-'Prestige Patterns'!$B$6^(E512+G513))/(1-'Prestige Patterns'!$B$6)</f>
        <v>9475685722708.9375</v>
      </c>
      <c r="G513" s="8">
        <f>FLOOR(LOG('Prestige Patterns'!$B$6^(E512) - (D512*(1-'Prestige Patterns'!$B$6)/'Prestige Patterns'!$B$5),'Prestige Patterns'!$B$6)-E512,1)</f>
        <v>1</v>
      </c>
      <c r="H513">
        <f t="shared" si="2"/>
        <v>35706</v>
      </c>
      <c r="I513" s="5">
        <f>1+H513*'Prestige Patterns'!$B$25</f>
        <v>358.06</v>
      </c>
      <c r="J513">
        <f>FLOOR((K513/'Prestige Patterns'!$B$22)^'Prestige Patterns'!$B$23,1)-H512</f>
        <v>22588</v>
      </c>
      <c r="K513" s="8">
        <f>K512+N512*'Prestige Patterns'!$B$20</f>
        <v>339826937655306</v>
      </c>
      <c r="L513" s="2">
        <f>IF(J512&gt;='Prestige Patterns'!$B$28,IF(J512/(H512+1)&gt;('Prestige Patterns'!$B$27+1),L512+1,L512),L512)</f>
        <v>8</v>
      </c>
      <c r="N513">
        <f t="shared" si="0"/>
        <v>274550095872</v>
      </c>
      <c r="O513" s="3">
        <f>'Prestige Patterns'!$B$4*E513</f>
        <v>11700</v>
      </c>
      <c r="P513">
        <f t="shared" si="3"/>
        <v>65536</v>
      </c>
      <c r="Q513" s="5"/>
      <c r="R513" s="5"/>
      <c r="S513" s="3">
        <v>512</v>
      </c>
      <c r="T513" s="5"/>
    </row>
    <row r="514" spans="1:20" ht="12">
      <c r="A514" s="1"/>
      <c r="B514" s="1"/>
      <c r="C514" s="2">
        <f>(S514*'Prestige Patterns'!$B$20)/60</f>
        <v>256.5</v>
      </c>
      <c r="D514" s="2">
        <f>IF(L513=L514,N513*'Prestige Patterns'!$B$20+D513-F514,0)</f>
        <v>8402399439184.0488</v>
      </c>
      <c r="E514" s="3">
        <f t="shared" si="1"/>
        <v>586</v>
      </c>
      <c r="F514" s="8">
        <f>'Prestige Patterns'!$B$5*('Prestige Patterns'!$B$6^E513-'Prestige Patterns'!$B$6^(E513+G514))/(1-'Prestige Patterns'!$B$6)</f>
        <v>9949470008844.3652</v>
      </c>
      <c r="G514" s="8">
        <f>FLOOR(LOG('Prestige Patterns'!$B$6^(E513) - (D513*(1-'Prestige Patterns'!$B$6)/'Prestige Patterns'!$B$5),'Prestige Patterns'!$B$6)-E513,1)</f>
        <v>1</v>
      </c>
      <c r="H514">
        <f t="shared" si="2"/>
        <v>35706</v>
      </c>
      <c r="I514" s="5">
        <f>1+H514*'Prestige Patterns'!$B$25</f>
        <v>358.06</v>
      </c>
      <c r="J514">
        <f>FLOOR((K514/'Prestige Patterns'!$B$22)^'Prestige Patterns'!$B$23,1)-H513</f>
        <v>23290</v>
      </c>
      <c r="K514" s="8">
        <f>K513+N513*'Prestige Patterns'!$B$20</f>
        <v>348063440531466</v>
      </c>
      <c r="L514" s="2">
        <f>IF(J513&gt;='Prestige Patterns'!$B$28,IF(J513/(H513+1)&gt;('Prestige Patterns'!$B$27+1),L513+1,L513),L513)</f>
        <v>8</v>
      </c>
      <c r="N514">
        <f t="shared" si="0"/>
        <v>275019412275.20001</v>
      </c>
      <c r="O514" s="3">
        <f>'Prestige Patterns'!$B$4*E514</f>
        <v>11720</v>
      </c>
      <c r="P514">
        <f t="shared" si="3"/>
        <v>65536</v>
      </c>
      <c r="Q514" s="5"/>
      <c r="R514" s="5"/>
      <c r="S514" s="3">
        <v>513</v>
      </c>
      <c r="T514" s="5"/>
    </row>
    <row r="515" spans="1:20" ht="12">
      <c r="A515" s="1"/>
      <c r="B515" s="1"/>
      <c r="C515" s="2">
        <f>(S515*'Prestige Patterns'!$B$20)/60</f>
        <v>257</v>
      </c>
      <c r="D515" s="2">
        <f>IF(L514=L515,N514*'Prestige Patterns'!$B$20+D514-F515,0)</f>
        <v>16652981807440.049</v>
      </c>
      <c r="E515" s="3">
        <f t="shared" si="1"/>
        <v>586</v>
      </c>
      <c r="F515" s="8">
        <f>'Prestige Patterns'!$B$5*('Prestige Patterns'!$B$6^E514-'Prestige Patterns'!$B$6^(E514+G515))/(1-'Prestige Patterns'!$B$6)</f>
        <v>0</v>
      </c>
      <c r="G515" s="8">
        <f>FLOOR(LOG('Prestige Patterns'!$B$6^(E514) - (D514*(1-'Prestige Patterns'!$B$6)/'Prestige Patterns'!$B$5),'Prestige Patterns'!$B$6)-E514,1)</f>
        <v>0</v>
      </c>
      <c r="H515">
        <f t="shared" si="2"/>
        <v>35706</v>
      </c>
      <c r="I515" s="5">
        <f>1+H515*'Prestige Patterns'!$B$25</f>
        <v>358.06</v>
      </c>
      <c r="J515">
        <f>FLOOR((K515/'Prestige Patterns'!$B$22)^'Prestige Patterns'!$B$23,1)-H514</f>
        <v>23986</v>
      </c>
      <c r="K515" s="8">
        <f>K514+N514*'Prestige Patterns'!$B$20</f>
        <v>356314022899722</v>
      </c>
      <c r="L515" s="2">
        <f>IF(J514&gt;='Prestige Patterns'!$B$28,IF(J514/(H514+1)&gt;('Prestige Patterns'!$B$27+1),L514+1,L514),L514)</f>
        <v>8</v>
      </c>
      <c r="N515">
        <f t="shared" si="0"/>
        <v>275019412275.20001</v>
      </c>
      <c r="O515" s="3">
        <f>'Prestige Patterns'!$B$4*E515</f>
        <v>11720</v>
      </c>
      <c r="P515">
        <f t="shared" si="3"/>
        <v>65536</v>
      </c>
      <c r="Q515" s="5"/>
      <c r="R515" s="5"/>
      <c r="S515" s="3">
        <v>514</v>
      </c>
      <c r="T515" s="5"/>
    </row>
    <row r="516" spans="1:20" ht="12">
      <c r="A516" s="1"/>
      <c r="B516" s="1"/>
      <c r="C516" s="2">
        <f>(S516*'Prestige Patterns'!$B$20)/60</f>
        <v>257.5</v>
      </c>
      <c r="D516" s="2">
        <f>IF(L515=L516,N515*'Prestige Patterns'!$B$20+D515-F516,0)</f>
        <v>14456620666409.416</v>
      </c>
      <c r="E516" s="3">
        <f t="shared" si="1"/>
        <v>587</v>
      </c>
      <c r="F516" s="8">
        <f>'Prestige Patterns'!$B$5*('Prestige Patterns'!$B$6^E515-'Prestige Patterns'!$B$6^(E515+G516))/(1-'Prestige Patterns'!$B$6)</f>
        <v>10446943509286.631</v>
      </c>
      <c r="G516" s="8">
        <f>FLOOR(LOG('Prestige Patterns'!$B$6^(E515) - (D515*(1-'Prestige Patterns'!$B$6)/'Prestige Patterns'!$B$5),'Prestige Patterns'!$B$6)-E515,1)</f>
        <v>1</v>
      </c>
      <c r="H516">
        <f t="shared" si="2"/>
        <v>35706</v>
      </c>
      <c r="I516" s="5">
        <f>1+H516*'Prestige Patterns'!$B$25</f>
        <v>358.06</v>
      </c>
      <c r="J516">
        <f>FLOOR((K516/'Prestige Patterns'!$B$22)^'Prestige Patterns'!$B$23,1)-H515</f>
        <v>24673</v>
      </c>
      <c r="K516" s="8">
        <f>K515+N515*'Prestige Patterns'!$B$20</f>
        <v>364564605267978</v>
      </c>
      <c r="L516" s="2">
        <f>IF(J515&gt;='Prestige Patterns'!$B$28,IF(J515/(H515+1)&gt;('Prestige Patterns'!$B$27+1),L515+1,L515),L515)</f>
        <v>8</v>
      </c>
      <c r="N516">
        <f t="shared" si="0"/>
        <v>275488728678.40002</v>
      </c>
      <c r="O516" s="3">
        <f>'Prestige Patterns'!$B$4*E516</f>
        <v>11740</v>
      </c>
      <c r="P516">
        <f t="shared" si="3"/>
        <v>65536</v>
      </c>
      <c r="Q516" s="5"/>
      <c r="R516" s="5"/>
      <c r="S516" s="3">
        <v>515</v>
      </c>
      <c r="T516" s="5"/>
    </row>
    <row r="517" spans="1:20" ht="12">
      <c r="A517" s="1"/>
      <c r="B517" s="1"/>
      <c r="C517" s="2">
        <f>(S517*'Prestige Patterns'!$B$20)/60</f>
        <v>258</v>
      </c>
      <c r="D517" s="2">
        <f>IF(L516=L517,N516*'Prestige Patterns'!$B$20+D516-F517,0)</f>
        <v>11751991842010.529</v>
      </c>
      <c r="E517" s="3">
        <f t="shared" si="1"/>
        <v>588</v>
      </c>
      <c r="F517" s="8">
        <f>'Prestige Patterns'!$B$5*('Prestige Patterns'!$B$6^E516-'Prestige Patterns'!$B$6^(E516+G517))/(1-'Prestige Patterns'!$B$6)</f>
        <v>10969290684750.889</v>
      </c>
      <c r="G517" s="8">
        <f>FLOOR(LOG('Prestige Patterns'!$B$6^(E516) - (D516*(1-'Prestige Patterns'!$B$6)/'Prestige Patterns'!$B$5),'Prestige Patterns'!$B$6)-E516,1)</f>
        <v>1</v>
      </c>
      <c r="H517">
        <f t="shared" si="2"/>
        <v>35706</v>
      </c>
      <c r="I517" s="5">
        <f>1+H517*'Prestige Patterns'!$B$25</f>
        <v>358.06</v>
      </c>
      <c r="J517">
        <f>FLOOR((K517/'Prestige Patterns'!$B$22)^'Prestige Patterns'!$B$23,1)-H516</f>
        <v>25353</v>
      </c>
      <c r="K517" s="8">
        <f>K516+N516*'Prestige Patterns'!$B$20</f>
        <v>372829267128330</v>
      </c>
      <c r="L517" s="2">
        <f>IF(J516&gt;='Prestige Patterns'!$B$28,IF(J516/(H516+1)&gt;('Prestige Patterns'!$B$27+1),L516+1,L516),L516)</f>
        <v>8</v>
      </c>
      <c r="N517">
        <f t="shared" si="0"/>
        <v>275958045081.59998</v>
      </c>
      <c r="O517" s="3">
        <f>'Prestige Patterns'!$B$4*E517</f>
        <v>11760</v>
      </c>
      <c r="P517">
        <f t="shared" si="3"/>
        <v>65536</v>
      </c>
      <c r="Q517" s="5"/>
      <c r="R517" s="5"/>
      <c r="S517" s="3">
        <v>516</v>
      </c>
      <c r="T517" s="5"/>
    </row>
    <row r="518" spans="1:20" ht="12">
      <c r="A518" s="1"/>
      <c r="B518" s="1"/>
      <c r="C518" s="2">
        <f>(S518*'Prestige Patterns'!$B$20)/60</f>
        <v>258.5</v>
      </c>
      <c r="D518" s="2">
        <f>IF(L517=L518,N517*'Prestige Patterns'!$B$20+D517-F518,0)</f>
        <v>8512977975469.9824</v>
      </c>
      <c r="E518" s="3">
        <f t="shared" si="1"/>
        <v>589</v>
      </c>
      <c r="F518" s="8">
        <f>'Prestige Patterns'!$B$5*('Prestige Patterns'!$B$6^E517-'Prestige Patterns'!$B$6^(E517+G518))/(1-'Prestige Patterns'!$B$6)</f>
        <v>11517755218988.545</v>
      </c>
      <c r="G518" s="8">
        <f>FLOOR(LOG('Prestige Patterns'!$B$6^(E517) - (D517*(1-'Prestige Patterns'!$B$6)/'Prestige Patterns'!$B$5),'Prestige Patterns'!$B$6)-E517,1)</f>
        <v>1</v>
      </c>
      <c r="H518">
        <f t="shared" si="2"/>
        <v>35706</v>
      </c>
      <c r="I518" s="5">
        <f>1+H518*'Prestige Patterns'!$B$25</f>
        <v>358.06</v>
      </c>
      <c r="J518">
        <f>FLOOR((K518/'Prestige Patterns'!$B$22)^'Prestige Patterns'!$B$23,1)-H517</f>
        <v>26027</v>
      </c>
      <c r="K518" s="8">
        <f>K517+N517*'Prestige Patterns'!$B$20</f>
        <v>381108008480778</v>
      </c>
      <c r="L518" s="2">
        <f>IF(J517&gt;='Prestige Patterns'!$B$28,IF(J517/(H517+1)&gt;('Prestige Patterns'!$B$27+1),L517+1,L517),L517)</f>
        <v>8</v>
      </c>
      <c r="N518">
        <f t="shared" si="0"/>
        <v>276427361484.79999</v>
      </c>
      <c r="O518" s="3">
        <f>'Prestige Patterns'!$B$4*E518</f>
        <v>11780</v>
      </c>
      <c r="P518">
        <f t="shared" si="3"/>
        <v>65536</v>
      </c>
      <c r="Q518" s="5"/>
      <c r="R518" s="5"/>
      <c r="S518" s="3">
        <v>517</v>
      </c>
      <c r="T518" s="5"/>
    </row>
    <row r="519" spans="1:20" ht="12">
      <c r="A519" s="1"/>
      <c r="B519" s="1"/>
      <c r="C519" s="2">
        <f>(S519*'Prestige Patterns'!$B$20)/60</f>
        <v>259</v>
      </c>
      <c r="D519" s="2">
        <f>IF(L518=L519,N518*'Prestige Patterns'!$B$20+D518-F519,0)</f>
        <v>16805798820013.982</v>
      </c>
      <c r="E519" s="3">
        <f t="shared" si="1"/>
        <v>589</v>
      </c>
      <c r="F519" s="8">
        <f>'Prestige Patterns'!$B$5*('Prestige Patterns'!$B$6^E518-'Prestige Patterns'!$B$6^(E518+G519))/(1-'Prestige Patterns'!$B$6)</f>
        <v>0</v>
      </c>
      <c r="G519" s="8">
        <f>FLOOR(LOG('Prestige Patterns'!$B$6^(E518) - (D518*(1-'Prestige Patterns'!$B$6)/'Prestige Patterns'!$B$5),'Prestige Patterns'!$B$6)-E518,1)</f>
        <v>0</v>
      </c>
      <c r="H519">
        <f t="shared" si="2"/>
        <v>35706</v>
      </c>
      <c r="I519" s="5">
        <f>1+H519*'Prestige Patterns'!$B$25</f>
        <v>358.06</v>
      </c>
      <c r="J519">
        <f>FLOOR((K519/'Prestige Patterns'!$B$22)^'Prestige Patterns'!$B$23,1)-H518</f>
        <v>26695</v>
      </c>
      <c r="K519" s="8">
        <f>K518+N518*'Prestige Patterns'!$B$20</f>
        <v>389400829325322</v>
      </c>
      <c r="L519" s="2">
        <f>IF(J518&gt;='Prestige Patterns'!$B$28,IF(J518/(H518+1)&gt;('Prestige Patterns'!$B$27+1),L518+1,L518),L518)</f>
        <v>8</v>
      </c>
      <c r="N519">
        <f t="shared" si="0"/>
        <v>276427361484.79999</v>
      </c>
      <c r="O519" s="3">
        <f>'Prestige Patterns'!$B$4*E519</f>
        <v>11780</v>
      </c>
      <c r="P519">
        <f t="shared" si="3"/>
        <v>65536</v>
      </c>
      <c r="Q519" s="5"/>
      <c r="R519" s="5"/>
      <c r="S519" s="3">
        <v>518</v>
      </c>
      <c r="T519" s="5"/>
    </row>
    <row r="520" spans="1:20" ht="12">
      <c r="A520" s="1"/>
      <c r="B520" s="1"/>
      <c r="C520" s="2">
        <f>(S520*'Prestige Patterns'!$B$20)/60</f>
        <v>259.5</v>
      </c>
      <c r="D520" s="2">
        <f>IF(L519=L520,N519*'Prestige Patterns'!$B$20+D519-F520,0)</f>
        <v>13004976684620.182</v>
      </c>
      <c r="E520" s="3">
        <f t="shared" si="1"/>
        <v>590</v>
      </c>
      <c r="F520" s="8">
        <f>'Prestige Patterns'!$B$5*('Prestige Patterns'!$B$6^E519-'Prestige Patterns'!$B$6^(E519+G520))/(1-'Prestige Patterns'!$B$6)</f>
        <v>12093642979937.803</v>
      </c>
      <c r="G520" s="8">
        <f>FLOOR(LOG('Prestige Patterns'!$B$6^(E519) - (D519*(1-'Prestige Patterns'!$B$6)/'Prestige Patterns'!$B$5),'Prestige Patterns'!$B$6)-E519,1)</f>
        <v>1</v>
      </c>
      <c r="H520">
        <f t="shared" si="2"/>
        <v>35706</v>
      </c>
      <c r="I520" s="5">
        <f>1+H520*'Prestige Patterns'!$B$25</f>
        <v>358.06</v>
      </c>
      <c r="J520">
        <f>FLOOR((K520/'Prestige Patterns'!$B$22)^'Prestige Patterns'!$B$23,1)-H519</f>
        <v>27356</v>
      </c>
      <c r="K520" s="8">
        <f>K519+N519*'Prestige Patterns'!$B$20</f>
        <v>397693650169866</v>
      </c>
      <c r="L520" s="2">
        <f>IF(J519&gt;='Prestige Patterns'!$B$28,IF(J519/(H519+1)&gt;('Prestige Patterns'!$B$27+1),L519+1,L519),L519)</f>
        <v>8</v>
      </c>
      <c r="N520">
        <f t="shared" si="0"/>
        <v>276896677888</v>
      </c>
      <c r="O520" s="3">
        <f>'Prestige Patterns'!$B$4*E520</f>
        <v>11800</v>
      </c>
      <c r="P520">
        <f t="shared" si="3"/>
        <v>65536</v>
      </c>
      <c r="Q520" s="5"/>
      <c r="R520" s="5"/>
      <c r="S520" s="3">
        <v>519</v>
      </c>
      <c r="T520" s="5"/>
    </row>
    <row r="521" spans="1:20" ht="12">
      <c r="A521" s="1"/>
      <c r="B521" s="1"/>
      <c r="C521" s="2">
        <f>(S521*'Prestige Patterns'!$B$20)/60</f>
        <v>260</v>
      </c>
      <c r="D521" s="2">
        <f>IF(L520=L521,N520*'Prestige Patterns'!$B$20+D520-F521,0)</f>
        <v>8613551892325.2695</v>
      </c>
      <c r="E521" s="3">
        <f t="shared" si="1"/>
        <v>591</v>
      </c>
      <c r="F521" s="8">
        <f>'Prestige Patterns'!$B$5*('Prestige Patterns'!$B$6^E520-'Prestige Patterns'!$B$6^(E520+G521))/(1-'Prestige Patterns'!$B$6)</f>
        <v>12698325128934.91</v>
      </c>
      <c r="G521" s="8">
        <f>FLOOR(LOG('Prestige Patterns'!$B$6^(E520) - (D520*(1-'Prestige Patterns'!$B$6)/'Prestige Patterns'!$B$5),'Prestige Patterns'!$B$6)-E520,1)</f>
        <v>1</v>
      </c>
      <c r="H521">
        <f t="shared" si="2"/>
        <v>35706</v>
      </c>
      <c r="I521" s="5">
        <f>1+H521*'Prestige Patterns'!$B$25</f>
        <v>358.06</v>
      </c>
      <c r="J521">
        <f>FLOOR((K521/'Prestige Patterns'!$B$22)^'Prestige Patterns'!$B$23,1)-H520</f>
        <v>28012</v>
      </c>
      <c r="K521" s="8">
        <f>K520+N520*'Prestige Patterns'!$B$20</f>
        <v>406000550506506</v>
      </c>
      <c r="L521" s="2">
        <f>IF(J520&gt;='Prestige Patterns'!$B$28,IF(J520/(H520+1)&gt;('Prestige Patterns'!$B$27+1),L520+1,L520),L520)</f>
        <v>8</v>
      </c>
      <c r="N521">
        <f t="shared" si="0"/>
        <v>277365994291.20001</v>
      </c>
      <c r="O521" s="3">
        <f>'Prestige Patterns'!$B$4*E521</f>
        <v>11820</v>
      </c>
      <c r="P521">
        <f t="shared" si="3"/>
        <v>65536</v>
      </c>
      <c r="Q521" s="5"/>
      <c r="R521" s="5"/>
      <c r="S521" s="3">
        <v>520</v>
      </c>
      <c r="T521" s="5"/>
    </row>
    <row r="522" spans="1:20" ht="12">
      <c r="A522" s="1"/>
      <c r="B522" s="1"/>
      <c r="C522" s="2">
        <f>(S522*'Prestige Patterns'!$B$20)/60</f>
        <v>260.5</v>
      </c>
      <c r="D522" s="2">
        <f>IF(L521=L522,N521*'Prestige Patterns'!$B$20+D521-F522,0)</f>
        <v>16934531721061.27</v>
      </c>
      <c r="E522" s="3">
        <f t="shared" si="1"/>
        <v>591</v>
      </c>
      <c r="F522" s="8">
        <f>'Prestige Patterns'!$B$5*('Prestige Patterns'!$B$6^E521-'Prestige Patterns'!$B$6^(E521+G522))/(1-'Prestige Patterns'!$B$6)</f>
        <v>0</v>
      </c>
      <c r="G522" s="8">
        <f>FLOOR(LOG('Prestige Patterns'!$B$6^(E521) - (D521*(1-'Prestige Patterns'!$B$6)/'Prestige Patterns'!$B$5),'Prestige Patterns'!$B$6)-E521,1)</f>
        <v>0</v>
      </c>
      <c r="H522">
        <f t="shared" si="2"/>
        <v>35706</v>
      </c>
      <c r="I522" s="5">
        <f>1+H522*'Prestige Patterns'!$B$25</f>
        <v>358.06</v>
      </c>
      <c r="J522">
        <f>FLOOR((K522/'Prestige Patterns'!$B$22)^'Prestige Patterns'!$B$23,1)-H521</f>
        <v>28661</v>
      </c>
      <c r="K522" s="8">
        <f>K521+N521*'Prestige Patterns'!$B$20</f>
        <v>414321530335242</v>
      </c>
      <c r="L522" s="2">
        <f>IF(J521&gt;='Prestige Patterns'!$B$28,IF(J521/(H521+1)&gt;('Prestige Patterns'!$B$27+1),L521+1,L521),L521)</f>
        <v>8</v>
      </c>
      <c r="N522">
        <f t="shared" si="0"/>
        <v>277365994291.20001</v>
      </c>
      <c r="O522" s="3">
        <f>'Prestige Patterns'!$B$4*E522</f>
        <v>11820</v>
      </c>
      <c r="P522">
        <f t="shared" si="3"/>
        <v>65536</v>
      </c>
      <c r="Q522" s="5"/>
      <c r="R522" s="5"/>
      <c r="S522" s="3">
        <v>521</v>
      </c>
      <c r="T522" s="5"/>
    </row>
    <row r="523" spans="1:20" ht="12">
      <c r="A523" s="1"/>
      <c r="B523" s="1"/>
      <c r="C523" s="2">
        <f>(S523*'Prestige Patterns'!$B$20)/60</f>
        <v>261</v>
      </c>
      <c r="D523" s="2">
        <f>IF(L522=L523,N522*'Prestige Patterns'!$B$20+D522-F523,0)</f>
        <v>11922270164415.758</v>
      </c>
      <c r="E523" s="3">
        <f t="shared" si="1"/>
        <v>592</v>
      </c>
      <c r="F523" s="8">
        <f>'Prestige Patterns'!$B$5*('Prestige Patterns'!$B$6^E522-'Prestige Patterns'!$B$6^(E522+G523))/(1-'Prestige Patterns'!$B$6)</f>
        <v>13333241385381.512</v>
      </c>
      <c r="G523" s="8">
        <f>FLOOR(LOG('Prestige Patterns'!$B$6^(E522) - (D522*(1-'Prestige Patterns'!$B$6)/'Prestige Patterns'!$B$5),'Prestige Patterns'!$B$6)-E522,1)</f>
        <v>1</v>
      </c>
      <c r="H523">
        <f t="shared" si="2"/>
        <v>35706</v>
      </c>
      <c r="I523" s="5">
        <f>1+H523*'Prestige Patterns'!$B$25</f>
        <v>358.06</v>
      </c>
      <c r="J523">
        <f>FLOOR((K523/'Prestige Patterns'!$B$22)^'Prestige Patterns'!$B$23,1)-H522</f>
        <v>29304</v>
      </c>
      <c r="K523" s="8">
        <f>K522+N522*'Prestige Patterns'!$B$20</f>
        <v>422642510163978</v>
      </c>
      <c r="L523" s="2">
        <f>IF(J522&gt;='Prestige Patterns'!$B$28,IF(J522/(H522+1)&gt;('Prestige Patterns'!$B$27+1),L522+1,L522),L522)</f>
        <v>8</v>
      </c>
      <c r="N523">
        <f t="shared" si="0"/>
        <v>277835310694.40002</v>
      </c>
      <c r="O523" s="3">
        <f>'Prestige Patterns'!$B$4*E523</f>
        <v>11840</v>
      </c>
      <c r="P523">
        <f t="shared" si="3"/>
        <v>65536</v>
      </c>
      <c r="Q523" s="5"/>
      <c r="R523" s="5"/>
      <c r="S523" s="3">
        <v>522</v>
      </c>
      <c r="T523" s="5"/>
    </row>
    <row r="524" spans="1:20" ht="12">
      <c r="A524" s="1"/>
      <c r="B524" s="1"/>
      <c r="C524" s="2">
        <f>(S524*'Prestige Patterns'!$B$20)/60</f>
        <v>261.5</v>
      </c>
      <c r="D524" s="2">
        <f>IF(L523=L524,N523*'Prestige Patterns'!$B$20+D523-F524,0)</f>
        <v>20257329485247.758</v>
      </c>
      <c r="E524" s="3">
        <f t="shared" si="1"/>
        <v>592</v>
      </c>
      <c r="F524" s="8">
        <f>'Prestige Patterns'!$B$5*('Prestige Patterns'!$B$6^E523-'Prestige Patterns'!$B$6^(E523+G524))/(1-'Prestige Patterns'!$B$6)</f>
        <v>0</v>
      </c>
      <c r="G524" s="8">
        <f>FLOOR(LOG('Prestige Patterns'!$B$6^(E523) - (D523*(1-'Prestige Patterns'!$B$6)/'Prestige Patterns'!$B$5),'Prestige Patterns'!$B$6)-E523,1)</f>
        <v>0</v>
      </c>
      <c r="H524">
        <f t="shared" si="2"/>
        <v>35706</v>
      </c>
      <c r="I524" s="5">
        <f>1+H524*'Prestige Patterns'!$B$25</f>
        <v>358.06</v>
      </c>
      <c r="J524">
        <f>FLOOR((K524/'Prestige Patterns'!$B$22)^'Prestige Patterns'!$B$23,1)-H523</f>
        <v>29942</v>
      </c>
      <c r="K524" s="8">
        <f>K523+N523*'Prestige Patterns'!$B$20</f>
        <v>430977569484810</v>
      </c>
      <c r="L524" s="2">
        <f>IF(J523&gt;='Prestige Patterns'!$B$28,IF(J523/(H523+1)&gt;('Prestige Patterns'!$B$27+1),L523+1,L523),L523)</f>
        <v>8</v>
      </c>
      <c r="N524">
        <f t="shared" si="0"/>
        <v>277835310694.40002</v>
      </c>
      <c r="O524" s="3">
        <f>'Prestige Patterns'!$B$4*E524</f>
        <v>11840</v>
      </c>
      <c r="P524">
        <f t="shared" si="3"/>
        <v>65536</v>
      </c>
      <c r="Q524" s="5"/>
      <c r="R524" s="5"/>
      <c r="S524" s="3">
        <v>523</v>
      </c>
      <c r="T524" s="5"/>
    </row>
    <row r="525" spans="1:20" ht="12">
      <c r="A525" s="1"/>
      <c r="B525" s="1"/>
      <c r="C525" s="2">
        <f>(S525*'Prestige Patterns'!$B$20)/60</f>
        <v>262</v>
      </c>
      <c r="D525" s="2">
        <f>IF(L524=L525,N524*'Prestige Patterns'!$B$20+D524-F525,0)</f>
        <v>14592485351429.105</v>
      </c>
      <c r="E525" s="3">
        <f t="shared" si="1"/>
        <v>593</v>
      </c>
      <c r="F525" s="8">
        <f>'Prestige Patterns'!$B$5*('Prestige Patterns'!$B$6^E524-'Prestige Patterns'!$B$6^(E524+G525))/(1-'Prestige Patterns'!$B$6)</f>
        <v>13999903454650.652</v>
      </c>
      <c r="G525" s="8">
        <f>FLOOR(LOG('Prestige Patterns'!$B$6^(E524) - (D524*(1-'Prestige Patterns'!$B$6)/'Prestige Patterns'!$B$5),'Prestige Patterns'!$B$6)-E524,1)</f>
        <v>1</v>
      </c>
      <c r="H525">
        <f t="shared" si="2"/>
        <v>35706</v>
      </c>
      <c r="I525" s="5">
        <f>1+H525*'Prestige Patterns'!$B$25</f>
        <v>358.06</v>
      </c>
      <c r="J525">
        <f>FLOOR((K525/'Prestige Patterns'!$B$22)^'Prestige Patterns'!$B$23,1)-H524</f>
        <v>30574</v>
      </c>
      <c r="K525" s="8">
        <f>K524+N524*'Prestige Patterns'!$B$20</f>
        <v>439312628805642</v>
      </c>
      <c r="L525" s="2">
        <f>IF(J524&gt;='Prestige Patterns'!$B$28,IF(J524/(H524+1)&gt;('Prestige Patterns'!$B$27+1),L524+1,L524),L524)</f>
        <v>8</v>
      </c>
      <c r="N525">
        <f t="shared" si="0"/>
        <v>278304627097.59998</v>
      </c>
      <c r="O525" s="3">
        <f>'Prestige Patterns'!$B$4*E525</f>
        <v>11860</v>
      </c>
      <c r="P525">
        <f t="shared" si="3"/>
        <v>65536</v>
      </c>
      <c r="Q525" s="5"/>
      <c r="R525" s="5"/>
      <c r="S525" s="3">
        <v>524</v>
      </c>
      <c r="T525" s="5"/>
    </row>
    <row r="526" spans="1:20" ht="12">
      <c r="A526" s="1"/>
      <c r="B526" s="1"/>
      <c r="C526" s="2">
        <f>(S526*'Prestige Patterns'!$B$20)/60</f>
        <v>262.5</v>
      </c>
      <c r="D526" s="2">
        <f>IF(L525=L526,N525*'Prestige Patterns'!$B$20+D525-F526,0)</f>
        <v>22941624164357.105</v>
      </c>
      <c r="E526" s="3">
        <f t="shared" si="1"/>
        <v>593</v>
      </c>
      <c r="F526" s="8">
        <f>'Prestige Patterns'!$B$5*('Prestige Patterns'!$B$6^E525-'Prestige Patterns'!$B$6^(E525+G526))/(1-'Prestige Patterns'!$B$6)</f>
        <v>0</v>
      </c>
      <c r="G526" s="8">
        <f>FLOOR(LOG('Prestige Patterns'!$B$6^(E525) - (D525*(1-'Prestige Patterns'!$B$6)/'Prestige Patterns'!$B$5),'Prestige Patterns'!$B$6)-E525,1)</f>
        <v>0</v>
      </c>
      <c r="H526">
        <f t="shared" si="2"/>
        <v>35706</v>
      </c>
      <c r="I526" s="5">
        <f>1+H526*'Prestige Patterns'!$B$25</f>
        <v>358.06</v>
      </c>
      <c r="J526">
        <f>FLOOR((K526/'Prestige Patterns'!$B$22)^'Prestige Patterns'!$B$23,1)-H525</f>
        <v>31201</v>
      </c>
      <c r="K526" s="8">
        <f>K525+N525*'Prestige Patterns'!$B$20</f>
        <v>447661767618570</v>
      </c>
      <c r="L526" s="2">
        <f>IF(J525&gt;='Prestige Patterns'!$B$28,IF(J525/(H525+1)&gt;('Prestige Patterns'!$B$27+1),L525+1,L525),L525)</f>
        <v>8</v>
      </c>
      <c r="N526">
        <f t="shared" si="0"/>
        <v>278304627097.59998</v>
      </c>
      <c r="O526" s="3">
        <f>'Prestige Patterns'!$B$4*E526</f>
        <v>11860</v>
      </c>
      <c r="P526">
        <f t="shared" si="3"/>
        <v>65536</v>
      </c>
      <c r="Q526" s="5"/>
      <c r="R526" s="5"/>
      <c r="S526" s="3">
        <v>525</v>
      </c>
      <c r="T526" s="5"/>
    </row>
    <row r="527" spans="1:20" ht="12">
      <c r="A527" s="1"/>
      <c r="B527" s="1"/>
      <c r="C527" s="2">
        <f>(S527*'Prestige Patterns'!$B$20)/60</f>
        <v>263</v>
      </c>
      <c r="D527" s="2">
        <f>IF(L526=L527,N526*'Prestige Patterns'!$B$20+D526-F527,0)</f>
        <v>16590864349901.955</v>
      </c>
      <c r="E527" s="3">
        <f t="shared" si="1"/>
        <v>594</v>
      </c>
      <c r="F527" s="8">
        <f>'Prestige Patterns'!$B$5*('Prestige Patterns'!$B$6^E526-'Prestige Patterns'!$B$6^(E526+G527))/(1-'Prestige Patterns'!$B$6)</f>
        <v>14699898627383.15</v>
      </c>
      <c r="G527" s="8">
        <f>FLOOR(LOG('Prestige Patterns'!$B$6^(E526) - (D526*(1-'Prestige Patterns'!$B$6)/'Prestige Patterns'!$B$5),'Prestige Patterns'!$B$6)-E526,1)</f>
        <v>1</v>
      </c>
      <c r="H527">
        <f t="shared" si="2"/>
        <v>35706</v>
      </c>
      <c r="I527" s="5">
        <f>1+H527*'Prestige Patterns'!$B$25</f>
        <v>358.06</v>
      </c>
      <c r="J527">
        <f>FLOOR((K527/'Prestige Patterns'!$B$22)^'Prestige Patterns'!$B$23,1)-H526</f>
        <v>31822</v>
      </c>
      <c r="K527" s="8">
        <f>K526+N526*'Prestige Patterns'!$B$20</f>
        <v>456010906431498</v>
      </c>
      <c r="L527" s="2">
        <f>IF(J526&gt;='Prestige Patterns'!$B$28,IF(J526/(H526+1)&gt;('Prestige Patterns'!$B$27+1),L526+1,L526),L526)</f>
        <v>8</v>
      </c>
      <c r="N527">
        <f t="shared" si="0"/>
        <v>278773943500.79999</v>
      </c>
      <c r="O527" s="3">
        <f>'Prestige Patterns'!$B$4*E527</f>
        <v>11880</v>
      </c>
      <c r="P527">
        <f t="shared" si="3"/>
        <v>65536</v>
      </c>
      <c r="Q527" s="5"/>
      <c r="R527" s="5"/>
      <c r="S527" s="3">
        <v>526</v>
      </c>
      <c r="T527" s="5"/>
    </row>
    <row r="528" spans="1:20" ht="12">
      <c r="A528" s="1"/>
      <c r="B528" s="1"/>
      <c r="C528" s="2">
        <f>(S528*'Prestige Patterns'!$B$20)/60</f>
        <v>263.5</v>
      </c>
      <c r="D528" s="2">
        <f>IF(L527=L528,N527*'Prestige Patterns'!$B$20+D527-F528,0)</f>
        <v>9519189096173.6621</v>
      </c>
      <c r="E528" s="3">
        <f t="shared" si="1"/>
        <v>595</v>
      </c>
      <c r="F528" s="8">
        <f>'Prestige Patterns'!$B$5*('Prestige Patterns'!$B$6^E527-'Prestige Patterns'!$B$6^(E527+G528))/(1-'Prestige Patterns'!$B$6)</f>
        <v>15434893558752.291</v>
      </c>
      <c r="G528" s="8">
        <f>FLOOR(LOG('Prestige Patterns'!$B$6^(E527) - (D527*(1-'Prestige Patterns'!$B$6)/'Prestige Patterns'!$B$5),'Prestige Patterns'!$B$6)-E527,1)</f>
        <v>1</v>
      </c>
      <c r="H528">
        <f t="shared" si="2"/>
        <v>35706</v>
      </c>
      <c r="I528" s="5">
        <f>1+H528*'Prestige Patterns'!$B$25</f>
        <v>358.06</v>
      </c>
      <c r="J528">
        <f>FLOOR((K528/'Prestige Patterns'!$B$22)^'Prestige Patterns'!$B$23,1)-H527</f>
        <v>32439</v>
      </c>
      <c r="K528" s="8">
        <f>K527+N527*'Prestige Patterns'!$B$20</f>
        <v>464374124736522</v>
      </c>
      <c r="L528" s="2">
        <f>IF(J527&gt;='Prestige Patterns'!$B$28,IF(J527/(H527+1)&gt;('Prestige Patterns'!$B$27+1),L527+1,L527),L527)</f>
        <v>8</v>
      </c>
      <c r="N528">
        <f t="shared" si="0"/>
        <v>279243259904</v>
      </c>
      <c r="O528" s="3">
        <f>'Prestige Patterns'!$B$4*E528</f>
        <v>11900</v>
      </c>
      <c r="P528">
        <f t="shared" si="3"/>
        <v>65536</v>
      </c>
      <c r="Q528" s="5"/>
      <c r="R528" s="5"/>
      <c r="S528" s="3">
        <v>527</v>
      </c>
      <c r="T528" s="5"/>
    </row>
    <row r="529" spans="1:20" ht="12">
      <c r="A529" s="1"/>
      <c r="B529" s="1"/>
      <c r="C529" s="2">
        <f>(S529*'Prestige Patterns'!$B$20)/60</f>
        <v>264</v>
      </c>
      <c r="D529" s="2">
        <f>IF(L528=L529,N528*'Prestige Patterns'!$B$20+D528-F529,0)</f>
        <v>17896486893293.664</v>
      </c>
      <c r="E529" s="3">
        <f t="shared" si="1"/>
        <v>595</v>
      </c>
      <c r="F529" s="8">
        <f>'Prestige Patterns'!$B$5*('Prestige Patterns'!$B$6^E528-'Prestige Patterns'!$B$6^(E528+G529))/(1-'Prestige Patterns'!$B$6)</f>
        <v>0</v>
      </c>
      <c r="G529" s="8">
        <f>FLOOR(LOG('Prestige Patterns'!$B$6^(E528) - (D528*(1-'Prestige Patterns'!$B$6)/'Prestige Patterns'!$B$5),'Prestige Patterns'!$B$6)-E528,1)</f>
        <v>0</v>
      </c>
      <c r="H529">
        <f t="shared" si="2"/>
        <v>35706</v>
      </c>
      <c r="I529" s="5">
        <f>1+H529*'Prestige Patterns'!$B$25</f>
        <v>358.06</v>
      </c>
      <c r="J529">
        <f>FLOOR((K529/'Prestige Patterns'!$B$22)^'Prestige Patterns'!$B$23,1)-H528</f>
        <v>33050</v>
      </c>
      <c r="K529" s="8">
        <f>K528+N528*'Prestige Patterns'!$B$20</f>
        <v>472751422533642</v>
      </c>
      <c r="L529" s="2">
        <f>IF(J528&gt;='Prestige Patterns'!$B$28,IF(J528/(H528+1)&gt;('Prestige Patterns'!$B$27+1),L528+1,L528),L528)</f>
        <v>8</v>
      </c>
      <c r="N529">
        <f t="shared" si="0"/>
        <v>279243259904</v>
      </c>
      <c r="O529" s="3">
        <f>'Prestige Patterns'!$B$4*E529</f>
        <v>11900</v>
      </c>
      <c r="P529">
        <f t="shared" si="3"/>
        <v>65536</v>
      </c>
      <c r="Q529" s="5"/>
      <c r="R529" s="5"/>
      <c r="S529" s="3">
        <v>528</v>
      </c>
      <c r="T529" s="5"/>
    </row>
    <row r="530" spans="1:20" ht="12">
      <c r="A530" s="1"/>
      <c r="B530" s="1"/>
      <c r="C530" s="2">
        <f>(S530*'Prestige Patterns'!$B$20)/60</f>
        <v>264.5</v>
      </c>
      <c r="D530" s="2">
        <f>IF(L529=L530,N529*'Prestige Patterns'!$B$20+D529-F530,0)</f>
        <v>10067146453723.756</v>
      </c>
      <c r="E530" s="3">
        <f t="shared" si="1"/>
        <v>596</v>
      </c>
      <c r="F530" s="8">
        <f>'Prestige Patterns'!$B$5*('Prestige Patterns'!$B$6^E529-'Prestige Patterns'!$B$6^(E529+G530))/(1-'Prestige Patterns'!$B$6)</f>
        <v>16206638236689.908</v>
      </c>
      <c r="G530" s="8">
        <f>FLOOR(LOG('Prestige Patterns'!$B$6^(E529) - (D529*(1-'Prestige Patterns'!$B$6)/'Prestige Patterns'!$B$5),'Prestige Patterns'!$B$6)-E529,1)</f>
        <v>1</v>
      </c>
      <c r="H530">
        <f t="shared" si="2"/>
        <v>35706</v>
      </c>
      <c r="I530" s="5">
        <f>1+H530*'Prestige Patterns'!$B$25</f>
        <v>358.06</v>
      </c>
      <c r="J530">
        <f>FLOOR((K530/'Prestige Patterns'!$B$22)^'Prestige Patterns'!$B$23,1)-H529</f>
        <v>33657</v>
      </c>
      <c r="K530" s="8">
        <f>K529+N529*'Prestige Patterns'!$B$20</f>
        <v>481128720330762</v>
      </c>
      <c r="L530" s="2">
        <f>IF(J529&gt;='Prestige Patterns'!$B$28,IF(J529/(H529+1)&gt;('Prestige Patterns'!$B$27+1),L529+1,L529),L529)</f>
        <v>8</v>
      </c>
      <c r="N530">
        <f t="shared" si="0"/>
        <v>279712576307.20001</v>
      </c>
      <c r="O530" s="3">
        <f>'Prestige Patterns'!$B$4*E530</f>
        <v>11920</v>
      </c>
      <c r="P530">
        <f t="shared" si="3"/>
        <v>65536</v>
      </c>
      <c r="Q530" s="5"/>
      <c r="R530" s="5"/>
      <c r="S530" s="3">
        <v>529</v>
      </c>
      <c r="T530" s="5"/>
    </row>
    <row r="531" spans="1:20" ht="12">
      <c r="A531" s="1"/>
      <c r="B531" s="1"/>
      <c r="C531" s="2">
        <f>(S531*'Prestige Patterns'!$B$20)/60</f>
        <v>265</v>
      </c>
      <c r="D531" s="2">
        <f>IF(L530=L531,N530*'Prestige Patterns'!$B$20+D530-F531,0)</f>
        <v>18458523742939.758</v>
      </c>
      <c r="E531" s="3">
        <f t="shared" si="1"/>
        <v>596</v>
      </c>
      <c r="F531" s="8">
        <f>'Prestige Patterns'!$B$5*('Prestige Patterns'!$B$6^E530-'Prestige Patterns'!$B$6^(E530+G531))/(1-'Prestige Patterns'!$B$6)</f>
        <v>0</v>
      </c>
      <c r="G531" s="8">
        <f>FLOOR(LOG('Prestige Patterns'!$B$6^(E530) - (D530*(1-'Prestige Patterns'!$B$6)/'Prestige Patterns'!$B$5),'Prestige Patterns'!$B$6)-E530,1)</f>
        <v>0</v>
      </c>
      <c r="H531">
        <f t="shared" si="2"/>
        <v>35706</v>
      </c>
      <c r="I531" s="5">
        <f>1+H531*'Prestige Patterns'!$B$25</f>
        <v>358.06</v>
      </c>
      <c r="J531">
        <f>FLOOR((K531/'Prestige Patterns'!$B$22)^'Prestige Patterns'!$B$23,1)-H530</f>
        <v>34259</v>
      </c>
      <c r="K531" s="8">
        <f>K530+N530*'Prestige Patterns'!$B$20</f>
        <v>489520097619978</v>
      </c>
      <c r="L531" s="2">
        <f>IF(J530&gt;='Prestige Patterns'!$B$28,IF(J530/(H530+1)&gt;('Prestige Patterns'!$B$27+1),L530+1,L530),L530)</f>
        <v>8</v>
      </c>
      <c r="N531">
        <f t="shared" si="0"/>
        <v>279712576307.20001</v>
      </c>
      <c r="O531" s="3">
        <f>'Prestige Patterns'!$B$4*E531</f>
        <v>11920</v>
      </c>
      <c r="P531">
        <f t="shared" si="3"/>
        <v>65536</v>
      </c>
      <c r="Q531" s="5"/>
      <c r="R531" s="5"/>
      <c r="S531" s="3">
        <v>530</v>
      </c>
      <c r="T531" s="5"/>
    </row>
    <row r="532" spans="1:20" ht="12">
      <c r="A532" s="1"/>
      <c r="B532" s="1"/>
      <c r="C532" s="2">
        <f>(S532*'Prestige Patterns'!$B$20)/60</f>
        <v>265.5</v>
      </c>
      <c r="D532" s="2">
        <f>IF(L531=L532,N531*'Prestige Patterns'!$B$20+D531-F532,0)</f>
        <v>9832930883631.3594</v>
      </c>
      <c r="E532" s="3">
        <f t="shared" si="1"/>
        <v>597</v>
      </c>
      <c r="F532" s="8">
        <f>'Prestige Patterns'!$B$5*('Prestige Patterns'!$B$6^E531-'Prestige Patterns'!$B$6^(E531+G532))/(1-'Prestige Patterns'!$B$6)</f>
        <v>17016970148524.398</v>
      </c>
      <c r="G532" s="8">
        <f>FLOOR(LOG('Prestige Patterns'!$B$6^(E531) - (D531*(1-'Prestige Patterns'!$B$6)/'Prestige Patterns'!$B$5),'Prestige Patterns'!$B$6)-E531,1)</f>
        <v>1</v>
      </c>
      <c r="H532">
        <f t="shared" si="2"/>
        <v>35706</v>
      </c>
      <c r="I532" s="5">
        <f>1+H532*'Prestige Patterns'!$B$25</f>
        <v>358.06</v>
      </c>
      <c r="J532">
        <f>FLOOR((K532/'Prestige Patterns'!$B$22)^'Prestige Patterns'!$B$23,1)-H531</f>
        <v>34856</v>
      </c>
      <c r="K532" s="8">
        <f>K531+N531*'Prestige Patterns'!$B$20</f>
        <v>497911474909194</v>
      </c>
      <c r="L532" s="2">
        <f>IF(J531&gt;='Prestige Patterns'!$B$28,IF(J531/(H531+1)&gt;('Prestige Patterns'!$B$27+1),L531+1,L531),L531)</f>
        <v>8</v>
      </c>
      <c r="N532">
        <f t="shared" si="0"/>
        <v>280181892710.40002</v>
      </c>
      <c r="O532" s="3">
        <f>'Prestige Patterns'!$B$4*E532</f>
        <v>11940</v>
      </c>
      <c r="P532">
        <f t="shared" si="3"/>
        <v>65536</v>
      </c>
      <c r="Q532" s="5"/>
      <c r="R532" s="5"/>
      <c r="S532" s="3">
        <v>531</v>
      </c>
      <c r="T532" s="5"/>
    </row>
    <row r="533" spans="1:20" ht="12">
      <c r="A533" s="1"/>
      <c r="B533" s="1"/>
      <c r="C533" s="2">
        <f>(S533*'Prestige Patterns'!$B$20)/60</f>
        <v>266</v>
      </c>
      <c r="D533" s="2">
        <f>IF(L532=L533,N532*'Prestige Patterns'!$B$20+D532-F533,0)</f>
        <v>18238387664943.359</v>
      </c>
      <c r="E533" s="3">
        <f t="shared" si="1"/>
        <v>597</v>
      </c>
      <c r="F533" s="8">
        <f>'Prestige Patterns'!$B$5*('Prestige Patterns'!$B$6^E532-'Prestige Patterns'!$B$6^(E532+G533))/(1-'Prestige Patterns'!$B$6)</f>
        <v>0</v>
      </c>
      <c r="G533" s="8">
        <f>FLOOR(LOG('Prestige Patterns'!$B$6^(E532) - (D532*(1-'Prestige Patterns'!$B$6)/'Prestige Patterns'!$B$5),'Prestige Patterns'!$B$6)-E532,1)</f>
        <v>0</v>
      </c>
      <c r="H533">
        <f t="shared" si="2"/>
        <v>35706</v>
      </c>
      <c r="I533" s="5">
        <f>1+H533*'Prestige Patterns'!$B$25</f>
        <v>358.06</v>
      </c>
      <c r="J533">
        <f>FLOOR((K533/'Prestige Patterns'!$B$22)^'Prestige Patterns'!$B$23,1)-H532</f>
        <v>35449</v>
      </c>
      <c r="K533" s="8">
        <f>K532+N532*'Prestige Patterns'!$B$20</f>
        <v>506316931690506</v>
      </c>
      <c r="L533" s="2">
        <f>IF(J532&gt;='Prestige Patterns'!$B$28,IF(J532/(H532+1)&gt;('Prestige Patterns'!$B$27+1),L532+1,L532),L532)</f>
        <v>8</v>
      </c>
      <c r="N533">
        <f t="shared" si="0"/>
        <v>280181892710.40002</v>
      </c>
      <c r="O533" s="3">
        <f>'Prestige Patterns'!$B$4*E533</f>
        <v>11940</v>
      </c>
      <c r="P533">
        <f t="shared" si="3"/>
        <v>65536</v>
      </c>
      <c r="Q533" s="5"/>
      <c r="R533" s="5"/>
      <c r="S533" s="3">
        <v>532</v>
      </c>
      <c r="T533" s="5"/>
    </row>
    <row r="534" spans="1:20" ht="12">
      <c r="A534" s="1"/>
      <c r="B534" s="1"/>
      <c r="C534" s="2">
        <f>(S534*'Prestige Patterns'!$B$20)/60</f>
        <v>266.5</v>
      </c>
      <c r="D534" s="2">
        <f>IF(L533=L534,N533*'Prestige Patterns'!$B$20+D533-F534,0)</f>
        <v>8776025790304.75</v>
      </c>
      <c r="E534" s="3">
        <f t="shared" si="1"/>
        <v>598</v>
      </c>
      <c r="F534" s="8">
        <f>'Prestige Patterns'!$B$5*('Prestige Patterns'!$B$6^E533-'Prestige Patterns'!$B$6^(E533+G534))/(1-'Prestige Patterns'!$B$6)</f>
        <v>17867818655950.609</v>
      </c>
      <c r="G534" s="8">
        <f>FLOOR(LOG('Prestige Patterns'!$B$6^(E533) - (D533*(1-'Prestige Patterns'!$B$6)/'Prestige Patterns'!$B$5),'Prestige Patterns'!$B$6)-E533,1)</f>
        <v>1</v>
      </c>
      <c r="H534">
        <f t="shared" si="2"/>
        <v>35706</v>
      </c>
      <c r="I534" s="5">
        <f>1+H534*'Prestige Patterns'!$B$25</f>
        <v>358.06</v>
      </c>
      <c r="J534">
        <f>FLOOR((K534/'Prestige Patterns'!$B$22)^'Prestige Patterns'!$B$23,1)-H533</f>
        <v>36038</v>
      </c>
      <c r="K534" s="8">
        <f>K533+N533*'Prestige Patterns'!$B$20</f>
        <v>514722388471818</v>
      </c>
      <c r="L534" s="2">
        <f>IF(J533&gt;='Prestige Patterns'!$B$28,IF(J533/(H533+1)&gt;('Prestige Patterns'!$B$27+1),L533+1,L533),L533)</f>
        <v>8</v>
      </c>
      <c r="N534">
        <f t="shared" si="0"/>
        <v>280651209113.59998</v>
      </c>
      <c r="O534" s="3">
        <f>'Prestige Patterns'!$B$4*E534</f>
        <v>11960</v>
      </c>
      <c r="P534">
        <f t="shared" si="3"/>
        <v>65536</v>
      </c>
      <c r="Q534" s="5"/>
      <c r="R534" s="5"/>
      <c r="S534" s="3">
        <v>533</v>
      </c>
      <c r="T534" s="5"/>
    </row>
    <row r="535" spans="1:20" ht="12">
      <c r="A535" s="1"/>
      <c r="B535" s="1"/>
      <c r="C535" s="2">
        <f>(S535*'Prestige Patterns'!$B$20)/60</f>
        <v>267</v>
      </c>
      <c r="D535" s="2">
        <f>IF(L534=L535,N534*'Prestige Patterns'!$B$20+D534-F535,0)</f>
        <v>17195562063712.75</v>
      </c>
      <c r="E535" s="3">
        <f t="shared" si="1"/>
        <v>598</v>
      </c>
      <c r="F535" s="8">
        <f>'Prestige Patterns'!$B$5*('Prestige Patterns'!$B$6^E534-'Prestige Patterns'!$B$6^(E534+G535))/(1-'Prestige Patterns'!$B$6)</f>
        <v>0</v>
      </c>
      <c r="G535" s="8">
        <f>FLOOR(LOG('Prestige Patterns'!$B$6^(E534) - (D534*(1-'Prestige Patterns'!$B$6)/'Prestige Patterns'!$B$5),'Prestige Patterns'!$B$6)-E534,1)</f>
        <v>0</v>
      </c>
      <c r="H535">
        <f t="shared" si="2"/>
        <v>35706</v>
      </c>
      <c r="I535" s="5">
        <f>1+H535*'Prestige Patterns'!$B$25</f>
        <v>358.06</v>
      </c>
      <c r="J535">
        <f>FLOOR((K535/'Prestige Patterns'!$B$22)^'Prestige Patterns'!$B$23,1)-H534</f>
        <v>36622</v>
      </c>
      <c r="K535" s="8">
        <f>K534+N534*'Prestige Patterns'!$B$20</f>
        <v>523141924745226</v>
      </c>
      <c r="L535" s="2">
        <f>IF(J534&gt;='Prestige Patterns'!$B$28,IF(J534/(H534+1)&gt;('Prestige Patterns'!$B$27+1),L534+1,L534),L534)</f>
        <v>8</v>
      </c>
      <c r="N535">
        <f t="shared" si="0"/>
        <v>280651209113.59998</v>
      </c>
      <c r="O535" s="3">
        <f>'Prestige Patterns'!$B$4*E535</f>
        <v>11960</v>
      </c>
      <c r="P535">
        <f t="shared" si="3"/>
        <v>65536</v>
      </c>
      <c r="Q535" s="5"/>
      <c r="R535" s="5"/>
      <c r="S535" s="3">
        <v>534</v>
      </c>
      <c r="T535" s="5"/>
    </row>
    <row r="536" spans="1:20" ht="12">
      <c r="A536" s="1"/>
      <c r="B536" s="1"/>
      <c r="C536" s="2">
        <f>(S536*'Prestige Patterns'!$B$20)/60</f>
        <v>267.5</v>
      </c>
      <c r="D536" s="2">
        <f>IF(L535=L536,N535*'Prestige Patterns'!$B$20+D535-F536,0)</f>
        <v>25615098337120.75</v>
      </c>
      <c r="E536" s="3">
        <f t="shared" si="1"/>
        <v>598</v>
      </c>
      <c r="F536" s="8">
        <f>'Prestige Patterns'!$B$5*('Prestige Patterns'!$B$6^E535-'Prestige Patterns'!$B$6^(E535+G536))/(1-'Prestige Patterns'!$B$6)</f>
        <v>0</v>
      </c>
      <c r="G536" s="8">
        <f>FLOOR(LOG('Prestige Patterns'!$B$6^(E535) - (D535*(1-'Prestige Patterns'!$B$6)/'Prestige Patterns'!$B$5),'Prestige Patterns'!$B$6)-E535,1)</f>
        <v>0</v>
      </c>
      <c r="H536">
        <f t="shared" si="2"/>
        <v>35706</v>
      </c>
      <c r="I536" s="5">
        <f>1+H536*'Prestige Patterns'!$B$25</f>
        <v>358.06</v>
      </c>
      <c r="J536">
        <f>FLOOR((K536/'Prestige Patterns'!$B$22)^'Prestige Patterns'!$B$23,1)-H535</f>
        <v>37202</v>
      </c>
      <c r="K536" s="8">
        <f>K535+N535*'Prestige Patterns'!$B$20</f>
        <v>531561461018634</v>
      </c>
      <c r="L536" s="2">
        <f>IF(J535&gt;='Prestige Patterns'!$B$28,IF(J535/(H535+1)&gt;('Prestige Patterns'!$B$27+1),L535+1,L535),L535)</f>
        <v>8</v>
      </c>
      <c r="N536">
        <f t="shared" si="0"/>
        <v>280651209113.59998</v>
      </c>
      <c r="O536" s="3">
        <f>'Prestige Patterns'!$B$4*E536</f>
        <v>11960</v>
      </c>
      <c r="P536">
        <f t="shared" si="3"/>
        <v>65536</v>
      </c>
      <c r="Q536" s="5"/>
      <c r="R536" s="5"/>
      <c r="S536" s="3">
        <v>535</v>
      </c>
      <c r="T536" s="5"/>
    </row>
    <row r="537" spans="1:20" ht="12">
      <c r="A537" s="1"/>
      <c r="B537" s="1"/>
      <c r="C537" s="2">
        <f>(S537*'Prestige Patterns'!$B$20)/60</f>
        <v>268</v>
      </c>
      <c r="D537" s="2">
        <f>IF(L536=L537,N536*'Prestige Patterns'!$B$20+D536-F537,0)</f>
        <v>15273425021780.484</v>
      </c>
      <c r="E537" s="3">
        <f t="shared" si="1"/>
        <v>599</v>
      </c>
      <c r="F537" s="8">
        <f>'Prestige Patterns'!$B$5*('Prestige Patterns'!$B$6^E536-'Prestige Patterns'!$B$6^(E536+G537))/(1-'Prestige Patterns'!$B$6)</f>
        <v>18761209588748.266</v>
      </c>
      <c r="G537" s="8">
        <f>FLOOR(LOG('Prestige Patterns'!$B$6^(E536) - (D536*(1-'Prestige Patterns'!$B$6)/'Prestige Patterns'!$B$5),'Prestige Patterns'!$B$6)-E536,1)</f>
        <v>1</v>
      </c>
      <c r="H537">
        <f t="shared" si="2"/>
        <v>35706</v>
      </c>
      <c r="I537" s="5">
        <f>1+H537*'Prestige Patterns'!$B$25</f>
        <v>358.06</v>
      </c>
      <c r="J537">
        <f>FLOOR((K537/'Prestige Patterns'!$B$22)^'Prestige Patterns'!$B$23,1)-H536</f>
        <v>37777</v>
      </c>
      <c r="K537" s="8">
        <f>K536+N536*'Prestige Patterns'!$B$20</f>
        <v>539980997292042</v>
      </c>
      <c r="L537" s="2">
        <f>IF(J536&gt;='Prestige Patterns'!$B$28,IF(J536/(H536+1)&gt;('Prestige Patterns'!$B$27+1),L536+1,L536),L536)</f>
        <v>8</v>
      </c>
      <c r="N537">
        <f t="shared" si="0"/>
        <v>281120525516.79999</v>
      </c>
      <c r="O537" s="3">
        <f>'Prestige Patterns'!$B$4*E537</f>
        <v>11980</v>
      </c>
      <c r="P537">
        <f t="shared" si="3"/>
        <v>65536</v>
      </c>
      <c r="Q537" s="5"/>
      <c r="R537" s="5"/>
      <c r="S537" s="3">
        <v>536</v>
      </c>
      <c r="T537" s="5"/>
    </row>
    <row r="538" spans="1:20" ht="12">
      <c r="A538" s="1"/>
      <c r="B538" s="1"/>
      <c r="C538" s="2">
        <f>(S538*'Prestige Patterns'!$B$20)/60</f>
        <v>268.5</v>
      </c>
      <c r="D538" s="2">
        <f>IF(L537=L538,N537*'Prestige Patterns'!$B$20+D537-F538,0)</f>
        <v>23707040787284.484</v>
      </c>
      <c r="E538" s="3">
        <f t="shared" si="1"/>
        <v>599</v>
      </c>
      <c r="F538" s="8">
        <f>'Prestige Patterns'!$B$5*('Prestige Patterns'!$B$6^E537-'Prestige Patterns'!$B$6^(E537+G538))/(1-'Prestige Patterns'!$B$6)</f>
        <v>0</v>
      </c>
      <c r="G538" s="8">
        <f>FLOOR(LOG('Prestige Patterns'!$B$6^(E537) - (D537*(1-'Prestige Patterns'!$B$6)/'Prestige Patterns'!$B$5),'Prestige Patterns'!$B$6)-E537,1)</f>
        <v>0</v>
      </c>
      <c r="H538">
        <f t="shared" si="2"/>
        <v>35706</v>
      </c>
      <c r="I538" s="5">
        <f>1+H538*'Prestige Patterns'!$B$25</f>
        <v>358.06</v>
      </c>
      <c r="J538">
        <f>FLOOR((K538/'Prestige Patterns'!$B$22)^'Prestige Patterns'!$B$23,1)-H537</f>
        <v>38349</v>
      </c>
      <c r="K538" s="8">
        <f>K537+N537*'Prestige Patterns'!$B$20</f>
        <v>548414613057546</v>
      </c>
      <c r="L538" s="2">
        <f>IF(J537&gt;='Prestige Patterns'!$B$28,IF(J537/(H537+1)&gt;('Prestige Patterns'!$B$27+1),L537+1,L537),L537)</f>
        <v>8</v>
      </c>
      <c r="N538">
        <f t="shared" si="0"/>
        <v>281120525516.79999</v>
      </c>
      <c r="O538" s="3">
        <f>'Prestige Patterns'!$B$4*E538</f>
        <v>11980</v>
      </c>
      <c r="P538">
        <f t="shared" si="3"/>
        <v>65536</v>
      </c>
      <c r="Q538" s="5"/>
      <c r="R538" s="5"/>
      <c r="S538" s="3">
        <v>537</v>
      </c>
      <c r="T538" s="5"/>
    </row>
    <row r="539" spans="1:20" ht="12">
      <c r="A539" s="1"/>
      <c r="B539" s="1"/>
      <c r="C539" s="2">
        <f>(S539*'Prestige Patterns'!$B$20)/60</f>
        <v>269</v>
      </c>
      <c r="D539" s="2">
        <f>IF(L538=L539,N538*'Prestige Patterns'!$B$20+D538-F539,0)</f>
        <v>12441386484603.031</v>
      </c>
      <c r="E539" s="3">
        <f t="shared" si="1"/>
        <v>600</v>
      </c>
      <c r="F539" s="8">
        <f>'Prestige Patterns'!$B$5*('Prestige Patterns'!$B$6^E538-'Prestige Patterns'!$B$6^(E538+G539))/(1-'Prestige Patterns'!$B$6)</f>
        <v>19699270068185.453</v>
      </c>
      <c r="G539" s="8">
        <f>FLOOR(LOG('Prestige Patterns'!$B$6^(E538) - (D538*(1-'Prestige Patterns'!$B$6)/'Prestige Patterns'!$B$5),'Prestige Patterns'!$B$6)-E538,1)</f>
        <v>1</v>
      </c>
      <c r="H539">
        <f t="shared" si="2"/>
        <v>35706</v>
      </c>
      <c r="I539" s="5">
        <f>1+H539*'Prestige Patterns'!$B$25</f>
        <v>358.06</v>
      </c>
      <c r="J539">
        <f>FLOOR((K539/'Prestige Patterns'!$B$22)^'Prestige Patterns'!$B$23,1)-H538</f>
        <v>38916</v>
      </c>
      <c r="K539" s="8">
        <f>K538+N538*'Prestige Patterns'!$B$20</f>
        <v>556848228823050</v>
      </c>
      <c r="L539" s="2">
        <f>IF(J538&gt;='Prestige Patterns'!$B$28,IF(J538/(H538+1)&gt;('Prestige Patterns'!$B$27+1),L538+1,L538),L538)</f>
        <v>8</v>
      </c>
      <c r="N539">
        <f t="shared" si="0"/>
        <v>4505437470720</v>
      </c>
      <c r="O539" s="3">
        <f>'Prestige Patterns'!$B$4*E539</f>
        <v>12000</v>
      </c>
      <c r="P539">
        <f t="shared" si="3"/>
        <v>1048576</v>
      </c>
      <c r="Q539" s="5"/>
      <c r="R539" s="5"/>
      <c r="S539" s="3">
        <v>538</v>
      </c>
      <c r="T539" s="5"/>
    </row>
    <row r="540" spans="1:20" ht="12">
      <c r="A540" s="1"/>
      <c r="B540" s="1"/>
      <c r="C540" s="2">
        <f>(S540*'Prestige Patterns'!$B$20)/60</f>
        <v>269.5</v>
      </c>
      <c r="D540" s="2">
        <f>IF(L539=L540,N539*'Prestige Patterns'!$B$20+D539-F540,0)</f>
        <v>147604510606203.03</v>
      </c>
      <c r="E540" s="3">
        <f t="shared" si="1"/>
        <v>600</v>
      </c>
      <c r="F540" s="8">
        <f>'Prestige Patterns'!$B$5*('Prestige Patterns'!$B$6^E539-'Prestige Patterns'!$B$6^(E539+G540))/(1-'Prestige Patterns'!$B$6)</f>
        <v>0</v>
      </c>
      <c r="G540" s="8">
        <f>FLOOR(LOG('Prestige Patterns'!$B$6^(E539) - (D539*(1-'Prestige Patterns'!$B$6)/'Prestige Patterns'!$B$5),'Prestige Patterns'!$B$6)-E539,1)</f>
        <v>0</v>
      </c>
      <c r="H540">
        <f t="shared" si="2"/>
        <v>35706</v>
      </c>
      <c r="I540" s="5">
        <f>1+H540*'Prestige Patterns'!$B$25</f>
        <v>358.06</v>
      </c>
      <c r="J540">
        <f>FLOOR((K540/'Prestige Patterns'!$B$22)^'Prestige Patterns'!$B$23,1)-H539</f>
        <v>47481</v>
      </c>
      <c r="K540" s="8">
        <f>K539+N539*'Prestige Patterns'!$B$20</f>
        <v>692011352944650</v>
      </c>
      <c r="L540" s="2">
        <f>IF(J539&gt;='Prestige Patterns'!$B$28,IF(J539/(H539+1)&gt;('Prestige Patterns'!$B$27+1),L539+1,L539),L539)</f>
        <v>8</v>
      </c>
      <c r="N540">
        <f t="shared" si="0"/>
        <v>4505437470720</v>
      </c>
      <c r="O540" s="3">
        <f>'Prestige Patterns'!$B$4*E540</f>
        <v>12000</v>
      </c>
      <c r="P540">
        <f t="shared" si="3"/>
        <v>1048576</v>
      </c>
      <c r="Q540" s="5"/>
      <c r="R540" s="5"/>
      <c r="S540" s="3">
        <v>539</v>
      </c>
      <c r="T540" s="5"/>
    </row>
    <row r="541" spans="1:20" ht="12">
      <c r="A541" s="1"/>
      <c r="B541" s="1"/>
      <c r="C541" s="2">
        <f>(S541*'Prestige Patterns'!$B$20)/60</f>
        <v>270</v>
      </c>
      <c r="D541" s="2">
        <f>IF(L540=L541,N540*'Prestige Patterns'!$B$20+D540-F541,0)</f>
        <v>142075281380429.38</v>
      </c>
      <c r="E541" s="3">
        <f t="shared" si="1"/>
        <v>606</v>
      </c>
      <c r="F541" s="8">
        <f>'Prestige Patterns'!$B$5*('Prestige Patterns'!$B$6^E540-'Prestige Patterns'!$B$6^(E540+G541))/(1-'Prestige Patterns'!$B$6)</f>
        <v>140692353347373.62</v>
      </c>
      <c r="G541" s="8">
        <f>FLOOR(LOG('Prestige Patterns'!$B$6^(E540) - (D540*(1-'Prestige Patterns'!$B$6)/'Prestige Patterns'!$B$5),'Prestige Patterns'!$B$6)-E540,1)</f>
        <v>6</v>
      </c>
      <c r="H541">
        <f t="shared" si="2"/>
        <v>35706</v>
      </c>
      <c r="I541" s="5">
        <f>1+H541*'Prestige Patterns'!$B$25</f>
        <v>358.06</v>
      </c>
      <c r="J541">
        <f>FLOOR((K541/'Prestige Patterns'!$B$22)^'Prestige Patterns'!$B$23,1)-H540</f>
        <v>55243</v>
      </c>
      <c r="K541" s="8">
        <f>K540+N540*'Prestige Patterns'!$B$20</f>
        <v>827174477066250</v>
      </c>
      <c r="L541" s="2">
        <f>IF(J540&gt;='Prestige Patterns'!$B$28,IF(J540/(H540+1)&gt;('Prestige Patterns'!$B$27+1),L540+1,L540),L540)</f>
        <v>8</v>
      </c>
      <c r="N541">
        <f t="shared" si="0"/>
        <v>4550491845427.2002</v>
      </c>
      <c r="O541" s="3">
        <f>'Prestige Patterns'!$B$4*E541</f>
        <v>12120</v>
      </c>
      <c r="P541">
        <f t="shared" si="3"/>
        <v>1048576</v>
      </c>
      <c r="Q541" s="5"/>
      <c r="R541" s="5"/>
      <c r="S541" s="3">
        <v>540</v>
      </c>
      <c r="T541" s="5"/>
    </row>
    <row r="542" spans="1:20" ht="12">
      <c r="A542" s="1"/>
      <c r="B542" s="1"/>
      <c r="C542" s="2">
        <f>(S542*'Prestige Patterns'!$B$20)/60</f>
        <v>270.5</v>
      </c>
      <c r="D542" s="2">
        <f>IF(L541=L542,N541*'Prestige Patterns'!$B$20+D541-F542,0)</f>
        <v>0</v>
      </c>
      <c r="E542" s="3">
        <f t="shared" si="1"/>
        <v>1</v>
      </c>
      <c r="F542" s="8">
        <f>'Prestige Patterns'!$B$5*('Prestige Patterns'!$B$6^E541-'Prestige Patterns'!$B$6^(E541+G542))/(1-'Prestige Patterns'!$B$6)</f>
        <v>119471713696337.86</v>
      </c>
      <c r="G542" s="8">
        <f>FLOOR(LOG('Prestige Patterns'!$B$6^(E541) - (D541*(1-'Prestige Patterns'!$B$6)/'Prestige Patterns'!$B$5),'Prestige Patterns'!$B$6)-E541,1)</f>
        <v>4</v>
      </c>
      <c r="H542">
        <f t="shared" si="2"/>
        <v>90949</v>
      </c>
      <c r="I542" s="5">
        <f>1+H542*'Prestige Patterns'!$B$25</f>
        <v>910.49</v>
      </c>
      <c r="J542">
        <f>FLOOR((K542/'Prestige Patterns'!$B$22)^'Prestige Patterns'!$B$23,1)-H541</f>
        <v>62461</v>
      </c>
      <c r="K542" s="8">
        <f>K541+N541*'Prestige Patterns'!$B$20</f>
        <v>963689232429066</v>
      </c>
      <c r="L542" s="2">
        <f>IF(J541&gt;='Prestige Patterns'!$B$28,IF(J541/(H541+1)&gt;('Prestige Patterns'!$B$27+1),L541+1,L541),L541)</f>
        <v>9</v>
      </c>
      <c r="N542">
        <f t="shared" si="0"/>
        <v>19094359244.799999</v>
      </c>
      <c r="O542" s="3">
        <f>'Prestige Patterns'!$B$4*E542</f>
        <v>20</v>
      </c>
      <c r="P542">
        <f t="shared" si="3"/>
        <v>1048576</v>
      </c>
      <c r="Q542" s="5"/>
      <c r="R542" s="5"/>
      <c r="S542" s="3">
        <v>541</v>
      </c>
      <c r="T542" s="5"/>
    </row>
    <row r="543" spans="1:20" ht="12">
      <c r="A543" s="1"/>
      <c r="B543" s="1"/>
      <c r="C543" s="2">
        <f>(S543*'Prestige Patterns'!$B$20)/60</f>
        <v>271</v>
      </c>
      <c r="D543" s="2">
        <f>IF(L542=L543,N542*'Prestige Patterns'!$B$20+D542-F543,0)</f>
        <v>572830777344</v>
      </c>
      <c r="E543" s="3">
        <f t="shared" si="1"/>
        <v>1</v>
      </c>
      <c r="F543" s="8">
        <f>'Prestige Patterns'!$B$5*('Prestige Patterns'!$B$6^E542-'Prestige Patterns'!$B$6^(E542+G543))/(1-'Prestige Patterns'!$B$6)</f>
        <v>0</v>
      </c>
      <c r="G543" s="8">
        <f>FLOOR(LOG('Prestige Patterns'!$B$6^(E542) - (D542*(1-'Prestige Patterns'!$B$6)/'Prestige Patterns'!$B$5),'Prestige Patterns'!$B$6)-E542,1)</f>
        <v>0</v>
      </c>
      <c r="H543">
        <f t="shared" si="2"/>
        <v>90949</v>
      </c>
      <c r="I543" s="5">
        <f>1+H543*'Prestige Patterns'!$B$25</f>
        <v>910.49</v>
      </c>
      <c r="J543">
        <f>FLOOR((K543/'Prestige Patterns'!$B$22)^'Prestige Patterns'!$B$23,1)-H542</f>
        <v>7247</v>
      </c>
      <c r="K543" s="8">
        <f>K542+N542*'Prestige Patterns'!$B$20</f>
        <v>964262063206410</v>
      </c>
      <c r="L543" s="2">
        <f>IF(J542&gt;='Prestige Patterns'!$B$28,IF(J542/(H542+1)&gt;('Prestige Patterns'!$B$27+1),L542+1,L542),L542)</f>
        <v>9</v>
      </c>
      <c r="N543">
        <f t="shared" si="0"/>
        <v>19094359244.799999</v>
      </c>
      <c r="O543" s="3">
        <f>'Prestige Patterns'!$B$4*E543</f>
        <v>20</v>
      </c>
      <c r="P543">
        <f t="shared" si="3"/>
        <v>1048576</v>
      </c>
      <c r="Q543" s="5"/>
      <c r="R543" s="5"/>
      <c r="S543" s="3">
        <v>542</v>
      </c>
      <c r="T543" s="5"/>
    </row>
    <row r="544" spans="1:20" ht="12">
      <c r="A544" s="1"/>
      <c r="B544" s="1"/>
      <c r="C544" s="2">
        <f>(S544*'Prestige Patterns'!$B$20)/60</f>
        <v>271.5</v>
      </c>
      <c r="D544" s="2">
        <f>IF(L543=L544,N543*'Prestige Patterns'!$B$20+D543-F544,0)</f>
        <v>575347526159.96228</v>
      </c>
      <c r="E544" s="3">
        <f t="shared" si="1"/>
        <v>465</v>
      </c>
      <c r="F544" s="8">
        <f>'Prestige Patterns'!$B$5*('Prestige Patterns'!$B$6^E543-'Prestige Patterns'!$B$6^(E543+G544))/(1-'Prestige Patterns'!$B$6)</f>
        <v>570314028528.03772</v>
      </c>
      <c r="G544" s="8">
        <f>FLOOR(LOG('Prestige Patterns'!$B$6^(E543) - (D543*(1-'Prestige Patterns'!$B$6)/'Prestige Patterns'!$B$5),'Prestige Patterns'!$B$6)-E543,1)</f>
        <v>464</v>
      </c>
      <c r="H544">
        <f t="shared" si="2"/>
        <v>90949</v>
      </c>
      <c r="I544" s="5">
        <f>1+H544*'Prestige Patterns'!$B$25</f>
        <v>910.49</v>
      </c>
      <c r="J544">
        <f>FLOOR((K544/'Prestige Patterns'!$B$22)^'Prestige Patterns'!$B$23,1)-H543</f>
        <v>7277</v>
      </c>
      <c r="K544" s="8">
        <f>K543+N543*'Prestige Patterns'!$B$20</f>
        <v>964834893983754</v>
      </c>
      <c r="L544" s="2">
        <f>IF(J543&gt;='Prestige Patterns'!$B$28,IF(J543/(H543+1)&gt;('Prestige Patterns'!$B$27+1),L543+1,L543),L543)</f>
        <v>9</v>
      </c>
      <c r="N544">
        <f t="shared" si="0"/>
        <v>34683113472</v>
      </c>
      <c r="O544" s="3">
        <f>'Prestige Patterns'!$B$4*E544</f>
        <v>9300</v>
      </c>
      <c r="P544">
        <f t="shared" si="3"/>
        <v>4096</v>
      </c>
      <c r="Q544" s="5"/>
      <c r="R544" s="5"/>
      <c r="S544" s="3">
        <v>543</v>
      </c>
      <c r="T544" s="5"/>
    </row>
    <row r="545" spans="1:20" ht="12">
      <c r="A545" s="1"/>
      <c r="B545" s="1"/>
      <c r="C545" s="2">
        <f>(S545*'Prestige Patterns'!$B$20)/60</f>
        <v>272</v>
      </c>
      <c r="D545" s="2">
        <f>IF(L544=L545,N544*'Prestige Patterns'!$B$20+D544-F545,0)</f>
        <v>1056972192079.4418</v>
      </c>
      <c r="E545" s="3">
        <f t="shared" si="1"/>
        <v>479</v>
      </c>
      <c r="F545" s="8">
        <f>'Prestige Patterns'!$B$5*('Prestige Patterns'!$B$6^E544-'Prestige Patterns'!$B$6^(E544+G545))/(1-'Prestige Patterns'!$B$6)</f>
        <v>558868738240.52063</v>
      </c>
      <c r="G545" s="8">
        <f>FLOOR(LOG('Prestige Patterns'!$B$6^(E544) - (D544*(1-'Prestige Patterns'!$B$6)/'Prestige Patterns'!$B$5),'Prestige Patterns'!$B$6)-E544,1)</f>
        <v>14</v>
      </c>
      <c r="H545">
        <f t="shared" si="2"/>
        <v>90949</v>
      </c>
      <c r="I545" s="5">
        <f>1+H545*'Prestige Patterns'!$B$25</f>
        <v>910.49</v>
      </c>
      <c r="J545">
        <f>FLOOR((K545/'Prestige Patterns'!$B$22)^'Prestige Patterns'!$B$23,1)-H544</f>
        <v>7329</v>
      </c>
      <c r="K545" s="8">
        <f>K544+N544*'Prestige Patterns'!$B$20</f>
        <v>965875387387914</v>
      </c>
      <c r="L545" s="2">
        <f>IF(J544&gt;='Prestige Patterns'!$B$28,IF(J544/(H544+1)&gt;('Prestige Patterns'!$B$27+1),L544+1,L544),L544)</f>
        <v>9</v>
      </c>
      <c r="N545">
        <f t="shared" si="0"/>
        <v>35727336243.199997</v>
      </c>
      <c r="O545" s="3">
        <f>'Prestige Patterns'!$B$4*E545</f>
        <v>9580</v>
      </c>
      <c r="P545">
        <f t="shared" si="3"/>
        <v>4096</v>
      </c>
      <c r="Q545" s="5"/>
      <c r="R545" s="5"/>
      <c r="S545" s="3">
        <v>544</v>
      </c>
      <c r="T545" s="5"/>
    </row>
    <row r="546" spans="1:20" ht="12">
      <c r="A546" s="1"/>
      <c r="B546" s="1"/>
      <c r="C546" s="2">
        <f>(S546*'Prestige Patterns'!$B$20)/60</f>
        <v>272.5</v>
      </c>
      <c r="D546" s="2">
        <f>IF(L545=L546,N545*'Prestige Patterns'!$B$20+D545-F546,0)</f>
        <v>1128732530386.2957</v>
      </c>
      <c r="E546" s="3">
        <f t="shared" si="1"/>
        <v>492</v>
      </c>
      <c r="F546" s="8">
        <f>'Prestige Patterns'!$B$5*('Prestige Patterns'!$B$6^E545-'Prestige Patterns'!$B$6^(E545+G546))/(1-'Prestige Patterns'!$B$6)</f>
        <v>1000059748989.146</v>
      </c>
      <c r="G546" s="8">
        <f>FLOOR(LOG('Prestige Patterns'!$B$6^(E545) - (D545*(1-'Prestige Patterns'!$B$6)/'Prestige Patterns'!$B$5),'Prestige Patterns'!$B$6)-E545,1)</f>
        <v>13</v>
      </c>
      <c r="H546">
        <f t="shared" si="2"/>
        <v>90949</v>
      </c>
      <c r="I546" s="5">
        <f>1+H546*'Prestige Patterns'!$B$25</f>
        <v>910.49</v>
      </c>
      <c r="J546">
        <f>FLOOR((K546/'Prestige Patterns'!$B$22)^'Prestige Patterns'!$B$23,1)-H545</f>
        <v>7384</v>
      </c>
      <c r="K546" s="8">
        <f>K545+N545*'Prestige Patterns'!$B$20</f>
        <v>966947207475210</v>
      </c>
      <c r="L546" s="2">
        <f>IF(J545&gt;='Prestige Patterns'!$B$28,IF(J545/(H545+1)&gt;('Prestige Patterns'!$B$27+1),L545+1,L545),L545)</f>
        <v>9</v>
      </c>
      <c r="N546">
        <f t="shared" si="0"/>
        <v>36696971673.599998</v>
      </c>
      <c r="O546" s="3">
        <f>'Prestige Patterns'!$B$4*E546</f>
        <v>9840</v>
      </c>
      <c r="P546">
        <f t="shared" si="3"/>
        <v>4096</v>
      </c>
      <c r="Q546" s="5"/>
      <c r="R546" s="5"/>
      <c r="S546" s="3">
        <v>545</v>
      </c>
      <c r="T546" s="5"/>
    </row>
    <row r="547" spans="1:20" ht="12">
      <c r="A547" s="1"/>
      <c r="B547" s="1"/>
      <c r="C547" s="2">
        <f>(S547*'Prestige Patterns'!$B$20)/60</f>
        <v>273</v>
      </c>
      <c r="D547" s="2">
        <f>IF(L546=L547,N546*'Prestige Patterns'!$B$20+D546-F547,0)</f>
        <v>1213023250258.5532</v>
      </c>
      <c r="E547" s="3">
        <f t="shared" si="1"/>
        <v>500</v>
      </c>
      <c r="F547" s="8">
        <f>'Prestige Patterns'!$B$5*('Prestige Patterns'!$B$6^E546-'Prestige Patterns'!$B$6^(E546+G547))/(1-'Prestige Patterns'!$B$6)</f>
        <v>1016618430335.7428</v>
      </c>
      <c r="G547" s="8">
        <f>FLOOR(LOG('Prestige Patterns'!$B$6^(E546) - (D546*(1-'Prestige Patterns'!$B$6)/'Prestige Patterns'!$B$5),'Prestige Patterns'!$B$6)-E546,1)</f>
        <v>8</v>
      </c>
      <c r="H547">
        <f t="shared" si="2"/>
        <v>90949</v>
      </c>
      <c r="I547" s="5">
        <f>1+H547*'Prestige Patterns'!$B$25</f>
        <v>910.49</v>
      </c>
      <c r="J547">
        <f>FLOOR((K547/'Prestige Patterns'!$B$22)^'Prestige Patterns'!$B$23,1)-H546</f>
        <v>7440</v>
      </c>
      <c r="K547" s="8">
        <f>K546+N546*'Prestige Patterns'!$B$20</f>
        <v>968048116625418</v>
      </c>
      <c r="L547" s="2">
        <f>IF(J546&gt;='Prestige Patterns'!$B$28,IF(J546/(H546+1)&gt;('Prestige Patterns'!$B$27+1),L546+1,L546),L546)</f>
        <v>9</v>
      </c>
      <c r="N547">
        <f t="shared" si="0"/>
        <v>596698726400</v>
      </c>
      <c r="O547" s="3">
        <f>'Prestige Patterns'!$B$4*E547</f>
        <v>10000</v>
      </c>
      <c r="P547">
        <f t="shared" si="3"/>
        <v>65536</v>
      </c>
      <c r="Q547" s="5"/>
      <c r="R547" s="5"/>
      <c r="S547" s="3">
        <v>546</v>
      </c>
      <c r="T547" s="5"/>
    </row>
    <row r="548" spans="1:20" ht="12">
      <c r="A548" s="1"/>
      <c r="B548" s="1"/>
      <c r="C548" s="2">
        <f>(S548*'Prestige Patterns'!$B$20)/60</f>
        <v>273.5</v>
      </c>
      <c r="D548" s="2">
        <f>IF(L547=L548,N547*'Prestige Patterns'!$B$20+D547-F548,0)</f>
        <v>18044091448451.168</v>
      </c>
      <c r="E548" s="3">
        <f t="shared" si="1"/>
        <v>506</v>
      </c>
      <c r="F548" s="8">
        <f>'Prestige Patterns'!$B$5*('Prestige Patterns'!$B$6^E547-'Prestige Patterns'!$B$6^(E547+G548))/(1-'Prestige Patterns'!$B$6)</f>
        <v>1069893593807.3867</v>
      </c>
      <c r="G548" s="8">
        <f>FLOOR(LOG('Prestige Patterns'!$B$6^(E547) - (D547*(1-'Prestige Patterns'!$B$6)/'Prestige Patterns'!$B$5),'Prestige Patterns'!$B$6)-E547,1)</f>
        <v>6</v>
      </c>
      <c r="H548">
        <f t="shared" si="2"/>
        <v>90949</v>
      </c>
      <c r="I548" s="5">
        <f>1+H548*'Prestige Patterns'!$B$25</f>
        <v>910.49</v>
      </c>
      <c r="J548">
        <f>FLOOR((K548/'Prestige Patterns'!$B$22)^'Prestige Patterns'!$B$23,1)-H547</f>
        <v>8345</v>
      </c>
      <c r="K548" s="8">
        <f>K547+N547*'Prestige Patterns'!$B$20</f>
        <v>985949078417418</v>
      </c>
      <c r="L548" s="2">
        <f>IF(J547&gt;='Prestige Patterns'!$B$28,IF(J547/(H547+1)&gt;('Prestige Patterns'!$B$27+1),L547+1,L547),L547)</f>
        <v>9</v>
      </c>
      <c r="N548">
        <f t="shared" si="0"/>
        <v>603859111116.80005</v>
      </c>
      <c r="O548" s="3">
        <f>'Prestige Patterns'!$B$4*E548</f>
        <v>10120</v>
      </c>
      <c r="P548">
        <f t="shared" si="3"/>
        <v>65536</v>
      </c>
      <c r="Q548" s="5"/>
      <c r="R548" s="5"/>
      <c r="S548" s="3">
        <v>547</v>
      </c>
      <c r="T548" s="5"/>
    </row>
    <row r="549" spans="1:20" ht="12">
      <c r="A549" s="1"/>
      <c r="B549" s="1"/>
      <c r="C549" s="2">
        <f>(S549*'Prestige Patterns'!$B$20)/60</f>
        <v>274</v>
      </c>
      <c r="D549" s="2">
        <f>IF(L548=L549,N548*'Prestige Patterns'!$B$20+D548-F549,0)</f>
        <v>18228793770937.02</v>
      </c>
      <c r="E549" s="3">
        <f t="shared" si="1"/>
        <v>540</v>
      </c>
      <c r="F549" s="8">
        <f>'Prestige Patterns'!$B$5*('Prestige Patterns'!$B$6^E548-'Prestige Patterns'!$B$6^(E548+G549))/(1-'Prestige Patterns'!$B$6)</f>
        <v>17931071011018.152</v>
      </c>
      <c r="G549" s="8">
        <f>FLOOR(LOG('Prestige Patterns'!$B$6^(E548) - (D548*(1-'Prestige Patterns'!$B$6)/'Prestige Patterns'!$B$5),'Prestige Patterns'!$B$6)-E548,1)</f>
        <v>34</v>
      </c>
      <c r="H549">
        <f t="shared" si="2"/>
        <v>90949</v>
      </c>
      <c r="I549" s="5">
        <f>1+H549*'Prestige Patterns'!$B$25</f>
        <v>910.49</v>
      </c>
      <c r="J549">
        <f>FLOOR((K549/'Prestige Patterns'!$B$22)^'Prestige Patterns'!$B$23,1)-H548</f>
        <v>9254</v>
      </c>
      <c r="K549" s="8">
        <f>K548+N548*'Prestige Patterns'!$B$20</f>
        <v>1004064851750922</v>
      </c>
      <c r="L549" s="2">
        <f>IF(J548&gt;='Prestige Patterns'!$B$28,IF(J548/(H548+1)&gt;('Prestige Patterns'!$B$27+1),L548+1,L548),L548)</f>
        <v>9</v>
      </c>
      <c r="N549">
        <f t="shared" si="0"/>
        <v>644434624512</v>
      </c>
      <c r="O549" s="3">
        <f>'Prestige Patterns'!$B$4*E549</f>
        <v>10800</v>
      </c>
      <c r="P549">
        <f t="shared" si="3"/>
        <v>65536</v>
      </c>
      <c r="Q549" s="5"/>
      <c r="R549" s="5"/>
      <c r="S549" s="3">
        <v>548</v>
      </c>
      <c r="T549" s="5"/>
    </row>
    <row r="550" spans="1:20" ht="12">
      <c r="A550" s="1"/>
      <c r="B550" s="1"/>
      <c r="C550" s="2">
        <f>(S550*'Prestige Patterns'!$B$20)/60</f>
        <v>274.5</v>
      </c>
      <c r="D550" s="2">
        <f>IF(L549=L550,N549*'Prestige Patterns'!$B$20+D549-F550,0)</f>
        <v>19936141290222.754</v>
      </c>
      <c r="E550" s="3">
        <f t="shared" si="1"/>
        <v>552</v>
      </c>
      <c r="F550" s="8">
        <f>'Prestige Patterns'!$B$5*('Prestige Patterns'!$B$6^E549-'Prestige Patterns'!$B$6^(E549+G550))/(1-'Prestige Patterns'!$B$6)</f>
        <v>17625691216074.262</v>
      </c>
      <c r="G550" s="8">
        <f>FLOOR(LOG('Prestige Patterns'!$B$6^(E549) - (D549*(1-'Prestige Patterns'!$B$6)/'Prestige Patterns'!$B$5),'Prestige Patterns'!$B$6)-E549,1)</f>
        <v>12</v>
      </c>
      <c r="H550">
        <f t="shared" si="2"/>
        <v>90949</v>
      </c>
      <c r="I550" s="5">
        <f>1+H550*'Prestige Patterns'!$B$25</f>
        <v>910.49</v>
      </c>
      <c r="J550">
        <f>FLOOR((K550/'Prestige Patterns'!$B$22)^'Prestige Patterns'!$B$23,1)-H549</f>
        <v>10214</v>
      </c>
      <c r="K550" s="8">
        <f>K549+N549*'Prestige Patterns'!$B$20</f>
        <v>1023397890486282</v>
      </c>
      <c r="L550" s="2">
        <f>IF(J549&gt;='Prestige Patterns'!$B$28,IF(J549/(H549+1)&gt;('Prestige Patterns'!$B$27+1),L549+1,L549),L549)</f>
        <v>9</v>
      </c>
      <c r="N550">
        <f t="shared" si="0"/>
        <v>658755393945.59998</v>
      </c>
      <c r="O550" s="3">
        <f>'Prestige Patterns'!$B$4*E550</f>
        <v>11040</v>
      </c>
      <c r="P550">
        <f t="shared" si="3"/>
        <v>65536</v>
      </c>
      <c r="Q550" s="5"/>
      <c r="R550" s="5"/>
      <c r="S550" s="3">
        <v>549</v>
      </c>
      <c r="T550" s="5"/>
    </row>
    <row r="551" spans="1:20" ht="12">
      <c r="A551" s="1"/>
      <c r="B551" s="1"/>
      <c r="C551" s="2">
        <f>(S551*'Prestige Patterns'!$B$20)/60</f>
        <v>275</v>
      </c>
      <c r="D551" s="2">
        <f>IF(L550=L551,N550*'Prestige Patterns'!$B$20+D550-F551,0)</f>
        <v>20709198464957.934</v>
      </c>
      <c r="E551" s="3">
        <f t="shared" si="1"/>
        <v>560</v>
      </c>
      <c r="F551" s="8">
        <f>'Prestige Patterns'!$B$5*('Prestige Patterns'!$B$6^E550-'Prestige Patterns'!$B$6^(E550+G551))/(1-'Prestige Patterns'!$B$6)</f>
        <v>18989604643632.816</v>
      </c>
      <c r="G551" s="8">
        <f>FLOOR(LOG('Prestige Patterns'!$B$6^(E550) - (D550*(1-'Prestige Patterns'!$B$6)/'Prestige Patterns'!$B$5),'Prestige Patterns'!$B$6)-E550,1)</f>
        <v>8</v>
      </c>
      <c r="H551">
        <f t="shared" si="2"/>
        <v>90949</v>
      </c>
      <c r="I551" s="5">
        <f>1+H551*'Prestige Patterns'!$B$25</f>
        <v>910.49</v>
      </c>
      <c r="J551">
        <f>FLOOR((K551/'Prestige Patterns'!$B$22)^'Prestige Patterns'!$B$23,1)-H550</f>
        <v>11186</v>
      </c>
      <c r="K551" s="8">
        <f>K550+N550*'Prestige Patterns'!$B$20</f>
        <v>1043160552304650</v>
      </c>
      <c r="L551" s="2">
        <f>IF(J550&gt;='Prestige Patterns'!$B$28,IF(J550/(H550+1)&gt;('Prestige Patterns'!$B$27+1),L550+1,L550),L550)</f>
        <v>9</v>
      </c>
      <c r="N551">
        <f t="shared" si="0"/>
        <v>668302573568</v>
      </c>
      <c r="O551" s="3">
        <f>'Prestige Patterns'!$B$4*E551</f>
        <v>11200</v>
      </c>
      <c r="P551">
        <f t="shared" si="3"/>
        <v>65536</v>
      </c>
      <c r="Q551" s="5"/>
      <c r="R551" s="5"/>
      <c r="S551" s="3">
        <v>550</v>
      </c>
      <c r="T551" s="5"/>
    </row>
    <row r="552" spans="1:20" ht="12">
      <c r="A552" s="1"/>
      <c r="B552" s="1"/>
      <c r="C552" s="2">
        <f>(S552*'Prestige Patterns'!$B$20)/60</f>
        <v>275.5</v>
      </c>
      <c r="D552" s="2">
        <f>IF(L551=L552,N551*'Prestige Patterns'!$B$20+D551-F552,0)</f>
        <v>20773534346338.484</v>
      </c>
      <c r="E552" s="3">
        <f t="shared" si="1"/>
        <v>566</v>
      </c>
      <c r="F552" s="8">
        <f>'Prestige Patterns'!$B$5*('Prestige Patterns'!$B$6^E551-'Prestige Patterns'!$B$6^(E551+G552))/(1-'Prestige Patterns'!$B$6)</f>
        <v>19984741325659.453</v>
      </c>
      <c r="G552" s="8">
        <f>FLOOR(LOG('Prestige Patterns'!$B$6^(E551) - (D551*(1-'Prestige Patterns'!$B$6)/'Prestige Patterns'!$B$5),'Prestige Patterns'!$B$6)-E551,1)</f>
        <v>6</v>
      </c>
      <c r="H552">
        <f t="shared" si="2"/>
        <v>90949</v>
      </c>
      <c r="I552" s="5">
        <f>1+H552*'Prestige Patterns'!$B$25</f>
        <v>910.49</v>
      </c>
      <c r="J552">
        <f>FLOOR((K552/'Prestige Patterns'!$B$22)^'Prestige Patterns'!$B$23,1)-H551</f>
        <v>12163</v>
      </c>
      <c r="K552" s="8">
        <f>K551+N551*'Prestige Patterns'!$B$20</f>
        <v>1063209629511690</v>
      </c>
      <c r="L552" s="2">
        <f>IF(J551&gt;='Prestige Patterns'!$B$28,IF(J551/(H551+1)&gt;('Prestige Patterns'!$B$27+1),L551+1,L551),L551)</f>
        <v>9</v>
      </c>
      <c r="N552">
        <f t="shared" si="0"/>
        <v>675462958284.80005</v>
      </c>
      <c r="O552" s="3">
        <f>'Prestige Patterns'!$B$4*E552</f>
        <v>11320</v>
      </c>
      <c r="P552">
        <f t="shared" si="3"/>
        <v>65536</v>
      </c>
      <c r="Q552" s="5"/>
      <c r="R552" s="5"/>
      <c r="S552" s="3">
        <v>551</v>
      </c>
      <c r="T552" s="5"/>
    </row>
    <row r="553" spans="1:20" ht="12">
      <c r="A553" s="1"/>
      <c r="B553" s="1"/>
      <c r="C553" s="2">
        <f>(S553*'Prestige Patterns'!$B$20)/60</f>
        <v>276</v>
      </c>
      <c r="D553" s="2">
        <f>IF(L552=L553,N552*'Prestige Patterns'!$B$20+D552-F553,0)</f>
        <v>24066982007302.734</v>
      </c>
      <c r="E553" s="3">
        <f t="shared" si="1"/>
        <v>570</v>
      </c>
      <c r="F553" s="8">
        <f>'Prestige Patterns'!$B$5*('Prestige Patterns'!$B$6^E552-'Prestige Patterns'!$B$6^(E552+G553))/(1-'Prestige Patterns'!$B$6)</f>
        <v>16970441087579.75</v>
      </c>
      <c r="G553" s="8">
        <f>FLOOR(LOG('Prestige Patterns'!$B$6^(E552) - (D552*(1-'Prestige Patterns'!$B$6)/'Prestige Patterns'!$B$5),'Prestige Patterns'!$B$6)-E552,1)</f>
        <v>4</v>
      </c>
      <c r="H553">
        <f t="shared" si="2"/>
        <v>90949</v>
      </c>
      <c r="I553" s="5">
        <f>1+H553*'Prestige Patterns'!$B$25</f>
        <v>910.49</v>
      </c>
      <c r="J553">
        <f>FLOOR((K553/'Prestige Patterns'!$B$22)^'Prestige Patterns'!$B$23,1)-H552</f>
        <v>13141</v>
      </c>
      <c r="K553" s="8">
        <f>K552+N552*'Prestige Patterns'!$B$20</f>
        <v>1083473518260234</v>
      </c>
      <c r="L553" s="2">
        <f>IF(J552&gt;='Prestige Patterns'!$B$28,IF(J552/(H552+1)&gt;('Prestige Patterns'!$B$27+1),L552+1,L552),L552)</f>
        <v>9</v>
      </c>
      <c r="N553">
        <f t="shared" si="0"/>
        <v>680236548096</v>
      </c>
      <c r="O553" s="3">
        <f>'Prestige Patterns'!$B$4*E553</f>
        <v>11400</v>
      </c>
      <c r="P553">
        <f t="shared" si="3"/>
        <v>65536</v>
      </c>
      <c r="Q553" s="5"/>
      <c r="R553" s="5"/>
      <c r="S553" s="3">
        <v>552</v>
      </c>
      <c r="T553" s="5"/>
    </row>
    <row r="554" spans="1:20" ht="12">
      <c r="A554" s="1"/>
      <c r="B554" s="1"/>
      <c r="C554" s="2">
        <f>(S554*'Prestige Patterns'!$B$20)/60</f>
        <v>276.5</v>
      </c>
      <c r="D554" s="2">
        <f>IF(L553=L554,N553*'Prestige Patterns'!$B$20+D553-F554,0)</f>
        <v>23846401242972.793</v>
      </c>
      <c r="E554" s="3">
        <f t="shared" si="1"/>
        <v>574</v>
      </c>
      <c r="F554" s="8">
        <f>'Prestige Patterns'!$B$5*('Prestige Patterns'!$B$6^E553-'Prestige Patterns'!$B$6^(E553+G554))/(1-'Prestige Patterns'!$B$6)</f>
        <v>20627677207209.941</v>
      </c>
      <c r="G554" s="8">
        <f>FLOOR(LOG('Prestige Patterns'!$B$6^(E553) - (D553*(1-'Prestige Patterns'!$B$6)/'Prestige Patterns'!$B$5),'Prestige Patterns'!$B$6)-E553,1)</f>
        <v>4</v>
      </c>
      <c r="H554">
        <f t="shared" si="2"/>
        <v>90949</v>
      </c>
      <c r="I554" s="5">
        <f>1+H554*'Prestige Patterns'!$B$25</f>
        <v>910.49</v>
      </c>
      <c r="J554">
        <f>FLOOR((K554/'Prestige Patterns'!$B$22)^'Prestige Patterns'!$B$23,1)-H553</f>
        <v>14116</v>
      </c>
      <c r="K554" s="8">
        <f>K553+N553*'Prestige Patterns'!$B$20</f>
        <v>1103880614703114</v>
      </c>
      <c r="L554" s="2">
        <f>IF(J553&gt;='Prestige Patterns'!$B$28,IF(J553/(H553+1)&gt;('Prestige Patterns'!$B$27+1),L553+1,L553),L553)</f>
        <v>9</v>
      </c>
      <c r="N554">
        <f t="shared" si="0"/>
        <v>685010137907.19995</v>
      </c>
      <c r="O554" s="3">
        <f>'Prestige Patterns'!$B$4*E554</f>
        <v>11480</v>
      </c>
      <c r="P554">
        <f t="shared" si="3"/>
        <v>65536</v>
      </c>
      <c r="Q554" s="5"/>
      <c r="R554" s="5"/>
      <c r="S554" s="3">
        <v>553</v>
      </c>
      <c r="T554" s="5"/>
    </row>
    <row r="555" spans="1:20" ht="12">
      <c r="A555" s="1"/>
      <c r="B555" s="1"/>
      <c r="C555" s="2">
        <f>(S555*'Prestige Patterns'!$B$20)/60</f>
        <v>277</v>
      </c>
      <c r="D555" s="2">
        <f>IF(L554=L555,N554*'Prestige Patterns'!$B$20+D554-F555,0)</f>
        <v>26057827745152.27</v>
      </c>
      <c r="E555" s="3">
        <f t="shared" si="1"/>
        <v>577</v>
      </c>
      <c r="F555" s="8">
        <f>'Prestige Patterns'!$B$5*('Prestige Patterns'!$B$6^E554-'Prestige Patterns'!$B$6^(E554+G555))/(1-'Prestige Patterns'!$B$6)</f>
        <v>18338877635036.527</v>
      </c>
      <c r="G555" s="8">
        <f>FLOOR(LOG('Prestige Patterns'!$B$6^(E554) - (D554*(1-'Prestige Patterns'!$B$6)/'Prestige Patterns'!$B$5),'Prestige Patterns'!$B$6)-E554,1)</f>
        <v>3</v>
      </c>
      <c r="H555">
        <f t="shared" si="2"/>
        <v>90949</v>
      </c>
      <c r="I555" s="5">
        <f>1+H555*'Prestige Patterns'!$B$25</f>
        <v>910.49</v>
      </c>
      <c r="J555">
        <f>FLOOR((K555/'Prestige Patterns'!$B$22)^'Prestige Patterns'!$B$23,1)-H554</f>
        <v>15090</v>
      </c>
      <c r="K555" s="8">
        <f>K554+N554*'Prestige Patterns'!$B$20</f>
        <v>1124430918840330</v>
      </c>
      <c r="L555" s="2">
        <f>IF(J554&gt;='Prestige Patterns'!$B$28,IF(J554/(H554+1)&gt;('Prestige Patterns'!$B$27+1),L554+1,L554),L554)</f>
        <v>9</v>
      </c>
      <c r="N555">
        <f t="shared" si="0"/>
        <v>688590330265.59998</v>
      </c>
      <c r="O555" s="3">
        <f>'Prestige Patterns'!$B$4*E555</f>
        <v>11540</v>
      </c>
      <c r="P555">
        <f t="shared" si="3"/>
        <v>65536</v>
      </c>
      <c r="Q555" s="5"/>
      <c r="R555" s="5"/>
      <c r="S555" s="3">
        <v>554</v>
      </c>
      <c r="T555" s="5"/>
    </row>
    <row r="556" spans="1:20" ht="12">
      <c r="A556" s="1"/>
      <c r="B556" s="1"/>
      <c r="C556" s="2">
        <f>(S556*'Prestige Patterns'!$B$20)/60</f>
        <v>277.5</v>
      </c>
      <c r="D556" s="2">
        <f>IF(L555=L556,N555*'Prestige Patterns'!$B$20+D555-F556,0)</f>
        <v>25485994430861.164</v>
      </c>
      <c r="E556" s="3">
        <f t="shared" si="1"/>
        <v>580</v>
      </c>
      <c r="F556" s="8">
        <f>'Prestige Patterns'!$B$5*('Prestige Patterns'!$B$6^E555-'Prestige Patterns'!$B$6^(E555+G556))/(1-'Prestige Patterns'!$B$6)</f>
        <v>21229543222259.102</v>
      </c>
      <c r="G556" s="8">
        <f>FLOOR(LOG('Prestige Patterns'!$B$6^(E555) - (D555*(1-'Prestige Patterns'!$B$6)/'Prestige Patterns'!$B$5),'Prestige Patterns'!$B$6)-E555,1)</f>
        <v>3</v>
      </c>
      <c r="H556">
        <f t="shared" si="2"/>
        <v>90949</v>
      </c>
      <c r="I556" s="5">
        <f>1+H556*'Prestige Patterns'!$B$25</f>
        <v>910.49</v>
      </c>
      <c r="J556">
        <f>FLOOR((K556/'Prestige Patterns'!$B$22)^'Prestige Patterns'!$B$23,1)-H555</f>
        <v>16059</v>
      </c>
      <c r="K556" s="8">
        <f>K555+N555*'Prestige Patterns'!$B$20</f>
        <v>1145088628748298</v>
      </c>
      <c r="L556" s="2">
        <f>IF(J555&gt;='Prestige Patterns'!$B$28,IF(J555/(H555+1)&gt;('Prestige Patterns'!$B$27+1),L555+1,L555),L555)</f>
        <v>9</v>
      </c>
      <c r="N556">
        <f t="shared" si="0"/>
        <v>692170522624</v>
      </c>
      <c r="O556" s="3">
        <f>'Prestige Patterns'!$B$4*E556</f>
        <v>11600</v>
      </c>
      <c r="P556">
        <f t="shared" si="3"/>
        <v>65536</v>
      </c>
      <c r="Q556" s="5"/>
      <c r="R556" s="5"/>
      <c r="S556" s="3">
        <v>555</v>
      </c>
      <c r="T556" s="5"/>
    </row>
    <row r="557" spans="1:20" ht="12">
      <c r="A557" s="1"/>
      <c r="B557" s="1"/>
      <c r="C557" s="2">
        <f>(S557*'Prestige Patterns'!$B$20)/60</f>
        <v>278</v>
      </c>
      <c r="D557" s="2">
        <f>IF(L556=L557,N556*'Prestige Patterns'!$B$20+D556-F557,0)</f>
        <v>21675260136913.473</v>
      </c>
      <c r="E557" s="3">
        <f t="shared" si="1"/>
        <v>583</v>
      </c>
      <c r="F557" s="8">
        <f>'Prestige Patterns'!$B$5*('Prestige Patterns'!$B$6^E556-'Prestige Patterns'!$B$6^(E556+G557))/(1-'Prestige Patterns'!$B$6)</f>
        <v>24575849972667.691</v>
      </c>
      <c r="G557" s="8">
        <f>FLOOR(LOG('Prestige Patterns'!$B$6^(E556) - (D556*(1-'Prestige Patterns'!$B$6)/'Prestige Patterns'!$B$5),'Prestige Patterns'!$B$6)-E556,1)</f>
        <v>3</v>
      </c>
      <c r="H557">
        <f t="shared" si="2"/>
        <v>90949</v>
      </c>
      <c r="I557" s="5">
        <f>1+H557*'Prestige Patterns'!$B$25</f>
        <v>910.49</v>
      </c>
      <c r="J557">
        <f>FLOOR((K557/'Prestige Patterns'!$B$22)^'Prestige Patterns'!$B$23,1)-H556</f>
        <v>17025</v>
      </c>
      <c r="K557" s="8">
        <f>K556+N556*'Prestige Patterns'!$B$20</f>
        <v>1165853744427018</v>
      </c>
      <c r="L557" s="2">
        <f>IF(J556&gt;='Prestige Patterns'!$B$28,IF(J556/(H556+1)&gt;('Prestige Patterns'!$B$27+1),L556+1,L556),L556)</f>
        <v>9</v>
      </c>
      <c r="N557">
        <f t="shared" si="0"/>
        <v>695750714982.40002</v>
      </c>
      <c r="O557" s="3">
        <f>'Prestige Patterns'!$B$4*E557</f>
        <v>11660</v>
      </c>
      <c r="P557">
        <f t="shared" si="3"/>
        <v>65536</v>
      </c>
      <c r="Q557" s="5"/>
      <c r="R557" s="5"/>
      <c r="S557" s="3">
        <v>556</v>
      </c>
      <c r="T557" s="5"/>
    </row>
    <row r="558" spans="1:20" ht="12">
      <c r="A558" s="1"/>
      <c r="B558" s="1"/>
      <c r="C558" s="2">
        <f>(S558*'Prestige Patterns'!$B$20)/60</f>
        <v>278.5</v>
      </c>
      <c r="D558" s="2">
        <f>IF(L557=L558,N557*'Prestige Patterns'!$B$20+D557-F558,0)</f>
        <v>24047633270620.406</v>
      </c>
      <c r="E558" s="3">
        <f t="shared" si="1"/>
        <v>585</v>
      </c>
      <c r="F558" s="8">
        <f>'Prestige Patterns'!$B$5*('Prestige Patterns'!$B$6^E557-'Prestige Patterns'!$B$6^(E557+G558))/(1-'Prestige Patterns'!$B$6)</f>
        <v>18500148315765.062</v>
      </c>
      <c r="G558" s="8">
        <f>FLOOR(LOG('Prestige Patterns'!$B$6^(E557) - (D557*(1-'Prestige Patterns'!$B$6)/'Prestige Patterns'!$B$5),'Prestige Patterns'!$B$6)-E557,1)</f>
        <v>2</v>
      </c>
      <c r="H558">
        <f t="shared" si="2"/>
        <v>90949</v>
      </c>
      <c r="I558" s="5">
        <f>1+H558*'Prestige Patterns'!$B$25</f>
        <v>910.49</v>
      </c>
      <c r="J558">
        <f>FLOOR((K558/'Prestige Patterns'!$B$22)^'Prestige Patterns'!$B$23,1)-H557</f>
        <v>17987</v>
      </c>
      <c r="K558" s="8">
        <f>K557+N557*'Prestige Patterns'!$B$20</f>
        <v>1186726265876490</v>
      </c>
      <c r="L558" s="2">
        <f>IF(J557&gt;='Prestige Patterns'!$B$28,IF(J557/(H557+1)&gt;('Prestige Patterns'!$B$27+1),L557+1,L557),L557)</f>
        <v>9</v>
      </c>
      <c r="N558">
        <f t="shared" si="0"/>
        <v>698137509888</v>
      </c>
      <c r="O558" s="3">
        <f>'Prestige Patterns'!$B$4*E558</f>
        <v>11700</v>
      </c>
      <c r="P558">
        <f t="shared" si="3"/>
        <v>65536</v>
      </c>
      <c r="Q558" s="5"/>
      <c r="R558" s="5"/>
      <c r="S558" s="3">
        <v>557</v>
      </c>
      <c r="T558" s="5"/>
    </row>
    <row r="559" spans="1:20" ht="12">
      <c r="A559" s="1"/>
      <c r="B559" s="1"/>
      <c r="C559" s="2">
        <f>(S559*'Prestige Patterns'!$B$20)/60</f>
        <v>279</v>
      </c>
      <c r="D559" s="2">
        <f>IF(L558=L559,N558*'Prestige Patterns'!$B$20+D558-F559,0)</f>
        <v>24595345049129.41</v>
      </c>
      <c r="E559" s="3">
        <f t="shared" si="1"/>
        <v>587</v>
      </c>
      <c r="F559" s="8">
        <f>'Prestige Patterns'!$B$5*('Prestige Patterns'!$B$6^E558-'Prestige Patterns'!$B$6^(E558+G559))/(1-'Prestige Patterns'!$B$6)</f>
        <v>20396413518130.996</v>
      </c>
      <c r="G559" s="8">
        <f>FLOOR(LOG('Prestige Patterns'!$B$6^(E558) - (D558*(1-'Prestige Patterns'!$B$6)/'Prestige Patterns'!$B$5),'Prestige Patterns'!$B$6)-E558,1)</f>
        <v>2</v>
      </c>
      <c r="H559">
        <f t="shared" si="2"/>
        <v>90949</v>
      </c>
      <c r="I559" s="5">
        <f>1+H559*'Prestige Patterns'!$B$25</f>
        <v>910.49</v>
      </c>
      <c r="J559">
        <f>FLOOR((K559/'Prestige Patterns'!$B$22)^'Prestige Patterns'!$B$23,1)-H558</f>
        <v>18945</v>
      </c>
      <c r="K559" s="8">
        <f>K558+N558*'Prestige Patterns'!$B$20</f>
        <v>1207670391173130</v>
      </c>
      <c r="L559" s="2">
        <f>IF(J558&gt;='Prestige Patterns'!$B$28,IF(J558/(H558+1)&gt;('Prestige Patterns'!$B$27+1),L558+1,L558),L558)</f>
        <v>9</v>
      </c>
      <c r="N559">
        <f t="shared" si="0"/>
        <v>700524304793.59998</v>
      </c>
      <c r="O559" s="3">
        <f>'Prestige Patterns'!$B$4*E559</f>
        <v>11740</v>
      </c>
      <c r="P559">
        <f t="shared" si="3"/>
        <v>65536</v>
      </c>
      <c r="Q559" s="5"/>
      <c r="R559" s="5"/>
      <c r="S559" s="3">
        <v>558</v>
      </c>
      <c r="T559" s="5"/>
    </row>
    <row r="560" spans="1:20" ht="12">
      <c r="A560" s="1"/>
      <c r="B560" s="1"/>
      <c r="C560" s="2">
        <f>(S560*'Prestige Patterns'!$B$20)/60</f>
        <v>279.5</v>
      </c>
      <c r="D560" s="2">
        <f>IF(L559=L560,N559*'Prestige Patterns'!$B$20+D559-F560,0)</f>
        <v>23124028289197.973</v>
      </c>
      <c r="E560" s="3">
        <f t="shared" si="1"/>
        <v>589</v>
      </c>
      <c r="F560" s="8">
        <f>'Prestige Patterns'!$B$5*('Prestige Patterns'!$B$6^E559-'Prestige Patterns'!$B$6^(E559+G560))/(1-'Prestige Patterns'!$B$6)</f>
        <v>22487045903739.434</v>
      </c>
      <c r="G560" s="8">
        <f>FLOOR(LOG('Prestige Patterns'!$B$6^(E559) - (D559*(1-'Prestige Patterns'!$B$6)/'Prestige Patterns'!$B$5),'Prestige Patterns'!$B$6)-E559,1)</f>
        <v>2</v>
      </c>
      <c r="H560">
        <f t="shared" si="2"/>
        <v>90949</v>
      </c>
      <c r="I560" s="5">
        <f>1+H560*'Prestige Patterns'!$B$25</f>
        <v>910.49</v>
      </c>
      <c r="J560">
        <f>FLOOR((K560/'Prestige Patterns'!$B$22)^'Prestige Patterns'!$B$23,1)-H559</f>
        <v>19897</v>
      </c>
      <c r="K560" s="8">
        <f>K559+N559*'Prestige Patterns'!$B$20</f>
        <v>1228686120316938</v>
      </c>
      <c r="L560" s="2">
        <f>IF(J559&gt;='Prestige Patterns'!$B$28,IF(J559/(H559+1)&gt;('Prestige Patterns'!$B$27+1),L559+1,L559),L559)</f>
        <v>9</v>
      </c>
      <c r="N560">
        <f t="shared" si="0"/>
        <v>702911099699.19995</v>
      </c>
      <c r="O560" s="3">
        <f>'Prestige Patterns'!$B$4*E560</f>
        <v>11780</v>
      </c>
      <c r="P560">
        <f t="shared" si="3"/>
        <v>65536</v>
      </c>
      <c r="Q560" s="5"/>
      <c r="R560" s="5"/>
      <c r="S560" s="3">
        <v>559</v>
      </c>
      <c r="T560" s="5"/>
    </row>
    <row r="561" spans="1:20" ht="12">
      <c r="A561" s="1"/>
      <c r="B561" s="1"/>
      <c r="C561" s="2">
        <f>(S561*'Prestige Patterns'!$B$20)/60</f>
        <v>280</v>
      </c>
      <c r="D561" s="2">
        <f>IF(L560=L561,N560*'Prestige Patterns'!$B$20+D560-F561,0)</f>
        <v>32117718300236.164</v>
      </c>
      <c r="E561" s="3">
        <f t="shared" si="1"/>
        <v>590</v>
      </c>
      <c r="F561" s="8">
        <f>'Prestige Patterns'!$B$5*('Prestige Patterns'!$B$6^E560-'Prestige Patterns'!$B$6^(E560+G561))/(1-'Prestige Patterns'!$B$6)</f>
        <v>12093642979937.803</v>
      </c>
      <c r="G561" s="8">
        <f>FLOOR(LOG('Prestige Patterns'!$B$6^(E560) - (D560*(1-'Prestige Patterns'!$B$6)/'Prestige Patterns'!$B$5),'Prestige Patterns'!$B$6)-E560,1)</f>
        <v>1</v>
      </c>
      <c r="H561">
        <f t="shared" si="2"/>
        <v>90949</v>
      </c>
      <c r="I561" s="5">
        <f>1+H561*'Prestige Patterns'!$B$25</f>
        <v>910.49</v>
      </c>
      <c r="J561">
        <f>FLOOR((K561/'Prestige Patterns'!$B$22)^'Prestige Patterns'!$B$23,1)-H560</f>
        <v>20844</v>
      </c>
      <c r="K561" s="8">
        <f>K560+N560*'Prestige Patterns'!$B$20</f>
        <v>1249773453307914</v>
      </c>
      <c r="L561" s="2">
        <f>IF(J560&gt;='Prestige Patterns'!$B$28,IF(J560/(H560+1)&gt;('Prestige Patterns'!$B$27+1),L560+1,L560),L560)</f>
        <v>9</v>
      </c>
      <c r="N561">
        <f t="shared" si="0"/>
        <v>704104497152</v>
      </c>
      <c r="O561" s="3">
        <f>'Prestige Patterns'!$B$4*E561</f>
        <v>11800</v>
      </c>
      <c r="P561">
        <f t="shared" si="3"/>
        <v>65536</v>
      </c>
      <c r="Q561" s="5"/>
      <c r="R561" s="5"/>
      <c r="S561" s="3">
        <v>560</v>
      </c>
      <c r="T561" s="5"/>
    </row>
    <row r="562" spans="1:20" ht="12">
      <c r="A562" s="1"/>
      <c r="B562" s="1"/>
      <c r="C562" s="2">
        <f>(S562*'Prestige Patterns'!$B$20)/60</f>
        <v>280.5</v>
      </c>
      <c r="D562" s="2">
        <f>IF(L561=L562,N561*'Prestige Patterns'!$B$20+D561-F562,0)</f>
        <v>27209286700479.742</v>
      </c>
      <c r="E562" s="3">
        <f t="shared" si="1"/>
        <v>592</v>
      </c>
      <c r="F562" s="8">
        <f>'Prestige Patterns'!$B$5*('Prestige Patterns'!$B$6^E561-'Prestige Patterns'!$B$6^(E561+G562))/(1-'Prestige Patterns'!$B$6)</f>
        <v>26031566514316.422</v>
      </c>
      <c r="G562" s="8">
        <f>FLOOR(LOG('Prestige Patterns'!$B$6^(E561) - (D561*(1-'Prestige Patterns'!$B$6)/'Prestige Patterns'!$B$5),'Prestige Patterns'!$B$6)-E561,1)</f>
        <v>2</v>
      </c>
      <c r="H562">
        <f t="shared" si="2"/>
        <v>90949</v>
      </c>
      <c r="I562" s="5">
        <f>1+H562*'Prestige Patterns'!$B$25</f>
        <v>910.49</v>
      </c>
      <c r="J562">
        <f>FLOOR((K562/'Prestige Patterns'!$B$22)^'Prestige Patterns'!$B$23,1)-H561</f>
        <v>21785</v>
      </c>
      <c r="K562" s="8">
        <f>K561+N561*'Prestige Patterns'!$B$20</f>
        <v>1270896588222474</v>
      </c>
      <c r="L562" s="2">
        <f>IF(J561&gt;='Prestige Patterns'!$B$28,IF(J561/(H561+1)&gt;('Prestige Patterns'!$B$27+1),L561+1,L561),L561)</f>
        <v>9</v>
      </c>
      <c r="N562">
        <f t="shared" si="0"/>
        <v>706491292057.59998</v>
      </c>
      <c r="O562" s="3">
        <f>'Prestige Patterns'!$B$4*E562</f>
        <v>11840</v>
      </c>
      <c r="P562">
        <f t="shared" si="3"/>
        <v>65536</v>
      </c>
      <c r="Q562" s="5"/>
      <c r="R562" s="5"/>
      <c r="S562" s="3">
        <v>561</v>
      </c>
      <c r="T562" s="5"/>
    </row>
    <row r="563" spans="1:20" ht="12">
      <c r="A563" s="1"/>
      <c r="B563" s="1"/>
      <c r="C563" s="2">
        <f>(S563*'Prestige Patterns'!$B$20)/60</f>
        <v>281</v>
      </c>
      <c r="D563" s="2">
        <f>IF(L562=L563,N562*'Prestige Patterns'!$B$20+D562-F563,0)</f>
        <v>34404122007557.09</v>
      </c>
      <c r="E563" s="3">
        <f t="shared" si="1"/>
        <v>593</v>
      </c>
      <c r="F563" s="8">
        <f>'Prestige Patterns'!$B$5*('Prestige Patterns'!$B$6^E562-'Prestige Patterns'!$B$6^(E562+G563))/(1-'Prestige Patterns'!$B$6)</f>
        <v>13999903454650.652</v>
      </c>
      <c r="G563" s="8">
        <f>FLOOR(LOG('Prestige Patterns'!$B$6^(E562) - (D562*(1-'Prestige Patterns'!$B$6)/'Prestige Patterns'!$B$5),'Prestige Patterns'!$B$6)-E562,1)</f>
        <v>1</v>
      </c>
      <c r="H563">
        <f t="shared" si="2"/>
        <v>90949</v>
      </c>
      <c r="I563" s="5">
        <f>1+H563*'Prestige Patterns'!$B$25</f>
        <v>910.49</v>
      </c>
      <c r="J563">
        <f>FLOOR((K563/'Prestige Patterns'!$B$22)^'Prestige Patterns'!$B$23,1)-H562</f>
        <v>22721</v>
      </c>
      <c r="K563" s="8">
        <f>K562+N562*'Prestige Patterns'!$B$20</f>
        <v>1292091326984202</v>
      </c>
      <c r="L563" s="2">
        <f>IF(J562&gt;='Prestige Patterns'!$B$28,IF(J562/(H562+1)&gt;('Prestige Patterns'!$B$27+1),L562+1,L562),L562)</f>
        <v>9</v>
      </c>
      <c r="N563">
        <f t="shared" si="0"/>
        <v>707684689510.40002</v>
      </c>
      <c r="O563" s="3">
        <f>'Prestige Patterns'!$B$4*E563</f>
        <v>11860</v>
      </c>
      <c r="P563">
        <f t="shared" si="3"/>
        <v>65536</v>
      </c>
      <c r="Q563" s="5"/>
      <c r="R563" s="5"/>
      <c r="S563" s="3">
        <v>562</v>
      </c>
      <c r="T563" s="5"/>
    </row>
    <row r="564" spans="1:20" ht="12">
      <c r="A564" s="1"/>
      <c r="B564" s="1"/>
      <c r="C564" s="2">
        <f>(S564*'Prestige Patterns'!$B$20)/60</f>
        <v>281.5</v>
      </c>
      <c r="D564" s="2">
        <f>IF(L563=L564,N563*'Prestige Patterns'!$B$20+D563-F564,0)</f>
        <v>25499870506733.652</v>
      </c>
      <c r="E564" s="3">
        <f t="shared" si="1"/>
        <v>595</v>
      </c>
      <c r="F564" s="8">
        <f>'Prestige Patterns'!$B$5*('Prestige Patterns'!$B$6^E563-'Prestige Patterns'!$B$6^(E563+G564))/(1-'Prestige Patterns'!$B$6)</f>
        <v>30134792186135.441</v>
      </c>
      <c r="G564" s="8">
        <f>FLOOR(LOG('Prestige Patterns'!$B$6^(E563) - (D563*(1-'Prestige Patterns'!$B$6)/'Prestige Patterns'!$B$5),'Prestige Patterns'!$B$6)-E563,1)</f>
        <v>2</v>
      </c>
      <c r="H564">
        <f t="shared" si="2"/>
        <v>90949</v>
      </c>
      <c r="I564" s="5">
        <f>1+H564*'Prestige Patterns'!$B$25</f>
        <v>910.49</v>
      </c>
      <c r="J564">
        <f>FLOOR((K564/'Prestige Patterns'!$B$22)^'Prestige Patterns'!$B$23,1)-H563</f>
        <v>23651</v>
      </c>
      <c r="K564" s="8">
        <f>K563+N563*'Prestige Patterns'!$B$20</f>
        <v>1313321867669514</v>
      </c>
      <c r="L564" s="2">
        <f>IF(J563&gt;='Prestige Patterns'!$B$28,IF(J563/(H563+1)&gt;('Prestige Patterns'!$B$27+1),L563+1,L563),L563)</f>
        <v>9</v>
      </c>
      <c r="N564">
        <f t="shared" si="0"/>
        <v>710071484416</v>
      </c>
      <c r="O564" s="3">
        <f>'Prestige Patterns'!$B$4*E564</f>
        <v>11900</v>
      </c>
      <c r="P564">
        <f t="shared" si="3"/>
        <v>65536</v>
      </c>
      <c r="Q564" s="5"/>
      <c r="R564" s="5"/>
      <c r="S564" s="3">
        <v>563</v>
      </c>
      <c r="T564" s="5"/>
    </row>
    <row r="565" spans="1:20" ht="12">
      <c r="A565" s="1"/>
      <c r="B565" s="1"/>
      <c r="C565" s="2">
        <f>(S565*'Prestige Patterns'!$B$20)/60</f>
        <v>282</v>
      </c>
      <c r="D565" s="2">
        <f>IF(L564=L565,N564*'Prestige Patterns'!$B$20+D564-F565,0)</f>
        <v>30595376802523.75</v>
      </c>
      <c r="E565" s="3">
        <f t="shared" si="1"/>
        <v>596</v>
      </c>
      <c r="F565" s="8">
        <f>'Prestige Patterns'!$B$5*('Prestige Patterns'!$B$6^E564-'Prestige Patterns'!$B$6^(E564+G565))/(1-'Prestige Patterns'!$B$6)</f>
        <v>16206638236689.908</v>
      </c>
      <c r="G565" s="8">
        <f>FLOOR(LOG('Prestige Patterns'!$B$6^(E564) - (D564*(1-'Prestige Patterns'!$B$6)/'Prestige Patterns'!$B$5),'Prestige Patterns'!$B$6)-E564,1)</f>
        <v>1</v>
      </c>
      <c r="H565">
        <f t="shared" si="2"/>
        <v>90949</v>
      </c>
      <c r="I565" s="5">
        <f>1+H565*'Prestige Patterns'!$B$25</f>
        <v>910.49</v>
      </c>
      <c r="J565">
        <f>FLOOR((K565/'Prestige Patterns'!$B$22)^'Prestige Patterns'!$B$23,1)-H564</f>
        <v>24576</v>
      </c>
      <c r="K565" s="8">
        <f>K564+N564*'Prestige Patterns'!$B$20</f>
        <v>1334624012201994</v>
      </c>
      <c r="L565" s="2">
        <f>IF(J564&gt;='Prestige Patterns'!$B$28,IF(J564/(H564+1)&gt;('Prestige Patterns'!$B$27+1),L564+1,L564),L564)</f>
        <v>9</v>
      </c>
      <c r="N565">
        <f t="shared" si="0"/>
        <v>711264881868.80005</v>
      </c>
      <c r="O565" s="3">
        <f>'Prestige Patterns'!$B$4*E565</f>
        <v>11920</v>
      </c>
      <c r="P565">
        <f t="shared" si="3"/>
        <v>65536</v>
      </c>
      <c r="Q565" s="5"/>
      <c r="R565" s="5"/>
      <c r="S565" s="3">
        <v>564</v>
      </c>
      <c r="T565" s="5"/>
    </row>
    <row r="566" spans="1:20" ht="12">
      <c r="A566" s="1"/>
      <c r="B566" s="1"/>
      <c r="C566" s="2">
        <f>(S566*'Prestige Patterns'!$B$20)/60</f>
        <v>282.5</v>
      </c>
      <c r="D566" s="2">
        <f>IF(L565=L566,N565*'Prestige Patterns'!$B$20+D565-F566,0)</f>
        <v>34916353110063.352</v>
      </c>
      <c r="E566" s="3">
        <f t="shared" si="1"/>
        <v>597</v>
      </c>
      <c r="F566" s="8">
        <f>'Prestige Patterns'!$B$5*('Prestige Patterns'!$B$6^E565-'Prestige Patterns'!$B$6^(E565+G566))/(1-'Prestige Patterns'!$B$6)</f>
        <v>17016970148524.398</v>
      </c>
      <c r="G566" s="8">
        <f>FLOOR(LOG('Prestige Patterns'!$B$6^(E565) - (D565*(1-'Prestige Patterns'!$B$6)/'Prestige Patterns'!$B$5),'Prestige Patterns'!$B$6)-E565,1)</f>
        <v>1</v>
      </c>
      <c r="H566">
        <f t="shared" si="2"/>
        <v>90949</v>
      </c>
      <c r="I566" s="5">
        <f>1+H566*'Prestige Patterns'!$B$25</f>
        <v>910.49</v>
      </c>
      <c r="J566">
        <f>FLOOR((K566/'Prestige Patterns'!$B$22)^'Prestige Patterns'!$B$23,1)-H565</f>
        <v>25496</v>
      </c>
      <c r="K566" s="8">
        <f>K565+N565*'Prestige Patterns'!$B$20</f>
        <v>1355961958658058</v>
      </c>
      <c r="L566" s="2">
        <f>IF(J565&gt;='Prestige Patterns'!$B$28,IF(J565/(H565+1)&gt;('Prestige Patterns'!$B$27+1),L565+1,L565),L565)</f>
        <v>9</v>
      </c>
      <c r="N566">
        <f t="shared" si="0"/>
        <v>712458279321.59998</v>
      </c>
      <c r="O566" s="3">
        <f>'Prestige Patterns'!$B$4*E566</f>
        <v>11940</v>
      </c>
      <c r="P566">
        <f t="shared" si="3"/>
        <v>65536</v>
      </c>
      <c r="Q566" s="5"/>
      <c r="R566" s="5"/>
      <c r="S566" s="3">
        <v>565</v>
      </c>
      <c r="T566" s="5"/>
    </row>
    <row r="567" spans="1:20" ht="12">
      <c r="A567" s="1"/>
      <c r="B567" s="1"/>
      <c r="C567" s="2">
        <f>(S567*'Prestige Patterns'!$B$20)/60</f>
        <v>283</v>
      </c>
      <c r="D567" s="2">
        <f>IF(L566=L567,N566*'Prestige Patterns'!$B$20+D566-F567,0)</f>
        <v>38422282833760.742</v>
      </c>
      <c r="E567" s="3">
        <f t="shared" si="1"/>
        <v>598</v>
      </c>
      <c r="F567" s="8">
        <f>'Prestige Patterns'!$B$5*('Prestige Patterns'!$B$6^E566-'Prestige Patterns'!$B$6^(E566+G567))/(1-'Prestige Patterns'!$B$6)</f>
        <v>17867818655950.609</v>
      </c>
      <c r="G567" s="8">
        <f>FLOOR(LOG('Prestige Patterns'!$B$6^(E566) - (D566*(1-'Prestige Patterns'!$B$6)/'Prestige Patterns'!$B$5),'Prestige Patterns'!$B$6)-E566,1)</f>
        <v>1</v>
      </c>
      <c r="H567">
        <f t="shared" si="2"/>
        <v>90949</v>
      </c>
      <c r="I567" s="5">
        <f>1+H567*'Prestige Patterns'!$B$25</f>
        <v>910.49</v>
      </c>
      <c r="J567">
        <f>FLOOR((K567/'Prestige Patterns'!$B$22)^'Prestige Patterns'!$B$23,1)-H566</f>
        <v>26410</v>
      </c>
      <c r="K567" s="8">
        <f>K566+N566*'Prestige Patterns'!$B$20</f>
        <v>1377335707037706</v>
      </c>
      <c r="L567" s="2">
        <f>IF(J566&gt;='Prestige Patterns'!$B$28,IF(J566/(H566+1)&gt;('Prestige Patterns'!$B$27+1),L566+1,L566),L566)</f>
        <v>9</v>
      </c>
      <c r="N567">
        <f t="shared" si="0"/>
        <v>713651676774.40002</v>
      </c>
      <c r="O567" s="3">
        <f>'Prestige Patterns'!$B$4*E567</f>
        <v>11960</v>
      </c>
      <c r="P567">
        <f t="shared" si="3"/>
        <v>65536</v>
      </c>
      <c r="Q567" s="5"/>
      <c r="R567" s="5"/>
      <c r="S567" s="3">
        <v>566</v>
      </c>
      <c r="T567" s="5"/>
    </row>
    <row r="568" spans="1:20" ht="12">
      <c r="A568" s="1"/>
      <c r="B568" s="1"/>
      <c r="C568" s="2">
        <f>(S568*'Prestige Patterns'!$B$20)/60</f>
        <v>283.5</v>
      </c>
      <c r="D568" s="2">
        <f>IF(L567=L568,N567*'Prestige Patterns'!$B$20+D567-F568,0)</f>
        <v>41070623548244.477</v>
      </c>
      <c r="E568" s="3">
        <f t="shared" si="1"/>
        <v>599</v>
      </c>
      <c r="F568" s="8">
        <f>'Prestige Patterns'!$B$5*('Prestige Patterns'!$B$6^E567-'Prestige Patterns'!$B$6^(E567+G568))/(1-'Prestige Patterns'!$B$6)</f>
        <v>18761209588748.266</v>
      </c>
      <c r="G568" s="8">
        <f>FLOOR(LOG('Prestige Patterns'!$B$6^(E567) - (D567*(1-'Prestige Patterns'!$B$6)/'Prestige Patterns'!$B$5),'Prestige Patterns'!$B$6)-E567,1)</f>
        <v>1</v>
      </c>
      <c r="H568">
        <f t="shared" si="2"/>
        <v>90949</v>
      </c>
      <c r="I568" s="5">
        <f>1+H568*'Prestige Patterns'!$B$25</f>
        <v>910.49</v>
      </c>
      <c r="J568">
        <f>FLOOR((K568/'Prestige Patterns'!$B$22)^'Prestige Patterns'!$B$23,1)-H567</f>
        <v>27319</v>
      </c>
      <c r="K568" s="8">
        <f>K567+N567*'Prestige Patterns'!$B$20</f>
        <v>1398745257340938</v>
      </c>
      <c r="L568" s="2">
        <f>IF(J567&gt;='Prestige Patterns'!$B$28,IF(J567/(H567+1)&gt;('Prestige Patterns'!$B$27+1),L567+1,L567),L567)</f>
        <v>9</v>
      </c>
      <c r="N568">
        <f t="shared" si="0"/>
        <v>714845074227.19995</v>
      </c>
      <c r="O568" s="3">
        <f>'Prestige Patterns'!$B$4*E568</f>
        <v>11980</v>
      </c>
      <c r="P568">
        <f t="shared" si="3"/>
        <v>65536</v>
      </c>
      <c r="Q568" s="5"/>
      <c r="R568" s="5"/>
      <c r="S568" s="3">
        <v>567</v>
      </c>
      <c r="T568" s="5"/>
    </row>
    <row r="569" spans="1:20" ht="12">
      <c r="A569" s="1"/>
      <c r="B569" s="1"/>
      <c r="C569" s="2">
        <f>(S569*'Prestige Patterns'!$B$20)/60</f>
        <v>284</v>
      </c>
      <c r="D569" s="2">
        <f>IF(L568=L569,N568*'Prestige Patterns'!$B$20+D568-F569,0)</f>
        <v>22132472135280.125</v>
      </c>
      <c r="E569" s="3">
        <f t="shared" si="1"/>
        <v>601</v>
      </c>
      <c r="F569" s="8">
        <f>'Prestige Patterns'!$B$5*('Prestige Patterns'!$B$6^E568-'Prestige Patterns'!$B$6^(E568+G569))/(1-'Prestige Patterns'!$B$6)</f>
        <v>40383503639780.352</v>
      </c>
      <c r="G569" s="8">
        <f>FLOOR(LOG('Prestige Patterns'!$B$6^(E568) - (D568*(1-'Prestige Patterns'!$B$6)/'Prestige Patterns'!$B$5),'Prestige Patterns'!$B$6)-E568,1)</f>
        <v>2</v>
      </c>
      <c r="H569">
        <f t="shared" si="2"/>
        <v>90949</v>
      </c>
      <c r="I569" s="5">
        <f>1+H569*'Prestige Patterns'!$B$25</f>
        <v>910.49</v>
      </c>
      <c r="J569">
        <f>FLOOR((K569/'Prestige Patterns'!$B$22)^'Prestige Patterns'!$B$23,1)-H568</f>
        <v>28222</v>
      </c>
      <c r="K569" s="8">
        <f>K568+N568*'Prestige Patterns'!$B$20</f>
        <v>1420190609567754</v>
      </c>
      <c r="L569" s="2">
        <f>IF(J568&gt;='Prestige Patterns'!$B$28,IF(J568/(H568+1)&gt;('Prestige Patterns'!$B$27+1),L568+1,L568),L568)</f>
        <v>9</v>
      </c>
      <c r="N569">
        <f t="shared" si="0"/>
        <v>11475709906124.801</v>
      </c>
      <c r="O569" s="3">
        <f>'Prestige Patterns'!$B$4*E569</f>
        <v>12020</v>
      </c>
      <c r="P569">
        <f t="shared" si="3"/>
        <v>1048576</v>
      </c>
      <c r="Q569" s="5"/>
      <c r="R569" s="5"/>
      <c r="S569" s="3">
        <v>568</v>
      </c>
      <c r="T569" s="5"/>
    </row>
    <row r="570" spans="1:20" ht="12">
      <c r="A570" s="1"/>
      <c r="B570" s="1"/>
      <c r="C570" s="2">
        <f>(S570*'Prestige Patterns'!$B$20)/60</f>
        <v>284.5</v>
      </c>
      <c r="D570" s="2">
        <f>IF(L569=L570,N569*'Prestige Patterns'!$B$20+D569-F570,0)</f>
        <v>344685324068849.56</v>
      </c>
      <c r="E570" s="3">
        <f t="shared" si="1"/>
        <v>602</v>
      </c>
      <c r="F570" s="8">
        <f>'Prestige Patterns'!$B$5*('Prestige Patterns'!$B$6^E569-'Prestige Patterns'!$B$6^(E569+G570))/(1-'Prestige Patterns'!$B$6)</f>
        <v>21718445250174.59</v>
      </c>
      <c r="G570" s="8">
        <f>FLOOR(LOG('Prestige Patterns'!$B$6^(E569) - (D569*(1-'Prestige Patterns'!$B$6)/'Prestige Patterns'!$B$5),'Prestige Patterns'!$B$6)-E569,1)</f>
        <v>1</v>
      </c>
      <c r="H570">
        <f t="shared" si="2"/>
        <v>90949</v>
      </c>
      <c r="I570" s="5">
        <f>1+H570*'Prestige Patterns'!$B$25</f>
        <v>910.49</v>
      </c>
      <c r="J570">
        <f>FLOOR((K570/'Prestige Patterns'!$B$22)^'Prestige Patterns'!$B$23,1)-H569</f>
        <v>41884</v>
      </c>
      <c r="K570" s="8">
        <f>K569+N569*'Prestige Patterns'!$B$20</f>
        <v>1764461906751498</v>
      </c>
      <c r="L570" s="2">
        <f>IF(J569&gt;='Prestige Patterns'!$B$28,IF(J569/(H569+1)&gt;('Prestige Patterns'!$B$27+1),L569+1,L569),L569)</f>
        <v>9</v>
      </c>
      <c r="N570">
        <f t="shared" si="0"/>
        <v>11494804265369.6</v>
      </c>
      <c r="O570" s="3">
        <f>'Prestige Patterns'!$B$4*E570</f>
        <v>12040</v>
      </c>
      <c r="P570">
        <f t="shared" si="3"/>
        <v>1048576</v>
      </c>
      <c r="Q570" s="5"/>
      <c r="R570" s="5"/>
      <c r="S570" s="3">
        <v>569</v>
      </c>
      <c r="T570" s="5"/>
    </row>
    <row r="571" spans="1:20" ht="12">
      <c r="A571" s="1"/>
      <c r="B571" s="1"/>
      <c r="C571" s="2">
        <f>(S571*'Prestige Patterns'!$B$20)/60</f>
        <v>285</v>
      </c>
      <c r="D571" s="2">
        <f>IF(L570=L571,N570*'Prestige Patterns'!$B$20+D570-F571,0)</f>
        <v>365552656405777.62</v>
      </c>
      <c r="E571" s="3">
        <f t="shared" si="1"/>
        <v>613</v>
      </c>
      <c r="F571" s="8">
        <f>'Prestige Patterns'!$B$5*('Prestige Patterns'!$B$6^E570-'Prestige Patterns'!$B$6^(E570+G571))/(1-'Prestige Patterns'!$B$6)</f>
        <v>323976795624159.88</v>
      </c>
      <c r="G571" s="8">
        <f>FLOOR(LOG('Prestige Patterns'!$B$6^(E570) - (D570*(1-'Prestige Patterns'!$B$6)/'Prestige Patterns'!$B$5),'Prestige Patterns'!$B$6)-E570,1)</f>
        <v>11</v>
      </c>
      <c r="H571">
        <f t="shared" si="2"/>
        <v>90949</v>
      </c>
      <c r="I571" s="5">
        <f>1+H571*'Prestige Patterns'!$B$25</f>
        <v>910.49</v>
      </c>
      <c r="J571">
        <f>FLOOR((K571/'Prestige Patterns'!$B$22)^'Prestige Patterns'!$B$23,1)-H570</f>
        <v>54285</v>
      </c>
      <c r="K571" s="8">
        <f>K570+N570*'Prestige Patterns'!$B$20</f>
        <v>2109306034712586</v>
      </c>
      <c r="L571" s="2">
        <f>IF(J570&gt;='Prestige Patterns'!$B$28,IF(J570/(H570+1)&gt;('Prestige Patterns'!$B$27+1),L570+1,L570),L570)</f>
        <v>9</v>
      </c>
      <c r="N571">
        <f t="shared" si="0"/>
        <v>11704842217062.4</v>
      </c>
      <c r="O571" s="3">
        <f>'Prestige Patterns'!$B$4*E571</f>
        <v>12260</v>
      </c>
      <c r="P571">
        <f t="shared" si="3"/>
        <v>1048576</v>
      </c>
      <c r="Q571" s="5"/>
      <c r="R571" s="5"/>
      <c r="S571" s="3">
        <v>570</v>
      </c>
      <c r="T571" s="5"/>
    </row>
    <row r="572" spans="1:20" ht="12">
      <c r="A572" s="1"/>
      <c r="B572" s="1"/>
      <c r="C572" s="2">
        <f>(S572*'Prestige Patterns'!$B$20)/60</f>
        <v>285.5</v>
      </c>
      <c r="D572" s="2">
        <f>IF(L571=L572,N571*'Prestige Patterns'!$B$20+D571-F572,0)</f>
        <v>399133479431799.94</v>
      </c>
      <c r="E572" s="3">
        <f t="shared" si="1"/>
        <v>620</v>
      </c>
      <c r="F572" s="8">
        <f>'Prestige Patterns'!$B$5*('Prestige Patterns'!$B$6^E571-'Prestige Patterns'!$B$6^(E571+G572))/(1-'Prestige Patterns'!$B$6)</f>
        <v>317564443485849.69</v>
      </c>
      <c r="G572" s="8">
        <f>FLOOR(LOG('Prestige Patterns'!$B$6^(E571) - (D571*(1-'Prestige Patterns'!$B$6)/'Prestige Patterns'!$B$5),'Prestige Patterns'!$B$6)-E571,1)</f>
        <v>7</v>
      </c>
      <c r="H572">
        <f t="shared" si="2"/>
        <v>90949</v>
      </c>
      <c r="I572" s="5">
        <f>1+H572*'Prestige Patterns'!$B$25</f>
        <v>910.49</v>
      </c>
      <c r="J572">
        <f>FLOOR((K572/'Prestige Patterns'!$B$22)^'Prestige Patterns'!$B$23,1)-H571</f>
        <v>65909</v>
      </c>
      <c r="K572" s="8">
        <f>K571+N571*'Prestige Patterns'!$B$20</f>
        <v>2460451301224458</v>
      </c>
      <c r="L572" s="2">
        <f>IF(J571&gt;='Prestige Patterns'!$B$28,IF(J571/(H571+1)&gt;('Prestige Patterns'!$B$27+1),L571+1,L571),L571)</f>
        <v>9</v>
      </c>
      <c r="N572">
        <f t="shared" si="0"/>
        <v>11838502731776</v>
      </c>
      <c r="O572" s="3">
        <f>'Prestige Patterns'!$B$4*E572</f>
        <v>12400</v>
      </c>
      <c r="P572">
        <f t="shared" si="3"/>
        <v>1048576</v>
      </c>
      <c r="Q572" s="5"/>
      <c r="R572" s="5"/>
      <c r="S572" s="3">
        <v>571</v>
      </c>
      <c r="T572" s="5"/>
    </row>
    <row r="573" spans="1:20" ht="12">
      <c r="A573" s="1"/>
      <c r="B573" s="1"/>
      <c r="C573" s="2">
        <f>(S573*'Prestige Patterns'!$B$20)/60</f>
        <v>286</v>
      </c>
      <c r="D573" s="2">
        <f>IF(L572=L573,N572*'Prestige Patterns'!$B$20+D572-F573,0)</f>
        <v>380989863117124.88</v>
      </c>
      <c r="E573" s="3">
        <f t="shared" si="1"/>
        <v>626</v>
      </c>
      <c r="F573" s="8">
        <f>'Prestige Patterns'!$B$5*('Prestige Patterns'!$B$6^E572-'Prestige Patterns'!$B$6^(E572+G573))/(1-'Prestige Patterns'!$B$6)</f>
        <v>373298698267955.12</v>
      </c>
      <c r="G573" s="8">
        <f>FLOOR(LOG('Prestige Patterns'!$B$6^(E572) - (D572*(1-'Prestige Patterns'!$B$6)/'Prestige Patterns'!$B$5),'Prestige Patterns'!$B$6)-E572,1)</f>
        <v>6</v>
      </c>
      <c r="H573">
        <f t="shared" si="2"/>
        <v>90949</v>
      </c>
      <c r="I573" s="5">
        <f>1+H573*'Prestige Patterns'!$B$25</f>
        <v>910.49</v>
      </c>
      <c r="J573">
        <f>FLOOR((K573/'Prestige Patterns'!$B$22)^'Prestige Patterns'!$B$23,1)-H572</f>
        <v>76848</v>
      </c>
      <c r="K573" s="8">
        <f>K572+N572*'Prestige Patterns'!$B$20</f>
        <v>2815606383177738</v>
      </c>
      <c r="L573" s="2">
        <f>IF(J572&gt;='Prestige Patterns'!$B$28,IF(J572/(H572+1)&gt;('Prestige Patterns'!$B$27+1),L572+1,L572),L572)</f>
        <v>9</v>
      </c>
      <c r="N573">
        <f t="shared" si="0"/>
        <v>11953068887244.801</v>
      </c>
      <c r="O573" s="3">
        <f>'Prestige Patterns'!$B$4*E573</f>
        <v>12520</v>
      </c>
      <c r="P573">
        <f t="shared" si="3"/>
        <v>1048576</v>
      </c>
      <c r="Q573" s="5"/>
      <c r="R573" s="5"/>
      <c r="S573" s="3">
        <v>572</v>
      </c>
      <c r="T573" s="5"/>
    </row>
    <row r="574" spans="1:20" ht="12">
      <c r="A574" s="1"/>
      <c r="B574" s="1"/>
      <c r="C574" s="2">
        <f>(S574*'Prestige Patterns'!$B$20)/60</f>
        <v>286.5</v>
      </c>
      <c r="D574" s="2">
        <f>IF(L573=L574,N573*'Prestige Patterns'!$B$20+D573-F574,0)</f>
        <v>422587905954305.44</v>
      </c>
      <c r="E574" s="3">
        <f t="shared" si="1"/>
        <v>630</v>
      </c>
      <c r="F574" s="8">
        <f>'Prestige Patterns'!$B$5*('Prestige Patterns'!$B$6^E573-'Prestige Patterns'!$B$6^(E573+G574))/(1-'Prestige Patterns'!$B$6)</f>
        <v>316994023780163.44</v>
      </c>
      <c r="G574" s="8">
        <f>FLOOR(LOG('Prestige Patterns'!$B$6^(E573) - (D573*(1-'Prestige Patterns'!$B$6)/'Prestige Patterns'!$B$5),'Prestige Patterns'!$B$6)-E573,1)</f>
        <v>4</v>
      </c>
      <c r="H574">
        <f t="shared" si="2"/>
        <v>90949</v>
      </c>
      <c r="I574" s="5">
        <f>1+H574*'Prestige Patterns'!$B$25</f>
        <v>910.49</v>
      </c>
      <c r="J574">
        <f>FLOOR((K574/'Prestige Patterns'!$B$22)^'Prestige Patterns'!$B$23,1)-H573</f>
        <v>87213</v>
      </c>
      <c r="K574" s="8">
        <f>K573+N573*'Prestige Patterns'!$B$20</f>
        <v>3174198449795082</v>
      </c>
      <c r="L574" s="2">
        <f>IF(J573&gt;='Prestige Patterns'!$B$28,IF(J573/(H573+1)&gt;('Prestige Patterns'!$B$27+1),L573+1,L573),L573)</f>
        <v>9</v>
      </c>
      <c r="N574">
        <f t="shared" si="0"/>
        <v>12029446324224</v>
      </c>
      <c r="O574" s="3">
        <f>'Prestige Patterns'!$B$4*E574</f>
        <v>12600</v>
      </c>
      <c r="P574">
        <f t="shared" si="3"/>
        <v>1048576</v>
      </c>
      <c r="Q574" s="5"/>
      <c r="R574" s="5"/>
      <c r="S574" s="3">
        <v>573</v>
      </c>
      <c r="T574" s="5"/>
    </row>
    <row r="575" spans="1:20" ht="12">
      <c r="A575" s="1"/>
      <c r="B575" s="1"/>
      <c r="C575" s="2">
        <f>(S575*'Prestige Patterns'!$B$20)/60</f>
        <v>287</v>
      </c>
      <c r="D575" s="2">
        <f>IF(L574=L575,N574*'Prestige Patterns'!$B$20+D574-F575,0)</f>
        <v>398163078563586.75</v>
      </c>
      <c r="E575" s="3">
        <f t="shared" si="1"/>
        <v>634</v>
      </c>
      <c r="F575" s="8">
        <f>'Prestige Patterns'!$B$5*('Prestige Patterns'!$B$6^E574-'Prestige Patterns'!$B$6^(E574+G575))/(1-'Prestige Patterns'!$B$6)</f>
        <v>385308217117438.75</v>
      </c>
      <c r="G575" s="8">
        <f>FLOOR(LOG('Prestige Patterns'!$B$6^(E574) - (D574*(1-'Prestige Patterns'!$B$6)/'Prestige Patterns'!$B$5),'Prestige Patterns'!$B$6)-E574,1)</f>
        <v>4</v>
      </c>
      <c r="H575">
        <f t="shared" si="2"/>
        <v>90949</v>
      </c>
      <c r="I575" s="5">
        <f>1+H575*'Prestige Patterns'!$B$25</f>
        <v>910.49</v>
      </c>
      <c r="J575">
        <f>FLOOR((K575/'Prestige Patterns'!$B$22)^'Prestige Patterns'!$B$23,1)-H574</f>
        <v>97069</v>
      </c>
      <c r="K575" s="8">
        <f>K574+N574*'Prestige Patterns'!$B$20</f>
        <v>3535081839521802</v>
      </c>
      <c r="L575" s="2">
        <f>IF(J574&gt;='Prestige Patterns'!$B$28,IF(J574/(H574+1)&gt;('Prestige Patterns'!$B$27+1),L574+1,L574),L574)</f>
        <v>9</v>
      </c>
      <c r="N575">
        <f t="shared" si="0"/>
        <v>12105823761203.199</v>
      </c>
      <c r="O575" s="3">
        <f>'Prestige Patterns'!$B$4*E575</f>
        <v>12680</v>
      </c>
      <c r="P575">
        <f t="shared" si="3"/>
        <v>1048576</v>
      </c>
      <c r="Q575" s="5"/>
      <c r="R575" s="5"/>
      <c r="S575" s="3">
        <v>574</v>
      </c>
      <c r="T575" s="5"/>
    </row>
    <row r="576" spans="1:20" ht="12">
      <c r="A576" s="1"/>
      <c r="B576" s="1"/>
      <c r="C576" s="2">
        <f>(S576*'Prestige Patterns'!$B$20)/60</f>
        <v>287.5</v>
      </c>
      <c r="D576" s="2">
        <f>IF(L575=L576,N575*'Prestige Patterns'!$B$20+D575-F576,0)</f>
        <v>418782486965262.12</v>
      </c>
      <c r="E576" s="3">
        <f t="shared" si="1"/>
        <v>637</v>
      </c>
      <c r="F576" s="8">
        <f>'Prestige Patterns'!$B$5*('Prestige Patterns'!$B$6^E575-'Prestige Patterns'!$B$6^(E575+G576))/(1-'Prestige Patterns'!$B$6)</f>
        <v>342555304434420.62</v>
      </c>
      <c r="G576" s="8">
        <f>FLOOR(LOG('Prestige Patterns'!$B$6^(E575) - (D575*(1-'Prestige Patterns'!$B$6)/'Prestige Patterns'!$B$5),'Prestige Patterns'!$B$6)-E575,1)</f>
        <v>3</v>
      </c>
      <c r="H576">
        <f t="shared" si="2"/>
        <v>90949</v>
      </c>
      <c r="I576" s="5">
        <f>1+H576*'Prestige Patterns'!$B$25</f>
        <v>910.49</v>
      </c>
      <c r="J576">
        <f>FLOOR((K576/'Prestige Patterns'!$B$22)^'Prestige Patterns'!$B$23,1)-H575</f>
        <v>106491</v>
      </c>
      <c r="K576" s="8">
        <f>K575+N575*'Prestige Patterns'!$B$20</f>
        <v>3898256552357898</v>
      </c>
      <c r="L576" s="2">
        <f>IF(J575&gt;='Prestige Patterns'!$B$28,IF(J575/(H575+1)&gt;('Prestige Patterns'!$B$27+1),L575+1,L575),L575)</f>
        <v>9</v>
      </c>
      <c r="N576">
        <f t="shared" si="0"/>
        <v>12163106838937.6</v>
      </c>
      <c r="O576" s="3">
        <f>'Prestige Patterns'!$B$4*E576</f>
        <v>12740</v>
      </c>
      <c r="P576">
        <f t="shared" si="3"/>
        <v>1048576</v>
      </c>
      <c r="Q576" s="5"/>
      <c r="R576" s="5"/>
      <c r="S576" s="3">
        <v>575</v>
      </c>
      <c r="T576" s="5"/>
    </row>
    <row r="577" spans="1:20" ht="12">
      <c r="A577" s="1"/>
      <c r="B577" s="1"/>
      <c r="C577" s="2">
        <f>(S577*'Prestige Patterns'!$B$20)/60</f>
        <v>288</v>
      </c>
      <c r="D577" s="2">
        <f>IF(L576=L577,N576*'Prestige Patterns'!$B$20+D576-F577,0)</f>
        <v>387125107837494.25</v>
      </c>
      <c r="E577" s="3">
        <f t="shared" si="1"/>
        <v>640</v>
      </c>
      <c r="F577" s="8">
        <f>'Prestige Patterns'!$B$5*('Prestige Patterns'!$B$6^E576-'Prestige Patterns'!$B$6^(E576+G577))/(1-'Prestige Patterns'!$B$6)</f>
        <v>396550584295895.88</v>
      </c>
      <c r="G577" s="8">
        <f>FLOOR(LOG('Prestige Patterns'!$B$6^(E576) - (D576*(1-'Prestige Patterns'!$B$6)/'Prestige Patterns'!$B$5),'Prestige Patterns'!$B$6)-E576,1)</f>
        <v>3</v>
      </c>
      <c r="H577">
        <f t="shared" si="2"/>
        <v>90949</v>
      </c>
      <c r="I577" s="5">
        <f>1+H577*'Prestige Patterns'!$B$25</f>
        <v>910.49</v>
      </c>
      <c r="J577">
        <f>FLOOR((K577/'Prestige Patterns'!$B$22)^'Prestige Patterns'!$B$23,1)-H576</f>
        <v>115524</v>
      </c>
      <c r="K577" s="8">
        <f>K576+N576*'Prestige Patterns'!$B$20</f>
        <v>4263149757526026</v>
      </c>
      <c r="L577" s="2">
        <f>IF(J576&gt;='Prestige Patterns'!$B$28,IF(J576/(H576+1)&gt;('Prestige Patterns'!$B$27+1),L576+1,L576),L576)</f>
        <v>9</v>
      </c>
      <c r="N577">
        <f t="shared" si="0"/>
        <v>12220389916672</v>
      </c>
      <c r="O577" s="3">
        <f>'Prestige Patterns'!$B$4*E577</f>
        <v>12800</v>
      </c>
      <c r="P577">
        <f t="shared" si="3"/>
        <v>1048576</v>
      </c>
      <c r="Q577" s="5"/>
      <c r="R577" s="5"/>
      <c r="S577" s="3">
        <v>576</v>
      </c>
      <c r="T577" s="5"/>
    </row>
    <row r="578" spans="1:20" ht="12">
      <c r="A578" s="1"/>
      <c r="B578" s="1"/>
      <c r="C578" s="2">
        <f>(S578*'Prestige Patterns'!$B$20)/60</f>
        <v>288.5</v>
      </c>
      <c r="D578" s="2">
        <f>IF(L577=L578,N577*'Prestige Patterns'!$B$20+D577-F578,0)</f>
        <v>455222425068550.12</v>
      </c>
      <c r="E578" s="3">
        <f t="shared" si="1"/>
        <v>642</v>
      </c>
      <c r="F578" s="8">
        <f>'Prestige Patterns'!$B$5*('Prestige Patterns'!$B$6^E577-'Prestige Patterns'!$B$6^(E577+G578))/(1-'Prestige Patterns'!$B$6)</f>
        <v>298514380269104.12</v>
      </c>
      <c r="G578" s="8">
        <f>FLOOR(LOG('Prestige Patterns'!$B$6^(E577) - (D577*(1-'Prestige Patterns'!$B$6)/'Prestige Patterns'!$B$5),'Prestige Patterns'!$B$6)-E577,1)</f>
        <v>2</v>
      </c>
      <c r="H578">
        <f t="shared" si="2"/>
        <v>90949</v>
      </c>
      <c r="I578" s="5">
        <f>1+H578*'Prestige Patterns'!$B$25</f>
        <v>910.49</v>
      </c>
      <c r="J578">
        <f>FLOOR((K578/'Prestige Patterns'!$B$22)^'Prestige Patterns'!$B$23,1)-H577</f>
        <v>124219</v>
      </c>
      <c r="K578" s="8">
        <f>K577+N577*'Prestige Patterns'!$B$20</f>
        <v>4629761455026186</v>
      </c>
      <c r="L578" s="2">
        <f>IF(J577&gt;='Prestige Patterns'!$B$28,IF(J577/(H577+1)&gt;('Prestige Patterns'!$B$27+1),L577+1,L577),L577)</f>
        <v>9</v>
      </c>
      <c r="N578">
        <f t="shared" si="0"/>
        <v>12258578635161.6</v>
      </c>
      <c r="O578" s="3">
        <f>'Prestige Patterns'!$B$4*E578</f>
        <v>12840</v>
      </c>
      <c r="P578">
        <f t="shared" si="3"/>
        <v>1048576</v>
      </c>
      <c r="Q578" s="5"/>
      <c r="R578" s="5"/>
      <c r="S578" s="3">
        <v>577</v>
      </c>
      <c r="T578" s="5"/>
    </row>
    <row r="579" spans="1:20" ht="12">
      <c r="A579" s="1"/>
      <c r="B579" s="1"/>
      <c r="C579" s="2">
        <f>(S579*'Prestige Patterns'!$B$20)/60</f>
        <v>289</v>
      </c>
      <c r="D579" s="2">
        <f>IF(L578=L579,N578*'Prestige Patterns'!$B$20+D578-F579,0)</f>
        <v>493867679876710.94</v>
      </c>
      <c r="E579" s="3">
        <f t="shared" si="1"/>
        <v>644</v>
      </c>
      <c r="F579" s="8">
        <f>'Prestige Patterns'!$B$5*('Prestige Patterns'!$B$6^E578-'Prestige Patterns'!$B$6^(E578+G579))/(1-'Prestige Patterns'!$B$6)</f>
        <v>329112104246687.19</v>
      </c>
      <c r="G579" s="8">
        <f>FLOOR(LOG('Prestige Patterns'!$B$6^(E578) - (D578*(1-'Prestige Patterns'!$B$6)/'Prestige Patterns'!$B$5),'Prestige Patterns'!$B$6)-E578,1)</f>
        <v>2</v>
      </c>
      <c r="H579">
        <f t="shared" si="2"/>
        <v>90949</v>
      </c>
      <c r="I579" s="5">
        <f>1+H579*'Prestige Patterns'!$B$25</f>
        <v>910.49</v>
      </c>
      <c r="J579">
        <f>FLOOR((K579/'Prestige Patterns'!$B$22)^'Prestige Patterns'!$B$23,1)-H578</f>
        <v>132602</v>
      </c>
      <c r="K579" s="8">
        <f>K578+N578*'Prestige Patterns'!$B$20</f>
        <v>4997518814081034</v>
      </c>
      <c r="L579" s="2">
        <f>IF(J578&gt;='Prestige Patterns'!$B$28,IF(J578/(H578+1)&gt;('Prestige Patterns'!$B$27+1),L578+1,L578),L578)</f>
        <v>9</v>
      </c>
      <c r="N579">
        <f t="shared" si="0"/>
        <v>12296767353651.199</v>
      </c>
      <c r="O579" s="3">
        <f>'Prestige Patterns'!$B$4*E579</f>
        <v>12880</v>
      </c>
      <c r="P579">
        <f t="shared" si="3"/>
        <v>1048576</v>
      </c>
      <c r="Q579" s="5"/>
      <c r="R579" s="5"/>
      <c r="S579" s="3">
        <v>578</v>
      </c>
      <c r="T579" s="5"/>
    </row>
    <row r="580" spans="1:20" ht="12">
      <c r="A580" s="1"/>
      <c r="B580" s="1"/>
      <c r="C580" s="2">
        <f>(S580*'Prestige Patterns'!$B$20)/60</f>
        <v>289.5</v>
      </c>
      <c r="D580" s="2">
        <f>IF(L579=L580,N579*'Prestige Patterns'!$B$20+D579-F580,0)</f>
        <v>499924605554274.81</v>
      </c>
      <c r="E580" s="3">
        <f t="shared" si="1"/>
        <v>646</v>
      </c>
      <c r="F580" s="8">
        <f>'Prestige Patterns'!$B$5*('Prestige Patterns'!$B$6^E579-'Prestige Patterns'!$B$6^(E579+G580))/(1-'Prestige Patterns'!$B$6)</f>
        <v>362846094931972.19</v>
      </c>
      <c r="G580" s="8">
        <f>FLOOR(LOG('Prestige Patterns'!$B$6^(E579) - (D579*(1-'Prestige Patterns'!$B$6)/'Prestige Patterns'!$B$5),'Prestige Patterns'!$B$6)-E579,1)</f>
        <v>2</v>
      </c>
      <c r="H580">
        <f t="shared" si="2"/>
        <v>90949</v>
      </c>
      <c r="I580" s="5">
        <f>1+H580*'Prestige Patterns'!$B$25</f>
        <v>910.49</v>
      </c>
      <c r="J580">
        <f>FLOOR((K580/'Prestige Patterns'!$B$22)^'Prestige Patterns'!$B$23,1)-H579</f>
        <v>140706</v>
      </c>
      <c r="K580" s="8">
        <f>K579+N579*'Prestige Patterns'!$B$20</f>
        <v>5366421834690570</v>
      </c>
      <c r="L580" s="2">
        <f>IF(J579&gt;='Prestige Patterns'!$B$28,IF(J579/(H579+1)&gt;('Prestige Patterns'!$B$27+1),L579+1,L579),L579)</f>
        <v>9</v>
      </c>
      <c r="N580">
        <f t="shared" si="0"/>
        <v>12334956072140.801</v>
      </c>
      <c r="O580" s="3">
        <f>'Prestige Patterns'!$B$4*E580</f>
        <v>12920</v>
      </c>
      <c r="P580">
        <f t="shared" si="3"/>
        <v>1048576</v>
      </c>
      <c r="Q580" s="5"/>
      <c r="R580" s="5"/>
      <c r="S580" s="3">
        <v>579</v>
      </c>
      <c r="T580" s="5"/>
    </row>
    <row r="581" spans="1:20" ht="12">
      <c r="A581" s="1"/>
      <c r="B581" s="1"/>
      <c r="C581" s="2">
        <f>(S581*'Prestige Patterns'!$B$20)/60</f>
        <v>290</v>
      </c>
      <c r="D581" s="2">
        <f>IF(L580=L581,N580*'Prestige Patterns'!$B$20+D580-F581,0)</f>
        <v>0</v>
      </c>
      <c r="E581" s="3">
        <f t="shared" si="1"/>
        <v>1</v>
      </c>
      <c r="F581" s="8">
        <f>'Prestige Patterns'!$B$5*('Prestige Patterns'!$B$6^E580-'Prestige Patterns'!$B$6^(E580+G581))/(1-'Prestige Patterns'!$B$6)</f>
        <v>400037819662500.25</v>
      </c>
      <c r="G581" s="8">
        <f>FLOOR(LOG('Prestige Patterns'!$B$6^(E580) - (D580*(1-'Prestige Patterns'!$B$6)/'Prestige Patterns'!$B$5),'Prestige Patterns'!$B$6)-E580,1)</f>
        <v>2</v>
      </c>
      <c r="H581">
        <f t="shared" si="2"/>
        <v>231655</v>
      </c>
      <c r="I581" s="5">
        <f>1+H581*'Prestige Patterns'!$B$25</f>
        <v>2317.5500000000002</v>
      </c>
      <c r="J581">
        <f>FLOOR((K581/'Prestige Patterns'!$B$22)^'Prestige Patterns'!$B$23,1)-H580</f>
        <v>148560</v>
      </c>
      <c r="K581" s="8">
        <f>K580+N580*'Prestige Patterns'!$B$20</f>
        <v>5736470516854794</v>
      </c>
      <c r="L581" s="2">
        <f>IF(J580&gt;='Prestige Patterns'!$B$28,IF(J580/(H580+1)&gt;('Prestige Patterns'!$B$27+1),L580+1,L580),L580)</f>
        <v>10</v>
      </c>
      <c r="N581">
        <f t="shared" si="0"/>
        <v>48602546176</v>
      </c>
      <c r="O581" s="3">
        <f>'Prestige Patterns'!$B$4*E581</f>
        <v>20</v>
      </c>
      <c r="P581">
        <f t="shared" si="3"/>
        <v>1048576</v>
      </c>
      <c r="Q581" s="5"/>
      <c r="R581" s="5"/>
      <c r="S581" s="3">
        <v>580</v>
      </c>
      <c r="T581" s="5"/>
    </row>
    <row r="582" spans="1:20" ht="12">
      <c r="A582" s="1"/>
      <c r="B582" s="1"/>
      <c r="C582" s="2">
        <f>(S582*'Prestige Patterns'!$B$20)/60</f>
        <v>290.5</v>
      </c>
      <c r="D582" s="2">
        <f>IF(L581=L582,N581*'Prestige Patterns'!$B$20+D581-F582,0)</f>
        <v>1458076385280</v>
      </c>
      <c r="E582" s="3">
        <f t="shared" si="1"/>
        <v>1</v>
      </c>
      <c r="F582" s="8">
        <f>'Prestige Patterns'!$B$5*('Prestige Patterns'!$B$6^E581-'Prestige Patterns'!$B$6^(E581+G582))/(1-'Prestige Patterns'!$B$6)</f>
        <v>0</v>
      </c>
      <c r="G582" s="8">
        <f>FLOOR(LOG('Prestige Patterns'!$B$6^(E581) - (D581*(1-'Prestige Patterns'!$B$6)/'Prestige Patterns'!$B$5),'Prestige Patterns'!$B$6)-E581,1)</f>
        <v>0</v>
      </c>
      <c r="H582">
        <f t="shared" si="2"/>
        <v>231655</v>
      </c>
      <c r="I582" s="5">
        <f>1+H582*'Prestige Patterns'!$B$25</f>
        <v>2317.5500000000002</v>
      </c>
      <c r="J582">
        <f>FLOOR((K582/'Prestige Patterns'!$B$22)^'Prestige Patterns'!$B$23,1)-H581</f>
        <v>7884</v>
      </c>
      <c r="K582" s="8">
        <f>K581+N581*'Prestige Patterns'!$B$20</f>
        <v>5737928593240074</v>
      </c>
      <c r="L582" s="2">
        <f>IF(J581&gt;='Prestige Patterns'!$B$28,IF(J581/(H581+1)&gt;('Prestige Patterns'!$B$27+1),L581+1,L581),L581)</f>
        <v>10</v>
      </c>
      <c r="N582">
        <f t="shared" si="0"/>
        <v>48602546176</v>
      </c>
      <c r="O582" s="3">
        <f>'Prestige Patterns'!$B$4*E582</f>
        <v>20</v>
      </c>
      <c r="P582">
        <f t="shared" si="3"/>
        <v>1048576</v>
      </c>
      <c r="Q582" s="5"/>
      <c r="R582" s="5"/>
      <c r="S582" s="3">
        <v>581</v>
      </c>
      <c r="T582" s="5"/>
    </row>
    <row r="583" spans="1:20" ht="12">
      <c r="A583" s="1"/>
      <c r="B583" s="1"/>
      <c r="C583" s="2">
        <f>(S583*'Prestige Patterns'!$B$20)/60</f>
        <v>291</v>
      </c>
      <c r="D583" s="2">
        <f>IF(L582=L583,N582*'Prestige Patterns'!$B$20+D582-F583,0)</f>
        <v>1474997624617.3438</v>
      </c>
      <c r="E583" s="3">
        <f t="shared" si="1"/>
        <v>484</v>
      </c>
      <c r="F583" s="8">
        <f>'Prestige Patterns'!$B$5*('Prestige Patterns'!$B$6^E582-'Prestige Patterns'!$B$6^(E582+G583))/(1-'Prestige Patterns'!$B$6)</f>
        <v>1441155145942.6562</v>
      </c>
      <c r="G583" s="8">
        <f>FLOOR(LOG('Prestige Patterns'!$B$6^(E582) - (D582*(1-'Prestige Patterns'!$B$6)/'Prestige Patterns'!$B$5),'Prestige Patterns'!$B$6)-E582,1)</f>
        <v>483</v>
      </c>
      <c r="H583">
        <f t="shared" si="2"/>
        <v>231655</v>
      </c>
      <c r="I583" s="5">
        <f>1+H583*'Prestige Patterns'!$B$25</f>
        <v>2317.5500000000002</v>
      </c>
      <c r="J583">
        <f>FLOOR((K583/'Prestige Patterns'!$B$22)^'Prestige Patterns'!$B$23,1)-H582</f>
        <v>7915</v>
      </c>
      <c r="K583" s="8">
        <f>K582+N582*'Prestige Patterns'!$B$20</f>
        <v>5739386669625354</v>
      </c>
      <c r="L583" s="2">
        <f>IF(J582&gt;='Prestige Patterns'!$B$28,IF(J582/(H582+1)&gt;('Prestige Patterns'!$B$27+1),L582+1,L582),L582)</f>
        <v>10</v>
      </c>
      <c r="N583">
        <f t="shared" si="0"/>
        <v>91889188864</v>
      </c>
      <c r="O583" s="3">
        <f>'Prestige Patterns'!$B$4*E583</f>
        <v>9680</v>
      </c>
      <c r="P583">
        <f t="shared" si="3"/>
        <v>4096</v>
      </c>
      <c r="Q583" s="5"/>
      <c r="R583" s="5"/>
      <c r="S583" s="3">
        <v>582</v>
      </c>
      <c r="T583" s="5"/>
    </row>
    <row r="584" spans="1:20" ht="12">
      <c r="A584" s="1"/>
      <c r="B584" s="1"/>
      <c r="C584" s="2">
        <f>(S584*'Prestige Patterns'!$B$20)/60</f>
        <v>291.5</v>
      </c>
      <c r="D584" s="2">
        <f>IF(L583=L584,N583*'Prestige Patterns'!$B$20+D583-F584,0)</f>
        <v>2819439823251.123</v>
      </c>
      <c r="E584" s="3">
        <f t="shared" si="1"/>
        <v>498</v>
      </c>
      <c r="F584" s="8">
        <f>'Prestige Patterns'!$B$5*('Prestige Patterns'!$B$6^E583-'Prestige Patterns'!$B$6^(E583+G584))/(1-'Prestige Patterns'!$B$6)</f>
        <v>1412233467286.2205</v>
      </c>
      <c r="G584" s="8">
        <f>FLOOR(LOG('Prestige Patterns'!$B$6^(E583) - (D583*(1-'Prestige Patterns'!$B$6)/'Prestige Patterns'!$B$5),'Prestige Patterns'!$B$6)-E583,1)</f>
        <v>14</v>
      </c>
      <c r="H584">
        <f t="shared" si="2"/>
        <v>231655</v>
      </c>
      <c r="I584" s="5">
        <f>1+H584*'Prestige Patterns'!$B$25</f>
        <v>2317.5500000000002</v>
      </c>
      <c r="J584">
        <f>FLOOR((K584/'Prestige Patterns'!$B$22)^'Prestige Patterns'!$B$23,1)-H583</f>
        <v>7972</v>
      </c>
      <c r="K584" s="8">
        <f>K583+N583*'Prestige Patterns'!$B$20</f>
        <v>5742143345291274</v>
      </c>
      <c r="L584" s="2">
        <f>IF(J583&gt;='Prestige Patterns'!$B$28,IF(J583/(H583+1)&gt;('Prestige Patterns'!$B$27+1),L583+1,L583),L583)</f>
        <v>10</v>
      </c>
      <c r="N584">
        <f t="shared" si="0"/>
        <v>94547140608</v>
      </c>
      <c r="O584" s="3">
        <f>'Prestige Patterns'!$B$4*E584</f>
        <v>9960</v>
      </c>
      <c r="P584">
        <f t="shared" si="3"/>
        <v>4096</v>
      </c>
      <c r="Q584" s="5"/>
      <c r="R584" s="5"/>
      <c r="S584" s="3">
        <v>583</v>
      </c>
      <c r="T584" s="5"/>
    </row>
    <row r="585" spans="1:20" ht="12">
      <c r="A585" s="1"/>
      <c r="B585" s="1"/>
      <c r="C585" s="2">
        <f>(S585*'Prestige Patterns'!$B$20)/60</f>
        <v>292</v>
      </c>
      <c r="D585" s="2">
        <f>IF(L584=L585,N584*'Prestige Patterns'!$B$20+D584-F585,0)</f>
        <v>2859728373825.2715</v>
      </c>
      <c r="E585" s="3">
        <f t="shared" si="1"/>
        <v>512</v>
      </c>
      <c r="F585" s="8">
        <f>'Prestige Patterns'!$B$5*('Prestige Patterns'!$B$6^E584-'Prestige Patterns'!$B$6^(E584+G585))/(1-'Prestige Patterns'!$B$6)</f>
        <v>2796125667665.8516</v>
      </c>
      <c r="G585" s="8">
        <f>FLOOR(LOG('Prestige Patterns'!$B$6^(E584) - (D584*(1-'Prestige Patterns'!$B$6)/'Prestige Patterns'!$B$5),'Prestige Patterns'!$B$6)-E584,1)</f>
        <v>14</v>
      </c>
      <c r="H585">
        <f t="shared" si="2"/>
        <v>231655</v>
      </c>
      <c r="I585" s="5">
        <f>1+H585*'Prestige Patterns'!$B$25</f>
        <v>2317.5500000000002</v>
      </c>
      <c r="J585">
        <f>FLOOR((K585/'Prestige Patterns'!$B$22)^'Prestige Patterns'!$B$23,1)-H584</f>
        <v>8031</v>
      </c>
      <c r="K585" s="8">
        <f>K584+N584*'Prestige Patterns'!$B$20</f>
        <v>5744979759509514</v>
      </c>
      <c r="L585" s="2">
        <f>IF(J584&gt;='Prestige Patterns'!$B$28,IF(J584/(H584+1)&gt;('Prestige Patterns'!$B$27+1),L584+1,L584),L584)</f>
        <v>10</v>
      </c>
      <c r="N585">
        <f t="shared" si="0"/>
        <v>1555281477632</v>
      </c>
      <c r="O585" s="3">
        <f>'Prestige Patterns'!$B$4*E585</f>
        <v>10240</v>
      </c>
      <c r="P585">
        <f t="shared" si="3"/>
        <v>65536</v>
      </c>
      <c r="Q585" s="5"/>
      <c r="R585" s="5"/>
      <c r="S585" s="3">
        <v>584</v>
      </c>
      <c r="T585" s="5"/>
    </row>
    <row r="586" spans="1:20" ht="12">
      <c r="A586" s="1"/>
      <c r="B586" s="1"/>
      <c r="C586" s="2">
        <f>(S586*'Prestige Patterns'!$B$20)/60</f>
        <v>292.5</v>
      </c>
      <c r="D586" s="2">
        <f>IF(L585=L586,N585*'Prestige Patterns'!$B$20+D585-F586,0)</f>
        <v>46820781354567.93</v>
      </c>
      <c r="E586" s="3">
        <f t="shared" si="1"/>
        <v>520</v>
      </c>
      <c r="F586" s="8">
        <f>'Prestige Patterns'!$B$5*('Prestige Patterns'!$B$6^E585-'Prestige Patterns'!$B$6^(E585+G586))/(1-'Prestige Patterns'!$B$6)</f>
        <v>2697391348217.3452</v>
      </c>
      <c r="G586" s="8">
        <f>FLOOR(LOG('Prestige Patterns'!$B$6^(E585) - (D585*(1-'Prestige Patterns'!$B$6)/'Prestige Patterns'!$B$5),'Prestige Patterns'!$B$6)-E585,1)</f>
        <v>8</v>
      </c>
      <c r="H586">
        <f t="shared" si="2"/>
        <v>231655</v>
      </c>
      <c r="I586" s="5">
        <f>1+H586*'Prestige Patterns'!$B$25</f>
        <v>2317.5500000000002</v>
      </c>
      <c r="J586">
        <f>FLOOR((K586/'Prestige Patterns'!$B$22)^'Prestige Patterns'!$B$23,1)-H585</f>
        <v>9003</v>
      </c>
      <c r="K586" s="8">
        <f>K585+N585*'Prestige Patterns'!$B$20</f>
        <v>5791638203838474</v>
      </c>
      <c r="L586" s="2">
        <f>IF(J585&gt;='Prestige Patterns'!$B$28,IF(J585/(H585+1)&gt;('Prestige Patterns'!$B$27+1),L585+1,L585),L585)</f>
        <v>10</v>
      </c>
      <c r="N586">
        <f t="shared" si="0"/>
        <v>1579582750720.0002</v>
      </c>
      <c r="O586" s="3">
        <f>'Prestige Patterns'!$B$4*E586</f>
        <v>10400</v>
      </c>
      <c r="P586">
        <f t="shared" si="3"/>
        <v>65536</v>
      </c>
      <c r="Q586" s="5"/>
      <c r="R586" s="5"/>
      <c r="S586" s="3">
        <v>585</v>
      </c>
      <c r="T586" s="5"/>
    </row>
    <row r="587" spans="1:20" ht="12">
      <c r="A587" s="1"/>
      <c r="B587" s="1"/>
      <c r="C587" s="2">
        <f>(S587*'Prestige Patterns'!$B$20)/60</f>
        <v>293</v>
      </c>
      <c r="D587" s="2">
        <f>IF(L586=L587,N586*'Prestige Patterns'!$B$20+D586-F587,0)</f>
        <v>49256193169119.07</v>
      </c>
      <c r="E587" s="3">
        <f t="shared" si="1"/>
        <v>558</v>
      </c>
      <c r="F587" s="8">
        <f>'Prestige Patterns'!$B$5*('Prestige Patterns'!$B$6^E586-'Prestige Patterns'!$B$6^(E586+G587))/(1-'Prestige Patterns'!$B$6)</f>
        <v>44952070707048.867</v>
      </c>
      <c r="G587" s="8">
        <f>FLOOR(LOG('Prestige Patterns'!$B$6^(E586) - (D586*(1-'Prestige Patterns'!$B$6)/'Prestige Patterns'!$B$5),'Prestige Patterns'!$B$6)-E586,1)</f>
        <v>38</v>
      </c>
      <c r="H587">
        <f t="shared" si="2"/>
        <v>231655</v>
      </c>
      <c r="I587" s="5">
        <f>1+H587*'Prestige Patterns'!$B$25</f>
        <v>2317.5500000000002</v>
      </c>
      <c r="J587">
        <f>FLOOR((K587/'Prestige Patterns'!$B$22)^'Prestige Patterns'!$B$23,1)-H586</f>
        <v>9985</v>
      </c>
      <c r="K587" s="8">
        <f>K586+N586*'Prestige Patterns'!$B$20</f>
        <v>5839025686360074</v>
      </c>
      <c r="L587" s="2">
        <f>IF(J586&gt;='Prestige Patterns'!$B$28,IF(J586/(H586+1)&gt;('Prestige Patterns'!$B$27+1),L586+1,L586),L586)</f>
        <v>10</v>
      </c>
      <c r="N587">
        <f t="shared" si="0"/>
        <v>1695013797888.0002</v>
      </c>
      <c r="O587" s="3">
        <f>'Prestige Patterns'!$B$4*E587</f>
        <v>11160</v>
      </c>
      <c r="P587">
        <f t="shared" si="3"/>
        <v>65536</v>
      </c>
      <c r="Q587" s="5"/>
      <c r="R587" s="5"/>
      <c r="S587" s="3">
        <v>586</v>
      </c>
      <c r="T587" s="5"/>
    </row>
    <row r="588" spans="1:20" ht="12">
      <c r="A588" s="1"/>
      <c r="B588" s="1"/>
      <c r="C588" s="2">
        <f>(S588*'Prestige Patterns'!$B$20)/60</f>
        <v>293.5</v>
      </c>
      <c r="D588" s="2">
        <f>IF(L587=L588,N587*'Prestige Patterns'!$B$20+D587-F588,0)</f>
        <v>52902414426857.273</v>
      </c>
      <c r="E588" s="3">
        <f t="shared" si="1"/>
        <v>571</v>
      </c>
      <c r="F588" s="8">
        <f>'Prestige Patterns'!$B$5*('Prestige Patterns'!$B$6^E587-'Prestige Patterns'!$B$6^(E587+G588))/(1-'Prestige Patterns'!$B$6)</f>
        <v>47204192678901.805</v>
      </c>
      <c r="G588" s="8">
        <f>FLOOR(LOG('Prestige Patterns'!$B$6^(E587) - (D587*(1-'Prestige Patterns'!$B$6)/'Prestige Patterns'!$B$5),'Prestige Patterns'!$B$6)-E587,1)</f>
        <v>13</v>
      </c>
      <c r="H588">
        <f t="shared" si="2"/>
        <v>231655</v>
      </c>
      <c r="I588" s="5">
        <f>1+H588*'Prestige Patterns'!$B$25</f>
        <v>2317.5500000000002</v>
      </c>
      <c r="J588">
        <f>FLOOR((K588/'Prestige Patterns'!$B$22)^'Prestige Patterns'!$B$23,1)-H587</f>
        <v>11035</v>
      </c>
      <c r="K588" s="8">
        <f>K587+N587*'Prestige Patterns'!$B$20</f>
        <v>5889876100296714</v>
      </c>
      <c r="L588" s="2">
        <f>IF(J587&gt;='Prestige Patterns'!$B$28,IF(J587/(H587+1)&gt;('Prestige Patterns'!$B$27+1),L587+1,L587),L587)</f>
        <v>10</v>
      </c>
      <c r="N588">
        <f t="shared" si="0"/>
        <v>1734503366656.0002</v>
      </c>
      <c r="O588" s="3">
        <f>'Prestige Patterns'!$B$4*E588</f>
        <v>11420</v>
      </c>
      <c r="P588">
        <f t="shared" si="3"/>
        <v>65536</v>
      </c>
      <c r="Q588" s="5"/>
      <c r="R588" s="5"/>
      <c r="S588" s="3">
        <v>587</v>
      </c>
      <c r="T588" s="5"/>
    </row>
    <row r="589" spans="1:20" ht="12">
      <c r="A589" s="1"/>
      <c r="B589" s="1"/>
      <c r="C589" s="2">
        <f>(S589*'Prestige Patterns'!$B$20)/60</f>
        <v>294</v>
      </c>
      <c r="D589" s="2">
        <f>IF(L588=L589,N588*'Prestige Patterns'!$B$20+D588-F589,0)</f>
        <v>56951730262203.219</v>
      </c>
      <c r="E589" s="3">
        <f t="shared" si="1"/>
        <v>579</v>
      </c>
      <c r="F589" s="8">
        <f>'Prestige Patterns'!$B$5*('Prestige Patterns'!$B$6^E588-'Prestige Patterns'!$B$6^(E588+G589))/(1-'Prestige Patterns'!$B$6)</f>
        <v>47985785164334.062</v>
      </c>
      <c r="G589" s="8">
        <f>FLOOR(LOG('Prestige Patterns'!$B$6^(E588) - (D588*(1-'Prestige Patterns'!$B$6)/'Prestige Patterns'!$B$5),'Prestige Patterns'!$B$6)-E588,1)</f>
        <v>8</v>
      </c>
      <c r="H589">
        <f t="shared" si="2"/>
        <v>231655</v>
      </c>
      <c r="I589" s="5">
        <f>1+H589*'Prestige Patterns'!$B$25</f>
        <v>2317.5500000000002</v>
      </c>
      <c r="J589">
        <f>FLOOR((K589/'Prestige Patterns'!$B$22)^'Prestige Patterns'!$B$23,1)-H588</f>
        <v>12105</v>
      </c>
      <c r="K589" s="8">
        <f>K588+N588*'Prestige Patterns'!$B$20</f>
        <v>5941911201296394</v>
      </c>
      <c r="L589" s="2">
        <f>IF(J588&gt;='Prestige Patterns'!$B$28,IF(J588/(H588+1)&gt;('Prestige Patterns'!$B$27+1),L588+1,L588),L588)</f>
        <v>10</v>
      </c>
      <c r="N589">
        <f t="shared" si="0"/>
        <v>1758804639744.0002</v>
      </c>
      <c r="O589" s="3">
        <f>'Prestige Patterns'!$B$4*E589</f>
        <v>11580</v>
      </c>
      <c r="P589">
        <f t="shared" si="3"/>
        <v>65536</v>
      </c>
      <c r="Q589" s="5"/>
      <c r="R589" s="5"/>
      <c r="S589" s="3">
        <v>588</v>
      </c>
      <c r="T589" s="5"/>
    </row>
    <row r="590" spans="1:20" ht="12">
      <c r="A590" s="1"/>
      <c r="B590" s="1"/>
      <c r="C590" s="2">
        <f>(S590*'Prestige Patterns'!$B$20)/60</f>
        <v>294.5</v>
      </c>
      <c r="D590" s="2">
        <f>IF(L589=L590,N589*'Prestige Patterns'!$B$20+D589-F590,0)</f>
        <v>59215423457116.43</v>
      </c>
      <c r="E590" s="3">
        <f t="shared" si="1"/>
        <v>585</v>
      </c>
      <c r="F590" s="8">
        <f>'Prestige Patterns'!$B$5*('Prestige Patterns'!$B$6^E589-'Prestige Patterns'!$B$6^(E589+G590))/(1-'Prestige Patterns'!$B$6)</f>
        <v>50500445997406.789</v>
      </c>
      <c r="G590" s="8">
        <f>FLOOR(LOG('Prestige Patterns'!$B$6^(E589) - (D589*(1-'Prestige Patterns'!$B$6)/'Prestige Patterns'!$B$5),'Prestige Patterns'!$B$6)-E589,1)</f>
        <v>6</v>
      </c>
      <c r="H590">
        <f t="shared" si="2"/>
        <v>231655</v>
      </c>
      <c r="I590" s="5">
        <f>1+H590*'Prestige Patterns'!$B$25</f>
        <v>2317.5500000000002</v>
      </c>
      <c r="J590">
        <f>FLOOR((K590/'Prestige Patterns'!$B$22)^'Prestige Patterns'!$B$23,1)-H589</f>
        <v>13185</v>
      </c>
      <c r="K590" s="8">
        <f>K589+N589*'Prestige Patterns'!$B$20</f>
        <v>5994675340488714</v>
      </c>
      <c r="L590" s="2">
        <f>IF(J589&gt;='Prestige Patterns'!$B$28,IF(J589/(H589+1)&gt;('Prestige Patterns'!$B$27+1),L589+1,L589),L589)</f>
        <v>10</v>
      </c>
      <c r="N590">
        <f t="shared" si="0"/>
        <v>1777030594560.0002</v>
      </c>
      <c r="O590" s="3">
        <f>'Prestige Patterns'!$B$4*E590</f>
        <v>11700</v>
      </c>
      <c r="P590">
        <f t="shared" si="3"/>
        <v>65536</v>
      </c>
      <c r="Q590" s="5"/>
      <c r="R590" s="5"/>
      <c r="S590" s="3">
        <v>589</v>
      </c>
      <c r="T590" s="5"/>
    </row>
    <row r="591" spans="1:20" ht="12">
      <c r="A591" s="1"/>
      <c r="B591" s="1"/>
      <c r="C591" s="2">
        <f>(S591*'Prestige Patterns'!$B$20)/60</f>
        <v>295</v>
      </c>
      <c r="D591" s="2">
        <f>IF(L590=L591,N590*'Prestige Patterns'!$B$20+D590-F591,0)</f>
        <v>57549238892108.203</v>
      </c>
      <c r="E591" s="3">
        <f t="shared" si="1"/>
        <v>590</v>
      </c>
      <c r="F591" s="8">
        <f>'Prestige Patterns'!$B$5*('Prestige Patterns'!$B$6^E590-'Prestige Patterns'!$B$6^(E590+G591))/(1-'Prestige Patterns'!$B$6)</f>
        <v>54977102401808.234</v>
      </c>
      <c r="G591" s="8">
        <f>FLOOR(LOG('Prestige Patterns'!$B$6^(E590) - (D590*(1-'Prestige Patterns'!$B$6)/'Prestige Patterns'!$B$5),'Prestige Patterns'!$B$6)-E590,1)</f>
        <v>5</v>
      </c>
      <c r="H591">
        <f t="shared" si="2"/>
        <v>231655</v>
      </c>
      <c r="I591" s="5">
        <f>1+H591*'Prestige Patterns'!$B$25</f>
        <v>2317.5500000000002</v>
      </c>
      <c r="J591">
        <f>FLOOR((K591/'Prestige Patterns'!$B$22)^'Prestige Patterns'!$B$23,1)-H590</f>
        <v>14271</v>
      </c>
      <c r="K591" s="8">
        <f>K590+N590*'Prestige Patterns'!$B$20</f>
        <v>6047986258325514</v>
      </c>
      <c r="L591" s="2">
        <f>IF(J590&gt;='Prestige Patterns'!$B$28,IF(J590/(H590+1)&gt;('Prestige Patterns'!$B$27+1),L590+1,L590),L590)</f>
        <v>10</v>
      </c>
      <c r="N591">
        <f t="shared" si="0"/>
        <v>1792218890240.0002</v>
      </c>
      <c r="O591" s="3">
        <f>'Prestige Patterns'!$B$4*E591</f>
        <v>11800</v>
      </c>
      <c r="P591">
        <f t="shared" si="3"/>
        <v>65536</v>
      </c>
      <c r="Q591" s="5"/>
      <c r="R591" s="5"/>
      <c r="S591" s="3">
        <v>590</v>
      </c>
      <c r="T591" s="5"/>
    </row>
    <row r="592" spans="1:20" ht="12">
      <c r="A592" s="1"/>
      <c r="B592" s="1"/>
      <c r="C592" s="2">
        <f>(S592*'Prestige Patterns'!$B$20)/60</f>
        <v>295.5</v>
      </c>
      <c r="D592" s="2">
        <f>IF(L591=L592,N591*'Prestige Patterns'!$B$20+D591-F592,0)</f>
        <v>56584437002957.992</v>
      </c>
      <c r="E592" s="3">
        <f t="shared" si="1"/>
        <v>594</v>
      </c>
      <c r="F592" s="8">
        <f>'Prestige Patterns'!$B$5*('Prestige Patterns'!$B$6^E591-'Prestige Patterns'!$B$6^(E591+G592))/(1-'Prestige Patterns'!$B$6)</f>
        <v>54731368596350.227</v>
      </c>
      <c r="G592" s="8">
        <f>FLOOR(LOG('Prestige Patterns'!$B$6^(E591) - (D591*(1-'Prestige Patterns'!$B$6)/'Prestige Patterns'!$B$5),'Prestige Patterns'!$B$6)-E591,1)</f>
        <v>4</v>
      </c>
      <c r="H592">
        <f t="shared" si="2"/>
        <v>231655</v>
      </c>
      <c r="I592" s="5">
        <f>1+H592*'Prestige Patterns'!$B$25</f>
        <v>2317.5500000000002</v>
      </c>
      <c r="J592">
        <f>FLOOR((K592/'Prestige Patterns'!$B$22)^'Prestige Patterns'!$B$23,1)-H591</f>
        <v>15362</v>
      </c>
      <c r="K592" s="8">
        <f>K591+N591*'Prestige Patterns'!$B$20</f>
        <v>6101752825032714</v>
      </c>
      <c r="L592" s="2">
        <f>IF(J591&gt;='Prestige Patterns'!$B$28,IF(J591/(H591+1)&gt;('Prestige Patterns'!$B$27+1),L591+1,L591),L591)</f>
        <v>10</v>
      </c>
      <c r="N592">
        <f t="shared" si="0"/>
        <v>1804369526784.0002</v>
      </c>
      <c r="O592" s="3">
        <f>'Prestige Patterns'!$B$4*E592</f>
        <v>11880</v>
      </c>
      <c r="P592">
        <f t="shared" si="3"/>
        <v>65536</v>
      </c>
      <c r="Q592" s="5"/>
      <c r="R592" s="5"/>
      <c r="S592" s="3">
        <v>591</v>
      </c>
      <c r="T592" s="5"/>
    </row>
    <row r="593" spans="1:20" ht="12">
      <c r="A593" s="1"/>
      <c r="B593" s="1"/>
      <c r="C593" s="2">
        <f>(S593*'Prestige Patterns'!$B$20)/60</f>
        <v>296</v>
      </c>
      <c r="D593" s="2">
        <f>IF(L592=L593,N592*'Prestige Patterns'!$B$20+D592-F593,0)</f>
        <v>62057020862511.406</v>
      </c>
      <c r="E593" s="3">
        <f t="shared" si="1"/>
        <v>597</v>
      </c>
      <c r="F593" s="8">
        <f>'Prestige Patterns'!$B$5*('Prestige Patterns'!$B$6^E592-'Prestige Patterns'!$B$6^(E592+G593))/(1-'Prestige Patterns'!$B$6)</f>
        <v>48658501943966.594</v>
      </c>
      <c r="G593" s="8">
        <f>FLOOR(LOG('Prestige Patterns'!$B$6^(E592) - (D592*(1-'Prestige Patterns'!$B$6)/'Prestige Patterns'!$B$5),'Prestige Patterns'!$B$6)-E592,1)</f>
        <v>3</v>
      </c>
      <c r="H593">
        <f t="shared" si="2"/>
        <v>231655</v>
      </c>
      <c r="I593" s="5">
        <f>1+H593*'Prestige Patterns'!$B$25</f>
        <v>2317.5500000000002</v>
      </c>
      <c r="J593">
        <f>FLOOR((K593/'Prestige Patterns'!$B$22)^'Prestige Patterns'!$B$23,1)-H592</f>
        <v>16455</v>
      </c>
      <c r="K593" s="8">
        <f>K592+N592*'Prestige Patterns'!$B$20</f>
        <v>6155883910836234</v>
      </c>
      <c r="L593" s="2">
        <f>IF(J592&gt;='Prestige Patterns'!$B$28,IF(J592/(H592+1)&gt;('Prestige Patterns'!$B$27+1),L592+1,L592),L592)</f>
        <v>10</v>
      </c>
      <c r="N593">
        <f t="shared" si="0"/>
        <v>1813482504192.0002</v>
      </c>
      <c r="O593" s="3">
        <f>'Prestige Patterns'!$B$4*E593</f>
        <v>11940</v>
      </c>
      <c r="P593">
        <f t="shared" si="3"/>
        <v>65536</v>
      </c>
      <c r="Q593" s="5"/>
      <c r="R593" s="5"/>
      <c r="S593" s="3">
        <v>592</v>
      </c>
      <c r="T593" s="5"/>
    </row>
    <row r="594" spans="1:20" ht="12">
      <c r="A594" s="1"/>
      <c r="B594" s="1"/>
      <c r="C594" s="2">
        <f>(S594*'Prestige Patterns'!$B$20)/60</f>
        <v>296.5</v>
      </c>
      <c r="D594" s="2">
        <f>IF(L593=L594,N593*'Prestige Patterns'!$B$20+D593-F594,0)</f>
        <v>60133197675387.078</v>
      </c>
      <c r="E594" s="3">
        <f t="shared" si="1"/>
        <v>600</v>
      </c>
      <c r="F594" s="8">
        <f>'Prestige Patterns'!$B$5*('Prestige Patterns'!$B$6^E593-'Prestige Patterns'!$B$6^(E593+G594))/(1-'Prestige Patterns'!$B$6)</f>
        <v>56328298312884.328</v>
      </c>
      <c r="G594" s="8">
        <f>FLOOR(LOG('Prestige Patterns'!$B$6^(E593) - (D593*(1-'Prestige Patterns'!$B$6)/'Prestige Patterns'!$B$5),'Prestige Patterns'!$B$6)-E593,1)</f>
        <v>3</v>
      </c>
      <c r="H594">
        <f t="shared" si="2"/>
        <v>231655</v>
      </c>
      <c r="I594" s="5">
        <f>1+H594*'Prestige Patterns'!$B$25</f>
        <v>2317.5500000000002</v>
      </c>
      <c r="J594">
        <f>FLOOR((K594/'Prestige Patterns'!$B$22)^'Prestige Patterns'!$B$23,1)-H593</f>
        <v>17549</v>
      </c>
      <c r="K594" s="8">
        <f>K593+N593*'Prestige Patterns'!$B$20</f>
        <v>6210288385961994</v>
      </c>
      <c r="L594" s="2">
        <f>IF(J593&gt;='Prestige Patterns'!$B$28,IF(J593/(H593+1)&gt;('Prestige Patterns'!$B$27+1),L593+1,L593),L593)</f>
        <v>10</v>
      </c>
      <c r="N594">
        <f t="shared" si="0"/>
        <v>29161527705600.004</v>
      </c>
      <c r="O594" s="3">
        <f>'Prestige Patterns'!$B$4*E594</f>
        <v>12000</v>
      </c>
      <c r="P594">
        <f t="shared" si="3"/>
        <v>1048576</v>
      </c>
      <c r="Q594" s="5"/>
      <c r="R594" s="5"/>
      <c r="S594" s="3">
        <v>593</v>
      </c>
      <c r="T594" s="5"/>
    </row>
    <row r="595" spans="1:20" ht="12">
      <c r="A595" s="1"/>
      <c r="B595" s="1"/>
      <c r="C595" s="2">
        <f>(S595*'Prestige Patterns'!$B$20)/60</f>
        <v>297</v>
      </c>
      <c r="D595" s="2">
        <f>IF(L594=L595,N594*'Prestige Patterns'!$B$20+D594-F595,0)</f>
        <v>892576350021617.75</v>
      </c>
      <c r="E595" s="3">
        <f t="shared" si="1"/>
        <v>602</v>
      </c>
      <c r="F595" s="8">
        <f>'Prestige Patterns'!$B$5*('Prestige Patterns'!$B$6^E594-'Prestige Patterns'!$B$6^(E594+G595))/(1-'Prestige Patterns'!$B$6)</f>
        <v>42402678821769.492</v>
      </c>
      <c r="G595" s="8">
        <f>FLOOR(LOG('Prestige Patterns'!$B$6^(E594) - (D594*(1-'Prestige Patterns'!$B$6)/'Prestige Patterns'!$B$5),'Prestige Patterns'!$B$6)-E594,1)</f>
        <v>2</v>
      </c>
      <c r="H595">
        <f t="shared" si="2"/>
        <v>231655</v>
      </c>
      <c r="I595" s="5">
        <f>1+H595*'Prestige Patterns'!$B$25</f>
        <v>2317.5500000000002</v>
      </c>
      <c r="J595">
        <f>FLOOR((K595/'Prestige Patterns'!$B$22)^'Prestige Patterns'!$B$23,1)-H594</f>
        <v>34524</v>
      </c>
      <c r="K595" s="8">
        <f>K594+N594*'Prestige Patterns'!$B$20</f>
        <v>7085134217129994</v>
      </c>
      <c r="L595" s="2">
        <f>IF(J594&gt;='Prestige Patterns'!$B$28,IF(J594/(H594+1)&gt;('Prestige Patterns'!$B$27+1),L594+1,L594),L594)</f>
        <v>10</v>
      </c>
      <c r="N595">
        <f t="shared" si="0"/>
        <v>29258732797952.004</v>
      </c>
      <c r="O595" s="3">
        <f>'Prestige Patterns'!$B$4*E595</f>
        <v>12040</v>
      </c>
      <c r="P595">
        <f t="shared" si="3"/>
        <v>1048576</v>
      </c>
      <c r="Q595" s="5"/>
      <c r="R595" s="5"/>
      <c r="S595" s="3">
        <v>594</v>
      </c>
      <c r="T595" s="5"/>
    </row>
    <row r="596" spans="1:20" ht="12">
      <c r="A596" s="1"/>
      <c r="B596" s="1"/>
      <c r="C596" s="2">
        <f>(S596*'Prestige Patterns'!$B$20)/60</f>
        <v>297.5</v>
      </c>
      <c r="D596" s="2">
        <f>IF(L595=L596,N595*'Prestige Patterns'!$B$20+D595-F596,0)</f>
        <v>892251273663612.38</v>
      </c>
      <c r="E596" s="3">
        <f t="shared" si="1"/>
        <v>624</v>
      </c>
      <c r="F596" s="8">
        <f>'Prestige Patterns'!$B$5*('Prestige Patterns'!$B$6^E595-'Prestige Patterns'!$B$6^(E595+G596))/(1-'Prestige Patterns'!$B$6)</f>
        <v>878087060296565.62</v>
      </c>
      <c r="G596" s="8">
        <f>FLOOR(LOG('Prestige Patterns'!$B$6^(E595) - (D595*(1-'Prestige Patterns'!$B$6)/'Prestige Patterns'!$B$5),'Prestige Patterns'!$B$6)-E595,1)</f>
        <v>22</v>
      </c>
      <c r="H596">
        <f t="shared" si="2"/>
        <v>231655</v>
      </c>
      <c r="I596" s="5">
        <f>1+H596*'Prestige Patterns'!$B$25</f>
        <v>2317.5500000000002</v>
      </c>
      <c r="J596">
        <f>FLOOR((K596/'Prestige Patterns'!$B$22)^'Prestige Patterns'!$B$23,1)-H595</f>
        <v>50531</v>
      </c>
      <c r="K596" s="8">
        <f>K595+N595*'Prestige Patterns'!$B$20</f>
        <v>7962896201068554</v>
      </c>
      <c r="L596" s="2">
        <f>IF(J595&gt;='Prestige Patterns'!$B$28,IF(J595/(H595+1)&gt;('Prestige Patterns'!$B$27+1),L595+1,L595),L595)</f>
        <v>10</v>
      </c>
      <c r="N596">
        <f t="shared" si="0"/>
        <v>30327988813824.004</v>
      </c>
      <c r="O596" s="3">
        <f>'Prestige Patterns'!$B$4*E596</f>
        <v>12480</v>
      </c>
      <c r="P596">
        <f t="shared" si="3"/>
        <v>1048576</v>
      </c>
      <c r="Q596" s="5"/>
      <c r="R596" s="5"/>
      <c r="S596" s="3">
        <v>595</v>
      </c>
      <c r="T596" s="5"/>
    </row>
    <row r="597" spans="1:20" ht="12">
      <c r="A597" s="1"/>
      <c r="B597" s="1"/>
      <c r="C597" s="2">
        <f>(S597*'Prestige Patterns'!$B$20)/60</f>
        <v>298</v>
      </c>
      <c r="D597" s="2">
        <f>IF(L596=L597,N596*'Prestige Patterns'!$B$20+D596-F597,0)</f>
        <v>963035820099331.25</v>
      </c>
      <c r="E597" s="3">
        <f t="shared" si="1"/>
        <v>634</v>
      </c>
      <c r="F597" s="8">
        <f>'Prestige Patterns'!$B$5*('Prestige Patterns'!$B$6^E596-'Prestige Patterns'!$B$6^(E596+G597))/(1-'Prestige Patterns'!$B$6)</f>
        <v>839055117979001.25</v>
      </c>
      <c r="G597" s="8">
        <f>FLOOR(LOG('Prestige Patterns'!$B$6^(E596) - (D596*(1-'Prestige Patterns'!$B$6)/'Prestige Patterns'!$B$5),'Prestige Patterns'!$B$6)-E596,1)</f>
        <v>10</v>
      </c>
      <c r="H597">
        <f t="shared" si="2"/>
        <v>231655</v>
      </c>
      <c r="I597" s="5">
        <f>1+H597*'Prestige Patterns'!$B$25</f>
        <v>2317.5500000000002</v>
      </c>
      <c r="J597">
        <f>FLOOR((K597/'Prestige Patterns'!$B$22)^'Prestige Patterns'!$B$23,1)-H596</f>
        <v>66216</v>
      </c>
      <c r="K597" s="8">
        <f>K596+N596*'Prestige Patterns'!$B$20</f>
        <v>8872735865483274</v>
      </c>
      <c r="L597" s="2">
        <f>IF(J596&gt;='Prestige Patterns'!$B$28,IF(J596/(H596+1)&gt;('Prestige Patterns'!$B$27+1),L596+1,L596),L596)</f>
        <v>10</v>
      </c>
      <c r="N597">
        <f t="shared" si="0"/>
        <v>30814014275584.004</v>
      </c>
      <c r="O597" s="3">
        <f>'Prestige Patterns'!$B$4*E597</f>
        <v>12680</v>
      </c>
      <c r="P597">
        <f t="shared" si="3"/>
        <v>1048576</v>
      </c>
      <c r="Q597" s="5"/>
      <c r="R597" s="5"/>
      <c r="S597" s="3">
        <v>596</v>
      </c>
      <c r="T597" s="5"/>
    </row>
    <row r="598" spans="1:20" ht="12">
      <c r="A598" s="1"/>
      <c r="B598" s="1"/>
      <c r="C598" s="2">
        <f>(S598*'Prestige Patterns'!$B$20)/60</f>
        <v>298.5</v>
      </c>
      <c r="D598" s="2">
        <f>IF(L597=L598,N597*'Prestige Patterns'!$B$20+D597-F598,0)</f>
        <v>1002733588773557</v>
      </c>
      <c r="E598" s="3">
        <f t="shared" si="1"/>
        <v>641</v>
      </c>
      <c r="F598" s="8">
        <f>'Prestige Patterns'!$B$5*('Prestige Patterns'!$B$6^E597-'Prestige Patterns'!$B$6^(E597+G598))/(1-'Prestige Patterns'!$B$6)</f>
        <v>884722659593294.5</v>
      </c>
      <c r="G598" s="8">
        <f>FLOOR(LOG('Prestige Patterns'!$B$6^(E597) - (D597*(1-'Prestige Patterns'!$B$6)/'Prestige Patterns'!$B$5),'Prestige Patterns'!$B$6)-E597,1)</f>
        <v>7</v>
      </c>
      <c r="H598">
        <f t="shared" si="2"/>
        <v>231655</v>
      </c>
      <c r="I598" s="5">
        <f>1+H598*'Prestige Patterns'!$B$25</f>
        <v>2317.5500000000002</v>
      </c>
      <c r="J598">
        <f>FLOOR((K598/'Prestige Patterns'!$B$22)^'Prestige Patterns'!$B$23,1)-H597</f>
        <v>81349</v>
      </c>
      <c r="K598" s="8">
        <f>K597+N597*'Prestige Patterns'!$B$20</f>
        <v>9797156293750794</v>
      </c>
      <c r="L598" s="2">
        <f>IF(J597&gt;='Prestige Patterns'!$B$28,IF(J597/(H597+1)&gt;('Prestige Patterns'!$B$27+1),L597+1,L597),L597)</f>
        <v>10</v>
      </c>
      <c r="N598">
        <f t="shared" si="0"/>
        <v>31154232098816.004</v>
      </c>
      <c r="O598" s="3">
        <f>'Prestige Patterns'!$B$4*E598</f>
        <v>12820</v>
      </c>
      <c r="P598">
        <f t="shared" si="3"/>
        <v>1048576</v>
      </c>
      <c r="Q598" s="5"/>
      <c r="R598" s="5"/>
      <c r="S598" s="3">
        <v>597</v>
      </c>
      <c r="T598" s="5"/>
    </row>
    <row r="599" spans="1:20" ht="12">
      <c r="A599" s="1"/>
      <c r="B599" s="1"/>
      <c r="C599" s="2">
        <f>(S599*'Prestige Patterns'!$B$20)/60</f>
        <v>299</v>
      </c>
      <c r="D599" s="2">
        <f>IF(L598=L599,N598*'Prestige Patterns'!$B$20+D598-F599,0)</f>
        <v>1092504743153251.5</v>
      </c>
      <c r="E599" s="3">
        <f t="shared" si="1"/>
        <v>646</v>
      </c>
      <c r="F599" s="8">
        <f>'Prestige Patterns'!$B$5*('Prestige Patterns'!$B$6^E598-'Prestige Patterns'!$B$6^(E598+G599))/(1-'Prestige Patterns'!$B$6)</f>
        <v>844855808584785.5</v>
      </c>
      <c r="G599" s="8">
        <f>FLOOR(LOG('Prestige Patterns'!$B$6^(E598) - (D598*(1-'Prestige Patterns'!$B$6)/'Prestige Patterns'!$B$5),'Prestige Patterns'!$B$6)-E598,1)</f>
        <v>5</v>
      </c>
      <c r="H599">
        <f t="shared" si="2"/>
        <v>231655</v>
      </c>
      <c r="I599" s="5">
        <f>1+H599*'Prestige Patterns'!$B$25</f>
        <v>2317.5500000000002</v>
      </c>
      <c r="J599">
        <f>FLOOR((K599/'Prestige Patterns'!$B$22)^'Prestige Patterns'!$B$23,1)-H598</f>
        <v>95939</v>
      </c>
      <c r="K599" s="8">
        <f>K598+N598*'Prestige Patterns'!$B$20</f>
        <v>1.0731783256715274E+16</v>
      </c>
      <c r="L599" s="2">
        <f>IF(J598&gt;='Prestige Patterns'!$B$28,IF(J598/(H598+1)&gt;('Prestige Patterns'!$B$27+1),L598+1,L598),L598)</f>
        <v>10</v>
      </c>
      <c r="N599">
        <f t="shared" si="0"/>
        <v>31397244829696.004</v>
      </c>
      <c r="O599" s="3">
        <f>'Prestige Patterns'!$B$4*E599</f>
        <v>12920</v>
      </c>
      <c r="P599">
        <f t="shared" si="3"/>
        <v>1048576</v>
      </c>
      <c r="Q599" s="5"/>
      <c r="R599" s="5"/>
      <c r="S599" s="3">
        <v>598</v>
      </c>
      <c r="T599" s="5"/>
    </row>
    <row r="600" spans="1:20" ht="12">
      <c r="A600" s="1"/>
      <c r="B600" s="1"/>
      <c r="C600" s="2">
        <f>(S600*'Prestige Patterns'!$B$20)/60</f>
        <v>299.5</v>
      </c>
      <c r="D600" s="2">
        <f>IF(L599=L600,N599*'Prestige Patterns'!$B$20+D599-F600,0)</f>
        <v>956148196576339.38</v>
      </c>
      <c r="E600" s="3">
        <f t="shared" si="1"/>
        <v>651</v>
      </c>
      <c r="F600" s="8">
        <f>'Prestige Patterns'!$B$5*('Prestige Patterns'!$B$6^E599-'Prestige Patterns'!$B$6^(E599+G600))/(1-'Prestige Patterns'!$B$6)</f>
        <v>1078273891467792.1</v>
      </c>
      <c r="G600" s="8">
        <f>FLOOR(LOG('Prestige Patterns'!$B$6^(E599) - (D599*(1-'Prestige Patterns'!$B$6)/'Prestige Patterns'!$B$5),'Prestige Patterns'!$B$6)-E599,1)</f>
        <v>5</v>
      </c>
      <c r="H600">
        <f t="shared" si="2"/>
        <v>231655</v>
      </c>
      <c r="I600" s="5">
        <f>1+H600*'Prestige Patterns'!$B$25</f>
        <v>2317.5500000000002</v>
      </c>
      <c r="J600">
        <f>FLOOR((K600/'Prestige Patterns'!$B$22)^'Prestige Patterns'!$B$23,1)-H599</f>
        <v>110012</v>
      </c>
      <c r="K600" s="8">
        <f>K599+N599*'Prestige Patterns'!$B$20</f>
        <v>1.1673700601606154E+16</v>
      </c>
      <c r="L600" s="2">
        <f>IF(J599&gt;='Prestige Patterns'!$B$28,IF(J599/(H599+1)&gt;('Prestige Patterns'!$B$27+1),L599+1,L599),L599)</f>
        <v>10</v>
      </c>
      <c r="N600">
        <f t="shared" si="0"/>
        <v>31640257560576.004</v>
      </c>
      <c r="O600" s="3">
        <f>'Prestige Patterns'!$B$4*E600</f>
        <v>13020</v>
      </c>
      <c r="P600">
        <f t="shared" si="3"/>
        <v>1048576</v>
      </c>
      <c r="Q600" s="5"/>
      <c r="R600" s="5"/>
      <c r="S600" s="3">
        <v>599</v>
      </c>
      <c r="T600" s="5"/>
    </row>
    <row r="601" spans="1:20" ht="12">
      <c r="A601" s="1"/>
      <c r="B601" s="1"/>
      <c r="C601" s="2">
        <f>(S601*'Prestige Patterns'!$B$20)/60</f>
        <v>300</v>
      </c>
      <c r="D601" s="2">
        <f>IF(L600=L601,N600*'Prestige Patterns'!$B$20+D600-F601,0)</f>
        <v>1120212890770020.2</v>
      </c>
      <c r="E601" s="3">
        <f t="shared" si="1"/>
        <v>654</v>
      </c>
      <c r="F601" s="8">
        <f>'Prestige Patterns'!$B$5*('Prestige Patterns'!$B$6^E600-'Prestige Patterns'!$B$6^(E600+G601))/(1-'Prestige Patterns'!$B$6)</f>
        <v>785143032623599.25</v>
      </c>
      <c r="G601" s="8">
        <f>FLOOR(LOG('Prestige Patterns'!$B$6^(E600) - (D600*(1-'Prestige Patterns'!$B$6)/'Prestige Patterns'!$B$5),'Prestige Patterns'!$B$6)-E600,1)</f>
        <v>3</v>
      </c>
      <c r="H601">
        <f t="shared" si="2"/>
        <v>231655</v>
      </c>
      <c r="I601" s="5">
        <f>1+H601*'Prestige Patterns'!$B$25</f>
        <v>2317.5500000000002</v>
      </c>
      <c r="J601">
        <f>FLOOR((K601/'Prestige Patterns'!$B$22)^'Prestige Patterns'!$B$23,1)-H600</f>
        <v>123632</v>
      </c>
      <c r="K601" s="8">
        <f>K600+N600*'Prestige Patterns'!$B$20</f>
        <v>1.2622908328423434E+16</v>
      </c>
      <c r="L601" s="2">
        <f>IF(J600&gt;='Prestige Patterns'!$B$28,IF(J600/(H600+1)&gt;('Prestige Patterns'!$B$27+1),L600+1,L600),L600)</f>
        <v>10</v>
      </c>
      <c r="N601">
        <f t="shared" si="0"/>
        <v>31786065199104.004</v>
      </c>
      <c r="O601" s="3">
        <f>'Prestige Patterns'!$B$4*E601</f>
        <v>13080</v>
      </c>
      <c r="P601">
        <f t="shared" si="3"/>
        <v>1048576</v>
      </c>
      <c r="Q601" s="5"/>
      <c r="R601" s="5"/>
      <c r="S601" s="3">
        <v>600</v>
      </c>
      <c r="T601" s="5"/>
    </row>
    <row r="602" spans="1:20" ht="12">
      <c r="A602" s="1"/>
      <c r="B602" s="1"/>
      <c r="C602" s="2">
        <f>(S602*'Prestige Patterns'!$B$20)/60</f>
        <v>300.5</v>
      </c>
      <c r="D602" s="2">
        <f>IF(L601=L602,N601*'Prestige Patterns'!$B$20+D601-F602,0)</f>
        <v>1164893643602241.2</v>
      </c>
      <c r="E602" s="3">
        <f t="shared" si="1"/>
        <v>657</v>
      </c>
      <c r="F602" s="8">
        <f>'Prestige Patterns'!$B$5*('Prestige Patterns'!$B$6^E601-'Prestige Patterns'!$B$6^(E601+G602))/(1-'Prestige Patterns'!$B$6)</f>
        <v>908901203140899.25</v>
      </c>
      <c r="G602" s="8">
        <f>FLOOR(LOG('Prestige Patterns'!$B$6^(E601) - (D601*(1-'Prestige Patterns'!$B$6)/'Prestige Patterns'!$B$5),'Prestige Patterns'!$B$6)-E601,1)</f>
        <v>3</v>
      </c>
      <c r="H602">
        <f t="shared" si="2"/>
        <v>231655</v>
      </c>
      <c r="I602" s="5">
        <f>1+H602*'Prestige Patterns'!$B$25</f>
        <v>2317.5500000000002</v>
      </c>
      <c r="J602">
        <f>FLOOR((K602/'Prestige Patterns'!$B$22)^'Prestige Patterns'!$B$23,1)-H601</f>
        <v>136807</v>
      </c>
      <c r="K602" s="8">
        <f>K601+N601*'Prestige Patterns'!$B$20</f>
        <v>1.3576490284396554E+16</v>
      </c>
      <c r="L602" s="2">
        <f>IF(J601&gt;='Prestige Patterns'!$B$28,IF(J601/(H601+1)&gt;('Prestige Patterns'!$B$27+1),L601+1,L601),L601)</f>
        <v>10</v>
      </c>
      <c r="N602">
        <f t="shared" si="0"/>
        <v>31931872837632.004</v>
      </c>
      <c r="O602" s="3">
        <f>'Prestige Patterns'!$B$4*E602</f>
        <v>13140</v>
      </c>
      <c r="P602">
        <f t="shared" si="3"/>
        <v>1048576</v>
      </c>
      <c r="Q602" s="5"/>
      <c r="R602" s="5"/>
      <c r="S602" s="3">
        <v>601</v>
      </c>
      <c r="T602" s="5"/>
    </row>
    <row r="603" spans="1:20" ht="12">
      <c r="A603" s="1"/>
      <c r="B603" s="1"/>
      <c r="C603" s="2">
        <f>(S603*'Prestige Patterns'!$B$20)/60</f>
        <v>301</v>
      </c>
      <c r="D603" s="2">
        <f>IF(L602=L603,N602*'Prestige Patterns'!$B$20+D602-F603,0)</f>
        <v>1070683073445221.1</v>
      </c>
      <c r="E603" s="3">
        <f t="shared" si="1"/>
        <v>660</v>
      </c>
      <c r="F603" s="8">
        <f>'Prestige Patterns'!$B$5*('Prestige Patterns'!$B$6^E602-'Prestige Patterns'!$B$6^(E602+G603))/(1-'Prestige Patterns'!$B$6)</f>
        <v>1052166755285980.4</v>
      </c>
      <c r="G603" s="8">
        <f>FLOOR(LOG('Prestige Patterns'!$B$6^(E602) - (D602*(1-'Prestige Patterns'!$B$6)/'Prestige Patterns'!$B$5),'Prestige Patterns'!$B$6)-E602,1)</f>
        <v>3</v>
      </c>
      <c r="H603">
        <f t="shared" si="2"/>
        <v>231655</v>
      </c>
      <c r="I603" s="5">
        <f>1+H603*'Prestige Patterns'!$B$25</f>
        <v>2317.5500000000002</v>
      </c>
      <c r="J603">
        <f>FLOOR((K603/'Prestige Patterns'!$B$22)^'Prestige Patterns'!$B$23,1)-H602</f>
        <v>149585</v>
      </c>
      <c r="K603" s="8">
        <f>K602+N602*'Prestige Patterns'!$B$20</f>
        <v>1.4534446469525514E+16</v>
      </c>
      <c r="L603" s="2">
        <f>IF(J602&gt;='Prestige Patterns'!$B$28,IF(J602/(H602+1)&gt;('Prestige Patterns'!$B$27+1),L602+1,L602),L602)</f>
        <v>10</v>
      </c>
      <c r="N603">
        <f t="shared" si="0"/>
        <v>32077680476160.004</v>
      </c>
      <c r="O603" s="3">
        <f>'Prestige Patterns'!$B$4*E603</f>
        <v>13200</v>
      </c>
      <c r="P603">
        <f t="shared" si="3"/>
        <v>1048576</v>
      </c>
      <c r="Q603" s="5"/>
      <c r="R603" s="5"/>
      <c r="S603" s="3">
        <v>602</v>
      </c>
      <c r="T603" s="5"/>
    </row>
    <row r="604" spans="1:20" ht="12">
      <c r="A604" s="1"/>
      <c r="B604" s="1"/>
      <c r="C604" s="2">
        <f>(S604*'Prestige Patterns'!$B$20)/60</f>
        <v>301.5</v>
      </c>
      <c r="D604" s="2">
        <f>IF(L603=L604,N603*'Prestige Patterns'!$B$20+D603-F604,0)</f>
        <v>1240965967609400.8</v>
      </c>
      <c r="E604" s="3">
        <f t="shared" si="1"/>
        <v>662</v>
      </c>
      <c r="F604" s="8">
        <f>'Prestige Patterns'!$B$5*('Prestige Patterns'!$B$6^E603-'Prestige Patterns'!$B$6^(E603+G604))/(1-'Prestige Patterns'!$B$6)</f>
        <v>792047520120620.5</v>
      </c>
      <c r="G604" s="8">
        <f>FLOOR(LOG('Prestige Patterns'!$B$6^(E603) - (D603*(1-'Prestige Patterns'!$B$6)/'Prestige Patterns'!$B$5),'Prestige Patterns'!$B$6)-E603,1)</f>
        <v>2</v>
      </c>
      <c r="H604">
        <f t="shared" si="2"/>
        <v>231655</v>
      </c>
      <c r="I604" s="5">
        <f>1+H604*'Prestige Patterns'!$B$25</f>
        <v>2317.5500000000002</v>
      </c>
      <c r="J604">
        <f>FLOOR((K604/'Prestige Patterns'!$B$22)^'Prestige Patterns'!$B$23,1)-H603</f>
        <v>162004</v>
      </c>
      <c r="K604" s="8">
        <f>K603+N603*'Prestige Patterns'!$B$20</f>
        <v>1.5496776883810314E+16</v>
      </c>
      <c r="L604" s="2">
        <f>IF(J603&gt;='Prestige Patterns'!$B$28,IF(J603/(H603+1)&gt;('Prestige Patterns'!$B$27+1),L603+1,L603),L603)</f>
        <v>10</v>
      </c>
      <c r="N604">
        <f t="shared" si="0"/>
        <v>32174885568512.004</v>
      </c>
      <c r="O604" s="3">
        <f>'Prestige Patterns'!$B$4*E604</f>
        <v>13240</v>
      </c>
      <c r="P604">
        <f t="shared" si="3"/>
        <v>1048576</v>
      </c>
      <c r="Q604" s="5"/>
      <c r="R604" s="5"/>
      <c r="S604" s="3">
        <v>603</v>
      </c>
      <c r="T604" s="5"/>
    </row>
    <row r="605" spans="1:20" ht="12">
      <c r="A605" s="1"/>
      <c r="B605" s="1"/>
      <c r="C605" s="2">
        <f>(S605*'Prestige Patterns'!$B$20)/60</f>
        <v>302</v>
      </c>
      <c r="D605" s="2">
        <f>IF(L604=L605,N604*'Prestige Patterns'!$B$20+D604-F605,0)</f>
        <v>1332980143731774.2</v>
      </c>
      <c r="E605" s="3">
        <f t="shared" si="1"/>
        <v>664</v>
      </c>
      <c r="F605" s="8">
        <f>'Prestige Patterns'!$B$5*('Prestige Patterns'!$B$6^E604-'Prestige Patterns'!$B$6^(E604+G605))/(1-'Prestige Patterns'!$B$6)</f>
        <v>873232390932986.75</v>
      </c>
      <c r="G605" s="8">
        <f>FLOOR(LOG('Prestige Patterns'!$B$6^(E604) - (D604*(1-'Prestige Patterns'!$B$6)/'Prestige Patterns'!$B$5),'Prestige Patterns'!$B$6)-E604,1)</f>
        <v>2</v>
      </c>
      <c r="H605">
        <f t="shared" si="2"/>
        <v>231655</v>
      </c>
      <c r="I605" s="5">
        <f>1+H605*'Prestige Patterns'!$B$25</f>
        <v>2317.5500000000002</v>
      </c>
      <c r="J605">
        <f>FLOOR((K605/'Prestige Patterns'!$B$22)^'Prestige Patterns'!$B$23,1)-H604</f>
        <v>174079</v>
      </c>
      <c r="K605" s="8">
        <f>K604+N604*'Prestige Patterns'!$B$20</f>
        <v>1.6462023450865674E+16</v>
      </c>
      <c r="L605" s="2">
        <f>IF(J604&gt;='Prestige Patterns'!$B$28,IF(J604/(H604+1)&gt;('Prestige Patterns'!$B$27+1),L604+1,L604),L604)</f>
        <v>10</v>
      </c>
      <c r="N605">
        <f t="shared" si="0"/>
        <v>32272090660864.004</v>
      </c>
      <c r="O605" s="3">
        <f>'Prestige Patterns'!$B$4*E605</f>
        <v>13280</v>
      </c>
      <c r="P605">
        <f t="shared" si="3"/>
        <v>1048576</v>
      </c>
      <c r="Q605" s="5"/>
      <c r="R605" s="5"/>
      <c r="S605" s="3">
        <v>604</v>
      </c>
      <c r="T605" s="5"/>
    </row>
    <row r="606" spans="1:20" ht="12">
      <c r="A606" s="1"/>
      <c r="B606" s="1"/>
      <c r="C606" s="2">
        <f>(S606*'Prestige Patterns'!$B$20)/60</f>
        <v>302.5</v>
      </c>
      <c r="D606" s="2">
        <f>IF(L605=L606,N605*'Prestige Patterns'!$B$20+D605-F606,0)</f>
        <v>1338404152554076.5</v>
      </c>
      <c r="E606" s="3">
        <f t="shared" si="1"/>
        <v>666</v>
      </c>
      <c r="F606" s="8">
        <f>'Prestige Patterns'!$B$5*('Prestige Patterns'!$B$6^E605-'Prestige Patterns'!$B$6^(E605+G606))/(1-'Prestige Patterns'!$B$6)</f>
        <v>962738711003617.88</v>
      </c>
      <c r="G606" s="8">
        <f>FLOOR(LOG('Prestige Patterns'!$B$6^(E605) - (D605*(1-'Prestige Patterns'!$B$6)/'Prestige Patterns'!$B$5),'Prestige Patterns'!$B$6)-E605,1)</f>
        <v>2</v>
      </c>
      <c r="H606">
        <f t="shared" si="2"/>
        <v>231655</v>
      </c>
      <c r="I606" s="5">
        <f>1+H606*'Prestige Patterns'!$B$25</f>
        <v>2317.5500000000002</v>
      </c>
      <c r="J606">
        <f>FLOOR((K606/'Prestige Patterns'!$B$22)^'Prestige Patterns'!$B$23,1)-H605</f>
        <v>185839</v>
      </c>
      <c r="K606" s="8">
        <f>K605+N605*'Prestige Patterns'!$B$20</f>
        <v>1.7430186170691594E+16</v>
      </c>
      <c r="L606" s="2">
        <f>IF(J605&gt;='Prestige Patterns'!$B$28,IF(J605/(H605+1)&gt;('Prestige Patterns'!$B$27+1),L605+1,L605),L605)</f>
        <v>10</v>
      </c>
      <c r="N606">
        <f t="shared" si="0"/>
        <v>32369295753216.004</v>
      </c>
      <c r="O606" s="3">
        <f>'Prestige Patterns'!$B$4*E606</f>
        <v>13320</v>
      </c>
      <c r="P606">
        <f t="shared" si="3"/>
        <v>1048576</v>
      </c>
      <c r="Q606" s="5"/>
      <c r="R606" s="5"/>
      <c r="S606" s="3">
        <v>605</v>
      </c>
      <c r="T606" s="5"/>
    </row>
    <row r="607" spans="1:20" ht="12">
      <c r="A607" s="1"/>
      <c r="B607" s="1"/>
      <c r="C607" s="2">
        <f>(S607*'Prestige Patterns'!$B$20)/60</f>
        <v>303</v>
      </c>
      <c r="D607" s="2">
        <f>IF(L606=L607,N606*'Prestige Patterns'!$B$20+D606-F607,0)</f>
        <v>1248063596269068.8</v>
      </c>
      <c r="E607" s="3">
        <f t="shared" si="1"/>
        <v>668</v>
      </c>
      <c r="F607" s="8">
        <f>'Prestige Patterns'!$B$5*('Prestige Patterns'!$B$6^E606-'Prestige Patterns'!$B$6^(E606+G607))/(1-'Prestige Patterns'!$B$6)</f>
        <v>1061419428881487.8</v>
      </c>
      <c r="G607" s="8">
        <f>FLOOR(LOG('Prestige Patterns'!$B$6^(E606) - (D606*(1-'Prestige Patterns'!$B$6)/'Prestige Patterns'!$B$5),'Prestige Patterns'!$B$6)-E606,1)</f>
        <v>2</v>
      </c>
      <c r="H607">
        <f t="shared" si="2"/>
        <v>231655</v>
      </c>
      <c r="I607" s="5">
        <f>1+H607*'Prestige Patterns'!$B$25</f>
        <v>2317.5500000000002</v>
      </c>
      <c r="J607">
        <f>FLOOR((K607/'Prestige Patterns'!$B$22)^'Prestige Patterns'!$B$23,1)-H606</f>
        <v>197311</v>
      </c>
      <c r="K607" s="8">
        <f>K606+N606*'Prestige Patterns'!$B$20</f>
        <v>1.8401265043288076E+16</v>
      </c>
      <c r="L607" s="2">
        <f>IF(J606&gt;='Prestige Patterns'!$B$28,IF(J606/(H606+1)&gt;('Prestige Patterns'!$B$27+1),L606+1,L606),L606)</f>
        <v>10</v>
      </c>
      <c r="N607">
        <f t="shared" si="0"/>
        <v>32466500845568.004</v>
      </c>
      <c r="O607" s="3">
        <f>'Prestige Patterns'!$B$4*E607</f>
        <v>13360</v>
      </c>
      <c r="P607">
        <f t="shared" si="3"/>
        <v>1048576</v>
      </c>
      <c r="Q607" s="5"/>
      <c r="R607" s="5"/>
      <c r="S607" s="3">
        <v>606</v>
      </c>
      <c r="T607" s="5"/>
    </row>
    <row r="608" spans="1:20" ht="12">
      <c r="A608" s="1"/>
      <c r="B608" s="1"/>
      <c r="C608" s="2">
        <f>(S608*'Prestige Patterns'!$B$20)/60</f>
        <v>303.5</v>
      </c>
      <c r="D608" s="2">
        <f>IF(L607=L608,N607*'Prestige Patterns'!$B$20+D607-F608,0)</f>
        <v>1051843701294270</v>
      </c>
      <c r="E608" s="3">
        <f t="shared" si="1"/>
        <v>670</v>
      </c>
      <c r="F608" s="8">
        <f>'Prestige Patterns'!$B$5*('Prestige Patterns'!$B$6^E607-'Prestige Patterns'!$B$6^(E607+G608))/(1-'Prestige Patterns'!$B$6)</f>
        <v>1170214920341839</v>
      </c>
      <c r="G608" s="8">
        <f>FLOOR(LOG('Prestige Patterns'!$B$6^(E607) - (D607*(1-'Prestige Patterns'!$B$6)/'Prestige Patterns'!$B$5),'Prestige Patterns'!$B$6)-E607,1)</f>
        <v>2</v>
      </c>
      <c r="H608">
        <f t="shared" si="2"/>
        <v>231655</v>
      </c>
      <c r="I608" s="5">
        <f>1+H608*'Prestige Patterns'!$B$25</f>
        <v>2317.5500000000002</v>
      </c>
      <c r="J608">
        <f>FLOOR((K608/'Prestige Patterns'!$B$22)^'Prestige Patterns'!$B$23,1)-H607</f>
        <v>208518</v>
      </c>
      <c r="K608" s="8">
        <f>K607+N607*'Prestige Patterns'!$B$20</f>
        <v>1.9375260068655116E+16</v>
      </c>
      <c r="L608" s="2">
        <f>IF(J607&gt;='Prestige Patterns'!$B$28,IF(J607/(H607+1)&gt;('Prestige Patterns'!$B$27+1),L607+1,L607),L607)</f>
        <v>10</v>
      </c>
      <c r="N608">
        <f t="shared" si="0"/>
        <v>32563705937920.004</v>
      </c>
      <c r="O608" s="3">
        <f>'Prestige Patterns'!$B$4*E608</f>
        <v>13400</v>
      </c>
      <c r="P608">
        <f t="shared" si="3"/>
        <v>1048576</v>
      </c>
      <c r="Q608" s="5"/>
      <c r="R608" s="5"/>
      <c r="S608" s="3">
        <v>607</v>
      </c>
      <c r="T608" s="5"/>
    </row>
    <row r="609" spans="1:20" ht="12">
      <c r="A609" s="1"/>
      <c r="B609" s="1"/>
      <c r="C609" s="2">
        <f>(S609*'Prestige Patterns'!$B$20)/60</f>
        <v>304</v>
      </c>
      <c r="D609" s="2">
        <f>IF(L608=L609,N608*'Prestige Patterns'!$B$20+D608-F609,0)</f>
        <v>1399407586906558</v>
      </c>
      <c r="E609" s="3">
        <f t="shared" si="1"/>
        <v>671</v>
      </c>
      <c r="F609" s="8">
        <f>'Prestige Patterns'!$B$5*('Prestige Patterns'!$B$6^E608-'Prestige Patterns'!$B$6^(E608+G609))/(1-'Prestige Patterns'!$B$6)</f>
        <v>629347292525312</v>
      </c>
      <c r="G609" s="8">
        <f>FLOOR(LOG('Prestige Patterns'!$B$6^(E608) - (D608*(1-'Prestige Patterns'!$B$6)/'Prestige Patterns'!$B$5),'Prestige Patterns'!$B$6)-E608,1)</f>
        <v>1</v>
      </c>
      <c r="H609">
        <f t="shared" si="2"/>
        <v>231655</v>
      </c>
      <c r="I609" s="5">
        <f>1+H609*'Prestige Patterns'!$B$25</f>
        <v>2317.5500000000002</v>
      </c>
      <c r="J609">
        <f>FLOOR((K609/'Prestige Patterns'!$B$22)^'Prestige Patterns'!$B$23,1)-H608</f>
        <v>219478</v>
      </c>
      <c r="K609" s="8">
        <f>K608+N608*'Prestige Patterns'!$B$20</f>
        <v>2.0352171246792716E+16</v>
      </c>
      <c r="L609" s="2">
        <f>IF(J608&gt;='Prestige Patterns'!$B$28,IF(J608/(H608+1)&gt;('Prestige Patterns'!$B$27+1),L608+1,L608),L608)</f>
        <v>10</v>
      </c>
      <c r="N609">
        <f t="shared" si="0"/>
        <v>32612308484096.004</v>
      </c>
      <c r="O609" s="3">
        <f>'Prestige Patterns'!$B$4*E609</f>
        <v>13420</v>
      </c>
      <c r="P609">
        <f t="shared" si="3"/>
        <v>1048576</v>
      </c>
      <c r="Q609" s="5"/>
      <c r="R609" s="5"/>
      <c r="S609" s="3">
        <v>608</v>
      </c>
      <c r="T609" s="5"/>
    </row>
    <row r="610" spans="1:20" ht="12">
      <c r="A610" s="1"/>
      <c r="B610" s="1"/>
      <c r="C610" s="2">
        <f>(S610*'Prestige Patterns'!$B$20)/60</f>
        <v>304.5</v>
      </c>
      <c r="D610" s="2">
        <f>IF(L609=L610,N609*'Prestige Patterns'!$B$20+D609-F610,0)</f>
        <v>1023106794268714.2</v>
      </c>
      <c r="E610" s="3">
        <f t="shared" si="1"/>
        <v>673</v>
      </c>
      <c r="F610" s="8">
        <f>'Prestige Patterns'!$B$5*('Prestige Patterns'!$B$6^E609-'Prestige Patterns'!$B$6^(E609+G610))/(1-'Prestige Patterns'!$B$6)</f>
        <v>1354670047160723.8</v>
      </c>
      <c r="G610" s="8">
        <f>FLOOR(LOG('Prestige Patterns'!$B$6^(E609) - (D609*(1-'Prestige Patterns'!$B$6)/'Prestige Patterns'!$B$5),'Prestige Patterns'!$B$6)-E609,1)</f>
        <v>2</v>
      </c>
      <c r="H610">
        <f t="shared" si="2"/>
        <v>231655</v>
      </c>
      <c r="I610" s="5">
        <f>1+H610*'Prestige Patterns'!$B$25</f>
        <v>2317.5500000000002</v>
      </c>
      <c r="J610">
        <f>FLOOR((K610/'Prestige Patterns'!$B$22)^'Prestige Patterns'!$B$23,1)-H609</f>
        <v>230194</v>
      </c>
      <c r="K610" s="8">
        <f>K609+N609*'Prestige Patterns'!$B$20</f>
        <v>2.1330540501315596E+16</v>
      </c>
      <c r="L610" s="2">
        <f>IF(J609&gt;='Prestige Patterns'!$B$28,IF(J609/(H609+1)&gt;('Prestige Patterns'!$B$27+1),L609+1,L609),L609)</f>
        <v>10</v>
      </c>
      <c r="N610">
        <f t="shared" si="0"/>
        <v>32709513576448.004</v>
      </c>
      <c r="O610" s="3">
        <f>'Prestige Patterns'!$B$4*E610</f>
        <v>13460</v>
      </c>
      <c r="P610">
        <f t="shared" si="3"/>
        <v>1048576</v>
      </c>
      <c r="Q610" s="5"/>
      <c r="R610" s="5"/>
      <c r="S610" s="3">
        <v>609</v>
      </c>
      <c r="T610" s="5"/>
    </row>
    <row r="611" spans="1:20" ht="12">
      <c r="A611" s="1"/>
      <c r="B611" s="1"/>
      <c r="C611" s="2">
        <f>(S611*'Prestige Patterns'!$B$20)/60</f>
        <v>305</v>
      </c>
      <c r="D611" s="2">
        <f>IF(L610=L611,N610*'Prestige Patterns'!$B$20+D610-F611,0)</f>
        <v>1275844042052550</v>
      </c>
      <c r="E611" s="3">
        <f t="shared" si="1"/>
        <v>674</v>
      </c>
      <c r="F611" s="8">
        <f>'Prestige Patterns'!$B$5*('Prestige Patterns'!$B$6^E610-'Prestige Patterns'!$B$6^(E610+G611))/(1-'Prestige Patterns'!$B$6)</f>
        <v>728548159509604.38</v>
      </c>
      <c r="G611" s="8">
        <f>FLOOR(LOG('Prestige Patterns'!$B$6^(E610) - (D610*(1-'Prestige Patterns'!$B$6)/'Prestige Patterns'!$B$5),'Prestige Patterns'!$B$6)-E610,1)</f>
        <v>1</v>
      </c>
      <c r="H611">
        <f t="shared" si="2"/>
        <v>231655</v>
      </c>
      <c r="I611" s="5">
        <f>1+H611*'Prestige Patterns'!$B$25</f>
        <v>2317.5500000000002</v>
      </c>
      <c r="J611">
        <f>FLOOR((K611/'Prestige Patterns'!$B$22)^'Prestige Patterns'!$B$23,1)-H610</f>
        <v>240698</v>
      </c>
      <c r="K611" s="8">
        <f>K610+N610*'Prestige Patterns'!$B$20</f>
        <v>2.2311825908609036E+16</v>
      </c>
      <c r="L611" s="2">
        <f>IF(J610&gt;='Prestige Patterns'!$B$28,IF(J610/(H610+1)&gt;('Prestige Patterns'!$B$27+1),L610+1,L610),L610)</f>
        <v>10</v>
      </c>
      <c r="N611">
        <f t="shared" si="0"/>
        <v>32758116122624.004</v>
      </c>
      <c r="O611" s="3">
        <f>'Prestige Patterns'!$B$4*E611</f>
        <v>13480</v>
      </c>
      <c r="P611">
        <f t="shared" si="3"/>
        <v>1048576</v>
      </c>
      <c r="Q611" s="5"/>
      <c r="R611" s="5"/>
      <c r="S611" s="3">
        <v>610</v>
      </c>
      <c r="T611" s="5"/>
    </row>
    <row r="612" spans="1:20" ht="12">
      <c r="A612" s="1"/>
      <c r="B612" s="1"/>
      <c r="C612" s="2">
        <f>(S612*'Prestige Patterns'!$B$20)/60</f>
        <v>305.5</v>
      </c>
      <c r="D612" s="2">
        <f>IF(L611=L612,N611*'Prestige Patterns'!$B$20+D611-F612,0)</f>
        <v>1493611958246178</v>
      </c>
      <c r="E612" s="3">
        <f t="shared" si="1"/>
        <v>675</v>
      </c>
      <c r="F612" s="8">
        <f>'Prestige Patterns'!$B$5*('Prestige Patterns'!$B$6^E611-'Prestige Patterns'!$B$6^(E611+G612))/(1-'Prestige Patterns'!$B$6)</f>
        <v>764975567485091.88</v>
      </c>
      <c r="G612" s="8">
        <f>FLOOR(LOG('Prestige Patterns'!$B$6^(E611) - (D611*(1-'Prestige Patterns'!$B$6)/'Prestige Patterns'!$B$5),'Prestige Patterns'!$B$6)-E611,1)</f>
        <v>1</v>
      </c>
      <c r="H612">
        <f t="shared" si="2"/>
        <v>231655</v>
      </c>
      <c r="I612" s="5">
        <f>1+H612*'Prestige Patterns'!$B$25</f>
        <v>2317.5500000000002</v>
      </c>
      <c r="J612">
        <f>FLOOR((K612/'Prestige Patterns'!$B$22)^'Prestige Patterns'!$B$23,1)-H611</f>
        <v>250989</v>
      </c>
      <c r="K612" s="8">
        <f>K611+N611*'Prestige Patterns'!$B$20</f>
        <v>2.3294569392287756E+16</v>
      </c>
      <c r="L612" s="2">
        <f>IF(J611&gt;='Prestige Patterns'!$B$28,IF(J611/(H611+1)&gt;('Prestige Patterns'!$B$27+1),L611+1,L611),L611)</f>
        <v>10</v>
      </c>
      <c r="N612">
        <f t="shared" si="0"/>
        <v>32806718668800.004</v>
      </c>
      <c r="O612" s="3">
        <f>'Prestige Patterns'!$B$4*E612</f>
        <v>13500</v>
      </c>
      <c r="P612">
        <f t="shared" si="3"/>
        <v>1048576</v>
      </c>
      <c r="Q612" s="5"/>
      <c r="R612" s="5"/>
      <c r="S612" s="3">
        <v>611</v>
      </c>
      <c r="T612" s="5"/>
    </row>
    <row r="613" spans="1:20" ht="12">
      <c r="A613" s="1"/>
      <c r="B613" s="1"/>
      <c r="C613" s="2">
        <f>(S613*'Prestige Patterns'!$B$20)/60</f>
        <v>306</v>
      </c>
      <c r="D613" s="2">
        <f>IF(L612=L613,N612*'Prestige Patterns'!$B$20+D612-F613,0)</f>
        <v>1674589172450836.2</v>
      </c>
      <c r="E613" s="3">
        <f t="shared" si="1"/>
        <v>676</v>
      </c>
      <c r="F613" s="8">
        <f>'Prestige Patterns'!$B$5*('Prestige Patterns'!$B$6^E612-'Prestige Patterns'!$B$6^(E612+G613))/(1-'Prestige Patterns'!$B$6)</f>
        <v>803224345859341.75</v>
      </c>
      <c r="G613" s="8">
        <f>FLOOR(LOG('Prestige Patterns'!$B$6^(E612) - (D612*(1-'Prestige Patterns'!$B$6)/'Prestige Patterns'!$B$5),'Prestige Patterns'!$B$6)-E612,1)</f>
        <v>1</v>
      </c>
      <c r="H613">
        <f t="shared" si="2"/>
        <v>231655</v>
      </c>
      <c r="I613" s="5">
        <f>1+H613*'Prestige Patterns'!$B$25</f>
        <v>2317.5500000000002</v>
      </c>
      <c r="J613">
        <f>FLOOR((K613/'Prestige Patterns'!$B$22)^'Prestige Patterns'!$B$23,1)-H612</f>
        <v>261079</v>
      </c>
      <c r="K613" s="8">
        <f>K612+N612*'Prestige Patterns'!$B$20</f>
        <v>2.4278770952351756E+16</v>
      </c>
      <c r="L613" s="2">
        <f>IF(J612&gt;='Prestige Patterns'!$B$28,IF(J612/(H612+1)&gt;('Prestige Patterns'!$B$27+1),L612+1,L612),L612)</f>
        <v>10</v>
      </c>
      <c r="N613">
        <f t="shared" si="0"/>
        <v>32855321214976.004</v>
      </c>
      <c r="O613" s="3">
        <f>'Prestige Patterns'!$B$4*E613</f>
        <v>13520</v>
      </c>
      <c r="P613">
        <f t="shared" si="3"/>
        <v>1048576</v>
      </c>
      <c r="Q613" s="5"/>
      <c r="R613" s="5"/>
      <c r="S613" s="3">
        <v>612</v>
      </c>
      <c r="T613" s="5"/>
    </row>
    <row r="614" spans="1:20" ht="12">
      <c r="A614" s="1"/>
      <c r="B614" s="1"/>
      <c r="C614" s="2">
        <f>(S614*'Prestige Patterns'!$B$20)/60</f>
        <v>306.5</v>
      </c>
      <c r="D614" s="2">
        <f>IF(L613=L614,N613*'Prestige Patterns'!$B$20+D613-F614,0)</f>
        <v>1816863245747802.2</v>
      </c>
      <c r="E614" s="3">
        <f t="shared" si="1"/>
        <v>677</v>
      </c>
      <c r="F614" s="8">
        <f>'Prestige Patterns'!$B$5*('Prestige Patterns'!$B$6^E613-'Prestige Patterns'!$B$6^(E613+G614))/(1-'Prestige Patterns'!$B$6)</f>
        <v>843385563152314.25</v>
      </c>
      <c r="G614" s="8">
        <f>FLOOR(LOG('Prestige Patterns'!$B$6^(E613) - (D613*(1-'Prestige Patterns'!$B$6)/'Prestige Patterns'!$B$5),'Prestige Patterns'!$B$6)-E613,1)</f>
        <v>1</v>
      </c>
      <c r="H614">
        <f t="shared" si="2"/>
        <v>231655</v>
      </c>
      <c r="I614" s="5">
        <f>1+H614*'Prestige Patterns'!$B$25</f>
        <v>2317.5500000000002</v>
      </c>
      <c r="J614">
        <f>FLOOR((K614/'Prestige Patterns'!$B$22)^'Prestige Patterns'!$B$23,1)-H613</f>
        <v>270982</v>
      </c>
      <c r="K614" s="8">
        <f>K613+N613*'Prestige Patterns'!$B$20</f>
        <v>2.5264430588801036E+16</v>
      </c>
      <c r="L614" s="2">
        <f>IF(J613&gt;='Prestige Patterns'!$B$28,IF(J613/(H613+1)&gt;('Prestige Patterns'!$B$27+1),L613+1,L613),L613)</f>
        <v>10</v>
      </c>
      <c r="N614">
        <f t="shared" si="0"/>
        <v>32903923761152.004</v>
      </c>
      <c r="O614" s="3">
        <f>'Prestige Patterns'!$B$4*E614</f>
        <v>13540</v>
      </c>
      <c r="P614">
        <f t="shared" si="3"/>
        <v>1048576</v>
      </c>
      <c r="Q614" s="5"/>
      <c r="R614" s="5"/>
      <c r="S614" s="3">
        <v>613</v>
      </c>
      <c r="T614" s="5"/>
    </row>
    <row r="615" spans="1:20" ht="12">
      <c r="A615" s="1"/>
      <c r="B615" s="1"/>
      <c r="C615" s="2">
        <f>(S615*'Prestige Patterns'!$B$20)/60</f>
        <v>307</v>
      </c>
      <c r="D615" s="2">
        <f>IF(L614=L615,N614*'Prestige Patterns'!$B$20+D614-F615,0)</f>
        <v>988593533897014</v>
      </c>
      <c r="E615" s="3">
        <f t="shared" si="1"/>
        <v>679</v>
      </c>
      <c r="F615" s="8">
        <f>'Prestige Patterns'!$B$5*('Prestige Patterns'!$B$6^E614-'Prestige Patterns'!$B$6^(E614+G615))/(1-'Prestige Patterns'!$B$6)</f>
        <v>1815387424685348.5</v>
      </c>
      <c r="G615" s="8">
        <f>FLOOR(LOG('Prestige Patterns'!$B$6^(E614) - (D614*(1-'Prestige Patterns'!$B$6)/'Prestige Patterns'!$B$5),'Prestige Patterns'!$B$6)-E614,1)</f>
        <v>2</v>
      </c>
      <c r="H615">
        <f t="shared" si="2"/>
        <v>231655</v>
      </c>
      <c r="I615" s="5">
        <f>1+H615*'Prestige Patterns'!$B$25</f>
        <v>2317.5500000000002</v>
      </c>
      <c r="J615">
        <f>FLOOR((K615/'Prestige Patterns'!$B$22)^'Prestige Patterns'!$B$23,1)-H614</f>
        <v>280707</v>
      </c>
      <c r="K615" s="8">
        <f>K614+N614*'Prestige Patterns'!$B$20</f>
        <v>2.6251548301635596E+16</v>
      </c>
      <c r="L615" s="2">
        <f>IF(J614&gt;='Prestige Patterns'!$B$28,IF(J614/(H614+1)&gt;('Prestige Patterns'!$B$27+1),L614+1,L614),L614)</f>
        <v>10</v>
      </c>
      <c r="N615">
        <f t="shared" si="0"/>
        <v>33001128853504.004</v>
      </c>
      <c r="O615" s="3">
        <f>'Prestige Patterns'!$B$4*E615</f>
        <v>13580</v>
      </c>
      <c r="P615">
        <f t="shared" si="3"/>
        <v>1048576</v>
      </c>
      <c r="Q615" s="5"/>
      <c r="R615" s="5"/>
      <c r="S615" s="3">
        <v>614</v>
      </c>
      <c r="T615" s="5"/>
    </row>
    <row r="616" spans="1:20" ht="12">
      <c r="A616" s="1"/>
      <c r="B616" s="1"/>
      <c r="C616" s="2">
        <f>(S616*'Prestige Patterns'!$B$20)/60</f>
        <v>307.5</v>
      </c>
      <c r="D616" s="2">
        <f>IF(L615=L616,N615*'Prestige Patterns'!$B$20+D615-F616,0)</f>
        <v>1002303186957944.9</v>
      </c>
      <c r="E616" s="3">
        <f t="shared" si="1"/>
        <v>680</v>
      </c>
      <c r="F616" s="8">
        <f>'Prestige Patterns'!$B$5*('Prestige Patterns'!$B$6^E615-'Prestige Patterns'!$B$6^(E615+G616))/(1-'Prestige Patterns'!$B$6)</f>
        <v>976324212544189.12</v>
      </c>
      <c r="G616" s="8">
        <f>FLOOR(LOG('Prestige Patterns'!$B$6^(E615) - (D615*(1-'Prestige Patterns'!$B$6)/'Prestige Patterns'!$B$5),'Prestige Patterns'!$B$6)-E615,1)</f>
        <v>1</v>
      </c>
      <c r="H616">
        <f t="shared" si="2"/>
        <v>231655</v>
      </c>
      <c r="I616" s="5">
        <f>1+H616*'Prestige Patterns'!$B$25</f>
        <v>2317.5500000000002</v>
      </c>
      <c r="J616">
        <f>FLOOR((K616/'Prestige Patterns'!$B$22)^'Prestige Patterns'!$B$23,1)-H615</f>
        <v>290279</v>
      </c>
      <c r="K616" s="8">
        <f>K615+N615*'Prestige Patterns'!$B$20</f>
        <v>2.7241582167240716E+16</v>
      </c>
      <c r="L616" s="2">
        <f>IF(J615&gt;='Prestige Patterns'!$B$28,IF(J615/(H615+1)&gt;('Prestige Patterns'!$B$27+1),L615+1,L615),L615)</f>
        <v>10</v>
      </c>
      <c r="N616">
        <f t="shared" si="0"/>
        <v>33049731399680.004</v>
      </c>
      <c r="O616" s="3">
        <f>'Prestige Patterns'!$B$4*E616</f>
        <v>13600</v>
      </c>
      <c r="P616">
        <f t="shared" si="3"/>
        <v>1048576</v>
      </c>
      <c r="Q616" s="5"/>
      <c r="R616" s="5"/>
      <c r="S616" s="3">
        <v>615</v>
      </c>
      <c r="T616" s="5"/>
    </row>
    <row r="617" spans="1:20" ht="12">
      <c r="A617" s="1"/>
      <c r="B617" s="1"/>
      <c r="C617" s="2">
        <f>(S617*'Prestige Patterns'!$B$20)/60</f>
        <v>308</v>
      </c>
      <c r="D617" s="2">
        <f>IF(L616=L617,N616*'Prestige Patterns'!$B$20+D616-F617,0)</f>
        <v>1993795128948345</v>
      </c>
      <c r="E617" s="3">
        <f t="shared" si="1"/>
        <v>680</v>
      </c>
      <c r="F617" s="8">
        <f>'Prestige Patterns'!$B$5*('Prestige Patterns'!$B$6^E616-'Prestige Patterns'!$B$6^(E616+G617))/(1-'Prestige Patterns'!$B$6)</f>
        <v>0</v>
      </c>
      <c r="G617" s="8">
        <f>FLOOR(LOG('Prestige Patterns'!$B$6^(E616) - (D616*(1-'Prestige Patterns'!$B$6)/'Prestige Patterns'!$B$5),'Prestige Patterns'!$B$6)-E616,1)</f>
        <v>0</v>
      </c>
      <c r="H617">
        <f t="shared" si="2"/>
        <v>231655</v>
      </c>
      <c r="I617" s="5">
        <f>1+H617*'Prestige Patterns'!$B$25</f>
        <v>2317.5500000000002</v>
      </c>
      <c r="J617">
        <f>FLOOR((K617/'Prestige Patterns'!$B$22)^'Prestige Patterns'!$B$23,1)-H616</f>
        <v>299693</v>
      </c>
      <c r="K617" s="8">
        <f>K616+N616*'Prestige Patterns'!$B$20</f>
        <v>2.8233074109231116E+16</v>
      </c>
      <c r="L617" s="2">
        <f>IF(J616&gt;='Prestige Patterns'!$B$28,IF(J616/(H616+1)&gt;('Prestige Patterns'!$B$27+1),L616+1,L616),L616)</f>
        <v>10</v>
      </c>
      <c r="N617">
        <f t="shared" si="0"/>
        <v>33049731399680.004</v>
      </c>
      <c r="O617" s="3">
        <f>'Prestige Patterns'!$B$4*E617</f>
        <v>13600</v>
      </c>
      <c r="P617">
        <f t="shared" si="3"/>
        <v>1048576</v>
      </c>
      <c r="Q617" s="5"/>
      <c r="R617" s="5"/>
      <c r="S617" s="3">
        <v>616</v>
      </c>
      <c r="T617" s="5"/>
    </row>
    <row r="618" spans="1:20" ht="12">
      <c r="A618" s="1"/>
      <c r="B618" s="1"/>
      <c r="C618" s="2">
        <f>(S618*'Prestige Patterns'!$B$20)/60</f>
        <v>308.5</v>
      </c>
      <c r="D618" s="2">
        <f>IF(L617=L618,N617*'Prestige Patterns'!$B$20+D617-F618,0)</f>
        <v>1960146647767338.5</v>
      </c>
      <c r="E618" s="3">
        <f t="shared" si="1"/>
        <v>681</v>
      </c>
      <c r="F618" s="8">
        <f>'Prestige Patterns'!$B$5*('Prestige Patterns'!$B$6^E617-'Prestige Patterns'!$B$6^(E617+G618))/(1-'Prestige Patterns'!$B$6)</f>
        <v>1025140423171406.6</v>
      </c>
      <c r="G618" s="8">
        <f>FLOOR(LOG('Prestige Patterns'!$B$6^(E617) - (D617*(1-'Prestige Patterns'!$B$6)/'Prestige Patterns'!$B$5),'Prestige Patterns'!$B$6)-E617,1)</f>
        <v>1</v>
      </c>
      <c r="H618">
        <f t="shared" si="2"/>
        <v>231655</v>
      </c>
      <c r="I618" s="5">
        <f>1+H618*'Prestige Patterns'!$B$25</f>
        <v>2317.5500000000002</v>
      </c>
      <c r="J618">
        <f>FLOOR((K618/'Prestige Patterns'!$B$22)^'Prestige Patterns'!$B$23,1)-H617</f>
        <v>308942</v>
      </c>
      <c r="K618" s="8">
        <f>K617+N617*'Prestige Patterns'!$B$20</f>
        <v>2.9224566051221516E+16</v>
      </c>
      <c r="L618" s="2">
        <f>IF(J617&gt;='Prestige Patterns'!$B$28,IF(J617/(H617+1)&gt;('Prestige Patterns'!$B$27+1),L617+1,L617),L617)</f>
        <v>10</v>
      </c>
      <c r="N618">
        <f t="shared" si="0"/>
        <v>33098333945856.004</v>
      </c>
      <c r="O618" s="3">
        <f>'Prestige Patterns'!$B$4*E618</f>
        <v>13620</v>
      </c>
      <c r="P618">
        <f t="shared" si="3"/>
        <v>1048576</v>
      </c>
      <c r="Q618" s="5"/>
      <c r="R618" s="5"/>
      <c r="S618" s="3">
        <v>617</v>
      </c>
      <c r="T618" s="5"/>
    </row>
    <row r="619" spans="1:20" ht="12">
      <c r="A619" s="1"/>
      <c r="B619" s="1"/>
      <c r="C619" s="2">
        <f>(S619*'Prestige Patterns'!$B$20)/60</f>
        <v>309</v>
      </c>
      <c r="D619" s="2">
        <f>IF(L618=L619,N618*'Prestige Patterns'!$B$20+D618-F619,0)</f>
        <v>1876699221813047</v>
      </c>
      <c r="E619" s="3">
        <f t="shared" si="1"/>
        <v>682</v>
      </c>
      <c r="F619" s="8">
        <f>'Prestige Patterns'!$B$5*('Prestige Patterns'!$B$6^E618-'Prestige Patterns'!$B$6^(E618+G619))/(1-'Prestige Patterns'!$B$6)</f>
        <v>1076397444329971.5</v>
      </c>
      <c r="G619" s="8">
        <f>FLOOR(LOG('Prestige Patterns'!$B$6^(E618) - (D618*(1-'Prestige Patterns'!$B$6)/'Prestige Patterns'!$B$5),'Prestige Patterns'!$B$6)-E618,1)</f>
        <v>1</v>
      </c>
      <c r="H619">
        <f t="shared" si="2"/>
        <v>231655</v>
      </c>
      <c r="I619" s="5">
        <f>1+H619*'Prestige Patterns'!$B$25</f>
        <v>2317.5500000000002</v>
      </c>
      <c r="J619">
        <f>FLOOR((K619/'Prestige Patterns'!$B$22)^'Prestige Patterns'!$B$23,1)-H618</f>
        <v>318049</v>
      </c>
      <c r="K619" s="8">
        <f>K618+N618*'Prestige Patterns'!$B$20</f>
        <v>3.0217516069597196E+16</v>
      </c>
      <c r="L619" s="2">
        <f>IF(J618&gt;='Prestige Patterns'!$B$28,IF(J618/(H618+1)&gt;('Prestige Patterns'!$B$27+1),L618+1,L618),L618)</f>
        <v>10</v>
      </c>
      <c r="N619">
        <f t="shared" si="0"/>
        <v>33146936492032.004</v>
      </c>
      <c r="O619" s="3">
        <f>'Prestige Patterns'!$B$4*E619</f>
        <v>13640</v>
      </c>
      <c r="P619">
        <f t="shared" si="3"/>
        <v>1048576</v>
      </c>
      <c r="Q619" s="5"/>
      <c r="R619" s="5"/>
      <c r="S619" s="3">
        <v>618</v>
      </c>
      <c r="T619" s="5"/>
    </row>
    <row r="620" spans="1:20" ht="12">
      <c r="A620" s="1"/>
      <c r="B620" s="1"/>
      <c r="C620" s="2">
        <f>(S620*'Prestige Patterns'!$B$20)/60</f>
        <v>309.5</v>
      </c>
      <c r="D620" s="2">
        <f>IF(L619=L620,N619*'Prestige Patterns'!$B$20+D619-F620,0)</f>
        <v>1740890000027533</v>
      </c>
      <c r="E620" s="3">
        <f t="shared" si="1"/>
        <v>683</v>
      </c>
      <c r="F620" s="8">
        <f>'Prestige Patterns'!$B$5*('Prestige Patterns'!$B$6^E619-'Prestige Patterns'!$B$6^(E619+G620))/(1-'Prestige Patterns'!$B$6)</f>
        <v>1130217316546474</v>
      </c>
      <c r="G620" s="8">
        <f>FLOOR(LOG('Prestige Patterns'!$B$6^(E619) - (D619*(1-'Prestige Patterns'!$B$6)/'Prestige Patterns'!$B$5),'Prestige Patterns'!$B$6)-E619,1)</f>
        <v>1</v>
      </c>
      <c r="H620">
        <f t="shared" si="2"/>
        <v>231655</v>
      </c>
      <c r="I620" s="5">
        <f>1+H620*'Prestige Patterns'!$B$25</f>
        <v>2317.5500000000002</v>
      </c>
      <c r="J620">
        <f>FLOOR((K620/'Prestige Patterns'!$B$22)^'Prestige Patterns'!$B$23,1)-H619</f>
        <v>327021</v>
      </c>
      <c r="K620" s="8">
        <f>K619+N619*'Prestige Patterns'!$B$20</f>
        <v>3.1211924164358156E+16</v>
      </c>
      <c r="L620" s="2">
        <f>IF(J619&gt;='Prestige Patterns'!$B$28,IF(J619/(H619+1)&gt;('Prestige Patterns'!$B$27+1),L619+1,L619),L619)</f>
        <v>10</v>
      </c>
      <c r="N620">
        <f t="shared" si="0"/>
        <v>33195539038208.004</v>
      </c>
      <c r="O620" s="3">
        <f>'Prestige Patterns'!$B$4*E620</f>
        <v>13660</v>
      </c>
      <c r="P620">
        <f t="shared" si="3"/>
        <v>1048576</v>
      </c>
      <c r="Q620" s="5"/>
      <c r="R620" s="5"/>
      <c r="S620" s="3">
        <v>619</v>
      </c>
      <c r="T620" s="5"/>
    </row>
    <row r="621" spans="1:20" ht="12">
      <c r="A621" s="1"/>
      <c r="B621" s="1"/>
      <c r="C621" s="2">
        <f>(S621*'Prestige Patterns'!$B$20)/60</f>
        <v>310</v>
      </c>
      <c r="D621" s="2">
        <f>IF(L620=L621,N620*'Prestige Patterns'!$B$20+D620-F621,0)</f>
        <v>1550027988799979</v>
      </c>
      <c r="E621" s="3">
        <f t="shared" si="1"/>
        <v>684</v>
      </c>
      <c r="F621" s="8">
        <f>'Prestige Patterns'!$B$5*('Prestige Patterns'!$B$6^E620-'Prestige Patterns'!$B$6^(E620+G621))/(1-'Prestige Patterns'!$B$6)</f>
        <v>1186728182373794</v>
      </c>
      <c r="G621" s="8">
        <f>FLOOR(LOG('Prestige Patterns'!$B$6^(E620) - (D620*(1-'Prestige Patterns'!$B$6)/'Prestige Patterns'!$B$5),'Prestige Patterns'!$B$6)-E620,1)</f>
        <v>1</v>
      </c>
      <c r="H621">
        <f t="shared" si="2"/>
        <v>231655</v>
      </c>
      <c r="I621" s="5">
        <f>1+H621*'Prestige Patterns'!$B$25</f>
        <v>2317.5500000000002</v>
      </c>
      <c r="J621">
        <f>FLOOR((K621/'Prestige Patterns'!$B$22)^'Prestige Patterns'!$B$23,1)-H620</f>
        <v>335864</v>
      </c>
      <c r="K621" s="8">
        <f>K620+N620*'Prestige Patterns'!$B$20</f>
        <v>3.2207790335504396E+16</v>
      </c>
      <c r="L621" s="2">
        <f>IF(J620&gt;='Prestige Patterns'!$B$28,IF(J620/(H620+1)&gt;('Prestige Patterns'!$B$27+1),L620+1,L620),L620)</f>
        <v>10</v>
      </c>
      <c r="N621">
        <f t="shared" si="0"/>
        <v>33244141584384.004</v>
      </c>
      <c r="O621" s="3">
        <f>'Prestige Patterns'!$B$4*E621</f>
        <v>13680</v>
      </c>
      <c r="P621">
        <f t="shared" si="3"/>
        <v>1048576</v>
      </c>
      <c r="Q621" s="5"/>
      <c r="R621" s="5"/>
      <c r="S621" s="3">
        <v>620</v>
      </c>
      <c r="T621" s="5"/>
    </row>
    <row r="622" spans="1:20" ht="12">
      <c r="A622" s="1"/>
      <c r="B622" s="1"/>
      <c r="C622" s="2">
        <f>(S622*'Prestige Patterns'!$B$20)/60</f>
        <v>310.5</v>
      </c>
      <c r="D622" s="2">
        <f>IF(L621=L622,N621*'Prestige Patterns'!$B$20+D621-F622,0)</f>
        <v>1301287644839005</v>
      </c>
      <c r="E622" s="3">
        <f t="shared" si="1"/>
        <v>685</v>
      </c>
      <c r="F622" s="8">
        <f>'Prestige Patterns'!$B$5*('Prestige Patterns'!$B$6^E621-'Prestige Patterns'!$B$6^(E621+G622))/(1-'Prestige Patterns'!$B$6)</f>
        <v>1246064591492494</v>
      </c>
      <c r="G622" s="8">
        <f>FLOOR(LOG('Prestige Patterns'!$B$6^(E621) - (D621*(1-'Prestige Patterns'!$B$6)/'Prestige Patterns'!$B$5),'Prestige Patterns'!$B$6)-E621,1)</f>
        <v>1</v>
      </c>
      <c r="H622">
        <f t="shared" si="2"/>
        <v>231655</v>
      </c>
      <c r="I622" s="5">
        <f>1+H622*'Prestige Patterns'!$B$25</f>
        <v>2317.5500000000002</v>
      </c>
      <c r="J622">
        <f>FLOOR((K622/'Prestige Patterns'!$B$22)^'Prestige Patterns'!$B$23,1)-H621</f>
        <v>344583</v>
      </c>
      <c r="K622" s="8">
        <f>K621+N621*'Prestige Patterns'!$B$20</f>
        <v>3.3205114583035916E+16</v>
      </c>
      <c r="L622" s="2">
        <f>IF(J621&gt;='Prestige Patterns'!$B$28,IF(J621/(H621+1)&gt;('Prestige Patterns'!$B$27+1),L621+1,L621),L621)</f>
        <v>10</v>
      </c>
      <c r="N622">
        <f t="shared" si="0"/>
        <v>33292744130560.004</v>
      </c>
      <c r="O622" s="3">
        <f>'Prestige Patterns'!$B$4*E622</f>
        <v>13700</v>
      </c>
      <c r="P622">
        <f t="shared" si="3"/>
        <v>1048576</v>
      </c>
      <c r="Q622" s="5"/>
      <c r="R622" s="5"/>
      <c r="S622" s="3">
        <v>621</v>
      </c>
      <c r="T622" s="5"/>
    </row>
    <row r="623" spans="1:20" ht="12">
      <c r="A623" s="1"/>
      <c r="B623" s="1"/>
      <c r="C623" s="2">
        <f>(S623*'Prestige Patterns'!$B$20)/60</f>
        <v>311</v>
      </c>
      <c r="D623" s="2">
        <f>IF(L622=L623,N622*'Prestige Patterns'!$B$20+D622-F623,0)</f>
        <v>2300069968755805</v>
      </c>
      <c r="E623" s="3">
        <f t="shared" si="1"/>
        <v>685</v>
      </c>
      <c r="F623" s="8">
        <f>'Prestige Patterns'!$B$5*('Prestige Patterns'!$B$6^E622-'Prestige Patterns'!$B$6^(E622+G623))/(1-'Prestige Patterns'!$B$6)</f>
        <v>0</v>
      </c>
      <c r="G623" s="8">
        <f>FLOOR(LOG('Prestige Patterns'!$B$6^(E622) - (D622*(1-'Prestige Patterns'!$B$6)/'Prestige Patterns'!$B$5),'Prestige Patterns'!$B$6)-E622,1)</f>
        <v>0</v>
      </c>
      <c r="H623">
        <f t="shared" si="2"/>
        <v>231655</v>
      </c>
      <c r="I623" s="5">
        <f>1+H623*'Prestige Patterns'!$B$25</f>
        <v>2317.5500000000002</v>
      </c>
      <c r="J623">
        <f>FLOOR((K623/'Prestige Patterns'!$B$22)^'Prestige Patterns'!$B$23,1)-H622</f>
        <v>353185</v>
      </c>
      <c r="K623" s="8">
        <f>K622+N622*'Prestige Patterns'!$B$20</f>
        <v>3.4203896906952716E+16</v>
      </c>
      <c r="L623" s="2">
        <f>IF(J622&gt;='Prestige Patterns'!$B$28,IF(J622/(H622+1)&gt;('Prestige Patterns'!$B$27+1),L622+1,L622),L622)</f>
        <v>10</v>
      </c>
      <c r="N623">
        <f t="shared" si="0"/>
        <v>33292744130560.004</v>
      </c>
      <c r="O623" s="3">
        <f>'Prestige Patterns'!$B$4*E623</f>
        <v>13700</v>
      </c>
      <c r="P623">
        <f t="shared" si="3"/>
        <v>1048576</v>
      </c>
      <c r="Q623" s="5"/>
      <c r="R623" s="5"/>
      <c r="S623" s="3">
        <v>622</v>
      </c>
      <c r="T623" s="5"/>
    </row>
    <row r="624" spans="1:20" ht="12">
      <c r="A624" s="1"/>
      <c r="B624" s="1"/>
      <c r="C624" s="2">
        <f>(S624*'Prestige Patterns'!$B$20)/60</f>
        <v>311.5</v>
      </c>
      <c r="D624" s="2">
        <f>IF(L623=L624,N623*'Prestige Patterns'!$B$20+D623-F624,0)</f>
        <v>0</v>
      </c>
      <c r="E624" s="3">
        <f t="shared" si="1"/>
        <v>1</v>
      </c>
      <c r="F624" s="8">
        <f>'Prestige Patterns'!$B$5*('Prestige Patterns'!$B$6^E623-'Prestige Patterns'!$B$6^(E623+G624))/(1-'Prestige Patterns'!$B$6)</f>
        <v>1308367821067103.8</v>
      </c>
      <c r="G624" s="8">
        <f>FLOOR(LOG('Prestige Patterns'!$B$6^(E623) - (D623*(1-'Prestige Patterns'!$B$6)/'Prestige Patterns'!$B$5),'Prestige Patterns'!$B$6)-E623,1)</f>
        <v>1</v>
      </c>
      <c r="H624">
        <f t="shared" si="2"/>
        <v>584840</v>
      </c>
      <c r="I624" s="5">
        <f>1+H624*'Prestige Patterns'!$B$25</f>
        <v>5849.4000000000005</v>
      </c>
      <c r="J624">
        <f>FLOOR((K624/'Prestige Patterns'!$B$22)^'Prestige Patterns'!$B$23,1)-H623</f>
        <v>361663</v>
      </c>
      <c r="K624" s="8">
        <f>K623+N623*'Prestige Patterns'!$B$20</f>
        <v>3.5202679230869516E+16</v>
      </c>
      <c r="L624" s="2">
        <f>IF(J623&gt;='Prestige Patterns'!$B$28,IF(J623/(H623+1)&gt;('Prestige Patterns'!$B$27+1),L623+1,L623),L623)</f>
        <v>11</v>
      </c>
      <c r="N624">
        <f t="shared" si="0"/>
        <v>122670809088.00002</v>
      </c>
      <c r="O624" s="3">
        <f>'Prestige Patterns'!$B$4*E624</f>
        <v>20</v>
      </c>
      <c r="P624">
        <f t="shared" si="3"/>
        <v>1048576</v>
      </c>
      <c r="Q624" s="5"/>
      <c r="R624" s="5"/>
      <c r="S624" s="3">
        <v>623</v>
      </c>
      <c r="T624" s="5"/>
    </row>
    <row r="625" spans="1:20" ht="12">
      <c r="A625" s="1"/>
      <c r="B625" s="1"/>
      <c r="C625" s="2">
        <f>(S625*'Prestige Patterns'!$B$20)/60</f>
        <v>312</v>
      </c>
      <c r="D625" s="2">
        <f>IF(L624=L625,N624*'Prestige Patterns'!$B$20+D624-F625,0)</f>
        <v>3680124272640.0005</v>
      </c>
      <c r="E625" s="3">
        <f t="shared" si="1"/>
        <v>1</v>
      </c>
      <c r="F625" s="8">
        <f>'Prestige Patterns'!$B$5*('Prestige Patterns'!$B$6^E624-'Prestige Patterns'!$B$6^(E624+G625))/(1-'Prestige Patterns'!$B$6)</f>
        <v>0</v>
      </c>
      <c r="G625" s="8">
        <f>FLOOR(LOG('Prestige Patterns'!$B$6^(E624) - (D624*(1-'Prestige Patterns'!$B$6)/'Prestige Patterns'!$B$5),'Prestige Patterns'!$B$6)-E624,1)</f>
        <v>0</v>
      </c>
      <c r="H625">
        <f t="shared" si="2"/>
        <v>584840</v>
      </c>
      <c r="I625" s="5">
        <f>1+H625*'Prestige Patterns'!$B$25</f>
        <v>5849.4000000000005</v>
      </c>
      <c r="J625">
        <f>FLOOR((K625/'Prestige Patterns'!$B$22)^'Prestige Patterns'!$B$23,1)-H624</f>
        <v>8509</v>
      </c>
      <c r="K625" s="8">
        <f>K624+N624*'Prestige Patterns'!$B$20</f>
        <v>3.5206359355142156E+16</v>
      </c>
      <c r="L625" s="2">
        <f>IF(J624&gt;='Prestige Patterns'!$B$28,IF(J624/(H624+1)&gt;('Prestige Patterns'!$B$27+1),L624+1,L624),L624)</f>
        <v>11</v>
      </c>
      <c r="N625">
        <f t="shared" si="0"/>
        <v>122670809088.00002</v>
      </c>
      <c r="O625" s="3">
        <f>'Prestige Patterns'!$B$4*E625</f>
        <v>20</v>
      </c>
      <c r="P625">
        <f t="shared" si="3"/>
        <v>1048576</v>
      </c>
      <c r="Q625" s="5"/>
      <c r="R625" s="5"/>
      <c r="S625" s="3">
        <v>624</v>
      </c>
      <c r="T625" s="5"/>
    </row>
    <row r="626" spans="1:20" ht="12">
      <c r="A626" s="1"/>
      <c r="B626" s="1"/>
      <c r="C626" s="2">
        <f>(S626*'Prestige Patterns'!$B$20)/60</f>
        <v>312.5</v>
      </c>
      <c r="D626" s="2">
        <f>IF(L625=L626,N625*'Prestige Patterns'!$B$20+D625-F626,0)</f>
        <v>3718521267545.335</v>
      </c>
      <c r="E626" s="3">
        <f t="shared" si="1"/>
        <v>503</v>
      </c>
      <c r="F626" s="8">
        <f>'Prestige Patterns'!$B$5*('Prestige Patterns'!$B$6^E625-'Prestige Patterns'!$B$6^(E625+G626))/(1-'Prestige Patterns'!$B$6)</f>
        <v>3641727277734.666</v>
      </c>
      <c r="G626" s="8">
        <f>FLOOR(LOG('Prestige Patterns'!$B$6^(E625) - (D625*(1-'Prestige Patterns'!$B$6)/'Prestige Patterns'!$B$5),'Prestige Patterns'!$B$6)-E625,1)</f>
        <v>502</v>
      </c>
      <c r="H626">
        <f t="shared" si="2"/>
        <v>584840</v>
      </c>
      <c r="I626" s="5">
        <f>1+H626*'Prestige Patterns'!$B$25</f>
        <v>5849.4000000000005</v>
      </c>
      <c r="J626">
        <f>FLOOR((K626/'Prestige Patterns'!$B$22)^'Prestige Patterns'!$B$23,1)-H625</f>
        <v>8540</v>
      </c>
      <c r="K626" s="8">
        <f>K625+N625*'Prestige Patterns'!$B$20</f>
        <v>3.5210039479414796E+16</v>
      </c>
      <c r="L626" s="2">
        <f>IF(J625&gt;='Prestige Patterns'!$B$28,IF(J625/(H625+1)&gt;('Prestige Patterns'!$B$27+1),L625+1,L625),L625)</f>
        <v>11</v>
      </c>
      <c r="N626">
        <f t="shared" si="0"/>
        <v>3856463560704.0005</v>
      </c>
      <c r="O626" s="3">
        <f>'Prestige Patterns'!$B$4*E626</f>
        <v>10060</v>
      </c>
      <c r="P626">
        <f t="shared" si="3"/>
        <v>65536</v>
      </c>
      <c r="Q626" s="5"/>
      <c r="R626" s="5"/>
      <c r="S626" s="3">
        <v>625</v>
      </c>
      <c r="T626" s="5"/>
    </row>
    <row r="627" spans="1:20" ht="12">
      <c r="A627" s="1"/>
      <c r="B627" s="1"/>
      <c r="C627" s="2">
        <f>(S627*'Prestige Patterns'!$B$20)/60</f>
        <v>313</v>
      </c>
      <c r="D627" s="2">
        <f>IF(L626=L627,N626*'Prestige Patterns'!$B$20+D626-F627,0)</f>
        <v>115843784452590.41</v>
      </c>
      <c r="E627" s="3">
        <f t="shared" si="1"/>
        <v>517</v>
      </c>
      <c r="F627" s="8">
        <f>'Prestige Patterns'!$B$5*('Prestige Patterns'!$B$6^E626-'Prestige Patterns'!$B$6^(E626+G627))/(1-'Prestige Patterns'!$B$6)</f>
        <v>3568643636074.9297</v>
      </c>
      <c r="G627" s="8">
        <f>FLOOR(LOG('Prestige Patterns'!$B$6^(E626) - (D626*(1-'Prestige Patterns'!$B$6)/'Prestige Patterns'!$B$5),'Prestige Patterns'!$B$6)-E626,1)</f>
        <v>14</v>
      </c>
      <c r="H627">
        <f t="shared" si="2"/>
        <v>584840</v>
      </c>
      <c r="I627" s="5">
        <f>1+H627*'Prestige Patterns'!$B$25</f>
        <v>5849.4000000000005</v>
      </c>
      <c r="J627">
        <f>FLOOR((K627/'Prestige Patterns'!$B$22)^'Prestige Patterns'!$B$23,1)-H626</f>
        <v>9514</v>
      </c>
      <c r="K627" s="8">
        <f>K626+N626*'Prestige Patterns'!$B$20</f>
        <v>3.5325733386235916E+16</v>
      </c>
      <c r="L627" s="2">
        <f>IF(J626&gt;='Prestige Patterns'!$B$28,IF(J626/(H626+1)&gt;('Prestige Patterns'!$B$27+1),L626+1,L626),L626)</f>
        <v>11</v>
      </c>
      <c r="N627">
        <f t="shared" si="0"/>
        <v>3963800518656.0005</v>
      </c>
      <c r="O627" s="3">
        <f>'Prestige Patterns'!$B$4*E627</f>
        <v>10340</v>
      </c>
      <c r="P627">
        <f t="shared" si="3"/>
        <v>65536</v>
      </c>
      <c r="Q627" s="5"/>
      <c r="R627" s="5"/>
      <c r="S627" s="3">
        <v>626</v>
      </c>
      <c r="T627" s="5"/>
    </row>
    <row r="628" spans="1:20" ht="12">
      <c r="A628" s="1"/>
      <c r="B628" s="1"/>
      <c r="C628" s="2">
        <f>(S628*'Prestige Patterns'!$B$20)/60</f>
        <v>313.5</v>
      </c>
      <c r="D628" s="2">
        <f>IF(L627=L628,N627*'Prestige Patterns'!$B$20+D627-F628,0)</f>
        <v>119805940843446.8</v>
      </c>
      <c r="E628" s="3">
        <f t="shared" si="1"/>
        <v>575</v>
      </c>
      <c r="F628" s="8">
        <f>'Prestige Patterns'!$B$5*('Prestige Patterns'!$B$6^E627-'Prestige Patterns'!$B$6^(E627+G628))/(1-'Prestige Patterns'!$B$6)</f>
        <v>114951859168823.64</v>
      </c>
      <c r="G628" s="8">
        <f>FLOOR(LOG('Prestige Patterns'!$B$6^(E627) - (D627*(1-'Prestige Patterns'!$B$6)/'Prestige Patterns'!$B$5),'Prestige Patterns'!$B$6)-E627,1)</f>
        <v>58</v>
      </c>
      <c r="H628">
        <f t="shared" si="2"/>
        <v>584840</v>
      </c>
      <c r="I628" s="5">
        <f>1+H628*'Prestige Patterns'!$B$25</f>
        <v>5849.4000000000005</v>
      </c>
      <c r="J628">
        <f>FLOOR((K628/'Prestige Patterns'!$B$22)^'Prestige Patterns'!$B$23,1)-H627</f>
        <v>10514</v>
      </c>
      <c r="K628" s="8">
        <f>K627+N627*'Prestige Patterns'!$B$20</f>
        <v>3.5444647401795596E+16</v>
      </c>
      <c r="L628" s="2">
        <f>IF(J627&gt;='Prestige Patterns'!$B$28,IF(J627/(H627+1)&gt;('Prestige Patterns'!$B$27+1),L627+1,L627),L627)</f>
        <v>11</v>
      </c>
      <c r="N628">
        <f t="shared" si="0"/>
        <v>4408482201600</v>
      </c>
      <c r="O628" s="3">
        <f>'Prestige Patterns'!$B$4*E628</f>
        <v>11500</v>
      </c>
      <c r="P628">
        <f t="shared" si="3"/>
        <v>65536</v>
      </c>
      <c r="Q628" s="5"/>
      <c r="R628" s="5"/>
      <c r="S628" s="3">
        <v>627</v>
      </c>
      <c r="T628" s="5"/>
    </row>
    <row r="629" spans="1:20" ht="12">
      <c r="A629" s="1"/>
      <c r="B629" s="1"/>
      <c r="C629" s="2">
        <f>(S629*'Prestige Patterns'!$B$20)/60</f>
        <v>314</v>
      </c>
      <c r="D629" s="2">
        <f>IF(L628=L629,N628*'Prestige Patterns'!$B$20+D628-F629,0)</f>
        <v>132349777375406.02</v>
      </c>
      <c r="E629" s="3">
        <f t="shared" si="1"/>
        <v>589</v>
      </c>
      <c r="F629" s="8">
        <f>'Prestige Patterns'!$B$5*('Prestige Patterns'!$B$6^E628-'Prestige Patterns'!$B$6^(E628+G629))/(1-'Prestige Patterns'!$B$6)</f>
        <v>119710629516040.8</v>
      </c>
      <c r="G629" s="8">
        <f>FLOOR(LOG('Prestige Patterns'!$B$6^(E628) - (D628*(1-'Prestige Patterns'!$B$6)/'Prestige Patterns'!$B$5),'Prestige Patterns'!$B$6)-E628,1)</f>
        <v>14</v>
      </c>
      <c r="H629">
        <f t="shared" si="2"/>
        <v>584840</v>
      </c>
      <c r="I629" s="5">
        <f>1+H629*'Prestige Patterns'!$B$25</f>
        <v>5849.4000000000005</v>
      </c>
      <c r="J629">
        <f>FLOOR((K629/'Prestige Patterns'!$B$22)^'Prestige Patterns'!$B$23,1)-H628</f>
        <v>11623</v>
      </c>
      <c r="K629" s="8">
        <f>K628+N628*'Prestige Patterns'!$B$20</f>
        <v>3.5576901867843596E+16</v>
      </c>
      <c r="L629" s="2">
        <f>IF(J628&gt;='Prestige Patterns'!$B$28,IF(J628/(H628+1)&gt;('Prestige Patterns'!$B$27+1),L628+1,L628),L628)</f>
        <v>11</v>
      </c>
      <c r="N629">
        <f t="shared" si="0"/>
        <v>4515819159552</v>
      </c>
      <c r="O629" s="3">
        <f>'Prestige Patterns'!$B$4*E629</f>
        <v>11780</v>
      </c>
      <c r="P629">
        <f t="shared" si="3"/>
        <v>65536</v>
      </c>
      <c r="Q629" s="5"/>
      <c r="R629" s="5"/>
      <c r="S629" s="3">
        <v>628</v>
      </c>
      <c r="T629" s="5"/>
    </row>
    <row r="630" spans="1:20" ht="12">
      <c r="A630" s="1"/>
      <c r="B630" s="1"/>
      <c r="C630" s="2">
        <f>(S630*'Prestige Patterns'!$B$20)/60</f>
        <v>314.5</v>
      </c>
      <c r="D630" s="2">
        <f>IF(L629=L630,N629*'Prestige Patterns'!$B$20+D629-F630,0)</f>
        <v>152340838641711.38</v>
      </c>
      <c r="E630" s="3">
        <f t="shared" si="1"/>
        <v>597</v>
      </c>
      <c r="F630" s="8">
        <f>'Prestige Patterns'!$B$5*('Prestige Patterns'!$B$6^E629-'Prestige Patterns'!$B$6^(E629+G630))/(1-'Prestige Patterns'!$B$6)</f>
        <v>115483513520254.62</v>
      </c>
      <c r="G630" s="8">
        <f>FLOOR(LOG('Prestige Patterns'!$B$6^(E629) - (D629*(1-'Prestige Patterns'!$B$6)/'Prestige Patterns'!$B$5),'Prestige Patterns'!$B$6)-E629,1)</f>
        <v>8</v>
      </c>
      <c r="H630">
        <f t="shared" si="2"/>
        <v>584840</v>
      </c>
      <c r="I630" s="5">
        <f>1+H630*'Prestige Patterns'!$B$25</f>
        <v>5849.4000000000005</v>
      </c>
      <c r="J630">
        <f>FLOOR((K630/'Prestige Patterns'!$B$22)^'Prestige Patterns'!$B$23,1)-H629</f>
        <v>12758</v>
      </c>
      <c r="K630" s="8">
        <f>K629+N629*'Prestige Patterns'!$B$20</f>
        <v>3.5712376442630156E+16</v>
      </c>
      <c r="L630" s="2">
        <f>IF(J629&gt;='Prestige Patterns'!$B$28,IF(J629/(H629+1)&gt;('Prestige Patterns'!$B$27+1),L629+1,L629),L629)</f>
        <v>11</v>
      </c>
      <c r="N630">
        <f t="shared" si="0"/>
        <v>4577154564096</v>
      </c>
      <c r="O630" s="3">
        <f>'Prestige Patterns'!$B$4*E630</f>
        <v>11940</v>
      </c>
      <c r="P630">
        <f t="shared" si="3"/>
        <v>65536</v>
      </c>
      <c r="Q630" s="5"/>
      <c r="R630" s="5"/>
      <c r="S630" s="3">
        <v>629</v>
      </c>
      <c r="T630" s="5"/>
    </row>
    <row r="631" spans="1:20" ht="12">
      <c r="A631" s="1"/>
      <c r="B631" s="1"/>
      <c r="C631" s="2">
        <f>(S631*'Prestige Patterns'!$B$20)/60</f>
        <v>315</v>
      </c>
      <c r="D631" s="2">
        <f>IF(L630=L631,N630*'Prestige Patterns'!$B$20+D630-F631,0)</f>
        <v>144175545028936.75</v>
      </c>
      <c r="E631" s="3">
        <f t="shared" si="1"/>
        <v>604</v>
      </c>
      <c r="F631" s="8">
        <f>'Prestige Patterns'!$B$5*('Prestige Patterns'!$B$6^E630-'Prestige Patterns'!$B$6^(E630+G631))/(1-'Prestige Patterns'!$B$6)</f>
        <v>145479930535654.62</v>
      </c>
      <c r="G631" s="8">
        <f>FLOOR(LOG('Prestige Patterns'!$B$6^(E630) - (D630*(1-'Prestige Patterns'!$B$6)/'Prestige Patterns'!$B$5),'Prestige Patterns'!$B$6)-E630,1)</f>
        <v>7</v>
      </c>
      <c r="H631">
        <f t="shared" si="2"/>
        <v>584840</v>
      </c>
      <c r="I631" s="5">
        <f>1+H631*'Prestige Patterns'!$B$25</f>
        <v>5849.4000000000005</v>
      </c>
      <c r="J631">
        <f>FLOOR((K631/'Prestige Patterns'!$B$22)^'Prestige Patterns'!$B$23,1)-H630</f>
        <v>13906</v>
      </c>
      <c r="K631" s="8">
        <f>K630+N630*'Prestige Patterns'!$B$20</f>
        <v>3.5849691079553036E+16</v>
      </c>
      <c r="L631" s="2">
        <f>IF(J630&gt;='Prestige Patterns'!$B$28,IF(J630/(H630+1)&gt;('Prestige Patterns'!$B$27+1),L630+1,L630),L630)</f>
        <v>11</v>
      </c>
      <c r="N631">
        <f t="shared" si="0"/>
        <v>74093168689152</v>
      </c>
      <c r="O631" s="3">
        <f>'Prestige Patterns'!$B$4*E631</f>
        <v>12080</v>
      </c>
      <c r="P631">
        <f t="shared" si="3"/>
        <v>1048576</v>
      </c>
      <c r="Q631" s="5"/>
      <c r="R631" s="5"/>
      <c r="S631" s="3">
        <v>630</v>
      </c>
      <c r="T631" s="5"/>
    </row>
    <row r="632" spans="1:20" ht="12">
      <c r="A632" s="1"/>
      <c r="B632" s="1"/>
      <c r="C632" s="2">
        <f>(S632*'Prestige Patterns'!$B$20)/60</f>
        <v>315.5</v>
      </c>
      <c r="D632" s="2">
        <f>IF(L631=L632,N631*'Prestige Patterns'!$B$20+D631-F632,0)</f>
        <v>2228046206048061</v>
      </c>
      <c r="E632" s="3">
        <f t="shared" si="1"/>
        <v>609</v>
      </c>
      <c r="F632" s="8">
        <f>'Prestige Patterns'!$B$5*('Prestige Patterns'!$B$6^E631-'Prestige Patterns'!$B$6^(E631+G632))/(1-'Prestige Patterns'!$B$6)</f>
        <v>138924399655436.05</v>
      </c>
      <c r="G632" s="8">
        <f>FLOOR(LOG('Prestige Patterns'!$B$6^(E631) - (D631*(1-'Prestige Patterns'!$B$6)/'Prestige Patterns'!$B$5),'Prestige Patterns'!$B$6)-E631,1)</f>
        <v>5</v>
      </c>
      <c r="H632">
        <f t="shared" si="2"/>
        <v>584840</v>
      </c>
      <c r="I632" s="5">
        <f>1+H632*'Prestige Patterns'!$B$25</f>
        <v>5849.4000000000005</v>
      </c>
      <c r="J632">
        <f>FLOOR((K632/'Prestige Patterns'!$B$22)^'Prestige Patterns'!$B$23,1)-H631</f>
        <v>32189</v>
      </c>
      <c r="K632" s="8">
        <f>K631+N631*'Prestige Patterns'!$B$20</f>
        <v>3.80724861402276E+16</v>
      </c>
      <c r="L632" s="2">
        <f>IF(J631&gt;='Prestige Patterns'!$B$28,IF(J631/(H631+1)&gt;('Prestige Patterns'!$B$27+1),L631+1,L631),L631)</f>
        <v>11</v>
      </c>
      <c r="N632">
        <f t="shared" si="0"/>
        <v>74706522734592</v>
      </c>
      <c r="O632" s="3">
        <f>'Prestige Patterns'!$B$4*E632</f>
        <v>12180</v>
      </c>
      <c r="P632">
        <f t="shared" si="3"/>
        <v>1048576</v>
      </c>
      <c r="Q632" s="5"/>
      <c r="R632" s="5"/>
      <c r="S632" s="3">
        <v>631</v>
      </c>
      <c r="T632" s="5"/>
    </row>
    <row r="633" spans="1:20" ht="12">
      <c r="A633" s="1"/>
      <c r="B633" s="1"/>
      <c r="C633" s="2">
        <f>(S633*'Prestige Patterns'!$B$20)/60</f>
        <v>316</v>
      </c>
      <c r="D633" s="2">
        <f>IF(L632=L633,N632*'Prestige Patterns'!$B$20+D632-F633,0)</f>
        <v>2337349813053495.5</v>
      </c>
      <c r="E633" s="3">
        <f t="shared" si="1"/>
        <v>639</v>
      </c>
      <c r="F633" s="8">
        <f>'Prestige Patterns'!$B$5*('Prestige Patterns'!$B$6^E632-'Prestige Patterns'!$B$6^(E632+G633))/(1-'Prestige Patterns'!$B$6)</f>
        <v>2131892075032325.5</v>
      </c>
      <c r="G633" s="8">
        <f>FLOOR(LOG('Prestige Patterns'!$B$6^(E632) - (D632*(1-'Prestige Patterns'!$B$6)/'Prestige Patterns'!$B$5),'Prestige Patterns'!$B$6)-E632,1)</f>
        <v>30</v>
      </c>
      <c r="H633">
        <f t="shared" si="2"/>
        <v>584840</v>
      </c>
      <c r="I633" s="5">
        <f>1+H633*'Prestige Patterns'!$B$25</f>
        <v>5849.4000000000005</v>
      </c>
      <c r="J633">
        <f>FLOOR((K633/'Prestige Patterns'!$B$22)^'Prestige Patterns'!$B$23,1)-H632</f>
        <v>50090</v>
      </c>
      <c r="K633" s="8">
        <f>K632+N632*'Prestige Patterns'!$B$20</f>
        <v>4.031368182226536E+16</v>
      </c>
      <c r="L633" s="2">
        <f>IF(J632&gt;='Prestige Patterns'!$B$28,IF(J632/(H632+1)&gt;('Prestige Patterns'!$B$27+1),L632+1,L632),L632)</f>
        <v>11</v>
      </c>
      <c r="N633">
        <f t="shared" si="0"/>
        <v>78386647007232</v>
      </c>
      <c r="O633" s="3">
        <f>'Prestige Patterns'!$B$4*E633</f>
        <v>12780</v>
      </c>
      <c r="P633">
        <f t="shared" si="3"/>
        <v>1048576</v>
      </c>
      <c r="Q633" s="5"/>
      <c r="R633" s="5"/>
      <c r="S633" s="3">
        <v>632</v>
      </c>
      <c r="T633" s="5"/>
    </row>
    <row r="634" spans="1:20" ht="12">
      <c r="A634" s="1"/>
      <c r="B634" s="1"/>
      <c r="C634" s="2">
        <f>(S634*'Prestige Patterns'!$B$20)/60</f>
        <v>316.5</v>
      </c>
      <c r="D634" s="2">
        <f>IF(L633=L634,N633*'Prestige Patterns'!$B$20+D633-F634,0)</f>
        <v>2481520113437779</v>
      </c>
      <c r="E634" s="3">
        <f t="shared" si="1"/>
        <v>651</v>
      </c>
      <c r="F634" s="8">
        <f>'Prestige Patterns'!$B$5*('Prestige Patterns'!$B$6^E633-'Prestige Patterns'!$B$6^(E633+G634))/(1-'Prestige Patterns'!$B$6)</f>
        <v>2207429109832676.8</v>
      </c>
      <c r="G634" s="8">
        <f>FLOOR(LOG('Prestige Patterns'!$B$6^(E633) - (D633*(1-'Prestige Patterns'!$B$6)/'Prestige Patterns'!$B$5),'Prestige Patterns'!$B$6)-E633,1)</f>
        <v>12</v>
      </c>
      <c r="H634">
        <f t="shared" si="2"/>
        <v>584840</v>
      </c>
      <c r="I634" s="5">
        <f>1+H634*'Prestige Patterns'!$B$25</f>
        <v>5849.4000000000005</v>
      </c>
      <c r="J634">
        <f>FLOOR((K634/'Prestige Patterns'!$B$22)^'Prestige Patterns'!$B$23,1)-H633</f>
        <v>68346</v>
      </c>
      <c r="K634" s="8">
        <f>K633+N633*'Prestige Patterns'!$B$20</f>
        <v>4.266528123248232E+16</v>
      </c>
      <c r="L634" s="2">
        <f>IF(J633&gt;='Prestige Patterns'!$B$28,IF(J633/(H633+1)&gt;('Prestige Patterns'!$B$27+1),L633+1,L633),L633)</f>
        <v>11</v>
      </c>
      <c r="N634">
        <f t="shared" si="0"/>
        <v>79858696716288</v>
      </c>
      <c r="O634" s="3">
        <f>'Prestige Patterns'!$B$4*E634</f>
        <v>13020</v>
      </c>
      <c r="P634">
        <f t="shared" si="3"/>
        <v>1048576</v>
      </c>
      <c r="Q634" s="5"/>
      <c r="R634" s="5"/>
      <c r="S634" s="3">
        <v>633</v>
      </c>
      <c r="T634" s="5"/>
    </row>
    <row r="635" spans="1:20" ht="12">
      <c r="A635" s="1"/>
      <c r="B635" s="1"/>
      <c r="C635" s="2">
        <f>(S635*'Prestige Patterns'!$B$20)/60</f>
        <v>317</v>
      </c>
      <c r="D635" s="2">
        <f>IF(L634=L635,N634*'Prestige Patterns'!$B$20+D634-F635,0)</f>
        <v>2499036351458111</v>
      </c>
      <c r="E635" s="3">
        <f t="shared" si="1"/>
        <v>659</v>
      </c>
      <c r="F635" s="8">
        <f>'Prestige Patterns'!$B$5*('Prestige Patterns'!$B$6^E634-'Prestige Patterns'!$B$6^(E634+G635))/(1-'Prestige Patterns'!$B$6)</f>
        <v>2378244663468308</v>
      </c>
      <c r="G635" s="8">
        <f>FLOOR(LOG('Prestige Patterns'!$B$6^(E634) - (D634*(1-'Prestige Patterns'!$B$6)/'Prestige Patterns'!$B$5),'Prestige Patterns'!$B$6)-E634,1)</f>
        <v>8</v>
      </c>
      <c r="H635">
        <f t="shared" si="2"/>
        <v>584840</v>
      </c>
      <c r="I635" s="5">
        <f>1+H635*'Prestige Patterns'!$B$25</f>
        <v>5849.4000000000005</v>
      </c>
      <c r="J635">
        <f>FLOOR((K635/'Prestige Patterns'!$B$22)^'Prestige Patterns'!$B$23,1)-H634</f>
        <v>86435</v>
      </c>
      <c r="K635" s="8">
        <f>K634+N634*'Prestige Patterns'!$B$20</f>
        <v>4.506104213397096E+16</v>
      </c>
      <c r="L635" s="2">
        <f>IF(J634&gt;='Prestige Patterns'!$B$28,IF(J634/(H634+1)&gt;('Prestige Patterns'!$B$27+1),L634+1,L634),L634)</f>
        <v>11</v>
      </c>
      <c r="N635">
        <f t="shared" si="0"/>
        <v>80840063188992</v>
      </c>
      <c r="O635" s="3">
        <f>'Prestige Patterns'!$B$4*E635</f>
        <v>13180</v>
      </c>
      <c r="P635">
        <f t="shared" si="3"/>
        <v>1048576</v>
      </c>
      <c r="Q635" s="5"/>
      <c r="R635" s="5"/>
      <c r="S635" s="3">
        <v>634</v>
      </c>
      <c r="T635" s="5"/>
    </row>
    <row r="636" spans="1:20" ht="12">
      <c r="A636" s="1"/>
      <c r="B636" s="1"/>
      <c r="C636" s="2">
        <f>(S636*'Prestige Patterns'!$B$20)/60</f>
        <v>317.5</v>
      </c>
      <c r="D636" s="2">
        <f>IF(L635=L636,N635*'Prestige Patterns'!$B$20+D635-F636,0)</f>
        <v>2890992008492093</v>
      </c>
      <c r="E636" s="3">
        <f t="shared" si="1"/>
        <v>664</v>
      </c>
      <c r="F636" s="8">
        <f>'Prestige Patterns'!$B$5*('Prestige Patterns'!$B$6^E635-'Prestige Patterns'!$B$6^(E635+G636))/(1-'Prestige Patterns'!$B$6)</f>
        <v>2033246238635778.2</v>
      </c>
      <c r="G636" s="8">
        <f>FLOOR(LOG('Prestige Patterns'!$B$6^(E635) - (D635*(1-'Prestige Patterns'!$B$6)/'Prestige Patterns'!$B$5),'Prestige Patterns'!$B$6)-E635,1)</f>
        <v>5</v>
      </c>
      <c r="H636">
        <f t="shared" si="2"/>
        <v>584840</v>
      </c>
      <c r="I636" s="5">
        <f>1+H636*'Prestige Patterns'!$B$25</f>
        <v>5849.4000000000005</v>
      </c>
      <c r="J636">
        <f>FLOOR((K636/'Prestige Patterns'!$B$22)^'Prestige Patterns'!$B$23,1)-H635</f>
        <v>104262</v>
      </c>
      <c r="K636" s="8">
        <f>K635+N635*'Prestige Patterns'!$B$20</f>
        <v>4.748624402964072E+16</v>
      </c>
      <c r="L636" s="2">
        <f>IF(J635&gt;='Prestige Patterns'!$B$28,IF(J635/(H635+1)&gt;('Prestige Patterns'!$B$27+1),L635+1,L635),L635)</f>
        <v>11</v>
      </c>
      <c r="N636">
        <f t="shared" si="0"/>
        <v>81453417234432</v>
      </c>
      <c r="O636" s="3">
        <f>'Prestige Patterns'!$B$4*E636</f>
        <v>13280</v>
      </c>
      <c r="P636">
        <f t="shared" si="3"/>
        <v>1048576</v>
      </c>
      <c r="Q636" s="5"/>
      <c r="R636" s="5"/>
      <c r="S636" s="3">
        <v>635</v>
      </c>
      <c r="T636" s="5"/>
    </row>
    <row r="637" spans="1:20" ht="12">
      <c r="A637" s="1"/>
      <c r="B637" s="1"/>
      <c r="C637" s="2">
        <f>(S637*'Prestige Patterns'!$B$20)/60</f>
        <v>318</v>
      </c>
      <c r="D637" s="2">
        <f>IF(L636=L637,N636*'Prestige Patterns'!$B$20+D636-F637,0)</f>
        <v>2739599839131730.5</v>
      </c>
      <c r="E637" s="3">
        <f t="shared" si="1"/>
        <v>669</v>
      </c>
      <c r="F637" s="8">
        <f>'Prestige Patterns'!$B$5*('Prestige Patterns'!$B$6^E636-'Prestige Patterns'!$B$6^(E636+G637))/(1-'Prestige Patterns'!$B$6)</f>
        <v>2594994686393322.5</v>
      </c>
      <c r="G637" s="8">
        <f>FLOOR(LOG('Prestige Patterns'!$B$6^(E636) - (D636*(1-'Prestige Patterns'!$B$6)/'Prestige Patterns'!$B$5),'Prestige Patterns'!$B$6)-E636,1)</f>
        <v>5</v>
      </c>
      <c r="H637">
        <f t="shared" si="2"/>
        <v>584840</v>
      </c>
      <c r="I637" s="5">
        <f>1+H637*'Prestige Patterns'!$B$25</f>
        <v>5849.4000000000005</v>
      </c>
      <c r="J637">
        <f>FLOOR((K637/'Prestige Patterns'!$B$22)^'Prestige Patterns'!$B$23,1)-H636</f>
        <v>121770</v>
      </c>
      <c r="K637" s="8">
        <f>K636+N636*'Prestige Patterns'!$B$20</f>
        <v>4.992984654667368E+16</v>
      </c>
      <c r="L637" s="2">
        <f>IF(J636&gt;='Prestige Patterns'!$B$28,IF(J636/(H636+1)&gt;('Prestige Patterns'!$B$27+1),L636+1,L636),L636)</f>
        <v>11</v>
      </c>
      <c r="N637">
        <f t="shared" si="0"/>
        <v>82066771279872</v>
      </c>
      <c r="O637" s="3">
        <f>'Prestige Patterns'!$B$4*E637</f>
        <v>13380</v>
      </c>
      <c r="P637">
        <f t="shared" si="3"/>
        <v>1048576</v>
      </c>
      <c r="Q637" s="5"/>
      <c r="R637" s="5"/>
      <c r="S637" s="3">
        <v>636</v>
      </c>
      <c r="T637" s="5"/>
    </row>
    <row r="638" spans="1:20" ht="12">
      <c r="A638" s="1"/>
      <c r="B638" s="1"/>
      <c r="C638" s="2">
        <f>(S638*'Prestige Patterns'!$B$20)/60</f>
        <v>318.5</v>
      </c>
      <c r="D638" s="2">
        <f>IF(L637=L638,N637*'Prestige Patterns'!$B$20+D637-F638,0)</f>
        <v>2618207264008232.5</v>
      </c>
      <c r="E638" s="3">
        <f t="shared" si="1"/>
        <v>673</v>
      </c>
      <c r="F638" s="8">
        <f>'Prestige Patterns'!$B$5*('Prestige Patterns'!$B$6^E637-'Prestige Patterns'!$B$6^(E637+G638))/(1-'Prestige Patterns'!$B$6)</f>
        <v>2583395713519657.5</v>
      </c>
      <c r="G638" s="8">
        <f>FLOOR(LOG('Prestige Patterns'!$B$6^(E637) - (D637*(1-'Prestige Patterns'!$B$6)/'Prestige Patterns'!$B$5),'Prestige Patterns'!$B$6)-E637,1)</f>
        <v>4</v>
      </c>
      <c r="H638">
        <f t="shared" si="2"/>
        <v>584840</v>
      </c>
      <c r="I638" s="5">
        <f>1+H638*'Prestige Patterns'!$B$25</f>
        <v>5849.4000000000005</v>
      </c>
      <c r="J638">
        <f>FLOOR((K638/'Prestige Patterns'!$B$22)^'Prestige Patterns'!$B$23,1)-H637</f>
        <v>138982</v>
      </c>
      <c r="K638" s="8">
        <f>K637+N637*'Prestige Patterns'!$B$20</f>
        <v>5.239184968506984E+16</v>
      </c>
      <c r="L638" s="2">
        <f>IF(J637&gt;='Prestige Patterns'!$B$28,IF(J637/(H637+1)&gt;('Prestige Patterns'!$B$27+1),L637+1,L637),L637)</f>
        <v>11</v>
      </c>
      <c r="N638">
        <f t="shared" si="0"/>
        <v>82557454516224</v>
      </c>
      <c r="O638" s="3">
        <f>'Prestige Patterns'!$B$4*E638</f>
        <v>13460</v>
      </c>
      <c r="P638">
        <f t="shared" si="3"/>
        <v>1048576</v>
      </c>
      <c r="Q638" s="5"/>
      <c r="R638" s="5"/>
      <c r="S638" s="3">
        <v>637</v>
      </c>
      <c r="T638" s="5"/>
    </row>
    <row r="639" spans="1:20" ht="12">
      <c r="A639" s="1"/>
      <c r="B639" s="1"/>
      <c r="C639" s="2">
        <f>(S639*'Prestige Patterns'!$B$20)/60</f>
        <v>319</v>
      </c>
      <c r="D639" s="2">
        <f>IF(L638=L639,N638*'Prestige Patterns'!$B$20+D638-F639,0)</f>
        <v>2798182826640914</v>
      </c>
      <c r="E639" s="3">
        <f t="shared" si="1"/>
        <v>676</v>
      </c>
      <c r="F639" s="8">
        <f>'Prestige Patterns'!$B$5*('Prestige Patterns'!$B$6^E638-'Prestige Patterns'!$B$6^(E638+G639))/(1-'Prestige Patterns'!$B$6)</f>
        <v>2296748072854038</v>
      </c>
      <c r="G639" s="8">
        <f>FLOOR(LOG('Prestige Patterns'!$B$6^(E638) - (D638*(1-'Prestige Patterns'!$B$6)/'Prestige Patterns'!$B$5),'Prestige Patterns'!$B$6)-E638,1)</f>
        <v>3</v>
      </c>
      <c r="H639">
        <f t="shared" si="2"/>
        <v>584840</v>
      </c>
      <c r="I639" s="5">
        <f>1+H639*'Prestige Patterns'!$B$25</f>
        <v>5849.4000000000005</v>
      </c>
      <c r="J639">
        <f>FLOOR((K639/'Prestige Patterns'!$B$22)^'Prestige Patterns'!$B$23,1)-H638</f>
        <v>155893</v>
      </c>
      <c r="K639" s="8">
        <f>K638+N638*'Prestige Patterns'!$B$20</f>
        <v>5.486857332055656E+16</v>
      </c>
      <c r="L639" s="2">
        <f>IF(J638&gt;='Prestige Patterns'!$B$28,IF(J638/(H638+1)&gt;('Prestige Patterns'!$B$27+1),L638+1,L638),L638)</f>
        <v>11</v>
      </c>
      <c r="N639">
        <f t="shared" si="0"/>
        <v>82925466943488</v>
      </c>
      <c r="O639" s="3">
        <f>'Prestige Patterns'!$B$4*E639</f>
        <v>13520</v>
      </c>
      <c r="P639">
        <f t="shared" si="3"/>
        <v>1048576</v>
      </c>
      <c r="Q639" s="5"/>
      <c r="R639" s="5"/>
      <c r="S639" s="3">
        <v>638</v>
      </c>
      <c r="T639" s="5"/>
    </row>
    <row r="640" spans="1:20" ht="12">
      <c r="A640" s="1"/>
      <c r="B640" s="1"/>
      <c r="C640" s="2">
        <f>(S640*'Prestige Patterns'!$B$20)/60</f>
        <v>319.5</v>
      </c>
      <c r="D640" s="2">
        <f>IF(L639=L640,N639*'Prestige Patterns'!$B$20+D639-F640,0)</f>
        <v>2627173847107891.5</v>
      </c>
      <c r="E640" s="3">
        <f t="shared" si="1"/>
        <v>679</v>
      </c>
      <c r="F640" s="8">
        <f>'Prestige Patterns'!$B$5*('Prestige Patterns'!$B$6^E639-'Prestige Patterns'!$B$6^(E639+G640))/(1-'Prestige Patterns'!$B$6)</f>
        <v>2658772987837662.5</v>
      </c>
      <c r="G640" s="8">
        <f>FLOOR(LOG('Prestige Patterns'!$B$6^(E639) - (D639*(1-'Prestige Patterns'!$B$6)/'Prestige Patterns'!$B$5),'Prestige Patterns'!$B$6)-E639,1)</f>
        <v>3</v>
      </c>
      <c r="H640">
        <f t="shared" si="2"/>
        <v>584840</v>
      </c>
      <c r="I640" s="5">
        <f>1+H640*'Prestige Patterns'!$B$25</f>
        <v>5849.4000000000005</v>
      </c>
      <c r="J640">
        <f>FLOOR((K640/'Prestige Patterns'!$B$22)^'Prestige Patterns'!$B$23,1)-H639</f>
        <v>172499</v>
      </c>
      <c r="K640" s="8">
        <f>K639+N639*'Prestige Patterns'!$B$20</f>
        <v>5.73563373288612E+16</v>
      </c>
      <c r="L640" s="2">
        <f>IF(J639&gt;='Prestige Patterns'!$B$28,IF(J639/(H639+1)&gt;('Prestige Patterns'!$B$27+1),L639+1,L639),L639)</f>
        <v>11</v>
      </c>
      <c r="N640">
        <f t="shared" si="0"/>
        <v>83293479370752</v>
      </c>
      <c r="O640" s="3">
        <f>'Prestige Patterns'!$B$4*E640</f>
        <v>13580</v>
      </c>
      <c r="P640">
        <f t="shared" si="3"/>
        <v>1048576</v>
      </c>
      <c r="Q640" s="5"/>
      <c r="R640" s="5"/>
      <c r="S640" s="3">
        <v>639</v>
      </c>
      <c r="T640" s="5"/>
    </row>
    <row r="641" spans="1:20" ht="12">
      <c r="A641" s="1"/>
      <c r="B641" s="1"/>
      <c r="C641" s="2">
        <f>(S641*'Prestige Patterns'!$B$20)/60</f>
        <v>320</v>
      </c>
      <c r="D641" s="2">
        <f>IF(L640=L641,N640*'Prestige Patterns'!$B$20+D640-F641,0)</f>
        <v>3124513592514856</v>
      </c>
      <c r="E641" s="3">
        <f t="shared" si="1"/>
        <v>681</v>
      </c>
      <c r="F641" s="8">
        <f>'Prestige Patterns'!$B$5*('Prestige Patterns'!$B$6^E640-'Prestige Patterns'!$B$6^(E640+G641))/(1-'Prestige Patterns'!$B$6)</f>
        <v>2001464635715595.8</v>
      </c>
      <c r="G641" s="8">
        <f>FLOOR(LOG('Prestige Patterns'!$B$6^(E640) - (D640*(1-'Prestige Patterns'!$B$6)/'Prestige Patterns'!$B$5),'Prestige Patterns'!$B$6)-E640,1)</f>
        <v>2</v>
      </c>
      <c r="H641">
        <f t="shared" si="2"/>
        <v>584840</v>
      </c>
      <c r="I641" s="5">
        <f>1+H641*'Prestige Patterns'!$B$25</f>
        <v>5849.4000000000005</v>
      </c>
      <c r="J641">
        <f>FLOOR((K641/'Prestige Patterns'!$B$22)^'Prestige Patterns'!$B$23,1)-H640</f>
        <v>188821</v>
      </c>
      <c r="K641" s="8">
        <f>K640+N640*'Prestige Patterns'!$B$20</f>
        <v>5.985514170998376E+16</v>
      </c>
      <c r="L641" s="2">
        <f>IF(J640&gt;='Prestige Patterns'!$B$28,IF(J640/(H640+1)&gt;('Prestige Patterns'!$B$27+1),L640+1,L640),L640)</f>
        <v>11</v>
      </c>
      <c r="N641">
        <f t="shared" si="0"/>
        <v>83538820988928</v>
      </c>
      <c r="O641" s="3">
        <f>'Prestige Patterns'!$B$4*E641</f>
        <v>13620</v>
      </c>
      <c r="P641">
        <f t="shared" si="3"/>
        <v>1048576</v>
      </c>
      <c r="Q641" s="5"/>
      <c r="R641" s="5"/>
      <c r="S641" s="3">
        <v>640</v>
      </c>
      <c r="T641" s="5"/>
    </row>
    <row r="642" spans="1:20" ht="12">
      <c r="A642" s="1"/>
      <c r="B642" s="1"/>
      <c r="C642" s="2">
        <f>(S642*'Prestige Patterns'!$B$20)/60</f>
        <v>320.5</v>
      </c>
      <c r="D642" s="2">
        <f>IF(L641=L642,N641*'Prestige Patterns'!$B$20+D641-F642,0)</f>
        <v>3424063461306250.5</v>
      </c>
      <c r="E642" s="3">
        <f t="shared" si="1"/>
        <v>683</v>
      </c>
      <c r="F642" s="8">
        <f>'Prestige Patterns'!$B$5*('Prestige Patterns'!$B$6^E641-'Prestige Patterns'!$B$6^(E641+G642))/(1-'Prestige Patterns'!$B$6)</f>
        <v>2206614760876445.5</v>
      </c>
      <c r="G642" s="8">
        <f>FLOOR(LOG('Prestige Patterns'!$B$6^(E641) - (D641*(1-'Prestige Patterns'!$B$6)/'Prestige Patterns'!$B$5),'Prestige Patterns'!$B$6)-E641,1)</f>
        <v>2</v>
      </c>
      <c r="H642">
        <f t="shared" si="2"/>
        <v>584840</v>
      </c>
      <c r="I642" s="5">
        <f>1+H642*'Prestige Patterns'!$B$25</f>
        <v>5849.4000000000005</v>
      </c>
      <c r="J642">
        <f>FLOOR((K642/'Prestige Patterns'!$B$22)^'Prestige Patterns'!$B$23,1)-H641</f>
        <v>204851</v>
      </c>
      <c r="K642" s="8">
        <f>K641+N641*'Prestige Patterns'!$B$20</f>
        <v>6.23613063396516E+16</v>
      </c>
      <c r="L642" s="2">
        <f>IF(J641&gt;='Prestige Patterns'!$B$28,IF(J641/(H641+1)&gt;('Prestige Patterns'!$B$27+1),L641+1,L641),L641)</f>
        <v>11</v>
      </c>
      <c r="N642">
        <f t="shared" si="0"/>
        <v>83784162607104.016</v>
      </c>
      <c r="O642" s="3">
        <f>'Prestige Patterns'!$B$4*E642</f>
        <v>13660</v>
      </c>
      <c r="P642">
        <f t="shared" si="3"/>
        <v>1048576</v>
      </c>
      <c r="Q642" s="5"/>
      <c r="R642" s="5"/>
      <c r="S642" s="3">
        <v>641</v>
      </c>
      <c r="T642" s="5"/>
    </row>
    <row r="643" spans="1:20" ht="12">
      <c r="A643" s="1"/>
      <c r="B643" s="1"/>
      <c r="C643" s="2">
        <f>(S643*'Prestige Patterns'!$B$20)/60</f>
        <v>321</v>
      </c>
      <c r="D643" s="2">
        <f>IF(L642=L643,N642*'Prestige Patterns'!$B$20+D642-F643,0)</f>
        <v>3504795565653083</v>
      </c>
      <c r="E643" s="3">
        <f t="shared" si="1"/>
        <v>685</v>
      </c>
      <c r="F643" s="8">
        <f>'Prestige Patterns'!$B$5*('Prestige Patterns'!$B$6^E642-'Prestige Patterns'!$B$6^(E642+G643))/(1-'Prestige Patterns'!$B$6)</f>
        <v>2432792773866288</v>
      </c>
      <c r="G643" s="8">
        <f>FLOOR(LOG('Prestige Patterns'!$B$6^(E642) - (D642*(1-'Prestige Patterns'!$B$6)/'Prestige Patterns'!$B$5),'Prestige Patterns'!$B$6)-E642,1)</f>
        <v>2</v>
      </c>
      <c r="H643">
        <f t="shared" si="2"/>
        <v>584840</v>
      </c>
      <c r="I643" s="5">
        <f>1+H643*'Prestige Patterns'!$B$25</f>
        <v>5849.4000000000005</v>
      </c>
      <c r="J643">
        <f>FLOOR((K643/'Prestige Patterns'!$B$22)^'Prestige Patterns'!$B$23,1)-H642</f>
        <v>220609</v>
      </c>
      <c r="K643" s="8">
        <f>K642+N642*'Prestige Patterns'!$B$20</f>
        <v>6.487483121786472E+16</v>
      </c>
      <c r="L643" s="2">
        <f>IF(J642&gt;='Prestige Patterns'!$B$28,IF(J642/(H642+1)&gt;('Prestige Patterns'!$B$27+1),L642+1,L642),L642)</f>
        <v>11</v>
      </c>
      <c r="N643">
        <f t="shared" si="0"/>
        <v>84029504225280.016</v>
      </c>
      <c r="O643" s="3">
        <f>'Prestige Patterns'!$B$4*E643</f>
        <v>13700</v>
      </c>
      <c r="P643">
        <f t="shared" si="3"/>
        <v>1048576</v>
      </c>
      <c r="Q643" s="5"/>
      <c r="R643" s="5"/>
      <c r="S643" s="3">
        <v>642</v>
      </c>
      <c r="T643" s="5"/>
    </row>
    <row r="644" spans="1:20" ht="12">
      <c r="A644" s="1"/>
      <c r="B644" s="1"/>
      <c r="C644" s="2">
        <f>(S644*'Prestige Patterns'!$B$20)/60</f>
        <v>321.5</v>
      </c>
      <c r="D644" s="2">
        <f>IF(L643=L644,N643*'Prestige Patterns'!$B$20+D643-F644,0)</f>
        <v>3343526659223911.5</v>
      </c>
      <c r="E644" s="3">
        <f t="shared" si="1"/>
        <v>687</v>
      </c>
      <c r="F644" s="8">
        <f>'Prestige Patterns'!$B$5*('Prestige Patterns'!$B$6^E643-'Prestige Patterns'!$B$6^(E643+G644))/(1-'Prestige Patterns'!$B$6)</f>
        <v>2682154033187572.5</v>
      </c>
      <c r="G644" s="8">
        <f>FLOOR(LOG('Prestige Patterns'!$B$6^(E643) - (D643*(1-'Prestige Patterns'!$B$6)/'Prestige Patterns'!$B$5),'Prestige Patterns'!$B$6)-E643,1)</f>
        <v>2</v>
      </c>
      <c r="H644">
        <f t="shared" si="2"/>
        <v>584840</v>
      </c>
      <c r="I644" s="5">
        <f>1+H644*'Prestige Patterns'!$B$25</f>
        <v>5849.4000000000005</v>
      </c>
      <c r="J644">
        <f>FLOOR((K644/'Prestige Patterns'!$B$22)^'Prestige Patterns'!$B$23,1)-H643</f>
        <v>236108</v>
      </c>
      <c r="K644" s="8">
        <f>K643+N643*'Prestige Patterns'!$B$20</f>
        <v>6.739571634462312E+16</v>
      </c>
      <c r="L644" s="2">
        <f>IF(J643&gt;='Prestige Patterns'!$B$28,IF(J643/(H643+1)&gt;('Prestige Patterns'!$B$27+1),L643+1,L643),L643)</f>
        <v>11</v>
      </c>
      <c r="N644">
        <f t="shared" si="0"/>
        <v>84274845843456.016</v>
      </c>
      <c r="O644" s="3">
        <f>'Prestige Patterns'!$B$4*E644</f>
        <v>13740</v>
      </c>
      <c r="P644">
        <f t="shared" si="3"/>
        <v>1048576</v>
      </c>
      <c r="Q644" s="5"/>
      <c r="R644" s="5"/>
      <c r="S644" s="3">
        <v>643</v>
      </c>
      <c r="T644" s="5"/>
    </row>
    <row r="645" spans="1:20" ht="12">
      <c r="A645" s="1"/>
      <c r="B645" s="1"/>
      <c r="C645" s="2">
        <f>(S645*'Prestige Patterns'!$B$20)/60</f>
        <v>322</v>
      </c>
      <c r="D645" s="2">
        <f>IF(L644=L645,N644*'Prestige Patterns'!$B$20+D644-F645,0)</f>
        <v>2914697212938284.5</v>
      </c>
      <c r="E645" s="3">
        <f t="shared" si="1"/>
        <v>689</v>
      </c>
      <c r="F645" s="8">
        <f>'Prestige Patterns'!$B$5*('Prestige Patterns'!$B$6^E644-'Prestige Patterns'!$B$6^(E644+G645))/(1-'Prestige Patterns'!$B$6)</f>
        <v>2957074821589307.5</v>
      </c>
      <c r="G645" s="8">
        <f>FLOOR(LOG('Prestige Patterns'!$B$6^(E644) - (D644*(1-'Prestige Patterns'!$B$6)/'Prestige Patterns'!$B$5),'Prestige Patterns'!$B$6)-E644,1)</f>
        <v>2</v>
      </c>
      <c r="H645">
        <f t="shared" si="2"/>
        <v>584840</v>
      </c>
      <c r="I645" s="5">
        <f>1+H645*'Prestige Patterns'!$B$25</f>
        <v>5849.4000000000005</v>
      </c>
      <c r="J645">
        <f>FLOOR((K645/'Prestige Patterns'!$B$22)^'Prestige Patterns'!$B$23,1)-H644</f>
        <v>251365</v>
      </c>
      <c r="K645" s="8">
        <f>K644+N644*'Prestige Patterns'!$B$20</f>
        <v>6.99239617199268E+16</v>
      </c>
      <c r="L645" s="2">
        <f>IF(J644&gt;='Prestige Patterns'!$B$28,IF(J644/(H644+1)&gt;('Prestige Patterns'!$B$27+1),L644+1,L644),L644)</f>
        <v>11</v>
      </c>
      <c r="N645">
        <f t="shared" si="0"/>
        <v>84520187461632.016</v>
      </c>
      <c r="O645" s="3">
        <f>'Prestige Patterns'!$B$4*E645</f>
        <v>13780</v>
      </c>
      <c r="P645">
        <f t="shared" si="3"/>
        <v>1048576</v>
      </c>
      <c r="Q645" s="5"/>
      <c r="R645" s="5"/>
      <c r="S645" s="3">
        <v>644</v>
      </c>
      <c r="T645" s="5"/>
    </row>
    <row r="646" spans="1:20" ht="12">
      <c r="A646" s="1"/>
      <c r="B646" s="1"/>
      <c r="C646" s="2">
        <f>(S646*'Prestige Patterns'!$B$20)/60</f>
        <v>322.5</v>
      </c>
      <c r="D646" s="2">
        <f>IF(L645=L646,N645*'Prestige Patterns'!$B$20+D645-F646,0)</f>
        <v>3859973572981291.5</v>
      </c>
      <c r="E646" s="3">
        <f t="shared" si="1"/>
        <v>690</v>
      </c>
      <c r="F646" s="8">
        <f>'Prestige Patterns'!$B$5*('Prestige Patterns'!$B$6^E645-'Prestige Patterns'!$B$6^(E645+G646))/(1-'Prestige Patterns'!$B$6)</f>
        <v>1590329263805953.5</v>
      </c>
      <c r="G646" s="8">
        <f>FLOOR(LOG('Prestige Patterns'!$B$6^(E645) - (D645*(1-'Prestige Patterns'!$B$6)/'Prestige Patterns'!$B$5),'Prestige Patterns'!$B$6)-E645,1)</f>
        <v>1</v>
      </c>
      <c r="H646">
        <f t="shared" si="2"/>
        <v>584840</v>
      </c>
      <c r="I646" s="5">
        <f>1+H646*'Prestige Patterns'!$B$25</f>
        <v>5849.4000000000005</v>
      </c>
      <c r="J646">
        <f>FLOOR((K646/'Prestige Patterns'!$B$22)^'Prestige Patterns'!$B$23,1)-H645</f>
        <v>266391</v>
      </c>
      <c r="K646" s="8">
        <f>K645+N645*'Prestige Patterns'!$B$20</f>
        <v>7.245956734377576E+16</v>
      </c>
      <c r="L646" s="2">
        <f>IF(J645&gt;='Prestige Patterns'!$B$28,IF(J645/(H645+1)&gt;('Prestige Patterns'!$B$27+1),L645+1,L645),L645)</f>
        <v>11</v>
      </c>
      <c r="N646">
        <f t="shared" si="0"/>
        <v>84642858270720.016</v>
      </c>
      <c r="O646" s="3">
        <f>'Prestige Patterns'!$B$4*E646</f>
        <v>13800</v>
      </c>
      <c r="P646">
        <f t="shared" si="3"/>
        <v>1048576</v>
      </c>
      <c r="Q646" s="5"/>
      <c r="R646" s="5"/>
      <c r="S646" s="3">
        <v>645</v>
      </c>
      <c r="T646" s="5"/>
    </row>
    <row r="647" spans="1:20" ht="12">
      <c r="A647" s="1"/>
      <c r="B647" s="1"/>
      <c r="C647" s="2">
        <f>(S647*'Prestige Patterns'!$B$20)/60</f>
        <v>323</v>
      </c>
      <c r="D647" s="2">
        <f>IF(L646=L647,N646*'Prestige Patterns'!$B$20+D646-F647,0)</f>
        <v>2976075580760580</v>
      </c>
      <c r="E647" s="3">
        <f t="shared" si="1"/>
        <v>692</v>
      </c>
      <c r="F647" s="8">
        <f>'Prestige Patterns'!$B$5*('Prestige Patterns'!$B$6^E646-'Prestige Patterns'!$B$6^(E646+G647))/(1-'Prestige Patterns'!$B$6)</f>
        <v>3423183740342312</v>
      </c>
      <c r="G647" s="8">
        <f>FLOOR(LOG('Prestige Patterns'!$B$6^(E646) - (D646*(1-'Prestige Patterns'!$B$6)/'Prestige Patterns'!$B$5),'Prestige Patterns'!$B$6)-E646,1)</f>
        <v>2</v>
      </c>
      <c r="H647">
        <f t="shared" si="2"/>
        <v>584840</v>
      </c>
      <c r="I647" s="5">
        <f>1+H647*'Prestige Patterns'!$B$25</f>
        <v>5849.4000000000005</v>
      </c>
      <c r="J647">
        <f>FLOOR((K647/'Prestige Patterns'!$B$22)^'Prestige Patterns'!$B$23,1)-H646</f>
        <v>281178</v>
      </c>
      <c r="K647" s="8">
        <f>K646+N646*'Prestige Patterns'!$B$20</f>
        <v>7.499885309189736E+16</v>
      </c>
      <c r="L647" s="2">
        <f>IF(J646&gt;='Prestige Patterns'!$B$28,IF(J646/(H646+1)&gt;('Prestige Patterns'!$B$27+1),L646+1,L646),L646)</f>
        <v>11</v>
      </c>
      <c r="N647">
        <f t="shared" si="0"/>
        <v>84888199888896.016</v>
      </c>
      <c r="O647" s="3">
        <f>'Prestige Patterns'!$B$4*E647</f>
        <v>13840</v>
      </c>
      <c r="P647">
        <f t="shared" si="3"/>
        <v>1048576</v>
      </c>
      <c r="Q647" s="5"/>
      <c r="R647" s="5"/>
      <c r="S647" s="3">
        <v>646</v>
      </c>
      <c r="T647" s="5"/>
    </row>
    <row r="648" spans="1:20" ht="12">
      <c r="A648" s="1"/>
      <c r="B648" s="1"/>
      <c r="C648" s="2">
        <f>(S648*'Prestige Patterns'!$B$20)/60</f>
        <v>323.5</v>
      </c>
      <c r="D648" s="2">
        <f>IF(L647=L648,N647*'Prestige Patterns'!$B$20+D647-F648,0)</f>
        <v>3681716663414092</v>
      </c>
      <c r="E648" s="3">
        <f t="shared" si="1"/>
        <v>693</v>
      </c>
      <c r="F648" s="8">
        <f>'Prestige Patterns'!$B$5*('Prestige Patterns'!$B$6^E647-'Prestige Patterns'!$B$6^(E647+G648))/(1-'Prestige Patterns'!$B$6)</f>
        <v>1841004914013368.2</v>
      </c>
      <c r="G648" s="8">
        <f>FLOOR(LOG('Prestige Patterns'!$B$6^(E647) - (D647*(1-'Prestige Patterns'!$B$6)/'Prestige Patterns'!$B$5),'Prestige Patterns'!$B$6)-E647,1)</f>
        <v>1</v>
      </c>
      <c r="H648">
        <f t="shared" si="2"/>
        <v>584840</v>
      </c>
      <c r="I648" s="5">
        <f>1+H648*'Prestige Patterns'!$B$25</f>
        <v>5849.4000000000005</v>
      </c>
      <c r="J648">
        <f>FLOOR((K648/'Prestige Patterns'!$B$22)^'Prestige Patterns'!$B$23,1)-H647</f>
        <v>295759</v>
      </c>
      <c r="K648" s="8">
        <f>K647+N647*'Prestige Patterns'!$B$20</f>
        <v>7.754549908856424E+16</v>
      </c>
      <c r="L648" s="2">
        <f>IF(J647&gt;='Prestige Patterns'!$B$28,IF(J647/(H647+1)&gt;('Prestige Patterns'!$B$27+1),L647+1,L647),L647)</f>
        <v>11</v>
      </c>
      <c r="N648">
        <f t="shared" si="0"/>
        <v>85010870697984.016</v>
      </c>
      <c r="O648" s="3">
        <f>'Prestige Patterns'!$B$4*E648</f>
        <v>13860</v>
      </c>
      <c r="P648">
        <f t="shared" si="3"/>
        <v>1048576</v>
      </c>
      <c r="Q648" s="5"/>
      <c r="R648" s="5"/>
      <c r="S648" s="3">
        <v>647</v>
      </c>
      <c r="T648" s="5"/>
    </row>
    <row r="649" spans="1:20" ht="12">
      <c r="A649" s="1"/>
      <c r="B649" s="1"/>
      <c r="C649" s="2">
        <f>(S649*'Prestige Patterns'!$B$20)/60</f>
        <v>324</v>
      </c>
      <c r="D649" s="2">
        <f>IF(L648=L649,N648*'Prestige Patterns'!$B$20+D648-F649,0)</f>
        <v>4298987624639584</v>
      </c>
      <c r="E649" s="3">
        <f t="shared" si="1"/>
        <v>694</v>
      </c>
      <c r="F649" s="8">
        <f>'Prestige Patterns'!$B$5*('Prestige Patterns'!$B$6^E648-'Prestige Patterns'!$B$6^(E648+G649))/(1-'Prestige Patterns'!$B$6)</f>
        <v>1933055159714028.2</v>
      </c>
      <c r="G649" s="8">
        <f>FLOOR(LOG('Prestige Patterns'!$B$6^(E648) - (D648*(1-'Prestige Patterns'!$B$6)/'Prestige Patterns'!$B$5),'Prestige Patterns'!$B$6)-E648,1)</f>
        <v>1</v>
      </c>
      <c r="H649">
        <f t="shared" si="2"/>
        <v>584840</v>
      </c>
      <c r="I649" s="5">
        <f>1+H649*'Prestige Patterns'!$B$25</f>
        <v>5849.4000000000005</v>
      </c>
      <c r="J649">
        <f>FLOOR((K649/'Prestige Patterns'!$B$22)^'Prestige Patterns'!$B$23,1)-H648</f>
        <v>310122</v>
      </c>
      <c r="K649" s="8">
        <f>K648+N648*'Prestige Patterns'!$B$20</f>
        <v>8.009582520950376E+16</v>
      </c>
      <c r="L649" s="2">
        <f>IF(J648&gt;='Prestige Patterns'!$B$28,IF(J648/(H648+1)&gt;('Prestige Patterns'!$B$27+1),L648+1,L648),L648)</f>
        <v>11</v>
      </c>
      <c r="N649">
        <f t="shared" si="0"/>
        <v>85133541507072.016</v>
      </c>
      <c r="O649" s="3">
        <f>'Prestige Patterns'!$B$4*E649</f>
        <v>13880</v>
      </c>
      <c r="P649">
        <f t="shared" si="3"/>
        <v>1048576</v>
      </c>
      <c r="Q649" s="5"/>
      <c r="R649" s="5"/>
      <c r="S649" s="3">
        <v>648</v>
      </c>
      <c r="T649" s="5"/>
    </row>
    <row r="650" spans="1:20" ht="12">
      <c r="A650" s="1"/>
      <c r="B650" s="1"/>
      <c r="C650" s="2">
        <f>(S650*'Prestige Patterns'!$B$20)/60</f>
        <v>324.5</v>
      </c>
      <c r="D650" s="2">
        <f>IF(L649=L650,N649*'Prestige Patterns'!$B$20+D649-F650,0)</f>
        <v>2692092638567277.5</v>
      </c>
      <c r="E650" s="3">
        <f t="shared" si="1"/>
        <v>696</v>
      </c>
      <c r="F650" s="8">
        <f>'Prestige Patterns'!$B$5*('Prestige Patterns'!$B$6^E649-'Prestige Patterns'!$B$6^(E649+G650))/(1-'Prestige Patterns'!$B$6)</f>
        <v>4160901231284466.5</v>
      </c>
      <c r="G650" s="8">
        <f>FLOOR(LOG('Prestige Patterns'!$B$6^(E649) - (D649*(1-'Prestige Patterns'!$B$6)/'Prestige Patterns'!$B$5),'Prestige Patterns'!$B$6)-E649,1)</f>
        <v>2</v>
      </c>
      <c r="H650">
        <f t="shared" si="2"/>
        <v>584840</v>
      </c>
      <c r="I650" s="5">
        <f>1+H650*'Prestige Patterns'!$B$25</f>
        <v>5849.4000000000005</v>
      </c>
      <c r="J650">
        <f>FLOOR((K650/'Prestige Patterns'!$B$22)^'Prestige Patterns'!$B$23,1)-H649</f>
        <v>324279</v>
      </c>
      <c r="K650" s="8">
        <f>K649+N649*'Prestige Patterns'!$B$20</f>
        <v>8.264983145471592E+16</v>
      </c>
      <c r="L650" s="2">
        <f>IF(J649&gt;='Prestige Patterns'!$B$28,IF(J649/(H649+1)&gt;('Prestige Patterns'!$B$27+1),L649+1,L649),L649)</f>
        <v>11</v>
      </c>
      <c r="N650">
        <f t="shared" si="0"/>
        <v>85378883125248.016</v>
      </c>
      <c r="O650" s="3">
        <f>'Prestige Patterns'!$B$4*E650</f>
        <v>13920</v>
      </c>
      <c r="P650">
        <f t="shared" si="3"/>
        <v>1048576</v>
      </c>
      <c r="Q650" s="5"/>
      <c r="R650" s="5"/>
      <c r="S650" s="3">
        <v>649</v>
      </c>
      <c r="T650" s="5"/>
    </row>
    <row r="651" spans="1:20" ht="12">
      <c r="A651" s="1"/>
      <c r="B651" s="1"/>
      <c r="C651" s="2">
        <f>(S651*'Prestige Patterns'!$B$20)/60</f>
        <v>325</v>
      </c>
      <c r="D651" s="2">
        <f>IF(L650=L651,N650*'Prestige Patterns'!$B$20+D650-F651,0)</f>
        <v>3015706153060750</v>
      </c>
      <c r="E651" s="3">
        <f t="shared" si="1"/>
        <v>697</v>
      </c>
      <c r="F651" s="8">
        <f>'Prestige Patterns'!$B$5*('Prestige Patterns'!$B$6^E650-'Prestige Patterns'!$B$6^(E650+G651))/(1-'Prestige Patterns'!$B$6)</f>
        <v>2237752979263968</v>
      </c>
      <c r="G651" s="8">
        <f>FLOOR(LOG('Prestige Patterns'!$B$6^(E650) - (D650*(1-'Prestige Patterns'!$B$6)/'Prestige Patterns'!$B$5),'Prestige Patterns'!$B$6)-E650,1)</f>
        <v>1</v>
      </c>
      <c r="H651">
        <f t="shared" si="2"/>
        <v>584840</v>
      </c>
      <c r="I651" s="5">
        <f>1+H651*'Prestige Patterns'!$B$25</f>
        <v>5849.4000000000005</v>
      </c>
      <c r="J651">
        <f>FLOOR((K651/'Prestige Patterns'!$B$22)^'Prestige Patterns'!$B$23,1)-H650</f>
        <v>338259</v>
      </c>
      <c r="K651" s="8">
        <f>K650+N650*'Prestige Patterns'!$B$20</f>
        <v>8.521119794847336E+16</v>
      </c>
      <c r="L651" s="2">
        <f>IF(J650&gt;='Prestige Patterns'!$B$28,IF(J650/(H650+1)&gt;('Prestige Patterns'!$B$27+1),L650+1,L650),L650)</f>
        <v>11</v>
      </c>
      <c r="N651">
        <f t="shared" si="0"/>
        <v>85501553934336.016</v>
      </c>
      <c r="O651" s="3">
        <f>'Prestige Patterns'!$B$4*E651</f>
        <v>13940</v>
      </c>
      <c r="P651">
        <f t="shared" si="3"/>
        <v>1048576</v>
      </c>
      <c r="Q651" s="5"/>
      <c r="R651" s="5"/>
      <c r="S651" s="3">
        <v>650</v>
      </c>
      <c r="T651" s="5"/>
    </row>
    <row r="652" spans="1:20" ht="12">
      <c r="A652" s="1"/>
      <c r="B652" s="1"/>
      <c r="C652" s="2">
        <f>(S652*'Prestige Patterns'!$B$20)/60</f>
        <v>325.5</v>
      </c>
      <c r="D652" s="2">
        <f>IF(L651=L652,N651*'Prestige Patterns'!$B$20+D651-F652,0)</f>
        <v>3231112142863672</v>
      </c>
      <c r="E652" s="3">
        <f t="shared" si="1"/>
        <v>698</v>
      </c>
      <c r="F652" s="8">
        <f>'Prestige Patterns'!$B$5*('Prestige Patterns'!$B$6^E651-'Prestige Patterns'!$B$6^(E651+G652))/(1-'Prestige Patterns'!$B$6)</f>
        <v>2349640628227158</v>
      </c>
      <c r="G652" s="8">
        <f>FLOOR(LOG('Prestige Patterns'!$B$6^(E651) - (D651*(1-'Prestige Patterns'!$B$6)/'Prestige Patterns'!$B$5),'Prestige Patterns'!$B$6)-E651,1)</f>
        <v>1</v>
      </c>
      <c r="H652">
        <f t="shared" si="2"/>
        <v>584840</v>
      </c>
      <c r="I652" s="5">
        <f>1+H652*'Prestige Patterns'!$B$25</f>
        <v>5849.4000000000005</v>
      </c>
      <c r="J652">
        <f>FLOOR((K652/'Prestige Patterns'!$B$22)^'Prestige Patterns'!$B$23,1)-H651</f>
        <v>352049</v>
      </c>
      <c r="K652" s="8">
        <f>K651+N651*'Prestige Patterns'!$B$20</f>
        <v>8.777624456650344E+16</v>
      </c>
      <c r="L652" s="2">
        <f>IF(J651&gt;='Prestige Patterns'!$B$28,IF(J651/(H651+1)&gt;('Prestige Patterns'!$B$27+1),L651+1,L651),L651)</f>
        <v>11</v>
      </c>
      <c r="N652">
        <f t="shared" si="0"/>
        <v>85624224743424.016</v>
      </c>
      <c r="O652" s="3">
        <f>'Prestige Patterns'!$B$4*E652</f>
        <v>13960</v>
      </c>
      <c r="P652">
        <f t="shared" si="3"/>
        <v>1048576</v>
      </c>
      <c r="Q652" s="5"/>
      <c r="R652" s="5"/>
      <c r="S652" s="3">
        <v>651</v>
      </c>
      <c r="T652" s="5"/>
    </row>
    <row r="653" spans="1:20" ht="12">
      <c r="A653" s="1"/>
      <c r="B653" s="1"/>
      <c r="C653" s="2">
        <f>(S653*'Prestige Patterns'!$B$20)/60</f>
        <v>326</v>
      </c>
      <c r="D653" s="2">
        <f>IF(L652=L653,N652*'Prestige Patterns'!$B$20+D652-F653,0)</f>
        <v>3332716225527874</v>
      </c>
      <c r="E653" s="3">
        <f t="shared" si="1"/>
        <v>699</v>
      </c>
      <c r="F653" s="8">
        <f>'Prestige Patterns'!$B$5*('Prestige Patterns'!$B$6^E652-'Prestige Patterns'!$B$6^(E652+G653))/(1-'Prestige Patterns'!$B$6)</f>
        <v>2467122659638518</v>
      </c>
      <c r="G653" s="8">
        <f>FLOOR(LOG('Prestige Patterns'!$B$6^(E652) - (D652*(1-'Prestige Patterns'!$B$6)/'Prestige Patterns'!$B$5),'Prestige Patterns'!$B$6)-E652,1)</f>
        <v>1</v>
      </c>
      <c r="H653">
        <f t="shared" si="2"/>
        <v>584840</v>
      </c>
      <c r="I653" s="5">
        <f>1+H653*'Prestige Patterns'!$B$25</f>
        <v>5849.4000000000005</v>
      </c>
      <c r="J653">
        <f>FLOOR((K653/'Prestige Patterns'!$B$22)^'Prestige Patterns'!$B$23,1)-H652</f>
        <v>365659</v>
      </c>
      <c r="K653" s="8">
        <f>K652+N652*'Prestige Patterns'!$B$20</f>
        <v>9.034497130880616E+16</v>
      </c>
      <c r="L653" s="2">
        <f>IF(J652&gt;='Prestige Patterns'!$B$28,IF(J652/(H652+1)&gt;('Prestige Patterns'!$B$27+1),L652+1,L652),L652)</f>
        <v>11</v>
      </c>
      <c r="N653">
        <f t="shared" si="0"/>
        <v>85746895552512.016</v>
      </c>
      <c r="O653" s="3">
        <f>'Prestige Patterns'!$B$4*E653</f>
        <v>13980</v>
      </c>
      <c r="P653">
        <f t="shared" si="3"/>
        <v>1048576</v>
      </c>
      <c r="Q653" s="5"/>
      <c r="R653" s="5"/>
      <c r="S653" s="3">
        <v>652</v>
      </c>
      <c r="T653" s="5"/>
    </row>
    <row r="654" spans="1:20" ht="12">
      <c r="A654" s="1"/>
      <c r="B654" s="1"/>
      <c r="C654" s="2">
        <f>(S654*'Prestige Patterns'!$B$20)/60</f>
        <v>326.5</v>
      </c>
      <c r="D654" s="2">
        <f>IF(L653=L654,N653*'Prestige Patterns'!$B$20+D653-F654,0)</f>
        <v>3314644299482796.5</v>
      </c>
      <c r="E654" s="3">
        <f t="shared" si="1"/>
        <v>700</v>
      </c>
      <c r="F654" s="8">
        <f>'Prestige Patterns'!$B$5*('Prestige Patterns'!$B$6^E653-'Prestige Patterns'!$B$6^(E653+G654))/(1-'Prestige Patterns'!$B$6)</f>
        <v>2590478792620437.5</v>
      </c>
      <c r="G654" s="8">
        <f>FLOOR(LOG('Prestige Patterns'!$B$6^(E653) - (D653*(1-'Prestige Patterns'!$B$6)/'Prestige Patterns'!$B$5),'Prestige Patterns'!$B$6)-E653,1)</f>
        <v>1</v>
      </c>
      <c r="H654">
        <f t="shared" si="2"/>
        <v>584840</v>
      </c>
      <c r="I654" s="5">
        <f>1+H654*'Prestige Patterns'!$B$25</f>
        <v>5849.4000000000005</v>
      </c>
      <c r="J654">
        <f>FLOOR((K654/'Prestige Patterns'!$B$22)^'Prestige Patterns'!$B$23,1)-H653</f>
        <v>379096</v>
      </c>
      <c r="K654" s="8">
        <f>K653+N653*'Prestige Patterns'!$B$20</f>
        <v>9.291737817538152E+16</v>
      </c>
      <c r="L654" s="2">
        <f>IF(J653&gt;='Prestige Patterns'!$B$28,IF(J653/(H653+1)&gt;('Prestige Patterns'!$B$27+1),L653+1,L653),L653)</f>
        <v>11</v>
      </c>
      <c r="N654">
        <f t="shared" si="0"/>
        <v>2747826123571200.5</v>
      </c>
      <c r="O654" s="3">
        <f>'Prestige Patterns'!$B$4*E654</f>
        <v>14000</v>
      </c>
      <c r="P654">
        <f t="shared" si="3"/>
        <v>33554432</v>
      </c>
      <c r="Q654" s="5"/>
      <c r="R654" s="5"/>
      <c r="S654" s="3">
        <v>653</v>
      </c>
      <c r="T654" s="5"/>
    </row>
    <row r="655" spans="1:20" ht="12">
      <c r="A655" s="1"/>
      <c r="B655" s="1"/>
      <c r="C655" s="2">
        <f>(S655*'Prestige Patterns'!$B$20)/60</f>
        <v>327</v>
      </c>
      <c r="D655" s="2">
        <f>IF(L654=L655,N654*'Prestige Patterns'!$B$20+D654-F655,0)</f>
        <v>8.3029425274367344E+16</v>
      </c>
      <c r="E655" s="3">
        <f t="shared" si="1"/>
        <v>701</v>
      </c>
      <c r="F655" s="8">
        <f>'Prestige Patterns'!$B$5*('Prestige Patterns'!$B$6^E654-'Prestige Patterns'!$B$6^(E654+G655))/(1-'Prestige Patterns'!$B$6)</f>
        <v>2720002732251467.5</v>
      </c>
      <c r="G655" s="8">
        <f>FLOOR(LOG('Prestige Patterns'!$B$6^(E654) - (D654*(1-'Prestige Patterns'!$B$6)/'Prestige Patterns'!$B$5),'Prestige Patterns'!$B$6)-E654,1)</f>
        <v>1</v>
      </c>
      <c r="H655">
        <f t="shared" si="2"/>
        <v>584840</v>
      </c>
      <c r="I655" s="5">
        <f>1+H655*'Prestige Patterns'!$B$25</f>
        <v>5849.4000000000005</v>
      </c>
      <c r="J655">
        <f>FLOOR((K655/'Prestige Patterns'!$B$22)^'Prestige Patterns'!$B$23,1)-H654</f>
        <v>739366</v>
      </c>
      <c r="K655" s="8">
        <f>K654+N654*'Prestige Patterns'!$B$20</f>
        <v>1.7535216188251754E+17</v>
      </c>
      <c r="L655" s="2">
        <f>IF(J654&gt;='Prestige Patterns'!$B$28,IF(J654/(H654+1)&gt;('Prestige Patterns'!$B$27+1),L654+1,L654),L654)</f>
        <v>11</v>
      </c>
      <c r="N655">
        <f t="shared" si="0"/>
        <v>2751751589462016.5</v>
      </c>
      <c r="O655" s="3">
        <f>'Prestige Patterns'!$B$4*E655</f>
        <v>14020</v>
      </c>
      <c r="P655">
        <f t="shared" si="3"/>
        <v>33554432</v>
      </c>
      <c r="Q655" s="5"/>
      <c r="R655" s="5"/>
      <c r="S655" s="3">
        <v>654</v>
      </c>
      <c r="T655" s="5"/>
    </row>
    <row r="656" spans="1:20" ht="12">
      <c r="A656" s="1"/>
      <c r="B656" s="1"/>
      <c r="C656" s="2">
        <f>(S656*'Prestige Patterns'!$B$20)/60</f>
        <v>327.5</v>
      </c>
      <c r="D656" s="2">
        <f>IF(L655=L656,N655*'Prestige Patterns'!$B$20+D655-F656,0)</f>
        <v>8.5235801621806384E+16</v>
      </c>
      <c r="E656" s="3">
        <f t="shared" si="1"/>
        <v>719</v>
      </c>
      <c r="F656" s="8">
        <f>'Prestige Patterns'!$B$5*('Prestige Patterns'!$B$6^E655-'Prestige Patterns'!$B$6^(E655+G656))/(1-'Prestige Patterns'!$B$6)</f>
        <v>8.0346171336421456E+16</v>
      </c>
      <c r="G656" s="8">
        <f>FLOOR(LOG('Prestige Patterns'!$B$6^(E655) - (D655*(1-'Prestige Patterns'!$B$6)/'Prestige Patterns'!$B$5),'Prestige Patterns'!$B$6)-E655,1)</f>
        <v>18</v>
      </c>
      <c r="H656">
        <f t="shared" si="2"/>
        <v>584840</v>
      </c>
      <c r="I656" s="5">
        <f>1+H656*'Prestige Patterns'!$B$25</f>
        <v>5849.4000000000005</v>
      </c>
      <c r="J656">
        <f>FLOOR((K656/'Prestige Patterns'!$B$22)^'Prestige Patterns'!$B$23,1)-H655</f>
        <v>1021101</v>
      </c>
      <c r="K656" s="8">
        <f>K655+N655*'Prestige Patterns'!$B$20</f>
        <v>2.5790470956637805E+17</v>
      </c>
      <c r="L656" s="2">
        <f>IF(J655&gt;='Prestige Patterns'!$B$28,IF(J655/(H655+1)&gt;('Prestige Patterns'!$B$27+1),L655+1,L655),L655)</f>
        <v>11</v>
      </c>
      <c r="N656">
        <f t="shared" si="0"/>
        <v>2822409975496704.5</v>
      </c>
      <c r="O656" s="3">
        <f>'Prestige Patterns'!$B$4*E656</f>
        <v>14380</v>
      </c>
      <c r="P656">
        <f t="shared" si="3"/>
        <v>33554432</v>
      </c>
      <c r="Q656" s="5"/>
      <c r="R656" s="5"/>
      <c r="S656" s="3">
        <v>655</v>
      </c>
      <c r="T656" s="5"/>
    </row>
    <row r="657" spans="1:20" ht="12">
      <c r="A657" s="1"/>
      <c r="B657" s="1"/>
      <c r="C657" s="2">
        <f>(S657*'Prestige Patterns'!$B$20)/60</f>
        <v>328</v>
      </c>
      <c r="D657" s="2">
        <f>IF(L656=L657,N656*'Prestige Patterns'!$B$20+D656-F657,0)</f>
        <v>0</v>
      </c>
      <c r="E657" s="3">
        <f t="shared" si="1"/>
        <v>1</v>
      </c>
      <c r="F657" s="8">
        <f>'Prestige Patterns'!$B$5*('Prestige Patterns'!$B$6^E656-'Prestige Patterns'!$B$6^(E656+G657))/(1-'Prestige Patterns'!$B$6)</f>
        <v>7.5789010634020032E+16</v>
      </c>
      <c r="G657" s="8">
        <f>FLOOR(LOG('Prestige Patterns'!$B$6^(E656) - (D656*(1-'Prestige Patterns'!$B$6)/'Prestige Patterns'!$B$5),'Prestige Patterns'!$B$6)-E656,1)</f>
        <v>9</v>
      </c>
      <c r="H657">
        <f t="shared" si="2"/>
        <v>1605941</v>
      </c>
      <c r="I657" s="5">
        <f>1+H657*'Prestige Patterns'!$B$25</f>
        <v>16060.41</v>
      </c>
      <c r="J657">
        <f>FLOOR((K657/'Prestige Patterns'!$B$22)^'Prestige Patterns'!$B$23,1)-H656</f>
        <v>1266043</v>
      </c>
      <c r="K657" s="8">
        <f>K656+N656*'Prestige Patterns'!$B$20</f>
        <v>3.4257700883127917E+17</v>
      </c>
      <c r="L657" s="2">
        <f>IF(J656&gt;='Prestige Patterns'!$B$28,IF(J656/(H656+1)&gt;('Prestige Patterns'!$B$27+1),L656+1,L656),L656)</f>
        <v>12</v>
      </c>
      <c r="N657">
        <f t="shared" si="0"/>
        <v>10777958704742.4</v>
      </c>
      <c r="O657" s="3">
        <f>'Prestige Patterns'!$B$4*E657</f>
        <v>20</v>
      </c>
      <c r="P657">
        <f t="shared" si="3"/>
        <v>33554432</v>
      </c>
      <c r="Q657" s="5"/>
      <c r="R657" s="5"/>
      <c r="S657" s="3">
        <v>656</v>
      </c>
      <c r="T657" s="5"/>
    </row>
    <row r="658" spans="1:20" ht="12">
      <c r="A658" s="1"/>
      <c r="B658" s="1"/>
      <c r="C658" s="2">
        <f>(S658*'Prestige Patterns'!$B$20)/60</f>
        <v>328.5</v>
      </c>
      <c r="D658" s="2">
        <f>IF(L657=L658,N657*'Prestige Patterns'!$B$20+D657-F658,0)</f>
        <v>323338761142272</v>
      </c>
      <c r="E658" s="3">
        <f t="shared" si="1"/>
        <v>1</v>
      </c>
      <c r="F658" s="8">
        <f>'Prestige Patterns'!$B$5*('Prestige Patterns'!$B$6^E657-'Prestige Patterns'!$B$6^(E657+G658))/(1-'Prestige Patterns'!$B$6)</f>
        <v>0</v>
      </c>
      <c r="G658" s="8">
        <f>FLOOR(LOG('Prestige Patterns'!$B$6^(E657) - (D657*(1-'Prestige Patterns'!$B$6)/'Prestige Patterns'!$B$5),'Prestige Patterns'!$B$6)-E657,1)</f>
        <v>0</v>
      </c>
      <c r="H658">
        <f t="shared" si="2"/>
        <v>1605941</v>
      </c>
      <c r="I658" s="5">
        <f>1+H658*'Prestige Patterns'!$B$25</f>
        <v>16060.41</v>
      </c>
      <c r="J658">
        <f>FLOOR((K658/'Prestige Patterns'!$B$22)^'Prestige Patterns'!$B$23,1)-H657</f>
        <v>245815</v>
      </c>
      <c r="K658" s="8">
        <f>K657+N657*'Prestige Patterns'!$B$20</f>
        <v>3.4290034759242144E+17</v>
      </c>
      <c r="L658" s="2">
        <f>IF(J657&gt;='Prestige Patterns'!$B$28,IF(J657/(H657+1)&gt;('Prestige Patterns'!$B$27+1),L657+1,L657),L657)</f>
        <v>12</v>
      </c>
      <c r="N658">
        <f t="shared" si="0"/>
        <v>10777958704742.4</v>
      </c>
      <c r="O658" s="3">
        <f>'Prestige Patterns'!$B$4*E658</f>
        <v>20</v>
      </c>
      <c r="P658">
        <f t="shared" si="3"/>
        <v>33554432</v>
      </c>
      <c r="Q658" s="5"/>
      <c r="R658" s="5"/>
      <c r="S658" s="3">
        <v>657</v>
      </c>
      <c r="T658" s="5"/>
    </row>
    <row r="659" spans="1:20" ht="12">
      <c r="A659" s="1"/>
      <c r="B659" s="1"/>
      <c r="C659" s="2">
        <f>(S659*'Prestige Patterns'!$B$20)/60</f>
        <v>329</v>
      </c>
      <c r="D659" s="2">
        <f>IF(L658=L659,N658*'Prestige Patterns'!$B$20+D658-F659,0)</f>
        <v>337979651109581.94</v>
      </c>
      <c r="E659" s="3">
        <f t="shared" si="1"/>
        <v>594</v>
      </c>
      <c r="F659" s="8">
        <f>'Prestige Patterns'!$B$5*('Prestige Patterns'!$B$6^E658-'Prestige Patterns'!$B$6^(E658+G659))/(1-'Prestige Patterns'!$B$6)</f>
        <v>308697871174962.06</v>
      </c>
      <c r="G659" s="8">
        <f>FLOOR(LOG('Prestige Patterns'!$B$6^(E658) - (D658*(1-'Prestige Patterns'!$B$6)/'Prestige Patterns'!$B$5),'Prestige Patterns'!$B$6)-E658,1)</f>
        <v>593</v>
      </c>
      <c r="H659">
        <f t="shared" si="2"/>
        <v>1605941</v>
      </c>
      <c r="I659" s="5">
        <f>1+H659*'Prestige Patterns'!$B$25</f>
        <v>16060.41</v>
      </c>
      <c r="J659">
        <f>FLOOR((K659/'Prestige Patterns'!$B$22)^'Prestige Patterns'!$B$23,1)-H658</f>
        <v>246688</v>
      </c>
      <c r="K659" s="8">
        <f>K658+N658*'Prestige Patterns'!$B$20</f>
        <v>3.4322368635356371E+17</v>
      </c>
      <c r="L659" s="2">
        <f>IF(J658&gt;='Prestige Patterns'!$B$28,IF(J658/(H658+1)&gt;('Prestige Patterns'!$B$27+1),L658+1,L658),L658)</f>
        <v>12</v>
      </c>
      <c r="N659">
        <f t="shared" si="0"/>
        <v>12504116153548.801</v>
      </c>
      <c r="O659" s="3">
        <f>'Prestige Patterns'!$B$4*E659</f>
        <v>11880</v>
      </c>
      <c r="P659">
        <f t="shared" si="3"/>
        <v>65536</v>
      </c>
      <c r="Q659" s="5"/>
      <c r="R659" s="5"/>
      <c r="S659" s="3">
        <v>658</v>
      </c>
      <c r="T659" s="5"/>
    </row>
    <row r="660" spans="1:20" ht="12">
      <c r="A660" s="1"/>
      <c r="B660" s="1"/>
      <c r="C660" s="2">
        <f>(S660*'Prestige Patterns'!$B$20)/60</f>
        <v>329.5</v>
      </c>
      <c r="D660" s="2">
        <f>IF(L659=L660,N659*'Prestige Patterns'!$B$20+D659-F660,0)</f>
        <v>380040303580988.69</v>
      </c>
      <c r="E660" s="3">
        <f t="shared" si="1"/>
        <v>609</v>
      </c>
      <c r="F660" s="8">
        <f>'Prestige Patterns'!$B$5*('Prestige Patterns'!$B$6^E659-'Prestige Patterns'!$B$6^(E659+G660))/(1-'Prestige Patterns'!$B$6)</f>
        <v>333062832135057.31</v>
      </c>
      <c r="G660" s="8">
        <f>FLOOR(LOG('Prestige Patterns'!$B$6^(E659) - (D659*(1-'Prestige Patterns'!$B$6)/'Prestige Patterns'!$B$5),'Prestige Patterns'!$B$6)-E659,1)</f>
        <v>15</v>
      </c>
      <c r="H660">
        <f t="shared" si="2"/>
        <v>1605941</v>
      </c>
      <c r="I660" s="5">
        <f>1+H660*'Prestige Patterns'!$B$25</f>
        <v>16060.41</v>
      </c>
      <c r="J660">
        <f>FLOOR((K660/'Prestige Patterns'!$B$22)^'Prestige Patterns'!$B$23,1)-H659</f>
        <v>247700</v>
      </c>
      <c r="K660" s="8">
        <f>K659+N659*'Prestige Patterns'!$B$20</f>
        <v>3.4359880983817018E+17</v>
      </c>
      <c r="L660" s="2">
        <f>IF(J659&gt;='Prestige Patterns'!$B$28,IF(J659/(H659+1)&gt;('Prestige Patterns'!$B$27+1),L659+1,L659),L659)</f>
        <v>12</v>
      </c>
      <c r="N660">
        <f t="shared" si="0"/>
        <v>205118026599628.81</v>
      </c>
      <c r="O660" s="3">
        <f>'Prestige Patterns'!$B$4*E660</f>
        <v>12180</v>
      </c>
      <c r="P660">
        <f t="shared" si="3"/>
        <v>1048576</v>
      </c>
      <c r="Q660" s="5"/>
      <c r="R660" s="5"/>
      <c r="S660" s="3">
        <v>659</v>
      </c>
      <c r="T660" s="5"/>
    </row>
    <row r="661" spans="1:20" ht="12">
      <c r="A661" s="1"/>
      <c r="B661" s="1"/>
      <c r="C661" s="2">
        <f>(S661*'Prestige Patterns'!$B$20)/60</f>
        <v>330</v>
      </c>
      <c r="D661" s="2">
        <f>IF(L660=L661,N660*'Prestige Patterns'!$B$20+D660-F661,0)</f>
        <v>6179760317928776</v>
      </c>
      <c r="E661" s="3">
        <f t="shared" si="1"/>
        <v>618</v>
      </c>
      <c r="F661" s="8">
        <f>'Prestige Patterns'!$B$5*('Prestige Patterns'!$B$6^E660-'Prestige Patterns'!$B$6^(E660+G661))/(1-'Prestige Patterns'!$B$6)</f>
        <v>353820783641076.88</v>
      </c>
      <c r="G661" s="8">
        <f>FLOOR(LOG('Prestige Patterns'!$B$6^(E660) - (D660*(1-'Prestige Patterns'!$B$6)/'Prestige Patterns'!$B$5),'Prestige Patterns'!$B$6)-E660,1)</f>
        <v>9</v>
      </c>
      <c r="H661">
        <f t="shared" si="2"/>
        <v>1605941</v>
      </c>
      <c r="I661" s="5">
        <f>1+H661*'Prestige Patterns'!$B$25</f>
        <v>16060.41</v>
      </c>
      <c r="J661">
        <f>FLOOR((K661/'Prestige Patterns'!$B$22)^'Prestige Patterns'!$B$23,1)-H660</f>
        <v>264225</v>
      </c>
      <c r="K661" s="8">
        <f>K660+N660*'Prestige Patterns'!$B$20</f>
        <v>3.4975235063615904E+17</v>
      </c>
      <c r="L661" s="2">
        <f>IF(J660&gt;='Prestige Patterns'!$B$28,IF(J660/(H660+1)&gt;('Prestige Patterns'!$B$27+1),L660+1,L660),L660)</f>
        <v>12</v>
      </c>
      <c r="N661">
        <f t="shared" si="0"/>
        <v>208149327485337.59</v>
      </c>
      <c r="O661" s="3">
        <f>'Prestige Patterns'!$B$4*E661</f>
        <v>12360</v>
      </c>
      <c r="P661">
        <f t="shared" si="3"/>
        <v>1048576</v>
      </c>
      <c r="Q661" s="5"/>
      <c r="R661" s="5"/>
      <c r="S661" s="3">
        <v>660</v>
      </c>
      <c r="T661" s="5"/>
    </row>
    <row r="662" spans="1:20" ht="12">
      <c r="A662" s="1"/>
      <c r="B662" s="1"/>
      <c r="C662" s="2">
        <f>(S662*'Prestige Patterns'!$B$20)/60</f>
        <v>330.5</v>
      </c>
      <c r="D662" s="2">
        <f>IF(L661=L662,N661*'Prestige Patterns'!$B$20+D661-F662,0)</f>
        <v>6410939199303501</v>
      </c>
      <c r="E662" s="3">
        <f t="shared" si="1"/>
        <v>658</v>
      </c>
      <c r="F662" s="8">
        <f>'Prestige Patterns'!$B$5*('Prestige Patterns'!$B$6^E661-'Prestige Patterns'!$B$6^(E661+G662))/(1-'Prestige Patterns'!$B$6)</f>
        <v>6013300943185403</v>
      </c>
      <c r="G662" s="8">
        <f>FLOOR(LOG('Prestige Patterns'!$B$6^(E661) - (D661*(1-'Prestige Patterns'!$B$6)/'Prestige Patterns'!$B$5),'Prestige Patterns'!$B$6)-E661,1)</f>
        <v>40</v>
      </c>
      <c r="H662">
        <f t="shared" si="2"/>
        <v>1605941</v>
      </c>
      <c r="I662" s="5">
        <f>1+H662*'Prestige Patterns'!$B$25</f>
        <v>16060.41</v>
      </c>
      <c r="J662">
        <f>FLOOR((K662/'Prestige Patterns'!$B$22)^'Prestige Patterns'!$B$23,1)-H661</f>
        <v>280846</v>
      </c>
      <c r="K662" s="8">
        <f>K661+N661*'Prestige Patterns'!$B$20</f>
        <v>3.5599683046071917E+17</v>
      </c>
      <c r="L662" s="2">
        <f>IF(J661&gt;='Prestige Patterns'!$B$28,IF(J661/(H661+1)&gt;('Prestige Patterns'!$B$27+1),L661+1,L661),L661)</f>
        <v>12</v>
      </c>
      <c r="N662">
        <f t="shared" si="0"/>
        <v>221621775866265.59</v>
      </c>
      <c r="O662" s="3">
        <f>'Prestige Patterns'!$B$4*E662</f>
        <v>13160</v>
      </c>
      <c r="P662">
        <f t="shared" si="3"/>
        <v>1048576</v>
      </c>
      <c r="Q662" s="5"/>
      <c r="R662" s="5"/>
      <c r="S662" s="3">
        <v>661</v>
      </c>
      <c r="T662" s="5"/>
    </row>
    <row r="663" spans="1:20" ht="12">
      <c r="A663" s="1"/>
      <c r="B663" s="1"/>
      <c r="C663" s="2">
        <f>(S663*'Prestige Patterns'!$B$20)/60</f>
        <v>331</v>
      </c>
      <c r="D663" s="2">
        <f>IF(L662=L663,N662*'Prestige Patterns'!$B$20+D662-F663,0)</f>
        <v>6852181762396604</v>
      </c>
      <c r="E663" s="3">
        <f t="shared" si="1"/>
        <v>671</v>
      </c>
      <c r="F663" s="8">
        <f>'Prestige Patterns'!$B$5*('Prestige Patterns'!$B$6^E662-'Prestige Patterns'!$B$6^(E662+G663))/(1-'Prestige Patterns'!$B$6)</f>
        <v>6207410712894864</v>
      </c>
      <c r="G663" s="8">
        <f>FLOOR(LOG('Prestige Patterns'!$B$6^(E662) - (D662*(1-'Prestige Patterns'!$B$6)/'Prestige Patterns'!$B$5),'Prestige Patterns'!$B$6)-E662,1)</f>
        <v>13</v>
      </c>
      <c r="H663">
        <f t="shared" si="2"/>
        <v>1605941</v>
      </c>
      <c r="I663" s="5">
        <f>1+H663*'Prestige Patterns'!$B$25</f>
        <v>16060.41</v>
      </c>
      <c r="J663">
        <f>FLOOR((K663/'Prestige Patterns'!$B$22)^'Prestige Patterns'!$B$23,1)-H662</f>
        <v>298384</v>
      </c>
      <c r="K663" s="8">
        <f>K662+N662*'Prestige Patterns'!$B$20</f>
        <v>3.6264548373670714E+17</v>
      </c>
      <c r="L663" s="2">
        <f>IF(J662&gt;='Prestige Patterns'!$B$28,IF(J662/(H662+1)&gt;('Prestige Patterns'!$B$27+1),L662+1,L662),L662)</f>
        <v>12</v>
      </c>
      <c r="N663">
        <f t="shared" si="0"/>
        <v>226000321590067.19</v>
      </c>
      <c r="O663" s="3">
        <f>'Prestige Patterns'!$B$4*E663</f>
        <v>13420</v>
      </c>
      <c r="P663">
        <f t="shared" si="3"/>
        <v>1048576</v>
      </c>
      <c r="Q663" s="5"/>
      <c r="R663" s="5"/>
      <c r="S663" s="3">
        <v>662</v>
      </c>
      <c r="T663" s="5"/>
    </row>
    <row r="664" spans="1:20" ht="12">
      <c r="A664" s="1"/>
      <c r="B664" s="1"/>
      <c r="C664" s="2">
        <f>(S664*'Prestige Patterns'!$B$20)/60</f>
        <v>331.5</v>
      </c>
      <c r="D664" s="2">
        <f>IF(L663=L664,N663*'Prestige Patterns'!$B$20+D663-F664,0)</f>
        <v>7322000302246196</v>
      </c>
      <c r="E664" s="3">
        <f t="shared" si="1"/>
        <v>679</v>
      </c>
      <c r="F664" s="8">
        <f>'Prestige Patterns'!$B$5*('Prestige Patterns'!$B$6^E663-'Prestige Patterns'!$B$6^(E663+G664))/(1-'Prestige Patterns'!$B$6)</f>
        <v>6310191107852424</v>
      </c>
      <c r="G664" s="8">
        <f>FLOOR(LOG('Prestige Patterns'!$B$6^(E663) - (D663*(1-'Prestige Patterns'!$B$6)/'Prestige Patterns'!$B$5),'Prestige Patterns'!$B$6)-E663,1)</f>
        <v>8</v>
      </c>
      <c r="H664">
        <f t="shared" si="2"/>
        <v>1605941</v>
      </c>
      <c r="I664" s="5">
        <f>1+H664*'Prestige Patterns'!$B$25</f>
        <v>16060.41</v>
      </c>
      <c r="J664">
        <f>FLOOR((K664/'Prestige Patterns'!$B$22)^'Prestige Patterns'!$B$23,1)-H663</f>
        <v>316103</v>
      </c>
      <c r="K664" s="8">
        <f>K663+N663*'Prestige Patterns'!$B$20</f>
        <v>3.6942549338440915E+17</v>
      </c>
      <c r="L664" s="2">
        <f>IF(J663&gt;='Prestige Patterns'!$B$28,IF(J663/(H663+1)&gt;('Prestige Patterns'!$B$27+1),L663+1,L663),L663)</f>
        <v>12</v>
      </c>
      <c r="N664">
        <f t="shared" si="0"/>
        <v>228694811266252.81</v>
      </c>
      <c r="O664" s="3">
        <f>'Prestige Patterns'!$B$4*E664</f>
        <v>13580</v>
      </c>
      <c r="P664">
        <f t="shared" si="3"/>
        <v>1048576</v>
      </c>
      <c r="Q664" s="5"/>
      <c r="R664" s="5"/>
      <c r="S664" s="3">
        <v>663</v>
      </c>
      <c r="T664" s="5"/>
    </row>
    <row r="665" spans="1:20" ht="12">
      <c r="A665" s="1"/>
      <c r="B665" s="1"/>
      <c r="C665" s="2">
        <f>(S665*'Prestige Patterns'!$B$20)/60</f>
        <v>332</v>
      </c>
      <c r="D665" s="2">
        <f>IF(L664=L665,N664*'Prestige Patterns'!$B$20+D664-F665,0)</f>
        <v>7541972469775451</v>
      </c>
      <c r="E665" s="3">
        <f t="shared" si="1"/>
        <v>685</v>
      </c>
      <c r="F665" s="8">
        <f>'Prestige Patterns'!$B$5*('Prestige Patterns'!$B$6^E664-'Prestige Patterns'!$B$6^(E664+G665))/(1-'Prestige Patterns'!$B$6)</f>
        <v>6640872170458329</v>
      </c>
      <c r="G665" s="8">
        <f>FLOOR(LOG('Prestige Patterns'!$B$6^(E664) - (D664*(1-'Prestige Patterns'!$B$6)/'Prestige Patterns'!$B$5),'Prestige Patterns'!$B$6)-E664,1)</f>
        <v>6</v>
      </c>
      <c r="H665">
        <f t="shared" si="2"/>
        <v>1605941</v>
      </c>
      <c r="I665" s="5">
        <f>1+H665*'Prestige Patterns'!$B$25</f>
        <v>16060.41</v>
      </c>
      <c r="J665">
        <f>FLOOR((K665/'Prestige Patterns'!$B$22)^'Prestige Patterns'!$B$23,1)-H664</f>
        <v>333869</v>
      </c>
      <c r="K665" s="8">
        <f>K664+N664*'Prestige Patterns'!$B$20</f>
        <v>3.7628633772239674E+17</v>
      </c>
      <c r="L665" s="2">
        <f>IF(J664&gt;='Prestige Patterns'!$B$28,IF(J664/(H664+1)&gt;('Prestige Patterns'!$B$27+1),L664+1,L664),L664)</f>
        <v>12</v>
      </c>
      <c r="N665">
        <f t="shared" si="0"/>
        <v>230715678523392</v>
      </c>
      <c r="O665" s="3">
        <f>'Prestige Patterns'!$B$4*E665</f>
        <v>13700</v>
      </c>
      <c r="P665">
        <f t="shared" si="3"/>
        <v>1048576</v>
      </c>
      <c r="Q665" s="5"/>
      <c r="R665" s="5"/>
      <c r="S665" s="3">
        <v>664</v>
      </c>
      <c r="T665" s="5"/>
    </row>
    <row r="666" spans="1:20" ht="12">
      <c r="A666" s="1"/>
      <c r="B666" s="1"/>
      <c r="C666" s="2">
        <f>(S666*'Prestige Patterns'!$B$20)/60</f>
        <v>332.5</v>
      </c>
      <c r="D666" s="2">
        <f>IF(L665=L666,N665*'Prestige Patterns'!$B$20+D665-F666,0)</f>
        <v>7233884706894378</v>
      </c>
      <c r="E666" s="3">
        <f t="shared" si="1"/>
        <v>690</v>
      </c>
      <c r="F666" s="8">
        <f>'Prestige Patterns'!$B$5*('Prestige Patterns'!$B$6^E665-'Prestige Patterns'!$B$6^(E665+G666))/(1-'Prestige Patterns'!$B$6)</f>
        <v>7229558118582834</v>
      </c>
      <c r="G666" s="8">
        <f>FLOOR(LOG('Prestige Patterns'!$B$6^(E665) - (D665*(1-'Prestige Patterns'!$B$6)/'Prestige Patterns'!$B$5),'Prestige Patterns'!$B$6)-E665,1)</f>
        <v>5</v>
      </c>
      <c r="H666">
        <f t="shared" si="2"/>
        <v>1605941</v>
      </c>
      <c r="I666" s="5">
        <f>1+H666*'Prestige Patterns'!$B$25</f>
        <v>16060.41</v>
      </c>
      <c r="J666">
        <f>FLOOR((K666/'Prestige Patterns'!$B$22)^'Prestige Patterns'!$B$23,1)-H665</f>
        <v>351628</v>
      </c>
      <c r="K666" s="8">
        <f>K665+N665*'Prestige Patterns'!$B$20</f>
        <v>3.832078080780985E+17</v>
      </c>
      <c r="L666" s="2">
        <f>IF(J665&gt;='Prestige Patterns'!$B$28,IF(J665/(H665+1)&gt;('Prestige Patterns'!$B$27+1),L665+1,L665),L665)</f>
        <v>12</v>
      </c>
      <c r="N666">
        <f t="shared" si="0"/>
        <v>232399734571008</v>
      </c>
      <c r="O666" s="3">
        <f>'Prestige Patterns'!$B$4*E666</f>
        <v>13800</v>
      </c>
      <c r="P666">
        <f t="shared" si="3"/>
        <v>1048576</v>
      </c>
      <c r="Q666" s="5"/>
      <c r="R666" s="5"/>
      <c r="S666" s="3">
        <v>665</v>
      </c>
      <c r="T666" s="5"/>
    </row>
    <row r="667" spans="1:20" ht="12">
      <c r="A667" s="1"/>
      <c r="B667" s="1"/>
      <c r="C667" s="2">
        <f>(S667*'Prestige Patterns'!$B$20)/60</f>
        <v>333</v>
      </c>
      <c r="D667" s="2">
        <f>IF(L666=L667,N666*'Prestige Patterns'!$B$20+D666-F667,0)</f>
        <v>7008632929954909</v>
      </c>
      <c r="E667" s="3">
        <f t="shared" si="1"/>
        <v>694</v>
      </c>
      <c r="F667" s="8">
        <f>'Prestige Patterns'!$B$5*('Prestige Patterns'!$B$6^E666-'Prestige Patterns'!$B$6^(E666+G667))/(1-'Prestige Patterns'!$B$6)</f>
        <v>7197243814069709</v>
      </c>
      <c r="G667" s="8">
        <f>FLOOR(LOG('Prestige Patterns'!$B$6^(E666) - (D666*(1-'Prestige Patterns'!$B$6)/'Prestige Patterns'!$B$5),'Prestige Patterns'!$B$6)-E666,1)</f>
        <v>4</v>
      </c>
      <c r="H667">
        <f t="shared" si="2"/>
        <v>1605941</v>
      </c>
      <c r="I667" s="5">
        <f>1+H667*'Prestige Patterns'!$B$25</f>
        <v>16060.41</v>
      </c>
      <c r="J667">
        <f>FLOOR((K667/'Prestige Patterns'!$B$22)^'Prestige Patterns'!$B$23,1)-H666</f>
        <v>369355</v>
      </c>
      <c r="K667" s="8">
        <f>K666+N666*'Prestige Patterns'!$B$20</f>
        <v>3.9017980011522874E+17</v>
      </c>
      <c r="L667" s="2">
        <f>IF(J666&gt;='Prestige Patterns'!$B$28,IF(J666/(H666+1)&gt;('Prestige Patterns'!$B$27+1),L666+1,L666),L666)</f>
        <v>12</v>
      </c>
      <c r="N667">
        <f t="shared" si="0"/>
        <v>233746979409100.81</v>
      </c>
      <c r="O667" s="3">
        <f>'Prestige Patterns'!$B$4*E667</f>
        <v>13880</v>
      </c>
      <c r="P667">
        <f t="shared" si="3"/>
        <v>1048576</v>
      </c>
      <c r="Q667" s="5"/>
      <c r="R667" s="5"/>
      <c r="S667" s="3">
        <v>666</v>
      </c>
      <c r="T667" s="5"/>
    </row>
    <row r="668" spans="1:20" ht="12">
      <c r="A668" s="1"/>
      <c r="B668" s="1"/>
      <c r="C668" s="2">
        <f>(S668*'Prestige Patterns'!$B$20)/60</f>
        <v>333.5</v>
      </c>
      <c r="D668" s="2">
        <f>IF(L667=L668,N667*'Prestige Patterns'!$B$20+D667-F668,0)</f>
        <v>7622388101679498</v>
      </c>
      <c r="E668" s="3">
        <f t="shared" si="1"/>
        <v>697</v>
      </c>
      <c r="F668" s="8">
        <f>'Prestige Patterns'!$B$5*('Prestige Patterns'!$B$6^E667-'Prestige Patterns'!$B$6^(E667+G668))/(1-'Prestige Patterns'!$B$6)</f>
        <v>6398654210548434</v>
      </c>
      <c r="G668" s="8">
        <f>FLOOR(LOG('Prestige Patterns'!$B$6^(E667) - (D667*(1-'Prestige Patterns'!$B$6)/'Prestige Patterns'!$B$5),'Prestige Patterns'!$B$6)-E667,1)</f>
        <v>3</v>
      </c>
      <c r="H668">
        <f t="shared" si="2"/>
        <v>1605941</v>
      </c>
      <c r="I668" s="5">
        <f>1+H668*'Prestige Patterns'!$B$25</f>
        <v>16060.41</v>
      </c>
      <c r="J668">
        <f>FLOOR((K668/'Prestige Patterns'!$B$22)^'Prestige Patterns'!$B$23,1)-H667</f>
        <v>387027</v>
      </c>
      <c r="K668" s="8">
        <f>K667+N667*'Prestige Patterns'!$B$20</f>
        <v>3.9719220949750176E+17</v>
      </c>
      <c r="L668" s="2">
        <f>IF(J667&gt;='Prestige Patterns'!$B$28,IF(J667/(H667+1)&gt;('Prestige Patterns'!$B$27+1),L667+1,L667),L667)</f>
        <v>12</v>
      </c>
      <c r="N668">
        <f t="shared" si="0"/>
        <v>234757413037670.41</v>
      </c>
      <c r="O668" s="3">
        <f>'Prestige Patterns'!$B$4*E668</f>
        <v>13940</v>
      </c>
      <c r="P668">
        <f t="shared" si="3"/>
        <v>1048576</v>
      </c>
      <c r="Q668" s="5"/>
      <c r="R668" s="5"/>
      <c r="S668" s="3">
        <v>667</v>
      </c>
      <c r="T668" s="5"/>
    </row>
    <row r="669" spans="1:20" ht="12">
      <c r="A669" s="1"/>
      <c r="B669" s="1"/>
      <c r="C669" s="2">
        <f>(S669*'Prestige Patterns'!$B$20)/60</f>
        <v>334</v>
      </c>
      <c r="D669" s="2">
        <f>IF(L668=L669,N668*'Prestige Patterns'!$B$20+D668-F669,0)</f>
        <v>7257868412323497</v>
      </c>
      <c r="E669" s="3">
        <f t="shared" si="1"/>
        <v>700</v>
      </c>
      <c r="F669" s="8">
        <f>'Prestige Patterns'!$B$5*('Prestige Patterns'!$B$6^E668-'Prestige Patterns'!$B$6^(E668+G669))/(1-'Prestige Patterns'!$B$6)</f>
        <v>7407242080486113</v>
      </c>
      <c r="G669" s="8">
        <f>FLOOR(LOG('Prestige Patterns'!$B$6^(E668) - (D668*(1-'Prestige Patterns'!$B$6)/'Prestige Patterns'!$B$5),'Prestige Patterns'!$B$6)-E668,1)</f>
        <v>3</v>
      </c>
      <c r="H669">
        <f t="shared" si="2"/>
        <v>1605941</v>
      </c>
      <c r="I669" s="5">
        <f>1+H669*'Prestige Patterns'!$B$25</f>
        <v>16060.41</v>
      </c>
      <c r="J669">
        <f>FLOOR((K669/'Prestige Patterns'!$B$22)^'Prestige Patterns'!$B$23,1)-H668</f>
        <v>404618</v>
      </c>
      <c r="K669" s="8">
        <f>K668+N668*'Prestige Patterns'!$B$20</f>
        <v>4.0423493188863187E+17</v>
      </c>
      <c r="L669" s="2">
        <f>IF(J668&gt;='Prestige Patterns'!$B$28,IF(J668/(H668+1)&gt;('Prestige Patterns'!$B$27+1),L668+1,L668),L668)</f>
        <v>12</v>
      </c>
      <c r="N669">
        <f t="shared" si="0"/>
        <v>7544571093319680</v>
      </c>
      <c r="O669" s="3">
        <f>'Prestige Patterns'!$B$4*E669</f>
        <v>14000</v>
      </c>
      <c r="P669">
        <f t="shared" si="3"/>
        <v>33554432</v>
      </c>
      <c r="Q669" s="5"/>
      <c r="R669" s="5"/>
      <c r="S669" s="3">
        <v>668</v>
      </c>
      <c r="T669" s="5"/>
    </row>
    <row r="670" spans="1:20" ht="12">
      <c r="A670" s="1"/>
      <c r="B670" s="1"/>
      <c r="C670" s="2">
        <f>(S670*'Prestige Patterns'!$B$20)/60</f>
        <v>334.5</v>
      </c>
      <c r="D670" s="2">
        <f>IF(L669=L670,N669*'Prestige Patterns'!$B$20+D669-F670,0)</f>
        <v>2.280189956107984E+17</v>
      </c>
      <c r="E670" s="3">
        <f t="shared" si="1"/>
        <v>702</v>
      </c>
      <c r="F670" s="8">
        <f>'Prestige Patterns'!$B$5*('Prestige Patterns'!$B$6^E669-'Prestige Patterns'!$B$6^(E669+G670))/(1-'Prestige Patterns'!$B$6)</f>
        <v>5576005601115495</v>
      </c>
      <c r="G670" s="8">
        <f>FLOOR(LOG('Prestige Patterns'!$B$6^(E669) - (D669*(1-'Prestige Patterns'!$B$6)/'Prestige Patterns'!$B$5),'Prestige Patterns'!$B$6)-E669,1)</f>
        <v>2</v>
      </c>
      <c r="H670">
        <f t="shared" si="2"/>
        <v>1605941</v>
      </c>
      <c r="I670" s="5">
        <f>1+H670*'Prestige Patterns'!$B$25</f>
        <v>16060.41</v>
      </c>
      <c r="J670">
        <f>FLOOR((K670/'Prestige Patterns'!$B$22)^'Prestige Patterns'!$B$23,1)-H669</f>
        <v>905178</v>
      </c>
      <c r="K670" s="8">
        <f>K669+N669*'Prestige Patterns'!$B$20</f>
        <v>6.3057206468822221E+17</v>
      </c>
      <c r="L670" s="2">
        <f>IF(J669&gt;='Prestige Patterns'!$B$28,IF(J669/(H669+1)&gt;('Prestige Patterns'!$B$27+1),L669+1,L669),L669)</f>
        <v>12</v>
      </c>
      <c r="N670">
        <f t="shared" si="0"/>
        <v>7566127010729165</v>
      </c>
      <c r="O670" s="3">
        <f>'Prestige Patterns'!$B$4*E670</f>
        <v>14040</v>
      </c>
      <c r="P670">
        <f t="shared" si="3"/>
        <v>33554432</v>
      </c>
      <c r="Q670" s="5"/>
      <c r="R670" s="5"/>
      <c r="S670" s="3">
        <v>669</v>
      </c>
      <c r="T670" s="5"/>
    </row>
    <row r="671" spans="1:20" ht="12">
      <c r="A671" s="1"/>
      <c r="B671" s="1"/>
      <c r="C671" s="2">
        <f>(S671*'Prestige Patterns'!$B$20)/60</f>
        <v>335</v>
      </c>
      <c r="D671" s="2">
        <f>IF(L670=L671,N670*'Prestige Patterns'!$B$20+D670-F671,0)</f>
        <v>2.2919644958849459E+17</v>
      </c>
      <c r="E671" s="3">
        <f t="shared" si="1"/>
        <v>734</v>
      </c>
      <c r="F671" s="8">
        <f>'Prestige Patterns'!$B$5*('Prestige Patterns'!$B$6^E670-'Prestige Patterns'!$B$6^(E670+G671))/(1-'Prestige Patterns'!$B$6)</f>
        <v>2.2580635634417875E+17</v>
      </c>
      <c r="G671" s="8">
        <f>FLOOR(LOG('Prestige Patterns'!$B$6^(E670) - (D670*(1-'Prestige Patterns'!$B$6)/'Prestige Patterns'!$B$5),'Prestige Patterns'!$B$6)-E670,1)</f>
        <v>32</v>
      </c>
      <c r="H671">
        <f t="shared" si="2"/>
        <v>1605941</v>
      </c>
      <c r="I671" s="5">
        <f>1+H671*'Prestige Patterns'!$B$25</f>
        <v>16060.41</v>
      </c>
      <c r="J671">
        <f>FLOOR((K671/'Prestige Patterns'!$B$22)^'Prestige Patterns'!$B$23,1)-H670</f>
        <v>1322464</v>
      </c>
      <c r="K671" s="8">
        <f>K670+N670*'Prestige Patterns'!$B$20</f>
        <v>8.5755587501009715E+17</v>
      </c>
      <c r="L671" s="2">
        <f>IF(J670&gt;='Prestige Patterns'!$B$28,IF(J670/(H670+1)&gt;('Prestige Patterns'!$B$27+1),L670+1,L670),L670)</f>
        <v>12</v>
      </c>
      <c r="N671">
        <f t="shared" si="0"/>
        <v>7911021689280922</v>
      </c>
      <c r="O671" s="3">
        <f>'Prestige Patterns'!$B$4*E671</f>
        <v>14680</v>
      </c>
      <c r="P671">
        <f t="shared" si="3"/>
        <v>33554432</v>
      </c>
      <c r="Q671" s="5"/>
      <c r="R671" s="5"/>
      <c r="S671" s="3">
        <v>670</v>
      </c>
      <c r="T671" s="5"/>
    </row>
    <row r="672" spans="1:20" ht="12">
      <c r="A672" s="1"/>
      <c r="B672" s="1"/>
      <c r="C672" s="2">
        <f>(S672*'Prestige Patterns'!$B$20)/60</f>
        <v>335.5</v>
      </c>
      <c r="D672" s="2">
        <f>IF(L671=L672,N671*'Prestige Patterns'!$B$20+D671-F672,0)</f>
        <v>2.3908535615762154E+17</v>
      </c>
      <c r="E672" s="3">
        <f t="shared" si="1"/>
        <v>746</v>
      </c>
      <c r="F672" s="8">
        <f>'Prestige Patterns'!$B$5*('Prestige Patterns'!$B$6^E671-'Prestige Patterns'!$B$6^(E671+G672))/(1-'Prestige Patterns'!$B$6)</f>
        <v>2.274417441093007E+17</v>
      </c>
      <c r="G672" s="8">
        <f>FLOOR(LOG('Prestige Patterns'!$B$6^(E671) - (D671*(1-'Prestige Patterns'!$B$6)/'Prestige Patterns'!$B$5),'Prestige Patterns'!$B$6)-E671,1)</f>
        <v>12</v>
      </c>
      <c r="H672">
        <f t="shared" si="2"/>
        <v>1605941</v>
      </c>
      <c r="I672" s="5">
        <f>1+H672*'Prestige Patterns'!$B$25</f>
        <v>16060.41</v>
      </c>
      <c r="J672">
        <f>FLOOR((K672/'Prestige Patterns'!$B$22)^'Prestige Patterns'!$B$23,1)-H671</f>
        <v>1702965</v>
      </c>
      <c r="K672" s="8">
        <f>K671+N671*'Prestige Patterns'!$B$20</f>
        <v>1.0948865256885248E+18</v>
      </c>
      <c r="L672" s="2">
        <f>IF(J671&gt;='Prestige Patterns'!$B$28,IF(J671/(H671+1)&gt;('Prestige Patterns'!$B$27+1),L671+1,L671),L671)</f>
        <v>12</v>
      </c>
      <c r="N672">
        <f t="shared" si="0"/>
        <v>8040357193737830</v>
      </c>
      <c r="O672" s="3">
        <f>'Prestige Patterns'!$B$4*E672</f>
        <v>14920</v>
      </c>
      <c r="P672">
        <f t="shared" si="3"/>
        <v>33554432</v>
      </c>
      <c r="Q672" s="5"/>
      <c r="R672" s="5"/>
      <c r="S672" s="3">
        <v>671</v>
      </c>
      <c r="T672" s="5"/>
    </row>
    <row r="673" spans="1:20" ht="12">
      <c r="A673" s="1"/>
      <c r="B673" s="1"/>
      <c r="C673" s="2">
        <f>(S673*'Prestige Patterns'!$B$20)/60</f>
        <v>336</v>
      </c>
      <c r="D673" s="2">
        <f>IF(L672=L673,N672*'Prestige Patterns'!$B$20+D672-F673,0)</f>
        <v>2.7136229923154003E+17</v>
      </c>
      <c r="E673" s="3">
        <f t="shared" si="1"/>
        <v>753</v>
      </c>
      <c r="F673" s="8">
        <f>'Prestige Patterns'!$B$5*('Prestige Patterns'!$B$6^E672-'Prestige Patterns'!$B$6^(E672+G673))/(1-'Prestige Patterns'!$B$6)</f>
        <v>2.0893377273821638E+17</v>
      </c>
      <c r="G673" s="8">
        <f>FLOOR(LOG('Prestige Patterns'!$B$6^(E672) - (D672*(1-'Prestige Patterns'!$B$6)/'Prestige Patterns'!$B$5),'Prestige Patterns'!$B$6)-E672,1)</f>
        <v>7</v>
      </c>
      <c r="H673">
        <f t="shared" si="2"/>
        <v>1605941</v>
      </c>
      <c r="I673" s="5">
        <f>1+H673*'Prestige Patterns'!$B$25</f>
        <v>16060.41</v>
      </c>
      <c r="J673">
        <f>FLOOR((K673/'Prestige Patterns'!$B$22)^'Prestige Patterns'!$B$23,1)-H672</f>
        <v>2049325</v>
      </c>
      <c r="K673" s="8">
        <f>K672+N672*'Prestige Patterns'!$B$20</f>
        <v>1.3360972415006597E+18</v>
      </c>
      <c r="L673" s="2">
        <f>IF(J672&gt;='Prestige Patterns'!$B$28,IF(J672/(H672+1)&gt;('Prestige Patterns'!$B$27+1),L672+1,L672),L672)</f>
        <v>12</v>
      </c>
      <c r="N673">
        <f t="shared" si="0"/>
        <v>8115802904671027</v>
      </c>
      <c r="O673" s="3">
        <f>'Prestige Patterns'!$B$4*E673</f>
        <v>15060</v>
      </c>
      <c r="P673">
        <f t="shared" si="3"/>
        <v>33554432</v>
      </c>
      <c r="Q673" s="5"/>
      <c r="R673" s="5"/>
      <c r="S673" s="3">
        <v>672</v>
      </c>
      <c r="T673" s="5"/>
    </row>
    <row r="674" spans="1:20" ht="12">
      <c r="A674" s="1"/>
      <c r="B674" s="1"/>
      <c r="C674" s="2">
        <f>(S674*'Prestige Patterns'!$B$20)/60</f>
        <v>336.5</v>
      </c>
      <c r="D674" s="2">
        <f>IF(L673=L674,N673*'Prestige Patterns'!$B$20+D673-F674,0)</f>
        <v>2.6923362136670243E+17</v>
      </c>
      <c r="E674" s="3">
        <f t="shared" si="1"/>
        <v>759</v>
      </c>
      <c r="F674" s="8">
        <f>'Prestige Patterns'!$B$5*('Prestige Patterns'!$B$6^E673-'Prestige Patterns'!$B$6^(E673+G674))/(1-'Prestige Patterns'!$B$6)</f>
        <v>2.4560276500496842E+17</v>
      </c>
      <c r="G674" s="8">
        <f>FLOOR(LOG('Prestige Patterns'!$B$6^(E673) - (D673*(1-'Prestige Patterns'!$B$6)/'Prestige Patterns'!$B$5),'Prestige Patterns'!$B$6)-E673,1)</f>
        <v>6</v>
      </c>
      <c r="H674">
        <f t="shared" si="2"/>
        <v>1605941</v>
      </c>
      <c r="I674" s="5">
        <f>1+H674*'Prestige Patterns'!$B$25</f>
        <v>16060.41</v>
      </c>
      <c r="J674">
        <f>FLOOR((K674/'Prestige Patterns'!$B$22)^'Prestige Patterns'!$B$23,1)-H673</f>
        <v>2368441</v>
      </c>
      <c r="K674" s="8">
        <f>K673+N673*'Prestige Patterns'!$B$20</f>
        <v>1.5795713286407905E+18</v>
      </c>
      <c r="L674" s="2">
        <f>IF(J673&gt;='Prestige Patterns'!$B$28,IF(J673/(H673+1)&gt;('Prestige Patterns'!$B$27+1),L673+1,L673),L673)</f>
        <v>12</v>
      </c>
      <c r="N674">
        <f t="shared" si="0"/>
        <v>8180470656899482</v>
      </c>
      <c r="O674" s="3">
        <f>'Prestige Patterns'!$B$4*E674</f>
        <v>15180</v>
      </c>
      <c r="P674">
        <f t="shared" si="3"/>
        <v>33554432</v>
      </c>
      <c r="Q674" s="5"/>
      <c r="R674" s="5"/>
      <c r="S674" s="3">
        <v>673</v>
      </c>
      <c r="T674" s="5"/>
    </row>
    <row r="675" spans="1:20" ht="12">
      <c r="A675" s="1"/>
      <c r="B675" s="1"/>
      <c r="C675" s="2">
        <f>(S675*'Prestige Patterns'!$B$20)/60</f>
        <v>337</v>
      </c>
      <c r="D675" s="2">
        <f>IF(L674=L675,N674*'Prestige Patterns'!$B$20+D674-F675,0)</f>
        <v>2.4727330318181626E+17</v>
      </c>
      <c r="E675" s="3">
        <f t="shared" si="1"/>
        <v>764</v>
      </c>
      <c r="F675" s="8">
        <f>'Prestige Patterns'!$B$5*('Prestige Patterns'!$B$6^E674-'Prestige Patterns'!$B$6^(E674+G675))/(1-'Prestige Patterns'!$B$6)</f>
        <v>2.6737443789187066E+17</v>
      </c>
      <c r="G675" s="8">
        <f>FLOOR(LOG('Prestige Patterns'!$B$6^(E674) - (D674*(1-'Prestige Patterns'!$B$6)/'Prestige Patterns'!$B$5),'Prestige Patterns'!$B$6)-E674,1)</f>
        <v>5</v>
      </c>
      <c r="H675">
        <f t="shared" si="2"/>
        <v>1605941</v>
      </c>
      <c r="I675" s="5">
        <f>1+H675*'Prestige Patterns'!$B$25</f>
        <v>16060.41</v>
      </c>
      <c r="J675">
        <f>FLOOR((K675/'Prestige Patterns'!$B$22)^'Prestige Patterns'!$B$23,1)-H674</f>
        <v>2666043</v>
      </c>
      <c r="K675" s="8">
        <f>K674+N674*'Prestige Patterns'!$B$20</f>
        <v>1.824985448347775E+18</v>
      </c>
      <c r="L675" s="2">
        <f>IF(J674&gt;='Prestige Patterns'!$B$28,IF(J674/(H674+1)&gt;('Prestige Patterns'!$B$27+1),L674+1,L674),L674)</f>
        <v>12</v>
      </c>
      <c r="N675">
        <f t="shared" si="0"/>
        <v>8234360450423194</v>
      </c>
      <c r="O675" s="3">
        <f>'Prestige Patterns'!$B$4*E675</f>
        <v>15280</v>
      </c>
      <c r="P675">
        <f t="shared" si="3"/>
        <v>33554432</v>
      </c>
      <c r="Q675" s="5"/>
      <c r="R675" s="5"/>
      <c r="S675" s="3">
        <v>674</v>
      </c>
      <c r="T675" s="5"/>
    </row>
    <row r="676" spans="1:20" ht="12">
      <c r="A676" s="1"/>
      <c r="B676" s="1"/>
      <c r="C676" s="2">
        <f>(S676*'Prestige Patterns'!$B$20)/60</f>
        <v>337.5</v>
      </c>
      <c r="D676" s="2">
        <f>IF(L675=L676,N675*'Prestige Patterns'!$B$20+D675-F676,0)</f>
        <v>0</v>
      </c>
      <c r="E676" s="3">
        <f t="shared" si="1"/>
        <v>1</v>
      </c>
      <c r="F676" s="8">
        <f>'Prestige Patterns'!$B$5*('Prestige Patterns'!$B$6^E675-'Prestige Patterns'!$B$6^(E675+G676))/(1-'Prestige Patterns'!$B$6)</f>
        <v>1.9468817586475408E+17</v>
      </c>
      <c r="G676" s="8">
        <f>FLOOR(LOG('Prestige Patterns'!$B$6^(E675) - (D675*(1-'Prestige Patterns'!$B$6)/'Prestige Patterns'!$B$5),'Prestige Patterns'!$B$6)-E675,1)</f>
        <v>3</v>
      </c>
      <c r="H676">
        <f t="shared" si="2"/>
        <v>4271984</v>
      </c>
      <c r="I676" s="5">
        <f>1+H676*'Prestige Patterns'!$B$25</f>
        <v>42720.840000000004</v>
      </c>
      <c r="J676">
        <f>FLOOR((K676/'Prestige Patterns'!$B$22)^'Prestige Patterns'!$B$23,1)-H675</f>
        <v>2945999</v>
      </c>
      <c r="K676" s="8">
        <f>K675+N675*'Prestige Patterns'!$B$20</f>
        <v>2.0720162618604708E+18</v>
      </c>
      <c r="L676" s="2">
        <f>IF(J675&gt;='Prestige Patterns'!$B$28,IF(J675/(H675+1)&gt;('Prestige Patterns'!$B$27+1),L675+1,L675),L675)</f>
        <v>13</v>
      </c>
      <c r="N676">
        <f t="shared" si="0"/>
        <v>28669470415257.602</v>
      </c>
      <c r="O676" s="3">
        <f>'Prestige Patterns'!$B$4*E676</f>
        <v>20</v>
      </c>
      <c r="P676">
        <f t="shared" si="3"/>
        <v>33554432</v>
      </c>
      <c r="Q676" s="5"/>
      <c r="R676" s="5"/>
      <c r="S676" s="3">
        <v>675</v>
      </c>
      <c r="T676" s="5"/>
    </row>
    <row r="677" spans="1:20" ht="12">
      <c r="A677" s="1"/>
      <c r="B677" s="1"/>
      <c r="C677" s="2">
        <f>(S677*'Prestige Patterns'!$B$20)/60</f>
        <v>338</v>
      </c>
      <c r="D677" s="2">
        <f>IF(L676=L677,N676*'Prestige Patterns'!$B$20+D676-F677,0)</f>
        <v>860084112457728</v>
      </c>
      <c r="E677" s="3">
        <f t="shared" si="1"/>
        <v>1</v>
      </c>
      <c r="F677" s="8">
        <f>'Prestige Patterns'!$B$5*('Prestige Patterns'!$B$6^E676-'Prestige Patterns'!$B$6^(E676+G677))/(1-'Prestige Patterns'!$B$6)</f>
        <v>0</v>
      </c>
      <c r="G677" s="8">
        <f>FLOOR(LOG('Prestige Patterns'!$B$6^(E676) - (D676*(1-'Prestige Patterns'!$B$6)/'Prestige Patterns'!$B$5),'Prestige Patterns'!$B$6)-E676,1)</f>
        <v>0</v>
      </c>
      <c r="H677">
        <f t="shared" si="2"/>
        <v>4271984</v>
      </c>
      <c r="I677" s="5">
        <f>1+H677*'Prestige Patterns'!$B$25</f>
        <v>42720.840000000004</v>
      </c>
      <c r="J677">
        <f>FLOOR((K677/'Prestige Patterns'!$B$22)^'Prestige Patterns'!$B$23,1)-H676</f>
        <v>280901</v>
      </c>
      <c r="K677" s="8">
        <f>K676+N676*'Prestige Patterns'!$B$20</f>
        <v>2.0728763459729285E+18</v>
      </c>
      <c r="L677" s="2">
        <f>IF(J676&gt;='Prestige Patterns'!$B$28,IF(J676/(H676+1)&gt;('Prestige Patterns'!$B$27+1),L676+1,L676),L676)</f>
        <v>13</v>
      </c>
      <c r="N677">
        <f t="shared" si="0"/>
        <v>28669470415257.602</v>
      </c>
      <c r="O677" s="3">
        <f>'Prestige Patterns'!$B$4*E677</f>
        <v>20</v>
      </c>
      <c r="P677">
        <f t="shared" si="3"/>
        <v>33554432</v>
      </c>
      <c r="Q677" s="5"/>
      <c r="R677" s="5"/>
      <c r="S677" s="3">
        <v>676</v>
      </c>
      <c r="T677" s="5"/>
    </row>
    <row r="678" spans="1:20" ht="12">
      <c r="A678" s="1"/>
      <c r="B678" s="1"/>
      <c r="C678" s="2">
        <f>(S678*'Prestige Patterns'!$B$20)/60</f>
        <v>338.5</v>
      </c>
      <c r="D678" s="2">
        <f>IF(L677=L678,N677*'Prestige Patterns'!$B$20+D677-F678,0)</f>
        <v>860147504085236.5</v>
      </c>
      <c r="E678" s="3">
        <f t="shared" si="1"/>
        <v>615</v>
      </c>
      <c r="F678" s="8">
        <f>'Prestige Patterns'!$B$5*('Prestige Patterns'!$B$6^E677-'Prestige Patterns'!$B$6^(E677+G678))/(1-'Prestige Patterns'!$B$6)</f>
        <v>860020720830219.5</v>
      </c>
      <c r="G678" s="8">
        <f>FLOOR(LOG('Prestige Patterns'!$B$6^(E677) - (D677*(1-'Prestige Patterns'!$B$6)/'Prestige Patterns'!$B$5),'Prestige Patterns'!$B$6)-E677,1)</f>
        <v>614</v>
      </c>
      <c r="H678">
        <f t="shared" si="2"/>
        <v>4271984</v>
      </c>
      <c r="I678" s="5">
        <f>1+H678*'Prestige Patterns'!$B$25</f>
        <v>42720.840000000004</v>
      </c>
      <c r="J678">
        <f>FLOOR((K678/'Prestige Patterns'!$B$22)^'Prestige Patterns'!$B$23,1)-H677</f>
        <v>281845</v>
      </c>
      <c r="K678" s="8">
        <f>K677+N677*'Prestige Patterns'!$B$20</f>
        <v>2.0737364300853862E+18</v>
      </c>
      <c r="L678" s="2">
        <f>IF(J677&gt;='Prestige Patterns'!$B$28,IF(J677/(H677+1)&gt;('Prestige Patterns'!$B$27+1),L677+1,L677),L677)</f>
        <v>13</v>
      </c>
      <c r="N678">
        <f t="shared" si="0"/>
        <v>550991384543232.06</v>
      </c>
      <c r="O678" s="3">
        <f>'Prestige Patterns'!$B$4*E678</f>
        <v>12300</v>
      </c>
      <c r="P678">
        <f t="shared" si="3"/>
        <v>1048576</v>
      </c>
      <c r="Q678" s="5"/>
      <c r="R678" s="5"/>
      <c r="S678" s="3">
        <v>677</v>
      </c>
      <c r="T678" s="5"/>
    </row>
    <row r="679" spans="1:20" ht="12">
      <c r="A679" s="1"/>
      <c r="B679" s="1"/>
      <c r="C679" s="2">
        <f>(S679*'Prestige Patterns'!$B$20)/60</f>
        <v>339</v>
      </c>
      <c r="D679" s="2">
        <f>IF(L678=L679,N678*'Prestige Patterns'!$B$20+D678-F679,0)</f>
        <v>1.6547127559867936E+16</v>
      </c>
      <c r="E679" s="3">
        <f t="shared" si="1"/>
        <v>629</v>
      </c>
      <c r="F679" s="8">
        <f>'Prestige Patterns'!$B$5*('Prestige Patterns'!$B$6^E678-'Prestige Patterns'!$B$6^(E678+G679))/(1-'Prestige Patterns'!$B$6)</f>
        <v>842761480514263</v>
      </c>
      <c r="G679" s="8">
        <f>FLOOR(LOG('Prestige Patterns'!$B$6^(E678) - (D678*(1-'Prestige Patterns'!$B$6)/'Prestige Patterns'!$B$5),'Prestige Patterns'!$B$6)-E678,1)</f>
        <v>14</v>
      </c>
      <c r="H679">
        <f t="shared" si="2"/>
        <v>4271984</v>
      </c>
      <c r="I679" s="5">
        <f>1+H679*'Prestige Patterns'!$B$25</f>
        <v>42720.840000000004</v>
      </c>
      <c r="J679">
        <f>FLOOR((K679/'Prestige Patterns'!$B$22)^'Prestige Patterns'!$B$23,1)-H678</f>
        <v>299958</v>
      </c>
      <c r="K679" s="8">
        <f>K678+N678*'Prestige Patterns'!$B$20</f>
        <v>2.0902661716216832E+18</v>
      </c>
      <c r="L679" s="2">
        <f>IF(J678&gt;='Prestige Patterns'!$B$28,IF(J678/(H678+1)&gt;('Prestige Patterns'!$B$27+1),L678+1,L678),L678)</f>
        <v>13</v>
      </c>
      <c r="N679">
        <f t="shared" si="0"/>
        <v>563534277849907.25</v>
      </c>
      <c r="O679" s="3">
        <f>'Prestige Patterns'!$B$4*E679</f>
        <v>12580</v>
      </c>
      <c r="P679">
        <f t="shared" si="3"/>
        <v>1048576</v>
      </c>
      <c r="Q679" s="5"/>
      <c r="R679" s="5"/>
      <c r="S679" s="3">
        <v>678</v>
      </c>
      <c r="T679" s="5"/>
    </row>
    <row r="680" spans="1:20" ht="12">
      <c r="A680" s="1"/>
      <c r="B680" s="1"/>
      <c r="C680" s="2">
        <f>(S680*'Prestige Patterns'!$B$20)/60</f>
        <v>339.5</v>
      </c>
      <c r="D680" s="2">
        <f>IF(L679=L680,N679*'Prestige Patterns'!$B$20+D679-F680,0)</f>
        <v>1.7444841270511194E+16</v>
      </c>
      <c r="E680" s="3">
        <f t="shared" si="1"/>
        <v>677</v>
      </c>
      <c r="F680" s="8">
        <f>'Prestige Patterns'!$B$5*('Prestige Patterns'!$B$6^E679-'Prestige Patterns'!$B$6^(E679+G680))/(1-'Prestige Patterns'!$B$6)</f>
        <v>1.6008314624853958E+16</v>
      </c>
      <c r="G680" s="8">
        <f>FLOOR(LOG('Prestige Patterns'!$B$6^(E679) - (D679*(1-'Prestige Patterns'!$B$6)/'Prestige Patterns'!$B$5),'Prestige Patterns'!$B$6)-E679,1)</f>
        <v>48</v>
      </c>
      <c r="H680">
        <f t="shared" si="2"/>
        <v>4271984</v>
      </c>
      <c r="I680" s="5">
        <f>1+H680*'Prestige Patterns'!$B$25</f>
        <v>42720.840000000004</v>
      </c>
      <c r="J680">
        <f>FLOOR((K680/'Prestige Patterns'!$B$22)^'Prestige Patterns'!$B$23,1)-H679</f>
        <v>318410</v>
      </c>
      <c r="K680" s="8">
        <f>K679+N679*'Prestige Patterns'!$B$20</f>
        <v>2.1071721999571804E+18</v>
      </c>
      <c r="L680" s="2">
        <f>IF(J679&gt;='Prestige Patterns'!$B$28,IF(J679/(H679+1)&gt;('Prestige Patterns'!$B$27+1),L679+1,L679),L679)</f>
        <v>13</v>
      </c>
      <c r="N680">
        <f t="shared" si="0"/>
        <v>606538483472793.62</v>
      </c>
      <c r="O680" s="3">
        <f>'Prestige Patterns'!$B$4*E680</f>
        <v>13540</v>
      </c>
      <c r="P680">
        <f t="shared" si="3"/>
        <v>1048576</v>
      </c>
      <c r="Q680" s="5"/>
      <c r="R680" s="5"/>
      <c r="S680" s="3">
        <v>679</v>
      </c>
      <c r="T680" s="5"/>
    </row>
    <row r="681" spans="1:20" ht="12">
      <c r="A681" s="1"/>
      <c r="B681" s="1"/>
      <c r="C681" s="2">
        <f>(S681*'Prestige Patterns'!$B$20)/60</f>
        <v>340</v>
      </c>
      <c r="D681" s="2">
        <f>IF(L680=L681,N680*'Prestige Patterns'!$B$20+D680-F681,0)</f>
        <v>1.828533233397224E+16</v>
      </c>
      <c r="E681" s="3">
        <f t="shared" si="1"/>
        <v>691</v>
      </c>
      <c r="F681" s="8">
        <f>'Prestige Patterns'!$B$5*('Prestige Patterns'!$B$6^E680-'Prestige Patterns'!$B$6^(E680+G681))/(1-'Prestige Patterns'!$B$6)</f>
        <v>1.735566344072276E+16</v>
      </c>
      <c r="G681" s="8">
        <f>FLOOR(LOG('Prestige Patterns'!$B$6^(E680) - (D680*(1-'Prestige Patterns'!$B$6)/'Prestige Patterns'!$B$5),'Prestige Patterns'!$B$6)-E680,1)</f>
        <v>14</v>
      </c>
      <c r="H681">
        <f t="shared" si="2"/>
        <v>4271984</v>
      </c>
      <c r="I681" s="5">
        <f>1+H681*'Prestige Patterns'!$B$25</f>
        <v>42720.840000000004</v>
      </c>
      <c r="J681">
        <f>FLOOR((K681/'Prestige Patterns'!$B$22)^'Prestige Patterns'!$B$23,1)-H680</f>
        <v>338187</v>
      </c>
      <c r="K681" s="8">
        <f>K680+N680*'Prestige Patterns'!$B$20</f>
        <v>2.1253683544613642E+18</v>
      </c>
      <c r="L681" s="2">
        <f>IF(J680&gt;='Prestige Patterns'!$B$28,IF(J680/(H680+1)&gt;('Prestige Patterns'!$B$27+1),L680+1,L680),L680)</f>
        <v>13</v>
      </c>
      <c r="N681">
        <f t="shared" si="0"/>
        <v>619081376779468.88</v>
      </c>
      <c r="O681" s="3">
        <f>'Prestige Patterns'!$B$4*E681</f>
        <v>13820</v>
      </c>
      <c r="P681">
        <f t="shared" si="3"/>
        <v>1048576</v>
      </c>
      <c r="Q681" s="5"/>
      <c r="R681" s="5"/>
      <c r="S681" s="3">
        <v>680</v>
      </c>
      <c r="T681" s="5"/>
    </row>
    <row r="682" spans="1:20" ht="12">
      <c r="A682" s="1"/>
      <c r="B682" s="1"/>
      <c r="C682" s="2">
        <f>(S682*'Prestige Patterns'!$B$20)/60</f>
        <v>340.5</v>
      </c>
      <c r="D682" s="2">
        <f>IF(L681=L682,N681*'Prestige Patterns'!$B$20+D681-F682,0)</f>
        <v>2.0114958051868736E+16</v>
      </c>
      <c r="E682" s="3">
        <f t="shared" si="1"/>
        <v>699</v>
      </c>
      <c r="F682" s="8">
        <f>'Prestige Patterns'!$B$5*('Prestige Patterns'!$B$6^E681-'Prestige Patterns'!$B$6^(E681+G682))/(1-'Prestige Patterns'!$B$6)</f>
        <v>1.674281558548757E+16</v>
      </c>
      <c r="G682" s="8">
        <f>FLOOR(LOG('Prestige Patterns'!$B$6^(E681) - (D681*(1-'Prestige Patterns'!$B$6)/'Prestige Patterns'!$B$5),'Prestige Patterns'!$B$6)-E681,1)</f>
        <v>8</v>
      </c>
      <c r="H682">
        <f t="shared" si="2"/>
        <v>4271984</v>
      </c>
      <c r="I682" s="5">
        <f>1+H682*'Prestige Patterns'!$B$25</f>
        <v>42720.840000000004</v>
      </c>
      <c r="J682">
        <f>FLOOR((K682/'Prestige Patterns'!$B$22)^'Prestige Patterns'!$B$23,1)-H681</f>
        <v>358286</v>
      </c>
      <c r="K682" s="8">
        <f>K681+N681*'Prestige Patterns'!$B$20</f>
        <v>2.1439407957647483E+18</v>
      </c>
      <c r="L682" s="2">
        <f>IF(J681&gt;='Prestige Patterns'!$B$28,IF(J681/(H681+1)&gt;('Prestige Patterns'!$B$27+1),L681+1,L681),L681)</f>
        <v>13</v>
      </c>
      <c r="N682">
        <f t="shared" si="0"/>
        <v>626248744383283.25</v>
      </c>
      <c r="O682" s="3">
        <f>'Prestige Patterns'!$B$4*E682</f>
        <v>13980</v>
      </c>
      <c r="P682">
        <f t="shared" si="3"/>
        <v>1048576</v>
      </c>
      <c r="Q682" s="5"/>
      <c r="R682" s="5"/>
      <c r="S682" s="3">
        <v>681</v>
      </c>
      <c r="T682" s="5"/>
    </row>
    <row r="683" spans="1:20" ht="12">
      <c r="A683" s="1"/>
      <c r="B683" s="1"/>
      <c r="C683" s="2">
        <f>(S683*'Prestige Patterns'!$B$20)/60</f>
        <v>341</v>
      </c>
      <c r="D683" s="2">
        <f>IF(L682=L683,N682*'Prestige Patterns'!$B$20+D682-F683,0)</f>
        <v>2.1282209493332696E+16</v>
      </c>
      <c r="E683" s="3">
        <f t="shared" si="1"/>
        <v>705</v>
      </c>
      <c r="F683" s="8">
        <f>'Prestige Patterns'!$B$5*('Prestige Patterns'!$B$6^E682-'Prestige Patterns'!$B$6^(E682+G683))/(1-'Prestige Patterns'!$B$6)</f>
        <v>1.7620210890034534E+16</v>
      </c>
      <c r="G683" s="8">
        <f>FLOOR(LOG('Prestige Patterns'!$B$6^(E682) - (D682*(1-'Prestige Patterns'!$B$6)/'Prestige Patterns'!$B$5),'Prestige Patterns'!$B$6)-E682,1)</f>
        <v>6</v>
      </c>
      <c r="H683">
        <f t="shared" si="2"/>
        <v>4271984</v>
      </c>
      <c r="I683" s="5">
        <f>1+H683*'Prestige Patterns'!$B$25</f>
        <v>42720.840000000004</v>
      </c>
      <c r="J683">
        <f>FLOOR((K683/'Prestige Patterns'!$B$22)^'Prestige Patterns'!$B$23,1)-H682</f>
        <v>378530</v>
      </c>
      <c r="K683" s="8">
        <f>K682+N682*'Prestige Patterns'!$B$20</f>
        <v>2.1627282580962468E+18</v>
      </c>
      <c r="L683" s="2">
        <f>IF(J682&gt;='Prestige Patterns'!$B$28,IF(J682/(H682+1)&gt;('Prestige Patterns'!$B$27+1),L682+1,L682),L682)</f>
        <v>13</v>
      </c>
      <c r="N683">
        <f t="shared" si="0"/>
        <v>2.0211976642756608E+16</v>
      </c>
      <c r="O683" s="3">
        <f>'Prestige Patterns'!$B$4*E683</f>
        <v>14100</v>
      </c>
      <c r="P683">
        <f t="shared" si="3"/>
        <v>33554432</v>
      </c>
      <c r="Q683" s="5"/>
      <c r="R683" s="5"/>
      <c r="S683" s="3">
        <v>682</v>
      </c>
      <c r="T683" s="5"/>
    </row>
    <row r="684" spans="1:20" ht="12">
      <c r="A684" s="1"/>
      <c r="B684" s="1"/>
      <c r="C684" s="2">
        <f>(S684*'Prestige Patterns'!$B$20)/60</f>
        <v>341.5</v>
      </c>
      <c r="D684" s="2">
        <f>IF(L683=L684,N683*'Prestige Patterns'!$B$20+D683-F684,0)</f>
        <v>6.0845933881078694E+17</v>
      </c>
      <c r="E684" s="3">
        <f t="shared" si="1"/>
        <v>710</v>
      </c>
      <c r="F684" s="8">
        <f>'Prestige Patterns'!$B$5*('Prestige Patterns'!$B$6^E683-'Prestige Patterns'!$B$6^(E683+G684))/(1-'Prestige Patterns'!$B$6)</f>
        <v>1.9182169965244032E+16</v>
      </c>
      <c r="G684" s="8">
        <f>FLOOR(LOG('Prestige Patterns'!$B$6^(E683) - (D683*(1-'Prestige Patterns'!$B$6)/'Prestige Patterns'!$B$5),'Prestige Patterns'!$B$6)-E683,1)</f>
        <v>5</v>
      </c>
      <c r="H684">
        <f t="shared" si="2"/>
        <v>4271984</v>
      </c>
      <c r="I684" s="5">
        <f>1+H684*'Prestige Patterns'!$B$25</f>
        <v>42720.840000000004</v>
      </c>
      <c r="J684">
        <f>FLOOR((K684/'Prestige Patterns'!$B$22)^'Prestige Patterns'!$B$23,1)-H683</f>
        <v>990228</v>
      </c>
      <c r="K684" s="8">
        <f>K683+N683*'Prestige Patterns'!$B$20</f>
        <v>2.769087557378945E+18</v>
      </c>
      <c r="L684" s="2">
        <f>IF(J683&gt;='Prestige Patterns'!$B$28,IF(J683/(H683+1)&gt;('Prestige Patterns'!$B$27+1),L683+1,L683),L683)</f>
        <v>13</v>
      </c>
      <c r="N684">
        <f t="shared" si="0"/>
        <v>2.0355323994832896E+16</v>
      </c>
      <c r="O684" s="3">
        <f>'Prestige Patterns'!$B$4*E684</f>
        <v>14200</v>
      </c>
      <c r="P684">
        <f t="shared" si="3"/>
        <v>33554432</v>
      </c>
      <c r="Q684" s="5"/>
      <c r="R684" s="5"/>
      <c r="S684" s="3">
        <v>683</v>
      </c>
      <c r="T684" s="5"/>
    </row>
    <row r="685" spans="1:20" ht="12">
      <c r="A685" s="1"/>
      <c r="B685" s="1"/>
      <c r="C685" s="2">
        <f>(S685*'Prestige Patterns'!$B$20)/60</f>
        <v>342</v>
      </c>
      <c r="D685" s="2">
        <f>IF(L684=L685,N684*'Prestige Patterns'!$B$20+D684-F685,0)</f>
        <v>6.1996155494647014E+17</v>
      </c>
      <c r="E685" s="3">
        <f t="shared" si="1"/>
        <v>752</v>
      </c>
      <c r="F685" s="8">
        <f>'Prestige Patterns'!$B$5*('Prestige Patterns'!$B$6^E684-'Prestige Patterns'!$B$6^(E684+G685))/(1-'Prestige Patterns'!$B$6)</f>
        <v>5.9915750370930355E+17</v>
      </c>
      <c r="G685" s="8">
        <f>FLOOR(LOG('Prestige Patterns'!$B$6^(E684) - (D684*(1-'Prestige Patterns'!$B$6)/'Prestige Patterns'!$B$5),'Prestige Patterns'!$B$6)-E684,1)</f>
        <v>42</v>
      </c>
      <c r="H685">
        <f t="shared" si="2"/>
        <v>4271984</v>
      </c>
      <c r="I685" s="5">
        <f>1+H685*'Prestige Patterns'!$B$25</f>
        <v>42720.840000000004</v>
      </c>
      <c r="J685">
        <f>FLOOR((K685/'Prestige Patterns'!$B$22)^'Prestige Patterns'!$B$23,1)-H684</f>
        <v>1541575</v>
      </c>
      <c r="K685" s="8">
        <f>K684+N684*'Prestige Patterns'!$B$20</f>
        <v>3.3797472772239319E+18</v>
      </c>
      <c r="L685" s="2">
        <f>IF(J684&gt;='Prestige Patterns'!$B$28,IF(J684/(H684+1)&gt;('Prestige Patterns'!$B$27+1),L684+1,L684),L684)</f>
        <v>13</v>
      </c>
      <c r="N685">
        <f t="shared" si="0"/>
        <v>2.1559441752273716E+16</v>
      </c>
      <c r="O685" s="3">
        <f>'Prestige Patterns'!$B$4*E685</f>
        <v>15040</v>
      </c>
      <c r="P685">
        <f t="shared" si="3"/>
        <v>33554432</v>
      </c>
      <c r="Q685" s="5"/>
      <c r="R685" s="5"/>
      <c r="S685" s="3">
        <v>684</v>
      </c>
      <c r="T685" s="5"/>
    </row>
    <row r="686" spans="1:20" ht="12">
      <c r="A686" s="1"/>
      <c r="B686" s="1"/>
      <c r="C686" s="2">
        <f>(S686*'Prestige Patterns'!$B$20)/60</f>
        <v>342.5</v>
      </c>
      <c r="D686" s="2">
        <f>IF(L685=L686,N685*'Prestige Patterns'!$B$20+D685-F686,0)</f>
        <v>6.5762237478025869E+17</v>
      </c>
      <c r="E686" s="3">
        <f t="shared" si="1"/>
        <v>765</v>
      </c>
      <c r="F686" s="8">
        <f>'Prestige Patterns'!$B$5*('Prestige Patterns'!$B$6^E685-'Prestige Patterns'!$B$6^(E685+G686))/(1-'Prestige Patterns'!$B$6)</f>
        <v>6.0912243273442291E+17</v>
      </c>
      <c r="G686" s="8">
        <f>FLOOR(LOG('Prestige Patterns'!$B$6^(E685) - (D685*(1-'Prestige Patterns'!$B$6)/'Prestige Patterns'!$B$5),'Prestige Patterns'!$B$6)-E685,1)</f>
        <v>13</v>
      </c>
      <c r="H686">
        <f t="shared" si="2"/>
        <v>4271984</v>
      </c>
      <c r="I686" s="5">
        <f>1+H686*'Prestige Patterns'!$B$25</f>
        <v>42720.840000000004</v>
      </c>
      <c r="J686">
        <f>FLOOR((K686/'Prestige Patterns'!$B$22)^'Prestige Patterns'!$B$23,1)-H685</f>
        <v>2073510</v>
      </c>
      <c r="K686" s="8">
        <f>K685+N685*'Prestige Patterns'!$B$20</f>
        <v>4.0265305297921434E+18</v>
      </c>
      <c r="L686" s="2">
        <f>IF(J685&gt;='Prestige Patterns'!$B$28,IF(J685/(H685+1)&gt;('Prestige Patterns'!$B$27+1),L685+1,L685),L685)</f>
        <v>13</v>
      </c>
      <c r="N686">
        <f t="shared" si="0"/>
        <v>2.1932144867672064E+16</v>
      </c>
      <c r="O686" s="3">
        <f>'Prestige Patterns'!$B$4*E686</f>
        <v>15300</v>
      </c>
      <c r="P686">
        <f t="shared" si="3"/>
        <v>33554432</v>
      </c>
      <c r="Q686" s="5"/>
      <c r="R686" s="5"/>
      <c r="S686" s="3">
        <v>685</v>
      </c>
      <c r="T686" s="5"/>
    </row>
    <row r="687" spans="1:20" ht="12">
      <c r="A687" s="1"/>
      <c r="B687" s="1"/>
      <c r="C687" s="2">
        <f>(S687*'Prestige Patterns'!$B$20)/60</f>
        <v>343</v>
      </c>
      <c r="D687" s="2">
        <f>IF(L686=L687,N686*'Prestige Patterns'!$B$20+D686-F687,0)</f>
        <v>6.9637862641937485E+17</v>
      </c>
      <c r="E687" s="3">
        <f t="shared" si="1"/>
        <v>773</v>
      </c>
      <c r="F687" s="8">
        <f>'Prestige Patterns'!$B$5*('Prestige Patterns'!$B$6^E686-'Prestige Patterns'!$B$6^(E686+G687))/(1-'Prestige Patterns'!$B$6)</f>
        <v>6.1920809439104589E+17</v>
      </c>
      <c r="G687" s="8">
        <f>FLOOR(LOG('Prestige Patterns'!$B$6^(E686) - (D686*(1-'Prestige Patterns'!$B$6)/'Prestige Patterns'!$B$5),'Prestige Patterns'!$B$6)-E686,1)</f>
        <v>8</v>
      </c>
      <c r="H687">
        <f t="shared" si="2"/>
        <v>4271984</v>
      </c>
      <c r="I687" s="5">
        <f>1+H687*'Prestige Patterns'!$B$25</f>
        <v>42720.840000000004</v>
      </c>
      <c r="J687">
        <f>FLOOR((K687/'Prestige Patterns'!$B$22)^'Prestige Patterns'!$B$23,1)-H686</f>
        <v>2572352</v>
      </c>
      <c r="K687" s="8">
        <f>K686+N686*'Prestige Patterns'!$B$20</f>
        <v>4.6844948758223053E+18</v>
      </c>
      <c r="L687" s="2">
        <f>IF(J686&gt;='Prestige Patterns'!$B$28,IF(J686/(H686+1)&gt;('Prestige Patterns'!$B$27+1),L686+1,L686),L686)</f>
        <v>13</v>
      </c>
      <c r="N687">
        <f t="shared" si="0"/>
        <v>2.2161500630994128E+16</v>
      </c>
      <c r="O687" s="3">
        <f>'Prestige Patterns'!$B$4*E687</f>
        <v>15460</v>
      </c>
      <c r="P687">
        <f t="shared" si="3"/>
        <v>33554432</v>
      </c>
      <c r="Q687" s="5"/>
      <c r="R687" s="5"/>
      <c r="S687" s="3">
        <v>686</v>
      </c>
      <c r="T687" s="5"/>
    </row>
    <row r="688" spans="1:20" ht="12">
      <c r="A688" s="1"/>
      <c r="B688" s="1"/>
      <c r="C688" s="2">
        <f>(S688*'Prestige Patterns'!$B$20)/60</f>
        <v>343.5</v>
      </c>
      <c r="D688" s="2">
        <f>IF(L687=L688,N687*'Prestige Patterns'!$B$20+D687-F688,0)</f>
        <v>7.0956639258439142E+17</v>
      </c>
      <c r="E688" s="3">
        <f t="shared" si="1"/>
        <v>779</v>
      </c>
      <c r="F688" s="8">
        <f>'Prestige Patterns'!$B$5*('Prestige Patterns'!$B$6^E687-'Prestige Patterns'!$B$6^(E687+G688))/(1-'Prestige Patterns'!$B$6)</f>
        <v>6.5165725276480742E+17</v>
      </c>
      <c r="G688" s="8">
        <f>FLOOR(LOG('Prestige Patterns'!$B$6^(E687) - (D687*(1-'Prestige Patterns'!$B$6)/'Prestige Patterns'!$B$5),'Prestige Patterns'!$B$6)-E687,1)</f>
        <v>6</v>
      </c>
      <c r="H688">
        <f t="shared" si="2"/>
        <v>4271984</v>
      </c>
      <c r="I688" s="5">
        <f>1+H688*'Prestige Patterns'!$B$25</f>
        <v>42720.840000000004</v>
      </c>
      <c r="J688">
        <f>FLOOR((K688/'Prestige Patterns'!$B$22)^'Prestige Patterns'!$B$23,1)-H687</f>
        <v>3041934</v>
      </c>
      <c r="K688" s="8">
        <f>K687+N687*'Prestige Patterns'!$B$20</f>
        <v>5.349339894752129E+18</v>
      </c>
      <c r="L688" s="2">
        <f>IF(J687&gt;='Prestige Patterns'!$B$28,IF(J687/(H687+1)&gt;('Prestige Patterns'!$B$27+1),L687+1,L687),L687)</f>
        <v>13</v>
      </c>
      <c r="N688">
        <f t="shared" si="0"/>
        <v>2.2333517453485672E+16</v>
      </c>
      <c r="O688" s="3">
        <f>'Prestige Patterns'!$B$4*E688</f>
        <v>15580</v>
      </c>
      <c r="P688">
        <f t="shared" si="3"/>
        <v>33554432</v>
      </c>
      <c r="Q688" s="5"/>
      <c r="R688" s="5"/>
      <c r="S688" s="3">
        <v>687</v>
      </c>
      <c r="T688" s="5"/>
    </row>
    <row r="689" spans="1:20" ht="12">
      <c r="A689" s="1"/>
      <c r="B689" s="1"/>
      <c r="C689" s="2">
        <f>(S689*'Prestige Patterns'!$B$20)/60</f>
        <v>344</v>
      </c>
      <c r="D689" s="2">
        <f>IF(L688=L689,N688*'Prestige Patterns'!$B$20+D688-F689,0)</f>
        <v>6.7014793371618099E+17</v>
      </c>
      <c r="E689" s="3">
        <f t="shared" si="1"/>
        <v>784</v>
      </c>
      <c r="F689" s="8">
        <f>'Prestige Patterns'!$B$5*('Prestige Patterns'!$B$6^E688-'Prestige Patterns'!$B$6^(E688+G689))/(1-'Prestige Patterns'!$B$6)</f>
        <v>7.0942398247278054E+17</v>
      </c>
      <c r="G689" s="8">
        <f>FLOOR(LOG('Prestige Patterns'!$B$6^(E688) - (D688*(1-'Prestige Patterns'!$B$6)/'Prestige Patterns'!$B$5),'Prestige Patterns'!$B$6)-E688,1)</f>
        <v>5</v>
      </c>
      <c r="H689">
        <f t="shared" si="2"/>
        <v>4271984</v>
      </c>
      <c r="I689" s="5">
        <f>1+H689*'Prestige Patterns'!$B$25</f>
        <v>42720.840000000004</v>
      </c>
      <c r="J689">
        <f>FLOOR((K689/'Prestige Patterns'!$B$22)^'Prestige Patterns'!$B$23,1)-H688</f>
        <v>3486460</v>
      </c>
      <c r="K689" s="8">
        <f>K688+N688*'Prestige Patterns'!$B$20</f>
        <v>6.0193454183566991E+18</v>
      </c>
      <c r="L689" s="2">
        <f>IF(J688&gt;='Prestige Patterns'!$B$28,IF(J688/(H688+1)&gt;('Prestige Patterns'!$B$27+1),L688+1,L688),L688)</f>
        <v>13</v>
      </c>
      <c r="N689">
        <f t="shared" si="0"/>
        <v>2.247686480556196E+16</v>
      </c>
      <c r="O689" s="3">
        <f>'Prestige Patterns'!$B$4*E689</f>
        <v>15680</v>
      </c>
      <c r="P689">
        <f t="shared" si="3"/>
        <v>33554432</v>
      </c>
      <c r="Q689" s="5"/>
      <c r="R689" s="5"/>
      <c r="S689" s="3">
        <v>688</v>
      </c>
      <c r="T689" s="5"/>
    </row>
    <row r="690" spans="1:20" ht="12">
      <c r="A690" s="1"/>
      <c r="B690" s="1"/>
      <c r="C690" s="2">
        <f>(S690*'Prestige Patterns'!$B$20)/60</f>
        <v>344.5</v>
      </c>
      <c r="D690" s="2">
        <f>IF(L689=L690,N689*'Prestige Patterns'!$B$20+D689-F690,0)</f>
        <v>8.2788818764233498E+17</v>
      </c>
      <c r="E690" s="3">
        <f t="shared" si="1"/>
        <v>787</v>
      </c>
      <c r="F690" s="8">
        <f>'Prestige Patterns'!$B$5*('Prestige Patterns'!$B$6^E689-'Prestige Patterns'!$B$6^(E689+G690))/(1-'Prestige Patterns'!$B$6)</f>
        <v>5.1656569024070483E+17</v>
      </c>
      <c r="G690" s="8">
        <f>FLOOR(LOG('Prestige Patterns'!$B$6^(E689) - (D689*(1-'Prestige Patterns'!$B$6)/'Prestige Patterns'!$B$5),'Prestige Patterns'!$B$6)-E689,1)</f>
        <v>3</v>
      </c>
      <c r="H690">
        <f t="shared" si="2"/>
        <v>4271984</v>
      </c>
      <c r="I690" s="5">
        <f>1+H690*'Prestige Patterns'!$B$25</f>
        <v>42720.840000000004</v>
      </c>
      <c r="J690">
        <f>FLOOR((K690/'Prestige Patterns'!$B$22)^'Prestige Patterns'!$B$23,1)-H689</f>
        <v>3909489</v>
      </c>
      <c r="K690" s="8">
        <f>K689+N689*'Prestige Patterns'!$B$20</f>
        <v>6.6936513625235579E+18</v>
      </c>
      <c r="L690" s="2">
        <f>IF(J689&gt;='Prestige Patterns'!$B$28,IF(J689/(H689+1)&gt;('Prestige Patterns'!$B$27+1),L689+1,L689),L689)</f>
        <v>13</v>
      </c>
      <c r="N690">
        <f t="shared" si="0"/>
        <v>2.2562873216807732E+16</v>
      </c>
      <c r="O690" s="3">
        <f>'Prestige Patterns'!$B$4*E690</f>
        <v>15740</v>
      </c>
      <c r="P690">
        <f t="shared" si="3"/>
        <v>33554432</v>
      </c>
      <c r="Q690" s="5"/>
      <c r="R690" s="5"/>
      <c r="S690" s="3">
        <v>689</v>
      </c>
      <c r="T690" s="5"/>
    </row>
    <row r="691" spans="1:20" ht="12">
      <c r="A691" s="1"/>
      <c r="B691" s="1"/>
      <c r="C691" s="2">
        <f>(S691*'Prestige Patterns'!$B$20)/60</f>
        <v>345</v>
      </c>
      <c r="D691" s="2">
        <f>IF(L690=L691,N690*'Prestige Patterns'!$B$20+D690-F691,0)</f>
        <v>6.8719821347238784E+17</v>
      </c>
      <c r="E691" s="3">
        <f t="shared" si="1"/>
        <v>791</v>
      </c>
      <c r="F691" s="8">
        <f>'Prestige Patterns'!$B$5*('Prestige Patterns'!$B$6^E690-'Prestige Patterns'!$B$6^(E690+G691))/(1-'Prestige Patterns'!$B$6)</f>
        <v>8.1757617067417907E+17</v>
      </c>
      <c r="G691" s="8">
        <f>FLOOR(LOG('Prestige Patterns'!$B$6^(E690) - (D690*(1-'Prestige Patterns'!$B$6)/'Prestige Patterns'!$B$5),'Prestige Patterns'!$B$6)-E690,1)</f>
        <v>4</v>
      </c>
      <c r="H691">
        <f t="shared" si="2"/>
        <v>4271984</v>
      </c>
      <c r="I691" s="5">
        <f>1+H691*'Prestige Patterns'!$B$25</f>
        <v>42720.840000000004</v>
      </c>
      <c r="J691">
        <f>FLOOR((K691/'Prestige Patterns'!$B$22)^'Prestige Patterns'!$B$23,1)-H690</f>
        <v>4313199</v>
      </c>
      <c r="K691" s="8">
        <f>K690+N690*'Prestige Patterns'!$B$20</f>
        <v>7.3705375590277898E+18</v>
      </c>
      <c r="L691" s="2">
        <f>IF(J690&gt;='Prestige Patterns'!$B$28,IF(J690/(H690+1)&gt;('Prestige Patterns'!$B$27+1),L690+1,L690),L690)</f>
        <v>13</v>
      </c>
      <c r="N691">
        <f t="shared" si="0"/>
        <v>2.2677551098468764E+16</v>
      </c>
      <c r="O691" s="3">
        <f>'Prestige Patterns'!$B$4*E691</f>
        <v>15820</v>
      </c>
      <c r="P691">
        <f t="shared" si="3"/>
        <v>33554432</v>
      </c>
      <c r="Q691" s="5"/>
      <c r="R691" s="5"/>
      <c r="S691" s="3">
        <v>690</v>
      </c>
      <c r="T691" s="5"/>
    </row>
    <row r="692" spans="1:20" ht="12">
      <c r="A692" s="1"/>
      <c r="B692" s="1"/>
      <c r="C692" s="2">
        <f>(S692*'Prestige Patterns'!$B$20)/60</f>
        <v>345.5</v>
      </c>
      <c r="D692" s="2">
        <f>IF(L691=L692,N691*'Prestige Patterns'!$B$20+D691-F692,0)</f>
        <v>8.9486413034772122E+17</v>
      </c>
      <c r="E692" s="3">
        <f t="shared" si="1"/>
        <v>793</v>
      </c>
      <c r="F692" s="8">
        <f>'Prestige Patterns'!$B$5*('Prestige Patterns'!$B$6^E691-'Prestige Patterns'!$B$6^(E691+G692))/(1-'Prestige Patterns'!$B$6)</f>
        <v>4.7266061607872979E+17</v>
      </c>
      <c r="G692" s="8">
        <f>FLOOR(LOG('Prestige Patterns'!$B$6^(E691) - (D691*(1-'Prestige Patterns'!$B$6)/'Prestige Patterns'!$B$5),'Prestige Patterns'!$B$6)-E691,1)</f>
        <v>2</v>
      </c>
      <c r="H692">
        <f t="shared" si="2"/>
        <v>4271984</v>
      </c>
      <c r="I692" s="5">
        <f>1+H692*'Prestige Patterns'!$B$25</f>
        <v>42720.840000000004</v>
      </c>
      <c r="J692">
        <f>FLOOR((K692/'Prestige Patterns'!$B$22)^'Prestige Patterns'!$B$23,1)-H691</f>
        <v>4700676</v>
      </c>
      <c r="K692" s="8">
        <f>K691+N691*'Prestige Patterns'!$B$20</f>
        <v>8.0508640919818527E+18</v>
      </c>
      <c r="L692" s="2">
        <f>IF(J691&gt;='Prestige Patterns'!$B$28,IF(J691/(H691+1)&gt;('Prestige Patterns'!$B$27+1),L691+1,L691),L691)</f>
        <v>13</v>
      </c>
      <c r="N692">
        <f t="shared" si="0"/>
        <v>2.273489003929928E+16</v>
      </c>
      <c r="O692" s="3">
        <f>'Prestige Patterns'!$B$4*E692</f>
        <v>15860</v>
      </c>
      <c r="P692">
        <f t="shared" si="3"/>
        <v>33554432</v>
      </c>
      <c r="Q692" s="5"/>
      <c r="R692" s="5"/>
      <c r="S692" s="3">
        <v>691</v>
      </c>
      <c r="T692" s="5"/>
    </row>
    <row r="693" spans="1:20" ht="12">
      <c r="A693" s="1"/>
      <c r="B693" s="1"/>
      <c r="C693" s="2">
        <f>(S693*'Prestige Patterns'!$B$20)/60</f>
        <v>346</v>
      </c>
      <c r="D693" s="2">
        <f>IF(L692=L693,N692*'Prestige Patterns'!$B$20+D692-F693,0)</f>
        <v>7.7554790084987661E+17</v>
      </c>
      <c r="E693" s="3">
        <f t="shared" si="1"/>
        <v>796</v>
      </c>
      <c r="F693" s="8">
        <f>'Prestige Patterns'!$B$5*('Prestige Patterns'!$B$6^E692-'Prestige Patterns'!$B$6^(E692+G693))/(1-'Prestige Patterns'!$B$6)</f>
        <v>8.0136293067682291E+17</v>
      </c>
      <c r="G693" s="8">
        <f>FLOOR(LOG('Prestige Patterns'!$B$6^(E692) - (D692*(1-'Prestige Patterns'!$B$6)/'Prestige Patterns'!$B$5),'Prestige Patterns'!$B$6)-E692,1)</f>
        <v>3</v>
      </c>
      <c r="H693">
        <f t="shared" si="2"/>
        <v>4271984</v>
      </c>
      <c r="I693" s="5">
        <f>1+H693*'Prestige Patterns'!$B$25</f>
        <v>42720.840000000004</v>
      </c>
      <c r="J693">
        <f>FLOOR((K693/'Prestige Patterns'!$B$22)^'Prestige Patterns'!$B$23,1)-H692</f>
        <v>5073020</v>
      </c>
      <c r="K693" s="8">
        <f>K692+N692*'Prestige Patterns'!$B$20</f>
        <v>8.732910793160831E+18</v>
      </c>
      <c r="L693" s="2">
        <f>IF(J692&gt;='Prestige Patterns'!$B$28,IF(J692/(H692+1)&gt;('Prestige Patterns'!$B$27+1),L692+1,L692),L692)</f>
        <v>13</v>
      </c>
      <c r="N693">
        <f t="shared" si="0"/>
        <v>2.2820898450545052E+16</v>
      </c>
      <c r="O693" s="3">
        <f>'Prestige Patterns'!$B$4*E693</f>
        <v>15920</v>
      </c>
      <c r="P693">
        <f t="shared" si="3"/>
        <v>33554432</v>
      </c>
      <c r="Q693" s="5"/>
      <c r="R693" s="5"/>
      <c r="S693" s="3">
        <v>692</v>
      </c>
      <c r="T693" s="5"/>
    </row>
    <row r="694" spans="1:20" ht="12">
      <c r="A694" s="1"/>
      <c r="B694" s="1"/>
      <c r="C694" s="2">
        <f>(S694*'Prestige Patterns'!$B$20)/60</f>
        <v>346.5</v>
      </c>
      <c r="D694" s="2">
        <f>IF(L693=L694,N693*'Prestige Patterns'!$B$20+D693-F694,0)</f>
        <v>8.5692682474505498E+17</v>
      </c>
      <c r="E694" s="3">
        <f t="shared" si="1"/>
        <v>798</v>
      </c>
      <c r="F694" s="8">
        <f>'Prestige Patterns'!$B$5*('Prestige Patterns'!$B$6^E693-'Prestige Patterns'!$B$6^(E693+G694))/(1-'Prestige Patterns'!$B$6)</f>
        <v>6.0324802962117325E+17</v>
      </c>
      <c r="G694" s="8">
        <f>FLOOR(LOG('Prestige Patterns'!$B$6^(E693) - (D693*(1-'Prestige Patterns'!$B$6)/'Prestige Patterns'!$B$5),'Prestige Patterns'!$B$6)-E693,1)</f>
        <v>2</v>
      </c>
      <c r="H694">
        <f t="shared" si="2"/>
        <v>4271984</v>
      </c>
      <c r="I694" s="5">
        <f>1+H694*'Prestige Patterns'!$B$25</f>
        <v>42720.840000000004</v>
      </c>
      <c r="J694">
        <f>FLOOR((K694/'Prestige Patterns'!$B$22)^'Prestige Patterns'!$B$23,1)-H693</f>
        <v>5432415</v>
      </c>
      <c r="K694" s="8">
        <f>K693+N693*'Prestige Patterns'!$B$20</f>
        <v>9.4175377466771825E+18</v>
      </c>
      <c r="L694" s="2">
        <f>IF(J693&gt;='Prestige Patterns'!$B$28,IF(J693/(H693+1)&gt;('Prestige Patterns'!$B$27+1),L693+1,L693),L693)</f>
        <v>13</v>
      </c>
      <c r="N694">
        <f t="shared" si="0"/>
        <v>2.2878237391375568E+16</v>
      </c>
      <c r="O694" s="3">
        <f>'Prestige Patterns'!$B$4*E694</f>
        <v>15960</v>
      </c>
      <c r="P694">
        <f t="shared" si="3"/>
        <v>33554432</v>
      </c>
      <c r="Q694" s="5"/>
      <c r="R694" s="5"/>
      <c r="S694" s="3">
        <v>693</v>
      </c>
      <c r="T694" s="5"/>
    </row>
    <row r="695" spans="1:20" ht="12">
      <c r="A695" s="1"/>
      <c r="B695" s="1"/>
      <c r="C695" s="2">
        <f>(S695*'Prestige Patterns'!$B$20)/60</f>
        <v>347</v>
      </c>
      <c r="D695" s="2">
        <f>IF(L694=L695,N694*'Prestige Patterns'!$B$20+D694-F695,0)</f>
        <v>8.7819299382897498E+17</v>
      </c>
      <c r="E695" s="3">
        <f t="shared" si="1"/>
        <v>800</v>
      </c>
      <c r="F695" s="8">
        <f>'Prestige Patterns'!$B$5*('Prestige Patterns'!$B$6^E694-'Prestige Patterns'!$B$6^(E694+G695))/(1-'Prestige Patterns'!$B$6)</f>
        <v>6.650809526573472E+17</v>
      </c>
      <c r="G695" s="8">
        <f>FLOOR(LOG('Prestige Patterns'!$B$6^(E694) - (D694*(1-'Prestige Patterns'!$B$6)/'Prestige Patterns'!$B$5),'Prestige Patterns'!$B$6)-E694,1)</f>
        <v>2</v>
      </c>
      <c r="H695">
        <f t="shared" si="2"/>
        <v>4271984</v>
      </c>
      <c r="I695" s="5">
        <f>1+H695*'Prestige Patterns'!$B$25</f>
        <v>42720.840000000004</v>
      </c>
      <c r="J695">
        <f>FLOOR((K695/'Prestige Patterns'!$B$22)^'Prestige Patterns'!$B$23,1)-H694</f>
        <v>5779824</v>
      </c>
      <c r="K695" s="8">
        <f>K694+N694*'Prestige Patterns'!$B$20</f>
        <v>1.0103884868418449E+19</v>
      </c>
      <c r="L695" s="2">
        <f>IF(J694&gt;='Prestige Patterns'!$B$28,IF(J694/(H694+1)&gt;('Prestige Patterns'!$B$27+1),L694+1,L694),L694)</f>
        <v>13</v>
      </c>
      <c r="N695">
        <f t="shared" si="0"/>
        <v>2.2935576332206084E+16</v>
      </c>
      <c r="O695" s="3">
        <f>'Prestige Patterns'!$B$4*E695</f>
        <v>16000</v>
      </c>
      <c r="P695">
        <f t="shared" si="3"/>
        <v>33554432</v>
      </c>
      <c r="Q695" s="5"/>
      <c r="R695" s="5"/>
      <c r="S695" s="3">
        <v>694</v>
      </c>
      <c r="T695" s="5"/>
    </row>
    <row r="696" spans="1:20" ht="12">
      <c r="A696" s="1"/>
      <c r="B696" s="1"/>
      <c r="C696" s="2">
        <f>(S696*'Prestige Patterns'!$B$20)/60</f>
        <v>347.5</v>
      </c>
      <c r="D696" s="2">
        <f>IF(L695=L696,N695*'Prestige Patterns'!$B$20+D695-F696,0)</f>
        <v>8.3300853349043366E+17</v>
      </c>
      <c r="E696" s="3">
        <f t="shared" si="1"/>
        <v>802</v>
      </c>
      <c r="F696" s="8">
        <f>'Prestige Patterns'!$B$5*('Prestige Patterns'!$B$6^E695-'Prestige Patterns'!$B$6^(E695+G696))/(1-'Prestige Patterns'!$B$6)</f>
        <v>7.3325175030472384E+17</v>
      </c>
      <c r="G696" s="8">
        <f>FLOOR(LOG('Prestige Patterns'!$B$6^(E695) - (D695*(1-'Prestige Patterns'!$B$6)/'Prestige Patterns'!$B$5),'Prestige Patterns'!$B$6)-E695,1)</f>
        <v>2</v>
      </c>
      <c r="H696">
        <f t="shared" si="2"/>
        <v>4271984</v>
      </c>
      <c r="I696" s="5">
        <f>1+H696*'Prestige Patterns'!$B$25</f>
        <v>42720.840000000004</v>
      </c>
      <c r="J696">
        <f>FLOOR((K696/'Prestige Patterns'!$B$22)^'Prestige Patterns'!$B$23,1)-H695</f>
        <v>6116448</v>
      </c>
      <c r="K696" s="8">
        <f>K695+N695*'Prestige Patterns'!$B$20</f>
        <v>1.0791952158384632E+19</v>
      </c>
      <c r="L696" s="2">
        <f>IF(J695&gt;='Prestige Patterns'!$B$28,IF(J695/(H695+1)&gt;('Prestige Patterns'!$B$27+1),L695+1,L695),L695)</f>
        <v>13</v>
      </c>
      <c r="N696">
        <f t="shared" si="0"/>
        <v>2.2992915273036596E+16</v>
      </c>
      <c r="O696" s="3">
        <f>'Prestige Patterns'!$B$4*E696</f>
        <v>16040</v>
      </c>
      <c r="P696">
        <f t="shared" si="3"/>
        <v>33554432</v>
      </c>
      <c r="Q696" s="5"/>
      <c r="R696" s="5"/>
      <c r="S696" s="3">
        <v>695</v>
      </c>
      <c r="T696" s="5"/>
    </row>
    <row r="697" spans="1:20" ht="12">
      <c r="A697" s="1"/>
      <c r="B697" s="1"/>
      <c r="C697" s="2">
        <f>(S697*'Prestige Patterns'!$B$20)/60</f>
        <v>348</v>
      </c>
      <c r="D697" s="2">
        <f>IF(L696=L697,N696*'Prestige Patterns'!$B$20+D696-F697,0)</f>
        <v>7.1438593697057408E+17</v>
      </c>
      <c r="E697" s="3">
        <f t="shared" si="1"/>
        <v>804</v>
      </c>
      <c r="F697" s="8">
        <f>'Prestige Patterns'!$B$5*('Prestige Patterns'!$B$6^E696-'Prestige Patterns'!$B$6^(E696+G697))/(1-'Prestige Patterns'!$B$6)</f>
        <v>8.0841005471095731E+17</v>
      </c>
      <c r="G697" s="8">
        <f>FLOOR(LOG('Prestige Patterns'!$B$6^(E696) - (D696*(1-'Prestige Patterns'!$B$6)/'Prestige Patterns'!$B$5),'Prestige Patterns'!$B$6)-E696,1)</f>
        <v>2</v>
      </c>
      <c r="H697">
        <f t="shared" si="2"/>
        <v>4271984</v>
      </c>
      <c r="I697" s="5">
        <f>1+H697*'Prestige Patterns'!$B$25</f>
        <v>42720.840000000004</v>
      </c>
      <c r="J697">
        <f>FLOOR((K697/'Prestige Patterns'!$B$22)^'Prestige Patterns'!$B$23,1)-H696</f>
        <v>6443303</v>
      </c>
      <c r="K697" s="8">
        <f>K696+N696*'Prestige Patterns'!$B$20</f>
        <v>1.148173961657573E+19</v>
      </c>
      <c r="L697" s="2">
        <f>IF(J696&gt;='Prestige Patterns'!$B$28,IF(J696/(H696+1)&gt;('Prestige Patterns'!$B$27+1),L696+1,L696),L696)</f>
        <v>13</v>
      </c>
      <c r="N697">
        <f t="shared" si="0"/>
        <v>2.3050254213867112E+16</v>
      </c>
      <c r="O697" s="3">
        <f>'Prestige Patterns'!$B$4*E697</f>
        <v>16080</v>
      </c>
      <c r="P697">
        <f t="shared" si="3"/>
        <v>33554432</v>
      </c>
      <c r="Q697" s="5"/>
      <c r="R697" s="5"/>
      <c r="S697" s="3">
        <v>696</v>
      </c>
      <c r="T697" s="5"/>
    </row>
    <row r="698" spans="1:20" ht="12">
      <c r="A698" s="1"/>
      <c r="B698" s="1"/>
      <c r="C698" s="2">
        <f>(S698*'Prestige Patterns'!$B$20)/60</f>
        <v>348.5</v>
      </c>
      <c r="D698" s="2">
        <f>IF(L697=L698,N697*'Prestige Patterns'!$B$20+D697-F698,0)</f>
        <v>0</v>
      </c>
      <c r="E698" s="3">
        <f t="shared" si="1"/>
        <v>1</v>
      </c>
      <c r="F698" s="8">
        <f>'Prestige Patterns'!$B$5*('Prestige Patterns'!$B$6^E697-'Prestige Patterns'!$B$6^(E697+G698))/(1-'Prestige Patterns'!$B$6)</f>
        <v>4.3476687088723546E+17</v>
      </c>
      <c r="G698" s="8">
        <f>FLOOR(LOG('Prestige Patterns'!$B$6^(E697) - (D697*(1-'Prestige Patterns'!$B$6)/'Prestige Patterns'!$B$5),'Prestige Patterns'!$B$6)-E697,1)</f>
        <v>1</v>
      </c>
      <c r="H698">
        <f t="shared" si="2"/>
        <v>10715287</v>
      </c>
      <c r="I698" s="5">
        <f>1+H698*'Prestige Patterns'!$B$25</f>
        <v>107153.87</v>
      </c>
      <c r="J698">
        <f>FLOOR((K698/'Prestige Patterns'!$B$22)^'Prestige Patterns'!$B$23,1)-H697</f>
        <v>6761259</v>
      </c>
      <c r="K698" s="8">
        <f>K697+N697*'Prestige Patterns'!$B$20</f>
        <v>1.2173247242991743E+19</v>
      </c>
      <c r="L698" s="2">
        <f>IF(J697&gt;='Prestige Patterns'!$B$28,IF(J697/(H697+1)&gt;('Prestige Patterns'!$B$27+1),L697+1,L697),L697)</f>
        <v>14</v>
      </c>
      <c r="N698">
        <f t="shared" si="0"/>
        <v>71909744889036.797</v>
      </c>
      <c r="O698" s="3">
        <f>'Prestige Patterns'!$B$4*E698</f>
        <v>20</v>
      </c>
      <c r="P698">
        <f t="shared" si="3"/>
        <v>33554432</v>
      </c>
      <c r="Q698" s="5"/>
      <c r="R698" s="5"/>
      <c r="S698" s="3">
        <v>697</v>
      </c>
      <c r="T698" s="5"/>
    </row>
    <row r="699" spans="1:20" ht="12">
      <c r="A699" s="1"/>
      <c r="B699" s="1"/>
      <c r="C699" s="2">
        <f>(S699*'Prestige Patterns'!$B$20)/60</f>
        <v>349</v>
      </c>
      <c r="D699" s="2">
        <f>IF(L698=L699,N698*'Prestige Patterns'!$B$20+D698-F699,0)</f>
        <v>2157292346671104</v>
      </c>
      <c r="E699" s="3">
        <f t="shared" si="1"/>
        <v>1</v>
      </c>
      <c r="F699" s="8">
        <f>'Prestige Patterns'!$B$5*('Prestige Patterns'!$B$6^E698-'Prestige Patterns'!$B$6^(E698+G699))/(1-'Prestige Patterns'!$B$6)</f>
        <v>0</v>
      </c>
      <c r="G699" s="8">
        <f>FLOOR(LOG('Prestige Patterns'!$B$6^(E698) - (D698*(1-'Prestige Patterns'!$B$6)/'Prestige Patterns'!$B$5),'Prestige Patterns'!$B$6)-E698,1)</f>
        <v>0</v>
      </c>
      <c r="H699">
        <f t="shared" si="2"/>
        <v>10715287</v>
      </c>
      <c r="I699" s="5">
        <f>1+H699*'Prestige Patterns'!$B$25</f>
        <v>107153.87</v>
      </c>
      <c r="J699">
        <f>FLOOR((K699/'Prestige Patterns'!$B$22)^'Prestige Patterns'!$B$23,1)-H698</f>
        <v>318934</v>
      </c>
      <c r="K699" s="8">
        <f>K698+N698*'Prestige Patterns'!$B$20</f>
        <v>1.2175404535338414E+19</v>
      </c>
      <c r="L699" s="2">
        <f>IF(J698&gt;='Prestige Patterns'!$B$28,IF(J698/(H698+1)&gt;('Prestige Patterns'!$B$27+1),L698+1,L698),L698)</f>
        <v>14</v>
      </c>
      <c r="N699">
        <f t="shared" si="0"/>
        <v>71909744889036.797</v>
      </c>
      <c r="O699" s="3">
        <f>'Prestige Patterns'!$B$4*E699</f>
        <v>20</v>
      </c>
      <c r="P699">
        <f t="shared" si="3"/>
        <v>33554432</v>
      </c>
      <c r="Q699" s="5"/>
      <c r="R699" s="5"/>
      <c r="S699" s="3">
        <v>698</v>
      </c>
      <c r="T699" s="5"/>
    </row>
    <row r="700" spans="1:20" ht="12">
      <c r="A700" s="1"/>
      <c r="B700" s="1"/>
      <c r="C700" s="2">
        <f>(S700*'Prestige Patterns'!$B$20)/60</f>
        <v>349.5</v>
      </c>
      <c r="D700" s="2">
        <f>IF(L699=L700,N699*'Prestige Patterns'!$B$20+D699-F700,0)</f>
        <v>2244842285219212.8</v>
      </c>
      <c r="E700" s="3">
        <f t="shared" si="1"/>
        <v>633</v>
      </c>
      <c r="F700" s="8">
        <f>'Prestige Patterns'!$B$5*('Prestige Patterns'!$B$6^E699-'Prestige Patterns'!$B$6^(E699+G700))/(1-'Prestige Patterns'!$B$6)</f>
        <v>2069742408122995.2</v>
      </c>
      <c r="G700" s="8">
        <f>FLOOR(LOG('Prestige Patterns'!$B$6^(E699) - (D699*(1-'Prestige Patterns'!$B$6)/'Prestige Patterns'!$B$5),'Prestige Patterns'!$B$6)-E699,1)</f>
        <v>632</v>
      </c>
      <c r="H700">
        <f t="shared" si="2"/>
        <v>10715287</v>
      </c>
      <c r="I700" s="5">
        <f>1+H700*'Prestige Patterns'!$B$25</f>
        <v>107153.87</v>
      </c>
      <c r="J700">
        <f>FLOOR((K700/'Prestige Patterns'!$B$22)^'Prestige Patterns'!$B$23,1)-H699</f>
        <v>319912</v>
      </c>
      <c r="K700" s="8">
        <f>K699+N699*'Prestige Patterns'!$B$20</f>
        <v>1.2177561827685085E+19</v>
      </c>
      <c r="L700" s="2">
        <f>IF(J699&gt;='Prestige Patterns'!$B$28,IF(J699/(H699+1)&gt;('Prestige Patterns'!$B$27+1),L699+1,L699),L699)</f>
        <v>14</v>
      </c>
      <c r="N700">
        <f t="shared" si="0"/>
        <v>1422464641086259.2</v>
      </c>
      <c r="O700" s="3">
        <f>'Prestige Patterns'!$B$4*E700</f>
        <v>12660</v>
      </c>
      <c r="P700">
        <f t="shared" si="3"/>
        <v>1048576</v>
      </c>
      <c r="Q700" s="5"/>
      <c r="R700" s="5"/>
      <c r="S700" s="3">
        <v>699</v>
      </c>
      <c r="T700" s="5"/>
    </row>
    <row r="701" spans="1:20" ht="12">
      <c r="A701" s="1"/>
      <c r="B701" s="1"/>
      <c r="C701" s="2">
        <f>(S701*'Prestige Patterns'!$B$20)/60</f>
        <v>350</v>
      </c>
      <c r="D701" s="2">
        <f>IF(L700=L701,N700*'Prestige Patterns'!$B$20+D700-F701,0)</f>
        <v>4.2685678109560256E+16</v>
      </c>
      <c r="E701" s="3">
        <f t="shared" si="1"/>
        <v>648</v>
      </c>
      <c r="F701" s="8">
        <f>'Prestige Patterns'!$B$5*('Prestige Patterns'!$B$6^E700-'Prestige Patterns'!$B$6^(E700+G701))/(1-'Prestige Patterns'!$B$6)</f>
        <v>2233103408246734.2</v>
      </c>
      <c r="G701" s="8">
        <f>FLOOR(LOG('Prestige Patterns'!$B$6^(E700) - (D700*(1-'Prestige Patterns'!$B$6)/'Prestige Patterns'!$B$5),'Prestige Patterns'!$B$6)-E700,1)</f>
        <v>15</v>
      </c>
      <c r="H701">
        <f t="shared" si="2"/>
        <v>10715287</v>
      </c>
      <c r="I701" s="5">
        <f>1+H701*'Prestige Patterns'!$B$25</f>
        <v>107153.87</v>
      </c>
      <c r="J701">
        <f>FLOOR((K701/'Prestige Patterns'!$B$22)^'Prestige Patterns'!$B$23,1)-H700</f>
        <v>339230</v>
      </c>
      <c r="K701" s="8">
        <f>K700+N700*'Prestige Patterns'!$B$20</f>
        <v>1.2220235766917673E+19</v>
      </c>
      <c r="L701" s="2">
        <f>IF(J700&gt;='Prestige Patterns'!$B$28,IF(J700/(H700+1)&gt;('Prestige Patterns'!$B$27+1),L700+1,L700),L700)</f>
        <v>14</v>
      </c>
      <c r="N701">
        <f t="shared" si="0"/>
        <v>1456172334002995.2</v>
      </c>
      <c r="O701" s="3">
        <f>'Prestige Patterns'!$B$4*E701</f>
        <v>12960</v>
      </c>
      <c r="P701">
        <f t="shared" si="3"/>
        <v>1048576</v>
      </c>
      <c r="Q701" s="5"/>
      <c r="R701" s="5"/>
      <c r="S701" s="3">
        <v>700</v>
      </c>
      <c r="T701" s="5"/>
    </row>
    <row r="702" spans="1:20" ht="12">
      <c r="A702" s="1"/>
      <c r="B702" s="1"/>
      <c r="C702" s="2">
        <f>(S702*'Prestige Patterns'!$B$20)/60</f>
        <v>350.5</v>
      </c>
      <c r="D702" s="2">
        <f>IF(L701=L702,N701*'Prestige Patterns'!$B$20+D701-F702,0)</f>
        <v>4.591863436074072E+16</v>
      </c>
      <c r="E702" s="3">
        <f t="shared" si="1"/>
        <v>696</v>
      </c>
      <c r="F702" s="8">
        <f>'Prestige Patterns'!$B$5*('Prestige Patterns'!$B$6^E701-'Prestige Patterns'!$B$6^(E701+G702))/(1-'Prestige Patterns'!$B$6)</f>
        <v>4.0452213768909392E+16</v>
      </c>
      <c r="G702" s="8">
        <f>FLOOR(LOG('Prestige Patterns'!$B$6^(E701) - (D701*(1-'Prestige Patterns'!$B$6)/'Prestige Patterns'!$B$5),'Prestige Patterns'!$B$6)-E701,1)</f>
        <v>48</v>
      </c>
      <c r="H702">
        <f t="shared" si="2"/>
        <v>10715287</v>
      </c>
      <c r="I702" s="5">
        <f>1+H702*'Prestige Patterns'!$B$25</f>
        <v>107153.87</v>
      </c>
      <c r="J702">
        <f>FLOOR((K702/'Prestige Patterns'!$B$22)^'Prestige Patterns'!$B$23,1)-H701</f>
        <v>358971</v>
      </c>
      <c r="K702" s="8">
        <f>K701+N701*'Prestige Patterns'!$B$20</f>
        <v>1.2263920936937763E+19</v>
      </c>
      <c r="L702" s="2">
        <f>IF(J701&gt;='Prestige Patterns'!$B$28,IF(J701/(H701+1)&gt;('Prestige Patterns'!$B$27+1),L701+1,L701),L701)</f>
        <v>14</v>
      </c>
      <c r="N702">
        <f t="shared" si="0"/>
        <v>1564036951336550.2</v>
      </c>
      <c r="O702" s="3">
        <f>'Prestige Patterns'!$B$4*E702</f>
        <v>13920</v>
      </c>
      <c r="P702">
        <f t="shared" si="3"/>
        <v>1048576</v>
      </c>
      <c r="Q702" s="5"/>
      <c r="R702" s="5"/>
      <c r="S702" s="3">
        <v>701</v>
      </c>
      <c r="T702" s="5"/>
    </row>
    <row r="703" spans="1:20" ht="12">
      <c r="A703" s="1"/>
      <c r="B703" s="1"/>
      <c r="C703" s="2">
        <f>(S703*'Prestige Patterns'!$B$20)/60</f>
        <v>351</v>
      </c>
      <c r="D703" s="2">
        <f>IF(L702=L703,N702*'Prestige Patterns'!$B$20+D702-F703,0)</f>
        <v>4.8982845778429008E+16</v>
      </c>
      <c r="E703" s="3">
        <f t="shared" si="1"/>
        <v>710</v>
      </c>
      <c r="F703" s="8">
        <f>'Prestige Patterns'!$B$5*('Prestige Patterns'!$B$6^E702-'Prestige Patterns'!$B$6^(E702+G703))/(1-'Prestige Patterns'!$B$6)</f>
        <v>4.3856897122408208E+16</v>
      </c>
      <c r="G703" s="8">
        <f>FLOOR(LOG('Prestige Patterns'!$B$6^(E702) - (D702*(1-'Prestige Patterns'!$B$6)/'Prestige Patterns'!$B$5),'Prestige Patterns'!$B$6)-E702,1)</f>
        <v>14</v>
      </c>
      <c r="H703">
        <f t="shared" si="2"/>
        <v>10715287</v>
      </c>
      <c r="I703" s="5">
        <f>1+H703*'Prestige Patterns'!$B$25</f>
        <v>107153.87</v>
      </c>
      <c r="J703">
        <f>FLOOR((K703/'Prestige Patterns'!$B$22)^'Prestige Patterns'!$B$23,1)-H702</f>
        <v>380136</v>
      </c>
      <c r="K703" s="8">
        <f>K702+N702*'Prestige Patterns'!$B$20</f>
        <v>1.2310842045477859E+19</v>
      </c>
      <c r="L703" s="2">
        <f>IF(J702&gt;='Prestige Patterns'!$B$28,IF(J702/(H702+1)&gt;('Prestige Patterns'!$B$27+1),L702+1,L702),L702)</f>
        <v>14</v>
      </c>
      <c r="N703">
        <f t="shared" si="0"/>
        <v>5.1055918871216128E+16</v>
      </c>
      <c r="O703" s="3">
        <f>'Prestige Patterns'!$B$4*E703</f>
        <v>14200</v>
      </c>
      <c r="P703">
        <f t="shared" si="3"/>
        <v>33554432</v>
      </c>
      <c r="Q703" s="5"/>
      <c r="R703" s="5"/>
      <c r="S703" s="3">
        <v>702</v>
      </c>
      <c r="T703" s="5"/>
    </row>
    <row r="704" spans="1:20" ht="12">
      <c r="A704" s="1"/>
      <c r="B704" s="1"/>
      <c r="C704" s="2">
        <f>(S704*'Prestige Patterns'!$B$20)/60</f>
        <v>351.5</v>
      </c>
      <c r="D704" s="2">
        <f>IF(L703=L704,N703*'Prestige Patterns'!$B$20+D703-F704,0)</f>
        <v>1.531806139908898E+18</v>
      </c>
      <c r="E704" s="3">
        <f t="shared" si="1"/>
        <v>719</v>
      </c>
      <c r="F704" s="8">
        <f>'Prestige Patterns'!$B$5*('Prestige Patterns'!$B$6^E703-'Prestige Patterns'!$B$6^(E703+G704))/(1-'Prestige Patterns'!$B$6)</f>
        <v>4.88542720060148E+16</v>
      </c>
      <c r="G704" s="8">
        <f>FLOOR(LOG('Prestige Patterns'!$B$6^(E703) - (D703*(1-'Prestige Patterns'!$B$6)/'Prestige Patterns'!$B$5),'Prestige Patterns'!$B$6)-E703,1)</f>
        <v>9</v>
      </c>
      <c r="H704">
        <f t="shared" si="2"/>
        <v>10715287</v>
      </c>
      <c r="I704" s="5">
        <f>1+H704*'Prestige Patterns'!$B$25</f>
        <v>107153.87</v>
      </c>
      <c r="J704">
        <f>FLOOR((K704/'Prestige Patterns'!$B$22)^'Prestige Patterns'!$B$23,1)-H703</f>
        <v>1050136</v>
      </c>
      <c r="K704" s="8">
        <f>K703+N703*'Prestige Patterns'!$B$20</f>
        <v>1.3842519611614343E+19</v>
      </c>
      <c r="L704" s="2">
        <f>IF(J703&gt;='Prestige Patterns'!$B$28,IF(J703/(H703+1)&gt;('Prestige Patterns'!$B$27+1),L703+1,L703),L703)</f>
        <v>14</v>
      </c>
      <c r="N704">
        <f t="shared" si="0"/>
        <v>5.1703106575217456E+16</v>
      </c>
      <c r="O704" s="3">
        <f>'Prestige Patterns'!$B$4*E704</f>
        <v>14380</v>
      </c>
      <c r="P704">
        <f t="shared" si="3"/>
        <v>33554432</v>
      </c>
      <c r="Q704" s="5"/>
      <c r="R704" s="5"/>
      <c r="S704" s="3">
        <v>703</v>
      </c>
      <c r="T704" s="5"/>
    </row>
    <row r="705" spans="1:20" ht="12">
      <c r="A705" s="1"/>
      <c r="B705" s="1"/>
      <c r="C705" s="2">
        <f>(S705*'Prestige Patterns'!$B$20)/60</f>
        <v>352</v>
      </c>
      <c r="D705" s="2">
        <f>IF(L704=L705,N704*'Prestige Patterns'!$B$20+D704-F705,0)</f>
        <v>1.5651663540942543E+18</v>
      </c>
      <c r="E705" s="3">
        <f t="shared" si="1"/>
        <v>770</v>
      </c>
      <c r="F705" s="8">
        <f>'Prestige Patterns'!$B$5*('Prestige Patterns'!$B$6^E704-'Prestige Patterns'!$B$6^(E704+G705))/(1-'Prestige Patterns'!$B$6)</f>
        <v>1.5177329830711672E+18</v>
      </c>
      <c r="G705" s="8">
        <f>FLOOR(LOG('Prestige Patterns'!$B$6^(E704) - (D704*(1-'Prestige Patterns'!$B$6)/'Prestige Patterns'!$B$5),'Prestige Patterns'!$B$6)-E704,1)</f>
        <v>51</v>
      </c>
      <c r="H705">
        <f t="shared" si="2"/>
        <v>10715287</v>
      </c>
      <c r="I705" s="5">
        <f>1+H705*'Prestige Patterns'!$B$25</f>
        <v>107153.87</v>
      </c>
      <c r="J705">
        <f>FLOOR((K705/'Prestige Patterns'!$B$22)^'Prestige Patterns'!$B$23,1)-H704</f>
        <v>1691812</v>
      </c>
      <c r="K705" s="8">
        <f>K704+N704*'Prestige Patterns'!$B$20</f>
        <v>1.5393612808870867E+19</v>
      </c>
      <c r="L705" s="2">
        <f>IF(J704&gt;='Prestige Patterns'!$B$28,IF(J704/(H704+1)&gt;('Prestige Patterns'!$B$27+1),L704+1,L704),L704)</f>
        <v>14</v>
      </c>
      <c r="N705">
        <f t="shared" si="0"/>
        <v>5.5370503564558336E+16</v>
      </c>
      <c r="O705" s="3">
        <f>'Prestige Patterns'!$B$4*E705</f>
        <v>15400</v>
      </c>
      <c r="P705">
        <f t="shared" si="3"/>
        <v>33554432</v>
      </c>
      <c r="Q705" s="5"/>
      <c r="R705" s="5"/>
      <c r="S705" s="3">
        <v>704</v>
      </c>
      <c r="T705" s="5"/>
    </row>
    <row r="706" spans="1:20" ht="12">
      <c r="A706" s="1"/>
      <c r="B706" s="1"/>
      <c r="C706" s="2">
        <f>(S706*'Prestige Patterns'!$B$20)/60</f>
        <v>352.5</v>
      </c>
      <c r="D706" s="2">
        <f>IF(L705=L706,N705*'Prestige Patterns'!$B$20+D705-F706,0)</f>
        <v>1.7603556987396385E+18</v>
      </c>
      <c r="E706" s="3">
        <f t="shared" si="1"/>
        <v>783</v>
      </c>
      <c r="F706" s="8">
        <f>'Prestige Patterns'!$B$5*('Prestige Patterns'!$B$6^E705-'Prestige Patterns'!$B$6^(E705+G706))/(1-'Prestige Patterns'!$B$6)</f>
        <v>1.4659257622913656E+18</v>
      </c>
      <c r="G706" s="8">
        <f>FLOOR(LOG('Prestige Patterns'!$B$6^(E705) - (D705*(1-'Prestige Patterns'!$B$6)/'Prestige Patterns'!$B$5),'Prestige Patterns'!$B$6)-E705,1)</f>
        <v>13</v>
      </c>
      <c r="H706">
        <f t="shared" si="2"/>
        <v>10715287</v>
      </c>
      <c r="I706" s="5">
        <f>1+H706*'Prestige Patterns'!$B$25</f>
        <v>107153.87</v>
      </c>
      <c r="J706">
        <f>FLOOR((K706/'Prestige Patterns'!$B$22)^'Prestige Patterns'!$B$23,1)-H705</f>
        <v>2344088</v>
      </c>
      <c r="K706" s="8">
        <f>K705+N705*'Prestige Patterns'!$B$20</f>
        <v>1.7054727915807617E+19</v>
      </c>
      <c r="L706" s="2">
        <f>IF(J705&gt;='Prestige Patterns'!$B$28,IF(J705/(H705+1)&gt;('Prestige Patterns'!$B$27+1),L705+1,L705),L705)</f>
        <v>14</v>
      </c>
      <c r="N706">
        <f t="shared" si="0"/>
        <v>5.6305330248115808E+16</v>
      </c>
      <c r="O706" s="3">
        <f>'Prestige Patterns'!$B$4*E706</f>
        <v>15660</v>
      </c>
      <c r="P706">
        <f t="shared" si="3"/>
        <v>33554432</v>
      </c>
      <c r="Q706" s="5"/>
      <c r="R706" s="5"/>
      <c r="S706" s="3">
        <v>705</v>
      </c>
      <c r="T706" s="5"/>
    </row>
    <row r="707" spans="1:20" ht="12">
      <c r="A707" s="1"/>
      <c r="B707" s="1"/>
      <c r="C707" s="2">
        <f>(S707*'Prestige Patterns'!$B$20)/60</f>
        <v>353</v>
      </c>
      <c r="D707" s="2">
        <f>IF(L706=L707,N706*'Prestige Patterns'!$B$20+D706-F707,0)</f>
        <v>1.7287513423796703E+18</v>
      </c>
      <c r="E707" s="3">
        <f t="shared" si="1"/>
        <v>792</v>
      </c>
      <c r="F707" s="8">
        <f>'Prestige Patterns'!$B$5*('Prestige Patterns'!$B$6^E706-'Prestige Patterns'!$B$6^(E706+G707))/(1-'Prestige Patterns'!$B$6)</f>
        <v>1.7207642638034424E+18</v>
      </c>
      <c r="G707" s="8">
        <f>FLOOR(LOG('Prestige Patterns'!$B$6^(E706) - (D706*(1-'Prestige Patterns'!$B$6)/'Prestige Patterns'!$B$5),'Prestige Patterns'!$B$6)-E706,1)</f>
        <v>9</v>
      </c>
      <c r="H707">
        <f t="shared" si="2"/>
        <v>10715287</v>
      </c>
      <c r="I707" s="5">
        <f>1+H707*'Prestige Patterns'!$B$25</f>
        <v>107153.87</v>
      </c>
      <c r="J707">
        <f>FLOOR((K707/'Prestige Patterns'!$B$22)^'Prestige Patterns'!$B$23,1)-H706</f>
        <v>2975544</v>
      </c>
      <c r="K707" s="8">
        <f>K706+N706*'Prestige Patterns'!$B$20</f>
        <v>1.8743887823251091E+19</v>
      </c>
      <c r="L707" s="2">
        <f>IF(J706&gt;='Prestige Patterns'!$B$28,IF(J706/(H706+1)&gt;('Prestige Patterns'!$B$27+1),L706+1,L706),L706)</f>
        <v>14</v>
      </c>
      <c r="N707">
        <f t="shared" si="0"/>
        <v>5.6952517952117144E+16</v>
      </c>
      <c r="O707" s="3">
        <f>'Prestige Patterns'!$B$4*E707</f>
        <v>15840</v>
      </c>
      <c r="P707">
        <f t="shared" si="3"/>
        <v>33554432</v>
      </c>
      <c r="Q707" s="5"/>
      <c r="R707" s="5"/>
      <c r="S707" s="3">
        <v>706</v>
      </c>
      <c r="T707" s="5"/>
    </row>
    <row r="708" spans="1:20" ht="12">
      <c r="A708" s="1"/>
      <c r="B708" s="1"/>
      <c r="C708" s="2">
        <f>(S708*'Prestige Patterns'!$B$20)/60</f>
        <v>353.5</v>
      </c>
      <c r="D708" s="2">
        <f>IF(L707=L708,N707*'Prestige Patterns'!$B$20+D707-F708,0)</f>
        <v>1.7906214587512049E+18</v>
      </c>
      <c r="E708" s="3">
        <f t="shared" si="1"/>
        <v>798</v>
      </c>
      <c r="F708" s="8">
        <f>'Prestige Patterns'!$B$5*('Prestige Patterns'!$B$6^E707-'Prestige Patterns'!$B$6^(E707+G708))/(1-'Prestige Patterns'!$B$6)</f>
        <v>1.64670542219198E+18</v>
      </c>
      <c r="G708" s="8">
        <f>FLOOR(LOG('Prestige Patterns'!$B$6^(E707) - (D707*(1-'Prestige Patterns'!$B$6)/'Prestige Patterns'!$B$5),'Prestige Patterns'!$B$6)-E707,1)</f>
        <v>6</v>
      </c>
      <c r="H708">
        <f t="shared" si="2"/>
        <v>10715287</v>
      </c>
      <c r="I708" s="5">
        <f>1+H708*'Prestige Patterns'!$B$25</f>
        <v>107153.87</v>
      </c>
      <c r="J708">
        <f>FLOOR((K708/'Prestige Patterns'!$B$22)^'Prestige Patterns'!$B$23,1)-H707</f>
        <v>3585923</v>
      </c>
      <c r="K708" s="8">
        <f>K707+N707*'Prestige Patterns'!$B$20</f>
        <v>2.0452463361814606E+19</v>
      </c>
      <c r="L708" s="2">
        <f>IF(J707&gt;='Prestige Patterns'!$B$28,IF(J707/(H707+1)&gt;('Prestige Patterns'!$B$27+1),L707+1,L707),L707)</f>
        <v>14</v>
      </c>
      <c r="N708">
        <f t="shared" si="0"/>
        <v>5.738397642145136E+16</v>
      </c>
      <c r="O708" s="3">
        <f>'Prestige Patterns'!$B$4*E708</f>
        <v>15960</v>
      </c>
      <c r="P708">
        <f t="shared" si="3"/>
        <v>33554432</v>
      </c>
      <c r="Q708" s="5"/>
      <c r="R708" s="5"/>
      <c r="S708" s="3">
        <v>707</v>
      </c>
      <c r="T708" s="5"/>
    </row>
    <row r="709" spans="1:20" ht="12">
      <c r="A709" s="1"/>
      <c r="B709" s="1"/>
      <c r="C709" s="2">
        <f>(S709*'Prestige Patterns'!$B$20)/60</f>
        <v>354</v>
      </c>
      <c r="D709" s="2">
        <f>IF(L708=L709,N708*'Prestige Patterns'!$B$20+D708-F709,0)</f>
        <v>2.1138080484326743E+18</v>
      </c>
      <c r="E709" s="3">
        <f t="shared" si="1"/>
        <v>802</v>
      </c>
      <c r="F709" s="8">
        <f>'Prestige Patterns'!$B$5*('Prestige Patterns'!$B$6^E708-'Prestige Patterns'!$B$6^(E708+G709))/(1-'Prestige Patterns'!$B$6)</f>
        <v>1.398332702962071E+18</v>
      </c>
      <c r="G709" s="8">
        <f>FLOOR(LOG('Prestige Patterns'!$B$6^(E708) - (D708*(1-'Prestige Patterns'!$B$6)/'Prestige Patterns'!$B$5),'Prestige Patterns'!$B$6)-E708,1)</f>
        <v>4</v>
      </c>
      <c r="H709">
        <f t="shared" si="2"/>
        <v>10715287</v>
      </c>
      <c r="I709" s="5">
        <f>1+H709*'Prestige Patterns'!$B$25</f>
        <v>107153.87</v>
      </c>
      <c r="J709">
        <f>FLOOR((K709/'Prestige Patterns'!$B$22)^'Prestige Patterns'!$B$23,1)-H708</f>
        <v>4175644</v>
      </c>
      <c r="K709" s="8">
        <f>K708+N708*'Prestige Patterns'!$B$20</f>
        <v>2.2173982654458147E+19</v>
      </c>
      <c r="L709" s="2">
        <f>IF(J708&gt;='Prestige Patterns'!$B$28,IF(J708/(H708+1)&gt;('Prestige Patterns'!$B$27+1),L708+1,L708),L708)</f>
        <v>14</v>
      </c>
      <c r="N709">
        <f t="shared" si="0"/>
        <v>5.7671615401007512E+16</v>
      </c>
      <c r="O709" s="3">
        <f>'Prestige Patterns'!$B$4*E709</f>
        <v>16040</v>
      </c>
      <c r="P709">
        <f t="shared" si="3"/>
        <v>33554432</v>
      </c>
      <c r="Q709" s="5"/>
      <c r="R709" s="5"/>
      <c r="S709" s="3">
        <v>708</v>
      </c>
      <c r="T709" s="5"/>
    </row>
    <row r="710" spans="1:20" ht="12">
      <c r="A710" s="1"/>
      <c r="B710" s="1"/>
      <c r="C710" s="2">
        <f>(S710*'Prestige Patterns'!$B$20)/60</f>
        <v>354.5</v>
      </c>
      <c r="D710" s="2">
        <f>IF(L709=L710,N709*'Prestige Patterns'!$B$20+D709-F710,0)</f>
        <v>2.1442743704331131E+18</v>
      </c>
      <c r="E710" s="3">
        <f t="shared" si="1"/>
        <v>806</v>
      </c>
      <c r="F710" s="8">
        <f>'Prestige Patterns'!$B$5*('Prestige Patterns'!$B$6^E709-'Prestige Patterns'!$B$6^(E709+G710))/(1-'Prestige Patterns'!$B$6)</f>
        <v>1.6996821400297866E+18</v>
      </c>
      <c r="G710" s="8">
        <f>FLOOR(LOG('Prestige Patterns'!$B$6^(E709) - (D709*(1-'Prestige Patterns'!$B$6)/'Prestige Patterns'!$B$5),'Prestige Patterns'!$B$6)-E709,1)</f>
        <v>4</v>
      </c>
      <c r="H710">
        <f t="shared" si="2"/>
        <v>10715287</v>
      </c>
      <c r="I710" s="5">
        <f>1+H710*'Prestige Patterns'!$B$25</f>
        <v>107153.87</v>
      </c>
      <c r="J710">
        <f>FLOOR((K710/'Prestige Patterns'!$B$22)^'Prestige Patterns'!$B$23,1)-H709</f>
        <v>4745673</v>
      </c>
      <c r="K710" s="8">
        <f>K709+N709*'Prestige Patterns'!$B$20</f>
        <v>2.3904131116488372E+19</v>
      </c>
      <c r="L710" s="2">
        <f>IF(J709&gt;='Prestige Patterns'!$B$28,IF(J709/(H709+1)&gt;('Prestige Patterns'!$B$27+1),L709+1,L709),L709)</f>
        <v>14</v>
      </c>
      <c r="N710">
        <f t="shared" si="0"/>
        <v>5.7959254380563656E+16</v>
      </c>
      <c r="O710" s="3">
        <f>'Prestige Patterns'!$B$4*E710</f>
        <v>16120</v>
      </c>
      <c r="P710">
        <f t="shared" si="3"/>
        <v>33554432</v>
      </c>
      <c r="Q710" s="5"/>
      <c r="R710" s="5"/>
      <c r="S710" s="3">
        <v>709</v>
      </c>
      <c r="T710" s="5"/>
    </row>
    <row r="711" spans="1:20" ht="12">
      <c r="A711" s="1"/>
      <c r="B711" s="1"/>
      <c r="C711" s="2">
        <f>(S711*'Prestige Patterns'!$B$20)/60</f>
        <v>355</v>
      </c>
      <c r="D711" s="2">
        <f>IF(L710=L711,N710*'Prestige Patterns'!$B$20+D710-F711,0)</f>
        <v>1.8170777376304407E+18</v>
      </c>
      <c r="E711" s="3">
        <f t="shared" si="1"/>
        <v>810</v>
      </c>
      <c r="F711" s="8">
        <f>'Prestige Patterns'!$B$5*('Prestige Patterns'!$B$6^E710-'Prestige Patterns'!$B$6^(E710+G711))/(1-'Prestige Patterns'!$B$6)</f>
        <v>2.0659742642195822E+18</v>
      </c>
      <c r="G711" s="8">
        <f>FLOOR(LOG('Prestige Patterns'!$B$6^(E710) - (D710*(1-'Prestige Patterns'!$B$6)/'Prestige Patterns'!$B$5),'Prestige Patterns'!$B$6)-E710,1)</f>
        <v>4</v>
      </c>
      <c r="H711">
        <f t="shared" si="2"/>
        <v>10715287</v>
      </c>
      <c r="I711" s="5">
        <f>1+H711*'Prestige Patterns'!$B$25</f>
        <v>107153.87</v>
      </c>
      <c r="J711">
        <f>FLOOR((K711/'Prestige Patterns'!$B$22)^'Prestige Patterns'!$B$23,1)-H710</f>
        <v>5298116</v>
      </c>
      <c r="K711" s="8">
        <f>K710+N710*'Prestige Patterns'!$B$20</f>
        <v>2.5642908747905282E+19</v>
      </c>
      <c r="L711" s="2">
        <f>IF(J710&gt;='Prestige Patterns'!$B$28,IF(J710/(H710+1)&gt;('Prestige Patterns'!$B$27+1),L710+1,L710),L710)</f>
        <v>14</v>
      </c>
      <c r="N711">
        <f t="shared" si="0"/>
        <v>5.8246893360119808E+16</v>
      </c>
      <c r="O711" s="3">
        <f>'Prestige Patterns'!$B$4*E711</f>
        <v>16200</v>
      </c>
      <c r="P711">
        <f t="shared" si="3"/>
        <v>33554432</v>
      </c>
      <c r="Q711" s="5"/>
      <c r="R711" s="5"/>
      <c r="S711" s="3">
        <v>710</v>
      </c>
      <c r="T711" s="5"/>
    </row>
    <row r="712" spans="1:20" ht="12">
      <c r="A712" s="1"/>
      <c r="B712" s="1"/>
      <c r="C712" s="2">
        <f>(S712*'Prestige Patterns'!$B$20)/60</f>
        <v>355.5</v>
      </c>
      <c r="D712" s="2">
        <f>IF(L711=L712,N711*'Prestige Patterns'!$B$20+D711-F712,0)</f>
        <v>2.3700947022875141E+18</v>
      </c>
      <c r="E712" s="3">
        <f t="shared" si="1"/>
        <v>812</v>
      </c>
      <c r="F712" s="8">
        <f>'Prestige Patterns'!$B$5*('Prestige Patterns'!$B$6^E711-'Prestige Patterns'!$B$6^(E711+G712))/(1-'Prestige Patterns'!$B$6)</f>
        <v>1.1943898361465206E+18</v>
      </c>
      <c r="G712" s="8">
        <f>FLOOR(LOG('Prestige Patterns'!$B$6^(E711) - (D711*(1-'Prestige Patterns'!$B$6)/'Prestige Patterns'!$B$5),'Prestige Patterns'!$B$6)-E711,1)</f>
        <v>2</v>
      </c>
      <c r="H712">
        <f t="shared" si="2"/>
        <v>10715287</v>
      </c>
      <c r="I712" s="5">
        <f>1+H712*'Prestige Patterns'!$B$25</f>
        <v>107153.87</v>
      </c>
      <c r="J712">
        <f>FLOOR((K712/'Prestige Patterns'!$B$22)^'Prestige Patterns'!$B$23,1)-H711</f>
        <v>5834732</v>
      </c>
      <c r="K712" s="8">
        <f>K711+N711*'Prestige Patterns'!$B$20</f>
        <v>2.7390315548708876E+19</v>
      </c>
      <c r="L712" s="2">
        <f>IF(J711&gt;='Prestige Patterns'!$B$28,IF(J711/(H711+1)&gt;('Prestige Patterns'!$B$27+1),L711+1,L711),L711)</f>
        <v>14</v>
      </c>
      <c r="N712">
        <f t="shared" si="0"/>
        <v>5.839071284989788E+16</v>
      </c>
      <c r="O712" s="3">
        <f>'Prestige Patterns'!$B$4*E712</f>
        <v>16240</v>
      </c>
      <c r="P712">
        <f t="shared" si="3"/>
        <v>33554432</v>
      </c>
      <c r="Q712" s="5"/>
      <c r="R712" s="5"/>
      <c r="S712" s="3">
        <v>711</v>
      </c>
      <c r="T712" s="5"/>
    </row>
    <row r="713" spans="1:20" ht="12">
      <c r="A713" s="1"/>
      <c r="B713" s="1"/>
      <c r="C713" s="2">
        <f>(S713*'Prestige Patterns'!$B$20)/60</f>
        <v>356</v>
      </c>
      <c r="D713" s="2">
        <f>IF(L712=L713,N712*'Prestige Patterns'!$B$20+D712-F713,0)</f>
        <v>2.0968118735438559E+18</v>
      </c>
      <c r="E713" s="3">
        <f t="shared" si="1"/>
        <v>815</v>
      </c>
      <c r="F713" s="8">
        <f>'Prestige Patterns'!$B$5*('Prestige Patterns'!$B$6^E712-'Prestige Patterns'!$B$6^(E712+G713))/(1-'Prestige Patterns'!$B$6)</f>
        <v>2.0250042142405947E+18</v>
      </c>
      <c r="G713" s="8">
        <f>FLOOR(LOG('Prestige Patterns'!$B$6^(E712) - (D712*(1-'Prestige Patterns'!$B$6)/'Prestige Patterns'!$B$5),'Prestige Patterns'!$B$6)-E712,1)</f>
        <v>3</v>
      </c>
      <c r="H713">
        <f t="shared" si="2"/>
        <v>10715287</v>
      </c>
      <c r="I713" s="5">
        <f>1+H713*'Prestige Patterns'!$B$25</f>
        <v>107153.87</v>
      </c>
      <c r="J713">
        <f>FLOOR((K713/'Prestige Patterns'!$B$22)^'Prestige Patterns'!$B$23,1)-H712</f>
        <v>6355751</v>
      </c>
      <c r="K713" s="8">
        <f>K712+N712*'Prestige Patterns'!$B$20</f>
        <v>2.9142036934205813E+19</v>
      </c>
      <c r="L713" s="2">
        <f>IF(J712&gt;='Prestige Patterns'!$B$28,IF(J712/(H712+1)&gt;('Prestige Patterns'!$B$27+1),L712+1,L712),L712)</f>
        <v>14</v>
      </c>
      <c r="N713">
        <f t="shared" si="0"/>
        <v>5.8606442084564992E+16</v>
      </c>
      <c r="O713" s="3">
        <f>'Prestige Patterns'!$B$4*E713</f>
        <v>16300</v>
      </c>
      <c r="P713">
        <f t="shared" si="3"/>
        <v>33554432</v>
      </c>
      <c r="Q713" s="5"/>
      <c r="R713" s="5"/>
      <c r="S713" s="3">
        <v>712</v>
      </c>
      <c r="T713" s="5"/>
    </row>
    <row r="714" spans="1:20" ht="12">
      <c r="A714" s="1"/>
      <c r="B714" s="1"/>
      <c r="C714" s="2">
        <f>(S714*'Prestige Patterns'!$B$20)/60</f>
        <v>356.5</v>
      </c>
      <c r="D714" s="2">
        <f>IF(L713=L714,N713*'Prestige Patterns'!$B$20+D713-F714,0)</f>
        <v>2.3306274097696082E+18</v>
      </c>
      <c r="E714" s="3">
        <f t="shared" si="1"/>
        <v>817</v>
      </c>
      <c r="F714" s="8">
        <f>'Prestige Patterns'!$B$5*('Prestige Patterns'!$B$6^E713-'Prestige Patterns'!$B$6^(E713+G714))/(1-'Prestige Patterns'!$B$6)</f>
        <v>1.5243777263111974E+18</v>
      </c>
      <c r="G714" s="8">
        <f>FLOOR(LOG('Prestige Patterns'!$B$6^(E713) - (D713*(1-'Prestige Patterns'!$B$6)/'Prestige Patterns'!$B$5),'Prestige Patterns'!$B$6)-E713,1)</f>
        <v>2</v>
      </c>
      <c r="H714">
        <f t="shared" si="2"/>
        <v>10715287</v>
      </c>
      <c r="I714" s="5">
        <f>1+H714*'Prestige Patterns'!$B$25</f>
        <v>107153.87</v>
      </c>
      <c r="J714">
        <f>FLOOR((K714/'Prestige Patterns'!$B$22)^'Prestige Patterns'!$B$23,1)-H713</f>
        <v>6863174</v>
      </c>
      <c r="K714" s="8">
        <f>K713+N713*'Prestige Patterns'!$B$20</f>
        <v>3.0900230196742762E+19</v>
      </c>
      <c r="L714" s="2">
        <f>IF(J713&gt;='Prestige Patterns'!$B$28,IF(J713/(H713+1)&gt;('Prestige Patterns'!$B$27+1),L713+1,L713),L713)</f>
        <v>14</v>
      </c>
      <c r="N714">
        <f t="shared" si="0"/>
        <v>5.8750261574343064E+16</v>
      </c>
      <c r="O714" s="3">
        <f>'Prestige Patterns'!$B$4*E714</f>
        <v>16340</v>
      </c>
      <c r="P714">
        <f t="shared" si="3"/>
        <v>33554432</v>
      </c>
      <c r="Q714" s="5"/>
      <c r="R714" s="5"/>
      <c r="S714" s="3">
        <v>713</v>
      </c>
      <c r="T714" s="5"/>
    </row>
    <row r="715" spans="1:20" ht="12">
      <c r="A715" s="1"/>
      <c r="B715" s="1"/>
      <c r="C715" s="2">
        <f>(S715*'Prestige Patterns'!$B$20)/60</f>
        <v>357</v>
      </c>
      <c r="D715" s="2">
        <f>IF(L714=L715,N714*'Prestige Patterns'!$B$20+D714-F715,0)</f>
        <v>2.4125088137418076E+18</v>
      </c>
      <c r="E715" s="3">
        <f t="shared" si="1"/>
        <v>819</v>
      </c>
      <c r="F715" s="8">
        <f>'Prestige Patterns'!$B$5*('Prestige Patterns'!$B$6^E714-'Prestige Patterns'!$B$6^(E714+G715))/(1-'Prestige Patterns'!$B$6)</f>
        <v>1.6806264432580925E+18</v>
      </c>
      <c r="G715" s="8">
        <f>FLOOR(LOG('Prestige Patterns'!$B$6^(E714) - (D714*(1-'Prestige Patterns'!$B$6)/'Prestige Patterns'!$B$5),'Prestige Patterns'!$B$6)-E714,1)</f>
        <v>2</v>
      </c>
      <c r="H715">
        <f t="shared" si="2"/>
        <v>10715287</v>
      </c>
      <c r="I715" s="5">
        <f>1+H715*'Prestige Patterns'!$B$25</f>
        <v>107153.87</v>
      </c>
      <c r="J715">
        <f>FLOOR((K715/'Prestige Patterns'!$B$22)^'Prestige Patterns'!$B$23,1)-H714</f>
        <v>7357548</v>
      </c>
      <c r="K715" s="8">
        <f>K714+N714*'Prestige Patterns'!$B$20</f>
        <v>3.2662738043973054E+19</v>
      </c>
      <c r="L715" s="2">
        <f>IF(J714&gt;='Prestige Patterns'!$B$28,IF(J714/(H714+1)&gt;('Prestige Patterns'!$B$27+1),L714+1,L714),L714)</f>
        <v>14</v>
      </c>
      <c r="N715">
        <f t="shared" si="0"/>
        <v>5.8894081064121136E+16</v>
      </c>
      <c r="O715" s="3">
        <f>'Prestige Patterns'!$B$4*E715</f>
        <v>16380</v>
      </c>
      <c r="P715">
        <f t="shared" si="3"/>
        <v>33554432</v>
      </c>
      <c r="Q715" s="5"/>
      <c r="R715" s="5"/>
      <c r="S715" s="3">
        <v>714</v>
      </c>
      <c r="T715" s="5"/>
    </row>
    <row r="716" spans="1:20" ht="12">
      <c r="A716" s="1"/>
      <c r="B716" s="1"/>
      <c r="C716" s="2">
        <f>(S716*'Prestige Patterns'!$B$20)/60</f>
        <v>357.5</v>
      </c>
      <c r="D716" s="2">
        <f>IF(L715=L716,N715*'Prestige Patterns'!$B$20+D715-F716,0)</f>
        <v>2.3264405919733934E+18</v>
      </c>
      <c r="E716" s="3">
        <f t="shared" si="1"/>
        <v>821</v>
      </c>
      <c r="F716" s="8">
        <f>'Prestige Patterns'!$B$5*('Prestige Patterns'!$B$6^E715-'Prestige Patterns'!$B$6^(E715+G716))/(1-'Prestige Patterns'!$B$6)</f>
        <v>1.8528906536920484E+18</v>
      </c>
      <c r="G716" s="8">
        <f>FLOOR(LOG('Prestige Patterns'!$B$6^(E715) - (D715*(1-'Prestige Patterns'!$B$6)/'Prestige Patterns'!$B$5),'Prestige Patterns'!$B$6)-E715,1)</f>
        <v>2</v>
      </c>
      <c r="H716">
        <f t="shared" si="2"/>
        <v>10715287</v>
      </c>
      <c r="I716" s="5">
        <f>1+H716*'Prestige Patterns'!$B$25</f>
        <v>107153.87</v>
      </c>
      <c r="J716">
        <f>FLOOR((K716/'Prestige Patterns'!$B$22)^'Prestige Patterns'!$B$23,1)-H715</f>
        <v>7839917</v>
      </c>
      <c r="K716" s="8">
        <f>K715+N715*'Prestige Patterns'!$B$20</f>
        <v>3.4429560475896689E+19</v>
      </c>
      <c r="L716" s="2">
        <f>IF(J715&gt;='Prestige Patterns'!$B$28,IF(J715/(H715+1)&gt;('Prestige Patterns'!$B$27+1),L715+1,L715),L715)</f>
        <v>14</v>
      </c>
      <c r="N716">
        <f t="shared" si="0"/>
        <v>5.9037900553899208E+16</v>
      </c>
      <c r="O716" s="3">
        <f>'Prestige Patterns'!$B$4*E716</f>
        <v>16420</v>
      </c>
      <c r="P716">
        <f t="shared" si="3"/>
        <v>33554432</v>
      </c>
      <c r="Q716" s="5"/>
      <c r="R716" s="5"/>
      <c r="S716" s="3">
        <v>715</v>
      </c>
      <c r="T716" s="5"/>
    </row>
    <row r="717" spans="1:20" ht="12">
      <c r="A717" s="1"/>
      <c r="B717" s="1"/>
      <c r="C717" s="2">
        <f>(S717*'Prestige Patterns'!$B$20)/60</f>
        <v>358</v>
      </c>
      <c r="D717" s="2">
        <f>IF(L716=L717,N716*'Prestige Patterns'!$B$20+D716-F717,0)</f>
        <v>2.054765662894881E+18</v>
      </c>
      <c r="E717" s="3">
        <f t="shared" si="1"/>
        <v>823</v>
      </c>
      <c r="F717" s="8">
        <f>'Prestige Patterns'!$B$5*('Prestige Patterns'!$B$6^E716-'Prestige Patterns'!$B$6^(E716+G717))/(1-'Prestige Patterns'!$B$6)</f>
        <v>2.0428119456954888E+18</v>
      </c>
      <c r="G717" s="8">
        <f>FLOOR(LOG('Prestige Patterns'!$B$6^(E716) - (D716*(1-'Prestige Patterns'!$B$6)/'Prestige Patterns'!$B$5),'Prestige Patterns'!$B$6)-E716,1)</f>
        <v>2</v>
      </c>
      <c r="H717">
        <f t="shared" si="2"/>
        <v>10715287</v>
      </c>
      <c r="I717" s="5">
        <f>1+H717*'Prestige Patterns'!$B$25</f>
        <v>107153.87</v>
      </c>
      <c r="J717">
        <f>FLOOR((K717/'Prestige Patterns'!$B$22)^'Prestige Patterns'!$B$23,1)-H716</f>
        <v>8311193</v>
      </c>
      <c r="K717" s="8">
        <f>K716+N716*'Prestige Patterns'!$B$20</f>
        <v>3.6200697492513665E+19</v>
      </c>
      <c r="L717" s="2">
        <f>IF(J716&gt;='Prestige Patterns'!$B$28,IF(J716/(H716+1)&gt;('Prestige Patterns'!$B$27+1),L716+1,L716),L716)</f>
        <v>14</v>
      </c>
      <c r="N717">
        <f t="shared" si="0"/>
        <v>5.918172004367728E+16</v>
      </c>
      <c r="O717" s="3">
        <f>'Prestige Patterns'!$B$4*E717</f>
        <v>16460</v>
      </c>
      <c r="P717">
        <f t="shared" si="3"/>
        <v>33554432</v>
      </c>
      <c r="Q717" s="5"/>
      <c r="R717" s="5"/>
      <c r="S717" s="3">
        <v>716</v>
      </c>
      <c r="T717" s="5"/>
    </row>
    <row r="718" spans="1:20" ht="12">
      <c r="A718" s="1"/>
      <c r="B718" s="1"/>
      <c r="C718" s="2">
        <f>(S718*'Prestige Patterns'!$B$20)/60</f>
        <v>358.5</v>
      </c>
      <c r="D718" s="2">
        <f>IF(L717=L718,N717*'Prestige Patterns'!$B$20+D717-F718,0)</f>
        <v>2.7315830348738493E+18</v>
      </c>
      <c r="E718" s="3">
        <f t="shared" si="1"/>
        <v>824</v>
      </c>
      <c r="F718" s="8">
        <f>'Prestige Patterns'!$B$5*('Prestige Patterns'!$B$6^E717-'Prestige Patterns'!$B$6^(E717+G718))/(1-'Prestige Patterns'!$B$6)</f>
        <v>1.09863422933135E+18</v>
      </c>
      <c r="G718" s="8">
        <f>FLOOR(LOG('Prestige Patterns'!$B$6^(E717) - (D717*(1-'Prestige Patterns'!$B$6)/'Prestige Patterns'!$B$5),'Prestige Patterns'!$B$6)-E717,1)</f>
        <v>1</v>
      </c>
      <c r="H718">
        <f t="shared" si="2"/>
        <v>10715287</v>
      </c>
      <c r="I718" s="5">
        <f>1+H718*'Prestige Patterns'!$B$25</f>
        <v>107153.87</v>
      </c>
      <c r="J718">
        <f>FLOOR((K718/'Prestige Patterns'!$B$22)^'Prestige Patterns'!$B$23,1)-H717</f>
        <v>8772183</v>
      </c>
      <c r="K718" s="8">
        <f>K717+N717*'Prestige Patterns'!$B$20</f>
        <v>3.797614909382398E+19</v>
      </c>
      <c r="L718" s="2">
        <f>IF(J717&gt;='Prestige Patterns'!$B$28,IF(J717/(H717+1)&gt;('Prestige Patterns'!$B$27+1),L717+1,L717),L717)</f>
        <v>14</v>
      </c>
      <c r="N718">
        <f t="shared" si="0"/>
        <v>5.925362978856632E+16</v>
      </c>
      <c r="O718" s="3">
        <f>'Prestige Patterns'!$B$4*E718</f>
        <v>16480</v>
      </c>
      <c r="P718">
        <f t="shared" si="3"/>
        <v>33554432</v>
      </c>
      <c r="Q718" s="5"/>
      <c r="R718" s="5"/>
      <c r="S718" s="3">
        <v>717</v>
      </c>
      <c r="T718" s="5"/>
    </row>
    <row r="719" spans="1:20" ht="12">
      <c r="A719" s="1"/>
      <c r="B719" s="1"/>
      <c r="C719" s="2">
        <f>(S719*'Prestige Patterns'!$B$20)/60</f>
        <v>359</v>
      </c>
      <c r="D719" s="2">
        <f>IF(L718=L719,N718*'Prestige Patterns'!$B$20+D718-F719,0)</f>
        <v>2.1443817498951009E+18</v>
      </c>
      <c r="E719" s="3">
        <f t="shared" si="1"/>
        <v>826</v>
      </c>
      <c r="F719" s="8">
        <f>'Prestige Patterns'!$B$5*('Prestige Patterns'!$B$6^E718-'Prestige Patterns'!$B$6^(E718+G719))/(1-'Prestige Patterns'!$B$6)</f>
        <v>2.3648101786357381E+18</v>
      </c>
      <c r="G719" s="8">
        <f>FLOOR(LOG('Prestige Patterns'!$B$6^(E718) - (D718*(1-'Prestige Patterns'!$B$6)/'Prestige Patterns'!$B$5),'Prestige Patterns'!$B$6)-E718,1)</f>
        <v>2</v>
      </c>
      <c r="H719">
        <f t="shared" si="2"/>
        <v>10715287</v>
      </c>
      <c r="I719" s="5">
        <f>1+H719*'Prestige Patterns'!$B$25</f>
        <v>107153.87</v>
      </c>
      <c r="J719">
        <f>FLOOR((K719/'Prestige Patterns'!$B$22)^'Prestige Patterns'!$B$23,1)-H718</f>
        <v>9223057</v>
      </c>
      <c r="K719" s="8">
        <f>K718+N718*'Prestige Patterns'!$B$20</f>
        <v>3.9753757987480969E+19</v>
      </c>
      <c r="L719" s="2">
        <f>IF(J718&gt;='Prestige Patterns'!$B$28,IF(J718/(H718+1)&gt;('Prestige Patterns'!$B$27+1),L718+1,L718),L718)</f>
        <v>14</v>
      </c>
      <c r="N719">
        <f t="shared" si="0"/>
        <v>5.9397449278344392E+16</v>
      </c>
      <c r="O719" s="3">
        <f>'Prestige Patterns'!$B$4*E719</f>
        <v>16520</v>
      </c>
      <c r="P719">
        <f t="shared" si="3"/>
        <v>33554432</v>
      </c>
      <c r="Q719" s="5"/>
      <c r="R719" s="5"/>
      <c r="S719" s="3">
        <v>718</v>
      </c>
      <c r="T719" s="5"/>
    </row>
    <row r="720" spans="1:20" ht="12">
      <c r="A720" s="1"/>
      <c r="B720" s="1"/>
      <c r="C720" s="2">
        <f>(S720*'Prestige Patterns'!$B$20)/60</f>
        <v>359.5</v>
      </c>
      <c r="D720" s="2">
        <f>IF(L719=L720,N719*'Prestige Patterns'!$B$20+D719-F720,0)</f>
        <v>2.6544987785157233E+18</v>
      </c>
      <c r="E720" s="3">
        <f t="shared" si="1"/>
        <v>827</v>
      </c>
      <c r="F720" s="8">
        <f>'Prestige Patterns'!$B$5*('Prestige Patterns'!$B$6^E719-'Prestige Patterns'!$B$6^(E719+G720))/(1-'Prestige Patterns'!$B$6)</f>
        <v>1.2718064497297091E+18</v>
      </c>
      <c r="G720" s="8">
        <f>FLOOR(LOG('Prestige Patterns'!$B$6^(E719) - (D719*(1-'Prestige Patterns'!$B$6)/'Prestige Patterns'!$B$5),'Prestige Patterns'!$B$6)-E719,1)</f>
        <v>1</v>
      </c>
      <c r="H720">
        <f t="shared" si="2"/>
        <v>10715287</v>
      </c>
      <c r="I720" s="5">
        <f>1+H720*'Prestige Patterns'!$B$25</f>
        <v>107153.87</v>
      </c>
      <c r="J720">
        <f>FLOOR((K720/'Prestige Patterns'!$B$22)^'Prestige Patterns'!$B$23,1)-H719</f>
        <v>9665017</v>
      </c>
      <c r="K720" s="8">
        <f>K719+N719*'Prestige Patterns'!$B$20</f>
        <v>4.1535681465831301E+19</v>
      </c>
      <c r="L720" s="2">
        <f>IF(J719&gt;='Prestige Patterns'!$B$28,IF(J719/(H719+1)&gt;('Prestige Patterns'!$B$27+1),L719+1,L719),L719)</f>
        <v>14</v>
      </c>
      <c r="N720">
        <f t="shared" si="0"/>
        <v>5.9469359023233432E+16</v>
      </c>
      <c r="O720" s="3">
        <f>'Prestige Patterns'!$B$4*E720</f>
        <v>16540</v>
      </c>
      <c r="P720">
        <f t="shared" si="3"/>
        <v>33554432</v>
      </c>
      <c r="Q720" s="5"/>
      <c r="R720" s="5"/>
      <c r="S720" s="3">
        <v>719</v>
      </c>
      <c r="T720" s="5"/>
    </row>
    <row r="721" spans="1:20" ht="12">
      <c r="A721" s="1"/>
      <c r="B721" s="1"/>
      <c r="C721" s="2">
        <f>(S721*'Prestige Patterns'!$B$20)/60</f>
        <v>360</v>
      </c>
      <c r="D721" s="2">
        <f>IF(L720=L721,N720*'Prestige Patterns'!$B$20+D720-F721,0)</f>
        <v>3.1031827769965455E+18</v>
      </c>
      <c r="E721" s="3">
        <f t="shared" si="1"/>
        <v>828</v>
      </c>
      <c r="F721" s="8">
        <f>'Prestige Patterns'!$B$5*('Prestige Patterns'!$B$6^E720-'Prestige Patterns'!$B$6^(E720+G721))/(1-'Prestige Patterns'!$B$6)</f>
        <v>1.3353967722161805E+18</v>
      </c>
      <c r="G721" s="8">
        <f>FLOOR(LOG('Prestige Patterns'!$B$6^(E720) - (D720*(1-'Prestige Patterns'!$B$6)/'Prestige Patterns'!$B$5),'Prestige Patterns'!$B$6)-E720,1)</f>
        <v>1</v>
      </c>
      <c r="H721">
        <f t="shared" si="2"/>
        <v>10715287</v>
      </c>
      <c r="I721" s="5">
        <f>1+H721*'Prestige Patterns'!$B$25</f>
        <v>107153.87</v>
      </c>
      <c r="J721">
        <f>FLOOR((K721/'Prestige Patterns'!$B$22)^'Prestige Patterns'!$B$23,1)-H720</f>
        <v>10098113</v>
      </c>
      <c r="K721" s="8">
        <f>K720+N720*'Prestige Patterns'!$B$20</f>
        <v>4.3319762236528304E+19</v>
      </c>
      <c r="L721" s="2">
        <f>IF(J720&gt;='Prestige Patterns'!$B$28,IF(J720/(H720+1)&gt;('Prestige Patterns'!$B$27+1),L720+1,L720),L720)</f>
        <v>14</v>
      </c>
      <c r="N721">
        <f t="shared" si="0"/>
        <v>5.9541268768122464E+16</v>
      </c>
      <c r="O721" s="3">
        <f>'Prestige Patterns'!$B$4*E721</f>
        <v>16560</v>
      </c>
      <c r="P721">
        <f t="shared" si="3"/>
        <v>33554432</v>
      </c>
      <c r="Q721" s="5"/>
      <c r="R721" s="5"/>
      <c r="S721" s="3">
        <v>720</v>
      </c>
      <c r="T721" s="5"/>
    </row>
    <row r="722" spans="1:20" ht="12">
      <c r="A722" s="1"/>
      <c r="B722" s="1"/>
      <c r="C722" s="2">
        <f>(S722*'Prestige Patterns'!$B$20)/60</f>
        <v>360.5</v>
      </c>
      <c r="D722" s="2">
        <f>IF(L721=L722,N721*'Prestige Patterns'!$B$20+D721-F722,0)</f>
        <v>2.0149792878448686E+18</v>
      </c>
      <c r="E722" s="3">
        <f t="shared" si="1"/>
        <v>830</v>
      </c>
      <c r="F722" s="8">
        <f>'Prestige Patterns'!$B$5*('Prestige Patterns'!$B$6^E721-'Prestige Patterns'!$B$6^(E721+G722))/(1-'Prestige Patterns'!$B$6)</f>
        <v>2.874441552195351E+18</v>
      </c>
      <c r="G722" s="8">
        <f>FLOOR(LOG('Prestige Patterns'!$B$6^(E721) - (D721*(1-'Prestige Patterns'!$B$6)/'Prestige Patterns'!$B$5),'Prestige Patterns'!$B$6)-E721,1)</f>
        <v>2</v>
      </c>
      <c r="H722">
        <f t="shared" si="2"/>
        <v>10715287</v>
      </c>
      <c r="I722" s="5">
        <f>1+H722*'Prestige Patterns'!$B$25</f>
        <v>107153.87</v>
      </c>
      <c r="J722">
        <f>FLOOR((K722/'Prestige Patterns'!$B$22)^'Prestige Patterns'!$B$23,1)-H721</f>
        <v>10522886</v>
      </c>
      <c r="K722" s="8">
        <f>K721+N721*'Prestige Patterns'!$B$20</f>
        <v>4.5106000299571978E+19</v>
      </c>
      <c r="L722" s="2">
        <f>IF(J721&gt;='Prestige Patterns'!$B$28,IF(J721/(H721+1)&gt;('Prestige Patterns'!$B$27+1),L721+1,L721),L721)</f>
        <v>14</v>
      </c>
      <c r="N722">
        <f t="shared" si="0"/>
        <v>5.9685088257900544E+16</v>
      </c>
      <c r="O722" s="3">
        <f>'Prestige Patterns'!$B$4*E722</f>
        <v>16600</v>
      </c>
      <c r="P722">
        <f t="shared" si="3"/>
        <v>33554432</v>
      </c>
      <c r="Q722" s="5"/>
      <c r="R722" s="5"/>
      <c r="S722" s="3">
        <v>721</v>
      </c>
      <c r="T722" s="5"/>
    </row>
    <row r="723" spans="1:20" ht="12">
      <c r="A723" s="1"/>
      <c r="B723" s="1"/>
      <c r="C723" s="2">
        <f>(S723*'Prestige Patterns'!$B$20)/60</f>
        <v>361</v>
      </c>
      <c r="D723" s="2">
        <f>IF(L722=L723,N722*'Prestige Patterns'!$B$20+D722-F723,0)</f>
        <v>2.2596432471451041E+18</v>
      </c>
      <c r="E723" s="3">
        <f t="shared" si="1"/>
        <v>831</v>
      </c>
      <c r="F723" s="8">
        <f>'Prestige Patterns'!$B$5*('Prestige Patterns'!$B$6^E722-'Prestige Patterns'!$B$6^(E722+G723))/(1-'Prestige Patterns'!$B$6)</f>
        <v>1.5458886884367808E+18</v>
      </c>
      <c r="G723" s="8">
        <f>FLOOR(LOG('Prestige Patterns'!$B$6^(E722) - (D722*(1-'Prestige Patterns'!$B$6)/'Prestige Patterns'!$B$5),'Prestige Patterns'!$B$6)-E722,1)</f>
        <v>1</v>
      </c>
      <c r="H723">
        <f t="shared" si="2"/>
        <v>10715287</v>
      </c>
      <c r="I723" s="5">
        <f>1+H723*'Prestige Patterns'!$B$25</f>
        <v>107153.87</v>
      </c>
      <c r="J723">
        <f>FLOOR((K723/'Prestige Patterns'!$B$22)^'Prestige Patterns'!$B$23,1)-H722</f>
        <v>10940324</v>
      </c>
      <c r="K723" s="8">
        <f>K722+N722*'Prestige Patterns'!$B$20</f>
        <v>4.6896552947308995E+19</v>
      </c>
      <c r="L723" s="2">
        <f>IF(J722&gt;='Prestige Patterns'!$B$28,IF(J722/(H722+1)&gt;('Prestige Patterns'!$B$27+1),L722+1,L722),L722)</f>
        <v>14</v>
      </c>
      <c r="N723">
        <f t="shared" si="0"/>
        <v>5.9756998002789576E+16</v>
      </c>
      <c r="O723" s="3">
        <f>'Prestige Patterns'!$B$4*E723</f>
        <v>16620</v>
      </c>
      <c r="P723">
        <f t="shared" si="3"/>
        <v>33554432</v>
      </c>
      <c r="Q723" s="5"/>
      <c r="R723" s="5"/>
      <c r="S723" s="3">
        <v>722</v>
      </c>
      <c r="T723" s="5"/>
    </row>
    <row r="724" spans="1:20" ht="12">
      <c r="A724" s="1"/>
      <c r="B724" s="1"/>
      <c r="C724" s="2">
        <f>(S724*'Prestige Patterns'!$B$20)/60</f>
        <v>361.5</v>
      </c>
      <c r="D724" s="2">
        <f>IF(L723=L724,N723*'Prestige Patterns'!$B$20+D723-F724,0)</f>
        <v>2.4291700643701842E+18</v>
      </c>
      <c r="E724" s="3">
        <f t="shared" si="1"/>
        <v>832</v>
      </c>
      <c r="F724" s="8">
        <f>'Prestige Patterns'!$B$5*('Prestige Patterns'!$B$6^E723-'Prestige Patterns'!$B$6^(E723+G724))/(1-'Prestige Patterns'!$B$6)</f>
        <v>1.6231831228586071E+18</v>
      </c>
      <c r="G724" s="8">
        <f>FLOOR(LOG('Prestige Patterns'!$B$6^(E723) - (D723*(1-'Prestige Patterns'!$B$6)/'Prestige Patterns'!$B$5),'Prestige Patterns'!$B$6)-E723,1)</f>
        <v>1</v>
      </c>
      <c r="H724">
        <f t="shared" si="2"/>
        <v>10715287</v>
      </c>
      <c r="I724" s="5">
        <f>1+H724*'Prestige Patterns'!$B$25</f>
        <v>107153.87</v>
      </c>
      <c r="J724">
        <f>FLOOR((K724/'Prestige Patterns'!$B$22)^'Prestige Patterns'!$B$23,1)-H723</f>
        <v>11350356</v>
      </c>
      <c r="K724" s="8">
        <f>K723+N723*'Prestige Patterns'!$B$20</f>
        <v>4.8689262887392682E+19</v>
      </c>
      <c r="L724" s="2">
        <f>IF(J723&gt;='Prestige Patterns'!$B$28,IF(J723/(H723+1)&gt;('Prestige Patterns'!$B$27+1),L723+1,L723),L723)</f>
        <v>14</v>
      </c>
      <c r="N724">
        <f t="shared" si="0"/>
        <v>5.9828907747678616E+16</v>
      </c>
      <c r="O724" s="3">
        <f>'Prestige Patterns'!$B$4*E724</f>
        <v>16640</v>
      </c>
      <c r="P724">
        <f t="shared" si="3"/>
        <v>33554432</v>
      </c>
      <c r="Q724" s="5"/>
      <c r="R724" s="5"/>
      <c r="S724" s="3">
        <v>723</v>
      </c>
      <c r="T724" s="5"/>
    </row>
    <row r="725" spans="1:20" ht="12">
      <c r="A725" s="1"/>
      <c r="B725" s="1"/>
      <c r="C725" s="2">
        <f>(S725*'Prestige Patterns'!$B$20)/60</f>
        <v>362</v>
      </c>
      <c r="D725" s="2">
        <f>IF(L724=L725,N724*'Prestige Patterns'!$B$20+D724-F725,0)</f>
        <v>2.5196950177990006E+18</v>
      </c>
      <c r="E725" s="3">
        <f t="shared" si="1"/>
        <v>833</v>
      </c>
      <c r="F725" s="8">
        <f>'Prestige Patterns'!$B$5*('Prestige Patterns'!$B$6^E724-'Prestige Patterns'!$B$6^(E724+G725))/(1-'Prestige Patterns'!$B$6)</f>
        <v>1.7043422790015421E+18</v>
      </c>
      <c r="G725" s="8">
        <f>FLOOR(LOG('Prestige Patterns'!$B$6^(E724) - (D724*(1-'Prestige Patterns'!$B$6)/'Prestige Patterns'!$B$5),'Prestige Patterns'!$B$6)-E724,1)</f>
        <v>1</v>
      </c>
      <c r="H725">
        <f t="shared" si="2"/>
        <v>10715287</v>
      </c>
      <c r="I725" s="5">
        <f>1+H725*'Prestige Patterns'!$B$25</f>
        <v>107153.87</v>
      </c>
      <c r="J725">
        <f>FLOOR((K725/'Prestige Patterns'!$B$22)^'Prestige Patterns'!$B$23,1)-H724</f>
        <v>11753386</v>
      </c>
      <c r="K725" s="8">
        <f>K724+N724*'Prestige Patterns'!$B$20</f>
        <v>5.0484130119823041E+19</v>
      </c>
      <c r="L725" s="2">
        <f>IF(J724&gt;='Prestige Patterns'!$B$28,IF(J724/(H724+1)&gt;('Prestige Patterns'!$B$27+1),L724+1,L724),L724)</f>
        <v>14</v>
      </c>
      <c r="N725">
        <f t="shared" si="0"/>
        <v>5.9900817492567648E+16</v>
      </c>
      <c r="O725" s="3">
        <f>'Prestige Patterns'!$B$4*E725</f>
        <v>16660</v>
      </c>
      <c r="P725">
        <f t="shared" si="3"/>
        <v>33554432</v>
      </c>
      <c r="Q725" s="5"/>
      <c r="R725" s="5"/>
      <c r="S725" s="3">
        <v>724</v>
      </c>
      <c r="T725" s="5"/>
    </row>
    <row r="726" spans="1:20" ht="12">
      <c r="A726" s="1"/>
      <c r="B726" s="1"/>
      <c r="C726" s="2">
        <f>(S726*'Prestige Patterns'!$B$20)/60</f>
        <v>362.5</v>
      </c>
      <c r="D726" s="2">
        <f>IF(L725=L726,N725*'Prestige Patterns'!$B$20+D725-F726,0)</f>
        <v>2.5271601496244178E+18</v>
      </c>
      <c r="E726" s="3">
        <f t="shared" si="1"/>
        <v>834</v>
      </c>
      <c r="F726" s="8">
        <f>'Prestige Patterns'!$B$5*('Prestige Patterns'!$B$6^E725-'Prestige Patterns'!$B$6^(E725+G726))/(1-'Prestige Patterns'!$B$6)</f>
        <v>1.7895593929516119E+18</v>
      </c>
      <c r="G726" s="8">
        <f>FLOOR(LOG('Prestige Patterns'!$B$6^(E725) - (D725*(1-'Prestige Patterns'!$B$6)/'Prestige Patterns'!$B$5),'Prestige Patterns'!$B$6)-E725,1)</f>
        <v>1</v>
      </c>
      <c r="H726">
        <f t="shared" si="2"/>
        <v>10715287</v>
      </c>
      <c r="I726" s="5">
        <f>1+H726*'Prestige Patterns'!$B$25</f>
        <v>107153.87</v>
      </c>
      <c r="J726">
        <f>FLOOR((K726/'Prestige Patterns'!$B$22)^'Prestige Patterns'!$B$23,1)-H725</f>
        <v>12149785</v>
      </c>
      <c r="K726" s="8">
        <f>K725+N725*'Prestige Patterns'!$B$20</f>
        <v>5.228115464460007E+19</v>
      </c>
      <c r="L726" s="2">
        <f>IF(J725&gt;='Prestige Patterns'!$B$28,IF(J725/(H725+1)&gt;('Prestige Patterns'!$B$27+1),L725+1,L725),L725)</f>
        <v>14</v>
      </c>
      <c r="N726">
        <f t="shared" si="0"/>
        <v>5.9972727237456688E+16</v>
      </c>
      <c r="O726" s="3">
        <f>'Prestige Patterns'!$B$4*E726</f>
        <v>16680</v>
      </c>
      <c r="P726">
        <f t="shared" si="3"/>
        <v>33554432</v>
      </c>
      <c r="Q726" s="5"/>
      <c r="R726" s="5"/>
      <c r="S726" s="3">
        <v>725</v>
      </c>
      <c r="T726" s="5"/>
    </row>
    <row r="727" spans="1:20" ht="12">
      <c r="A727" s="1"/>
      <c r="B727" s="1"/>
      <c r="C727" s="2">
        <f>(S727*'Prestige Patterns'!$B$20)/60</f>
        <v>363</v>
      </c>
      <c r="D727" s="2">
        <f>IF(L726=L727,N726*'Prestige Patterns'!$B$20+D726-F727,0)</f>
        <v>2.4473046041489162E+18</v>
      </c>
      <c r="E727" s="3">
        <f t="shared" si="1"/>
        <v>835</v>
      </c>
      <c r="F727" s="8">
        <f>'Prestige Patterns'!$B$5*('Prestige Patterns'!$B$6^E726-'Prestige Patterns'!$B$6^(E726+G727))/(1-'Prestige Patterns'!$B$6)</f>
        <v>1.879037362599202E+18</v>
      </c>
      <c r="G727" s="8">
        <f>FLOOR(LOG('Prestige Patterns'!$B$6^(E726) - (D726*(1-'Prestige Patterns'!$B$6)/'Prestige Patterns'!$B$5),'Prestige Patterns'!$B$6)-E726,1)</f>
        <v>1</v>
      </c>
      <c r="H727">
        <f t="shared" si="2"/>
        <v>10715287</v>
      </c>
      <c r="I727" s="5">
        <f>1+H727*'Prestige Patterns'!$B$25</f>
        <v>107153.87</v>
      </c>
      <c r="J727">
        <f>FLOOR((K727/'Prestige Patterns'!$B$22)^'Prestige Patterns'!$B$23,1)-H726</f>
        <v>12539892</v>
      </c>
      <c r="K727" s="8">
        <f>K726+N726*'Prestige Patterns'!$B$20</f>
        <v>5.4080336461723771E+19</v>
      </c>
      <c r="L727" s="2">
        <f>IF(J726&gt;='Prestige Patterns'!$B$28,IF(J726/(H726+1)&gt;('Prestige Patterns'!$B$27+1),L726+1,L726),L726)</f>
        <v>14</v>
      </c>
      <c r="N727">
        <f t="shared" si="0"/>
        <v>6.0044636982345728E+16</v>
      </c>
      <c r="O727" s="3">
        <f>'Prestige Patterns'!$B$4*E727</f>
        <v>16700</v>
      </c>
      <c r="P727">
        <f t="shared" si="3"/>
        <v>33554432</v>
      </c>
      <c r="Q727" s="5"/>
      <c r="R727" s="5"/>
      <c r="S727" s="3">
        <v>726</v>
      </c>
      <c r="T727" s="5"/>
    </row>
    <row r="728" spans="1:20" ht="12">
      <c r="A728" s="1"/>
      <c r="B728" s="1"/>
      <c r="C728" s="2">
        <f>(S728*'Prestige Patterns'!$B$20)/60</f>
        <v>363.5</v>
      </c>
      <c r="D728" s="2">
        <f>IF(L727=L728,N727*'Prestige Patterns'!$B$20+D727-F728,0)</f>
        <v>2.2756544828901404E+18</v>
      </c>
      <c r="E728" s="3">
        <f t="shared" si="1"/>
        <v>836</v>
      </c>
      <c r="F728" s="8">
        <f>'Prestige Patterns'!$B$5*('Prestige Patterns'!$B$6^E727-'Prestige Patterns'!$B$6^(E727+G728))/(1-'Prestige Patterns'!$B$6)</f>
        <v>1.9729892307291476E+18</v>
      </c>
      <c r="G728" s="8">
        <f>FLOOR(LOG('Prestige Patterns'!$B$6^(E727) - (D727*(1-'Prestige Patterns'!$B$6)/'Prestige Patterns'!$B$5),'Prestige Patterns'!$B$6)-E727,1)</f>
        <v>1</v>
      </c>
      <c r="H728">
        <f t="shared" si="2"/>
        <v>10715287</v>
      </c>
      <c r="I728" s="5">
        <f>1+H728*'Prestige Patterns'!$B$25</f>
        <v>107153.87</v>
      </c>
      <c r="J728">
        <f>FLOOR((K728/'Prestige Patterns'!$B$22)^'Prestige Patterns'!$B$23,1)-H727</f>
        <v>12924018</v>
      </c>
      <c r="K728" s="8">
        <f>K727+N727*'Prestige Patterns'!$B$20</f>
        <v>5.5881675571194143E+19</v>
      </c>
      <c r="L728" s="2">
        <f>IF(J727&gt;='Prestige Patterns'!$B$28,IF(J727/(H727+1)&gt;('Prestige Patterns'!$B$27+1),L727+1,L727),L727)</f>
        <v>14</v>
      </c>
      <c r="N728">
        <f t="shared" si="0"/>
        <v>6.011654672723476E+16</v>
      </c>
      <c r="O728" s="3">
        <f>'Prestige Patterns'!$B$4*E728</f>
        <v>16720</v>
      </c>
      <c r="P728">
        <f t="shared" si="3"/>
        <v>33554432</v>
      </c>
      <c r="Q728" s="5"/>
      <c r="R728" s="5"/>
      <c r="S728" s="3">
        <v>727</v>
      </c>
      <c r="T728" s="5"/>
    </row>
    <row r="729" spans="1:20" ht="12">
      <c r="A729" s="1"/>
      <c r="B729" s="1"/>
      <c r="C729" s="2">
        <f>(S729*'Prestige Patterns'!$B$20)/60</f>
        <v>364</v>
      </c>
      <c r="D729" s="2">
        <f>IF(L728=L729,N728*'Prestige Patterns'!$B$20+D728-F729,0)</f>
        <v>2.0075121924415644E+18</v>
      </c>
      <c r="E729" s="3">
        <f t="shared" si="1"/>
        <v>837</v>
      </c>
      <c r="F729" s="8">
        <f>'Prestige Patterns'!$B$5*('Prestige Patterns'!$B$6^E728-'Prestige Patterns'!$B$6^(E728+G729))/(1-'Prestige Patterns'!$B$6)</f>
        <v>2.0716386922656187E+18</v>
      </c>
      <c r="G729" s="8">
        <f>FLOOR(LOG('Prestige Patterns'!$B$6^(E728) - (D728*(1-'Prestige Patterns'!$B$6)/'Prestige Patterns'!$B$5),'Prestige Patterns'!$B$6)-E728,1)</f>
        <v>1</v>
      </c>
      <c r="H729">
        <f t="shared" si="2"/>
        <v>10715287</v>
      </c>
      <c r="I729" s="5">
        <f>1+H729*'Prestige Patterns'!$B$25</f>
        <v>107153.87</v>
      </c>
      <c r="J729">
        <f>FLOOR((K729/'Prestige Patterns'!$B$22)^'Prestige Patterns'!$B$23,1)-H728</f>
        <v>13302450</v>
      </c>
      <c r="K729" s="8">
        <f>K728+N728*'Prestige Patterns'!$B$20</f>
        <v>5.7685171973011186E+19</v>
      </c>
      <c r="L729" s="2">
        <f>IF(J728&gt;='Prestige Patterns'!$B$28,IF(J728/(H728+1)&gt;('Prestige Patterns'!$B$27+1),L728+1,L728),L728)</f>
        <v>14</v>
      </c>
      <c r="N729">
        <f t="shared" si="0"/>
        <v>6.01884564721238E+16</v>
      </c>
      <c r="O729" s="3">
        <f>'Prestige Patterns'!$B$4*E729</f>
        <v>16740</v>
      </c>
      <c r="P729">
        <f t="shared" si="3"/>
        <v>33554432</v>
      </c>
      <c r="Q729" s="5"/>
      <c r="R729" s="5"/>
      <c r="S729" s="3">
        <v>728</v>
      </c>
      <c r="T729" s="5"/>
    </row>
    <row r="730" spans="1:20" ht="12">
      <c r="A730" s="1"/>
      <c r="B730" s="1"/>
      <c r="C730" s="2">
        <f>(S730*'Prestige Patterns'!$B$20)/60</f>
        <v>364.5</v>
      </c>
      <c r="D730" s="2">
        <f>IF(L729=L730,N729*'Prestige Patterns'!$B$20+D729-F730,0)</f>
        <v>3.8131658866052782E+18</v>
      </c>
      <c r="E730" s="3">
        <f t="shared" si="1"/>
        <v>837</v>
      </c>
      <c r="F730" s="8">
        <f>'Prestige Patterns'!$B$5*('Prestige Patterns'!$B$6^E729-'Prestige Patterns'!$B$6^(E729+G730))/(1-'Prestige Patterns'!$B$6)</f>
        <v>0</v>
      </c>
      <c r="G730" s="8">
        <f>FLOOR(LOG('Prestige Patterns'!$B$6^(E729) - (D729*(1-'Prestige Patterns'!$B$6)/'Prestige Patterns'!$B$5),'Prestige Patterns'!$B$6)-E729,1)</f>
        <v>0</v>
      </c>
      <c r="H730">
        <f t="shared" si="2"/>
        <v>10715287</v>
      </c>
      <c r="I730" s="5">
        <f>1+H730*'Prestige Patterns'!$B$25</f>
        <v>107153.87</v>
      </c>
      <c r="J730">
        <f>FLOOR((K730/'Prestige Patterns'!$B$22)^'Prestige Patterns'!$B$23,1)-H729</f>
        <v>13675454</v>
      </c>
      <c r="K730" s="8">
        <f>K729+N729*'Prestige Patterns'!$B$20</f>
        <v>5.94908256671749E+19</v>
      </c>
      <c r="L730" s="2">
        <f>IF(J729&gt;='Prestige Patterns'!$B$28,IF(J729/(H729+1)&gt;('Prestige Patterns'!$B$27+1),L729+1,L729),L729)</f>
        <v>14</v>
      </c>
      <c r="N730">
        <f t="shared" si="0"/>
        <v>6.01884564721238E+16</v>
      </c>
      <c r="O730" s="3">
        <f>'Prestige Patterns'!$B$4*E730</f>
        <v>16740</v>
      </c>
      <c r="P730">
        <f t="shared" si="3"/>
        <v>33554432</v>
      </c>
      <c r="Q730" s="5"/>
      <c r="R730" s="5"/>
      <c r="S730" s="3">
        <v>729</v>
      </c>
      <c r="T730" s="5"/>
    </row>
    <row r="731" spans="1:20" ht="12">
      <c r="A731" s="1"/>
      <c r="B731" s="1"/>
      <c r="C731" s="2">
        <f>(S731*'Prestige Patterns'!$B$20)/60</f>
        <v>365</v>
      </c>
      <c r="D731" s="2">
        <f>IF(L730=L731,N730*'Prestige Patterns'!$B$20+D730-F731,0)</f>
        <v>3.4435989538901053E+18</v>
      </c>
      <c r="E731" s="3">
        <f t="shared" si="1"/>
        <v>838</v>
      </c>
      <c r="F731" s="8">
        <f>'Prestige Patterns'!$B$5*('Prestige Patterns'!$B$6^E730-'Prestige Patterns'!$B$6^(E730+G731))/(1-'Prestige Patterns'!$B$6)</f>
        <v>2.1752206268788869E+18</v>
      </c>
      <c r="G731" s="8">
        <f>FLOOR(LOG('Prestige Patterns'!$B$6^(E730) - (D730*(1-'Prestige Patterns'!$B$6)/'Prestige Patterns'!$B$5),'Prestige Patterns'!$B$6)-E730,1)</f>
        <v>1</v>
      </c>
      <c r="H731">
        <f t="shared" si="2"/>
        <v>10715287</v>
      </c>
      <c r="I731" s="5">
        <f>1+H731*'Prestige Patterns'!$B$25</f>
        <v>107153.87</v>
      </c>
      <c r="J731">
        <f>FLOOR((K731/'Prestige Patterns'!$B$22)^'Prestige Patterns'!$B$23,1)-H730</f>
        <v>14042838</v>
      </c>
      <c r="K731" s="8">
        <f>K730+N730*'Prestige Patterns'!$B$20</f>
        <v>6.1296479361338614E+19</v>
      </c>
      <c r="L731" s="2">
        <f>IF(J730&gt;='Prestige Patterns'!$B$28,IF(J730/(H730+1)&gt;('Prestige Patterns'!$B$27+1),L730+1,L730),L730)</f>
        <v>14</v>
      </c>
      <c r="N731">
        <f t="shared" si="0"/>
        <v>6.0260366217012832E+16</v>
      </c>
      <c r="O731" s="3">
        <f>'Prestige Patterns'!$B$4*E731</f>
        <v>16760</v>
      </c>
      <c r="P731">
        <f t="shared" si="3"/>
        <v>33554432</v>
      </c>
      <c r="Q731" s="5"/>
      <c r="R731" s="5"/>
      <c r="S731" s="3">
        <v>730</v>
      </c>
      <c r="T731" s="5"/>
    </row>
    <row r="732" spans="1:20" ht="12">
      <c r="A732" s="1"/>
      <c r="B732" s="1"/>
      <c r="C732" s="2">
        <f>(S732*'Prestige Patterns'!$B$20)/60</f>
        <v>365.5</v>
      </c>
      <c r="D732" s="2">
        <f>IF(L731=L732,N731*'Prestige Patterns'!$B$20+D731-F732,0)</f>
        <v>2.9674282821776445E+18</v>
      </c>
      <c r="E732" s="3">
        <f t="shared" si="1"/>
        <v>839</v>
      </c>
      <c r="F732" s="8">
        <f>'Prestige Patterns'!$B$5*('Prestige Patterns'!$B$6^E731-'Prestige Patterns'!$B$6^(E731+G732))/(1-'Prestige Patterns'!$B$6)</f>
        <v>2.283981658222846E+18</v>
      </c>
      <c r="G732" s="8">
        <f>FLOOR(LOG('Prestige Patterns'!$B$6^(E731) - (D731*(1-'Prestige Patterns'!$B$6)/'Prestige Patterns'!$B$5),'Prestige Patterns'!$B$6)-E731,1)</f>
        <v>1</v>
      </c>
      <c r="H732">
        <f t="shared" si="2"/>
        <v>10715287</v>
      </c>
      <c r="I732" s="5">
        <f>1+H732*'Prestige Patterns'!$B$25</f>
        <v>107153.87</v>
      </c>
      <c r="J732">
        <f>FLOOR((K732/'Prestige Patterns'!$B$22)^'Prestige Patterns'!$B$23,1)-H731</f>
        <v>14405280</v>
      </c>
      <c r="K732" s="8">
        <f>K731+N731*'Prestige Patterns'!$B$20</f>
        <v>6.3104290347848999E+19</v>
      </c>
      <c r="L732" s="2">
        <f>IF(J731&gt;='Prestige Patterns'!$B$28,IF(J731/(H731+1)&gt;('Prestige Patterns'!$B$27+1),L731+1,L731),L731)</f>
        <v>14</v>
      </c>
      <c r="N732">
        <f t="shared" si="0"/>
        <v>6.0332275961901872E+16</v>
      </c>
      <c r="O732" s="3">
        <f>'Prestige Patterns'!$B$4*E732</f>
        <v>16780</v>
      </c>
      <c r="P732">
        <f t="shared" si="3"/>
        <v>33554432</v>
      </c>
      <c r="Q732" s="5"/>
      <c r="R732" s="5"/>
      <c r="S732" s="3">
        <v>731</v>
      </c>
      <c r="T732" s="5"/>
    </row>
    <row r="733" spans="1:20" ht="12">
      <c r="A733" s="1"/>
      <c r="B733" s="1"/>
      <c r="C733" s="2">
        <f>(S733*'Prestige Patterns'!$B$20)/60</f>
        <v>366</v>
      </c>
      <c r="D733" s="2">
        <f>IF(L732=L733,N732*'Prestige Patterns'!$B$20+D732-F733,0)</f>
        <v>2.3792158199007252E+18</v>
      </c>
      <c r="E733" s="3">
        <f t="shared" si="1"/>
        <v>840</v>
      </c>
      <c r="F733" s="8">
        <f>'Prestige Patterns'!$B$5*('Prestige Patterns'!$B$6^E732-'Prestige Patterns'!$B$6^(E732+G733))/(1-'Prestige Patterns'!$B$6)</f>
        <v>2.3981807411339756E+18</v>
      </c>
      <c r="G733" s="8">
        <f>FLOOR(LOG('Prestige Patterns'!$B$6^(E732) - (D732*(1-'Prestige Patterns'!$B$6)/'Prestige Patterns'!$B$5),'Prestige Patterns'!$B$6)-E732,1)</f>
        <v>1</v>
      </c>
      <c r="H733">
        <f t="shared" si="2"/>
        <v>10715287</v>
      </c>
      <c r="I733" s="5">
        <f>1+H733*'Prestige Patterns'!$B$25</f>
        <v>107153.87</v>
      </c>
      <c r="J733">
        <f>FLOOR((K733/'Prestige Patterns'!$B$22)^'Prestige Patterns'!$B$23,1)-H732</f>
        <v>14762989</v>
      </c>
      <c r="K733" s="8">
        <f>K732+N732*'Prestige Patterns'!$B$20</f>
        <v>6.4914258626706055E+19</v>
      </c>
      <c r="L733" s="2">
        <f>IF(J732&gt;='Prestige Patterns'!$B$28,IF(J732/(H732+1)&gt;('Prestige Patterns'!$B$27+1),L732+1,L732),L732)</f>
        <v>14</v>
      </c>
      <c r="N733">
        <f t="shared" si="0"/>
        <v>6.0404185706790912E+16</v>
      </c>
      <c r="O733" s="3">
        <f>'Prestige Patterns'!$B$4*E733</f>
        <v>16800</v>
      </c>
      <c r="P733">
        <f t="shared" si="3"/>
        <v>33554432</v>
      </c>
      <c r="Q733" s="5"/>
      <c r="R733" s="5"/>
      <c r="S733" s="3">
        <v>732</v>
      </c>
      <c r="T733" s="5"/>
    </row>
    <row r="734" spans="1:20" ht="12">
      <c r="A734" s="1"/>
      <c r="B734" s="1"/>
      <c r="C734" s="2">
        <f>(S734*'Prestige Patterns'!$B$20)/60</f>
        <v>366.5</v>
      </c>
      <c r="D734" s="2">
        <f>IF(L733=L734,N733*'Prestige Patterns'!$B$20+D733-F734,0)</f>
        <v>4.1913413911044526E+18</v>
      </c>
      <c r="E734" s="3">
        <f t="shared" si="1"/>
        <v>840</v>
      </c>
      <c r="F734" s="8">
        <f>'Prestige Patterns'!$B$5*('Prestige Patterns'!$B$6^E733-'Prestige Patterns'!$B$6^(E733+G734))/(1-'Prestige Patterns'!$B$6)</f>
        <v>0</v>
      </c>
      <c r="G734" s="8">
        <f>FLOOR(LOG('Prestige Patterns'!$B$6^(E733) - (D733*(1-'Prestige Patterns'!$B$6)/'Prestige Patterns'!$B$5),'Prestige Patterns'!$B$6)-E733,1)</f>
        <v>0</v>
      </c>
      <c r="H734">
        <f t="shared" si="2"/>
        <v>10715287</v>
      </c>
      <c r="I734" s="5">
        <f>1+H734*'Prestige Patterns'!$B$25</f>
        <v>107153.87</v>
      </c>
      <c r="J734">
        <f>FLOOR((K734/'Prestige Patterns'!$B$22)^'Prestige Patterns'!$B$23,1)-H733</f>
        <v>15116163</v>
      </c>
      <c r="K734" s="8">
        <f>K733+N733*'Prestige Patterns'!$B$20</f>
        <v>6.6726384197909783E+19</v>
      </c>
      <c r="L734" s="2">
        <f>IF(J733&gt;='Prestige Patterns'!$B$28,IF(J733/(H733+1)&gt;('Prestige Patterns'!$B$27+1),L733+1,L733),L733)</f>
        <v>14</v>
      </c>
      <c r="N734">
        <f t="shared" si="0"/>
        <v>6.0404185706790912E+16</v>
      </c>
      <c r="O734" s="3">
        <f>'Prestige Patterns'!$B$4*E734</f>
        <v>16800</v>
      </c>
      <c r="P734">
        <f t="shared" si="3"/>
        <v>33554432</v>
      </c>
      <c r="Q734" s="5"/>
      <c r="R734" s="5"/>
      <c r="S734" s="3">
        <v>733</v>
      </c>
      <c r="T734" s="5"/>
    </row>
    <row r="735" spans="1:20" ht="12">
      <c r="A735" s="1"/>
      <c r="B735" s="1"/>
      <c r="C735" s="2">
        <f>(S735*'Prestige Patterns'!$B$20)/60</f>
        <v>367</v>
      </c>
      <c r="D735" s="2">
        <f>IF(L734=L735,N734*'Prestige Patterns'!$B$20+D734-F735,0)</f>
        <v>3.4853771841175081E+18</v>
      </c>
      <c r="E735" s="3">
        <f t="shared" si="1"/>
        <v>841</v>
      </c>
      <c r="F735" s="8">
        <f>'Prestige Patterns'!$B$5*('Prestige Patterns'!$B$6^E734-'Prestige Patterns'!$B$6^(E734+G735))/(1-'Prestige Patterns'!$B$6)</f>
        <v>2.5180897781906719E+18</v>
      </c>
      <c r="G735" s="8">
        <f>FLOOR(LOG('Prestige Patterns'!$B$6^(E734) - (D734*(1-'Prestige Patterns'!$B$6)/'Prestige Patterns'!$B$5),'Prestige Patterns'!$B$6)-E734,1)</f>
        <v>1</v>
      </c>
      <c r="H735">
        <f t="shared" si="2"/>
        <v>10715287</v>
      </c>
      <c r="I735" s="5">
        <f>1+H735*'Prestige Patterns'!$B$25</f>
        <v>107153.87</v>
      </c>
      <c r="J735">
        <f>FLOOR((K735/'Prestige Patterns'!$B$22)^'Prestige Patterns'!$B$23,1)-H734</f>
        <v>15464573</v>
      </c>
      <c r="K735" s="8">
        <f>K734+N734*'Prestige Patterns'!$B$20</f>
        <v>6.853850976911351E+19</v>
      </c>
      <c r="L735" s="2">
        <f>IF(J734&gt;='Prestige Patterns'!$B$28,IF(J734/(H734+1)&gt;('Prestige Patterns'!$B$27+1),L734+1,L734),L734)</f>
        <v>14</v>
      </c>
      <c r="N735">
        <f t="shared" si="0"/>
        <v>6.0476095451679944E+16</v>
      </c>
      <c r="O735" s="3">
        <f>'Prestige Patterns'!$B$4*E735</f>
        <v>16820</v>
      </c>
      <c r="P735">
        <f t="shared" si="3"/>
        <v>33554432</v>
      </c>
      <c r="Q735" s="5"/>
      <c r="R735" s="5"/>
      <c r="S735" s="3">
        <v>734</v>
      </c>
      <c r="T735" s="5"/>
    </row>
    <row r="736" spans="1:20" ht="12">
      <c r="A736" s="1"/>
      <c r="B736" s="1"/>
      <c r="C736" s="2">
        <f>(S736*'Prestige Patterns'!$B$20)/60</f>
        <v>367.5</v>
      </c>
      <c r="D736" s="2">
        <f>IF(L735=L736,N735*'Prestige Patterns'!$B$20+D735-F736,0)</f>
        <v>2.6556657805676877E+18</v>
      </c>
      <c r="E736" s="3">
        <f t="shared" si="1"/>
        <v>842</v>
      </c>
      <c r="F736" s="8">
        <f>'Prestige Patterns'!$B$5*('Prestige Patterns'!$B$6^E735-'Prestige Patterns'!$B$6^(E735+G736))/(1-'Prestige Patterns'!$B$6)</f>
        <v>2.6439942671002189E+18</v>
      </c>
      <c r="G736" s="8">
        <f>FLOOR(LOG('Prestige Patterns'!$B$6^(E735) - (D735*(1-'Prestige Patterns'!$B$6)/'Prestige Patterns'!$B$5),'Prestige Patterns'!$B$6)-E735,1)</f>
        <v>1</v>
      </c>
      <c r="H736">
        <f t="shared" si="2"/>
        <v>10715287</v>
      </c>
      <c r="I736" s="5">
        <f>1+H736*'Prestige Patterns'!$B$25</f>
        <v>107153.87</v>
      </c>
      <c r="J736">
        <f>FLOOR((K736/'Prestige Patterns'!$B$22)^'Prestige Patterns'!$B$23,1)-H735</f>
        <v>15808813</v>
      </c>
      <c r="K736" s="8">
        <f>K735+N735*'Prestige Patterns'!$B$20</f>
        <v>7.0352792632663908E+19</v>
      </c>
      <c r="L736" s="2">
        <f>IF(J735&gt;='Prestige Patterns'!$B$28,IF(J735/(H735+1)&gt;('Prestige Patterns'!$B$27+1),L735+1,L735),L735)</f>
        <v>14</v>
      </c>
      <c r="N736">
        <f t="shared" si="0"/>
        <v>6.0548005196568984E+16</v>
      </c>
      <c r="O736" s="3">
        <f>'Prestige Patterns'!$B$4*E736</f>
        <v>16840</v>
      </c>
      <c r="P736">
        <f t="shared" si="3"/>
        <v>33554432</v>
      </c>
      <c r="Q736" s="5"/>
      <c r="R736" s="5"/>
      <c r="S736" s="3">
        <v>735</v>
      </c>
      <c r="T736" s="5"/>
    </row>
    <row r="737" spans="1:20" ht="12">
      <c r="A737" s="1"/>
      <c r="B737" s="1"/>
      <c r="C737" s="2">
        <f>(S737*'Prestige Patterns'!$B$20)/60</f>
        <v>368</v>
      </c>
      <c r="D737" s="2">
        <f>IF(L736=L737,N736*'Prestige Patterns'!$B$20+D736-F737,0)</f>
        <v>4.4721059364647572E+18</v>
      </c>
      <c r="E737" s="3">
        <f t="shared" si="1"/>
        <v>842</v>
      </c>
      <c r="F737" s="8">
        <f>'Prestige Patterns'!$B$5*('Prestige Patterns'!$B$6^E736-'Prestige Patterns'!$B$6^(E736+G737))/(1-'Prestige Patterns'!$B$6)</f>
        <v>0</v>
      </c>
      <c r="G737" s="8">
        <f>FLOOR(LOG('Prestige Patterns'!$B$6^(E736) - (D736*(1-'Prestige Patterns'!$B$6)/'Prestige Patterns'!$B$5),'Prestige Patterns'!$B$6)-E736,1)</f>
        <v>0</v>
      </c>
      <c r="H737">
        <f t="shared" si="2"/>
        <v>10715287</v>
      </c>
      <c r="I737" s="5">
        <f>1+H737*'Prestige Patterns'!$B$25</f>
        <v>107153.87</v>
      </c>
      <c r="J737">
        <f>FLOOR((K737/'Prestige Patterns'!$B$22)^'Prestige Patterns'!$B$23,1)-H736</f>
        <v>16149044</v>
      </c>
      <c r="K737" s="8">
        <f>K736+N736*'Prestige Patterns'!$B$20</f>
        <v>7.2169232788560978E+19</v>
      </c>
      <c r="L737" s="2">
        <f>IF(J736&gt;='Prestige Patterns'!$B$28,IF(J736/(H736+1)&gt;('Prestige Patterns'!$B$27+1),L736+1,L736),L736)</f>
        <v>14</v>
      </c>
      <c r="N737">
        <f t="shared" si="0"/>
        <v>6.0548005196568984E+16</v>
      </c>
      <c r="O737" s="3">
        <f>'Prestige Patterns'!$B$4*E737</f>
        <v>16840</v>
      </c>
      <c r="P737">
        <f t="shared" si="3"/>
        <v>33554432</v>
      </c>
      <c r="Q737" s="5"/>
      <c r="R737" s="5"/>
      <c r="S737" s="3">
        <v>736</v>
      </c>
      <c r="T737" s="5"/>
    </row>
    <row r="738" spans="1:20" ht="12">
      <c r="A738" s="1"/>
      <c r="B738" s="1"/>
      <c r="C738" s="2">
        <f>(S738*'Prestige Patterns'!$B$20)/60</f>
        <v>368.5</v>
      </c>
      <c r="D738" s="2">
        <f>IF(L737=L738,N737*'Prestige Patterns'!$B$20+D737-F738,0)</f>
        <v>0</v>
      </c>
      <c r="E738" s="3">
        <f t="shared" si="1"/>
        <v>1</v>
      </c>
      <c r="F738" s="8">
        <f>'Prestige Patterns'!$B$5*('Prestige Patterns'!$B$6^E737-'Prestige Patterns'!$B$6^(E737+G738))/(1-'Prestige Patterns'!$B$6)</f>
        <v>2.7761939804552269E+18</v>
      </c>
      <c r="G738" s="8">
        <f>FLOOR(LOG('Prestige Patterns'!$B$6^(E737) - (D737*(1-'Prestige Patterns'!$B$6)/'Prestige Patterns'!$B$5),'Prestige Patterns'!$B$6)-E737,1)</f>
        <v>1</v>
      </c>
      <c r="H738">
        <f t="shared" si="2"/>
        <v>26864331</v>
      </c>
      <c r="I738" s="5">
        <f>1+H738*'Prestige Patterns'!$B$25</f>
        <v>268644.31</v>
      </c>
      <c r="J738">
        <f>FLOOR((K738/'Prestige Patterns'!$B$22)^'Prestige Patterns'!$B$23,1)-H737</f>
        <v>16485020</v>
      </c>
      <c r="K738" s="8">
        <f>K737+N737*'Prestige Patterns'!$B$20</f>
        <v>7.3985672944458039E+19</v>
      </c>
      <c r="L738" s="2">
        <f>IF(J737&gt;='Prestige Patterns'!$B$28,IF(J737/(H737+1)&gt;('Prestige Patterns'!$B$27+1),L737+1,L737),L737)</f>
        <v>15</v>
      </c>
      <c r="N738">
        <f t="shared" si="0"/>
        <v>180284144641638.41</v>
      </c>
      <c r="O738" s="3">
        <f>'Prestige Patterns'!$B$4*E738</f>
        <v>20</v>
      </c>
      <c r="P738">
        <f t="shared" si="3"/>
        <v>33554432</v>
      </c>
      <c r="Q738" s="5"/>
      <c r="R738" s="5"/>
      <c r="S738" s="3">
        <v>737</v>
      </c>
      <c r="T738" s="5"/>
    </row>
    <row r="739" spans="1:20" ht="12">
      <c r="A739" s="1"/>
      <c r="B739" s="1"/>
      <c r="C739" s="2">
        <f>(S739*'Prestige Patterns'!$B$20)/60</f>
        <v>369</v>
      </c>
      <c r="D739" s="2">
        <f>IF(L738=L739,N738*'Prestige Patterns'!$B$20+D738-F739,0)</f>
        <v>5408524339249152</v>
      </c>
      <c r="E739" s="3">
        <f t="shared" si="1"/>
        <v>1</v>
      </c>
      <c r="F739" s="8">
        <f>'Prestige Patterns'!$B$5*('Prestige Patterns'!$B$6^E738-'Prestige Patterns'!$B$6^(E738+G739))/(1-'Prestige Patterns'!$B$6)</f>
        <v>0</v>
      </c>
      <c r="G739" s="8">
        <f>FLOOR(LOG('Prestige Patterns'!$B$6^(E738) - (D738*(1-'Prestige Patterns'!$B$6)/'Prestige Patterns'!$B$5),'Prestige Patterns'!$B$6)-E738,1)</f>
        <v>0</v>
      </c>
      <c r="H739">
        <f t="shared" si="2"/>
        <v>26864331</v>
      </c>
      <c r="I739" s="5">
        <f>1+H739*'Prestige Patterns'!$B$25</f>
        <v>268644.31</v>
      </c>
      <c r="J739">
        <f>FLOOR((K739/'Prestige Patterns'!$B$22)^'Prestige Patterns'!$B$23,1)-H738</f>
        <v>336970</v>
      </c>
      <c r="K739" s="8">
        <f>K738+N738*'Prestige Patterns'!$B$20</f>
        <v>7.3991081468797288E+19</v>
      </c>
      <c r="L739" s="2">
        <f>IF(J738&gt;='Prestige Patterns'!$B$28,IF(J738/(H738+1)&gt;('Prestige Patterns'!$B$27+1),L738+1,L738),L738)</f>
        <v>15</v>
      </c>
      <c r="N739">
        <f t="shared" si="0"/>
        <v>180284144641638.41</v>
      </c>
      <c r="O739" s="3">
        <f>'Prestige Patterns'!$B$4*E739</f>
        <v>20</v>
      </c>
      <c r="P739">
        <f t="shared" si="3"/>
        <v>33554432</v>
      </c>
      <c r="Q739" s="5"/>
      <c r="R739" s="5"/>
      <c r="S739" s="3">
        <v>738</v>
      </c>
      <c r="T739" s="5"/>
    </row>
    <row r="740" spans="1:20" ht="12">
      <c r="A740" s="1"/>
      <c r="B740" s="1"/>
      <c r="C740" s="2">
        <f>(S740*'Prestige Patterns'!$B$20)/60</f>
        <v>369.5</v>
      </c>
      <c r="D740" s="2">
        <f>IF(L739=L740,N739*'Prestige Patterns'!$B$20+D739-F740,0)</f>
        <v>5586912695914527</v>
      </c>
      <c r="E740" s="3">
        <f t="shared" si="1"/>
        <v>652</v>
      </c>
      <c r="F740" s="8">
        <f>'Prestige Patterns'!$B$5*('Prestige Patterns'!$B$6^E739-'Prestige Patterns'!$B$6^(E739+G740))/(1-'Prestige Patterns'!$B$6)</f>
        <v>5230135982583777</v>
      </c>
      <c r="G740" s="8">
        <f>FLOOR(LOG('Prestige Patterns'!$B$6^(E739) - (D739*(1-'Prestige Patterns'!$B$6)/'Prestige Patterns'!$B$5),'Prestige Patterns'!$B$6)-E739,1)</f>
        <v>651</v>
      </c>
      <c r="H740">
        <f t="shared" si="2"/>
        <v>26864331</v>
      </c>
      <c r="I740" s="5">
        <f>1+H740*'Prestige Patterns'!$B$25</f>
        <v>268644.31</v>
      </c>
      <c r="J740">
        <f>FLOOR((K740/'Prestige Patterns'!$B$22)^'Prestige Patterns'!$B$23,1)-H739</f>
        <v>337964</v>
      </c>
      <c r="K740" s="8">
        <f>K739+N739*'Prestige Patterns'!$B$20</f>
        <v>7.3996489993136538E+19</v>
      </c>
      <c r="L740" s="2">
        <f>IF(J739&gt;='Prestige Patterns'!$B$28,IF(J739/(H739+1)&gt;('Prestige Patterns'!$B$27+1),L739+1,L739),L739)</f>
        <v>15</v>
      </c>
      <c r="N740">
        <f t="shared" si="0"/>
        <v>3673289447073382.5</v>
      </c>
      <c r="O740" s="3">
        <f>'Prestige Patterns'!$B$4*E740</f>
        <v>13040</v>
      </c>
      <c r="P740">
        <f t="shared" si="3"/>
        <v>1048576</v>
      </c>
      <c r="Q740" s="5"/>
      <c r="R740" s="5"/>
      <c r="S740" s="3">
        <v>739</v>
      </c>
      <c r="T740" s="5"/>
    </row>
    <row r="741" spans="1:20" ht="12">
      <c r="A741" s="1"/>
      <c r="B741" s="1"/>
      <c r="C741" s="2">
        <f>(S741*'Prestige Patterns'!$B$20)/60</f>
        <v>370</v>
      </c>
      <c r="D741" s="2">
        <f>IF(L740=L741,N740*'Prestige Patterns'!$B$20+D740-F741,0)</f>
        <v>1.1066042058941706E+17</v>
      </c>
      <c r="E741" s="3">
        <f t="shared" si="1"/>
        <v>666</v>
      </c>
      <c r="F741" s="8">
        <f>'Prestige Patterns'!$B$5*('Prestige Patterns'!$B$6^E740-'Prestige Patterns'!$B$6^(E740+G741))/(1-'Prestige Patterns'!$B$6)</f>
        <v>5125175518698949</v>
      </c>
      <c r="G741" s="8">
        <f>FLOOR(LOG('Prestige Patterns'!$B$6^(E740) - (D740*(1-'Prestige Patterns'!$B$6)/'Prestige Patterns'!$B$5),'Prestige Patterns'!$B$6)-E740,1)</f>
        <v>14</v>
      </c>
      <c r="H741">
        <f t="shared" si="2"/>
        <v>26864331</v>
      </c>
      <c r="I741" s="5">
        <f>1+H741*'Prestige Patterns'!$B$25</f>
        <v>268644.31</v>
      </c>
      <c r="J741">
        <f>FLOOR((K741/'Prestige Patterns'!$B$22)^'Prestige Patterns'!$B$23,1)-H740</f>
        <v>358212</v>
      </c>
      <c r="K741" s="8">
        <f>K740+N740*'Prestige Patterns'!$B$20</f>
        <v>7.4106688676548739E+19</v>
      </c>
      <c r="L741" s="2">
        <f>IF(J740&gt;='Prestige Patterns'!$B$28,IF(J740/(H740+1)&gt;('Prestige Patterns'!$B$27+1),L740+1,L740),L740)</f>
        <v>15</v>
      </c>
      <c r="N741">
        <f t="shared" si="0"/>
        <v>3752163760354099</v>
      </c>
      <c r="O741" s="3">
        <f>'Prestige Patterns'!$B$4*E741</f>
        <v>13320</v>
      </c>
      <c r="P741">
        <f t="shared" si="3"/>
        <v>1048576</v>
      </c>
      <c r="Q741" s="5"/>
      <c r="R741" s="5"/>
      <c r="S741" s="3">
        <v>740</v>
      </c>
      <c r="T741" s="5"/>
    </row>
    <row r="742" spans="1:20" ht="12">
      <c r="A742" s="1"/>
      <c r="B742" s="1"/>
      <c r="C742" s="2">
        <f>(S742*'Prestige Patterns'!$B$20)/60</f>
        <v>370.5</v>
      </c>
      <c r="D742" s="2">
        <f>IF(L741=L742,N741*'Prestige Patterns'!$B$20+D741-F742,0)</f>
        <v>1.1483214801009971E+17</v>
      </c>
      <c r="E742" s="3">
        <f t="shared" si="1"/>
        <v>716</v>
      </c>
      <c r="F742" s="8">
        <f>'Prestige Patterns'!$B$5*('Prestige Patterns'!$B$6^E741-'Prestige Patterns'!$B$6^(E741+G742))/(1-'Prestige Patterns'!$B$6)</f>
        <v>1.0839318538994032E+17</v>
      </c>
      <c r="G742" s="8">
        <f>FLOOR(LOG('Prestige Patterns'!$B$6^(E741) - (D741*(1-'Prestige Patterns'!$B$6)/'Prestige Patterns'!$B$5),'Prestige Patterns'!$B$6)-E741,1)</f>
        <v>50</v>
      </c>
      <c r="H742">
        <f t="shared" si="2"/>
        <v>26864331</v>
      </c>
      <c r="I742" s="5">
        <f>1+H742*'Prestige Patterns'!$B$25</f>
        <v>268644.31</v>
      </c>
      <c r="J742">
        <f>FLOOR((K742/'Prestige Patterns'!$B$22)^'Prestige Patterns'!$B$23,1)-H741</f>
        <v>378879</v>
      </c>
      <c r="K742" s="8">
        <f>K741+N741*'Prestige Patterns'!$B$20</f>
        <v>7.4219253589359362E+19</v>
      </c>
      <c r="L742" s="2">
        <f>IF(J741&gt;='Prestige Patterns'!$B$28,IF(J741/(H741+1)&gt;('Prestige Patterns'!$B$27+1),L741+1,L741),L741)</f>
        <v>15</v>
      </c>
      <c r="N742">
        <f t="shared" si="0"/>
        <v>1.2908344756341309E+17</v>
      </c>
      <c r="O742" s="3">
        <f>'Prestige Patterns'!$B$4*E742</f>
        <v>14320</v>
      </c>
      <c r="P742">
        <f t="shared" si="3"/>
        <v>33554432</v>
      </c>
      <c r="Q742" s="5"/>
      <c r="R742" s="5"/>
      <c r="S742" s="3">
        <v>741</v>
      </c>
      <c r="T742" s="5"/>
    </row>
    <row r="743" spans="1:20" ht="12">
      <c r="A743" s="1"/>
      <c r="B743" s="1"/>
      <c r="C743" s="2">
        <f>(S743*'Prestige Patterns'!$B$20)/60</f>
        <v>371</v>
      </c>
      <c r="D743" s="2">
        <f>IF(L742=L743,N742*'Prestige Patterns'!$B$20+D742-F743,0)</f>
        <v>3.8821660704886072E+18</v>
      </c>
      <c r="E743" s="3">
        <f t="shared" si="1"/>
        <v>729</v>
      </c>
      <c r="F743" s="8">
        <f>'Prestige Patterns'!$B$5*('Prestige Patterns'!$B$6^E742-'Prestige Patterns'!$B$6^(E742+G743))/(1-'Prestige Patterns'!$B$6)</f>
        <v>1.0516950442388526E+17</v>
      </c>
      <c r="G743" s="8">
        <f>FLOOR(LOG('Prestige Patterns'!$B$6^(E742) - (D742*(1-'Prestige Patterns'!$B$6)/'Prestige Patterns'!$B$5),'Prestige Patterns'!$B$6)-E742,1)</f>
        <v>13</v>
      </c>
      <c r="H743">
        <f t="shared" si="2"/>
        <v>26864331</v>
      </c>
      <c r="I743" s="5">
        <f>1+H743*'Prestige Patterns'!$B$25</f>
        <v>268644.31</v>
      </c>
      <c r="J743">
        <f>FLOOR((K743/'Prestige Patterns'!$B$22)^'Prestige Patterns'!$B$23,1)-H742</f>
        <v>1080571</v>
      </c>
      <c r="K743" s="8">
        <f>K742+N742*'Prestige Patterns'!$B$20</f>
        <v>7.8091757016261755E+19</v>
      </c>
      <c r="L743" s="2">
        <f>IF(J742&gt;='Prestige Patterns'!$B$28,IF(J742/(H742+1)&gt;('Prestige Patterns'!$B$27+1),L742+1,L742),L742)</f>
        <v>15</v>
      </c>
      <c r="N743">
        <f t="shared" si="0"/>
        <v>1.314271414437544E+17</v>
      </c>
      <c r="O743" s="3">
        <f>'Prestige Patterns'!$B$4*E743</f>
        <v>14580</v>
      </c>
      <c r="P743">
        <f t="shared" si="3"/>
        <v>33554432</v>
      </c>
      <c r="Q743" s="5"/>
      <c r="R743" s="5"/>
      <c r="S743" s="3">
        <v>742</v>
      </c>
      <c r="T743" s="5"/>
    </row>
    <row r="744" spans="1:20" ht="12">
      <c r="A744" s="1"/>
      <c r="B744" s="1"/>
      <c r="C744" s="2">
        <f>(S744*'Prestige Patterns'!$B$20)/60</f>
        <v>371.5</v>
      </c>
      <c r="D744" s="2">
        <f>IF(L743=L744,N743*'Prestige Patterns'!$B$20+D743-F744,0)</f>
        <v>4.0654640564445573E+18</v>
      </c>
      <c r="E744" s="3">
        <f t="shared" si="1"/>
        <v>788</v>
      </c>
      <c r="F744" s="8">
        <f>'Prestige Patterns'!$B$5*('Prestige Patterns'!$B$6^E743-'Prestige Patterns'!$B$6^(E743+G744))/(1-'Prestige Patterns'!$B$6)</f>
        <v>3.7595162573566812E+18</v>
      </c>
      <c r="G744" s="8">
        <f>FLOOR(LOG('Prestige Patterns'!$B$6^(E743) - (D743*(1-'Prestige Patterns'!$B$6)/'Prestige Patterns'!$B$5),'Prestige Patterns'!$B$6)-E743,1)</f>
        <v>59</v>
      </c>
      <c r="H744">
        <f t="shared" si="2"/>
        <v>26864331</v>
      </c>
      <c r="I744" s="5">
        <f>1+H744*'Prestige Patterns'!$B$25</f>
        <v>268644.31</v>
      </c>
      <c r="J744">
        <f>FLOOR((K744/'Prestige Patterns'!$B$22)^'Prestige Patterns'!$B$23,1)-H743</f>
        <v>1777346</v>
      </c>
      <c r="K744" s="8">
        <f>K743+N743*'Prestige Patterns'!$B$20</f>
        <v>8.2034571259574387E+19</v>
      </c>
      <c r="L744" s="2">
        <f>IF(J743&gt;='Prestige Patterns'!$B$28,IF(J743/(H743+1)&gt;('Prestige Patterns'!$B$27+1),L743+1,L743),L743)</f>
        <v>15</v>
      </c>
      <c r="N744">
        <f t="shared" si="0"/>
        <v>1.4206390597761106E+17</v>
      </c>
      <c r="O744" s="3">
        <f>'Prestige Patterns'!$B$4*E744</f>
        <v>15760</v>
      </c>
      <c r="P744">
        <f t="shared" si="3"/>
        <v>33554432</v>
      </c>
      <c r="Q744" s="5"/>
      <c r="R744" s="5"/>
      <c r="S744" s="3">
        <v>743</v>
      </c>
      <c r="T744" s="5"/>
    </row>
    <row r="745" spans="1:20" ht="12">
      <c r="A745" s="1"/>
      <c r="B745" s="1"/>
      <c r="C745" s="2">
        <f>(S745*'Prestige Patterns'!$B$20)/60</f>
        <v>372</v>
      </c>
      <c r="D745" s="2">
        <f>IF(L744=L745,N744*'Prestige Patterns'!$B$20+D744-F745,0)</f>
        <v>4.4238881314109501E+18</v>
      </c>
      <c r="E745" s="3">
        <f t="shared" si="1"/>
        <v>802</v>
      </c>
      <c r="F745" s="8">
        <f>'Prestige Patterns'!$B$5*('Prestige Patterns'!$B$6^E744-'Prestige Patterns'!$B$6^(E744+G745))/(1-'Prestige Patterns'!$B$6)</f>
        <v>3.9034931043619389E+18</v>
      </c>
      <c r="G745" s="8">
        <f>FLOOR(LOG('Prestige Patterns'!$B$6^(E744) - (D744*(1-'Prestige Patterns'!$B$6)/'Prestige Patterns'!$B$5),'Prestige Patterns'!$B$6)-E744,1)</f>
        <v>14</v>
      </c>
      <c r="H745">
        <f t="shared" si="2"/>
        <v>26864331</v>
      </c>
      <c r="I745" s="5">
        <f>1+H745*'Prestige Patterns'!$B$25</f>
        <v>268644.31</v>
      </c>
      <c r="J745">
        <f>FLOOR((K745/'Prestige Patterns'!$B$22)^'Prestige Patterns'!$B$23,1)-H744</f>
        <v>2511932</v>
      </c>
      <c r="K745" s="8">
        <f>K744+N744*'Prestige Patterns'!$B$20</f>
        <v>8.6296488438902718E+19</v>
      </c>
      <c r="L745" s="2">
        <f>IF(J744&gt;='Prestige Patterns'!$B$28,IF(J744/(H744+1)&gt;('Prestige Patterns'!$B$27+1),L744+1,L744),L744)</f>
        <v>15</v>
      </c>
      <c r="N745">
        <f t="shared" si="0"/>
        <v>1.4458788400259398E+17</v>
      </c>
      <c r="O745" s="3">
        <f>'Prestige Patterns'!$B$4*E745</f>
        <v>16040</v>
      </c>
      <c r="P745">
        <f t="shared" si="3"/>
        <v>33554432</v>
      </c>
      <c r="Q745" s="5"/>
      <c r="R745" s="5"/>
      <c r="S745" s="3">
        <v>744</v>
      </c>
      <c r="T745" s="5"/>
    </row>
    <row r="746" spans="1:20" ht="12">
      <c r="A746" s="1"/>
      <c r="B746" s="1"/>
      <c r="C746" s="2">
        <f>(S746*'Prestige Patterns'!$B$20)/60</f>
        <v>372.5</v>
      </c>
      <c r="D746" s="2">
        <f>IF(L745=L746,N745*'Prestige Patterns'!$B$20+D745-F746,0)</f>
        <v>4.413239058875242E+18</v>
      </c>
      <c r="E746" s="3">
        <f t="shared" si="1"/>
        <v>811</v>
      </c>
      <c r="F746" s="8">
        <f>'Prestige Patterns'!$B$5*('Prestige Patterns'!$B$6^E745-'Prestige Patterns'!$B$6^(E745+G746))/(1-'Prestige Patterns'!$B$6)</f>
        <v>4.3482855926135281E+18</v>
      </c>
      <c r="G746" s="8">
        <f>FLOOR(LOG('Prestige Patterns'!$B$6^(E745) - (D745*(1-'Prestige Patterns'!$B$6)/'Prestige Patterns'!$B$5),'Prestige Patterns'!$B$6)-E745,1)</f>
        <v>9</v>
      </c>
      <c r="H746">
        <f t="shared" si="2"/>
        <v>26864331</v>
      </c>
      <c r="I746" s="5">
        <f>1+H746*'Prestige Patterns'!$B$25</f>
        <v>268644.31</v>
      </c>
      <c r="J746">
        <f>FLOOR((K746/'Prestige Patterns'!$B$22)^'Prestige Patterns'!$B$23,1)-H745</f>
        <v>3241170</v>
      </c>
      <c r="K746" s="8">
        <f>K745+N745*'Prestige Patterns'!$B$20</f>
        <v>9.0634124958980538E+19</v>
      </c>
      <c r="L746" s="2">
        <f>IF(J745&gt;='Prestige Patterns'!$B$28,IF(J745/(H745+1)&gt;('Prestige Patterns'!$B$27+1),L745+1,L745),L745)</f>
        <v>15</v>
      </c>
      <c r="N746">
        <f t="shared" si="0"/>
        <v>1.4621044130436874E+17</v>
      </c>
      <c r="O746" s="3">
        <f>'Prestige Patterns'!$B$4*E746</f>
        <v>16220</v>
      </c>
      <c r="P746">
        <f t="shared" si="3"/>
        <v>33554432</v>
      </c>
      <c r="Q746" s="5"/>
      <c r="R746" s="5"/>
      <c r="S746" s="3">
        <v>745</v>
      </c>
      <c r="T746" s="5"/>
    </row>
    <row r="747" spans="1:20" ht="12">
      <c r="A747" s="1"/>
      <c r="B747" s="1"/>
      <c r="C747" s="2">
        <f>(S747*'Prestige Patterns'!$B$20)/60</f>
        <v>373</v>
      </c>
      <c r="D747" s="2">
        <f>IF(L746=L747,N746*'Prestige Patterns'!$B$20+D746-F747,0)</f>
        <v>4.638409709672151E+18</v>
      </c>
      <c r="E747" s="3">
        <f t="shared" si="1"/>
        <v>817</v>
      </c>
      <c r="F747" s="8">
        <f>'Prestige Patterns'!$B$5*('Prestige Patterns'!$B$6^E746-'Prestige Patterns'!$B$6^(E746+G747))/(1-'Prestige Patterns'!$B$6)</f>
        <v>4.1611425883341532E+18</v>
      </c>
      <c r="G747" s="8">
        <f>FLOOR(LOG('Prestige Patterns'!$B$6^(E746) - (D746*(1-'Prestige Patterns'!$B$6)/'Prestige Patterns'!$B$5),'Prestige Patterns'!$B$6)-E746,1)</f>
        <v>6</v>
      </c>
      <c r="H747">
        <f t="shared" si="2"/>
        <v>26864331</v>
      </c>
      <c r="I747" s="5">
        <f>1+H747*'Prestige Patterns'!$B$25</f>
        <v>268644.31</v>
      </c>
      <c r="J747">
        <f>FLOOR((K747/'Prestige Patterns'!$B$22)^'Prestige Patterns'!$B$23,1)-H746</f>
        <v>3961054</v>
      </c>
      <c r="K747" s="8">
        <f>K746+N746*'Prestige Patterns'!$B$20</f>
        <v>9.5020438198111601E+19</v>
      </c>
      <c r="L747" s="2">
        <f>IF(J746&gt;='Prestige Patterns'!$B$28,IF(J746/(H746+1)&gt;('Prestige Patterns'!$B$27+1),L746+1,L746),L746)</f>
        <v>15</v>
      </c>
      <c r="N747">
        <f t="shared" si="0"/>
        <v>1.4729214617221856E+17</v>
      </c>
      <c r="O747" s="3">
        <f>'Prestige Patterns'!$B$4*E747</f>
        <v>16340</v>
      </c>
      <c r="P747">
        <f t="shared" si="3"/>
        <v>33554432</v>
      </c>
      <c r="Q747" s="5"/>
      <c r="R747" s="5"/>
      <c r="S747" s="3">
        <v>746</v>
      </c>
      <c r="T747" s="5"/>
    </row>
    <row r="748" spans="1:20" ht="12">
      <c r="A748" s="1"/>
      <c r="B748" s="1"/>
      <c r="C748" s="2">
        <f>(S748*'Prestige Patterns'!$B$20)/60</f>
        <v>373.5</v>
      </c>
      <c r="D748" s="2">
        <f>IF(L747=L748,N747*'Prestige Patterns'!$B$20+D747-F748,0)</f>
        <v>4.5271633658419917E+18</v>
      </c>
      <c r="E748" s="3">
        <f t="shared" si="1"/>
        <v>822</v>
      </c>
      <c r="F748" s="8">
        <f>'Prestige Patterns'!$B$5*('Prestige Patterns'!$B$6^E747-'Prestige Patterns'!$B$6^(E747+G748))/(1-'Prestige Patterns'!$B$6)</f>
        <v>4.5300107289967165E+18</v>
      </c>
      <c r="G748" s="8">
        <f>FLOOR(LOG('Prestige Patterns'!$B$6^(E747) - (D747*(1-'Prestige Patterns'!$B$6)/'Prestige Patterns'!$B$5),'Prestige Patterns'!$B$6)-E747,1)</f>
        <v>5</v>
      </c>
      <c r="H748">
        <f t="shared" si="2"/>
        <v>26864331</v>
      </c>
      <c r="I748" s="5">
        <f>1+H748*'Prestige Patterns'!$B$25</f>
        <v>268644.31</v>
      </c>
      <c r="J748">
        <f>FLOOR((K748/'Prestige Patterns'!$B$22)^'Prestige Patterns'!$B$23,1)-H747</f>
        <v>4669651</v>
      </c>
      <c r="K748" s="8">
        <f>K747+N747*'Prestige Patterns'!$B$20</f>
        <v>9.9439202583278158E+19</v>
      </c>
      <c r="L748" s="2">
        <f>IF(J747&gt;='Prestige Patterns'!$B$28,IF(J747/(H747+1)&gt;('Prestige Patterns'!$B$27+1),L747+1,L747),L747)</f>
        <v>15</v>
      </c>
      <c r="N748">
        <f t="shared" si="0"/>
        <v>1.4819356689542675E+17</v>
      </c>
      <c r="O748" s="3">
        <f>'Prestige Patterns'!$B$4*E748</f>
        <v>16440</v>
      </c>
      <c r="P748">
        <f t="shared" si="3"/>
        <v>33554432</v>
      </c>
      <c r="Q748" s="5"/>
      <c r="R748" s="5"/>
      <c r="S748" s="3">
        <v>747</v>
      </c>
      <c r="T748" s="5"/>
    </row>
    <row r="749" spans="1:20" ht="12">
      <c r="A749" s="1"/>
      <c r="B749" s="1"/>
      <c r="C749" s="2">
        <f>(S749*'Prestige Patterns'!$B$20)/60</f>
        <v>374</v>
      </c>
      <c r="D749" s="2">
        <f>IF(L748=L749,N748*'Prestige Patterns'!$B$20+D748-F749,0)</f>
        <v>4.4632076510887936E+18</v>
      </c>
      <c r="E749" s="3">
        <f t="shared" si="1"/>
        <v>826</v>
      </c>
      <c r="F749" s="8">
        <f>'Prestige Patterns'!$B$5*('Prestige Patterns'!$B$6^E748-'Prestige Patterns'!$B$6^(E748+G749))/(1-'Prestige Patterns'!$B$6)</f>
        <v>4.509762721616001E+18</v>
      </c>
      <c r="G749" s="8">
        <f>FLOOR(LOG('Prestige Patterns'!$B$6^(E748) - (D748*(1-'Prestige Patterns'!$B$6)/'Prestige Patterns'!$B$5),'Prestige Patterns'!$B$6)-E748,1)</f>
        <v>4</v>
      </c>
      <c r="H749">
        <f t="shared" si="2"/>
        <v>26864331</v>
      </c>
      <c r="I749" s="5">
        <f>1+H749*'Prestige Patterns'!$B$25</f>
        <v>268644.31</v>
      </c>
      <c r="J749">
        <f>FLOOR((K749/'Prestige Patterns'!$B$22)^'Prestige Patterns'!$B$23,1)-H748</f>
        <v>5366866</v>
      </c>
      <c r="K749" s="8">
        <f>K748+N748*'Prestige Patterns'!$B$20</f>
        <v>1.0388500959014096E+20</v>
      </c>
      <c r="L749" s="2">
        <f>IF(J748&gt;='Prestige Patterns'!$B$28,IF(J748/(H748+1)&gt;('Prestige Patterns'!$B$27+1),L748+1,L748),L748)</f>
        <v>15</v>
      </c>
      <c r="N749">
        <f t="shared" si="0"/>
        <v>1.4891470347399331E+17</v>
      </c>
      <c r="O749" s="3">
        <f>'Prestige Patterns'!$B$4*E749</f>
        <v>16520</v>
      </c>
      <c r="P749">
        <f t="shared" si="3"/>
        <v>33554432</v>
      </c>
      <c r="Q749" s="5"/>
      <c r="R749" s="5"/>
      <c r="S749" s="3">
        <v>748</v>
      </c>
      <c r="T749" s="5"/>
    </row>
    <row r="750" spans="1:20" ht="12">
      <c r="A750" s="1"/>
      <c r="B750" s="1"/>
      <c r="C750" s="2">
        <f>(S750*'Prestige Patterns'!$B$20)/60</f>
        <v>374.5</v>
      </c>
      <c r="D750" s="2">
        <f>IF(L749=L750,N749*'Prestige Patterns'!$B$20+D749-F750,0)</f>
        <v>4.9212789225356923E+18</v>
      </c>
      <c r="E750" s="3">
        <f t="shared" si="1"/>
        <v>829</v>
      </c>
      <c r="F750" s="8">
        <f>'Prestige Patterns'!$B$5*('Prestige Patterns'!$B$6^E749-'Prestige Patterns'!$B$6^(E749+G750))/(1-'Prestige Patterns'!$B$6)</f>
        <v>4.0093698327729014E+18</v>
      </c>
      <c r="G750" s="8">
        <f>FLOOR(LOG('Prestige Patterns'!$B$6^(E749) - (D749*(1-'Prestige Patterns'!$B$6)/'Prestige Patterns'!$B$5),'Prestige Patterns'!$B$6)-E749,1)</f>
        <v>3</v>
      </c>
      <c r="H750">
        <f t="shared" si="2"/>
        <v>26864331</v>
      </c>
      <c r="I750" s="5">
        <f>1+H750*'Prestige Patterns'!$B$25</f>
        <v>268644.31</v>
      </c>
      <c r="J750">
        <f>FLOOR((K750/'Prestige Patterns'!$B$22)^'Prestige Patterns'!$B$23,1)-H749</f>
        <v>6052602</v>
      </c>
      <c r="K750" s="8">
        <f>K749+N749*'Prestige Patterns'!$B$20</f>
        <v>1.0835245069436076E+20</v>
      </c>
      <c r="L750" s="2">
        <f>IF(J749&gt;='Prestige Patterns'!$B$28,IF(J749/(H749+1)&gt;('Prestige Patterns'!$B$27+1),L749+1,L749),L749)</f>
        <v>15</v>
      </c>
      <c r="N750">
        <f t="shared" si="0"/>
        <v>1.4945555590791824E+17</v>
      </c>
      <c r="O750" s="3">
        <f>'Prestige Patterns'!$B$4*E750</f>
        <v>16580</v>
      </c>
      <c r="P750">
        <f t="shared" si="3"/>
        <v>33554432</v>
      </c>
      <c r="Q750" s="5"/>
      <c r="R750" s="5"/>
      <c r="S750" s="3">
        <v>749</v>
      </c>
      <c r="T750" s="5"/>
    </row>
    <row r="751" spans="1:20" ht="12">
      <c r="A751" s="1"/>
      <c r="B751" s="1"/>
      <c r="C751" s="2">
        <f>(S751*'Prestige Patterns'!$B$20)/60</f>
        <v>375</v>
      </c>
      <c r="D751" s="2">
        <f>IF(L750=L751,N750*'Prestige Patterns'!$B$20+D750-F751,0)</f>
        <v>4.7635988471095122E+18</v>
      </c>
      <c r="E751" s="3">
        <f t="shared" si="1"/>
        <v>832</v>
      </c>
      <c r="F751" s="8">
        <f>'Prestige Patterns'!$B$5*('Prestige Patterns'!$B$6^E750-'Prestige Patterns'!$B$6^(E750+G751))/(1-'Prestige Patterns'!$B$6)</f>
        <v>4.6413467526637271E+18</v>
      </c>
      <c r="G751" s="8">
        <f>FLOOR(LOG('Prestige Patterns'!$B$6^(E750) - (D750*(1-'Prestige Patterns'!$B$6)/'Prestige Patterns'!$B$5),'Prestige Patterns'!$B$6)-E750,1)</f>
        <v>3</v>
      </c>
      <c r="H751">
        <f t="shared" si="2"/>
        <v>26864331</v>
      </c>
      <c r="I751" s="5">
        <f>1+H751*'Prestige Patterns'!$B$25</f>
        <v>268644.31</v>
      </c>
      <c r="J751">
        <f>FLOOR((K751/'Prestige Patterns'!$B$22)^'Prestige Patterns'!$B$23,1)-H750</f>
        <v>6726756</v>
      </c>
      <c r="K751" s="8">
        <f>K750+N750*'Prestige Patterns'!$B$20</f>
        <v>1.1283611737159831E+20</v>
      </c>
      <c r="L751" s="2">
        <f>IF(J750&gt;='Prestige Patterns'!$B$28,IF(J750/(H750+1)&gt;('Prestige Patterns'!$B$27+1),L750+1,L750),L750)</f>
        <v>15</v>
      </c>
      <c r="N751">
        <f t="shared" si="0"/>
        <v>1.4999640834184314E+17</v>
      </c>
      <c r="O751" s="3">
        <f>'Prestige Patterns'!$B$4*E751</f>
        <v>16640</v>
      </c>
      <c r="P751">
        <f t="shared" si="3"/>
        <v>33554432</v>
      </c>
      <c r="Q751" s="5"/>
      <c r="R751" s="5"/>
      <c r="S751" s="3">
        <v>750</v>
      </c>
      <c r="T751" s="5"/>
    </row>
    <row r="752" spans="1:20" ht="15.75" customHeight="1">
      <c r="A752" s="13"/>
      <c r="B752" s="13"/>
      <c r="C752" s="8"/>
      <c r="D752" s="8"/>
      <c r="E752" s="7"/>
      <c r="F752" s="8"/>
      <c r="G752" s="8"/>
      <c r="H752" s="8"/>
      <c r="I752" s="5"/>
      <c r="K752" s="8"/>
      <c r="L752" s="8"/>
      <c r="N752" s="7"/>
      <c r="O752" s="7"/>
      <c r="P752" s="7"/>
      <c r="Q752" s="5"/>
      <c r="R752" s="5"/>
      <c r="S752" s="7"/>
      <c r="T752" s="5"/>
    </row>
    <row r="753" spans="1:20" ht="15.75" customHeight="1">
      <c r="A753" s="13"/>
      <c r="B753" s="13"/>
      <c r="C753" s="8"/>
      <c r="D753" s="8"/>
      <c r="E753" s="7"/>
      <c r="F753" s="8"/>
      <c r="G753" s="8"/>
      <c r="H753" s="8"/>
      <c r="I753" s="5"/>
      <c r="K753" s="8"/>
      <c r="L753" s="8"/>
      <c r="N753" s="7"/>
      <c r="O753" s="7"/>
      <c r="P753" s="7"/>
      <c r="Q753" s="5"/>
      <c r="R753" s="5"/>
      <c r="S753" s="7"/>
      <c r="T753" s="5"/>
    </row>
    <row r="754" spans="1:20" ht="15.75" customHeight="1">
      <c r="A754" s="13"/>
      <c r="B754" s="13"/>
      <c r="C754" s="8"/>
      <c r="D754" s="8"/>
      <c r="E754" s="7"/>
      <c r="F754" s="8"/>
      <c r="G754" s="8"/>
      <c r="H754" s="8"/>
      <c r="I754" s="5"/>
      <c r="J754" s="8"/>
      <c r="K754" s="8"/>
      <c r="L754" s="8"/>
      <c r="N754" s="7"/>
      <c r="O754" s="7"/>
      <c r="P754" s="7"/>
      <c r="Q754" s="5"/>
      <c r="R754" s="5"/>
      <c r="S754" s="7"/>
      <c r="T754" s="5"/>
    </row>
    <row r="755" spans="1:20" ht="15.75" customHeight="1">
      <c r="A755" s="13"/>
      <c r="B755" s="13"/>
      <c r="C755" s="8"/>
      <c r="D755" s="8"/>
      <c r="E755" s="7"/>
      <c r="F755" s="8"/>
      <c r="G755" s="8"/>
      <c r="H755" s="8"/>
      <c r="I755" s="5"/>
      <c r="J755" s="8"/>
      <c r="K755" s="8"/>
      <c r="L755" s="8"/>
      <c r="N755" s="7"/>
      <c r="O755" s="7"/>
      <c r="P755" s="7"/>
      <c r="Q755" s="5"/>
      <c r="R755" s="5"/>
      <c r="S755" s="7"/>
      <c r="T755" s="5"/>
    </row>
    <row r="756" spans="1:20" ht="15.75" customHeight="1">
      <c r="A756" s="13"/>
      <c r="B756" s="13"/>
      <c r="C756" s="8"/>
      <c r="D756" s="8"/>
      <c r="E756" s="7"/>
      <c r="F756" s="8"/>
      <c r="G756" s="8"/>
      <c r="H756" s="8"/>
      <c r="I756" s="5"/>
      <c r="J756" s="8"/>
      <c r="K756" s="8"/>
      <c r="L756" s="8"/>
      <c r="N756" s="7"/>
      <c r="O756" s="7"/>
      <c r="P756" s="7"/>
      <c r="Q756" s="5"/>
      <c r="R756" s="5"/>
      <c r="S756" s="7"/>
      <c r="T756" s="5"/>
    </row>
    <row r="757" spans="1:20" ht="15.75" customHeight="1">
      <c r="A757" s="13"/>
      <c r="B757" s="13"/>
      <c r="C757" s="8"/>
      <c r="D757" s="8"/>
      <c r="E757" s="7"/>
      <c r="F757" s="8"/>
      <c r="G757" s="8"/>
      <c r="H757" s="8"/>
      <c r="I757" s="5"/>
      <c r="J757" s="8"/>
      <c r="K757" s="8"/>
      <c r="L757" s="8"/>
      <c r="N757" s="7"/>
      <c r="O757" s="7"/>
      <c r="P757" s="7"/>
      <c r="Q757" s="5"/>
      <c r="R757" s="5"/>
      <c r="S757" s="7"/>
      <c r="T757" s="5"/>
    </row>
    <row r="758" spans="1:20" ht="15.75" customHeight="1">
      <c r="A758" s="13"/>
      <c r="B758" s="13"/>
      <c r="C758" s="8"/>
      <c r="D758" s="8"/>
      <c r="E758" s="7"/>
      <c r="F758" s="8"/>
      <c r="G758" s="8"/>
      <c r="H758" s="8"/>
      <c r="I758" s="5"/>
      <c r="J758" s="8"/>
      <c r="K758" s="8"/>
      <c r="L758" s="8"/>
      <c r="N758" s="7"/>
      <c r="O758" s="7"/>
      <c r="P758" s="7"/>
      <c r="Q758" s="5"/>
      <c r="R758" s="5"/>
      <c r="S758" s="7"/>
      <c r="T758" s="5"/>
    </row>
    <row r="759" spans="1:20" ht="15.75" customHeight="1">
      <c r="A759" s="13"/>
      <c r="B759" s="13"/>
      <c r="C759" s="8"/>
      <c r="D759" s="8"/>
      <c r="E759" s="7"/>
      <c r="F759" s="8"/>
      <c r="G759" s="8"/>
      <c r="H759" s="8"/>
      <c r="I759" s="5"/>
      <c r="J759" s="8"/>
      <c r="K759" s="8"/>
      <c r="L759" s="8"/>
      <c r="N759" s="7"/>
      <c r="O759" s="7"/>
      <c r="P759" s="7"/>
      <c r="Q759" s="5"/>
      <c r="R759" s="5"/>
      <c r="S759" s="7"/>
      <c r="T759" s="5"/>
    </row>
    <row r="760" spans="1:20" ht="15.75" customHeight="1">
      <c r="A760" s="13"/>
      <c r="B760" s="13"/>
      <c r="C760" s="8"/>
      <c r="D760" s="8"/>
      <c r="E760" s="7"/>
      <c r="F760" s="8"/>
      <c r="G760" s="8"/>
      <c r="H760" s="8"/>
      <c r="I760" s="5"/>
      <c r="J760" s="8"/>
      <c r="K760" s="8"/>
      <c r="L760" s="8"/>
      <c r="N760" s="7"/>
      <c r="O760" s="7"/>
      <c r="P760" s="7"/>
      <c r="Q760" s="5"/>
      <c r="R760" s="5"/>
      <c r="S760" s="7"/>
      <c r="T760" s="5"/>
    </row>
    <row r="761" spans="1:20" ht="15.75" customHeight="1">
      <c r="A761" s="13"/>
      <c r="B761" s="13"/>
      <c r="C761" s="8"/>
      <c r="D761" s="8"/>
      <c r="E761" s="7"/>
      <c r="F761" s="8"/>
      <c r="G761" s="8"/>
      <c r="H761" s="8"/>
      <c r="I761" s="5"/>
      <c r="J761" s="8"/>
      <c r="K761" s="8"/>
      <c r="L761" s="8"/>
      <c r="N761" s="7"/>
      <c r="O761" s="7"/>
      <c r="P761" s="7"/>
      <c r="Q761" s="5"/>
      <c r="R761" s="5"/>
      <c r="S761" s="7"/>
      <c r="T761" s="5"/>
    </row>
    <row r="762" spans="1:20" ht="15.75" customHeight="1">
      <c r="A762" s="13"/>
      <c r="B762" s="13"/>
      <c r="C762" s="8"/>
      <c r="D762" s="8"/>
      <c r="E762" s="7"/>
      <c r="F762" s="8"/>
      <c r="G762" s="8"/>
      <c r="H762" s="8"/>
      <c r="I762" s="5"/>
      <c r="J762" s="8"/>
      <c r="K762" s="8"/>
      <c r="L762" s="8"/>
      <c r="N762" s="7"/>
      <c r="O762" s="7"/>
      <c r="P762" s="7"/>
      <c r="Q762" s="5"/>
      <c r="R762" s="5"/>
      <c r="S762" s="7"/>
      <c r="T762" s="5"/>
    </row>
    <row r="763" spans="1:20" ht="15.75" customHeight="1">
      <c r="A763" s="13"/>
      <c r="B763" s="13"/>
      <c r="C763" s="8"/>
      <c r="D763" s="8"/>
      <c r="E763" s="7"/>
      <c r="F763" s="8"/>
      <c r="G763" s="8"/>
      <c r="H763" s="8"/>
      <c r="I763" s="5"/>
      <c r="J763" s="8"/>
      <c r="K763" s="8"/>
      <c r="L763" s="8"/>
      <c r="N763" s="7"/>
      <c r="O763" s="7"/>
      <c r="P763" s="7"/>
      <c r="Q763" s="5"/>
      <c r="R763" s="5"/>
      <c r="S763" s="7"/>
      <c r="T763" s="5"/>
    </row>
    <row r="764" spans="1:20" ht="15.75" customHeight="1">
      <c r="A764" s="13"/>
      <c r="B764" s="13"/>
      <c r="C764" s="8"/>
      <c r="D764" s="8"/>
      <c r="E764" s="7"/>
      <c r="F764" s="8"/>
      <c r="G764" s="8"/>
      <c r="H764" s="8"/>
      <c r="I764" s="5"/>
      <c r="J764" s="8"/>
      <c r="K764" s="8"/>
      <c r="L764" s="8"/>
      <c r="N764" s="7"/>
      <c r="O764" s="7"/>
      <c r="P764" s="7"/>
      <c r="Q764" s="5"/>
      <c r="R764" s="5"/>
      <c r="S764" s="7"/>
      <c r="T764" s="5"/>
    </row>
    <row r="765" spans="1:20" ht="15.75" customHeight="1">
      <c r="A765" s="13"/>
      <c r="B765" s="13"/>
      <c r="C765" s="8"/>
      <c r="D765" s="8"/>
      <c r="E765" s="7"/>
      <c r="F765" s="8"/>
      <c r="G765" s="8"/>
      <c r="H765" s="8"/>
      <c r="I765" s="5"/>
      <c r="J765" s="8"/>
      <c r="K765" s="8"/>
      <c r="L765" s="8"/>
      <c r="N765" s="7"/>
      <c r="O765" s="7"/>
      <c r="P765" s="7"/>
      <c r="Q765" s="5"/>
      <c r="R765" s="5"/>
      <c r="S765" s="7"/>
      <c r="T765" s="5"/>
    </row>
    <row r="766" spans="1:20" ht="15.75" customHeight="1">
      <c r="A766" s="13"/>
      <c r="B766" s="13"/>
      <c r="C766" s="8"/>
      <c r="D766" s="8"/>
      <c r="E766" s="7"/>
      <c r="F766" s="8"/>
      <c r="G766" s="8"/>
      <c r="H766" s="8"/>
      <c r="I766" s="5"/>
      <c r="J766" s="8"/>
      <c r="K766" s="8"/>
      <c r="L766" s="8"/>
      <c r="N766" s="7"/>
      <c r="O766" s="7"/>
      <c r="P766" s="7"/>
      <c r="Q766" s="5"/>
      <c r="R766" s="5"/>
      <c r="S766" s="7"/>
      <c r="T766" s="5"/>
    </row>
    <row r="767" spans="1:20" ht="15.75" customHeight="1">
      <c r="A767" s="13"/>
      <c r="B767" s="13"/>
      <c r="C767" s="8"/>
      <c r="D767" s="8"/>
      <c r="E767" s="7"/>
      <c r="F767" s="8"/>
      <c r="G767" s="8"/>
      <c r="H767" s="8"/>
      <c r="I767" s="5"/>
      <c r="J767" s="8"/>
      <c r="K767" s="8"/>
      <c r="L767" s="8"/>
      <c r="N767" s="7"/>
      <c r="O767" s="7"/>
      <c r="P767" s="7"/>
      <c r="Q767" s="5"/>
      <c r="R767" s="5"/>
      <c r="S767" s="7"/>
      <c r="T767" s="5"/>
    </row>
    <row r="768" spans="1:20" ht="15.75" customHeight="1">
      <c r="A768" s="13"/>
      <c r="B768" s="13"/>
      <c r="C768" s="8"/>
      <c r="D768" s="8"/>
      <c r="E768" s="7"/>
      <c r="F768" s="8"/>
      <c r="G768" s="8"/>
      <c r="H768" s="8"/>
      <c r="I768" s="5"/>
      <c r="J768" s="8"/>
      <c r="K768" s="8"/>
      <c r="L768" s="8"/>
      <c r="N768" s="7"/>
      <c r="O768" s="7"/>
      <c r="P768" s="7"/>
      <c r="Q768" s="5"/>
      <c r="R768" s="5"/>
      <c r="S768" s="7"/>
      <c r="T768" s="5"/>
    </row>
    <row r="769" spans="1:20" ht="15.75" customHeight="1">
      <c r="A769" s="13"/>
      <c r="B769" s="13"/>
      <c r="C769" s="8"/>
      <c r="D769" s="8"/>
      <c r="E769" s="7"/>
      <c r="F769" s="8"/>
      <c r="G769" s="8"/>
      <c r="H769" s="8"/>
      <c r="I769" s="5"/>
      <c r="J769" s="8"/>
      <c r="K769" s="8"/>
      <c r="L769" s="8"/>
      <c r="N769" s="7"/>
      <c r="O769" s="7"/>
      <c r="P769" s="7"/>
      <c r="Q769" s="5"/>
      <c r="R769" s="5"/>
      <c r="S769" s="7"/>
      <c r="T769" s="5"/>
    </row>
    <row r="770" spans="1:20" ht="15.75" customHeight="1">
      <c r="A770" s="13"/>
      <c r="B770" s="13"/>
      <c r="C770" s="8"/>
      <c r="D770" s="8"/>
      <c r="E770" s="7"/>
      <c r="F770" s="8"/>
      <c r="G770" s="8"/>
      <c r="H770" s="8"/>
      <c r="I770" s="5"/>
      <c r="J770" s="8"/>
      <c r="K770" s="8"/>
      <c r="L770" s="8"/>
      <c r="N770" s="7"/>
      <c r="O770" s="7"/>
      <c r="P770" s="7"/>
      <c r="Q770" s="5"/>
      <c r="R770" s="5"/>
      <c r="S770" s="7"/>
      <c r="T770" s="5"/>
    </row>
    <row r="771" spans="1:20" ht="15.75" customHeight="1">
      <c r="A771" s="13"/>
      <c r="B771" s="13"/>
      <c r="C771" s="8"/>
      <c r="D771" s="8"/>
      <c r="E771" s="7"/>
      <c r="F771" s="8"/>
      <c r="G771" s="8"/>
      <c r="H771" s="8"/>
      <c r="I771" s="5"/>
      <c r="J771" s="8"/>
      <c r="K771" s="8"/>
      <c r="L771" s="8"/>
      <c r="N771" s="7"/>
      <c r="O771" s="7"/>
      <c r="P771" s="7"/>
      <c r="Q771" s="5"/>
      <c r="R771" s="5"/>
      <c r="S771" s="7"/>
      <c r="T771" s="5"/>
    </row>
    <row r="772" spans="1:20" ht="15.75" customHeight="1">
      <c r="A772" s="13"/>
      <c r="B772" s="13"/>
      <c r="C772" s="8"/>
      <c r="D772" s="8"/>
      <c r="E772" s="7"/>
      <c r="F772" s="8"/>
      <c r="G772" s="8"/>
      <c r="H772" s="8"/>
      <c r="I772" s="5"/>
      <c r="J772" s="8"/>
      <c r="K772" s="8"/>
      <c r="L772" s="8"/>
      <c r="N772" s="7"/>
      <c r="O772" s="7"/>
      <c r="P772" s="7"/>
      <c r="Q772" s="5"/>
      <c r="R772" s="5"/>
      <c r="S772" s="7"/>
      <c r="T772" s="5"/>
    </row>
    <row r="773" spans="1:20" ht="15.75" customHeight="1">
      <c r="A773" s="13"/>
      <c r="B773" s="13"/>
      <c r="C773" s="8"/>
      <c r="D773" s="8"/>
      <c r="E773" s="7"/>
      <c r="F773" s="8"/>
      <c r="G773" s="8"/>
      <c r="H773" s="8"/>
      <c r="I773" s="5"/>
      <c r="J773" s="8"/>
      <c r="K773" s="8"/>
      <c r="L773" s="8"/>
      <c r="N773" s="7"/>
      <c r="O773" s="7"/>
      <c r="P773" s="7"/>
      <c r="Q773" s="5"/>
      <c r="R773" s="5"/>
      <c r="S773" s="7"/>
      <c r="T773" s="5"/>
    </row>
    <row r="774" spans="1:20" ht="15.75" customHeight="1">
      <c r="A774" s="13"/>
      <c r="B774" s="13"/>
      <c r="C774" s="8"/>
      <c r="D774" s="8"/>
      <c r="E774" s="7"/>
      <c r="F774" s="8"/>
      <c r="G774" s="8"/>
      <c r="H774" s="8"/>
      <c r="I774" s="5"/>
      <c r="J774" s="8"/>
      <c r="K774" s="8"/>
      <c r="L774" s="8"/>
      <c r="N774" s="7"/>
      <c r="O774" s="7"/>
      <c r="P774" s="7"/>
      <c r="Q774" s="5"/>
      <c r="R774" s="5"/>
      <c r="S774" s="7"/>
      <c r="T774" s="5"/>
    </row>
    <row r="775" spans="1:20" ht="15.75" customHeight="1">
      <c r="A775" s="13"/>
      <c r="B775" s="13"/>
      <c r="C775" s="8"/>
      <c r="D775" s="8"/>
      <c r="E775" s="7"/>
      <c r="F775" s="8"/>
      <c r="G775" s="8"/>
      <c r="H775" s="8"/>
      <c r="I775" s="5"/>
      <c r="J775" s="8"/>
      <c r="K775" s="8"/>
      <c r="L775" s="8"/>
      <c r="N775" s="7"/>
      <c r="O775" s="7"/>
      <c r="P775" s="7"/>
      <c r="Q775" s="5"/>
      <c r="R775" s="5"/>
      <c r="S775" s="7"/>
      <c r="T775" s="5"/>
    </row>
    <row r="776" spans="1:20" ht="15.75" customHeight="1">
      <c r="A776" s="13"/>
      <c r="B776" s="13"/>
      <c r="C776" s="8"/>
      <c r="D776" s="8"/>
      <c r="E776" s="7"/>
      <c r="F776" s="8"/>
      <c r="G776" s="8"/>
      <c r="H776" s="8"/>
      <c r="I776" s="5"/>
      <c r="J776" s="8"/>
      <c r="K776" s="8"/>
      <c r="L776" s="8"/>
      <c r="N776" s="7"/>
      <c r="O776" s="7"/>
      <c r="P776" s="7"/>
      <c r="Q776" s="5"/>
      <c r="R776" s="5"/>
      <c r="S776" s="7"/>
      <c r="T776" s="5"/>
    </row>
    <row r="777" spans="1:20" ht="15.75" customHeight="1">
      <c r="A777" s="13"/>
      <c r="B777" s="13"/>
      <c r="C777" s="8"/>
      <c r="D777" s="8"/>
      <c r="E777" s="7"/>
      <c r="F777" s="8"/>
      <c r="G777" s="8"/>
      <c r="H777" s="8"/>
      <c r="I777" s="5"/>
      <c r="J777" s="8"/>
      <c r="K777" s="8"/>
      <c r="L777" s="8"/>
      <c r="N777" s="7"/>
      <c r="O777" s="7"/>
      <c r="P777" s="7"/>
      <c r="Q777" s="5"/>
      <c r="R777" s="5"/>
      <c r="S777" s="7"/>
      <c r="T777" s="5"/>
    </row>
    <row r="778" spans="1:20" ht="15.75" customHeight="1">
      <c r="A778" s="13"/>
      <c r="B778" s="13"/>
      <c r="C778" s="8"/>
      <c r="D778" s="8"/>
      <c r="E778" s="7"/>
      <c r="F778" s="8"/>
      <c r="G778" s="8"/>
      <c r="H778" s="8"/>
      <c r="I778" s="5"/>
      <c r="J778" s="8"/>
      <c r="K778" s="8"/>
      <c r="L778" s="8"/>
      <c r="N778" s="7"/>
      <c r="O778" s="7"/>
      <c r="P778" s="7"/>
      <c r="Q778" s="5"/>
      <c r="R778" s="5"/>
      <c r="S778" s="7"/>
      <c r="T778" s="5"/>
    </row>
    <row r="779" spans="1:20" ht="15.75" customHeight="1">
      <c r="A779" s="13"/>
      <c r="B779" s="13"/>
      <c r="C779" s="8"/>
      <c r="D779" s="8"/>
      <c r="E779" s="7"/>
      <c r="F779" s="8"/>
      <c r="G779" s="8"/>
      <c r="H779" s="8"/>
      <c r="I779" s="5"/>
      <c r="J779" s="8"/>
      <c r="K779" s="8"/>
      <c r="L779" s="8"/>
      <c r="N779" s="7"/>
      <c r="O779" s="7"/>
      <c r="P779" s="7"/>
      <c r="Q779" s="5"/>
      <c r="R779" s="5"/>
      <c r="S779" s="7"/>
      <c r="T779" s="5"/>
    </row>
    <row r="780" spans="1:20" ht="15.75" customHeight="1">
      <c r="A780" s="13"/>
      <c r="B780" s="13"/>
      <c r="C780" s="8"/>
      <c r="D780" s="8"/>
      <c r="E780" s="7"/>
      <c r="F780" s="8"/>
      <c r="G780" s="8"/>
      <c r="H780" s="8"/>
      <c r="I780" s="5"/>
      <c r="J780" s="8"/>
      <c r="K780" s="8"/>
      <c r="L780" s="8"/>
      <c r="N780" s="7"/>
      <c r="O780" s="7"/>
      <c r="P780" s="7"/>
      <c r="Q780" s="5"/>
      <c r="R780" s="5"/>
      <c r="S780" s="7"/>
      <c r="T780" s="5"/>
    </row>
    <row r="781" spans="1:20" ht="15.75" customHeight="1">
      <c r="A781" s="13"/>
      <c r="B781" s="13"/>
      <c r="C781" s="8"/>
      <c r="D781" s="8"/>
      <c r="E781" s="7"/>
      <c r="F781" s="8"/>
      <c r="G781" s="8"/>
      <c r="H781" s="8"/>
      <c r="I781" s="5"/>
      <c r="J781" s="8"/>
      <c r="K781" s="8"/>
      <c r="L781" s="8"/>
      <c r="N781" s="7"/>
      <c r="O781" s="7"/>
      <c r="P781" s="7"/>
      <c r="Q781" s="5"/>
      <c r="R781" s="5"/>
      <c r="S781" s="7"/>
      <c r="T781" s="5"/>
    </row>
    <row r="782" spans="1:20" ht="15.75" customHeight="1">
      <c r="A782" s="13"/>
      <c r="B782" s="13"/>
      <c r="C782" s="8"/>
      <c r="D782" s="8"/>
      <c r="E782" s="7"/>
      <c r="F782" s="8"/>
      <c r="G782" s="8"/>
      <c r="H782" s="8"/>
      <c r="I782" s="5"/>
      <c r="J782" s="8"/>
      <c r="K782" s="8"/>
      <c r="L782" s="8"/>
      <c r="N782" s="7"/>
      <c r="O782" s="7"/>
      <c r="P782" s="7"/>
      <c r="Q782" s="5"/>
      <c r="R782" s="5"/>
      <c r="S782" s="7"/>
      <c r="T782" s="5"/>
    </row>
    <row r="783" spans="1:20" ht="15.75" customHeight="1">
      <c r="A783" s="13"/>
      <c r="B783" s="13"/>
      <c r="C783" s="8"/>
      <c r="D783" s="8"/>
      <c r="E783" s="7"/>
      <c r="F783" s="8"/>
      <c r="G783" s="8"/>
      <c r="H783" s="8"/>
      <c r="I783" s="5"/>
      <c r="J783" s="8"/>
      <c r="K783" s="8"/>
      <c r="L783" s="8"/>
      <c r="N783" s="7"/>
      <c r="O783" s="7"/>
      <c r="P783" s="7"/>
      <c r="Q783" s="5"/>
      <c r="R783" s="5"/>
      <c r="S783" s="7"/>
      <c r="T783" s="5"/>
    </row>
    <row r="784" spans="1:20" ht="15.75" customHeight="1">
      <c r="A784" s="13"/>
      <c r="B784" s="13"/>
      <c r="C784" s="8"/>
      <c r="D784" s="8"/>
      <c r="E784" s="7"/>
      <c r="F784" s="8"/>
      <c r="G784" s="8"/>
      <c r="H784" s="8"/>
      <c r="I784" s="5"/>
      <c r="J784" s="8"/>
      <c r="K784" s="8"/>
      <c r="L784" s="8"/>
      <c r="N784" s="7"/>
      <c r="O784" s="7"/>
      <c r="P784" s="7"/>
      <c r="Q784" s="5"/>
      <c r="R784" s="5"/>
      <c r="S784" s="7"/>
      <c r="T784" s="5"/>
    </row>
    <row r="785" spans="1:20" ht="15.75" customHeight="1">
      <c r="A785" s="13"/>
      <c r="B785" s="13"/>
      <c r="C785" s="8"/>
      <c r="D785" s="8"/>
      <c r="E785" s="7"/>
      <c r="F785" s="8"/>
      <c r="G785" s="8"/>
      <c r="H785" s="8"/>
      <c r="I785" s="5"/>
      <c r="J785" s="8"/>
      <c r="K785" s="8"/>
      <c r="L785" s="8"/>
      <c r="N785" s="7"/>
      <c r="O785" s="7"/>
      <c r="P785" s="7"/>
      <c r="Q785" s="5"/>
      <c r="R785" s="5"/>
      <c r="S785" s="7"/>
      <c r="T785" s="5"/>
    </row>
    <row r="786" spans="1:20" ht="15.75" customHeight="1">
      <c r="A786" s="13"/>
      <c r="B786" s="13"/>
      <c r="C786" s="8"/>
      <c r="D786" s="8"/>
      <c r="E786" s="7"/>
      <c r="F786" s="8"/>
      <c r="G786" s="8"/>
      <c r="H786" s="8"/>
      <c r="I786" s="5"/>
      <c r="J786" s="8"/>
      <c r="K786" s="8"/>
      <c r="L786" s="8"/>
      <c r="N786" s="7"/>
      <c r="O786" s="7"/>
      <c r="P786" s="7"/>
      <c r="Q786" s="5"/>
      <c r="R786" s="5"/>
      <c r="S786" s="7"/>
      <c r="T786" s="5"/>
    </row>
    <row r="787" spans="1:20" ht="15.75" customHeight="1">
      <c r="A787" s="13"/>
      <c r="B787" s="13"/>
      <c r="C787" s="8"/>
      <c r="D787" s="8"/>
      <c r="E787" s="7"/>
      <c r="F787" s="8"/>
      <c r="G787" s="8"/>
      <c r="H787" s="8"/>
      <c r="I787" s="5"/>
      <c r="J787" s="8"/>
      <c r="K787" s="8"/>
      <c r="L787" s="8"/>
      <c r="N787" s="7"/>
      <c r="O787" s="7"/>
      <c r="P787" s="7"/>
      <c r="Q787" s="5"/>
      <c r="R787" s="5"/>
      <c r="S787" s="7"/>
      <c r="T787" s="5"/>
    </row>
    <row r="788" spans="1:20" ht="15.75" customHeight="1">
      <c r="A788" s="13"/>
      <c r="B788" s="13"/>
      <c r="C788" s="8"/>
      <c r="D788" s="8"/>
      <c r="E788" s="7"/>
      <c r="F788" s="8"/>
      <c r="G788" s="8"/>
      <c r="H788" s="8"/>
      <c r="I788" s="5"/>
      <c r="J788" s="8"/>
      <c r="K788" s="8"/>
      <c r="L788" s="8"/>
      <c r="N788" s="7"/>
      <c r="O788" s="7"/>
      <c r="P788" s="7"/>
      <c r="Q788" s="5"/>
      <c r="R788" s="5"/>
      <c r="S788" s="7"/>
      <c r="T788" s="5"/>
    </row>
    <row r="789" spans="1:20" ht="15.75" customHeight="1">
      <c r="A789" s="13"/>
      <c r="B789" s="13"/>
      <c r="C789" s="8"/>
      <c r="D789" s="8"/>
      <c r="E789" s="7"/>
      <c r="F789" s="8"/>
      <c r="G789" s="8"/>
      <c r="H789" s="8"/>
      <c r="I789" s="5"/>
      <c r="J789" s="8"/>
      <c r="K789" s="8"/>
      <c r="L789" s="8"/>
      <c r="N789" s="7"/>
      <c r="O789" s="7"/>
      <c r="P789" s="7"/>
      <c r="Q789" s="5"/>
      <c r="R789" s="5"/>
      <c r="S789" s="7"/>
      <c r="T789" s="5"/>
    </row>
    <row r="790" spans="1:20" ht="15.75" customHeight="1">
      <c r="A790" s="13"/>
      <c r="B790" s="13"/>
      <c r="C790" s="8"/>
      <c r="D790" s="8"/>
      <c r="E790" s="7"/>
      <c r="F790" s="8"/>
      <c r="G790" s="8"/>
      <c r="H790" s="8"/>
      <c r="I790" s="5"/>
      <c r="J790" s="8"/>
      <c r="K790" s="8"/>
      <c r="L790" s="8"/>
      <c r="N790" s="7"/>
      <c r="O790" s="7"/>
      <c r="P790" s="7"/>
      <c r="Q790" s="5"/>
      <c r="R790" s="5"/>
      <c r="S790" s="7"/>
      <c r="T790" s="5"/>
    </row>
    <row r="791" spans="1:20" ht="15.75" customHeight="1">
      <c r="A791" s="13"/>
      <c r="B791" s="13"/>
      <c r="C791" s="8"/>
      <c r="D791" s="8"/>
      <c r="E791" s="7"/>
      <c r="F791" s="8"/>
      <c r="G791" s="8"/>
      <c r="H791" s="8"/>
      <c r="I791" s="5"/>
      <c r="J791" s="8"/>
      <c r="K791" s="8"/>
      <c r="L791" s="8"/>
      <c r="N791" s="7"/>
      <c r="O791" s="7"/>
      <c r="P791" s="7"/>
      <c r="Q791" s="5"/>
      <c r="R791" s="5"/>
      <c r="S791" s="7"/>
      <c r="T791" s="5"/>
    </row>
    <row r="792" spans="1:20" ht="15.75" customHeight="1">
      <c r="A792" s="13"/>
      <c r="B792" s="13"/>
      <c r="C792" s="8"/>
      <c r="D792" s="8"/>
      <c r="E792" s="7"/>
      <c r="F792" s="8"/>
      <c r="G792" s="8"/>
      <c r="H792" s="8"/>
      <c r="I792" s="5"/>
      <c r="J792" s="8"/>
      <c r="K792" s="8"/>
      <c r="L792" s="8"/>
      <c r="N792" s="7"/>
      <c r="O792" s="7"/>
      <c r="P792" s="7"/>
      <c r="Q792" s="5"/>
      <c r="R792" s="5"/>
      <c r="S792" s="7"/>
      <c r="T792" s="5"/>
    </row>
    <row r="793" spans="1:20" ht="15.75" customHeight="1">
      <c r="A793" s="13"/>
      <c r="B793" s="13"/>
      <c r="C793" s="8"/>
      <c r="D793" s="8"/>
      <c r="E793" s="7"/>
      <c r="F793" s="8"/>
      <c r="G793" s="8"/>
      <c r="H793" s="8"/>
      <c r="I793" s="5"/>
      <c r="J793" s="8"/>
      <c r="K793" s="8"/>
      <c r="L793" s="8"/>
      <c r="N793" s="7"/>
      <c r="O793" s="7"/>
      <c r="P793" s="7"/>
      <c r="Q793" s="5"/>
      <c r="R793" s="5"/>
      <c r="S793" s="7"/>
      <c r="T793" s="5"/>
    </row>
    <row r="794" spans="1:20" ht="15.75" customHeight="1">
      <c r="A794" s="13"/>
      <c r="B794" s="13"/>
      <c r="C794" s="8"/>
      <c r="D794" s="8"/>
      <c r="E794" s="7"/>
      <c r="F794" s="8"/>
      <c r="G794" s="8"/>
      <c r="H794" s="8"/>
      <c r="I794" s="5"/>
      <c r="J794" s="8"/>
      <c r="K794" s="8"/>
      <c r="L794" s="8"/>
      <c r="N794" s="7"/>
      <c r="O794" s="7"/>
      <c r="P794" s="7"/>
      <c r="Q794" s="5"/>
      <c r="R794" s="5"/>
      <c r="S794" s="7"/>
      <c r="T794" s="5"/>
    </row>
    <row r="795" spans="1:20" ht="15.75" customHeight="1">
      <c r="A795" s="13"/>
      <c r="B795" s="13"/>
      <c r="C795" s="8"/>
      <c r="D795" s="8"/>
      <c r="E795" s="7"/>
      <c r="F795" s="8"/>
      <c r="G795" s="8"/>
      <c r="H795" s="8"/>
      <c r="I795" s="5"/>
      <c r="J795" s="8"/>
      <c r="K795" s="8"/>
      <c r="L795" s="8"/>
      <c r="N795" s="7"/>
      <c r="O795" s="7"/>
      <c r="P795" s="7"/>
      <c r="Q795" s="5"/>
      <c r="R795" s="5"/>
      <c r="S795" s="7"/>
      <c r="T795" s="5"/>
    </row>
    <row r="796" spans="1:20" ht="15.75" customHeight="1">
      <c r="A796" s="13"/>
      <c r="B796" s="13"/>
      <c r="C796" s="8"/>
      <c r="D796" s="8"/>
      <c r="E796" s="7"/>
      <c r="F796" s="8"/>
      <c r="G796" s="8"/>
      <c r="H796" s="8"/>
      <c r="I796" s="5"/>
      <c r="J796" s="8"/>
      <c r="K796" s="8"/>
      <c r="L796" s="8"/>
      <c r="N796" s="7"/>
      <c r="O796" s="7"/>
      <c r="P796" s="7"/>
      <c r="Q796" s="5"/>
      <c r="R796" s="5"/>
      <c r="S796" s="7"/>
      <c r="T796" s="5"/>
    </row>
    <row r="797" spans="1:20" ht="15.75" customHeight="1">
      <c r="A797" s="13"/>
      <c r="B797" s="13"/>
      <c r="C797" s="8"/>
      <c r="D797" s="8"/>
      <c r="E797" s="7"/>
      <c r="F797" s="8"/>
      <c r="G797" s="8"/>
      <c r="H797" s="8"/>
      <c r="I797" s="5"/>
      <c r="J797" s="8"/>
      <c r="K797" s="8"/>
      <c r="L797" s="8"/>
      <c r="N797" s="7"/>
      <c r="O797" s="7"/>
      <c r="P797" s="7"/>
      <c r="Q797" s="5"/>
      <c r="R797" s="5"/>
      <c r="S797" s="7"/>
      <c r="T797" s="5"/>
    </row>
    <row r="798" spans="1:20" ht="15.75" customHeight="1">
      <c r="A798" s="13"/>
      <c r="B798" s="13"/>
      <c r="C798" s="8"/>
      <c r="D798" s="8"/>
      <c r="E798" s="7"/>
      <c r="F798" s="8"/>
      <c r="G798" s="8"/>
      <c r="H798" s="8"/>
      <c r="I798" s="5"/>
      <c r="J798" s="8"/>
      <c r="K798" s="8"/>
      <c r="L798" s="8"/>
      <c r="N798" s="7"/>
      <c r="O798" s="7"/>
      <c r="P798" s="7"/>
      <c r="Q798" s="5"/>
      <c r="R798" s="5"/>
      <c r="S798" s="7"/>
      <c r="T798" s="5"/>
    </row>
    <row r="799" spans="1:20" ht="15.75" customHeight="1">
      <c r="A799" s="13"/>
      <c r="B799" s="13"/>
      <c r="C799" s="8"/>
      <c r="D799" s="8"/>
      <c r="E799" s="7"/>
      <c r="F799" s="8"/>
      <c r="G799" s="8"/>
      <c r="H799" s="8"/>
      <c r="I799" s="5"/>
      <c r="J799" s="8"/>
      <c r="K799" s="8"/>
      <c r="L799" s="8"/>
      <c r="N799" s="7"/>
      <c r="O799" s="7"/>
      <c r="P799" s="7"/>
      <c r="Q799" s="5"/>
      <c r="R799" s="5"/>
      <c r="S799" s="7"/>
      <c r="T799" s="5"/>
    </row>
    <row r="800" spans="1:20" ht="15.75" customHeight="1">
      <c r="A800" s="13"/>
      <c r="B800" s="13"/>
      <c r="C800" s="8"/>
      <c r="D800" s="8"/>
      <c r="E800" s="7"/>
      <c r="F800" s="8"/>
      <c r="G800" s="8"/>
      <c r="H800" s="8"/>
      <c r="I800" s="5"/>
      <c r="J800" s="8"/>
      <c r="K800" s="8"/>
      <c r="L800" s="8"/>
      <c r="N800" s="7"/>
      <c r="O800" s="7"/>
      <c r="P800" s="7"/>
      <c r="Q800" s="5"/>
      <c r="R800" s="5"/>
      <c r="S800" s="7"/>
      <c r="T800" s="5"/>
    </row>
    <row r="801" spans="1:20" ht="15.75" customHeight="1">
      <c r="A801" s="13"/>
      <c r="B801" s="13"/>
      <c r="C801" s="8"/>
      <c r="D801" s="8"/>
      <c r="E801" s="7"/>
      <c r="F801" s="8"/>
      <c r="G801" s="8"/>
      <c r="H801" s="8"/>
      <c r="I801" s="5"/>
      <c r="J801" s="8"/>
      <c r="K801" s="8"/>
      <c r="L801" s="8"/>
      <c r="N801" s="7"/>
      <c r="O801" s="7"/>
      <c r="P801" s="7"/>
      <c r="Q801" s="5"/>
      <c r="R801" s="5"/>
      <c r="S801" s="7"/>
      <c r="T801" s="5"/>
    </row>
    <row r="802" spans="1:20" ht="15.75" customHeight="1">
      <c r="A802" s="13"/>
      <c r="B802" s="13"/>
      <c r="C802" s="8"/>
      <c r="D802" s="8"/>
      <c r="E802" s="7"/>
      <c r="F802" s="8"/>
      <c r="G802" s="8"/>
      <c r="H802" s="8"/>
      <c r="I802" s="5"/>
      <c r="J802" s="8"/>
      <c r="K802" s="8"/>
      <c r="L802" s="8"/>
      <c r="N802" s="7"/>
      <c r="O802" s="7"/>
      <c r="P802" s="7"/>
      <c r="Q802" s="5"/>
      <c r="R802" s="5"/>
      <c r="S802" s="7"/>
      <c r="T802" s="5"/>
    </row>
    <row r="803" spans="1:20" ht="15.75" customHeight="1">
      <c r="A803" s="13"/>
      <c r="B803" s="13"/>
      <c r="C803" s="8"/>
      <c r="D803" s="8"/>
      <c r="E803" s="7"/>
      <c r="F803" s="8"/>
      <c r="G803" s="8"/>
      <c r="H803" s="8"/>
      <c r="I803" s="5"/>
      <c r="J803" s="8"/>
      <c r="K803" s="8"/>
      <c r="L803" s="8"/>
      <c r="N803" s="7"/>
      <c r="O803" s="7"/>
      <c r="P803" s="7"/>
      <c r="Q803" s="5"/>
      <c r="R803" s="5"/>
      <c r="S803" s="7"/>
      <c r="T803" s="5"/>
    </row>
    <row r="804" spans="1:20" ht="15.75" customHeight="1">
      <c r="A804" s="13"/>
      <c r="B804" s="13"/>
      <c r="C804" s="8"/>
      <c r="D804" s="8"/>
      <c r="E804" s="7"/>
      <c r="F804" s="8"/>
      <c r="G804" s="8"/>
      <c r="H804" s="8"/>
      <c r="I804" s="5"/>
      <c r="J804" s="8"/>
      <c r="K804" s="8"/>
      <c r="L804" s="8"/>
      <c r="N804" s="7"/>
      <c r="O804" s="7"/>
      <c r="P804" s="7"/>
      <c r="Q804" s="5"/>
      <c r="R804" s="5"/>
      <c r="S804" s="7"/>
      <c r="T804" s="5"/>
    </row>
    <row r="805" spans="1:20" ht="15.75" customHeight="1">
      <c r="A805" s="13"/>
      <c r="B805" s="13"/>
      <c r="C805" s="8"/>
      <c r="D805" s="8"/>
      <c r="E805" s="7"/>
      <c r="F805" s="8"/>
      <c r="G805" s="8"/>
      <c r="H805" s="8"/>
      <c r="I805" s="5"/>
      <c r="J805" s="8"/>
      <c r="K805" s="8"/>
      <c r="L805" s="8"/>
      <c r="N805" s="7"/>
      <c r="O805" s="7"/>
      <c r="P805" s="7"/>
      <c r="Q805" s="5"/>
      <c r="R805" s="5"/>
      <c r="S805" s="7"/>
      <c r="T805" s="5"/>
    </row>
    <row r="806" spans="1:20" ht="15.75" customHeight="1">
      <c r="A806" s="13"/>
      <c r="B806" s="13"/>
      <c r="C806" s="8"/>
      <c r="D806" s="8"/>
      <c r="E806" s="7"/>
      <c r="F806" s="8"/>
      <c r="G806" s="8"/>
      <c r="H806" s="8"/>
      <c r="I806" s="5"/>
      <c r="J806" s="8"/>
      <c r="K806" s="8"/>
      <c r="L806" s="8"/>
      <c r="N806" s="7"/>
      <c r="O806" s="7"/>
      <c r="P806" s="7"/>
      <c r="Q806" s="5"/>
      <c r="R806" s="5"/>
      <c r="S806" s="7"/>
      <c r="T806" s="5"/>
    </row>
    <row r="807" spans="1:20" ht="15.75" customHeight="1">
      <c r="A807" s="13"/>
      <c r="B807" s="13"/>
      <c r="C807" s="8"/>
      <c r="D807" s="8"/>
      <c r="E807" s="7"/>
      <c r="F807" s="8"/>
      <c r="G807" s="8"/>
      <c r="H807" s="8"/>
      <c r="I807" s="5"/>
      <c r="J807" s="8"/>
      <c r="K807" s="8"/>
      <c r="L807" s="8"/>
      <c r="N807" s="7"/>
      <c r="O807" s="7"/>
      <c r="P807" s="7"/>
      <c r="Q807" s="5"/>
      <c r="R807" s="5"/>
      <c r="S807" s="7"/>
      <c r="T807" s="5"/>
    </row>
    <row r="808" spans="1:20" ht="15.75" customHeight="1">
      <c r="A808" s="13"/>
      <c r="B808" s="13"/>
      <c r="C808" s="8"/>
      <c r="D808" s="8"/>
      <c r="E808" s="7"/>
      <c r="F808" s="8"/>
      <c r="G808" s="8"/>
      <c r="H808" s="8"/>
      <c r="I808" s="5"/>
      <c r="J808" s="8"/>
      <c r="K808" s="8"/>
      <c r="L808" s="8"/>
      <c r="N808" s="7"/>
      <c r="O808" s="7"/>
      <c r="P808" s="7"/>
      <c r="Q808" s="5"/>
      <c r="R808" s="5"/>
      <c r="S808" s="7"/>
      <c r="T808" s="5"/>
    </row>
    <row r="809" spans="1:20" ht="15.75" customHeight="1">
      <c r="A809" s="13"/>
      <c r="B809" s="13"/>
      <c r="C809" s="8"/>
      <c r="D809" s="8"/>
      <c r="E809" s="7"/>
      <c r="F809" s="8"/>
      <c r="G809" s="8"/>
      <c r="H809" s="8"/>
      <c r="I809" s="5"/>
      <c r="J809" s="8"/>
      <c r="K809" s="8"/>
      <c r="L809" s="8"/>
      <c r="N809" s="7"/>
      <c r="O809" s="7"/>
      <c r="P809" s="7"/>
      <c r="Q809" s="5"/>
      <c r="R809" s="5"/>
      <c r="S809" s="7"/>
      <c r="T809" s="5"/>
    </row>
    <row r="810" spans="1:20" ht="15.75" customHeight="1">
      <c r="A810" s="13"/>
      <c r="B810" s="13"/>
      <c r="C810" s="8"/>
      <c r="D810" s="8"/>
      <c r="E810" s="7"/>
      <c r="F810" s="8"/>
      <c r="G810" s="8"/>
      <c r="H810" s="8"/>
      <c r="I810" s="5"/>
      <c r="J810" s="8"/>
      <c r="K810" s="8"/>
      <c r="L810" s="8"/>
      <c r="N810" s="7"/>
      <c r="O810" s="7"/>
      <c r="P810" s="7"/>
      <c r="Q810" s="5"/>
      <c r="R810" s="5"/>
      <c r="S810" s="7"/>
      <c r="T810" s="5"/>
    </row>
    <row r="811" spans="1:20" ht="15.75" customHeight="1">
      <c r="A811" s="13"/>
      <c r="B811" s="13"/>
      <c r="C811" s="8"/>
      <c r="D811" s="8"/>
      <c r="E811" s="7"/>
      <c r="F811" s="8"/>
      <c r="G811" s="8"/>
      <c r="H811" s="8"/>
      <c r="I811" s="5"/>
      <c r="J811" s="8"/>
      <c r="K811" s="8"/>
      <c r="L811" s="8"/>
      <c r="N811" s="7"/>
      <c r="O811" s="7"/>
      <c r="P811" s="7"/>
      <c r="Q811" s="5"/>
      <c r="R811" s="5"/>
      <c r="S811" s="7"/>
      <c r="T811" s="5"/>
    </row>
    <row r="812" spans="1:20" ht="15.75" customHeight="1">
      <c r="A812" s="13"/>
      <c r="B812" s="13"/>
      <c r="C812" s="8"/>
      <c r="D812" s="8"/>
      <c r="E812" s="7"/>
      <c r="F812" s="8"/>
      <c r="G812" s="8"/>
      <c r="H812" s="8"/>
      <c r="I812" s="5"/>
      <c r="J812" s="8"/>
      <c r="K812" s="8"/>
      <c r="L812" s="8"/>
      <c r="N812" s="7"/>
      <c r="O812" s="7"/>
      <c r="P812" s="7"/>
      <c r="Q812" s="5"/>
      <c r="R812" s="5"/>
      <c r="S812" s="7"/>
      <c r="T812" s="5"/>
    </row>
    <row r="813" spans="1:20" ht="15.75" customHeight="1">
      <c r="A813" s="13"/>
      <c r="B813" s="13"/>
      <c r="C813" s="8"/>
      <c r="D813" s="8"/>
      <c r="E813" s="7"/>
      <c r="F813" s="8"/>
      <c r="G813" s="8"/>
      <c r="H813" s="8"/>
      <c r="I813" s="5"/>
      <c r="J813" s="8"/>
      <c r="K813" s="8"/>
      <c r="L813" s="8"/>
      <c r="N813" s="7"/>
      <c r="O813" s="7"/>
      <c r="P813" s="7"/>
      <c r="Q813" s="5"/>
      <c r="R813" s="5"/>
      <c r="S813" s="7"/>
      <c r="T813" s="5"/>
    </row>
    <row r="814" spans="1:20" ht="15.75" customHeight="1">
      <c r="A814" s="13"/>
      <c r="B814" s="13"/>
      <c r="C814" s="8"/>
      <c r="D814" s="8"/>
      <c r="E814" s="7"/>
      <c r="F814" s="8"/>
      <c r="G814" s="8"/>
      <c r="H814" s="8"/>
      <c r="I814" s="5"/>
      <c r="J814" s="8"/>
      <c r="K814" s="8"/>
      <c r="L814" s="8"/>
      <c r="N814" s="7"/>
      <c r="O814" s="7"/>
      <c r="P814" s="7"/>
      <c r="Q814" s="5"/>
      <c r="R814" s="5"/>
      <c r="S814" s="7"/>
      <c r="T814" s="5"/>
    </row>
    <row r="815" spans="1:20" ht="15.75" customHeight="1">
      <c r="A815" s="13"/>
      <c r="B815" s="13"/>
      <c r="C815" s="8"/>
      <c r="D815" s="8"/>
      <c r="E815" s="7"/>
      <c r="F815" s="8"/>
      <c r="G815" s="8"/>
      <c r="H815" s="8"/>
      <c r="I815" s="5"/>
      <c r="J815" s="8"/>
      <c r="K815" s="8"/>
      <c r="L815" s="8"/>
      <c r="N815" s="7"/>
      <c r="O815" s="7"/>
      <c r="P815" s="7"/>
      <c r="Q815" s="5"/>
      <c r="R815" s="5"/>
      <c r="S815" s="7"/>
      <c r="T815" s="5"/>
    </row>
    <row r="816" spans="1:20" ht="15.75" customHeight="1">
      <c r="A816" s="13"/>
      <c r="B816" s="13"/>
      <c r="C816" s="8"/>
      <c r="D816" s="8"/>
      <c r="E816" s="7"/>
      <c r="F816" s="8"/>
      <c r="G816" s="8"/>
      <c r="H816" s="8"/>
      <c r="I816" s="5"/>
      <c r="J816" s="8"/>
      <c r="K816" s="8"/>
      <c r="L816" s="8"/>
      <c r="N816" s="7"/>
      <c r="O816" s="7"/>
      <c r="P816" s="7"/>
      <c r="Q816" s="5"/>
      <c r="R816" s="5"/>
      <c r="S816" s="7"/>
      <c r="T816" s="5"/>
    </row>
    <row r="817" spans="1:20" ht="15.75" customHeight="1">
      <c r="A817" s="13"/>
      <c r="B817" s="13"/>
      <c r="C817" s="8"/>
      <c r="D817" s="8"/>
      <c r="E817" s="7"/>
      <c r="F817" s="8"/>
      <c r="G817" s="8"/>
      <c r="H817" s="8"/>
      <c r="I817" s="5"/>
      <c r="J817" s="8"/>
      <c r="K817" s="8"/>
      <c r="L817" s="8"/>
      <c r="N817" s="7"/>
      <c r="O817" s="7"/>
      <c r="P817" s="7"/>
      <c r="Q817" s="5"/>
      <c r="R817" s="5"/>
      <c r="S817" s="7"/>
      <c r="T817" s="5"/>
    </row>
    <row r="818" spans="1:20" ht="15.75" customHeight="1">
      <c r="A818" s="13"/>
      <c r="B818" s="13"/>
      <c r="C818" s="8"/>
      <c r="D818" s="8"/>
      <c r="E818" s="7"/>
      <c r="F818" s="8"/>
      <c r="G818" s="8"/>
      <c r="H818" s="8"/>
      <c r="I818" s="5"/>
      <c r="J818" s="8"/>
      <c r="K818" s="8"/>
      <c r="L818" s="8"/>
      <c r="N818" s="7"/>
      <c r="O818" s="7"/>
      <c r="P818" s="7"/>
      <c r="Q818" s="5"/>
      <c r="R818" s="5"/>
      <c r="S818" s="7"/>
      <c r="T818" s="5"/>
    </row>
    <row r="819" spans="1:20" ht="15.75" customHeight="1">
      <c r="A819" s="13"/>
      <c r="B819" s="13"/>
      <c r="C819" s="8"/>
      <c r="D819" s="8"/>
      <c r="E819" s="7"/>
      <c r="F819" s="8"/>
      <c r="G819" s="8"/>
      <c r="H819" s="8"/>
      <c r="I819" s="5"/>
      <c r="J819" s="8"/>
      <c r="K819" s="8"/>
      <c r="L819" s="8"/>
      <c r="N819" s="7"/>
      <c r="O819" s="7"/>
      <c r="P819" s="7"/>
      <c r="Q819" s="5"/>
      <c r="R819" s="5"/>
      <c r="S819" s="7"/>
      <c r="T819" s="5"/>
    </row>
    <row r="820" spans="1:20" ht="15.75" customHeight="1">
      <c r="A820" s="13"/>
      <c r="B820" s="13"/>
      <c r="C820" s="8"/>
      <c r="D820" s="8"/>
      <c r="E820" s="7"/>
      <c r="F820" s="8"/>
      <c r="G820" s="8"/>
      <c r="H820" s="8"/>
      <c r="I820" s="5"/>
      <c r="J820" s="8"/>
      <c r="K820" s="8"/>
      <c r="L820" s="8"/>
      <c r="N820" s="7"/>
      <c r="O820" s="7"/>
      <c r="P820" s="7"/>
      <c r="Q820" s="5"/>
      <c r="R820" s="5"/>
      <c r="S820" s="7"/>
      <c r="T820" s="5"/>
    </row>
    <row r="821" spans="1:20" ht="15.75" customHeight="1">
      <c r="A821" s="13"/>
      <c r="B821" s="13"/>
      <c r="C821" s="8"/>
      <c r="D821" s="8"/>
      <c r="E821" s="7"/>
      <c r="F821" s="8"/>
      <c r="G821" s="8"/>
      <c r="H821" s="8"/>
      <c r="I821" s="5"/>
      <c r="J821" s="8"/>
      <c r="K821" s="8"/>
      <c r="L821" s="8"/>
      <c r="N821" s="7"/>
      <c r="O821" s="7"/>
      <c r="P821" s="7"/>
      <c r="Q821" s="5"/>
      <c r="R821" s="5"/>
      <c r="S821" s="7"/>
      <c r="T821" s="5"/>
    </row>
    <row r="822" spans="1:20" ht="15.75" customHeight="1">
      <c r="A822" s="13"/>
      <c r="B822" s="13"/>
      <c r="C822" s="8"/>
      <c r="D822" s="8"/>
      <c r="E822" s="7"/>
      <c r="F822" s="8"/>
      <c r="G822" s="8"/>
      <c r="H822" s="8"/>
      <c r="I822" s="5"/>
      <c r="J822" s="8"/>
      <c r="K822" s="8"/>
      <c r="L822" s="8"/>
      <c r="N822" s="7"/>
      <c r="O822" s="7"/>
      <c r="P822" s="7"/>
      <c r="Q822" s="5"/>
      <c r="R822" s="5"/>
      <c r="S822" s="7"/>
      <c r="T822" s="5"/>
    </row>
    <row r="823" spans="1:20" ht="15.75" customHeight="1">
      <c r="A823" s="13"/>
      <c r="B823" s="13"/>
      <c r="C823" s="8"/>
      <c r="D823" s="8"/>
      <c r="E823" s="7"/>
      <c r="F823" s="8"/>
      <c r="G823" s="8"/>
      <c r="H823" s="8"/>
      <c r="I823" s="5"/>
      <c r="J823" s="8"/>
      <c r="K823" s="8"/>
      <c r="L823" s="8"/>
      <c r="N823" s="7"/>
      <c r="O823" s="7"/>
      <c r="P823" s="7"/>
      <c r="Q823" s="5"/>
      <c r="R823" s="5"/>
      <c r="S823" s="7"/>
      <c r="T823" s="5"/>
    </row>
    <row r="824" spans="1:20" ht="15.75" customHeight="1">
      <c r="A824" s="13"/>
      <c r="B824" s="13"/>
      <c r="C824" s="8"/>
      <c r="D824" s="8"/>
      <c r="E824" s="7"/>
      <c r="F824" s="8"/>
      <c r="G824" s="8"/>
      <c r="H824" s="8"/>
      <c r="I824" s="5"/>
      <c r="J824" s="8"/>
      <c r="K824" s="8"/>
      <c r="L824" s="8"/>
      <c r="N824" s="7"/>
      <c r="O824" s="7"/>
      <c r="P824" s="7"/>
      <c r="Q824" s="5"/>
      <c r="R824" s="5"/>
      <c r="S824" s="7"/>
      <c r="T824" s="5"/>
    </row>
    <row r="825" spans="1:20" ht="15.75" customHeight="1">
      <c r="A825" s="13"/>
      <c r="B825" s="13"/>
      <c r="C825" s="8"/>
      <c r="D825" s="8"/>
      <c r="E825" s="7"/>
      <c r="F825" s="8"/>
      <c r="G825" s="8"/>
      <c r="H825" s="8"/>
      <c r="I825" s="5"/>
      <c r="J825" s="8"/>
      <c r="K825" s="8"/>
      <c r="L825" s="8"/>
      <c r="N825" s="7"/>
      <c r="O825" s="7"/>
      <c r="P825" s="7"/>
      <c r="Q825" s="5"/>
      <c r="R825" s="5"/>
      <c r="S825" s="7"/>
      <c r="T825" s="5"/>
    </row>
    <row r="826" spans="1:20" ht="15.75" customHeight="1">
      <c r="A826" s="13"/>
      <c r="B826" s="13"/>
      <c r="C826" s="8"/>
      <c r="D826" s="8"/>
      <c r="E826" s="7"/>
      <c r="F826" s="8"/>
      <c r="G826" s="8"/>
      <c r="H826" s="8"/>
      <c r="I826" s="5"/>
      <c r="J826" s="8"/>
      <c r="K826" s="8"/>
      <c r="L826" s="8"/>
      <c r="N826" s="7"/>
      <c r="O826" s="7"/>
      <c r="P826" s="7"/>
      <c r="Q826" s="5"/>
      <c r="R826" s="5"/>
      <c r="S826" s="7"/>
      <c r="T826" s="5"/>
    </row>
    <row r="827" spans="1:20" ht="15.75" customHeight="1">
      <c r="A827" s="13"/>
      <c r="B827" s="13"/>
      <c r="C827" s="8"/>
      <c r="D827" s="8"/>
      <c r="E827" s="7"/>
      <c r="F827" s="8"/>
      <c r="G827" s="8"/>
      <c r="H827" s="8"/>
      <c r="I827" s="5"/>
      <c r="J827" s="8"/>
      <c r="K827" s="8"/>
      <c r="L827" s="8"/>
      <c r="N827" s="7"/>
      <c r="O827" s="7"/>
      <c r="P827" s="7"/>
      <c r="Q827" s="5"/>
      <c r="R827" s="5"/>
      <c r="S827" s="7"/>
      <c r="T827" s="5"/>
    </row>
    <row r="828" spans="1:20" ht="15.75" customHeight="1">
      <c r="A828" s="13"/>
      <c r="B828" s="13"/>
      <c r="C828" s="8"/>
      <c r="D828" s="8"/>
      <c r="E828" s="7"/>
      <c r="F828" s="8"/>
      <c r="G828" s="8"/>
      <c r="H828" s="8"/>
      <c r="I828" s="5"/>
      <c r="J828" s="8"/>
      <c r="K828" s="8"/>
      <c r="L828" s="8"/>
      <c r="N828" s="7"/>
      <c r="O828" s="7"/>
      <c r="P828" s="7"/>
      <c r="Q828" s="5"/>
      <c r="R828" s="5"/>
      <c r="S828" s="7"/>
      <c r="T828" s="5"/>
    </row>
    <row r="829" spans="1:20" ht="15.75" customHeight="1">
      <c r="A829" s="13"/>
      <c r="B829" s="13"/>
      <c r="C829" s="8"/>
      <c r="D829" s="8"/>
      <c r="E829" s="7"/>
      <c r="F829" s="8"/>
      <c r="G829" s="8"/>
      <c r="H829" s="8"/>
      <c r="I829" s="5"/>
      <c r="J829" s="8"/>
      <c r="K829" s="8"/>
      <c r="L829" s="8"/>
      <c r="N829" s="7"/>
      <c r="O829" s="7"/>
      <c r="P829" s="7"/>
      <c r="Q829" s="5"/>
      <c r="R829" s="5"/>
      <c r="S829" s="7"/>
      <c r="T829" s="5"/>
    </row>
    <row r="830" spans="1:20" ht="15.75" customHeight="1">
      <c r="A830" s="13"/>
      <c r="B830" s="13"/>
      <c r="C830" s="8"/>
      <c r="D830" s="8"/>
      <c r="E830" s="7"/>
      <c r="F830" s="8"/>
      <c r="G830" s="8"/>
      <c r="H830" s="8"/>
      <c r="I830" s="5"/>
      <c r="J830" s="8"/>
      <c r="K830" s="8"/>
      <c r="L830" s="8"/>
      <c r="N830" s="7"/>
      <c r="O830" s="7"/>
      <c r="P830" s="7"/>
      <c r="Q830" s="5"/>
      <c r="R830" s="5"/>
      <c r="S830" s="7"/>
      <c r="T830" s="5"/>
    </row>
    <row r="831" spans="1:20" ht="15.75" customHeight="1">
      <c r="A831" s="13"/>
      <c r="B831" s="13"/>
      <c r="C831" s="8"/>
      <c r="D831" s="8"/>
      <c r="E831" s="7"/>
      <c r="F831" s="8"/>
      <c r="G831" s="8"/>
      <c r="H831" s="8"/>
      <c r="I831" s="5"/>
      <c r="J831" s="8"/>
      <c r="K831" s="8"/>
      <c r="L831" s="8"/>
      <c r="N831" s="7"/>
      <c r="O831" s="7"/>
      <c r="P831" s="7"/>
      <c r="Q831" s="5"/>
      <c r="R831" s="5"/>
      <c r="S831" s="7"/>
      <c r="T831" s="5"/>
    </row>
    <row r="832" spans="1:20" ht="15.75" customHeight="1">
      <c r="A832" s="13"/>
      <c r="B832" s="13"/>
      <c r="C832" s="8"/>
      <c r="D832" s="8"/>
      <c r="E832" s="7"/>
      <c r="F832" s="8"/>
      <c r="G832" s="8"/>
      <c r="H832" s="8"/>
      <c r="I832" s="5"/>
      <c r="J832" s="8"/>
      <c r="K832" s="8"/>
      <c r="L832" s="8"/>
      <c r="N832" s="7"/>
      <c r="O832" s="7"/>
      <c r="P832" s="7"/>
      <c r="Q832" s="5"/>
      <c r="R832" s="5"/>
      <c r="S832" s="7"/>
      <c r="T832" s="5"/>
    </row>
    <row r="833" spans="1:20" ht="15.75" customHeight="1">
      <c r="A833" s="13"/>
      <c r="B833" s="13"/>
      <c r="C833" s="8"/>
      <c r="D833" s="8"/>
      <c r="E833" s="7"/>
      <c r="F833" s="8"/>
      <c r="G833" s="8"/>
      <c r="H833" s="8"/>
      <c r="I833" s="5"/>
      <c r="J833" s="8"/>
      <c r="K833" s="8"/>
      <c r="L833" s="8"/>
      <c r="N833" s="7"/>
      <c r="O833" s="7"/>
      <c r="P833" s="7"/>
      <c r="Q833" s="5"/>
      <c r="R833" s="5"/>
      <c r="S833" s="7"/>
      <c r="T833" s="5"/>
    </row>
    <row r="834" spans="1:20" ht="15.75" customHeight="1">
      <c r="A834" s="13"/>
      <c r="B834" s="13"/>
      <c r="C834" s="8"/>
      <c r="D834" s="8"/>
      <c r="E834" s="7"/>
      <c r="F834" s="8"/>
      <c r="G834" s="8"/>
      <c r="H834" s="8"/>
      <c r="I834" s="5"/>
      <c r="J834" s="8"/>
      <c r="K834" s="8"/>
      <c r="L834" s="8"/>
      <c r="N834" s="7"/>
      <c r="O834" s="7"/>
      <c r="P834" s="7"/>
      <c r="Q834" s="5"/>
      <c r="R834" s="5"/>
      <c r="S834" s="7"/>
      <c r="T834" s="5"/>
    </row>
    <row r="835" spans="1:20" ht="15.75" customHeight="1">
      <c r="A835" s="13"/>
      <c r="B835" s="13"/>
      <c r="C835" s="8"/>
      <c r="D835" s="8"/>
      <c r="E835" s="7"/>
      <c r="F835" s="8"/>
      <c r="G835" s="8"/>
      <c r="H835" s="8"/>
      <c r="I835" s="5"/>
      <c r="J835" s="8"/>
      <c r="K835" s="8"/>
      <c r="L835" s="8"/>
      <c r="N835" s="7"/>
      <c r="O835" s="7"/>
      <c r="P835" s="7"/>
      <c r="Q835" s="5"/>
      <c r="R835" s="5"/>
      <c r="S835" s="7"/>
      <c r="T835" s="5"/>
    </row>
    <row r="836" spans="1:20" ht="15.75" customHeight="1">
      <c r="A836" s="13"/>
      <c r="B836" s="13"/>
      <c r="C836" s="8"/>
      <c r="D836" s="8"/>
      <c r="E836" s="7"/>
      <c r="F836" s="8"/>
      <c r="G836" s="8"/>
      <c r="H836" s="8"/>
      <c r="I836" s="5"/>
      <c r="J836" s="8"/>
      <c r="K836" s="8"/>
      <c r="L836" s="8"/>
      <c r="N836" s="7"/>
      <c r="O836" s="7"/>
      <c r="P836" s="7"/>
      <c r="Q836" s="5"/>
      <c r="R836" s="5"/>
      <c r="S836" s="7"/>
      <c r="T836" s="5"/>
    </row>
    <row r="837" spans="1:20" ht="15.75" customHeight="1">
      <c r="A837" s="13"/>
      <c r="B837" s="13"/>
      <c r="C837" s="8"/>
      <c r="D837" s="8"/>
      <c r="E837" s="7"/>
      <c r="F837" s="8"/>
      <c r="G837" s="8"/>
      <c r="H837" s="8"/>
      <c r="I837" s="5"/>
      <c r="J837" s="8"/>
      <c r="K837" s="8"/>
      <c r="L837" s="8"/>
      <c r="N837" s="7"/>
      <c r="O837" s="7"/>
      <c r="P837" s="7"/>
      <c r="Q837" s="5"/>
      <c r="R837" s="5"/>
      <c r="S837" s="7"/>
      <c r="T837" s="5"/>
    </row>
    <row r="838" spans="1:20" ht="15.75" customHeight="1">
      <c r="A838" s="13"/>
      <c r="B838" s="13"/>
      <c r="C838" s="8"/>
      <c r="D838" s="8"/>
      <c r="E838" s="7"/>
      <c r="F838" s="8"/>
      <c r="G838" s="8"/>
      <c r="H838" s="8"/>
      <c r="I838" s="5"/>
      <c r="J838" s="8"/>
      <c r="K838" s="8"/>
      <c r="L838" s="8"/>
      <c r="N838" s="7"/>
      <c r="O838" s="7"/>
      <c r="P838" s="7"/>
      <c r="Q838" s="5"/>
      <c r="R838" s="5"/>
      <c r="S838" s="7"/>
      <c r="T838" s="5"/>
    </row>
    <row r="839" spans="1:20" ht="15.75" customHeight="1">
      <c r="A839" s="13"/>
      <c r="B839" s="13"/>
      <c r="C839" s="8"/>
      <c r="D839" s="8"/>
      <c r="E839" s="7"/>
      <c r="F839" s="8"/>
      <c r="G839" s="8"/>
      <c r="H839" s="8"/>
      <c r="I839" s="5"/>
      <c r="J839" s="8"/>
      <c r="K839" s="8"/>
      <c r="L839" s="8"/>
      <c r="N839" s="7"/>
      <c r="O839" s="7"/>
      <c r="P839" s="7"/>
      <c r="Q839" s="5"/>
      <c r="R839" s="5"/>
      <c r="S839" s="7"/>
      <c r="T839" s="5"/>
    </row>
    <row r="840" spans="1:20" ht="15.75" customHeight="1">
      <c r="A840" s="13"/>
      <c r="B840" s="13"/>
      <c r="C840" s="8"/>
      <c r="D840" s="8"/>
      <c r="E840" s="7"/>
      <c r="F840" s="8"/>
      <c r="G840" s="8"/>
      <c r="H840" s="8"/>
      <c r="I840" s="5"/>
      <c r="J840" s="8"/>
      <c r="K840" s="8"/>
      <c r="L840" s="8"/>
      <c r="N840" s="7"/>
      <c r="O840" s="7"/>
      <c r="P840" s="7"/>
      <c r="Q840" s="5"/>
      <c r="R840" s="5"/>
      <c r="S840" s="7"/>
      <c r="T840" s="5"/>
    </row>
    <row r="841" spans="1:20" ht="15.75" customHeight="1">
      <c r="A841" s="13"/>
      <c r="B841" s="13"/>
      <c r="C841" s="8"/>
      <c r="D841" s="8"/>
      <c r="E841" s="7"/>
      <c r="F841" s="8"/>
      <c r="G841" s="8"/>
      <c r="H841" s="8"/>
      <c r="I841" s="5"/>
      <c r="J841" s="8"/>
      <c r="K841" s="8"/>
      <c r="L841" s="8"/>
      <c r="N841" s="7"/>
      <c r="O841" s="7"/>
      <c r="P841" s="7"/>
      <c r="Q841" s="5"/>
      <c r="R841" s="5"/>
      <c r="S841" s="7"/>
      <c r="T841" s="5"/>
    </row>
    <row r="842" spans="1:20" ht="15.75" customHeight="1">
      <c r="A842" s="13"/>
      <c r="B842" s="13"/>
      <c r="C842" s="8"/>
      <c r="D842" s="8"/>
      <c r="E842" s="7"/>
      <c r="F842" s="8"/>
      <c r="G842" s="8"/>
      <c r="H842" s="8"/>
      <c r="I842" s="5"/>
      <c r="J842" s="8"/>
      <c r="K842" s="8"/>
      <c r="L842" s="8"/>
      <c r="N842" s="7"/>
      <c r="O842" s="7"/>
      <c r="P842" s="7"/>
      <c r="Q842" s="5"/>
      <c r="R842" s="5"/>
      <c r="S842" s="7"/>
      <c r="T842" s="5"/>
    </row>
    <row r="843" spans="1:20" ht="15.75" customHeight="1">
      <c r="A843" s="13"/>
      <c r="B843" s="13"/>
      <c r="C843" s="8"/>
      <c r="D843" s="8"/>
      <c r="E843" s="7"/>
      <c r="F843" s="8"/>
      <c r="G843" s="8"/>
      <c r="H843" s="8"/>
      <c r="I843" s="5"/>
      <c r="J843" s="8"/>
      <c r="K843" s="8"/>
      <c r="L843" s="8"/>
      <c r="N843" s="7"/>
      <c r="O843" s="7"/>
      <c r="P843" s="7"/>
      <c r="Q843" s="5"/>
      <c r="R843" s="5"/>
      <c r="S843" s="7"/>
      <c r="T843" s="5"/>
    </row>
    <row r="844" spans="1:20" ht="15.75" customHeight="1">
      <c r="A844" s="13"/>
      <c r="B844" s="13"/>
      <c r="C844" s="8"/>
      <c r="D844" s="8"/>
      <c r="E844" s="7"/>
      <c r="F844" s="8"/>
      <c r="G844" s="8"/>
      <c r="H844" s="8"/>
      <c r="I844" s="5"/>
      <c r="J844" s="8"/>
      <c r="K844" s="8"/>
      <c r="L844" s="8"/>
      <c r="N844" s="7"/>
      <c r="O844" s="7"/>
      <c r="P844" s="7"/>
      <c r="Q844" s="5"/>
      <c r="R844" s="5"/>
      <c r="S844" s="7"/>
      <c r="T844" s="5"/>
    </row>
    <row r="845" spans="1:20" ht="15.75" customHeight="1">
      <c r="A845" s="13"/>
      <c r="B845" s="13"/>
      <c r="C845" s="8"/>
      <c r="D845" s="8"/>
      <c r="E845" s="7"/>
      <c r="F845" s="8"/>
      <c r="G845" s="8"/>
      <c r="H845" s="8"/>
      <c r="I845" s="5"/>
      <c r="J845" s="8"/>
      <c r="K845" s="8"/>
      <c r="L845" s="8"/>
      <c r="N845" s="7"/>
      <c r="O845" s="7"/>
      <c r="P845" s="7"/>
      <c r="Q845" s="5"/>
      <c r="R845" s="5"/>
      <c r="S845" s="7"/>
      <c r="T845" s="5"/>
    </row>
    <row r="846" spans="1:20" ht="15.75" customHeight="1">
      <c r="A846" s="13"/>
      <c r="B846" s="13"/>
      <c r="C846" s="8"/>
      <c r="D846" s="8"/>
      <c r="E846" s="7"/>
      <c r="F846" s="8"/>
      <c r="G846" s="8"/>
      <c r="H846" s="8"/>
      <c r="I846" s="5"/>
      <c r="J846" s="8"/>
      <c r="K846" s="8"/>
      <c r="L846" s="8"/>
      <c r="N846" s="7"/>
      <c r="O846" s="7"/>
      <c r="P846" s="7"/>
      <c r="Q846" s="5"/>
      <c r="R846" s="5"/>
      <c r="S846" s="7"/>
      <c r="T846" s="5"/>
    </row>
    <row r="847" spans="1:20" ht="15.75" customHeight="1">
      <c r="A847" s="13"/>
      <c r="B847" s="13"/>
      <c r="C847" s="8"/>
      <c r="D847" s="8"/>
      <c r="E847" s="7"/>
      <c r="F847" s="8"/>
      <c r="G847" s="8"/>
      <c r="H847" s="8"/>
      <c r="I847" s="5"/>
      <c r="J847" s="8"/>
      <c r="K847" s="8"/>
      <c r="L847" s="8"/>
      <c r="N847" s="7"/>
      <c r="O847" s="7"/>
      <c r="P847" s="7"/>
      <c r="Q847" s="5"/>
      <c r="R847" s="5"/>
      <c r="S847" s="7"/>
      <c r="T847" s="5"/>
    </row>
    <row r="848" spans="1:20" ht="15.75" customHeight="1">
      <c r="A848" s="13"/>
      <c r="B848" s="13"/>
      <c r="C848" s="8"/>
      <c r="D848" s="8"/>
      <c r="E848" s="7"/>
      <c r="F848" s="8"/>
      <c r="G848" s="8"/>
      <c r="H848" s="8"/>
      <c r="I848" s="5"/>
      <c r="J848" s="8"/>
      <c r="K848" s="8"/>
      <c r="L848" s="8"/>
      <c r="N848" s="7"/>
      <c r="O848" s="7"/>
      <c r="P848" s="7"/>
      <c r="Q848" s="5"/>
      <c r="R848" s="5"/>
      <c r="S848" s="7"/>
      <c r="T848" s="5"/>
    </row>
    <row r="849" spans="1:20" ht="15.75" customHeight="1">
      <c r="A849" s="13"/>
      <c r="B849" s="13"/>
      <c r="C849" s="8"/>
      <c r="D849" s="8"/>
      <c r="E849" s="7"/>
      <c r="F849" s="8"/>
      <c r="G849" s="8"/>
      <c r="H849" s="8"/>
      <c r="I849" s="5"/>
      <c r="J849" s="8"/>
      <c r="K849" s="8"/>
      <c r="L849" s="8"/>
      <c r="N849" s="7"/>
      <c r="O849" s="7"/>
      <c r="P849" s="7"/>
      <c r="Q849" s="5"/>
      <c r="R849" s="5"/>
      <c r="S849" s="7"/>
      <c r="T849" s="5"/>
    </row>
    <row r="850" spans="1:20" ht="15.75" customHeight="1">
      <c r="A850" s="13"/>
      <c r="B850" s="13"/>
      <c r="C850" s="8"/>
      <c r="D850" s="8"/>
      <c r="E850" s="7"/>
      <c r="F850" s="8"/>
      <c r="G850" s="8"/>
      <c r="H850" s="8"/>
      <c r="I850" s="5"/>
      <c r="J850" s="8"/>
      <c r="K850" s="8"/>
      <c r="L850" s="8"/>
      <c r="N850" s="7"/>
      <c r="O850" s="7"/>
      <c r="P850" s="7"/>
      <c r="Q850" s="5"/>
      <c r="R850" s="5"/>
      <c r="S850" s="7"/>
      <c r="T850" s="5"/>
    </row>
    <row r="851" spans="1:20" ht="15.75" customHeight="1">
      <c r="A851" s="13"/>
      <c r="B851" s="13"/>
      <c r="C851" s="8"/>
      <c r="D851" s="8"/>
      <c r="E851" s="7"/>
      <c r="F851" s="8"/>
      <c r="G851" s="8"/>
      <c r="H851" s="8"/>
      <c r="I851" s="5"/>
      <c r="J851" s="8"/>
      <c r="K851" s="8"/>
      <c r="L851" s="8"/>
      <c r="N851" s="7"/>
      <c r="O851" s="7"/>
      <c r="P851" s="7"/>
      <c r="Q851" s="5"/>
      <c r="R851" s="5"/>
      <c r="S851" s="7"/>
      <c r="T851" s="5"/>
    </row>
    <row r="852" spans="1:20" ht="15.75" customHeight="1">
      <c r="A852" s="13"/>
      <c r="B852" s="13"/>
      <c r="C852" s="8"/>
      <c r="D852" s="8"/>
      <c r="E852" s="7"/>
      <c r="F852" s="8"/>
      <c r="G852" s="8"/>
      <c r="H852" s="8"/>
      <c r="I852" s="5"/>
      <c r="J852" s="8"/>
      <c r="K852" s="8"/>
      <c r="L852" s="8"/>
      <c r="N852" s="7"/>
      <c r="O852" s="7"/>
      <c r="P852" s="7"/>
      <c r="Q852" s="5"/>
      <c r="R852" s="5"/>
      <c r="S852" s="7"/>
      <c r="T852" s="5"/>
    </row>
    <row r="853" spans="1:20" ht="15.75" customHeight="1">
      <c r="A853" s="13"/>
      <c r="B853" s="13"/>
      <c r="C853" s="8"/>
      <c r="D853" s="8"/>
      <c r="E853" s="7"/>
      <c r="F853" s="8"/>
      <c r="G853" s="8"/>
      <c r="H853" s="8"/>
      <c r="I853" s="5"/>
      <c r="J853" s="8"/>
      <c r="K853" s="8"/>
      <c r="L853" s="8"/>
      <c r="N853" s="7"/>
      <c r="O853" s="7"/>
      <c r="P853" s="7"/>
      <c r="Q853" s="5"/>
      <c r="R853" s="5"/>
      <c r="S853" s="7"/>
      <c r="T853" s="5"/>
    </row>
    <row r="854" spans="1:20" ht="15.75" customHeight="1">
      <c r="A854" s="13"/>
      <c r="B854" s="13"/>
      <c r="C854" s="8"/>
      <c r="D854" s="8"/>
      <c r="E854" s="7"/>
      <c r="F854" s="8"/>
      <c r="G854" s="8"/>
      <c r="H854" s="8"/>
      <c r="I854" s="5"/>
      <c r="J854" s="8"/>
      <c r="K854" s="8"/>
      <c r="L854" s="8"/>
      <c r="N854" s="7"/>
      <c r="O854" s="7"/>
      <c r="P854" s="7"/>
      <c r="Q854" s="5"/>
      <c r="R854" s="5"/>
      <c r="S854" s="7"/>
      <c r="T854" s="5"/>
    </row>
    <row r="855" spans="1:20" ht="15.75" customHeight="1">
      <c r="A855" s="13"/>
      <c r="B855" s="13"/>
      <c r="C855" s="8"/>
      <c r="D855" s="8"/>
      <c r="E855" s="7"/>
      <c r="F855" s="8"/>
      <c r="G855" s="8"/>
      <c r="H855" s="8"/>
      <c r="I855" s="5"/>
      <c r="J855" s="8"/>
      <c r="K855" s="8"/>
      <c r="L855" s="8"/>
      <c r="N855" s="7"/>
      <c r="O855" s="7"/>
      <c r="P855" s="7"/>
      <c r="Q855" s="5"/>
      <c r="R855" s="5"/>
      <c r="S855" s="7"/>
      <c r="T855" s="5"/>
    </row>
    <row r="856" spans="1:20" ht="15.75" customHeight="1">
      <c r="A856" s="13"/>
      <c r="B856" s="13"/>
      <c r="C856" s="8"/>
      <c r="D856" s="8"/>
      <c r="E856" s="7"/>
      <c r="F856" s="8"/>
      <c r="G856" s="8"/>
      <c r="H856" s="8"/>
      <c r="I856" s="5"/>
      <c r="J856" s="8"/>
      <c r="K856" s="8"/>
      <c r="L856" s="8"/>
      <c r="N856" s="7"/>
      <c r="O856" s="7"/>
      <c r="P856" s="7"/>
      <c r="Q856" s="5"/>
      <c r="R856" s="5"/>
      <c r="S856" s="7"/>
      <c r="T856" s="5"/>
    </row>
    <row r="857" spans="1:20" ht="15.75" customHeight="1">
      <c r="A857" s="13"/>
      <c r="B857" s="13"/>
      <c r="C857" s="8"/>
      <c r="D857" s="8"/>
      <c r="E857" s="7"/>
      <c r="F857" s="8"/>
      <c r="G857" s="8"/>
      <c r="H857" s="8"/>
      <c r="I857" s="5"/>
      <c r="J857" s="8"/>
      <c r="K857" s="8"/>
      <c r="L857" s="8"/>
      <c r="N857" s="7"/>
      <c r="O857" s="7"/>
      <c r="P857" s="7"/>
      <c r="Q857" s="5"/>
      <c r="R857" s="5"/>
      <c r="S857" s="7"/>
      <c r="T857" s="5"/>
    </row>
    <row r="858" spans="1:20" ht="15.75" customHeight="1">
      <c r="A858" s="13"/>
      <c r="B858" s="13"/>
      <c r="C858" s="8"/>
      <c r="D858" s="8"/>
      <c r="E858" s="7"/>
      <c r="F858" s="8"/>
      <c r="G858" s="8"/>
      <c r="H858" s="8"/>
      <c r="I858" s="5"/>
      <c r="J858" s="8"/>
      <c r="K858" s="8"/>
      <c r="L858" s="8"/>
      <c r="N858" s="7"/>
      <c r="O858" s="7"/>
      <c r="P858" s="7"/>
      <c r="Q858" s="5"/>
      <c r="R858" s="5"/>
      <c r="S858" s="7"/>
      <c r="T858" s="5"/>
    </row>
    <row r="859" spans="1:20" ht="15.75" customHeight="1">
      <c r="A859" s="13"/>
      <c r="B859" s="13"/>
      <c r="C859" s="8"/>
      <c r="D859" s="8"/>
      <c r="E859" s="7"/>
      <c r="F859" s="8"/>
      <c r="G859" s="8"/>
      <c r="H859" s="8"/>
      <c r="I859" s="5"/>
      <c r="J859" s="8"/>
      <c r="K859" s="8"/>
      <c r="L859" s="8"/>
      <c r="N859" s="7"/>
      <c r="O859" s="7"/>
      <c r="P859" s="7"/>
      <c r="Q859" s="5"/>
      <c r="R859" s="5"/>
      <c r="S859" s="7"/>
      <c r="T859" s="5"/>
    </row>
    <row r="860" spans="1:20" ht="15.75" customHeight="1">
      <c r="A860" s="13"/>
      <c r="B860" s="13"/>
      <c r="C860" s="8"/>
      <c r="D860" s="8"/>
      <c r="E860" s="7"/>
      <c r="F860" s="8"/>
      <c r="G860" s="8"/>
      <c r="H860" s="8"/>
      <c r="I860" s="5"/>
      <c r="J860" s="8"/>
      <c r="K860" s="8"/>
      <c r="L860" s="8"/>
      <c r="N860" s="7"/>
      <c r="O860" s="7"/>
      <c r="P860" s="7"/>
      <c r="Q860" s="5"/>
      <c r="R860" s="5"/>
      <c r="S860" s="7"/>
      <c r="T860" s="5"/>
    </row>
    <row r="861" spans="1:20" ht="15.75" customHeight="1">
      <c r="A861" s="13"/>
      <c r="B861" s="13"/>
      <c r="C861" s="8"/>
      <c r="D861" s="8"/>
      <c r="E861" s="7"/>
      <c r="F861" s="8"/>
      <c r="G861" s="8"/>
      <c r="H861" s="8"/>
      <c r="I861" s="5"/>
      <c r="J861" s="8"/>
      <c r="K861" s="8"/>
      <c r="L861" s="8"/>
      <c r="N861" s="7"/>
      <c r="O861" s="7"/>
      <c r="P861" s="7"/>
      <c r="Q861" s="5"/>
      <c r="R861" s="5"/>
      <c r="S861" s="7"/>
      <c r="T861" s="5"/>
    </row>
    <row r="862" spans="1:20" ht="15.75" customHeight="1">
      <c r="A862" s="13"/>
      <c r="B862" s="13"/>
      <c r="C862" s="8"/>
      <c r="D862" s="8"/>
      <c r="E862" s="7"/>
      <c r="F862" s="8"/>
      <c r="G862" s="8"/>
      <c r="H862" s="8"/>
      <c r="I862" s="5"/>
      <c r="J862" s="8"/>
      <c r="K862" s="8"/>
      <c r="L862" s="8"/>
      <c r="N862" s="7"/>
      <c r="O862" s="7"/>
      <c r="P862" s="7"/>
      <c r="Q862" s="5"/>
      <c r="R862" s="5"/>
      <c r="S862" s="7"/>
      <c r="T862" s="5"/>
    </row>
    <row r="863" spans="1:20" ht="15.75" customHeight="1">
      <c r="A863" s="13"/>
      <c r="B863" s="13"/>
      <c r="C863" s="8"/>
      <c r="D863" s="8"/>
      <c r="E863" s="7"/>
      <c r="F863" s="8"/>
      <c r="G863" s="8"/>
      <c r="H863" s="8"/>
      <c r="I863" s="5"/>
      <c r="J863" s="8"/>
      <c r="K863" s="8"/>
      <c r="L863" s="8"/>
      <c r="N863" s="7"/>
      <c r="O863" s="7"/>
      <c r="P863" s="7"/>
      <c r="Q863" s="5"/>
      <c r="R863" s="5"/>
      <c r="S863" s="7"/>
      <c r="T863" s="5"/>
    </row>
    <row r="864" spans="1:20" ht="15.75" customHeight="1">
      <c r="A864" s="13"/>
      <c r="B864" s="13"/>
      <c r="C864" s="8"/>
      <c r="D864" s="8"/>
      <c r="E864" s="7"/>
      <c r="F864" s="8"/>
      <c r="G864" s="8"/>
      <c r="H864" s="8"/>
      <c r="I864" s="5"/>
      <c r="J864" s="8"/>
      <c r="K864" s="8"/>
      <c r="L864" s="8"/>
      <c r="N864" s="7"/>
      <c r="O864" s="7"/>
      <c r="P864" s="7"/>
      <c r="Q864" s="5"/>
      <c r="R864" s="5"/>
      <c r="S864" s="7"/>
      <c r="T864" s="5"/>
    </row>
    <row r="865" spans="1:20" ht="15.75" customHeight="1">
      <c r="A865" s="13"/>
      <c r="B865" s="13"/>
      <c r="C865" s="8"/>
      <c r="D865" s="8"/>
      <c r="E865" s="7"/>
      <c r="F865" s="8"/>
      <c r="G865" s="8"/>
      <c r="H865" s="8"/>
      <c r="I865" s="5"/>
      <c r="J865" s="8"/>
      <c r="K865" s="8"/>
      <c r="L865" s="8"/>
      <c r="N865" s="7"/>
      <c r="O865" s="7"/>
      <c r="P865" s="7"/>
      <c r="Q865" s="5"/>
      <c r="R865" s="5"/>
      <c r="S865" s="7"/>
      <c r="T865" s="5"/>
    </row>
    <row r="866" spans="1:20" ht="15.75" customHeight="1">
      <c r="A866" s="13"/>
      <c r="B866" s="13"/>
      <c r="C866" s="8"/>
      <c r="D866" s="8"/>
      <c r="E866" s="7"/>
      <c r="F866" s="8"/>
      <c r="G866" s="8"/>
      <c r="H866" s="8"/>
      <c r="I866" s="5"/>
      <c r="J866" s="8"/>
      <c r="K866" s="8"/>
      <c r="L866" s="8"/>
      <c r="N866" s="7"/>
      <c r="O866" s="7"/>
      <c r="P866" s="7"/>
      <c r="Q866" s="5"/>
      <c r="R866" s="5"/>
      <c r="S866" s="7"/>
      <c r="T866" s="5"/>
    </row>
    <row r="867" spans="1:20" ht="15.75" customHeight="1">
      <c r="A867" s="13"/>
      <c r="B867" s="13"/>
      <c r="C867" s="8"/>
      <c r="D867" s="8"/>
      <c r="E867" s="7"/>
      <c r="F867" s="8"/>
      <c r="G867" s="8"/>
      <c r="H867" s="8"/>
      <c r="I867" s="5"/>
      <c r="J867" s="8"/>
      <c r="K867" s="8"/>
      <c r="L867" s="8"/>
      <c r="N867" s="7"/>
      <c r="O867" s="7"/>
      <c r="P867" s="7"/>
      <c r="Q867" s="5"/>
      <c r="R867" s="5"/>
      <c r="S867" s="7"/>
      <c r="T867" s="5"/>
    </row>
    <row r="868" spans="1:20" ht="15.75" customHeight="1">
      <c r="A868" s="13"/>
      <c r="B868" s="13"/>
      <c r="C868" s="8"/>
      <c r="D868" s="8"/>
      <c r="E868" s="7"/>
      <c r="F868" s="8"/>
      <c r="G868" s="8"/>
      <c r="H868" s="8"/>
      <c r="I868" s="5"/>
      <c r="J868" s="8"/>
      <c r="K868" s="8"/>
      <c r="L868" s="8"/>
      <c r="N868" s="7"/>
      <c r="O868" s="7"/>
      <c r="P868" s="7"/>
      <c r="Q868" s="5"/>
      <c r="R868" s="5"/>
      <c r="S868" s="7"/>
      <c r="T868" s="5"/>
    </row>
    <row r="869" spans="1:20" ht="15.75" customHeight="1">
      <c r="A869" s="13"/>
      <c r="B869" s="13"/>
      <c r="C869" s="8"/>
      <c r="D869" s="8"/>
      <c r="E869" s="7"/>
      <c r="F869" s="8"/>
      <c r="G869" s="8"/>
      <c r="H869" s="8"/>
      <c r="I869" s="5"/>
      <c r="J869" s="8"/>
      <c r="K869" s="8"/>
      <c r="L869" s="8"/>
      <c r="N869" s="7"/>
      <c r="O869" s="7"/>
      <c r="P869" s="7"/>
      <c r="Q869" s="5"/>
      <c r="R869" s="5"/>
      <c r="S869" s="7"/>
      <c r="T869" s="5"/>
    </row>
    <row r="870" spans="1:20" ht="15.75" customHeight="1">
      <c r="A870" s="13"/>
      <c r="B870" s="13"/>
      <c r="C870" s="8"/>
      <c r="D870" s="8"/>
      <c r="E870" s="7"/>
      <c r="F870" s="8"/>
      <c r="G870" s="8"/>
      <c r="H870" s="8"/>
      <c r="I870" s="5"/>
      <c r="J870" s="8"/>
      <c r="K870" s="8"/>
      <c r="L870" s="8"/>
      <c r="N870" s="7"/>
      <c r="O870" s="7"/>
      <c r="P870" s="7"/>
      <c r="Q870" s="5"/>
      <c r="R870" s="5"/>
      <c r="S870" s="7"/>
      <c r="T870" s="5"/>
    </row>
    <row r="871" spans="1:20" ht="15.75" customHeight="1">
      <c r="A871" s="13"/>
      <c r="B871" s="13"/>
      <c r="C871" s="8"/>
      <c r="D871" s="8"/>
      <c r="E871" s="7"/>
      <c r="F871" s="8"/>
      <c r="G871" s="8"/>
      <c r="H871" s="8"/>
      <c r="I871" s="5"/>
      <c r="J871" s="8"/>
      <c r="K871" s="8"/>
      <c r="L871" s="8"/>
      <c r="N871" s="7"/>
      <c r="O871" s="7"/>
      <c r="P871" s="7"/>
      <c r="Q871" s="5"/>
      <c r="R871" s="5"/>
      <c r="S871" s="7"/>
      <c r="T871" s="5"/>
    </row>
    <row r="872" spans="1:20" ht="15.75" customHeight="1">
      <c r="A872" s="13"/>
      <c r="B872" s="13"/>
      <c r="C872" s="8"/>
      <c r="D872" s="8"/>
      <c r="E872" s="7"/>
      <c r="F872" s="8"/>
      <c r="G872" s="8"/>
      <c r="H872" s="8"/>
      <c r="I872" s="5"/>
      <c r="J872" s="8"/>
      <c r="K872" s="8"/>
      <c r="L872" s="8"/>
      <c r="N872" s="7"/>
      <c r="O872" s="7"/>
      <c r="P872" s="7"/>
      <c r="Q872" s="5"/>
      <c r="R872" s="5"/>
      <c r="S872" s="7"/>
      <c r="T872" s="5"/>
    </row>
    <row r="873" spans="1:20" ht="15.75" customHeight="1">
      <c r="A873" s="13"/>
      <c r="B873" s="13"/>
      <c r="C873" s="8"/>
      <c r="D873" s="8"/>
      <c r="E873" s="7"/>
      <c r="F873" s="8"/>
      <c r="G873" s="8"/>
      <c r="H873" s="8"/>
      <c r="I873" s="5"/>
      <c r="J873" s="8"/>
      <c r="K873" s="8"/>
      <c r="L873" s="8"/>
      <c r="N873" s="7"/>
      <c r="O873" s="7"/>
      <c r="P873" s="7"/>
      <c r="Q873" s="5"/>
      <c r="R873" s="5"/>
      <c r="S873" s="7"/>
      <c r="T873" s="5"/>
    </row>
    <row r="874" spans="1:20" ht="15.75" customHeight="1">
      <c r="A874" s="13"/>
      <c r="B874" s="13"/>
      <c r="C874" s="8"/>
      <c r="D874" s="8"/>
      <c r="E874" s="7"/>
      <c r="F874" s="8"/>
      <c r="G874" s="8"/>
      <c r="H874" s="8"/>
      <c r="I874" s="5"/>
      <c r="J874" s="8"/>
      <c r="K874" s="8"/>
      <c r="L874" s="8"/>
      <c r="N874" s="7"/>
      <c r="O874" s="7"/>
      <c r="P874" s="7"/>
      <c r="Q874" s="5"/>
      <c r="R874" s="5"/>
      <c r="S874" s="7"/>
      <c r="T874" s="5"/>
    </row>
    <row r="875" spans="1:20" ht="15.75" customHeight="1">
      <c r="A875" s="13"/>
      <c r="B875" s="13"/>
      <c r="C875" s="8"/>
      <c r="D875" s="8"/>
      <c r="E875" s="7"/>
      <c r="F875" s="8"/>
      <c r="G875" s="8"/>
      <c r="H875" s="8"/>
      <c r="I875" s="5"/>
      <c r="J875" s="8"/>
      <c r="K875" s="8"/>
      <c r="L875" s="8"/>
      <c r="N875" s="7"/>
      <c r="O875" s="7"/>
      <c r="P875" s="7"/>
      <c r="Q875" s="5"/>
      <c r="R875" s="5"/>
      <c r="S875" s="7"/>
      <c r="T875" s="5"/>
    </row>
    <row r="876" spans="1:20" ht="15.75" customHeight="1">
      <c r="A876" s="13"/>
      <c r="B876" s="13"/>
      <c r="C876" s="8"/>
      <c r="D876" s="8"/>
      <c r="E876" s="7"/>
      <c r="F876" s="8"/>
      <c r="G876" s="8"/>
      <c r="H876" s="8"/>
      <c r="I876" s="5"/>
      <c r="J876" s="8"/>
      <c r="K876" s="8"/>
      <c r="L876" s="8"/>
      <c r="N876" s="7"/>
      <c r="O876" s="7"/>
      <c r="P876" s="7"/>
      <c r="Q876" s="5"/>
      <c r="R876" s="5"/>
      <c r="S876" s="7"/>
      <c r="T876" s="5"/>
    </row>
    <row r="877" spans="1:20" ht="15.75" customHeight="1">
      <c r="A877" s="13"/>
      <c r="B877" s="13"/>
      <c r="C877" s="8"/>
      <c r="D877" s="8"/>
      <c r="E877" s="7"/>
      <c r="F877" s="8"/>
      <c r="G877" s="8"/>
      <c r="H877" s="8"/>
      <c r="I877" s="5"/>
      <c r="J877" s="8"/>
      <c r="K877" s="8"/>
      <c r="L877" s="8"/>
      <c r="N877" s="7"/>
      <c r="O877" s="7"/>
      <c r="P877" s="7"/>
      <c r="Q877" s="5"/>
      <c r="R877" s="5"/>
      <c r="S877" s="7"/>
      <c r="T877" s="5"/>
    </row>
    <row r="878" spans="1:20" ht="15.75" customHeight="1">
      <c r="A878" s="13"/>
      <c r="B878" s="13"/>
      <c r="C878" s="8"/>
      <c r="D878" s="8"/>
      <c r="E878" s="7"/>
      <c r="F878" s="8"/>
      <c r="G878" s="8"/>
      <c r="H878" s="8"/>
      <c r="I878" s="5"/>
      <c r="J878" s="8"/>
      <c r="K878" s="8"/>
      <c r="L878" s="8"/>
      <c r="N878" s="7"/>
      <c r="O878" s="7"/>
      <c r="P878" s="7"/>
      <c r="Q878" s="5"/>
      <c r="R878" s="5"/>
      <c r="S878" s="7"/>
      <c r="T878" s="5"/>
    </row>
    <row r="879" spans="1:20" ht="15.75" customHeight="1">
      <c r="A879" s="13"/>
      <c r="B879" s="13"/>
      <c r="C879" s="8"/>
      <c r="D879" s="8"/>
      <c r="E879" s="7"/>
      <c r="F879" s="8"/>
      <c r="G879" s="8"/>
      <c r="H879" s="8"/>
      <c r="I879" s="5"/>
      <c r="J879" s="8"/>
      <c r="K879" s="8"/>
      <c r="L879" s="8"/>
      <c r="N879" s="7"/>
      <c r="O879" s="7"/>
      <c r="P879" s="7"/>
      <c r="Q879" s="5"/>
      <c r="R879" s="5"/>
      <c r="S879" s="7"/>
      <c r="T879" s="5"/>
    </row>
    <row r="880" spans="1:20" ht="15.75" customHeight="1">
      <c r="A880" s="13"/>
      <c r="B880" s="13"/>
      <c r="C880" s="8"/>
      <c r="D880" s="8"/>
      <c r="E880" s="7"/>
      <c r="F880" s="8"/>
      <c r="G880" s="8"/>
      <c r="H880" s="8"/>
      <c r="I880" s="5"/>
      <c r="J880" s="8"/>
      <c r="K880" s="8"/>
      <c r="L880" s="8"/>
      <c r="N880" s="7"/>
      <c r="O880" s="7"/>
      <c r="P880" s="7"/>
      <c r="Q880" s="5"/>
      <c r="R880" s="5"/>
      <c r="S880" s="7"/>
      <c r="T880" s="5"/>
    </row>
    <row r="881" spans="1:20" ht="15.75" customHeight="1">
      <c r="A881" s="13"/>
      <c r="B881" s="13"/>
      <c r="C881" s="8"/>
      <c r="D881" s="8"/>
      <c r="E881" s="7"/>
      <c r="F881" s="8"/>
      <c r="G881" s="8"/>
      <c r="H881" s="8"/>
      <c r="I881" s="5"/>
      <c r="J881" s="8"/>
      <c r="K881" s="8"/>
      <c r="L881" s="8"/>
      <c r="N881" s="7"/>
      <c r="O881" s="7"/>
      <c r="P881" s="7"/>
      <c r="Q881" s="5"/>
      <c r="R881" s="5"/>
      <c r="S881" s="7"/>
      <c r="T881" s="5"/>
    </row>
    <row r="882" spans="1:20" ht="15.75" customHeight="1">
      <c r="A882" s="13"/>
      <c r="B882" s="13"/>
      <c r="C882" s="8"/>
      <c r="D882" s="8"/>
      <c r="E882" s="7"/>
      <c r="F882" s="8"/>
      <c r="G882" s="8"/>
      <c r="H882" s="8"/>
      <c r="I882" s="5"/>
      <c r="J882" s="8"/>
      <c r="K882" s="8"/>
      <c r="L882" s="8"/>
      <c r="N882" s="7"/>
      <c r="O882" s="7"/>
      <c r="P882" s="7"/>
      <c r="Q882" s="5"/>
      <c r="R882" s="5"/>
      <c r="S882" s="7"/>
      <c r="T882" s="5"/>
    </row>
    <row r="883" spans="1:20" ht="15.75" customHeight="1">
      <c r="A883" s="13"/>
      <c r="B883" s="13"/>
      <c r="C883" s="8"/>
      <c r="D883" s="8"/>
      <c r="E883" s="7"/>
      <c r="F883" s="8"/>
      <c r="G883" s="8"/>
      <c r="H883" s="8"/>
      <c r="I883" s="5"/>
      <c r="J883" s="8"/>
      <c r="K883" s="8"/>
      <c r="L883" s="8"/>
      <c r="N883" s="7"/>
      <c r="O883" s="7"/>
      <c r="P883" s="7"/>
      <c r="Q883" s="5"/>
      <c r="R883" s="5"/>
      <c r="S883" s="7"/>
      <c r="T883" s="5"/>
    </row>
    <row r="884" spans="1:20" ht="15.75" customHeight="1">
      <c r="A884" s="13"/>
      <c r="B884" s="13"/>
      <c r="C884" s="8"/>
      <c r="D884" s="8"/>
      <c r="E884" s="7"/>
      <c r="F884" s="8"/>
      <c r="G884" s="8"/>
      <c r="H884" s="8"/>
      <c r="I884" s="5"/>
      <c r="J884" s="8"/>
      <c r="K884" s="8"/>
      <c r="L884" s="8"/>
      <c r="N884" s="7"/>
      <c r="O884" s="7"/>
      <c r="P884" s="7"/>
      <c r="Q884" s="5"/>
      <c r="R884" s="5"/>
      <c r="S884" s="7"/>
      <c r="T884" s="5"/>
    </row>
    <row r="885" spans="1:20" ht="15.75" customHeight="1">
      <c r="A885" s="13"/>
      <c r="B885" s="13"/>
      <c r="C885" s="8"/>
      <c r="D885" s="8"/>
      <c r="E885" s="7"/>
      <c r="F885" s="8"/>
      <c r="G885" s="8"/>
      <c r="H885" s="8"/>
      <c r="I885" s="5"/>
      <c r="J885" s="8"/>
      <c r="K885" s="8"/>
      <c r="L885" s="8"/>
      <c r="N885" s="7"/>
      <c r="O885" s="7"/>
      <c r="P885" s="7"/>
      <c r="Q885" s="5"/>
      <c r="R885" s="5"/>
      <c r="S885" s="7"/>
      <c r="T885" s="5"/>
    </row>
    <row r="886" spans="1:20" ht="15.75" customHeight="1">
      <c r="A886" s="13"/>
      <c r="B886" s="13"/>
      <c r="C886" s="8"/>
      <c r="D886" s="8"/>
      <c r="E886" s="7"/>
      <c r="F886" s="8"/>
      <c r="G886" s="8"/>
      <c r="H886" s="8"/>
      <c r="I886" s="5"/>
      <c r="J886" s="8"/>
      <c r="K886" s="8"/>
      <c r="L886" s="8"/>
      <c r="N886" s="7"/>
      <c r="O886" s="7"/>
      <c r="P886" s="7"/>
      <c r="Q886" s="5"/>
      <c r="R886" s="5"/>
      <c r="S886" s="7"/>
      <c r="T886" s="5"/>
    </row>
    <row r="887" spans="1:20" ht="15.75" customHeight="1">
      <c r="A887" s="13"/>
      <c r="B887" s="13"/>
      <c r="C887" s="8"/>
      <c r="D887" s="8"/>
      <c r="E887" s="7"/>
      <c r="F887" s="8"/>
      <c r="G887" s="8"/>
      <c r="H887" s="8"/>
      <c r="I887" s="5"/>
      <c r="J887" s="8"/>
      <c r="K887" s="8"/>
      <c r="L887" s="8"/>
      <c r="N887" s="7"/>
      <c r="O887" s="7"/>
      <c r="P887" s="7"/>
      <c r="Q887" s="5"/>
      <c r="R887" s="5"/>
      <c r="S887" s="7"/>
      <c r="T887" s="5"/>
    </row>
    <row r="888" spans="1:20" ht="15.75" customHeight="1">
      <c r="A888" s="13"/>
      <c r="B888" s="13"/>
      <c r="C888" s="8"/>
      <c r="D888" s="8"/>
      <c r="E888" s="7"/>
      <c r="F888" s="8"/>
      <c r="G888" s="8"/>
      <c r="H888" s="8"/>
      <c r="I888" s="5"/>
      <c r="J888" s="8"/>
      <c r="K888" s="8"/>
      <c r="L888" s="8"/>
      <c r="N888" s="7"/>
      <c r="O888" s="7"/>
      <c r="P888" s="7"/>
      <c r="Q888" s="5"/>
      <c r="R888" s="5"/>
      <c r="S888" s="7"/>
      <c r="T888" s="5"/>
    </row>
    <row r="889" spans="1:20" ht="15.75" customHeight="1">
      <c r="A889" s="13"/>
      <c r="B889" s="13"/>
      <c r="C889" s="8"/>
      <c r="D889" s="8"/>
      <c r="E889" s="7"/>
      <c r="F889" s="8"/>
      <c r="G889" s="8"/>
      <c r="H889" s="8"/>
      <c r="I889" s="5"/>
      <c r="J889" s="8"/>
      <c r="K889" s="8"/>
      <c r="L889" s="8"/>
      <c r="N889" s="7"/>
      <c r="O889" s="7"/>
      <c r="P889" s="7"/>
      <c r="Q889" s="5"/>
      <c r="R889" s="5"/>
      <c r="S889" s="7"/>
      <c r="T889" s="5"/>
    </row>
    <row r="890" spans="1:20" ht="15.75" customHeight="1">
      <c r="A890" s="13"/>
      <c r="B890" s="13"/>
      <c r="C890" s="8"/>
      <c r="D890" s="8"/>
      <c r="E890" s="7"/>
      <c r="F890" s="8"/>
      <c r="G890" s="8"/>
      <c r="H890" s="8"/>
      <c r="I890" s="5"/>
      <c r="J890" s="8"/>
      <c r="K890" s="8"/>
      <c r="L890" s="8"/>
      <c r="N890" s="7"/>
      <c r="O890" s="7"/>
      <c r="P890" s="7"/>
      <c r="Q890" s="5"/>
      <c r="R890" s="5"/>
      <c r="S890" s="7"/>
      <c r="T890" s="5"/>
    </row>
    <row r="891" spans="1:20" ht="15.75" customHeight="1">
      <c r="A891" s="13"/>
      <c r="B891" s="13"/>
      <c r="C891" s="8"/>
      <c r="D891" s="8"/>
      <c r="E891" s="7"/>
      <c r="F891" s="8"/>
      <c r="G891" s="8"/>
      <c r="H891" s="8"/>
      <c r="I891" s="5"/>
      <c r="J891" s="8"/>
      <c r="K891" s="8"/>
      <c r="L891" s="8"/>
      <c r="N891" s="7"/>
      <c r="O891" s="7"/>
      <c r="P891" s="7"/>
      <c r="Q891" s="5"/>
      <c r="R891" s="5"/>
      <c r="S891" s="7"/>
      <c r="T891" s="5"/>
    </row>
    <row r="892" spans="1:20" ht="15.75" customHeight="1">
      <c r="A892" s="13"/>
      <c r="B892" s="13"/>
      <c r="C892" s="8"/>
      <c r="D892" s="8"/>
      <c r="E892" s="7"/>
      <c r="F892" s="8"/>
      <c r="G892" s="8"/>
      <c r="H892" s="8"/>
      <c r="I892" s="5"/>
      <c r="J892" s="8"/>
      <c r="K892" s="8"/>
      <c r="L892" s="8"/>
      <c r="N892" s="7"/>
      <c r="O892" s="7"/>
      <c r="P892" s="7"/>
      <c r="Q892" s="5"/>
      <c r="R892" s="5"/>
      <c r="S892" s="7"/>
      <c r="T892" s="5"/>
    </row>
    <row r="893" spans="1:20" ht="15.75" customHeight="1">
      <c r="A893" s="13"/>
      <c r="B893" s="13"/>
      <c r="C893" s="8"/>
      <c r="D893" s="8"/>
      <c r="E893" s="7"/>
      <c r="F893" s="8"/>
      <c r="G893" s="8"/>
      <c r="H893" s="8"/>
      <c r="I893" s="5"/>
      <c r="J893" s="8"/>
      <c r="K893" s="8"/>
      <c r="L893" s="8"/>
      <c r="N893" s="7"/>
      <c r="O893" s="7"/>
      <c r="P893" s="7"/>
      <c r="Q893" s="5"/>
      <c r="R893" s="5"/>
      <c r="S893" s="7"/>
      <c r="T893" s="5"/>
    </row>
    <row r="894" spans="1:20" ht="15.75" customHeight="1">
      <c r="A894" s="13"/>
      <c r="B894" s="13"/>
      <c r="C894" s="8"/>
      <c r="D894" s="8"/>
      <c r="E894" s="7"/>
      <c r="F894" s="8"/>
      <c r="G894" s="8"/>
      <c r="H894" s="8"/>
      <c r="I894" s="5"/>
      <c r="J894" s="8"/>
      <c r="K894" s="8"/>
      <c r="L894" s="8"/>
      <c r="N894" s="7"/>
      <c r="O894" s="7"/>
      <c r="P894" s="7"/>
      <c r="Q894" s="5"/>
      <c r="R894" s="5"/>
      <c r="S894" s="7"/>
      <c r="T894" s="5"/>
    </row>
    <row r="895" spans="1:20" ht="15.75" customHeight="1">
      <c r="A895" s="13"/>
      <c r="B895" s="13"/>
      <c r="C895" s="8"/>
      <c r="D895" s="8"/>
      <c r="E895" s="7"/>
      <c r="F895" s="8"/>
      <c r="G895" s="8"/>
      <c r="H895" s="8"/>
      <c r="I895" s="5"/>
      <c r="J895" s="8"/>
      <c r="K895" s="8"/>
      <c r="L895" s="8"/>
      <c r="N895" s="7"/>
      <c r="O895" s="7"/>
      <c r="P895" s="7"/>
      <c r="Q895" s="5"/>
      <c r="R895" s="5"/>
      <c r="S895" s="7"/>
      <c r="T895" s="5"/>
    </row>
    <row r="896" spans="1:20" ht="15.75" customHeight="1">
      <c r="A896" s="13"/>
      <c r="B896" s="13"/>
      <c r="C896" s="8"/>
      <c r="D896" s="8"/>
      <c r="E896" s="7"/>
      <c r="F896" s="8"/>
      <c r="G896" s="8"/>
      <c r="H896" s="8"/>
      <c r="I896" s="5"/>
      <c r="J896" s="8"/>
      <c r="K896" s="8"/>
      <c r="L896" s="8"/>
      <c r="N896" s="7"/>
      <c r="O896" s="7"/>
      <c r="P896" s="7"/>
      <c r="Q896" s="5"/>
      <c r="R896" s="5"/>
      <c r="S896" s="7"/>
      <c r="T896" s="5"/>
    </row>
    <row r="897" spans="1:20" ht="15.75" customHeight="1">
      <c r="A897" s="13"/>
      <c r="B897" s="13"/>
      <c r="C897" s="8"/>
      <c r="D897" s="8"/>
      <c r="E897" s="7"/>
      <c r="F897" s="8"/>
      <c r="G897" s="8"/>
      <c r="H897" s="8"/>
      <c r="I897" s="5"/>
      <c r="J897" s="8"/>
      <c r="K897" s="8"/>
      <c r="L897" s="8"/>
      <c r="N897" s="7"/>
      <c r="O897" s="7"/>
      <c r="P897" s="7"/>
      <c r="Q897" s="5"/>
      <c r="R897" s="5"/>
      <c r="S897" s="7"/>
      <c r="T897" s="5"/>
    </row>
    <row r="898" spans="1:20" ht="15.75" customHeight="1">
      <c r="A898" s="13"/>
      <c r="B898" s="13"/>
      <c r="C898" s="8"/>
      <c r="D898" s="8"/>
      <c r="E898" s="7"/>
      <c r="F898" s="8"/>
      <c r="G898" s="8"/>
      <c r="H898" s="8"/>
      <c r="I898" s="5"/>
      <c r="J898" s="8"/>
      <c r="K898" s="8"/>
      <c r="L898" s="8"/>
      <c r="N898" s="7"/>
      <c r="O898" s="7"/>
      <c r="P898" s="7"/>
      <c r="Q898" s="5"/>
      <c r="R898" s="5"/>
      <c r="S898" s="7"/>
      <c r="T898" s="5"/>
    </row>
    <row r="899" spans="1:20" ht="15.75" customHeight="1">
      <c r="A899" s="13"/>
      <c r="B899" s="13"/>
      <c r="C899" s="8"/>
      <c r="D899" s="8"/>
      <c r="E899" s="7"/>
      <c r="F899" s="8"/>
      <c r="G899" s="8"/>
      <c r="H899" s="8"/>
      <c r="I899" s="5"/>
      <c r="J899" s="8"/>
      <c r="K899" s="8"/>
      <c r="L899" s="8"/>
      <c r="N899" s="7"/>
      <c r="O899" s="7"/>
      <c r="P899" s="7"/>
      <c r="Q899" s="5"/>
      <c r="R899" s="5"/>
      <c r="S899" s="7"/>
      <c r="T899" s="5"/>
    </row>
    <row r="900" spans="1:20" ht="15.75" customHeight="1">
      <c r="A900" s="13"/>
      <c r="B900" s="13"/>
      <c r="C900" s="8"/>
      <c r="D900" s="8"/>
      <c r="E900" s="7"/>
      <c r="F900" s="8"/>
      <c r="G900" s="8"/>
      <c r="H900" s="8"/>
      <c r="I900" s="5"/>
      <c r="J900" s="8"/>
      <c r="K900" s="8"/>
      <c r="L900" s="8"/>
      <c r="N900" s="7"/>
      <c r="O900" s="7"/>
      <c r="P900" s="7"/>
      <c r="Q900" s="5"/>
      <c r="R900" s="5"/>
      <c r="S900" s="7"/>
      <c r="T900" s="5"/>
    </row>
    <row r="901" spans="1:20" ht="15.75" customHeight="1">
      <c r="A901" s="13"/>
      <c r="B901" s="13"/>
      <c r="C901" s="8"/>
      <c r="D901" s="8"/>
      <c r="E901" s="7"/>
      <c r="F901" s="8"/>
      <c r="G901" s="8"/>
      <c r="H901" s="8"/>
      <c r="I901" s="5"/>
      <c r="J901" s="8"/>
      <c r="K901" s="8"/>
      <c r="L901" s="8"/>
      <c r="N901" s="7"/>
      <c r="O901" s="7"/>
      <c r="P901" s="7"/>
      <c r="Q901" s="5"/>
      <c r="R901" s="5"/>
      <c r="S901" s="7"/>
      <c r="T901" s="5"/>
    </row>
    <row r="902" spans="1:20" ht="15.75" customHeight="1">
      <c r="A902" s="13"/>
      <c r="B902" s="13"/>
      <c r="C902" s="8"/>
      <c r="D902" s="8"/>
      <c r="E902" s="7"/>
      <c r="F902" s="8"/>
      <c r="G902" s="8"/>
      <c r="H902" s="8"/>
      <c r="I902" s="5"/>
      <c r="J902" s="8"/>
      <c r="K902" s="8"/>
      <c r="L902" s="8"/>
      <c r="N902" s="7"/>
      <c r="O902" s="7"/>
      <c r="P902" s="7"/>
      <c r="Q902" s="5"/>
      <c r="R902" s="5"/>
      <c r="S902" s="7"/>
      <c r="T902" s="5"/>
    </row>
    <row r="903" spans="1:20" ht="15.75" customHeight="1">
      <c r="A903" s="13"/>
      <c r="B903" s="13"/>
      <c r="C903" s="8"/>
      <c r="D903" s="8"/>
      <c r="E903" s="7"/>
      <c r="F903" s="8"/>
      <c r="G903" s="8"/>
      <c r="H903" s="8"/>
      <c r="I903" s="5"/>
      <c r="J903" s="8"/>
      <c r="K903" s="8"/>
      <c r="L903" s="8"/>
      <c r="N903" s="7"/>
      <c r="O903" s="7"/>
      <c r="P903" s="7"/>
      <c r="Q903" s="5"/>
      <c r="R903" s="5"/>
      <c r="S903" s="7"/>
      <c r="T903" s="5"/>
    </row>
    <row r="904" spans="1:20" ht="15.75" customHeight="1">
      <c r="A904" s="13"/>
      <c r="B904" s="13"/>
      <c r="C904" s="8"/>
      <c r="D904" s="8"/>
      <c r="E904" s="7"/>
      <c r="F904" s="8"/>
      <c r="G904" s="8"/>
      <c r="H904" s="8"/>
      <c r="I904" s="5"/>
      <c r="J904" s="8"/>
      <c r="K904" s="8"/>
      <c r="L904" s="8"/>
      <c r="N904" s="7"/>
      <c r="O904" s="7"/>
      <c r="P904" s="7"/>
      <c r="Q904" s="5"/>
      <c r="R904" s="5"/>
      <c r="S904" s="7"/>
      <c r="T904" s="5"/>
    </row>
    <row r="905" spans="1:20" ht="15.75" customHeight="1">
      <c r="A905" s="13"/>
      <c r="B905" s="13"/>
      <c r="C905" s="8"/>
      <c r="D905" s="8"/>
      <c r="E905" s="7"/>
      <c r="F905" s="8"/>
      <c r="G905" s="8"/>
      <c r="H905" s="8"/>
      <c r="I905" s="5"/>
      <c r="J905" s="8"/>
      <c r="K905" s="8"/>
      <c r="L905" s="8"/>
      <c r="N905" s="7"/>
      <c r="O905" s="7"/>
      <c r="P905" s="7"/>
      <c r="Q905" s="5"/>
      <c r="R905" s="5"/>
      <c r="S905" s="7"/>
      <c r="T905" s="5"/>
    </row>
    <row r="906" spans="1:20" ht="15.75" customHeight="1">
      <c r="A906" s="13"/>
      <c r="B906" s="13"/>
      <c r="C906" s="8"/>
      <c r="D906" s="8"/>
      <c r="E906" s="7"/>
      <c r="F906" s="8"/>
      <c r="G906" s="8"/>
      <c r="H906" s="8"/>
      <c r="I906" s="5"/>
      <c r="J906" s="8"/>
      <c r="K906" s="8"/>
      <c r="L906" s="8"/>
      <c r="N906" s="7"/>
      <c r="O906" s="7"/>
      <c r="P906" s="7"/>
      <c r="Q906" s="5"/>
      <c r="R906" s="5"/>
      <c r="S906" s="7"/>
      <c r="T906" s="5"/>
    </row>
    <row r="907" spans="1:20" ht="15.75" customHeight="1">
      <c r="A907" s="13"/>
      <c r="B907" s="13"/>
      <c r="C907" s="8"/>
      <c r="D907" s="8"/>
      <c r="E907" s="7"/>
      <c r="F907" s="8"/>
      <c r="G907" s="8"/>
      <c r="H907" s="8"/>
      <c r="I907" s="5"/>
      <c r="J907" s="8"/>
      <c r="K907" s="8"/>
      <c r="L907" s="8"/>
      <c r="N907" s="7"/>
      <c r="O907" s="7"/>
      <c r="P907" s="7"/>
      <c r="Q907" s="5"/>
      <c r="R907" s="5"/>
      <c r="S907" s="7"/>
      <c r="T907" s="5"/>
    </row>
    <row r="908" spans="1:20" ht="15.75" customHeight="1">
      <c r="A908" s="13"/>
      <c r="B908" s="13"/>
      <c r="C908" s="8"/>
      <c r="D908" s="8"/>
      <c r="E908" s="7"/>
      <c r="F908" s="8"/>
      <c r="G908" s="8"/>
      <c r="H908" s="8"/>
      <c r="I908" s="5"/>
      <c r="J908" s="8"/>
      <c r="K908" s="8"/>
      <c r="L908" s="8"/>
      <c r="N908" s="7"/>
      <c r="O908" s="7"/>
      <c r="P908" s="7"/>
      <c r="Q908" s="5"/>
      <c r="R908" s="5"/>
      <c r="S908" s="7"/>
      <c r="T908" s="5"/>
    </row>
    <row r="909" spans="1:20" ht="15.75" customHeight="1">
      <c r="A909" s="13"/>
      <c r="B909" s="13"/>
      <c r="C909" s="8"/>
      <c r="D909" s="8"/>
      <c r="E909" s="7"/>
      <c r="F909" s="8"/>
      <c r="G909" s="8"/>
      <c r="H909" s="8"/>
      <c r="I909" s="5"/>
      <c r="J909" s="8"/>
      <c r="K909" s="8"/>
      <c r="L909" s="8"/>
      <c r="N909" s="7"/>
      <c r="O909" s="7"/>
      <c r="P909" s="7"/>
      <c r="Q909" s="5"/>
      <c r="R909" s="5"/>
      <c r="S909" s="7"/>
      <c r="T909" s="5"/>
    </row>
    <row r="910" spans="1:20" ht="15.75" customHeight="1">
      <c r="A910" s="13"/>
      <c r="B910" s="13"/>
      <c r="C910" s="8"/>
      <c r="D910" s="8"/>
      <c r="E910" s="7"/>
      <c r="F910" s="8"/>
      <c r="G910" s="8"/>
      <c r="H910" s="8"/>
      <c r="I910" s="5"/>
      <c r="J910" s="8"/>
      <c r="K910" s="8"/>
      <c r="L910" s="8"/>
      <c r="N910" s="7"/>
      <c r="O910" s="7"/>
      <c r="P910" s="7"/>
      <c r="Q910" s="5"/>
      <c r="R910" s="5"/>
      <c r="S910" s="7"/>
      <c r="T910" s="5"/>
    </row>
    <row r="911" spans="1:20" ht="15.75" customHeight="1">
      <c r="A911" s="13"/>
      <c r="B911" s="13"/>
      <c r="C911" s="8"/>
      <c r="D911" s="8"/>
      <c r="E911" s="7"/>
      <c r="F911" s="8"/>
      <c r="G911" s="8"/>
      <c r="H911" s="8"/>
      <c r="I911" s="5"/>
      <c r="J911" s="8"/>
      <c r="K911" s="8"/>
      <c r="L911" s="8"/>
      <c r="N911" s="7"/>
      <c r="O911" s="7"/>
      <c r="P911" s="7"/>
      <c r="Q911" s="5"/>
      <c r="R911" s="5"/>
      <c r="S911" s="7"/>
      <c r="T911" s="5"/>
    </row>
    <row r="912" spans="1:20" ht="15.75" customHeight="1">
      <c r="A912" s="13"/>
      <c r="B912" s="13"/>
      <c r="C912" s="8"/>
      <c r="D912" s="8"/>
      <c r="E912" s="7"/>
      <c r="F912" s="8"/>
      <c r="G912" s="8"/>
      <c r="H912" s="8"/>
      <c r="I912" s="5"/>
      <c r="J912" s="8"/>
      <c r="K912" s="8"/>
      <c r="L912" s="8"/>
      <c r="N912" s="7"/>
      <c r="O912" s="7"/>
      <c r="P912" s="7"/>
      <c r="Q912" s="5"/>
      <c r="R912" s="5"/>
      <c r="S912" s="7"/>
      <c r="T912" s="5"/>
    </row>
    <row r="913" spans="1:20" ht="15.75" customHeight="1">
      <c r="A913" s="13"/>
      <c r="B913" s="13"/>
      <c r="C913" s="8"/>
      <c r="D913" s="8"/>
      <c r="E913" s="7"/>
      <c r="F913" s="8"/>
      <c r="G913" s="8"/>
      <c r="H913" s="8"/>
      <c r="I913" s="5"/>
      <c r="J913" s="8"/>
      <c r="K913" s="8"/>
      <c r="L913" s="8"/>
      <c r="N913" s="7"/>
      <c r="O913" s="7"/>
      <c r="P913" s="7"/>
      <c r="Q913" s="5"/>
      <c r="R913" s="5"/>
      <c r="S913" s="7"/>
      <c r="T913" s="5"/>
    </row>
    <row r="914" spans="1:20" ht="15.75" customHeight="1">
      <c r="A914" s="13"/>
      <c r="B914" s="13"/>
      <c r="C914" s="8"/>
      <c r="D914" s="8"/>
      <c r="E914" s="7"/>
      <c r="F914" s="8"/>
      <c r="G914" s="8"/>
      <c r="H914" s="8"/>
      <c r="I914" s="5"/>
      <c r="J914" s="8"/>
      <c r="K914" s="8"/>
      <c r="L914" s="8"/>
      <c r="N914" s="7"/>
      <c r="O914" s="7"/>
      <c r="P914" s="7"/>
      <c r="Q914" s="5"/>
      <c r="R914" s="5"/>
      <c r="S914" s="7"/>
      <c r="T914" s="5"/>
    </row>
    <row r="915" spans="1:20" ht="15.75" customHeight="1">
      <c r="A915" s="13"/>
      <c r="B915" s="13"/>
      <c r="C915" s="8"/>
      <c r="D915" s="8"/>
      <c r="E915" s="7"/>
      <c r="F915" s="8"/>
      <c r="G915" s="8"/>
      <c r="H915" s="8"/>
      <c r="I915" s="5"/>
      <c r="J915" s="8"/>
      <c r="K915" s="8"/>
      <c r="L915" s="8"/>
      <c r="N915" s="7"/>
      <c r="O915" s="7"/>
      <c r="P915" s="7"/>
      <c r="Q915" s="5"/>
      <c r="R915" s="5"/>
      <c r="S915" s="7"/>
      <c r="T915" s="5"/>
    </row>
    <row r="916" spans="1:20" ht="15.75" customHeight="1">
      <c r="A916" s="13"/>
      <c r="B916" s="13"/>
      <c r="C916" s="8"/>
      <c r="D916" s="8"/>
      <c r="E916" s="7"/>
      <c r="F916" s="8"/>
      <c r="G916" s="8"/>
      <c r="H916" s="8"/>
      <c r="I916" s="5"/>
      <c r="J916" s="8"/>
      <c r="K916" s="8"/>
      <c r="L916" s="8"/>
      <c r="N916" s="7"/>
      <c r="O916" s="7"/>
      <c r="P916" s="7"/>
      <c r="Q916" s="5"/>
      <c r="R916" s="5"/>
      <c r="S916" s="7"/>
      <c r="T916" s="5"/>
    </row>
    <row r="917" spans="1:20" ht="15.75" customHeight="1">
      <c r="A917" s="13"/>
      <c r="B917" s="13"/>
      <c r="C917" s="8"/>
      <c r="D917" s="8"/>
      <c r="E917" s="7"/>
      <c r="F917" s="8"/>
      <c r="G917" s="8"/>
      <c r="H917" s="8"/>
      <c r="I917" s="5"/>
      <c r="J917" s="8"/>
      <c r="K917" s="8"/>
      <c r="L917" s="8"/>
      <c r="N917" s="7"/>
      <c r="O917" s="7"/>
      <c r="P917" s="7"/>
      <c r="Q917" s="5"/>
      <c r="R917" s="5"/>
      <c r="S917" s="7"/>
      <c r="T917" s="5"/>
    </row>
    <row r="918" spans="1:20" ht="15.75" customHeight="1">
      <c r="A918" s="13"/>
      <c r="B918" s="13"/>
      <c r="C918" s="8"/>
      <c r="D918" s="8"/>
      <c r="E918" s="7"/>
      <c r="F918" s="8"/>
      <c r="G918" s="8"/>
      <c r="H918" s="8"/>
      <c r="I918" s="5"/>
      <c r="J918" s="8"/>
      <c r="K918" s="8"/>
      <c r="L918" s="8"/>
      <c r="N918" s="7"/>
      <c r="O918" s="7"/>
      <c r="P918" s="7"/>
      <c r="Q918" s="5"/>
      <c r="R918" s="5"/>
      <c r="S918" s="7"/>
      <c r="T918" s="5"/>
    </row>
    <row r="919" spans="1:20" ht="15.75" customHeight="1">
      <c r="A919" s="13"/>
      <c r="B919" s="13"/>
      <c r="C919" s="8"/>
      <c r="D919" s="8"/>
      <c r="E919" s="7"/>
      <c r="F919" s="8"/>
      <c r="G919" s="8"/>
      <c r="H919" s="8"/>
      <c r="I919" s="5"/>
      <c r="J919" s="8"/>
      <c r="K919" s="8"/>
      <c r="L919" s="8"/>
      <c r="N919" s="7"/>
      <c r="O919" s="7"/>
      <c r="P919" s="7"/>
      <c r="Q919" s="5"/>
      <c r="R919" s="5"/>
      <c r="S919" s="7"/>
      <c r="T919" s="5"/>
    </row>
    <row r="920" spans="1:20" ht="15.75" customHeight="1">
      <c r="A920" s="13"/>
      <c r="B920" s="13"/>
      <c r="C920" s="8"/>
      <c r="D920" s="8"/>
      <c r="E920" s="7"/>
      <c r="F920" s="8"/>
      <c r="G920" s="8"/>
      <c r="H920" s="8"/>
      <c r="I920" s="5"/>
      <c r="J920" s="8"/>
      <c r="K920" s="8"/>
      <c r="L920" s="8"/>
      <c r="N920" s="7"/>
      <c r="O920" s="7"/>
      <c r="P920" s="7"/>
      <c r="Q920" s="5"/>
      <c r="R920" s="5"/>
      <c r="S920" s="7"/>
      <c r="T920" s="5"/>
    </row>
    <row r="921" spans="1:20" ht="15.75" customHeight="1">
      <c r="A921" s="13"/>
      <c r="B921" s="13"/>
      <c r="C921" s="8"/>
      <c r="D921" s="8"/>
      <c r="E921" s="7"/>
      <c r="F921" s="8"/>
      <c r="G921" s="8"/>
      <c r="H921" s="8"/>
      <c r="I921" s="5"/>
      <c r="J921" s="8"/>
      <c r="K921" s="8"/>
      <c r="L921" s="8"/>
      <c r="N921" s="7"/>
      <c r="O921" s="7"/>
      <c r="P921" s="7"/>
      <c r="Q921" s="5"/>
      <c r="R921" s="5"/>
      <c r="S921" s="7"/>
      <c r="T921" s="5"/>
    </row>
    <row r="922" spans="1:20" ht="15.75" customHeight="1">
      <c r="A922" s="13"/>
      <c r="B922" s="13"/>
      <c r="C922" s="8"/>
      <c r="D922" s="8"/>
      <c r="E922" s="7"/>
      <c r="F922" s="8"/>
      <c r="G922" s="8"/>
      <c r="H922" s="8"/>
      <c r="I922" s="5"/>
      <c r="J922" s="8"/>
      <c r="K922" s="8"/>
      <c r="L922" s="8"/>
      <c r="N922" s="7"/>
      <c r="O922" s="7"/>
      <c r="P922" s="7"/>
      <c r="Q922" s="5"/>
      <c r="R922" s="5"/>
      <c r="S922" s="7"/>
      <c r="T922" s="5"/>
    </row>
    <row r="923" spans="1:20" ht="15.75" customHeight="1">
      <c r="A923" s="13"/>
      <c r="B923" s="13"/>
      <c r="C923" s="8"/>
      <c r="D923" s="8"/>
      <c r="E923" s="7"/>
      <c r="F923" s="8"/>
      <c r="G923" s="8"/>
      <c r="H923" s="8"/>
      <c r="I923" s="5"/>
      <c r="J923" s="8"/>
      <c r="K923" s="8"/>
      <c r="L923" s="8"/>
      <c r="N923" s="7"/>
      <c r="O923" s="7"/>
      <c r="P923" s="7"/>
      <c r="Q923" s="5"/>
      <c r="R923" s="5"/>
      <c r="S923" s="7"/>
      <c r="T923" s="5"/>
    </row>
    <row r="924" spans="1:20" ht="15.75" customHeight="1">
      <c r="A924" s="13"/>
      <c r="B924" s="13"/>
      <c r="C924" s="8"/>
      <c r="D924" s="8"/>
      <c r="E924" s="7"/>
      <c r="F924" s="8"/>
      <c r="G924" s="8"/>
      <c r="H924" s="8"/>
      <c r="I924" s="5"/>
      <c r="J924" s="8"/>
      <c r="K924" s="8"/>
      <c r="L924" s="8"/>
      <c r="N924" s="7"/>
      <c r="O924" s="7"/>
      <c r="P924" s="7"/>
      <c r="Q924" s="5"/>
      <c r="R924" s="5"/>
      <c r="S924" s="7"/>
      <c r="T924" s="5"/>
    </row>
    <row r="925" spans="1:20" ht="15.75" customHeight="1">
      <c r="A925" s="13"/>
      <c r="B925" s="13"/>
      <c r="C925" s="8"/>
      <c r="D925" s="8"/>
      <c r="E925" s="7"/>
      <c r="F925" s="8"/>
      <c r="G925" s="8"/>
      <c r="H925" s="8"/>
      <c r="I925" s="5"/>
      <c r="J925" s="8"/>
      <c r="K925" s="8"/>
      <c r="L925" s="8"/>
      <c r="N925" s="7"/>
      <c r="O925" s="7"/>
      <c r="P925" s="7"/>
      <c r="Q925" s="5"/>
      <c r="R925" s="5"/>
      <c r="S925" s="7"/>
      <c r="T925" s="5"/>
    </row>
    <row r="926" spans="1:20" ht="15.75" customHeight="1">
      <c r="A926" s="13"/>
      <c r="B926" s="13"/>
      <c r="C926" s="8"/>
      <c r="D926" s="8"/>
      <c r="E926" s="7"/>
      <c r="F926" s="8"/>
      <c r="G926" s="8"/>
      <c r="H926" s="8"/>
      <c r="I926" s="5"/>
      <c r="J926" s="8"/>
      <c r="K926" s="8"/>
      <c r="L926" s="8"/>
      <c r="N926" s="7"/>
      <c r="O926" s="7"/>
      <c r="P926" s="7"/>
      <c r="Q926" s="5"/>
      <c r="R926" s="5"/>
      <c r="S926" s="7"/>
      <c r="T926" s="5"/>
    </row>
    <row r="927" spans="1:20" ht="15.75" customHeight="1">
      <c r="A927" s="13"/>
      <c r="B927" s="13"/>
      <c r="C927" s="8"/>
      <c r="D927" s="8"/>
      <c r="E927" s="7"/>
      <c r="F927" s="8"/>
      <c r="G927" s="8"/>
      <c r="H927" s="8"/>
      <c r="I927" s="5"/>
      <c r="J927" s="8"/>
      <c r="K927" s="8"/>
      <c r="L927" s="8"/>
      <c r="N927" s="7"/>
      <c r="O927" s="7"/>
      <c r="P927" s="7"/>
      <c r="Q927" s="5"/>
      <c r="R927" s="5"/>
      <c r="S927" s="7"/>
      <c r="T927" s="5"/>
    </row>
    <row r="928" spans="1:20" ht="15.75" customHeight="1">
      <c r="A928" s="13"/>
      <c r="B928" s="13"/>
      <c r="C928" s="8"/>
      <c r="D928" s="8"/>
      <c r="E928" s="7"/>
      <c r="F928" s="8"/>
      <c r="G928" s="8"/>
      <c r="H928" s="8"/>
      <c r="I928" s="5"/>
      <c r="J928" s="8"/>
      <c r="K928" s="8"/>
      <c r="L928" s="8"/>
      <c r="N928" s="7"/>
      <c r="O928" s="7"/>
      <c r="P928" s="7"/>
      <c r="Q928" s="5"/>
      <c r="R928" s="5"/>
      <c r="S928" s="7"/>
      <c r="T928" s="5"/>
    </row>
    <row r="929" spans="1:20" ht="15.75" customHeight="1">
      <c r="A929" s="13"/>
      <c r="B929" s="13"/>
      <c r="C929" s="8"/>
      <c r="D929" s="8"/>
      <c r="E929" s="7"/>
      <c r="F929" s="8"/>
      <c r="G929" s="8"/>
      <c r="H929" s="8"/>
      <c r="I929" s="5"/>
      <c r="J929" s="8"/>
      <c r="K929" s="8"/>
      <c r="L929" s="8"/>
      <c r="N929" s="7"/>
      <c r="O929" s="7"/>
      <c r="P929" s="7"/>
      <c r="Q929" s="5"/>
      <c r="R929" s="5"/>
      <c r="S929" s="7"/>
      <c r="T929" s="5"/>
    </row>
    <row r="930" spans="1:20" ht="15.75" customHeight="1">
      <c r="A930" s="13"/>
      <c r="B930" s="13"/>
      <c r="C930" s="8"/>
      <c r="D930" s="8"/>
      <c r="E930" s="7"/>
      <c r="F930" s="8"/>
      <c r="G930" s="8"/>
      <c r="H930" s="8"/>
      <c r="I930" s="5"/>
      <c r="J930" s="8"/>
      <c r="K930" s="8"/>
      <c r="L930" s="8"/>
      <c r="N930" s="7"/>
      <c r="O930" s="7"/>
      <c r="P930" s="7"/>
      <c r="Q930" s="5"/>
      <c r="R930" s="5"/>
      <c r="S930" s="7"/>
      <c r="T930" s="5"/>
    </row>
    <row r="931" spans="1:20" ht="15.75" customHeight="1">
      <c r="A931" s="13"/>
      <c r="B931" s="13"/>
      <c r="C931" s="8"/>
      <c r="D931" s="8"/>
      <c r="E931" s="7"/>
      <c r="F931" s="8"/>
      <c r="G931" s="8"/>
      <c r="H931" s="8"/>
      <c r="I931" s="5"/>
      <c r="J931" s="8"/>
      <c r="K931" s="8"/>
      <c r="L931" s="8"/>
      <c r="N931" s="7"/>
      <c r="O931" s="7"/>
      <c r="P931" s="7"/>
      <c r="Q931" s="5"/>
      <c r="R931" s="5"/>
      <c r="S931" s="7"/>
      <c r="T931" s="5"/>
    </row>
    <row r="932" spans="1:20" ht="15.75" customHeight="1">
      <c r="A932" s="13"/>
      <c r="B932" s="13"/>
      <c r="C932" s="8"/>
      <c r="D932" s="8"/>
      <c r="E932" s="7"/>
      <c r="F932" s="8"/>
      <c r="G932" s="8"/>
      <c r="H932" s="8"/>
      <c r="I932" s="5"/>
      <c r="J932" s="8"/>
      <c r="K932" s="8"/>
      <c r="L932" s="8"/>
      <c r="N932" s="7"/>
      <c r="O932" s="7"/>
      <c r="P932" s="7"/>
      <c r="Q932" s="5"/>
      <c r="R932" s="5"/>
      <c r="S932" s="7"/>
      <c r="T932" s="5"/>
    </row>
    <row r="933" spans="1:20" ht="15.75" customHeight="1">
      <c r="A933" s="13"/>
      <c r="B933" s="13"/>
      <c r="C933" s="8"/>
      <c r="D933" s="8"/>
      <c r="E933" s="7"/>
      <c r="F933" s="8"/>
      <c r="G933" s="8"/>
      <c r="H933" s="8"/>
      <c r="I933" s="5"/>
      <c r="J933" s="8"/>
      <c r="K933" s="8"/>
      <c r="L933" s="8"/>
      <c r="N933" s="7"/>
      <c r="O933" s="7"/>
      <c r="P933" s="7"/>
      <c r="Q933" s="5"/>
      <c r="R933" s="5"/>
      <c r="S933" s="7"/>
      <c r="T933" s="5"/>
    </row>
    <row r="934" spans="1:20" ht="15.75" customHeight="1">
      <c r="A934" s="13"/>
      <c r="B934" s="13"/>
      <c r="C934" s="8"/>
      <c r="D934" s="8"/>
      <c r="E934" s="7"/>
      <c r="F934" s="8"/>
      <c r="G934" s="8"/>
      <c r="H934" s="8"/>
      <c r="I934" s="5"/>
      <c r="J934" s="8"/>
      <c r="K934" s="8"/>
      <c r="L934" s="8"/>
      <c r="N934" s="7"/>
      <c r="O934" s="7"/>
      <c r="P934" s="7"/>
      <c r="Q934" s="5"/>
      <c r="R934" s="5"/>
      <c r="S934" s="7"/>
      <c r="T934" s="5"/>
    </row>
    <row r="935" spans="1:20" ht="15.75" customHeight="1">
      <c r="A935" s="13"/>
      <c r="B935" s="13"/>
      <c r="C935" s="8"/>
      <c r="D935" s="8"/>
      <c r="E935" s="7"/>
      <c r="F935" s="8"/>
      <c r="G935" s="8"/>
      <c r="H935" s="8"/>
      <c r="I935" s="5"/>
      <c r="J935" s="8"/>
      <c r="K935" s="8"/>
      <c r="L935" s="8"/>
      <c r="N935" s="7"/>
      <c r="O935" s="7"/>
      <c r="P935" s="7"/>
      <c r="Q935" s="5"/>
      <c r="R935" s="5"/>
      <c r="S935" s="7"/>
      <c r="T935" s="5"/>
    </row>
    <row r="936" spans="1:20" ht="15.75" customHeight="1">
      <c r="A936" s="13"/>
      <c r="B936" s="13"/>
      <c r="C936" s="8"/>
      <c r="D936" s="8"/>
      <c r="E936" s="7"/>
      <c r="F936" s="8"/>
      <c r="G936" s="8"/>
      <c r="H936" s="8"/>
      <c r="I936" s="5"/>
      <c r="J936" s="8"/>
      <c r="K936" s="8"/>
      <c r="L936" s="8"/>
      <c r="N936" s="7"/>
      <c r="O936" s="7"/>
      <c r="P936" s="7"/>
      <c r="Q936" s="5"/>
      <c r="R936" s="5"/>
      <c r="S936" s="7"/>
      <c r="T936" s="5"/>
    </row>
    <row r="937" spans="1:20" ht="15.75" customHeight="1">
      <c r="A937" s="13"/>
      <c r="B937" s="13"/>
      <c r="C937" s="8"/>
      <c r="D937" s="8"/>
      <c r="E937" s="7"/>
      <c r="F937" s="8"/>
      <c r="G937" s="8"/>
      <c r="H937" s="8"/>
      <c r="I937" s="5"/>
      <c r="J937" s="8"/>
      <c r="K937" s="8"/>
      <c r="L937" s="8"/>
      <c r="N937" s="7"/>
      <c r="O937" s="7"/>
      <c r="P937" s="7"/>
      <c r="Q937" s="5"/>
      <c r="R937" s="5"/>
      <c r="S937" s="7"/>
      <c r="T937" s="5"/>
    </row>
    <row r="938" spans="1:20" ht="15.75" customHeight="1">
      <c r="A938" s="13"/>
      <c r="B938" s="13"/>
      <c r="C938" s="8"/>
      <c r="D938" s="8"/>
      <c r="E938" s="7"/>
      <c r="F938" s="8"/>
      <c r="G938" s="8"/>
      <c r="H938" s="8"/>
      <c r="I938" s="5"/>
      <c r="J938" s="8"/>
      <c r="K938" s="8"/>
      <c r="L938" s="8"/>
      <c r="N938" s="7"/>
      <c r="O938" s="7"/>
      <c r="P938" s="7"/>
      <c r="Q938" s="5"/>
      <c r="R938" s="5"/>
      <c r="S938" s="7"/>
      <c r="T938" s="5"/>
    </row>
    <row r="939" spans="1:20" ht="15.75" customHeight="1">
      <c r="A939" s="13"/>
      <c r="B939" s="13"/>
      <c r="C939" s="8"/>
      <c r="D939" s="8"/>
      <c r="E939" s="7"/>
      <c r="F939" s="8"/>
      <c r="G939" s="8"/>
      <c r="H939" s="8"/>
      <c r="I939" s="5"/>
      <c r="J939" s="8"/>
      <c r="K939" s="8"/>
      <c r="L939" s="8"/>
      <c r="N939" s="7"/>
      <c r="O939" s="7"/>
      <c r="P939" s="7"/>
      <c r="Q939" s="5"/>
      <c r="R939" s="5"/>
      <c r="S939" s="7"/>
      <c r="T939" s="5"/>
    </row>
    <row r="940" spans="1:20" ht="15.75" customHeight="1">
      <c r="A940" s="13"/>
      <c r="B940" s="13"/>
      <c r="C940" s="8"/>
      <c r="D940" s="8"/>
      <c r="E940" s="7"/>
      <c r="F940" s="8"/>
      <c r="G940" s="8"/>
      <c r="H940" s="8"/>
      <c r="I940" s="5"/>
      <c r="J940" s="8"/>
      <c r="K940" s="8"/>
      <c r="L940" s="8"/>
      <c r="N940" s="7"/>
      <c r="O940" s="7"/>
      <c r="P940" s="7"/>
      <c r="Q940" s="5"/>
      <c r="R940" s="5"/>
      <c r="S940" s="7"/>
      <c r="T940" s="5"/>
    </row>
    <row r="941" spans="1:20" ht="15.75" customHeight="1">
      <c r="A941" s="13"/>
      <c r="B941" s="13"/>
      <c r="C941" s="8"/>
      <c r="D941" s="8"/>
      <c r="E941" s="7"/>
      <c r="F941" s="8"/>
      <c r="G941" s="8"/>
      <c r="H941" s="8"/>
      <c r="I941" s="5"/>
      <c r="J941" s="8"/>
      <c r="K941" s="8"/>
      <c r="L941" s="8"/>
      <c r="N941" s="7"/>
      <c r="O941" s="7"/>
      <c r="P941" s="7"/>
      <c r="Q941" s="5"/>
      <c r="R941" s="5"/>
      <c r="S941" s="7"/>
      <c r="T941" s="5"/>
    </row>
    <row r="942" spans="1:20" ht="15.75" customHeight="1">
      <c r="A942" s="13"/>
      <c r="B942" s="13"/>
      <c r="C942" s="8"/>
      <c r="D942" s="8"/>
      <c r="E942" s="7"/>
      <c r="F942" s="8"/>
      <c r="G942" s="8"/>
      <c r="H942" s="8"/>
      <c r="I942" s="5"/>
      <c r="J942" s="8"/>
      <c r="K942" s="8"/>
      <c r="L942" s="8"/>
      <c r="N942" s="7"/>
      <c r="O942" s="7"/>
      <c r="P942" s="7"/>
      <c r="Q942" s="5"/>
      <c r="R942" s="5"/>
      <c r="S942" s="7"/>
      <c r="T942" s="5"/>
    </row>
    <row r="943" spans="1:20" ht="15.75" customHeight="1">
      <c r="A943" s="13"/>
      <c r="B943" s="13"/>
      <c r="C943" s="8"/>
      <c r="D943" s="8"/>
      <c r="E943" s="7"/>
      <c r="F943" s="8"/>
      <c r="G943" s="8"/>
      <c r="H943" s="8"/>
      <c r="I943" s="5"/>
      <c r="J943" s="8"/>
      <c r="K943" s="8"/>
      <c r="L943" s="8"/>
      <c r="N943" s="7"/>
      <c r="O943" s="7"/>
      <c r="P943" s="7"/>
      <c r="Q943" s="5"/>
      <c r="R943" s="5"/>
      <c r="S943" s="7"/>
      <c r="T943" s="5"/>
    </row>
    <row r="944" spans="1:20" ht="15.75" customHeight="1">
      <c r="A944" s="13"/>
      <c r="B944" s="13"/>
      <c r="C944" s="8"/>
      <c r="D944" s="8"/>
      <c r="E944" s="7"/>
      <c r="F944" s="8"/>
      <c r="G944" s="8"/>
      <c r="H944" s="8"/>
      <c r="I944" s="5"/>
      <c r="J944" s="8"/>
      <c r="K944" s="8"/>
      <c r="L944" s="8"/>
      <c r="N944" s="7"/>
      <c r="O944" s="7"/>
      <c r="P944" s="7"/>
      <c r="Q944" s="5"/>
      <c r="R944" s="5"/>
      <c r="S944" s="7"/>
      <c r="T944" s="5"/>
    </row>
    <row r="945" spans="1:20" ht="15.75" customHeight="1">
      <c r="A945" s="13"/>
      <c r="B945" s="13"/>
      <c r="C945" s="8"/>
      <c r="D945" s="8"/>
      <c r="E945" s="7"/>
      <c r="F945" s="8"/>
      <c r="G945" s="8"/>
      <c r="H945" s="8"/>
      <c r="I945" s="5"/>
      <c r="J945" s="8"/>
      <c r="K945" s="8"/>
      <c r="L945" s="8"/>
      <c r="N945" s="7"/>
      <c r="O945" s="7"/>
      <c r="P945" s="7"/>
      <c r="Q945" s="5"/>
      <c r="R945" s="5"/>
      <c r="S945" s="7"/>
      <c r="T945" s="5"/>
    </row>
    <row r="946" spans="1:20" ht="15.75" customHeight="1">
      <c r="A946" s="13"/>
      <c r="B946" s="13"/>
      <c r="C946" s="8"/>
      <c r="D946" s="8"/>
      <c r="E946" s="7"/>
      <c r="F946" s="8"/>
      <c r="G946" s="8"/>
      <c r="H946" s="8"/>
      <c r="I946" s="5"/>
      <c r="J946" s="8"/>
      <c r="K946" s="8"/>
      <c r="L946" s="8"/>
      <c r="N946" s="7"/>
      <c r="O946" s="7"/>
      <c r="P946" s="7"/>
      <c r="Q946" s="5"/>
      <c r="R946" s="5"/>
      <c r="S946" s="7"/>
      <c r="T946" s="5"/>
    </row>
    <row r="947" spans="1:20" ht="15.75" customHeight="1">
      <c r="A947" s="13"/>
      <c r="B947" s="13"/>
      <c r="C947" s="8"/>
      <c r="D947" s="8"/>
      <c r="E947" s="7"/>
      <c r="F947" s="8"/>
      <c r="G947" s="8"/>
      <c r="H947" s="8"/>
      <c r="I947" s="5"/>
      <c r="J947" s="8"/>
      <c r="K947" s="8"/>
      <c r="L947" s="8"/>
      <c r="N947" s="7"/>
      <c r="O947" s="7"/>
      <c r="P947" s="7"/>
      <c r="Q947" s="5"/>
      <c r="R947" s="5"/>
      <c r="S947" s="7"/>
      <c r="T947" s="5"/>
    </row>
    <row r="948" spans="1:20" ht="15.75" customHeight="1">
      <c r="A948" s="13"/>
      <c r="B948" s="13"/>
      <c r="C948" s="8"/>
      <c r="D948" s="8"/>
      <c r="E948" s="7"/>
      <c r="F948" s="8"/>
      <c r="G948" s="8"/>
      <c r="H948" s="8"/>
      <c r="I948" s="5"/>
      <c r="J948" s="8"/>
      <c r="K948" s="8"/>
      <c r="L948" s="8"/>
      <c r="N948" s="7"/>
      <c r="O948" s="7"/>
      <c r="P948" s="7"/>
      <c r="Q948" s="5"/>
      <c r="R948" s="5"/>
      <c r="S948" s="7"/>
      <c r="T948" s="5"/>
    </row>
    <row r="949" spans="1:20" ht="15.75" customHeight="1">
      <c r="A949" s="13"/>
      <c r="B949" s="13"/>
      <c r="C949" s="8"/>
      <c r="D949" s="8"/>
      <c r="E949" s="7"/>
      <c r="F949" s="8"/>
      <c r="G949" s="8"/>
      <c r="H949" s="8"/>
      <c r="I949" s="5"/>
      <c r="J949" s="8"/>
      <c r="K949" s="8"/>
      <c r="L949" s="8"/>
      <c r="N949" s="7"/>
      <c r="O949" s="7"/>
      <c r="P949" s="7"/>
      <c r="Q949" s="5"/>
      <c r="R949" s="5"/>
      <c r="S949" s="7"/>
      <c r="T949" s="5"/>
    </row>
    <row r="950" spans="1:20" ht="15.75" customHeight="1">
      <c r="A950" s="13"/>
      <c r="B950" s="13"/>
      <c r="C950" s="8"/>
      <c r="D950" s="8"/>
      <c r="E950" s="7"/>
      <c r="F950" s="8"/>
      <c r="G950" s="8"/>
      <c r="H950" s="8"/>
      <c r="I950" s="5"/>
      <c r="J950" s="8"/>
      <c r="K950" s="8"/>
      <c r="L950" s="8"/>
      <c r="N950" s="7"/>
      <c r="O950" s="7"/>
      <c r="P950" s="7"/>
      <c r="Q950" s="5"/>
      <c r="R950" s="5"/>
      <c r="S950" s="7"/>
      <c r="T950" s="5"/>
    </row>
    <row r="951" spans="1:20" ht="15.75" customHeight="1">
      <c r="A951" s="13"/>
      <c r="B951" s="13"/>
      <c r="C951" s="8"/>
      <c r="D951" s="8"/>
      <c r="E951" s="7"/>
      <c r="F951" s="8"/>
      <c r="G951" s="8"/>
      <c r="H951" s="8"/>
      <c r="I951" s="5"/>
      <c r="J951" s="8"/>
      <c r="K951" s="8"/>
      <c r="L951" s="8"/>
      <c r="N951" s="7"/>
      <c r="O951" s="7"/>
      <c r="P951" s="7"/>
      <c r="Q951" s="5"/>
      <c r="R951" s="5"/>
      <c r="S951" s="7"/>
      <c r="T951" s="5"/>
    </row>
    <row r="952" spans="1:20" ht="15.75" customHeight="1">
      <c r="A952" s="13"/>
      <c r="B952" s="13"/>
      <c r="C952" s="8"/>
      <c r="D952" s="8"/>
      <c r="E952" s="7"/>
      <c r="F952" s="8"/>
      <c r="G952" s="8"/>
      <c r="H952" s="8"/>
      <c r="I952" s="5"/>
      <c r="J952" s="8"/>
      <c r="K952" s="8"/>
      <c r="L952" s="8"/>
      <c r="N952" s="7"/>
      <c r="O952" s="7"/>
      <c r="P952" s="7"/>
      <c r="Q952" s="5"/>
      <c r="R952" s="5"/>
      <c r="S952" s="7"/>
      <c r="T952" s="5"/>
    </row>
    <row r="953" spans="1:20" ht="15.75" customHeight="1">
      <c r="A953" s="13"/>
      <c r="B953" s="13"/>
      <c r="C953" s="8"/>
      <c r="D953" s="8"/>
      <c r="E953" s="7"/>
      <c r="F953" s="8"/>
      <c r="G953" s="8"/>
      <c r="H953" s="8"/>
      <c r="I953" s="5"/>
      <c r="J953" s="8"/>
      <c r="K953" s="8"/>
      <c r="L953" s="8"/>
      <c r="N953" s="7"/>
      <c r="O953" s="7"/>
      <c r="P953" s="7"/>
      <c r="Q953" s="5"/>
      <c r="R953" s="5"/>
      <c r="S953" s="7"/>
      <c r="T953" s="5"/>
    </row>
    <row r="954" spans="1:20" ht="15.75" customHeight="1">
      <c r="A954" s="13"/>
      <c r="B954" s="13"/>
      <c r="C954" s="8"/>
      <c r="D954" s="8"/>
      <c r="E954" s="7"/>
      <c r="F954" s="8"/>
      <c r="G954" s="8"/>
      <c r="H954" s="8"/>
      <c r="I954" s="5"/>
      <c r="J954" s="8"/>
      <c r="K954" s="8"/>
      <c r="L954" s="8"/>
      <c r="N954" s="7"/>
      <c r="O954" s="7"/>
      <c r="P954" s="7"/>
      <c r="Q954" s="5"/>
      <c r="R954" s="5"/>
      <c r="S954" s="7"/>
      <c r="T954" s="5"/>
    </row>
    <row r="955" spans="1:20" ht="15.75" customHeight="1">
      <c r="A955" s="13"/>
      <c r="B955" s="13"/>
      <c r="C955" s="8"/>
      <c r="D955" s="8"/>
      <c r="E955" s="7"/>
      <c r="F955" s="8"/>
      <c r="G955" s="8"/>
      <c r="H955" s="8"/>
      <c r="I955" s="5"/>
      <c r="J955" s="8"/>
      <c r="K955" s="8"/>
      <c r="L955" s="8"/>
      <c r="N955" s="7"/>
      <c r="O955" s="7"/>
      <c r="P955" s="7"/>
      <c r="Q955" s="5"/>
      <c r="R955" s="5"/>
      <c r="S955" s="7"/>
      <c r="T955" s="5"/>
    </row>
    <row r="956" spans="1:20" ht="15.75" customHeight="1">
      <c r="A956" s="13"/>
      <c r="B956" s="13"/>
      <c r="C956" s="8"/>
      <c r="D956" s="8"/>
      <c r="E956" s="7"/>
      <c r="F956" s="8"/>
      <c r="G956" s="8"/>
      <c r="H956" s="8"/>
      <c r="I956" s="5"/>
      <c r="J956" s="8"/>
      <c r="K956" s="8"/>
      <c r="L956" s="8"/>
      <c r="N956" s="7"/>
      <c r="O956" s="7"/>
      <c r="P956" s="7"/>
      <c r="Q956" s="5"/>
      <c r="R956" s="5"/>
      <c r="S956" s="7"/>
      <c r="T956" s="5"/>
    </row>
    <row r="957" spans="1:20" ht="15.75" customHeight="1">
      <c r="A957" s="13"/>
      <c r="B957" s="13"/>
      <c r="C957" s="8"/>
      <c r="D957" s="8"/>
      <c r="E957" s="7"/>
      <c r="F957" s="8"/>
      <c r="G957" s="8"/>
      <c r="H957" s="8"/>
      <c r="I957" s="5"/>
      <c r="J957" s="8"/>
      <c r="K957" s="8"/>
      <c r="L957" s="8"/>
      <c r="N957" s="7"/>
      <c r="O957" s="7"/>
      <c r="P957" s="7"/>
      <c r="Q957" s="5"/>
      <c r="R957" s="5"/>
      <c r="S957" s="7"/>
      <c r="T957" s="5"/>
    </row>
    <row r="958" spans="1:20" ht="15.75" customHeight="1">
      <c r="A958" s="13"/>
      <c r="B958" s="13"/>
      <c r="C958" s="8"/>
      <c r="D958" s="8"/>
      <c r="E958" s="7"/>
      <c r="F958" s="8"/>
      <c r="G958" s="8"/>
      <c r="H958" s="8"/>
      <c r="I958" s="5"/>
      <c r="J958" s="8"/>
      <c r="K958" s="8"/>
      <c r="L958" s="8"/>
      <c r="N958" s="7"/>
      <c r="O958" s="7"/>
      <c r="P958" s="7"/>
      <c r="Q958" s="5"/>
      <c r="R958" s="5"/>
      <c r="S958" s="7"/>
      <c r="T958" s="5"/>
    </row>
    <row r="959" spans="1:20" ht="15.75" customHeight="1">
      <c r="A959" s="13"/>
      <c r="B959" s="13"/>
      <c r="C959" s="8"/>
      <c r="D959" s="8"/>
      <c r="E959" s="7"/>
      <c r="F959" s="8"/>
      <c r="G959" s="8"/>
      <c r="H959" s="8"/>
      <c r="I959" s="5"/>
      <c r="J959" s="8"/>
      <c r="K959" s="8"/>
      <c r="L959" s="8"/>
      <c r="N959" s="7"/>
      <c r="O959" s="7"/>
      <c r="P959" s="7"/>
      <c r="Q959" s="5"/>
      <c r="R959" s="5"/>
      <c r="S959" s="7"/>
      <c r="T959" s="5"/>
    </row>
    <row r="960" spans="1:20" ht="15.75" customHeight="1">
      <c r="A960" s="13"/>
      <c r="B960" s="13"/>
      <c r="C960" s="8"/>
      <c r="D960" s="8"/>
      <c r="E960" s="7"/>
      <c r="F960" s="8"/>
      <c r="G960" s="8"/>
      <c r="H960" s="8"/>
      <c r="I960" s="5"/>
      <c r="J960" s="8"/>
      <c r="K960" s="8"/>
      <c r="L960" s="8"/>
      <c r="N960" s="7"/>
      <c r="O960" s="7"/>
      <c r="P960" s="7"/>
      <c r="Q960" s="5"/>
      <c r="R960" s="5"/>
      <c r="S960" s="7"/>
      <c r="T960" s="5"/>
    </row>
    <row r="961" spans="1:20" ht="15.75" customHeight="1">
      <c r="A961" s="13"/>
      <c r="B961" s="13"/>
      <c r="C961" s="8"/>
      <c r="D961" s="8"/>
      <c r="E961" s="7"/>
      <c r="F961" s="8"/>
      <c r="G961" s="8"/>
      <c r="H961" s="8"/>
      <c r="I961" s="5"/>
      <c r="J961" s="8"/>
      <c r="K961" s="8"/>
      <c r="L961" s="8"/>
      <c r="N961" s="7"/>
      <c r="O961" s="7"/>
      <c r="P961" s="7"/>
      <c r="Q961" s="5"/>
      <c r="R961" s="5"/>
      <c r="S961" s="7"/>
      <c r="T961" s="5"/>
    </row>
    <row r="962" spans="1:20" ht="15.75" customHeight="1">
      <c r="A962" s="13"/>
      <c r="B962" s="13"/>
      <c r="C962" s="8"/>
      <c r="D962" s="8"/>
      <c r="E962" s="7"/>
      <c r="F962" s="8"/>
      <c r="G962" s="8"/>
      <c r="H962" s="8"/>
      <c r="I962" s="5"/>
      <c r="J962" s="8"/>
      <c r="K962" s="8"/>
      <c r="L962" s="8"/>
      <c r="N962" s="7"/>
      <c r="O962" s="7"/>
      <c r="P962" s="7"/>
      <c r="Q962" s="5"/>
      <c r="R962" s="5"/>
      <c r="S962" s="7"/>
      <c r="T962" s="5"/>
    </row>
    <row r="963" spans="1:20" ht="15.75" customHeight="1">
      <c r="A963" s="13"/>
      <c r="B963" s="13"/>
      <c r="C963" s="8"/>
      <c r="D963" s="8"/>
      <c r="E963" s="7"/>
      <c r="F963" s="8"/>
      <c r="G963" s="8"/>
      <c r="H963" s="8"/>
      <c r="I963" s="5"/>
      <c r="J963" s="8"/>
      <c r="K963" s="8"/>
      <c r="L963" s="8"/>
      <c r="N963" s="7"/>
      <c r="O963" s="7"/>
      <c r="P963" s="7"/>
      <c r="Q963" s="5"/>
      <c r="R963" s="5"/>
      <c r="S963" s="7"/>
      <c r="T963" s="5"/>
    </row>
    <row r="964" spans="1:20" ht="15.75" customHeight="1">
      <c r="A964" s="13"/>
      <c r="B964" s="13"/>
      <c r="C964" s="8"/>
      <c r="D964" s="8"/>
      <c r="E964" s="7"/>
      <c r="F964" s="8"/>
      <c r="G964" s="8"/>
      <c r="H964" s="8"/>
      <c r="I964" s="5"/>
      <c r="J964" s="8"/>
      <c r="K964" s="8"/>
      <c r="L964" s="8"/>
      <c r="N964" s="7"/>
      <c r="O964" s="7"/>
      <c r="P964" s="7"/>
      <c r="Q964" s="5"/>
      <c r="R964" s="5"/>
      <c r="S964" s="7"/>
      <c r="T964" s="5"/>
    </row>
    <row r="965" spans="1:20" ht="15.75" customHeight="1">
      <c r="A965" s="13"/>
      <c r="B965" s="13"/>
      <c r="C965" s="8"/>
      <c r="D965" s="8"/>
      <c r="E965" s="7"/>
      <c r="F965" s="8"/>
      <c r="G965" s="8"/>
      <c r="H965" s="8"/>
      <c r="I965" s="5"/>
      <c r="J965" s="8"/>
      <c r="K965" s="8"/>
      <c r="L965" s="8"/>
      <c r="N965" s="7"/>
      <c r="O965" s="7"/>
      <c r="P965" s="7"/>
      <c r="Q965" s="5"/>
      <c r="R965" s="5"/>
      <c r="S965" s="7"/>
      <c r="T965" s="5"/>
    </row>
    <row r="966" spans="1:20" ht="15.75" customHeight="1">
      <c r="A966" s="13"/>
      <c r="B966" s="13"/>
      <c r="C966" s="8"/>
      <c r="D966" s="8"/>
      <c r="E966" s="7"/>
      <c r="F966" s="8"/>
      <c r="G966" s="8"/>
      <c r="H966" s="8"/>
      <c r="I966" s="5"/>
      <c r="J966" s="8"/>
      <c r="K966" s="8"/>
      <c r="L966" s="8"/>
      <c r="N966" s="7"/>
      <c r="O966" s="7"/>
      <c r="P966" s="7"/>
      <c r="Q966" s="5"/>
      <c r="R966" s="5"/>
      <c r="S966" s="7"/>
      <c r="T966" s="5"/>
    </row>
    <row r="967" spans="1:20" ht="15.75" customHeight="1">
      <c r="A967" s="13"/>
      <c r="B967" s="13"/>
      <c r="C967" s="8"/>
      <c r="D967" s="8"/>
      <c r="E967" s="7"/>
      <c r="F967" s="8"/>
      <c r="G967" s="8"/>
      <c r="H967" s="8"/>
      <c r="I967" s="5"/>
      <c r="J967" s="8"/>
      <c r="K967" s="8"/>
      <c r="L967" s="8"/>
      <c r="N967" s="7"/>
      <c r="O967" s="7"/>
      <c r="P967" s="7"/>
      <c r="Q967" s="5"/>
      <c r="R967" s="5"/>
      <c r="S967" s="7"/>
      <c r="T967" s="5"/>
    </row>
    <row r="968" spans="1:20" ht="15.75" customHeight="1">
      <c r="A968" s="13"/>
      <c r="B968" s="13"/>
      <c r="C968" s="8"/>
      <c r="D968" s="8"/>
      <c r="E968" s="7"/>
      <c r="F968" s="8"/>
      <c r="G968" s="8"/>
      <c r="H968" s="8"/>
      <c r="I968" s="5"/>
      <c r="J968" s="8"/>
      <c r="K968" s="8"/>
      <c r="L968" s="8"/>
      <c r="N968" s="7"/>
      <c r="O968" s="7"/>
      <c r="P968" s="7"/>
      <c r="Q968" s="5"/>
      <c r="R968" s="5"/>
      <c r="S968" s="7"/>
      <c r="T968" s="5"/>
    </row>
    <row r="969" spans="1:20" ht="15.75" customHeight="1">
      <c r="A969" s="13"/>
      <c r="B969" s="13"/>
      <c r="C969" s="8"/>
      <c r="D969" s="8"/>
      <c r="E969" s="7"/>
      <c r="F969" s="8"/>
      <c r="G969" s="8"/>
      <c r="H969" s="8"/>
      <c r="I969" s="5"/>
      <c r="J969" s="8"/>
      <c r="K969" s="8"/>
      <c r="L969" s="8"/>
      <c r="N969" s="7"/>
      <c r="O969" s="7"/>
      <c r="P969" s="7"/>
      <c r="Q969" s="5"/>
      <c r="R969" s="5"/>
      <c r="S969" s="7"/>
      <c r="T969" s="5"/>
    </row>
    <row r="970" spans="1:20" ht="15.75" customHeight="1">
      <c r="A970" s="13"/>
      <c r="B970" s="13"/>
      <c r="C970" s="8"/>
      <c r="D970" s="8"/>
      <c r="E970" s="7"/>
      <c r="F970" s="8"/>
      <c r="G970" s="8"/>
      <c r="H970" s="8"/>
      <c r="I970" s="5"/>
      <c r="J970" s="8"/>
      <c r="K970" s="8"/>
      <c r="L970" s="8"/>
      <c r="N970" s="7"/>
      <c r="O970" s="7"/>
      <c r="P970" s="7"/>
      <c r="Q970" s="5"/>
      <c r="R970" s="5"/>
      <c r="S970" s="7"/>
      <c r="T970" s="5"/>
    </row>
    <row r="971" spans="1:20" ht="15.75" customHeight="1">
      <c r="A971" s="13"/>
      <c r="B971" s="13"/>
      <c r="C971" s="8"/>
      <c r="D971" s="8"/>
      <c r="E971" s="7"/>
      <c r="F971" s="8"/>
      <c r="G971" s="8"/>
      <c r="H971" s="8"/>
      <c r="I971" s="5"/>
      <c r="J971" s="8"/>
      <c r="K971" s="8"/>
      <c r="L971" s="8"/>
      <c r="N971" s="7"/>
      <c r="O971" s="7"/>
      <c r="P971" s="7"/>
      <c r="Q971" s="5"/>
      <c r="R971" s="5"/>
      <c r="S971" s="7"/>
      <c r="T971" s="5"/>
    </row>
    <row r="972" spans="1:20" ht="15.75" customHeight="1">
      <c r="A972" s="13"/>
      <c r="B972" s="13"/>
      <c r="C972" s="8"/>
      <c r="D972" s="8"/>
      <c r="E972" s="7"/>
      <c r="F972" s="8"/>
      <c r="G972" s="8"/>
      <c r="H972" s="8"/>
      <c r="I972" s="5"/>
      <c r="J972" s="8"/>
      <c r="K972" s="8"/>
      <c r="L972" s="8"/>
      <c r="N972" s="7"/>
      <c r="O972" s="7"/>
      <c r="P972" s="7"/>
      <c r="Q972" s="5"/>
      <c r="R972" s="5"/>
      <c r="S972" s="7"/>
      <c r="T972" s="5"/>
    </row>
    <row r="973" spans="1:20" ht="15.75" customHeight="1">
      <c r="A973" s="13"/>
      <c r="B973" s="13"/>
      <c r="C973" s="8"/>
      <c r="D973" s="8"/>
      <c r="E973" s="7"/>
      <c r="F973" s="8"/>
      <c r="G973" s="8"/>
      <c r="H973" s="8"/>
      <c r="I973" s="5"/>
      <c r="J973" s="8"/>
      <c r="K973" s="8"/>
      <c r="L973" s="8"/>
      <c r="N973" s="7"/>
      <c r="O973" s="7"/>
      <c r="P973" s="7"/>
      <c r="Q973" s="5"/>
      <c r="R973" s="5"/>
      <c r="S973" s="7"/>
      <c r="T973" s="5"/>
    </row>
    <row r="974" spans="1:20" ht="15.75" customHeight="1">
      <c r="A974" s="13"/>
      <c r="B974" s="13"/>
      <c r="C974" s="8"/>
      <c r="D974" s="8"/>
      <c r="E974" s="7"/>
      <c r="F974" s="8"/>
      <c r="G974" s="8"/>
      <c r="H974" s="8"/>
      <c r="I974" s="5"/>
      <c r="J974" s="8"/>
      <c r="K974" s="8"/>
      <c r="L974" s="8"/>
      <c r="N974" s="7"/>
      <c r="O974" s="7"/>
      <c r="P974" s="7"/>
      <c r="Q974" s="5"/>
      <c r="R974" s="5"/>
      <c r="S974" s="7"/>
      <c r="T974" s="5"/>
    </row>
    <row r="975" spans="1:20" ht="15.75" customHeight="1">
      <c r="A975" s="13"/>
      <c r="B975" s="13"/>
      <c r="C975" s="8"/>
      <c r="D975" s="8"/>
      <c r="E975" s="7"/>
      <c r="F975" s="8"/>
      <c r="G975" s="8"/>
      <c r="H975" s="8"/>
      <c r="I975" s="5"/>
      <c r="J975" s="8"/>
      <c r="K975" s="8"/>
      <c r="L975" s="8"/>
      <c r="N975" s="7"/>
      <c r="O975" s="7"/>
      <c r="P975" s="7"/>
      <c r="Q975" s="5"/>
      <c r="R975" s="5"/>
      <c r="S975" s="7"/>
      <c r="T975" s="5"/>
    </row>
    <row r="976" spans="1:20" ht="15.75" customHeight="1">
      <c r="A976" s="13"/>
      <c r="B976" s="13"/>
      <c r="C976" s="8"/>
      <c r="D976" s="8"/>
      <c r="E976" s="7"/>
      <c r="F976" s="8"/>
      <c r="G976" s="8"/>
      <c r="H976" s="8"/>
      <c r="I976" s="5"/>
      <c r="J976" s="8"/>
      <c r="K976" s="8"/>
      <c r="L976" s="8"/>
      <c r="N976" s="7"/>
      <c r="O976" s="7"/>
      <c r="P976" s="7"/>
      <c r="Q976" s="5"/>
      <c r="R976" s="5"/>
      <c r="S976" s="7"/>
      <c r="T976" s="5"/>
    </row>
    <row r="977" spans="1:20" ht="15.75" customHeight="1">
      <c r="A977" s="13"/>
      <c r="B977" s="13"/>
      <c r="C977" s="8"/>
      <c r="D977" s="8"/>
      <c r="E977" s="7"/>
      <c r="F977" s="8"/>
      <c r="G977" s="8"/>
      <c r="H977" s="8"/>
      <c r="I977" s="5"/>
      <c r="J977" s="8"/>
      <c r="K977" s="8"/>
      <c r="L977" s="8"/>
      <c r="N977" s="7"/>
      <c r="O977" s="7"/>
      <c r="P977" s="7"/>
      <c r="Q977" s="5"/>
      <c r="R977" s="5"/>
      <c r="S977" s="7"/>
      <c r="T977" s="5"/>
    </row>
    <row r="978" spans="1:20" ht="15.75" customHeight="1">
      <c r="A978" s="13"/>
      <c r="B978" s="13"/>
      <c r="C978" s="8"/>
      <c r="D978" s="8"/>
      <c r="E978" s="7"/>
      <c r="F978" s="8"/>
      <c r="G978" s="8"/>
      <c r="H978" s="8"/>
      <c r="I978" s="5"/>
      <c r="J978" s="8"/>
      <c r="K978" s="8"/>
      <c r="L978" s="8"/>
      <c r="N978" s="7"/>
      <c r="O978" s="7"/>
      <c r="P978" s="7"/>
      <c r="Q978" s="5"/>
      <c r="R978" s="5"/>
      <c r="S978" s="7"/>
      <c r="T978" s="5"/>
    </row>
    <row r="979" spans="1:20" ht="15.75" customHeight="1">
      <c r="A979" s="13"/>
      <c r="B979" s="13"/>
      <c r="C979" s="8"/>
      <c r="D979" s="8"/>
      <c r="E979" s="7"/>
      <c r="F979" s="8"/>
      <c r="G979" s="8"/>
      <c r="H979" s="8"/>
      <c r="I979" s="5"/>
      <c r="J979" s="8"/>
      <c r="K979" s="8"/>
      <c r="L979" s="8"/>
      <c r="N979" s="7"/>
      <c r="O979" s="7"/>
      <c r="P979" s="7"/>
      <c r="Q979" s="5"/>
      <c r="R979" s="5"/>
      <c r="S979" s="7"/>
      <c r="T979" s="5"/>
    </row>
    <row r="980" spans="1:20" ht="15.75" customHeight="1">
      <c r="A980" s="13"/>
      <c r="B980" s="13"/>
      <c r="C980" s="8"/>
      <c r="D980" s="8"/>
      <c r="E980" s="7"/>
      <c r="F980" s="8"/>
      <c r="G980" s="8"/>
      <c r="H980" s="8"/>
      <c r="I980" s="5"/>
      <c r="J980" s="8"/>
      <c r="K980" s="8"/>
      <c r="L980" s="8"/>
      <c r="N980" s="7"/>
      <c r="O980" s="7"/>
      <c r="P980" s="7"/>
      <c r="Q980" s="5"/>
      <c r="R980" s="5"/>
      <c r="S980" s="7"/>
      <c r="T980" s="5"/>
    </row>
    <row r="981" spans="1:20" ht="15.75" customHeight="1">
      <c r="A981" s="13"/>
      <c r="B981" s="13"/>
      <c r="C981" s="8"/>
      <c r="D981" s="8"/>
      <c r="E981" s="7"/>
      <c r="F981" s="8"/>
      <c r="G981" s="8"/>
      <c r="H981" s="8"/>
      <c r="I981" s="5"/>
      <c r="J981" s="8"/>
      <c r="K981" s="8"/>
      <c r="L981" s="8"/>
      <c r="N981" s="7"/>
      <c r="O981" s="7"/>
      <c r="P981" s="7"/>
      <c r="Q981" s="5"/>
      <c r="R981" s="5"/>
      <c r="S981" s="7"/>
      <c r="T981" s="5"/>
    </row>
    <row r="982" spans="1:20" ht="15.75" customHeight="1">
      <c r="A982" s="13"/>
      <c r="B982" s="13"/>
      <c r="C982" s="8"/>
      <c r="D982" s="8"/>
      <c r="E982" s="7"/>
      <c r="F982" s="8"/>
      <c r="G982" s="8"/>
      <c r="H982" s="8"/>
      <c r="I982" s="5"/>
      <c r="J982" s="8"/>
      <c r="K982" s="8"/>
      <c r="L982" s="8"/>
      <c r="N982" s="7"/>
      <c r="O982" s="7"/>
      <c r="P982" s="7"/>
      <c r="Q982" s="5"/>
      <c r="R982" s="5"/>
      <c r="S982" s="7"/>
      <c r="T982" s="5"/>
    </row>
    <row r="983" spans="1:20" ht="15.75" customHeight="1">
      <c r="A983" s="13"/>
      <c r="B983" s="13"/>
      <c r="C983" s="8"/>
      <c r="D983" s="8"/>
      <c r="E983" s="7"/>
      <c r="F983" s="8"/>
      <c r="G983" s="8"/>
      <c r="H983" s="8"/>
      <c r="I983" s="5"/>
      <c r="J983" s="8"/>
      <c r="K983" s="8"/>
      <c r="L983" s="8"/>
      <c r="N983" s="7"/>
      <c r="O983" s="7"/>
      <c r="P983" s="7"/>
      <c r="Q983" s="5"/>
      <c r="R983" s="5"/>
      <c r="S983" s="7"/>
      <c r="T983" s="5"/>
    </row>
    <row r="984" spans="1:20" ht="15.75" customHeight="1">
      <c r="A984" s="13"/>
      <c r="B984" s="13"/>
      <c r="C984" s="8"/>
      <c r="D984" s="8"/>
      <c r="E984" s="7"/>
      <c r="F984" s="8"/>
      <c r="G984" s="8"/>
      <c r="H984" s="8"/>
      <c r="I984" s="5"/>
      <c r="J984" s="8"/>
      <c r="K984" s="8"/>
      <c r="L984" s="8"/>
      <c r="N984" s="7"/>
      <c r="O984" s="7"/>
      <c r="P984" s="7"/>
      <c r="Q984" s="5"/>
      <c r="R984" s="5"/>
      <c r="S984" s="7"/>
      <c r="T984" s="5"/>
    </row>
    <row r="985" spans="1:20" ht="15.75" customHeight="1">
      <c r="A985" s="13"/>
      <c r="B985" s="13"/>
      <c r="C985" s="8"/>
      <c r="D985" s="8"/>
      <c r="E985" s="7"/>
      <c r="F985" s="8"/>
      <c r="G985" s="8"/>
      <c r="H985" s="8"/>
      <c r="I985" s="5"/>
      <c r="J985" s="8"/>
      <c r="K985" s="8"/>
      <c r="L985" s="8"/>
      <c r="N985" s="7"/>
      <c r="O985" s="7"/>
      <c r="P985" s="7"/>
      <c r="Q985" s="5"/>
      <c r="R985" s="5"/>
      <c r="S985" s="7"/>
      <c r="T985" s="5"/>
    </row>
    <row r="986" spans="1:20" ht="15.75" customHeight="1">
      <c r="A986" s="13"/>
      <c r="B986" s="13"/>
      <c r="C986" s="8"/>
      <c r="D986" s="8"/>
      <c r="E986" s="7"/>
      <c r="F986" s="8"/>
      <c r="G986" s="8"/>
      <c r="H986" s="8"/>
      <c r="I986" s="5"/>
      <c r="J986" s="8"/>
      <c r="K986" s="8"/>
      <c r="L986" s="8"/>
      <c r="N986" s="7"/>
      <c r="O986" s="7"/>
      <c r="P986" s="7"/>
      <c r="Q986" s="5"/>
      <c r="R986" s="5"/>
      <c r="S986" s="7"/>
      <c r="T986" s="5"/>
    </row>
    <row r="987" spans="1:20" ht="15.75" customHeight="1">
      <c r="A987" s="13"/>
      <c r="B987" s="13"/>
      <c r="C987" s="8"/>
      <c r="D987" s="8"/>
      <c r="E987" s="7"/>
      <c r="F987" s="8"/>
      <c r="G987" s="8"/>
      <c r="H987" s="8"/>
      <c r="I987" s="5"/>
      <c r="J987" s="8"/>
      <c r="K987" s="8"/>
      <c r="L987" s="8"/>
      <c r="N987" s="7"/>
      <c r="O987" s="7"/>
      <c r="P987" s="7"/>
      <c r="Q987" s="5"/>
      <c r="R987" s="5"/>
      <c r="S987" s="7"/>
      <c r="T987" s="5"/>
    </row>
    <row r="988" spans="1:20" ht="15.75" customHeight="1">
      <c r="A988" s="13"/>
      <c r="B988" s="13"/>
      <c r="C988" s="8"/>
      <c r="D988" s="8"/>
      <c r="E988" s="7"/>
      <c r="F988" s="8"/>
      <c r="G988" s="8"/>
      <c r="H988" s="8"/>
      <c r="I988" s="5"/>
      <c r="J988" s="8"/>
      <c r="K988" s="8"/>
      <c r="L988" s="8"/>
      <c r="N988" s="7"/>
      <c r="O988" s="7"/>
      <c r="P988" s="7"/>
      <c r="Q988" s="5"/>
      <c r="R988" s="5"/>
      <c r="S988" s="7"/>
      <c r="T988" s="5"/>
    </row>
    <row r="989" spans="1:20" ht="15.75" customHeight="1">
      <c r="A989" s="13"/>
      <c r="B989" s="13"/>
      <c r="C989" s="8"/>
      <c r="D989" s="8"/>
      <c r="E989" s="7"/>
      <c r="F989" s="8"/>
      <c r="G989" s="8"/>
      <c r="H989" s="8"/>
      <c r="I989" s="5"/>
      <c r="J989" s="8"/>
      <c r="K989" s="8"/>
      <c r="L989" s="8"/>
      <c r="N989" s="7"/>
      <c r="O989" s="7"/>
      <c r="P989" s="7"/>
      <c r="Q989" s="5"/>
      <c r="R989" s="5"/>
      <c r="S989" s="7"/>
      <c r="T989" s="5"/>
    </row>
    <row r="990" spans="1:20" ht="15.75" customHeight="1">
      <c r="A990" s="13"/>
      <c r="B990" s="13"/>
      <c r="C990" s="8"/>
      <c r="D990" s="8"/>
      <c r="E990" s="7"/>
      <c r="F990" s="8"/>
      <c r="G990" s="8"/>
      <c r="H990" s="8"/>
      <c r="I990" s="5"/>
      <c r="J990" s="8"/>
      <c r="K990" s="8"/>
      <c r="L990" s="8"/>
      <c r="N990" s="7"/>
      <c r="O990" s="7"/>
      <c r="P990" s="7"/>
      <c r="Q990" s="5"/>
      <c r="R990" s="5"/>
      <c r="S990" s="7"/>
      <c r="T990" s="5"/>
    </row>
    <row r="991" spans="1:20" ht="15.75" customHeight="1">
      <c r="A991" s="13"/>
      <c r="B991" s="13"/>
      <c r="C991" s="8"/>
      <c r="D991" s="8"/>
      <c r="E991" s="7"/>
      <c r="F991" s="8"/>
      <c r="G991" s="8"/>
      <c r="H991" s="8"/>
      <c r="I991" s="5"/>
      <c r="J991" s="8"/>
      <c r="K991" s="8"/>
      <c r="L991" s="8"/>
      <c r="N991" s="7"/>
      <c r="O991" s="7"/>
      <c r="P991" s="7"/>
      <c r="Q991" s="5"/>
      <c r="R991" s="5"/>
      <c r="S991" s="7"/>
      <c r="T991" s="5"/>
    </row>
    <row r="992" spans="1:20" ht="15.75" customHeight="1">
      <c r="A992" s="13"/>
      <c r="B992" s="13"/>
      <c r="C992" s="8"/>
      <c r="D992" s="8"/>
      <c r="E992" s="7"/>
      <c r="F992" s="8"/>
      <c r="G992" s="8"/>
      <c r="H992" s="8"/>
      <c r="I992" s="5"/>
      <c r="J992" s="8"/>
      <c r="K992" s="8"/>
      <c r="L992" s="8"/>
      <c r="N992" s="7"/>
      <c r="O992" s="7"/>
      <c r="P992" s="7"/>
      <c r="Q992" s="5"/>
      <c r="R992" s="5"/>
      <c r="S992" s="7"/>
      <c r="T992" s="5"/>
    </row>
    <row r="993" spans="1:20" ht="15.75" customHeight="1">
      <c r="A993" s="13"/>
      <c r="B993" s="13"/>
      <c r="C993" s="8"/>
      <c r="D993" s="8"/>
      <c r="E993" s="7"/>
      <c r="F993" s="8"/>
      <c r="G993" s="8"/>
      <c r="H993" s="8"/>
      <c r="I993" s="5"/>
      <c r="J993" s="8"/>
      <c r="K993" s="8"/>
      <c r="L993" s="8"/>
      <c r="N993" s="7"/>
      <c r="O993" s="7"/>
      <c r="P993" s="7"/>
      <c r="Q993" s="5"/>
      <c r="R993" s="5"/>
      <c r="S993" s="7"/>
      <c r="T993" s="5"/>
    </row>
    <row r="994" spans="1:20" ht="15.75" customHeight="1">
      <c r="A994" s="13"/>
      <c r="B994" s="13"/>
      <c r="C994" s="8"/>
      <c r="D994" s="8"/>
      <c r="E994" s="7"/>
      <c r="F994" s="8"/>
      <c r="G994" s="8"/>
      <c r="H994" s="8"/>
      <c r="I994" s="5"/>
      <c r="J994" s="8"/>
      <c r="K994" s="8"/>
      <c r="L994" s="8"/>
      <c r="N994" s="7"/>
      <c r="O994" s="7"/>
      <c r="P994" s="7"/>
      <c r="Q994" s="5"/>
      <c r="R994" s="5"/>
      <c r="S994" s="7"/>
      <c r="T994" s="5"/>
    </row>
    <row r="995" spans="1:20" ht="15.75" customHeight="1">
      <c r="A995" s="13"/>
      <c r="B995" s="13"/>
      <c r="C995" s="8"/>
      <c r="D995" s="8"/>
      <c r="E995" s="7"/>
      <c r="F995" s="8"/>
      <c r="G995" s="8"/>
      <c r="H995" s="8"/>
      <c r="I995" s="5"/>
      <c r="J995" s="8"/>
      <c r="K995" s="8"/>
      <c r="L995" s="8"/>
      <c r="N995" s="7"/>
      <c r="O995" s="7"/>
      <c r="P995" s="7"/>
      <c r="Q995" s="5"/>
      <c r="R995" s="5"/>
      <c r="S995" s="7"/>
      <c r="T995" s="5"/>
    </row>
    <row r="996" spans="1:20" ht="15.75" customHeight="1">
      <c r="A996" s="13"/>
      <c r="B996" s="13"/>
      <c r="C996" s="8"/>
      <c r="D996" s="8"/>
      <c r="E996" s="7"/>
      <c r="F996" s="8"/>
      <c r="G996" s="8"/>
      <c r="H996" s="8"/>
      <c r="I996" s="5"/>
      <c r="J996" s="8"/>
      <c r="K996" s="8"/>
      <c r="L996" s="8"/>
      <c r="N996" s="7"/>
      <c r="O996" s="7"/>
      <c r="P996" s="7"/>
      <c r="Q996" s="5"/>
      <c r="R996" s="5"/>
      <c r="S996" s="7"/>
      <c r="T996" s="5"/>
    </row>
    <row r="997" spans="1:20" ht="15.75" customHeight="1">
      <c r="A997" s="13"/>
      <c r="B997" s="13"/>
      <c r="C997" s="8"/>
      <c r="D997" s="8"/>
      <c r="E997" s="7"/>
      <c r="F997" s="8"/>
      <c r="G997" s="8"/>
      <c r="H997" s="8"/>
      <c r="I997" s="5"/>
      <c r="J997" s="8"/>
      <c r="K997" s="8"/>
      <c r="L997" s="8"/>
      <c r="N997" s="7"/>
      <c r="O997" s="7"/>
      <c r="P997" s="7"/>
      <c r="Q997" s="5"/>
      <c r="R997" s="5"/>
      <c r="S997" s="7"/>
      <c r="T997" s="5"/>
    </row>
    <row r="998" spans="1:20" ht="15.75" customHeight="1">
      <c r="A998" s="13"/>
      <c r="B998" s="13"/>
      <c r="C998" s="8"/>
      <c r="D998" s="8"/>
      <c r="E998" s="7"/>
      <c r="F998" s="8"/>
      <c r="G998" s="8"/>
      <c r="H998" s="8"/>
      <c r="I998" s="5"/>
      <c r="J998" s="8"/>
      <c r="K998" s="8"/>
      <c r="L998" s="8"/>
      <c r="N998" s="7"/>
      <c r="O998" s="7"/>
      <c r="P998" s="7"/>
      <c r="Q998" s="5"/>
      <c r="R998" s="5"/>
      <c r="S998" s="7"/>
      <c r="T998" s="5"/>
    </row>
    <row r="999" spans="1:20" ht="15.75" customHeight="1">
      <c r="A999" s="13"/>
      <c r="B999" s="13"/>
      <c r="C999" s="8"/>
      <c r="D999" s="8"/>
      <c r="E999" s="7"/>
      <c r="F999" s="8"/>
      <c r="G999" s="8"/>
      <c r="H999" s="8"/>
      <c r="I999" s="5"/>
      <c r="J999" s="8"/>
      <c r="K999" s="8"/>
      <c r="L999" s="8"/>
      <c r="N999" s="7"/>
      <c r="O999" s="7"/>
      <c r="P999" s="7"/>
      <c r="Q999" s="5"/>
      <c r="R999" s="5"/>
      <c r="S999" s="7"/>
      <c r="T999" s="5"/>
    </row>
    <row r="1000" spans="1:20" ht="15.75" customHeight="1">
      <c r="A1000" s="13"/>
      <c r="B1000" s="13"/>
      <c r="C1000" s="8"/>
      <c r="D1000" s="8"/>
      <c r="E1000" s="7"/>
      <c r="F1000" s="8"/>
      <c r="G1000" s="8"/>
      <c r="H1000" s="8"/>
      <c r="I1000" s="5"/>
      <c r="J1000" s="8"/>
      <c r="K1000" s="8"/>
      <c r="L1000" s="8"/>
      <c r="N1000" s="7"/>
      <c r="O1000" s="7"/>
      <c r="P1000" s="7"/>
      <c r="Q1000" s="5"/>
      <c r="R1000" s="5"/>
      <c r="S1000" s="7"/>
      <c r="T1000" s="5"/>
    </row>
  </sheetData>
  <pageMargins left="0.75" right="0.75" top="1" bottom="1" header="0.5" footer="0.5"/>
  <drawing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Prestige Patterns</vt:lpstr>
      <vt:lpstr>Calc for Prestige Patterns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Pecorella</cp:lastModifiedBy>
  <dcterms:modified xsi:type="dcterms:W3CDTF">2016-08-26T13:43:15Z</dcterms:modified>
</cp:coreProperties>
</file>