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6423"/>
  <workbookPr autoCompressPictures="0"/>
  <bookViews>
    <workbookView xWindow="240" yWindow="680" windowWidth="25360" windowHeight="15380" tabRatio="500"/>
  </bookViews>
  <sheets>
    <sheet name="Optimal Choice" sheetId="1" r:id="rId1"/>
    <sheet name="Calculations" sheetId="2" r:id="rId2"/>
  </sheets>
  <calcPr calcId="140001" concurrentCalc="0"/>
  <extLst>
    <ext xmlns:mx="http://schemas.microsoft.com/office/mac/excel/2008/main" uri="{7523E5D3-25F3-A5E0-1632-64F254C22452}">
      <mx:ArchID Flags="2"/>
    </ext>
  </extLst>
</workbook>
</file>

<file path=xl/calcChain.xml><?xml version="1.0" encoding="utf-8"?>
<calcChain xmlns="http://schemas.openxmlformats.org/spreadsheetml/2006/main">
  <c r="O2" i="2" l="1"/>
  <c r="B2" i="2"/>
  <c r="C2" i="2"/>
  <c r="P2" i="2"/>
  <c r="D2" i="2"/>
  <c r="Q2" i="2"/>
  <c r="E2" i="2"/>
  <c r="R2" i="2"/>
  <c r="F2" i="2"/>
  <c r="S2" i="2"/>
  <c r="G2" i="2"/>
  <c r="I3" i="2"/>
  <c r="O3" i="2"/>
  <c r="J3" i="2"/>
  <c r="K3" i="2"/>
  <c r="L3" i="2"/>
  <c r="M3" i="2"/>
  <c r="B3" i="2"/>
  <c r="C3" i="2"/>
  <c r="P3" i="2"/>
  <c r="D3" i="2"/>
  <c r="Q3" i="2"/>
  <c r="E3" i="2"/>
  <c r="R3" i="2"/>
  <c r="F3" i="2"/>
  <c r="S3" i="2"/>
  <c r="G3" i="2"/>
  <c r="I4" i="2"/>
  <c r="O4" i="2"/>
  <c r="J4" i="2"/>
  <c r="K4" i="2"/>
  <c r="L4" i="2"/>
  <c r="M4" i="2"/>
  <c r="B4" i="2"/>
  <c r="C4" i="2"/>
  <c r="P4" i="2"/>
  <c r="D4" i="2"/>
  <c r="Q4" i="2"/>
  <c r="E4" i="2"/>
  <c r="R4" i="2"/>
  <c r="F4" i="2"/>
  <c r="S4" i="2"/>
  <c r="G4" i="2"/>
  <c r="I5" i="2"/>
  <c r="O5" i="2"/>
  <c r="J5" i="2"/>
  <c r="K5" i="2"/>
  <c r="L5" i="2"/>
  <c r="M5" i="2"/>
  <c r="B5" i="2"/>
  <c r="C5" i="2"/>
  <c r="P5" i="2"/>
  <c r="D5" i="2"/>
  <c r="Q5" i="2"/>
  <c r="E5" i="2"/>
  <c r="R5" i="2"/>
  <c r="F5" i="2"/>
  <c r="S5" i="2"/>
  <c r="G5" i="2"/>
  <c r="I6" i="2"/>
  <c r="O6" i="2"/>
  <c r="J6" i="2"/>
  <c r="K6" i="2"/>
  <c r="L6" i="2"/>
  <c r="M6" i="2"/>
  <c r="B6" i="2"/>
  <c r="C6" i="2"/>
  <c r="P6" i="2"/>
  <c r="D6" i="2"/>
  <c r="Q6" i="2"/>
  <c r="E6" i="2"/>
  <c r="R6" i="2"/>
  <c r="F6" i="2"/>
  <c r="S6" i="2"/>
  <c r="G6" i="2"/>
  <c r="I7" i="2"/>
  <c r="O7" i="2"/>
  <c r="J7" i="2"/>
  <c r="K7" i="2"/>
  <c r="L7" i="2"/>
  <c r="M7" i="2"/>
  <c r="B7" i="2"/>
  <c r="C7" i="2"/>
  <c r="P7" i="2"/>
  <c r="D7" i="2"/>
  <c r="Q7" i="2"/>
  <c r="E7" i="2"/>
  <c r="R7" i="2"/>
  <c r="F7" i="2"/>
  <c r="S7" i="2"/>
  <c r="G7" i="2"/>
  <c r="I8" i="2"/>
  <c r="O8" i="2"/>
  <c r="J8" i="2"/>
  <c r="K8" i="2"/>
  <c r="L8" i="2"/>
  <c r="M8" i="2"/>
  <c r="B8" i="2"/>
  <c r="C8" i="2"/>
  <c r="P8" i="2"/>
  <c r="D8" i="2"/>
  <c r="Q8" i="2"/>
  <c r="E8" i="2"/>
  <c r="R8" i="2"/>
  <c r="F8" i="2"/>
  <c r="S8" i="2"/>
  <c r="G8" i="2"/>
  <c r="I9" i="2"/>
  <c r="O9" i="2"/>
  <c r="J9" i="2"/>
  <c r="K9" i="2"/>
  <c r="L9" i="2"/>
  <c r="M9" i="2"/>
  <c r="B9" i="2"/>
  <c r="C9" i="2"/>
  <c r="P9" i="2"/>
  <c r="D9" i="2"/>
  <c r="Q9" i="2"/>
  <c r="E9" i="2"/>
  <c r="R9" i="2"/>
  <c r="F9" i="2"/>
  <c r="S9" i="2"/>
  <c r="G9" i="2"/>
  <c r="I10" i="2"/>
  <c r="O10" i="2"/>
  <c r="J10" i="2"/>
  <c r="K10" i="2"/>
  <c r="L10" i="2"/>
  <c r="M10" i="2"/>
  <c r="B10" i="2"/>
  <c r="C10" i="2"/>
  <c r="P10" i="2"/>
  <c r="D10" i="2"/>
  <c r="Q10" i="2"/>
  <c r="E10" i="2"/>
  <c r="R10" i="2"/>
  <c r="F10" i="2"/>
  <c r="S10" i="2"/>
  <c r="G10" i="2"/>
  <c r="I11" i="2"/>
  <c r="O11" i="2"/>
  <c r="J11" i="2"/>
  <c r="K11" i="2"/>
  <c r="L11" i="2"/>
  <c r="M11" i="2"/>
  <c r="B11" i="2"/>
  <c r="C11" i="2"/>
  <c r="P11" i="2"/>
  <c r="D11" i="2"/>
  <c r="Q11" i="2"/>
  <c r="E11" i="2"/>
  <c r="R11" i="2"/>
  <c r="F11" i="2"/>
  <c r="S11" i="2"/>
  <c r="G11" i="2"/>
  <c r="I12" i="2"/>
  <c r="O12" i="2"/>
  <c r="J12" i="2"/>
  <c r="K12" i="2"/>
  <c r="L12" i="2"/>
  <c r="M12" i="2"/>
  <c r="B12" i="2"/>
  <c r="C12" i="2"/>
  <c r="P12" i="2"/>
  <c r="D12" i="2"/>
  <c r="Q12" i="2"/>
  <c r="E12" i="2"/>
  <c r="R12" i="2"/>
  <c r="F12" i="2"/>
  <c r="S12" i="2"/>
  <c r="G12" i="2"/>
  <c r="I13" i="2"/>
  <c r="O13" i="2"/>
  <c r="J13" i="2"/>
  <c r="K13" i="2"/>
  <c r="L13" i="2"/>
  <c r="M13" i="2"/>
  <c r="B13" i="2"/>
  <c r="C13" i="2"/>
  <c r="P13" i="2"/>
  <c r="D13" i="2"/>
  <c r="Q13" i="2"/>
  <c r="E13" i="2"/>
  <c r="R13" i="2"/>
  <c r="F13" i="2"/>
  <c r="S13" i="2"/>
  <c r="G13" i="2"/>
  <c r="I14" i="2"/>
  <c r="O14" i="2"/>
  <c r="J14" i="2"/>
  <c r="K14" i="2"/>
  <c r="L14" i="2"/>
  <c r="M14" i="2"/>
  <c r="B14" i="2"/>
  <c r="C14" i="2"/>
  <c r="P14" i="2"/>
  <c r="D14" i="2"/>
  <c r="Q14" i="2"/>
  <c r="E14" i="2"/>
  <c r="R14" i="2"/>
  <c r="F14" i="2"/>
  <c r="S14" i="2"/>
  <c r="G14" i="2"/>
  <c r="I15" i="2"/>
  <c r="O15" i="2"/>
  <c r="J15" i="2"/>
  <c r="K15" i="2"/>
  <c r="L15" i="2"/>
  <c r="M15" i="2"/>
  <c r="B15" i="2"/>
  <c r="C15" i="2"/>
  <c r="P15" i="2"/>
  <c r="D15" i="2"/>
  <c r="Q15" i="2"/>
  <c r="E15" i="2"/>
  <c r="R15" i="2"/>
  <c r="F15" i="2"/>
  <c r="S15" i="2"/>
  <c r="G15" i="2"/>
  <c r="I16" i="2"/>
  <c r="O16" i="2"/>
  <c r="J16" i="2"/>
  <c r="K16" i="2"/>
  <c r="L16" i="2"/>
  <c r="M16" i="2"/>
  <c r="B16" i="2"/>
  <c r="C16" i="2"/>
  <c r="P16" i="2"/>
  <c r="D16" i="2"/>
  <c r="Q16" i="2"/>
  <c r="E16" i="2"/>
  <c r="R16" i="2"/>
  <c r="F16" i="2"/>
  <c r="S16" i="2"/>
  <c r="G16" i="2"/>
  <c r="I17" i="2"/>
  <c r="O17" i="2"/>
  <c r="J17" i="2"/>
  <c r="K17" i="2"/>
  <c r="L17" i="2"/>
  <c r="M17" i="2"/>
  <c r="B17" i="2"/>
  <c r="C17" i="2"/>
  <c r="P17" i="2"/>
  <c r="D17" i="2"/>
  <c r="Q17" i="2"/>
  <c r="E17" i="2"/>
  <c r="R17" i="2"/>
  <c r="F17" i="2"/>
  <c r="S17" i="2"/>
  <c r="G17" i="2"/>
  <c r="I18" i="2"/>
  <c r="O18" i="2"/>
  <c r="J18" i="2"/>
  <c r="K18" i="2"/>
  <c r="L18" i="2"/>
  <c r="M18" i="2"/>
  <c r="B18" i="2"/>
  <c r="C18" i="2"/>
  <c r="P18" i="2"/>
  <c r="D18" i="2"/>
  <c r="Q18" i="2"/>
  <c r="E18" i="2"/>
  <c r="R18" i="2"/>
  <c r="F18" i="2"/>
  <c r="S18" i="2"/>
  <c r="G18" i="2"/>
  <c r="I19" i="2"/>
  <c r="O19" i="2"/>
  <c r="J19" i="2"/>
  <c r="K19" i="2"/>
  <c r="L19" i="2"/>
  <c r="M19" i="2"/>
  <c r="B19" i="2"/>
  <c r="C19" i="2"/>
  <c r="P19" i="2"/>
  <c r="D19" i="2"/>
  <c r="Q19" i="2"/>
  <c r="E19" i="2"/>
  <c r="R19" i="2"/>
  <c r="F19" i="2"/>
  <c r="S19" i="2"/>
  <c r="G19" i="2"/>
  <c r="I20" i="2"/>
  <c r="O20" i="2"/>
  <c r="J20" i="2"/>
  <c r="K20" i="2"/>
  <c r="L20" i="2"/>
  <c r="M20" i="2"/>
  <c r="B20" i="2"/>
  <c r="C20" i="2"/>
  <c r="P20" i="2"/>
  <c r="D20" i="2"/>
  <c r="Q20" i="2"/>
  <c r="E20" i="2"/>
  <c r="R20" i="2"/>
  <c r="F20" i="2"/>
  <c r="S20" i="2"/>
  <c r="G20" i="2"/>
  <c r="I21" i="2"/>
  <c r="O21" i="2"/>
  <c r="J21" i="2"/>
  <c r="K21" i="2"/>
  <c r="L21" i="2"/>
  <c r="M21" i="2"/>
  <c r="B21" i="2"/>
  <c r="C21" i="2"/>
  <c r="P21" i="2"/>
  <c r="D21" i="2"/>
  <c r="Q21" i="2"/>
  <c r="E21" i="2"/>
  <c r="R21" i="2"/>
  <c r="F21" i="2"/>
  <c r="S21" i="2"/>
  <c r="G21" i="2"/>
  <c r="I22" i="2"/>
  <c r="O22" i="2"/>
  <c r="J22" i="2"/>
  <c r="K22" i="2"/>
  <c r="L22" i="2"/>
  <c r="M22" i="2"/>
  <c r="B22" i="2"/>
  <c r="C22" i="2"/>
  <c r="P22" i="2"/>
  <c r="D22" i="2"/>
  <c r="Q22" i="2"/>
  <c r="E22" i="2"/>
  <c r="R22" i="2"/>
  <c r="F22" i="2"/>
  <c r="S22" i="2"/>
  <c r="G22" i="2"/>
  <c r="I23" i="2"/>
  <c r="O23" i="2"/>
  <c r="J23" i="2"/>
  <c r="K23" i="2"/>
  <c r="L23" i="2"/>
  <c r="M23" i="2"/>
  <c r="B23" i="2"/>
  <c r="C23" i="2"/>
  <c r="P23" i="2"/>
  <c r="D23" i="2"/>
  <c r="Q23" i="2"/>
  <c r="E23" i="2"/>
  <c r="R23" i="2"/>
  <c r="F23" i="2"/>
  <c r="S23" i="2"/>
  <c r="G23" i="2"/>
  <c r="I24" i="2"/>
  <c r="O24" i="2"/>
  <c r="J24" i="2"/>
  <c r="K24" i="2"/>
  <c r="L24" i="2"/>
  <c r="M24" i="2"/>
  <c r="B24" i="2"/>
  <c r="C24" i="2"/>
  <c r="P24" i="2"/>
  <c r="D24" i="2"/>
  <c r="Q24" i="2"/>
  <c r="E24" i="2"/>
  <c r="R24" i="2"/>
  <c r="F24" i="2"/>
  <c r="S24" i="2"/>
  <c r="G24" i="2"/>
  <c r="I25" i="2"/>
  <c r="O25" i="2"/>
  <c r="J25" i="2"/>
  <c r="K25" i="2"/>
  <c r="L25" i="2"/>
  <c r="M25" i="2"/>
  <c r="B25" i="2"/>
  <c r="C25" i="2"/>
  <c r="P25" i="2"/>
  <c r="D25" i="2"/>
  <c r="Q25" i="2"/>
  <c r="E25" i="2"/>
  <c r="R25" i="2"/>
  <c r="F25" i="2"/>
  <c r="S25" i="2"/>
  <c r="G25" i="2"/>
  <c r="I26" i="2"/>
  <c r="O26" i="2"/>
  <c r="J26" i="2"/>
  <c r="K26" i="2"/>
  <c r="L26" i="2"/>
  <c r="M26" i="2"/>
  <c r="B26" i="2"/>
  <c r="C26" i="2"/>
  <c r="P26" i="2"/>
  <c r="D26" i="2"/>
  <c r="Q26" i="2"/>
  <c r="E26" i="2"/>
  <c r="R26" i="2"/>
  <c r="F26" i="2"/>
  <c r="S26" i="2"/>
  <c r="G26" i="2"/>
  <c r="I27" i="2"/>
  <c r="O27" i="2"/>
  <c r="J27" i="2"/>
  <c r="K27" i="2"/>
  <c r="L27" i="2"/>
  <c r="M27" i="2"/>
  <c r="B27" i="2"/>
  <c r="C27" i="2"/>
  <c r="P27" i="2"/>
  <c r="D27" i="2"/>
  <c r="Q27" i="2"/>
  <c r="E27" i="2"/>
  <c r="R27" i="2"/>
  <c r="F27" i="2"/>
  <c r="S27" i="2"/>
  <c r="G27" i="2"/>
  <c r="I28" i="2"/>
  <c r="O28" i="2"/>
  <c r="J28" i="2"/>
  <c r="K28" i="2"/>
  <c r="L28" i="2"/>
  <c r="M28" i="2"/>
  <c r="B28" i="2"/>
  <c r="C28" i="2"/>
  <c r="P28" i="2"/>
  <c r="D28" i="2"/>
  <c r="Q28" i="2"/>
  <c r="E28" i="2"/>
  <c r="R28" i="2"/>
  <c r="F28" i="2"/>
  <c r="S28" i="2"/>
  <c r="G28" i="2"/>
  <c r="I29" i="2"/>
  <c r="O29" i="2"/>
  <c r="J29" i="2"/>
  <c r="K29" i="2"/>
  <c r="L29" i="2"/>
  <c r="M29" i="2"/>
  <c r="B29" i="2"/>
  <c r="C29" i="2"/>
  <c r="P29" i="2"/>
  <c r="D29" i="2"/>
  <c r="Q29" i="2"/>
  <c r="E29" i="2"/>
  <c r="R29" i="2"/>
  <c r="F29" i="2"/>
  <c r="S29" i="2"/>
  <c r="G29" i="2"/>
  <c r="I30" i="2"/>
  <c r="O30" i="2"/>
  <c r="J30" i="2"/>
  <c r="K30" i="2"/>
  <c r="L30" i="2"/>
  <c r="M30" i="2"/>
  <c r="B30" i="2"/>
  <c r="C30" i="2"/>
  <c r="P30" i="2"/>
  <c r="D30" i="2"/>
  <c r="Q30" i="2"/>
  <c r="E30" i="2"/>
  <c r="R30" i="2"/>
  <c r="F30" i="2"/>
  <c r="S30" i="2"/>
  <c r="G30" i="2"/>
  <c r="I31" i="2"/>
  <c r="O31" i="2"/>
  <c r="J31" i="2"/>
  <c r="K31" i="2"/>
  <c r="L31" i="2"/>
  <c r="M31" i="2"/>
  <c r="B31" i="2"/>
  <c r="C31" i="2"/>
  <c r="P31" i="2"/>
  <c r="D31" i="2"/>
  <c r="Q31" i="2"/>
  <c r="E31" i="2"/>
  <c r="R31" i="2"/>
  <c r="F31" i="2"/>
  <c r="S31" i="2"/>
  <c r="G31" i="2"/>
  <c r="I32" i="2"/>
  <c r="O32" i="2"/>
  <c r="J32" i="2"/>
  <c r="K32" i="2"/>
  <c r="L32" i="2"/>
  <c r="M32" i="2"/>
  <c r="B32" i="2"/>
  <c r="C32" i="2"/>
  <c r="P32" i="2"/>
  <c r="D32" i="2"/>
  <c r="Q32" i="2"/>
  <c r="E32" i="2"/>
  <c r="R32" i="2"/>
  <c r="F32" i="2"/>
  <c r="S32" i="2"/>
  <c r="G32" i="2"/>
  <c r="I33" i="2"/>
  <c r="O33" i="2"/>
  <c r="J33" i="2"/>
  <c r="K33" i="2"/>
  <c r="L33" i="2"/>
  <c r="M33" i="2"/>
  <c r="B33" i="2"/>
  <c r="C33" i="2"/>
  <c r="P33" i="2"/>
  <c r="D33" i="2"/>
  <c r="Q33" i="2"/>
  <c r="E33" i="2"/>
  <c r="R33" i="2"/>
  <c r="F33" i="2"/>
  <c r="S33" i="2"/>
  <c r="G33" i="2"/>
  <c r="I34" i="2"/>
  <c r="O34" i="2"/>
  <c r="J34" i="2"/>
  <c r="K34" i="2"/>
  <c r="L34" i="2"/>
  <c r="M34" i="2"/>
  <c r="B34" i="2"/>
  <c r="C34" i="2"/>
  <c r="P34" i="2"/>
  <c r="D34" i="2"/>
  <c r="Q34" i="2"/>
  <c r="E34" i="2"/>
  <c r="R34" i="2"/>
  <c r="F34" i="2"/>
  <c r="S34" i="2"/>
  <c r="G34" i="2"/>
  <c r="I35" i="2"/>
  <c r="O35" i="2"/>
  <c r="J35" i="2"/>
  <c r="K35" i="2"/>
  <c r="L35" i="2"/>
  <c r="M35" i="2"/>
  <c r="B35" i="2"/>
  <c r="C35" i="2"/>
  <c r="P35" i="2"/>
  <c r="D35" i="2"/>
  <c r="Q35" i="2"/>
  <c r="E35" i="2"/>
  <c r="R35" i="2"/>
  <c r="F35" i="2"/>
  <c r="S35" i="2"/>
  <c r="G35" i="2"/>
  <c r="I36" i="2"/>
  <c r="O36" i="2"/>
  <c r="J36" i="2"/>
  <c r="K36" i="2"/>
  <c r="L36" i="2"/>
  <c r="M36" i="2"/>
  <c r="B36" i="2"/>
  <c r="C36" i="2"/>
  <c r="P36" i="2"/>
  <c r="D36" i="2"/>
  <c r="Q36" i="2"/>
  <c r="E36" i="2"/>
  <c r="R36" i="2"/>
  <c r="F36" i="2"/>
  <c r="S36" i="2"/>
  <c r="G36" i="2"/>
  <c r="I37" i="2"/>
  <c r="O37" i="2"/>
  <c r="J37" i="2"/>
  <c r="K37" i="2"/>
  <c r="L37" i="2"/>
  <c r="M37" i="2"/>
  <c r="B37" i="2"/>
  <c r="C37" i="2"/>
  <c r="P37" i="2"/>
  <c r="D37" i="2"/>
  <c r="Q37" i="2"/>
  <c r="E37" i="2"/>
  <c r="R37" i="2"/>
  <c r="F37" i="2"/>
  <c r="S37" i="2"/>
  <c r="G37" i="2"/>
  <c r="I38" i="2"/>
  <c r="O38" i="2"/>
  <c r="J38" i="2"/>
  <c r="K38" i="2"/>
  <c r="L38" i="2"/>
  <c r="M38" i="2"/>
  <c r="B38" i="2"/>
  <c r="C38" i="2"/>
  <c r="P38" i="2"/>
  <c r="D38" i="2"/>
  <c r="Q38" i="2"/>
  <c r="E38" i="2"/>
  <c r="R38" i="2"/>
  <c r="F38" i="2"/>
  <c r="S38" i="2"/>
  <c r="G38" i="2"/>
  <c r="I39" i="2"/>
  <c r="O39" i="2"/>
  <c r="J39" i="2"/>
  <c r="K39" i="2"/>
  <c r="L39" i="2"/>
  <c r="M39" i="2"/>
  <c r="B39" i="2"/>
  <c r="C39" i="2"/>
  <c r="P39" i="2"/>
  <c r="D39" i="2"/>
  <c r="Q39" i="2"/>
  <c r="E39" i="2"/>
  <c r="R39" i="2"/>
  <c r="F39" i="2"/>
  <c r="S39" i="2"/>
  <c r="G39" i="2"/>
  <c r="I40" i="2"/>
  <c r="O40" i="2"/>
  <c r="J40" i="2"/>
  <c r="K40" i="2"/>
  <c r="L40" i="2"/>
  <c r="M40" i="2"/>
  <c r="B40" i="2"/>
  <c r="C40" i="2"/>
  <c r="P40" i="2"/>
  <c r="D40" i="2"/>
  <c r="Q40" i="2"/>
  <c r="E40" i="2"/>
  <c r="R40" i="2"/>
  <c r="F40" i="2"/>
  <c r="S40" i="2"/>
  <c r="G40" i="2"/>
  <c r="I41" i="2"/>
  <c r="O41" i="2"/>
  <c r="J41" i="2"/>
  <c r="K41" i="2"/>
  <c r="L41" i="2"/>
  <c r="M41" i="2"/>
  <c r="B41" i="2"/>
  <c r="C41" i="2"/>
  <c r="P41" i="2"/>
  <c r="D41" i="2"/>
  <c r="Q41" i="2"/>
  <c r="E41" i="2"/>
  <c r="R41" i="2"/>
  <c r="F41" i="2"/>
  <c r="S41" i="2"/>
  <c r="G41" i="2"/>
  <c r="I42" i="2"/>
  <c r="O42" i="2"/>
  <c r="J42" i="2"/>
  <c r="K42" i="2"/>
  <c r="L42" i="2"/>
  <c r="M42" i="2"/>
  <c r="B42" i="2"/>
  <c r="C42" i="2"/>
  <c r="P42" i="2"/>
  <c r="D42" i="2"/>
  <c r="Q42" i="2"/>
  <c r="E42" i="2"/>
  <c r="R42" i="2"/>
  <c r="F42" i="2"/>
  <c r="S42" i="2"/>
  <c r="G42" i="2"/>
  <c r="I43" i="2"/>
  <c r="O43" i="2"/>
  <c r="J43" i="2"/>
  <c r="K43" i="2"/>
  <c r="L43" i="2"/>
  <c r="M43" i="2"/>
  <c r="B43" i="2"/>
  <c r="C43" i="2"/>
  <c r="P43" i="2"/>
  <c r="D43" i="2"/>
  <c r="Q43" i="2"/>
  <c r="E43" i="2"/>
  <c r="R43" i="2"/>
  <c r="F43" i="2"/>
  <c r="S43" i="2"/>
  <c r="G43" i="2"/>
  <c r="I44" i="2"/>
  <c r="O44" i="2"/>
  <c r="J44" i="2"/>
  <c r="K44" i="2"/>
  <c r="L44" i="2"/>
  <c r="M44" i="2"/>
  <c r="B44" i="2"/>
  <c r="C44" i="2"/>
  <c r="P44" i="2"/>
  <c r="D44" i="2"/>
  <c r="Q44" i="2"/>
  <c r="E44" i="2"/>
  <c r="R44" i="2"/>
  <c r="F44" i="2"/>
  <c r="S44" i="2"/>
  <c r="G44" i="2"/>
  <c r="I45" i="2"/>
  <c r="O45" i="2"/>
  <c r="J45" i="2"/>
  <c r="K45" i="2"/>
  <c r="L45" i="2"/>
  <c r="M45" i="2"/>
  <c r="B45" i="2"/>
  <c r="C45" i="2"/>
  <c r="P45" i="2"/>
  <c r="D45" i="2"/>
  <c r="Q45" i="2"/>
  <c r="E45" i="2"/>
  <c r="R45" i="2"/>
  <c r="F45" i="2"/>
  <c r="S45" i="2"/>
  <c r="G45" i="2"/>
  <c r="I46" i="2"/>
  <c r="O46" i="2"/>
  <c r="J46" i="2"/>
  <c r="K46" i="2"/>
  <c r="L46" i="2"/>
  <c r="M46" i="2"/>
  <c r="B46" i="2"/>
  <c r="C46" i="2"/>
  <c r="P46" i="2"/>
  <c r="D46" i="2"/>
  <c r="Q46" i="2"/>
  <c r="E46" i="2"/>
  <c r="R46" i="2"/>
  <c r="F46" i="2"/>
  <c r="S46" i="2"/>
  <c r="G46" i="2"/>
  <c r="I47" i="2"/>
  <c r="O47" i="2"/>
  <c r="J47" i="2"/>
  <c r="K47" i="2"/>
  <c r="L47" i="2"/>
  <c r="M47" i="2"/>
  <c r="B47" i="2"/>
  <c r="C47" i="2"/>
  <c r="P47" i="2"/>
  <c r="D47" i="2"/>
  <c r="Q47" i="2"/>
  <c r="E47" i="2"/>
  <c r="R47" i="2"/>
  <c r="F47" i="2"/>
  <c r="S47" i="2"/>
  <c r="G47" i="2"/>
  <c r="I48" i="2"/>
  <c r="O48" i="2"/>
  <c r="J48" i="2"/>
  <c r="K48" i="2"/>
  <c r="L48" i="2"/>
  <c r="M48" i="2"/>
  <c r="B48" i="2"/>
  <c r="C48" i="2"/>
  <c r="P48" i="2"/>
  <c r="D48" i="2"/>
  <c r="Q48" i="2"/>
  <c r="E48" i="2"/>
  <c r="R48" i="2"/>
  <c r="F48" i="2"/>
  <c r="S48" i="2"/>
  <c r="G48" i="2"/>
  <c r="I49" i="2"/>
  <c r="O49" i="2"/>
  <c r="J49" i="2"/>
  <c r="K49" i="2"/>
  <c r="L49" i="2"/>
  <c r="M49" i="2"/>
  <c r="B49" i="2"/>
  <c r="C49" i="2"/>
  <c r="P49" i="2"/>
  <c r="D49" i="2"/>
  <c r="Q49" i="2"/>
  <c r="E49" i="2"/>
  <c r="R49" i="2"/>
  <c r="F49" i="2"/>
  <c r="S49" i="2"/>
  <c r="G49" i="2"/>
  <c r="I50" i="2"/>
  <c r="O50" i="2"/>
  <c r="J50" i="2"/>
  <c r="K50" i="2"/>
  <c r="L50" i="2"/>
  <c r="M50" i="2"/>
  <c r="B50" i="2"/>
  <c r="C50" i="2"/>
  <c r="P50" i="2"/>
  <c r="D50" i="2"/>
  <c r="Q50" i="2"/>
  <c r="E50" i="2"/>
  <c r="R50" i="2"/>
  <c r="F50" i="2"/>
  <c r="S50" i="2"/>
  <c r="G50" i="2"/>
  <c r="I51" i="2"/>
  <c r="O51" i="2"/>
  <c r="J51" i="2"/>
  <c r="K51" i="2"/>
  <c r="L51" i="2"/>
  <c r="M51" i="2"/>
  <c r="B51" i="2"/>
  <c r="C51" i="2"/>
  <c r="P51" i="2"/>
  <c r="D51" i="2"/>
  <c r="Q51" i="2"/>
  <c r="E51" i="2"/>
  <c r="R51" i="2"/>
  <c r="F51" i="2"/>
  <c r="S51" i="2"/>
  <c r="G51" i="2"/>
  <c r="I52" i="2"/>
  <c r="O52" i="2"/>
  <c r="J52" i="2"/>
  <c r="K52" i="2"/>
  <c r="L52" i="2"/>
  <c r="M52" i="2"/>
  <c r="B52" i="2"/>
  <c r="C52" i="2"/>
  <c r="P52" i="2"/>
  <c r="D52" i="2"/>
  <c r="Q52" i="2"/>
  <c r="E52" i="2"/>
  <c r="R52" i="2"/>
  <c r="F52" i="2"/>
  <c r="S52" i="2"/>
  <c r="G52" i="2"/>
  <c r="I53" i="2"/>
  <c r="O53" i="2"/>
  <c r="J53" i="2"/>
  <c r="K53" i="2"/>
  <c r="L53" i="2"/>
  <c r="M53" i="2"/>
  <c r="B53" i="2"/>
  <c r="C53" i="2"/>
  <c r="P53" i="2"/>
  <c r="D53" i="2"/>
  <c r="Q53" i="2"/>
  <c r="E53" i="2"/>
  <c r="R53" i="2"/>
  <c r="F53" i="2"/>
  <c r="S53" i="2"/>
  <c r="G53" i="2"/>
  <c r="I54" i="2"/>
  <c r="O54" i="2"/>
  <c r="J54" i="2"/>
  <c r="K54" i="2"/>
  <c r="L54" i="2"/>
  <c r="M54" i="2"/>
  <c r="B54" i="2"/>
  <c r="C54" i="2"/>
  <c r="P54" i="2"/>
  <c r="D54" i="2"/>
  <c r="Q54" i="2"/>
  <c r="E54" i="2"/>
  <c r="R54" i="2"/>
  <c r="F54" i="2"/>
  <c r="S54" i="2"/>
  <c r="G54" i="2"/>
  <c r="I55" i="2"/>
  <c r="O55" i="2"/>
  <c r="J55" i="2"/>
  <c r="K55" i="2"/>
  <c r="L55" i="2"/>
  <c r="M55" i="2"/>
  <c r="B55" i="2"/>
  <c r="C55" i="2"/>
  <c r="P55" i="2"/>
  <c r="D55" i="2"/>
  <c r="Q55" i="2"/>
  <c r="E55" i="2"/>
  <c r="R55" i="2"/>
  <c r="F55" i="2"/>
  <c r="S55" i="2"/>
  <c r="G55" i="2"/>
  <c r="I56" i="2"/>
  <c r="O56" i="2"/>
  <c r="J56" i="2"/>
  <c r="K56" i="2"/>
  <c r="L56" i="2"/>
  <c r="M56" i="2"/>
  <c r="B56" i="2"/>
  <c r="C56" i="2"/>
  <c r="P56" i="2"/>
  <c r="D56" i="2"/>
  <c r="Q56" i="2"/>
  <c r="E56" i="2"/>
  <c r="R56" i="2"/>
  <c r="F56" i="2"/>
  <c r="S56" i="2"/>
  <c r="G56" i="2"/>
  <c r="I57" i="2"/>
  <c r="O57" i="2"/>
  <c r="J57" i="2"/>
  <c r="K57" i="2"/>
  <c r="L57" i="2"/>
  <c r="M57" i="2"/>
  <c r="B57" i="2"/>
  <c r="C57" i="2"/>
  <c r="P57" i="2"/>
  <c r="D57" i="2"/>
  <c r="Q57" i="2"/>
  <c r="E57" i="2"/>
  <c r="R57" i="2"/>
  <c r="F57" i="2"/>
  <c r="S57" i="2"/>
  <c r="G57" i="2"/>
  <c r="I58" i="2"/>
  <c r="O58" i="2"/>
  <c r="J58" i="2"/>
  <c r="K58" i="2"/>
  <c r="L58" i="2"/>
  <c r="M58" i="2"/>
  <c r="B58" i="2"/>
  <c r="C58" i="2"/>
  <c r="P58" i="2"/>
  <c r="D58" i="2"/>
  <c r="Q58" i="2"/>
  <c r="E58" i="2"/>
  <c r="R58" i="2"/>
  <c r="F58" i="2"/>
  <c r="S58" i="2"/>
  <c r="G58" i="2"/>
  <c r="I59" i="2"/>
  <c r="O59" i="2"/>
  <c r="J59" i="2"/>
  <c r="K59" i="2"/>
  <c r="L59" i="2"/>
  <c r="M59" i="2"/>
  <c r="B59" i="2"/>
  <c r="C59" i="2"/>
  <c r="P59" i="2"/>
  <c r="D59" i="2"/>
  <c r="Q59" i="2"/>
  <c r="E59" i="2"/>
  <c r="R59" i="2"/>
  <c r="F59" i="2"/>
  <c r="S59" i="2"/>
  <c r="G59" i="2"/>
  <c r="I60" i="2"/>
  <c r="O60" i="2"/>
  <c r="J60" i="2"/>
  <c r="K60" i="2"/>
  <c r="L60" i="2"/>
  <c r="M60" i="2"/>
  <c r="B60" i="2"/>
  <c r="C60" i="2"/>
  <c r="P60" i="2"/>
  <c r="D60" i="2"/>
  <c r="Q60" i="2"/>
  <c r="E60" i="2"/>
  <c r="R60" i="2"/>
  <c r="F60" i="2"/>
  <c r="S60" i="2"/>
  <c r="G60" i="2"/>
  <c r="I61" i="2"/>
  <c r="O61" i="2"/>
  <c r="J61" i="2"/>
  <c r="K61" i="2"/>
  <c r="L61" i="2"/>
  <c r="M61" i="2"/>
  <c r="B61" i="2"/>
  <c r="C61" i="2"/>
  <c r="P61" i="2"/>
  <c r="D61" i="2"/>
  <c r="Q61" i="2"/>
  <c r="E61" i="2"/>
  <c r="R61" i="2"/>
  <c r="F61" i="2"/>
  <c r="S61" i="2"/>
  <c r="G61" i="2"/>
  <c r="I62" i="2"/>
  <c r="O62" i="2"/>
  <c r="J62" i="2"/>
  <c r="K62" i="2"/>
  <c r="L62" i="2"/>
  <c r="M62" i="2"/>
  <c r="B62" i="2"/>
  <c r="C62" i="2"/>
  <c r="P62" i="2"/>
  <c r="D62" i="2"/>
  <c r="Q62" i="2"/>
  <c r="E62" i="2"/>
  <c r="R62" i="2"/>
  <c r="F62" i="2"/>
  <c r="S62" i="2"/>
  <c r="G62" i="2"/>
  <c r="I63" i="2"/>
  <c r="O63" i="2"/>
  <c r="J63" i="2"/>
  <c r="K63" i="2"/>
  <c r="L63" i="2"/>
  <c r="M63" i="2"/>
  <c r="B63" i="2"/>
  <c r="C63" i="2"/>
  <c r="P63" i="2"/>
  <c r="D63" i="2"/>
  <c r="Q63" i="2"/>
  <c r="E63" i="2"/>
  <c r="R63" i="2"/>
  <c r="F63" i="2"/>
  <c r="S63" i="2"/>
  <c r="G63" i="2"/>
  <c r="I64" i="2"/>
  <c r="O64" i="2"/>
  <c r="J64" i="2"/>
  <c r="K64" i="2"/>
  <c r="L64" i="2"/>
  <c r="M64" i="2"/>
  <c r="B64" i="2"/>
  <c r="C64" i="2"/>
  <c r="P64" i="2"/>
  <c r="D64" i="2"/>
  <c r="Q64" i="2"/>
  <c r="E64" i="2"/>
  <c r="R64" i="2"/>
  <c r="F64" i="2"/>
  <c r="S64" i="2"/>
  <c r="G64" i="2"/>
  <c r="I65" i="2"/>
  <c r="O65" i="2"/>
  <c r="J65" i="2"/>
  <c r="K65" i="2"/>
  <c r="L65" i="2"/>
  <c r="M65" i="2"/>
  <c r="B65" i="2"/>
  <c r="C65" i="2"/>
  <c r="P65" i="2"/>
  <c r="D65" i="2"/>
  <c r="Q65" i="2"/>
  <c r="E65" i="2"/>
  <c r="R65" i="2"/>
  <c r="F65" i="2"/>
  <c r="S65" i="2"/>
  <c r="G65" i="2"/>
  <c r="I66" i="2"/>
  <c r="O66" i="2"/>
  <c r="J66" i="2"/>
  <c r="K66" i="2"/>
  <c r="L66" i="2"/>
  <c r="M66" i="2"/>
  <c r="B66" i="2"/>
  <c r="C66" i="2"/>
  <c r="P66" i="2"/>
  <c r="D66" i="2"/>
  <c r="Q66" i="2"/>
  <c r="E66" i="2"/>
  <c r="R66" i="2"/>
  <c r="F66" i="2"/>
  <c r="S66" i="2"/>
  <c r="G66" i="2"/>
  <c r="I67" i="2"/>
  <c r="O67" i="2"/>
  <c r="J67" i="2"/>
  <c r="K67" i="2"/>
  <c r="L67" i="2"/>
  <c r="M67" i="2"/>
  <c r="B67" i="2"/>
  <c r="C67" i="2"/>
  <c r="P67" i="2"/>
  <c r="D67" i="2"/>
  <c r="Q67" i="2"/>
  <c r="E67" i="2"/>
  <c r="R67" i="2"/>
  <c r="F67" i="2"/>
  <c r="S67" i="2"/>
  <c r="G67" i="2"/>
  <c r="I68" i="2"/>
  <c r="O68" i="2"/>
  <c r="J68" i="2"/>
  <c r="K68" i="2"/>
  <c r="L68" i="2"/>
  <c r="M68" i="2"/>
  <c r="B68" i="2"/>
  <c r="C68" i="2"/>
  <c r="P68" i="2"/>
  <c r="D68" i="2"/>
  <c r="Q68" i="2"/>
  <c r="E68" i="2"/>
  <c r="R68" i="2"/>
  <c r="F68" i="2"/>
  <c r="S68" i="2"/>
  <c r="G68" i="2"/>
  <c r="I69" i="2"/>
  <c r="O69" i="2"/>
  <c r="J69" i="2"/>
  <c r="K69" i="2"/>
  <c r="L69" i="2"/>
  <c r="M69" i="2"/>
  <c r="B69" i="2"/>
  <c r="C69" i="2"/>
  <c r="P69" i="2"/>
  <c r="D69" i="2"/>
  <c r="Q69" i="2"/>
  <c r="E69" i="2"/>
  <c r="R69" i="2"/>
  <c r="F69" i="2"/>
  <c r="S69" i="2"/>
  <c r="G69" i="2"/>
  <c r="I70" i="2"/>
  <c r="O70" i="2"/>
  <c r="J70" i="2"/>
  <c r="K70" i="2"/>
  <c r="L70" i="2"/>
  <c r="M70" i="2"/>
  <c r="B70" i="2"/>
  <c r="C70" i="2"/>
  <c r="P70" i="2"/>
  <c r="D70" i="2"/>
  <c r="Q70" i="2"/>
  <c r="E70" i="2"/>
  <c r="R70" i="2"/>
  <c r="F70" i="2"/>
  <c r="S70" i="2"/>
  <c r="G70" i="2"/>
  <c r="I71" i="2"/>
  <c r="O71" i="2"/>
  <c r="J71" i="2"/>
  <c r="K71" i="2"/>
  <c r="L71" i="2"/>
  <c r="M71" i="2"/>
  <c r="B71" i="2"/>
  <c r="C71" i="2"/>
  <c r="P71" i="2"/>
  <c r="D71" i="2"/>
  <c r="Q71" i="2"/>
  <c r="E71" i="2"/>
  <c r="R71" i="2"/>
  <c r="F71" i="2"/>
  <c r="S71" i="2"/>
  <c r="G71" i="2"/>
  <c r="I72" i="2"/>
  <c r="O72" i="2"/>
  <c r="J72" i="2"/>
  <c r="K72" i="2"/>
  <c r="L72" i="2"/>
  <c r="M72" i="2"/>
  <c r="B72" i="2"/>
  <c r="C72" i="2"/>
  <c r="P72" i="2"/>
  <c r="D72" i="2"/>
  <c r="Q72" i="2"/>
  <c r="E72" i="2"/>
  <c r="R72" i="2"/>
  <c r="F72" i="2"/>
  <c r="S72" i="2"/>
  <c r="G72" i="2"/>
  <c r="I73" i="2"/>
  <c r="O73" i="2"/>
  <c r="J73" i="2"/>
  <c r="K73" i="2"/>
  <c r="L73" i="2"/>
  <c r="M73" i="2"/>
  <c r="B73" i="2"/>
  <c r="C73" i="2"/>
  <c r="P73" i="2"/>
  <c r="D73" i="2"/>
  <c r="Q73" i="2"/>
  <c r="E73" i="2"/>
  <c r="R73" i="2"/>
  <c r="F73" i="2"/>
  <c r="S73" i="2"/>
  <c r="G73" i="2"/>
  <c r="I74" i="2"/>
  <c r="O74" i="2"/>
  <c r="J74" i="2"/>
  <c r="K74" i="2"/>
  <c r="L74" i="2"/>
  <c r="M74" i="2"/>
  <c r="B74" i="2"/>
  <c r="C74" i="2"/>
  <c r="P74" i="2"/>
  <c r="D74" i="2"/>
  <c r="Q74" i="2"/>
  <c r="E74" i="2"/>
  <c r="R74" i="2"/>
  <c r="F74" i="2"/>
  <c r="S74" i="2"/>
  <c r="G74" i="2"/>
  <c r="I75" i="2"/>
  <c r="O75" i="2"/>
  <c r="J75" i="2"/>
  <c r="K75" i="2"/>
  <c r="L75" i="2"/>
  <c r="M75" i="2"/>
  <c r="B75" i="2"/>
  <c r="C75" i="2"/>
  <c r="P75" i="2"/>
  <c r="D75" i="2"/>
  <c r="Q75" i="2"/>
  <c r="E75" i="2"/>
  <c r="R75" i="2"/>
  <c r="F75" i="2"/>
  <c r="S75" i="2"/>
  <c r="G75" i="2"/>
  <c r="I76" i="2"/>
  <c r="O76" i="2"/>
  <c r="J76" i="2"/>
  <c r="K76" i="2"/>
  <c r="L76" i="2"/>
  <c r="M76" i="2"/>
  <c r="B76" i="2"/>
  <c r="C76" i="2"/>
  <c r="P76" i="2"/>
  <c r="D76" i="2"/>
  <c r="Q76" i="2"/>
  <c r="E76" i="2"/>
  <c r="R76" i="2"/>
  <c r="F76" i="2"/>
  <c r="S76" i="2"/>
  <c r="G76" i="2"/>
  <c r="I77" i="2"/>
  <c r="O77" i="2"/>
  <c r="J77" i="2"/>
  <c r="K77" i="2"/>
  <c r="L77" i="2"/>
  <c r="M77" i="2"/>
  <c r="B77" i="2"/>
  <c r="C77" i="2"/>
  <c r="P77" i="2"/>
  <c r="D77" i="2"/>
  <c r="Q77" i="2"/>
  <c r="E77" i="2"/>
  <c r="R77" i="2"/>
  <c r="F77" i="2"/>
  <c r="S77" i="2"/>
  <c r="G77" i="2"/>
  <c r="I78" i="2"/>
  <c r="O78" i="2"/>
  <c r="J78" i="2"/>
  <c r="K78" i="2"/>
  <c r="L78" i="2"/>
  <c r="M78" i="2"/>
  <c r="B78" i="2"/>
  <c r="C78" i="2"/>
  <c r="P78" i="2"/>
  <c r="D78" i="2"/>
  <c r="Q78" i="2"/>
  <c r="E78" i="2"/>
  <c r="R78" i="2"/>
  <c r="F78" i="2"/>
  <c r="S78" i="2"/>
  <c r="G78" i="2"/>
  <c r="I79" i="2"/>
  <c r="O79" i="2"/>
  <c r="J79" i="2"/>
  <c r="K79" i="2"/>
  <c r="L79" i="2"/>
  <c r="M79" i="2"/>
  <c r="B79" i="2"/>
  <c r="C79" i="2"/>
  <c r="P79" i="2"/>
  <c r="D79" i="2"/>
  <c r="Q79" i="2"/>
  <c r="E79" i="2"/>
  <c r="R79" i="2"/>
  <c r="F79" i="2"/>
  <c r="S79" i="2"/>
  <c r="G79" i="2"/>
  <c r="I80" i="2"/>
  <c r="O80" i="2"/>
  <c r="J80" i="2"/>
  <c r="K80" i="2"/>
  <c r="L80" i="2"/>
  <c r="M80" i="2"/>
  <c r="B80" i="2"/>
  <c r="C80" i="2"/>
  <c r="P80" i="2"/>
  <c r="D80" i="2"/>
  <c r="Q80" i="2"/>
  <c r="E80" i="2"/>
  <c r="R80" i="2"/>
  <c r="F80" i="2"/>
  <c r="S80" i="2"/>
  <c r="G80" i="2"/>
  <c r="I81" i="2"/>
  <c r="O81" i="2"/>
  <c r="J81" i="2"/>
  <c r="K81" i="2"/>
  <c r="L81" i="2"/>
  <c r="M81" i="2"/>
  <c r="B81" i="2"/>
  <c r="C81" i="2"/>
  <c r="P81" i="2"/>
  <c r="D81" i="2"/>
  <c r="Q81" i="2"/>
  <c r="E81" i="2"/>
  <c r="R81" i="2"/>
  <c r="F81" i="2"/>
  <c r="S81" i="2"/>
  <c r="G81" i="2"/>
  <c r="I82" i="2"/>
  <c r="O82" i="2"/>
  <c r="J82" i="2"/>
  <c r="K82" i="2"/>
  <c r="L82" i="2"/>
  <c r="M82" i="2"/>
  <c r="B82" i="2"/>
  <c r="C82" i="2"/>
  <c r="P82" i="2"/>
  <c r="D82" i="2"/>
  <c r="Q82" i="2"/>
  <c r="E82" i="2"/>
  <c r="R82" i="2"/>
  <c r="F82" i="2"/>
  <c r="S82" i="2"/>
  <c r="G82" i="2"/>
  <c r="I83" i="2"/>
  <c r="O83" i="2"/>
  <c r="J83" i="2"/>
  <c r="K83" i="2"/>
  <c r="L83" i="2"/>
  <c r="M83" i="2"/>
  <c r="B83" i="2"/>
  <c r="C83" i="2"/>
  <c r="P83" i="2"/>
  <c r="D83" i="2"/>
  <c r="Q83" i="2"/>
  <c r="E83" i="2"/>
  <c r="R83" i="2"/>
  <c r="F83" i="2"/>
  <c r="S83" i="2"/>
  <c r="G83" i="2"/>
  <c r="I84" i="2"/>
  <c r="O84" i="2"/>
  <c r="J84" i="2"/>
  <c r="K84" i="2"/>
  <c r="L84" i="2"/>
  <c r="M84" i="2"/>
  <c r="B84" i="2"/>
  <c r="C84" i="2"/>
  <c r="P84" i="2"/>
  <c r="D84" i="2"/>
  <c r="Q84" i="2"/>
  <c r="E84" i="2"/>
  <c r="R84" i="2"/>
  <c r="F84" i="2"/>
  <c r="S84" i="2"/>
  <c r="G84" i="2"/>
  <c r="I85" i="2"/>
  <c r="O85" i="2"/>
  <c r="J85" i="2"/>
  <c r="K85" i="2"/>
  <c r="L85" i="2"/>
  <c r="M85" i="2"/>
  <c r="B85" i="2"/>
  <c r="C85" i="2"/>
  <c r="P85" i="2"/>
  <c r="D85" i="2"/>
  <c r="Q85" i="2"/>
  <c r="E85" i="2"/>
  <c r="R85" i="2"/>
  <c r="F85" i="2"/>
  <c r="S85" i="2"/>
  <c r="G85" i="2"/>
  <c r="I86" i="2"/>
  <c r="O86" i="2"/>
  <c r="J86" i="2"/>
  <c r="K86" i="2"/>
  <c r="L86" i="2"/>
  <c r="M86" i="2"/>
  <c r="B86" i="2"/>
  <c r="C86" i="2"/>
  <c r="P86" i="2"/>
  <c r="D86" i="2"/>
  <c r="Q86" i="2"/>
  <c r="E86" i="2"/>
  <c r="R86" i="2"/>
  <c r="F86" i="2"/>
  <c r="S86" i="2"/>
  <c r="G86" i="2"/>
  <c r="I87" i="2"/>
  <c r="O87" i="2"/>
  <c r="J87" i="2"/>
  <c r="K87" i="2"/>
  <c r="L87" i="2"/>
  <c r="M87" i="2"/>
  <c r="B87" i="2"/>
  <c r="C87" i="2"/>
  <c r="P87" i="2"/>
  <c r="D87" i="2"/>
  <c r="Q87" i="2"/>
  <c r="E87" i="2"/>
  <c r="R87" i="2"/>
  <c r="F87" i="2"/>
  <c r="S87" i="2"/>
  <c r="G87" i="2"/>
  <c r="I88" i="2"/>
  <c r="O88" i="2"/>
  <c r="J88" i="2"/>
  <c r="K88" i="2"/>
  <c r="L88" i="2"/>
  <c r="M88" i="2"/>
  <c r="B88" i="2"/>
  <c r="C88" i="2"/>
  <c r="P88" i="2"/>
  <c r="D88" i="2"/>
  <c r="Q88" i="2"/>
  <c r="E88" i="2"/>
  <c r="R88" i="2"/>
  <c r="F88" i="2"/>
  <c r="S88" i="2"/>
  <c r="G88" i="2"/>
  <c r="I89" i="2"/>
  <c r="O89" i="2"/>
  <c r="J89" i="2"/>
  <c r="K89" i="2"/>
  <c r="L89" i="2"/>
  <c r="M89" i="2"/>
  <c r="B89" i="2"/>
  <c r="C89" i="2"/>
  <c r="P89" i="2"/>
  <c r="D89" i="2"/>
  <c r="Q89" i="2"/>
  <c r="E89" i="2"/>
  <c r="R89" i="2"/>
  <c r="F89" i="2"/>
  <c r="S89" i="2"/>
  <c r="G89" i="2"/>
  <c r="I90" i="2"/>
  <c r="O90" i="2"/>
  <c r="J90" i="2"/>
  <c r="K90" i="2"/>
  <c r="L90" i="2"/>
  <c r="M90" i="2"/>
  <c r="B90" i="2"/>
  <c r="C90" i="2"/>
  <c r="P90" i="2"/>
  <c r="D90" i="2"/>
  <c r="Q90" i="2"/>
  <c r="E90" i="2"/>
  <c r="R90" i="2"/>
  <c r="F90" i="2"/>
  <c r="S90" i="2"/>
  <c r="G90" i="2"/>
  <c r="I91" i="2"/>
  <c r="O91" i="2"/>
  <c r="J91" i="2"/>
  <c r="K91" i="2"/>
  <c r="L91" i="2"/>
  <c r="M91" i="2"/>
  <c r="B91" i="2"/>
  <c r="C91" i="2"/>
  <c r="P91" i="2"/>
  <c r="D91" i="2"/>
  <c r="Q91" i="2"/>
  <c r="E91" i="2"/>
  <c r="R91" i="2"/>
  <c r="F91" i="2"/>
  <c r="S91" i="2"/>
  <c r="G91" i="2"/>
  <c r="I92" i="2"/>
  <c r="O92" i="2"/>
  <c r="J92" i="2"/>
  <c r="K92" i="2"/>
  <c r="L92" i="2"/>
  <c r="M92" i="2"/>
  <c r="B92" i="2"/>
  <c r="C92" i="2"/>
  <c r="P92" i="2"/>
  <c r="D92" i="2"/>
  <c r="Q92" i="2"/>
  <c r="E92" i="2"/>
  <c r="R92" i="2"/>
  <c r="F92" i="2"/>
  <c r="S92" i="2"/>
  <c r="G92" i="2"/>
  <c r="I93" i="2"/>
  <c r="O93" i="2"/>
  <c r="J93" i="2"/>
  <c r="K93" i="2"/>
  <c r="L93" i="2"/>
  <c r="M93" i="2"/>
  <c r="B93" i="2"/>
  <c r="C93" i="2"/>
  <c r="P93" i="2"/>
  <c r="D93" i="2"/>
  <c r="Q93" i="2"/>
  <c r="E93" i="2"/>
  <c r="R93" i="2"/>
  <c r="F93" i="2"/>
  <c r="S93" i="2"/>
  <c r="G93" i="2"/>
  <c r="I94" i="2"/>
  <c r="O94" i="2"/>
  <c r="J94" i="2"/>
  <c r="K94" i="2"/>
  <c r="L94" i="2"/>
  <c r="M94" i="2"/>
  <c r="B94" i="2"/>
  <c r="C94" i="2"/>
  <c r="P94" i="2"/>
  <c r="D94" i="2"/>
  <c r="Q94" i="2"/>
  <c r="E94" i="2"/>
  <c r="R94" i="2"/>
  <c r="F94" i="2"/>
  <c r="S94" i="2"/>
  <c r="G94" i="2"/>
  <c r="I95" i="2"/>
  <c r="O95" i="2"/>
  <c r="J95" i="2"/>
  <c r="K95" i="2"/>
  <c r="L95" i="2"/>
  <c r="M95" i="2"/>
  <c r="B95" i="2"/>
  <c r="C95" i="2"/>
  <c r="P95" i="2"/>
  <c r="D95" i="2"/>
  <c r="Q95" i="2"/>
  <c r="E95" i="2"/>
  <c r="R95" i="2"/>
  <c r="F95" i="2"/>
  <c r="S95" i="2"/>
  <c r="G95" i="2"/>
  <c r="I96" i="2"/>
  <c r="O96" i="2"/>
  <c r="J96" i="2"/>
  <c r="K96" i="2"/>
  <c r="L96" i="2"/>
  <c r="M96" i="2"/>
  <c r="B96" i="2"/>
  <c r="C96" i="2"/>
  <c r="P96" i="2"/>
  <c r="D96" i="2"/>
  <c r="Q96" i="2"/>
  <c r="E96" i="2"/>
  <c r="R96" i="2"/>
  <c r="F96" i="2"/>
  <c r="S96" i="2"/>
  <c r="G96" i="2"/>
  <c r="I97" i="2"/>
  <c r="O97" i="2"/>
  <c r="J97" i="2"/>
  <c r="K97" i="2"/>
  <c r="L97" i="2"/>
  <c r="M97" i="2"/>
  <c r="B97" i="2"/>
  <c r="C97" i="2"/>
  <c r="P97" i="2"/>
  <c r="D97" i="2"/>
  <c r="Q97" i="2"/>
  <c r="E97" i="2"/>
  <c r="R97" i="2"/>
  <c r="F97" i="2"/>
  <c r="S97" i="2"/>
  <c r="G97" i="2"/>
  <c r="I98" i="2"/>
  <c r="O98" i="2"/>
  <c r="J98" i="2"/>
  <c r="K98" i="2"/>
  <c r="L98" i="2"/>
  <c r="M98" i="2"/>
  <c r="B98" i="2"/>
  <c r="C98" i="2"/>
  <c r="P98" i="2"/>
  <c r="D98" i="2"/>
  <c r="Q98" i="2"/>
  <c r="E98" i="2"/>
  <c r="R98" i="2"/>
  <c r="F98" i="2"/>
  <c r="S98" i="2"/>
  <c r="G98" i="2"/>
  <c r="I99" i="2"/>
  <c r="O99" i="2"/>
  <c r="J99" i="2"/>
  <c r="K99" i="2"/>
  <c r="L99" i="2"/>
  <c r="M99" i="2"/>
  <c r="B99" i="2"/>
  <c r="C99" i="2"/>
  <c r="P99" i="2"/>
  <c r="D99" i="2"/>
  <c r="Q99" i="2"/>
  <c r="E99" i="2"/>
  <c r="R99" i="2"/>
  <c r="F99" i="2"/>
  <c r="S99" i="2"/>
  <c r="G99" i="2"/>
  <c r="I100" i="2"/>
  <c r="O100" i="2"/>
  <c r="J100" i="2"/>
  <c r="K100" i="2"/>
  <c r="L100" i="2"/>
  <c r="M100" i="2"/>
  <c r="B100" i="2"/>
  <c r="C100" i="2"/>
  <c r="P100" i="2"/>
  <c r="D100" i="2"/>
  <c r="Q100" i="2"/>
  <c r="E100" i="2"/>
  <c r="R100" i="2"/>
  <c r="F100" i="2"/>
  <c r="S100" i="2"/>
  <c r="G100" i="2"/>
  <c r="I101" i="2"/>
  <c r="O101" i="2"/>
  <c r="J101" i="2"/>
  <c r="K101" i="2"/>
  <c r="L101" i="2"/>
  <c r="M101" i="2"/>
  <c r="B101" i="2"/>
  <c r="C101" i="2"/>
  <c r="P101" i="2"/>
  <c r="D101" i="2"/>
  <c r="Q101" i="2"/>
  <c r="E101" i="2"/>
  <c r="R101" i="2"/>
  <c r="F101" i="2"/>
  <c r="S101" i="2"/>
  <c r="G101" i="2"/>
  <c r="I102" i="2"/>
  <c r="O102" i="2"/>
  <c r="J102" i="2"/>
  <c r="K102" i="2"/>
  <c r="L102" i="2"/>
  <c r="M102" i="2"/>
  <c r="B102" i="2"/>
  <c r="C102" i="2"/>
  <c r="P102" i="2"/>
  <c r="D102" i="2"/>
  <c r="Q102" i="2"/>
  <c r="E102" i="2"/>
  <c r="R102" i="2"/>
  <c r="F102" i="2"/>
  <c r="S102" i="2"/>
  <c r="G102" i="2"/>
  <c r="I103" i="2"/>
  <c r="O103" i="2"/>
  <c r="J103" i="2"/>
  <c r="K103" i="2"/>
  <c r="L103" i="2"/>
  <c r="M103" i="2"/>
  <c r="B103" i="2"/>
  <c r="C103" i="2"/>
  <c r="P103" i="2"/>
  <c r="D103" i="2"/>
  <c r="Q103" i="2"/>
  <c r="E103" i="2"/>
  <c r="R103" i="2"/>
  <c r="F103" i="2"/>
  <c r="S103" i="2"/>
  <c r="G103" i="2"/>
  <c r="I104" i="2"/>
  <c r="O104" i="2"/>
  <c r="J104" i="2"/>
  <c r="K104" i="2"/>
  <c r="L104" i="2"/>
  <c r="M104" i="2"/>
  <c r="B104" i="2"/>
  <c r="C104" i="2"/>
  <c r="P104" i="2"/>
  <c r="D104" i="2"/>
  <c r="Q104" i="2"/>
  <c r="E104" i="2"/>
  <c r="R104" i="2"/>
  <c r="F104" i="2"/>
  <c r="S104" i="2"/>
  <c r="G104" i="2"/>
  <c r="I105" i="2"/>
  <c r="O105" i="2"/>
  <c r="J105" i="2"/>
  <c r="K105" i="2"/>
  <c r="L105" i="2"/>
  <c r="M105" i="2"/>
  <c r="B105" i="2"/>
  <c r="C105" i="2"/>
  <c r="P105" i="2"/>
  <c r="D105" i="2"/>
  <c r="Q105" i="2"/>
  <c r="E105" i="2"/>
  <c r="R105" i="2"/>
  <c r="F105" i="2"/>
  <c r="S105" i="2"/>
  <c r="G105" i="2"/>
  <c r="I106" i="2"/>
  <c r="O106" i="2"/>
  <c r="J106" i="2"/>
  <c r="K106" i="2"/>
  <c r="L106" i="2"/>
  <c r="M106" i="2"/>
  <c r="B106" i="2"/>
  <c r="C106" i="2"/>
  <c r="P106" i="2"/>
  <c r="D106" i="2"/>
  <c r="Q106" i="2"/>
  <c r="E106" i="2"/>
  <c r="R106" i="2"/>
  <c r="F106" i="2"/>
  <c r="S106" i="2"/>
  <c r="G106" i="2"/>
  <c r="I107" i="2"/>
  <c r="O107" i="2"/>
  <c r="J107" i="2"/>
  <c r="K107" i="2"/>
  <c r="L107" i="2"/>
  <c r="M107" i="2"/>
  <c r="B107" i="2"/>
  <c r="C107" i="2"/>
  <c r="P107" i="2"/>
  <c r="D107" i="2"/>
  <c r="Q107" i="2"/>
  <c r="E107" i="2"/>
  <c r="R107" i="2"/>
  <c r="F107" i="2"/>
  <c r="S107" i="2"/>
  <c r="G107" i="2"/>
  <c r="I108" i="2"/>
  <c r="O108" i="2"/>
  <c r="J108" i="2"/>
  <c r="K108" i="2"/>
  <c r="L108" i="2"/>
  <c r="M108" i="2"/>
  <c r="B108" i="2"/>
  <c r="C108" i="2"/>
  <c r="P108" i="2"/>
  <c r="D108" i="2"/>
  <c r="Q108" i="2"/>
  <c r="E108" i="2"/>
  <c r="R108" i="2"/>
  <c r="F108" i="2"/>
  <c r="S108" i="2"/>
  <c r="G108" i="2"/>
  <c r="I109" i="2"/>
  <c r="O109" i="2"/>
  <c r="J109" i="2"/>
  <c r="K109" i="2"/>
  <c r="L109" i="2"/>
  <c r="M109" i="2"/>
  <c r="B109" i="2"/>
  <c r="C109" i="2"/>
  <c r="P109" i="2"/>
  <c r="D109" i="2"/>
  <c r="Q109" i="2"/>
  <c r="E109" i="2"/>
  <c r="R109" i="2"/>
  <c r="F109" i="2"/>
  <c r="S109" i="2"/>
  <c r="G109" i="2"/>
  <c r="I110" i="2"/>
  <c r="O110" i="2"/>
  <c r="J110" i="2"/>
  <c r="K110" i="2"/>
  <c r="L110" i="2"/>
  <c r="M110" i="2"/>
  <c r="B110" i="2"/>
  <c r="C110" i="2"/>
  <c r="P110" i="2"/>
  <c r="D110" i="2"/>
  <c r="Q110" i="2"/>
  <c r="E110" i="2"/>
  <c r="R110" i="2"/>
  <c r="F110" i="2"/>
  <c r="S110" i="2"/>
  <c r="G110" i="2"/>
  <c r="I111" i="2"/>
  <c r="O111" i="2"/>
  <c r="J111" i="2"/>
  <c r="K111" i="2"/>
  <c r="L111" i="2"/>
  <c r="M111" i="2"/>
  <c r="B111" i="2"/>
  <c r="C111" i="2"/>
  <c r="P111" i="2"/>
  <c r="D111" i="2"/>
  <c r="Q111" i="2"/>
  <c r="E111" i="2"/>
  <c r="R111" i="2"/>
  <c r="F111" i="2"/>
  <c r="S111" i="2"/>
  <c r="G111" i="2"/>
  <c r="I112" i="2"/>
  <c r="O112" i="2"/>
  <c r="J112" i="2"/>
  <c r="K112" i="2"/>
  <c r="L112" i="2"/>
  <c r="M112" i="2"/>
  <c r="B112" i="2"/>
  <c r="C112" i="2"/>
  <c r="P112" i="2"/>
  <c r="D112" i="2"/>
  <c r="Q112" i="2"/>
  <c r="E112" i="2"/>
  <c r="R112" i="2"/>
  <c r="F112" i="2"/>
  <c r="S112" i="2"/>
  <c r="G112" i="2"/>
  <c r="I113" i="2"/>
  <c r="O113" i="2"/>
  <c r="J113" i="2"/>
  <c r="K113" i="2"/>
  <c r="L113" i="2"/>
  <c r="M113" i="2"/>
  <c r="B113" i="2"/>
  <c r="C113" i="2"/>
  <c r="P113" i="2"/>
  <c r="D113" i="2"/>
  <c r="Q113" i="2"/>
  <c r="E113" i="2"/>
  <c r="R113" i="2"/>
  <c r="F113" i="2"/>
  <c r="S113" i="2"/>
  <c r="G113" i="2"/>
  <c r="I114" i="2"/>
  <c r="O114" i="2"/>
  <c r="J114" i="2"/>
  <c r="K114" i="2"/>
  <c r="L114" i="2"/>
  <c r="M114" i="2"/>
  <c r="B114" i="2"/>
  <c r="C114" i="2"/>
  <c r="P114" i="2"/>
  <c r="D114" i="2"/>
  <c r="Q114" i="2"/>
  <c r="E114" i="2"/>
  <c r="R114" i="2"/>
  <c r="F114" i="2"/>
  <c r="S114" i="2"/>
  <c r="G114" i="2"/>
  <c r="I115" i="2"/>
  <c r="O115" i="2"/>
  <c r="J115" i="2"/>
  <c r="K115" i="2"/>
  <c r="L115" i="2"/>
  <c r="M115" i="2"/>
  <c r="B115" i="2"/>
  <c r="C115" i="2"/>
  <c r="P115" i="2"/>
  <c r="D115" i="2"/>
  <c r="Q115" i="2"/>
  <c r="E115" i="2"/>
  <c r="R115" i="2"/>
  <c r="F115" i="2"/>
  <c r="S115" i="2"/>
  <c r="G115" i="2"/>
  <c r="I116" i="2"/>
  <c r="O116" i="2"/>
  <c r="J116" i="2"/>
  <c r="K116" i="2"/>
  <c r="L116" i="2"/>
  <c r="M116" i="2"/>
  <c r="B116" i="2"/>
  <c r="C116" i="2"/>
  <c r="P116" i="2"/>
  <c r="D116" i="2"/>
  <c r="Q116" i="2"/>
  <c r="E116" i="2"/>
  <c r="R116" i="2"/>
  <c r="F116" i="2"/>
  <c r="S116" i="2"/>
  <c r="G116" i="2"/>
  <c r="I117" i="2"/>
  <c r="O117" i="2"/>
  <c r="J117" i="2"/>
  <c r="K117" i="2"/>
  <c r="L117" i="2"/>
  <c r="M117" i="2"/>
  <c r="B117" i="2"/>
  <c r="C117" i="2"/>
  <c r="P117" i="2"/>
  <c r="D117" i="2"/>
  <c r="Q117" i="2"/>
  <c r="E117" i="2"/>
  <c r="R117" i="2"/>
  <c r="F117" i="2"/>
  <c r="S117" i="2"/>
  <c r="G117" i="2"/>
  <c r="I118" i="2"/>
  <c r="O118" i="2"/>
  <c r="J118" i="2"/>
  <c r="K118" i="2"/>
  <c r="L118" i="2"/>
  <c r="M118" i="2"/>
  <c r="B118" i="2"/>
  <c r="C118" i="2"/>
  <c r="P118" i="2"/>
  <c r="D118" i="2"/>
  <c r="Q118" i="2"/>
  <c r="E118" i="2"/>
  <c r="R118" i="2"/>
  <c r="F118" i="2"/>
  <c r="S118" i="2"/>
  <c r="G118" i="2"/>
  <c r="I119" i="2"/>
  <c r="O119" i="2"/>
  <c r="J119" i="2"/>
  <c r="K119" i="2"/>
  <c r="L119" i="2"/>
  <c r="M119" i="2"/>
  <c r="B119" i="2"/>
  <c r="C119" i="2"/>
  <c r="P119" i="2"/>
  <c r="D119" i="2"/>
  <c r="Q119" i="2"/>
  <c r="E119" i="2"/>
  <c r="R119" i="2"/>
  <c r="F119" i="2"/>
  <c r="S119" i="2"/>
  <c r="G119" i="2"/>
  <c r="I120" i="2"/>
  <c r="O120" i="2"/>
  <c r="J120" i="2"/>
  <c r="K120" i="2"/>
  <c r="L120" i="2"/>
  <c r="M120" i="2"/>
  <c r="B120" i="2"/>
  <c r="C120" i="2"/>
  <c r="P120" i="2"/>
  <c r="D120" i="2"/>
  <c r="Q120" i="2"/>
  <c r="E120" i="2"/>
  <c r="R120" i="2"/>
  <c r="F120" i="2"/>
  <c r="S120" i="2"/>
  <c r="G120" i="2"/>
  <c r="I121" i="2"/>
  <c r="O121" i="2"/>
  <c r="J121" i="2"/>
  <c r="K121" i="2"/>
  <c r="L121" i="2"/>
  <c r="M121" i="2"/>
  <c r="B121" i="2"/>
  <c r="C121" i="2"/>
  <c r="P121" i="2"/>
  <c r="D121" i="2"/>
  <c r="Q121" i="2"/>
  <c r="E121" i="2"/>
  <c r="R121" i="2"/>
  <c r="F121" i="2"/>
  <c r="S121" i="2"/>
  <c r="G121" i="2"/>
  <c r="I122" i="2"/>
  <c r="O122" i="2"/>
  <c r="J122" i="2"/>
  <c r="K122" i="2"/>
  <c r="L122" i="2"/>
  <c r="M122" i="2"/>
  <c r="B122" i="2"/>
  <c r="C122" i="2"/>
  <c r="P122" i="2"/>
  <c r="D122" i="2"/>
  <c r="Q122" i="2"/>
  <c r="E122" i="2"/>
  <c r="R122" i="2"/>
  <c r="F122" i="2"/>
  <c r="S122" i="2"/>
  <c r="G122" i="2"/>
  <c r="I123" i="2"/>
  <c r="O123" i="2"/>
  <c r="J123" i="2"/>
  <c r="K123" i="2"/>
  <c r="L123" i="2"/>
  <c r="M123" i="2"/>
  <c r="B123" i="2"/>
  <c r="C123" i="2"/>
  <c r="P123" i="2"/>
  <c r="D123" i="2"/>
  <c r="Q123" i="2"/>
  <c r="E123" i="2"/>
  <c r="R123" i="2"/>
  <c r="F123" i="2"/>
  <c r="S123" i="2"/>
  <c r="G123" i="2"/>
  <c r="I124" i="2"/>
  <c r="O124" i="2"/>
  <c r="J124" i="2"/>
  <c r="K124" i="2"/>
  <c r="L124" i="2"/>
  <c r="M124" i="2"/>
  <c r="B124" i="2"/>
  <c r="C124" i="2"/>
  <c r="P124" i="2"/>
  <c r="D124" i="2"/>
  <c r="Q124" i="2"/>
  <c r="E124" i="2"/>
  <c r="R124" i="2"/>
  <c r="F124" i="2"/>
  <c r="S124" i="2"/>
  <c r="G124" i="2"/>
  <c r="I125" i="2"/>
  <c r="O125" i="2"/>
  <c r="J125" i="2"/>
  <c r="K125" i="2"/>
  <c r="L125" i="2"/>
  <c r="M125" i="2"/>
  <c r="B125" i="2"/>
  <c r="C125" i="2"/>
  <c r="P125" i="2"/>
  <c r="D125" i="2"/>
  <c r="Q125" i="2"/>
  <c r="E125" i="2"/>
  <c r="R125" i="2"/>
  <c r="F125" i="2"/>
  <c r="S125" i="2"/>
  <c r="G125" i="2"/>
  <c r="I126" i="2"/>
  <c r="O126" i="2"/>
  <c r="J126" i="2"/>
  <c r="K126" i="2"/>
  <c r="L126" i="2"/>
  <c r="M126" i="2"/>
  <c r="B126" i="2"/>
  <c r="C126" i="2"/>
  <c r="P126" i="2"/>
  <c r="D126" i="2"/>
  <c r="Q126" i="2"/>
  <c r="E126" i="2"/>
  <c r="R126" i="2"/>
  <c r="F126" i="2"/>
  <c r="S126" i="2"/>
  <c r="G126" i="2"/>
  <c r="I127" i="2"/>
  <c r="O127" i="2"/>
  <c r="J127" i="2"/>
  <c r="K127" i="2"/>
  <c r="L127" i="2"/>
  <c r="M127" i="2"/>
  <c r="B127" i="2"/>
  <c r="C127" i="2"/>
  <c r="P127" i="2"/>
  <c r="D127" i="2"/>
  <c r="Q127" i="2"/>
  <c r="E127" i="2"/>
  <c r="R127" i="2"/>
  <c r="F127" i="2"/>
  <c r="S127" i="2"/>
  <c r="G127" i="2"/>
  <c r="I128" i="2"/>
  <c r="O128" i="2"/>
  <c r="J128" i="2"/>
  <c r="K128" i="2"/>
  <c r="L128" i="2"/>
  <c r="M128" i="2"/>
  <c r="B128" i="2"/>
  <c r="C128" i="2"/>
  <c r="P128" i="2"/>
  <c r="D128" i="2"/>
  <c r="Q128" i="2"/>
  <c r="E128" i="2"/>
  <c r="R128" i="2"/>
  <c r="F128" i="2"/>
  <c r="S128" i="2"/>
  <c r="G128" i="2"/>
  <c r="I129" i="2"/>
  <c r="O129" i="2"/>
  <c r="J129" i="2"/>
  <c r="K129" i="2"/>
  <c r="L129" i="2"/>
  <c r="M129" i="2"/>
  <c r="B129" i="2"/>
  <c r="C129" i="2"/>
  <c r="P129" i="2"/>
  <c r="D129" i="2"/>
  <c r="Q129" i="2"/>
  <c r="E129" i="2"/>
  <c r="R129" i="2"/>
  <c r="F129" i="2"/>
  <c r="S129" i="2"/>
  <c r="G129" i="2"/>
  <c r="I130" i="2"/>
  <c r="O130" i="2"/>
  <c r="J130" i="2"/>
  <c r="K130" i="2"/>
  <c r="L130" i="2"/>
  <c r="M130" i="2"/>
  <c r="B130" i="2"/>
  <c r="C130" i="2"/>
  <c r="P130" i="2"/>
  <c r="D130" i="2"/>
  <c r="Q130" i="2"/>
  <c r="E130" i="2"/>
  <c r="R130" i="2"/>
  <c r="F130" i="2"/>
  <c r="S130" i="2"/>
  <c r="G130" i="2"/>
  <c r="I131" i="2"/>
  <c r="O131" i="2"/>
  <c r="J131" i="2"/>
  <c r="K131" i="2"/>
  <c r="L131" i="2"/>
  <c r="M131" i="2"/>
  <c r="B131" i="2"/>
  <c r="C131" i="2"/>
  <c r="P131" i="2"/>
  <c r="D131" i="2"/>
  <c r="Q131" i="2"/>
  <c r="E131" i="2"/>
  <c r="R131" i="2"/>
  <c r="F131" i="2"/>
  <c r="S131" i="2"/>
  <c r="G131" i="2"/>
  <c r="I132" i="2"/>
  <c r="O132" i="2"/>
  <c r="J132" i="2"/>
  <c r="K132" i="2"/>
  <c r="L132" i="2"/>
  <c r="M132" i="2"/>
  <c r="B132" i="2"/>
  <c r="C132" i="2"/>
  <c r="P132" i="2"/>
  <c r="D132" i="2"/>
  <c r="Q132" i="2"/>
  <c r="E132" i="2"/>
  <c r="R132" i="2"/>
  <c r="F132" i="2"/>
  <c r="S132" i="2"/>
  <c r="G132" i="2"/>
  <c r="I133" i="2"/>
  <c r="O133" i="2"/>
  <c r="J133" i="2"/>
  <c r="K133" i="2"/>
  <c r="L133" i="2"/>
  <c r="M133" i="2"/>
  <c r="B133" i="2"/>
  <c r="C133" i="2"/>
  <c r="P133" i="2"/>
  <c r="D133" i="2"/>
  <c r="Q133" i="2"/>
  <c r="E133" i="2"/>
  <c r="R133" i="2"/>
  <c r="F133" i="2"/>
  <c r="S133" i="2"/>
  <c r="G133" i="2"/>
  <c r="I134" i="2"/>
  <c r="O134" i="2"/>
  <c r="J134" i="2"/>
  <c r="K134" i="2"/>
  <c r="L134" i="2"/>
  <c r="M134" i="2"/>
  <c r="B134" i="2"/>
  <c r="C134" i="2"/>
  <c r="P134" i="2"/>
  <c r="D134" i="2"/>
  <c r="Q134" i="2"/>
  <c r="E134" i="2"/>
  <c r="R134" i="2"/>
  <c r="F134" i="2"/>
  <c r="S134" i="2"/>
  <c r="G134" i="2"/>
  <c r="I135" i="2"/>
  <c r="O135" i="2"/>
  <c r="J135" i="2"/>
  <c r="K135" i="2"/>
  <c r="L135" i="2"/>
  <c r="M135" i="2"/>
  <c r="B135" i="2"/>
  <c r="C135" i="2"/>
  <c r="P135" i="2"/>
  <c r="D135" i="2"/>
  <c r="Q135" i="2"/>
  <c r="E135" i="2"/>
  <c r="R135" i="2"/>
  <c r="F135" i="2"/>
  <c r="S135" i="2"/>
  <c r="G135" i="2"/>
  <c r="I136" i="2"/>
  <c r="O136" i="2"/>
  <c r="J136" i="2"/>
  <c r="K136" i="2"/>
  <c r="L136" i="2"/>
  <c r="M136" i="2"/>
  <c r="B136" i="2"/>
  <c r="C136" i="2"/>
  <c r="P136" i="2"/>
  <c r="D136" i="2"/>
  <c r="Q136" i="2"/>
  <c r="E136" i="2"/>
  <c r="R136" i="2"/>
  <c r="F136" i="2"/>
  <c r="S136" i="2"/>
  <c r="G136" i="2"/>
  <c r="I137" i="2"/>
  <c r="O137" i="2"/>
  <c r="J137" i="2"/>
  <c r="K137" i="2"/>
  <c r="L137" i="2"/>
  <c r="M137" i="2"/>
  <c r="B137" i="2"/>
  <c r="C137" i="2"/>
  <c r="P137" i="2"/>
  <c r="D137" i="2"/>
  <c r="Q137" i="2"/>
  <c r="E137" i="2"/>
  <c r="R137" i="2"/>
  <c r="F137" i="2"/>
  <c r="S137" i="2"/>
  <c r="G137" i="2"/>
  <c r="I138" i="2"/>
  <c r="O138" i="2"/>
  <c r="J138" i="2"/>
  <c r="K138" i="2"/>
  <c r="L138" i="2"/>
  <c r="M138" i="2"/>
  <c r="B138" i="2"/>
  <c r="C138" i="2"/>
  <c r="P138" i="2"/>
  <c r="D138" i="2"/>
  <c r="Q138" i="2"/>
  <c r="E138" i="2"/>
  <c r="R138" i="2"/>
  <c r="F138" i="2"/>
  <c r="S138" i="2"/>
  <c r="G138" i="2"/>
  <c r="I139" i="2"/>
  <c r="O139" i="2"/>
  <c r="J139" i="2"/>
  <c r="K139" i="2"/>
  <c r="L139" i="2"/>
  <c r="M139" i="2"/>
  <c r="B139" i="2"/>
  <c r="C139" i="2"/>
  <c r="P139" i="2"/>
  <c r="D139" i="2"/>
  <c r="Q139" i="2"/>
  <c r="E139" i="2"/>
  <c r="R139" i="2"/>
  <c r="F139" i="2"/>
  <c r="S139" i="2"/>
  <c r="G139" i="2"/>
  <c r="I140" i="2"/>
  <c r="O140" i="2"/>
  <c r="J140" i="2"/>
  <c r="K140" i="2"/>
  <c r="L140" i="2"/>
  <c r="M140" i="2"/>
  <c r="B140" i="2"/>
  <c r="C140" i="2"/>
  <c r="P140" i="2"/>
  <c r="D140" i="2"/>
  <c r="Q140" i="2"/>
  <c r="E140" i="2"/>
  <c r="R140" i="2"/>
  <c r="F140" i="2"/>
  <c r="S140" i="2"/>
  <c r="G140" i="2"/>
  <c r="I141" i="2"/>
  <c r="O141" i="2"/>
  <c r="J141" i="2"/>
  <c r="K141" i="2"/>
  <c r="L141" i="2"/>
  <c r="M141" i="2"/>
  <c r="B141" i="2"/>
  <c r="C141" i="2"/>
  <c r="P141" i="2"/>
  <c r="D141" i="2"/>
  <c r="Q141" i="2"/>
  <c r="E141" i="2"/>
  <c r="R141" i="2"/>
  <c r="F141" i="2"/>
  <c r="S141" i="2"/>
  <c r="G141" i="2"/>
  <c r="I142" i="2"/>
  <c r="O142" i="2"/>
  <c r="J142" i="2"/>
  <c r="K142" i="2"/>
  <c r="L142" i="2"/>
  <c r="M142" i="2"/>
  <c r="B142" i="2"/>
  <c r="C142" i="2"/>
  <c r="P142" i="2"/>
  <c r="D142" i="2"/>
  <c r="Q142" i="2"/>
  <c r="E142" i="2"/>
  <c r="R142" i="2"/>
  <c r="F142" i="2"/>
  <c r="S142" i="2"/>
  <c r="G142" i="2"/>
  <c r="I143" i="2"/>
  <c r="O143" i="2"/>
  <c r="J143" i="2"/>
  <c r="K143" i="2"/>
  <c r="L143" i="2"/>
  <c r="M143" i="2"/>
  <c r="B143" i="2"/>
  <c r="C143" i="2"/>
  <c r="P143" i="2"/>
  <c r="D143" i="2"/>
  <c r="Q143" i="2"/>
  <c r="E143" i="2"/>
  <c r="R143" i="2"/>
  <c r="F143" i="2"/>
  <c r="S143" i="2"/>
  <c r="G143" i="2"/>
  <c r="I144" i="2"/>
  <c r="O144" i="2"/>
  <c r="J144" i="2"/>
  <c r="K144" i="2"/>
  <c r="L144" i="2"/>
  <c r="M144" i="2"/>
  <c r="B144" i="2"/>
  <c r="C144" i="2"/>
  <c r="P144" i="2"/>
  <c r="D144" i="2"/>
  <c r="Q144" i="2"/>
  <c r="E144" i="2"/>
  <c r="R144" i="2"/>
  <c r="F144" i="2"/>
  <c r="S144" i="2"/>
  <c r="G144" i="2"/>
  <c r="I145" i="2"/>
  <c r="O145" i="2"/>
  <c r="J145" i="2"/>
  <c r="K145" i="2"/>
  <c r="L145" i="2"/>
  <c r="M145" i="2"/>
  <c r="B145" i="2"/>
  <c r="C145" i="2"/>
  <c r="P145" i="2"/>
  <c r="D145" i="2"/>
  <c r="Q145" i="2"/>
  <c r="E145" i="2"/>
  <c r="R145" i="2"/>
  <c r="F145" i="2"/>
  <c r="S145" i="2"/>
  <c r="G145" i="2"/>
  <c r="I146" i="2"/>
  <c r="O146" i="2"/>
  <c r="J146" i="2"/>
  <c r="K146" i="2"/>
  <c r="L146" i="2"/>
  <c r="M146" i="2"/>
  <c r="B146" i="2"/>
  <c r="C146" i="2"/>
  <c r="P146" i="2"/>
  <c r="D146" i="2"/>
  <c r="Q146" i="2"/>
  <c r="E146" i="2"/>
  <c r="R146" i="2"/>
  <c r="F146" i="2"/>
  <c r="S146" i="2"/>
  <c r="G146" i="2"/>
  <c r="I147" i="2"/>
  <c r="O147" i="2"/>
  <c r="J147" i="2"/>
  <c r="K147" i="2"/>
  <c r="L147" i="2"/>
  <c r="M147" i="2"/>
  <c r="B147" i="2"/>
  <c r="C147" i="2"/>
  <c r="P147" i="2"/>
  <c r="D147" i="2"/>
  <c r="Q147" i="2"/>
  <c r="E147" i="2"/>
  <c r="R147" i="2"/>
  <c r="F147" i="2"/>
  <c r="S147" i="2"/>
  <c r="G147" i="2"/>
  <c r="I148" i="2"/>
  <c r="O148" i="2"/>
  <c r="J148" i="2"/>
  <c r="K148" i="2"/>
  <c r="L148" i="2"/>
  <c r="M148" i="2"/>
  <c r="B148" i="2"/>
  <c r="C148" i="2"/>
  <c r="P148" i="2"/>
  <c r="D148" i="2"/>
  <c r="Q148" i="2"/>
  <c r="E148" i="2"/>
  <c r="R148" i="2"/>
  <c r="F148" i="2"/>
  <c r="S148" i="2"/>
  <c r="G148" i="2"/>
  <c r="I149" i="2"/>
  <c r="O149" i="2"/>
  <c r="J149" i="2"/>
  <c r="K149" i="2"/>
  <c r="L149" i="2"/>
  <c r="M149" i="2"/>
  <c r="B149" i="2"/>
  <c r="C149" i="2"/>
  <c r="P149" i="2"/>
  <c r="D149" i="2"/>
  <c r="Q149" i="2"/>
  <c r="E149" i="2"/>
  <c r="R149" i="2"/>
  <c r="F149" i="2"/>
  <c r="S149" i="2"/>
  <c r="G149" i="2"/>
  <c r="I150" i="2"/>
  <c r="O150" i="2"/>
  <c r="J150" i="2"/>
  <c r="K150" i="2"/>
  <c r="L150" i="2"/>
  <c r="M150" i="2"/>
  <c r="B150" i="2"/>
  <c r="C150" i="2"/>
  <c r="P150" i="2"/>
  <c r="D150" i="2"/>
  <c r="Q150" i="2"/>
  <c r="E150" i="2"/>
  <c r="R150" i="2"/>
  <c r="F150" i="2"/>
  <c r="S150" i="2"/>
  <c r="G150" i="2"/>
  <c r="I151" i="2"/>
  <c r="O151" i="2"/>
  <c r="J151" i="2"/>
  <c r="K151" i="2"/>
  <c r="L151" i="2"/>
  <c r="M151" i="2"/>
  <c r="B151" i="2"/>
  <c r="C151" i="2"/>
  <c r="P151" i="2"/>
  <c r="D151" i="2"/>
  <c r="Q151" i="2"/>
  <c r="E151" i="2"/>
  <c r="R151" i="2"/>
  <c r="F151" i="2"/>
  <c r="S151" i="2"/>
  <c r="G151" i="2"/>
  <c r="I152" i="2"/>
  <c r="O152" i="2"/>
  <c r="J152" i="2"/>
  <c r="K152" i="2"/>
  <c r="L152" i="2"/>
  <c r="M152" i="2"/>
  <c r="B152" i="2"/>
  <c r="C152" i="2"/>
  <c r="P152" i="2"/>
  <c r="D152" i="2"/>
  <c r="Q152" i="2"/>
  <c r="E152" i="2"/>
  <c r="R152" i="2"/>
  <c r="F152" i="2"/>
  <c r="S152" i="2"/>
  <c r="G152" i="2"/>
  <c r="I153" i="2"/>
  <c r="O153" i="2"/>
  <c r="J153" i="2"/>
  <c r="K153" i="2"/>
  <c r="L153" i="2"/>
  <c r="M153" i="2"/>
  <c r="B153" i="2"/>
  <c r="C153" i="2"/>
  <c r="P153" i="2"/>
  <c r="D153" i="2"/>
  <c r="Q153" i="2"/>
  <c r="E153" i="2"/>
  <c r="R153" i="2"/>
  <c r="F153" i="2"/>
  <c r="S153" i="2"/>
  <c r="G153" i="2"/>
  <c r="I154" i="2"/>
  <c r="O154" i="2"/>
  <c r="J154" i="2"/>
  <c r="K154" i="2"/>
  <c r="L154" i="2"/>
  <c r="M154" i="2"/>
  <c r="B154" i="2"/>
  <c r="C154" i="2"/>
  <c r="P154" i="2"/>
  <c r="D154" i="2"/>
  <c r="Q154" i="2"/>
  <c r="E154" i="2"/>
  <c r="R154" i="2"/>
  <c r="F154" i="2"/>
  <c r="S154" i="2"/>
  <c r="G154" i="2"/>
  <c r="I155" i="2"/>
  <c r="O155" i="2"/>
  <c r="J155" i="2"/>
  <c r="K155" i="2"/>
  <c r="L155" i="2"/>
  <c r="M155" i="2"/>
  <c r="B155" i="2"/>
  <c r="C155" i="2"/>
  <c r="P155" i="2"/>
  <c r="D155" i="2"/>
  <c r="Q155" i="2"/>
  <c r="E155" i="2"/>
  <c r="R155" i="2"/>
  <c r="F155" i="2"/>
  <c r="S155" i="2"/>
  <c r="G155" i="2"/>
  <c r="I156" i="2"/>
  <c r="O156" i="2"/>
  <c r="J156" i="2"/>
  <c r="K156" i="2"/>
  <c r="L156" i="2"/>
  <c r="M156" i="2"/>
  <c r="B156" i="2"/>
  <c r="C156" i="2"/>
  <c r="P156" i="2"/>
  <c r="D156" i="2"/>
  <c r="Q156" i="2"/>
  <c r="E156" i="2"/>
  <c r="R156" i="2"/>
  <c r="F156" i="2"/>
  <c r="S156" i="2"/>
  <c r="G156" i="2"/>
  <c r="I157" i="2"/>
  <c r="O157" i="2"/>
  <c r="J157" i="2"/>
  <c r="K157" i="2"/>
  <c r="L157" i="2"/>
  <c r="M157" i="2"/>
  <c r="B157" i="2"/>
  <c r="C157" i="2"/>
  <c r="P157" i="2"/>
  <c r="D157" i="2"/>
  <c r="Q157" i="2"/>
  <c r="E157" i="2"/>
  <c r="R157" i="2"/>
  <c r="F157" i="2"/>
  <c r="S157" i="2"/>
  <c r="G157" i="2"/>
  <c r="I158" i="2"/>
  <c r="O158" i="2"/>
  <c r="J158" i="2"/>
  <c r="K158" i="2"/>
  <c r="L158" i="2"/>
  <c r="M158" i="2"/>
  <c r="B158" i="2"/>
  <c r="C158" i="2"/>
  <c r="P158" i="2"/>
  <c r="D158" i="2"/>
  <c r="Q158" i="2"/>
  <c r="E158" i="2"/>
  <c r="R158" i="2"/>
  <c r="F158" i="2"/>
  <c r="S158" i="2"/>
  <c r="G158" i="2"/>
  <c r="I159" i="2"/>
  <c r="O159" i="2"/>
  <c r="J159" i="2"/>
  <c r="K159" i="2"/>
  <c r="L159" i="2"/>
  <c r="M159" i="2"/>
  <c r="B159" i="2"/>
  <c r="C159" i="2"/>
  <c r="P159" i="2"/>
  <c r="D159" i="2"/>
  <c r="Q159" i="2"/>
  <c r="E159" i="2"/>
  <c r="R159" i="2"/>
  <c r="F159" i="2"/>
  <c r="S159" i="2"/>
  <c r="G159" i="2"/>
  <c r="I160" i="2"/>
  <c r="O160" i="2"/>
  <c r="J160" i="2"/>
  <c r="K160" i="2"/>
  <c r="L160" i="2"/>
  <c r="M160" i="2"/>
  <c r="B160" i="2"/>
  <c r="C160" i="2"/>
  <c r="P160" i="2"/>
  <c r="D160" i="2"/>
  <c r="Q160" i="2"/>
  <c r="E160" i="2"/>
  <c r="R160" i="2"/>
  <c r="F160" i="2"/>
  <c r="S160" i="2"/>
  <c r="G160" i="2"/>
  <c r="I161" i="2"/>
  <c r="O161" i="2"/>
  <c r="J161" i="2"/>
  <c r="K161" i="2"/>
  <c r="L161" i="2"/>
  <c r="M161" i="2"/>
  <c r="B161" i="2"/>
  <c r="C161" i="2"/>
  <c r="P161" i="2"/>
  <c r="D161" i="2"/>
  <c r="Q161" i="2"/>
  <c r="E161" i="2"/>
  <c r="R161" i="2"/>
  <c r="F161" i="2"/>
  <c r="S161" i="2"/>
  <c r="G161" i="2"/>
  <c r="I162" i="2"/>
  <c r="O162" i="2"/>
  <c r="J162" i="2"/>
  <c r="K162" i="2"/>
  <c r="L162" i="2"/>
  <c r="M162" i="2"/>
  <c r="B162" i="2"/>
  <c r="C162" i="2"/>
  <c r="P162" i="2"/>
  <c r="D162" i="2"/>
  <c r="Q162" i="2"/>
  <c r="E162" i="2"/>
  <c r="R162" i="2"/>
  <c r="F162" i="2"/>
  <c r="S162" i="2"/>
  <c r="G162" i="2"/>
  <c r="I163" i="2"/>
  <c r="O163" i="2"/>
  <c r="J163" i="2"/>
  <c r="K163" i="2"/>
  <c r="L163" i="2"/>
  <c r="M163" i="2"/>
  <c r="B163" i="2"/>
  <c r="C163" i="2"/>
  <c r="P163" i="2"/>
  <c r="D163" i="2"/>
  <c r="Q163" i="2"/>
  <c r="E163" i="2"/>
  <c r="R163" i="2"/>
  <c r="F163" i="2"/>
  <c r="S163" i="2"/>
  <c r="G163" i="2"/>
  <c r="I164" i="2"/>
  <c r="O164" i="2"/>
  <c r="J164" i="2"/>
  <c r="K164" i="2"/>
  <c r="L164" i="2"/>
  <c r="M164" i="2"/>
  <c r="B164" i="2"/>
  <c r="C164" i="2"/>
  <c r="P164" i="2"/>
  <c r="D164" i="2"/>
  <c r="Q164" i="2"/>
  <c r="E164" i="2"/>
  <c r="R164" i="2"/>
  <c r="F164" i="2"/>
  <c r="S164" i="2"/>
  <c r="G164" i="2"/>
  <c r="I165" i="2"/>
  <c r="O165" i="2"/>
  <c r="J165" i="2"/>
  <c r="K165" i="2"/>
  <c r="L165" i="2"/>
  <c r="M165" i="2"/>
  <c r="B165" i="2"/>
  <c r="C165" i="2"/>
  <c r="P165" i="2"/>
  <c r="D165" i="2"/>
  <c r="Q165" i="2"/>
  <c r="E165" i="2"/>
  <c r="R165" i="2"/>
  <c r="F165" i="2"/>
  <c r="S165" i="2"/>
  <c r="G165" i="2"/>
  <c r="I166" i="2"/>
  <c r="O166" i="2"/>
  <c r="J166" i="2"/>
  <c r="K166" i="2"/>
  <c r="L166" i="2"/>
  <c r="M166" i="2"/>
  <c r="B166" i="2"/>
  <c r="C166" i="2"/>
  <c r="P166" i="2"/>
  <c r="D166" i="2"/>
  <c r="Q166" i="2"/>
  <c r="E166" i="2"/>
  <c r="R166" i="2"/>
  <c r="F166" i="2"/>
  <c r="S166" i="2"/>
  <c r="G166" i="2"/>
  <c r="I167" i="2"/>
  <c r="O167" i="2"/>
  <c r="J167" i="2"/>
  <c r="K167" i="2"/>
  <c r="L167" i="2"/>
  <c r="M167" i="2"/>
  <c r="B167" i="2"/>
  <c r="C167" i="2"/>
  <c r="P167" i="2"/>
  <c r="D167" i="2"/>
  <c r="Q167" i="2"/>
  <c r="E167" i="2"/>
  <c r="R167" i="2"/>
  <c r="F167" i="2"/>
  <c r="S167" i="2"/>
  <c r="G167" i="2"/>
  <c r="I168" i="2"/>
  <c r="O168" i="2"/>
  <c r="J168" i="2"/>
  <c r="K168" i="2"/>
  <c r="L168" i="2"/>
  <c r="M168" i="2"/>
  <c r="B168" i="2"/>
  <c r="C168" i="2"/>
  <c r="P168" i="2"/>
  <c r="D168" i="2"/>
  <c r="Q168" i="2"/>
  <c r="E168" i="2"/>
  <c r="R168" i="2"/>
  <c r="F168" i="2"/>
  <c r="S168" i="2"/>
  <c r="G168" i="2"/>
  <c r="I169" i="2"/>
  <c r="O169" i="2"/>
  <c r="J169" i="2"/>
  <c r="K169" i="2"/>
  <c r="L169" i="2"/>
  <c r="M169" i="2"/>
  <c r="B169" i="2"/>
  <c r="C169" i="2"/>
  <c r="P169" i="2"/>
  <c r="D169" i="2"/>
  <c r="Q169" i="2"/>
  <c r="E169" i="2"/>
  <c r="R169" i="2"/>
  <c r="F169" i="2"/>
  <c r="S169" i="2"/>
  <c r="G169" i="2"/>
  <c r="I170" i="2"/>
  <c r="O170" i="2"/>
  <c r="J170" i="2"/>
  <c r="K170" i="2"/>
  <c r="L170" i="2"/>
  <c r="M170" i="2"/>
  <c r="B170" i="2"/>
  <c r="C170" i="2"/>
  <c r="P170" i="2"/>
  <c r="D170" i="2"/>
  <c r="Q170" i="2"/>
  <c r="E170" i="2"/>
  <c r="R170" i="2"/>
  <c r="F170" i="2"/>
  <c r="S170" i="2"/>
  <c r="G170" i="2"/>
  <c r="I171" i="2"/>
  <c r="O171" i="2"/>
  <c r="J171" i="2"/>
  <c r="K171" i="2"/>
  <c r="L171" i="2"/>
  <c r="M171" i="2"/>
  <c r="B171" i="2"/>
  <c r="C171" i="2"/>
  <c r="P171" i="2"/>
  <c r="D171" i="2"/>
  <c r="Q171" i="2"/>
  <c r="E171" i="2"/>
  <c r="R171" i="2"/>
  <c r="F171" i="2"/>
  <c r="S171" i="2"/>
  <c r="G171" i="2"/>
  <c r="I172" i="2"/>
  <c r="O172" i="2"/>
  <c r="J172" i="2"/>
  <c r="K172" i="2"/>
  <c r="L172" i="2"/>
  <c r="M172" i="2"/>
  <c r="B172" i="2"/>
  <c r="C172" i="2"/>
  <c r="P172" i="2"/>
  <c r="D172" i="2"/>
  <c r="Q172" i="2"/>
  <c r="E172" i="2"/>
  <c r="R172" i="2"/>
  <c r="F172" i="2"/>
  <c r="S172" i="2"/>
  <c r="G172" i="2"/>
  <c r="I173" i="2"/>
  <c r="O173" i="2"/>
  <c r="J173" i="2"/>
  <c r="K173" i="2"/>
  <c r="L173" i="2"/>
  <c r="M173" i="2"/>
  <c r="B173" i="2"/>
  <c r="C173" i="2"/>
  <c r="P173" i="2"/>
  <c r="D173" i="2"/>
  <c r="Q173" i="2"/>
  <c r="E173" i="2"/>
  <c r="R173" i="2"/>
  <c r="F173" i="2"/>
  <c r="S173" i="2"/>
  <c r="G173" i="2"/>
  <c r="I174" i="2"/>
  <c r="O174" i="2"/>
  <c r="J174" i="2"/>
  <c r="K174" i="2"/>
  <c r="L174" i="2"/>
  <c r="M174" i="2"/>
  <c r="B174" i="2"/>
  <c r="C174" i="2"/>
  <c r="P174" i="2"/>
  <c r="D174" i="2"/>
  <c r="Q174" i="2"/>
  <c r="E174" i="2"/>
  <c r="R174" i="2"/>
  <c r="F174" i="2"/>
  <c r="S174" i="2"/>
  <c r="G174" i="2"/>
  <c r="I175" i="2"/>
  <c r="O175" i="2"/>
  <c r="J175" i="2"/>
  <c r="K175" i="2"/>
  <c r="L175" i="2"/>
  <c r="M175" i="2"/>
  <c r="B175" i="2"/>
  <c r="C175" i="2"/>
  <c r="P175" i="2"/>
  <c r="D175" i="2"/>
  <c r="Q175" i="2"/>
  <c r="E175" i="2"/>
  <c r="R175" i="2"/>
  <c r="F175" i="2"/>
  <c r="S175" i="2"/>
  <c r="G175" i="2"/>
  <c r="I176" i="2"/>
  <c r="O176" i="2"/>
  <c r="J176" i="2"/>
  <c r="K176" i="2"/>
  <c r="L176" i="2"/>
  <c r="M176" i="2"/>
  <c r="B176" i="2"/>
  <c r="C176" i="2"/>
  <c r="P176" i="2"/>
  <c r="D176" i="2"/>
  <c r="Q176" i="2"/>
  <c r="E176" i="2"/>
  <c r="R176" i="2"/>
  <c r="F176" i="2"/>
  <c r="S176" i="2"/>
  <c r="G176" i="2"/>
  <c r="I177" i="2"/>
  <c r="O177" i="2"/>
  <c r="J177" i="2"/>
  <c r="K177" i="2"/>
  <c r="L177" i="2"/>
  <c r="M177" i="2"/>
  <c r="B177" i="2"/>
  <c r="C177" i="2"/>
  <c r="P177" i="2"/>
  <c r="D177" i="2"/>
  <c r="Q177" i="2"/>
  <c r="E177" i="2"/>
  <c r="R177" i="2"/>
  <c r="F177" i="2"/>
  <c r="S177" i="2"/>
  <c r="G177" i="2"/>
  <c r="I178" i="2"/>
  <c r="O178" i="2"/>
  <c r="J178" i="2"/>
  <c r="K178" i="2"/>
  <c r="L178" i="2"/>
  <c r="M178" i="2"/>
  <c r="B178" i="2"/>
  <c r="C178" i="2"/>
  <c r="P178" i="2"/>
  <c r="D178" i="2"/>
  <c r="Q178" i="2"/>
  <c r="E178" i="2"/>
  <c r="R178" i="2"/>
  <c r="F178" i="2"/>
  <c r="S178" i="2"/>
  <c r="G178" i="2"/>
  <c r="I179" i="2"/>
  <c r="O179" i="2"/>
  <c r="J179" i="2"/>
  <c r="K179" i="2"/>
  <c r="L179" i="2"/>
  <c r="M179" i="2"/>
  <c r="B179" i="2"/>
  <c r="C179" i="2"/>
  <c r="P179" i="2"/>
  <c r="D179" i="2"/>
  <c r="Q179" i="2"/>
  <c r="E179" i="2"/>
  <c r="R179" i="2"/>
  <c r="F179" i="2"/>
  <c r="S179" i="2"/>
  <c r="G179" i="2"/>
  <c r="I180" i="2"/>
  <c r="O180" i="2"/>
  <c r="J180" i="2"/>
  <c r="K180" i="2"/>
  <c r="L180" i="2"/>
  <c r="M180" i="2"/>
  <c r="B180" i="2"/>
  <c r="C180" i="2"/>
  <c r="P180" i="2"/>
  <c r="D180" i="2"/>
  <c r="Q180" i="2"/>
  <c r="E180" i="2"/>
  <c r="R180" i="2"/>
  <c r="F180" i="2"/>
  <c r="S180" i="2"/>
  <c r="G180" i="2"/>
  <c r="I181" i="2"/>
  <c r="O181" i="2"/>
  <c r="J181" i="2"/>
  <c r="K181" i="2"/>
  <c r="L181" i="2"/>
  <c r="M181" i="2"/>
  <c r="B181" i="2"/>
  <c r="C181" i="2"/>
  <c r="P181" i="2"/>
  <c r="D181" i="2"/>
  <c r="Q181" i="2"/>
  <c r="E181" i="2"/>
  <c r="R181" i="2"/>
  <c r="F181" i="2"/>
  <c r="S181" i="2"/>
  <c r="G181" i="2"/>
  <c r="I182" i="2"/>
  <c r="O182" i="2"/>
  <c r="J182" i="2"/>
  <c r="K182" i="2"/>
  <c r="L182" i="2"/>
  <c r="M182" i="2"/>
  <c r="B182" i="2"/>
  <c r="C182" i="2"/>
  <c r="P182" i="2"/>
  <c r="D182" i="2"/>
  <c r="Q182" i="2"/>
  <c r="E182" i="2"/>
  <c r="R182" i="2"/>
  <c r="F182" i="2"/>
  <c r="S182" i="2"/>
  <c r="G182" i="2"/>
  <c r="I183" i="2"/>
  <c r="O183" i="2"/>
  <c r="J183" i="2"/>
  <c r="K183" i="2"/>
  <c r="L183" i="2"/>
  <c r="M183" i="2"/>
  <c r="B183" i="2"/>
  <c r="C183" i="2"/>
  <c r="P183" i="2"/>
  <c r="D183" i="2"/>
  <c r="Q183" i="2"/>
  <c r="E183" i="2"/>
  <c r="R183" i="2"/>
  <c r="F183" i="2"/>
  <c r="S183" i="2"/>
  <c r="G183" i="2"/>
  <c r="I184" i="2"/>
  <c r="O184" i="2"/>
  <c r="J184" i="2"/>
  <c r="K184" i="2"/>
  <c r="L184" i="2"/>
  <c r="M184" i="2"/>
  <c r="B184" i="2"/>
  <c r="C184" i="2"/>
  <c r="P184" i="2"/>
  <c r="D184" i="2"/>
  <c r="Q184" i="2"/>
  <c r="E184" i="2"/>
  <c r="R184" i="2"/>
  <c r="F184" i="2"/>
  <c r="S184" i="2"/>
  <c r="G184" i="2"/>
  <c r="I185" i="2"/>
  <c r="O185" i="2"/>
  <c r="J185" i="2"/>
  <c r="K185" i="2"/>
  <c r="L185" i="2"/>
  <c r="M185" i="2"/>
  <c r="B185" i="2"/>
  <c r="C185" i="2"/>
  <c r="P185" i="2"/>
  <c r="D185" i="2"/>
  <c r="Q185" i="2"/>
  <c r="E185" i="2"/>
  <c r="R185" i="2"/>
  <c r="F185" i="2"/>
  <c r="S185" i="2"/>
  <c r="G185" i="2"/>
  <c r="I186" i="2"/>
  <c r="O186" i="2"/>
  <c r="J186" i="2"/>
  <c r="K186" i="2"/>
  <c r="L186" i="2"/>
  <c r="M186" i="2"/>
  <c r="B186" i="2"/>
  <c r="C186" i="2"/>
  <c r="P186" i="2"/>
  <c r="D186" i="2"/>
  <c r="Q186" i="2"/>
  <c r="E186" i="2"/>
  <c r="R186" i="2"/>
  <c r="F186" i="2"/>
  <c r="S186" i="2"/>
  <c r="G186" i="2"/>
  <c r="I187" i="2"/>
  <c r="O187" i="2"/>
  <c r="J187" i="2"/>
  <c r="K187" i="2"/>
  <c r="L187" i="2"/>
  <c r="M187" i="2"/>
  <c r="B187" i="2"/>
  <c r="C187" i="2"/>
  <c r="P187" i="2"/>
  <c r="D187" i="2"/>
  <c r="Q187" i="2"/>
  <c r="E187" i="2"/>
  <c r="R187" i="2"/>
  <c r="F187" i="2"/>
  <c r="S187" i="2"/>
  <c r="G187" i="2"/>
  <c r="I188" i="2"/>
  <c r="O188" i="2"/>
  <c r="J188" i="2"/>
  <c r="K188" i="2"/>
  <c r="L188" i="2"/>
  <c r="M188" i="2"/>
  <c r="B188" i="2"/>
  <c r="C188" i="2"/>
  <c r="P188" i="2"/>
  <c r="D188" i="2"/>
  <c r="Q188" i="2"/>
  <c r="E188" i="2"/>
  <c r="R188" i="2"/>
  <c r="F188" i="2"/>
  <c r="S188" i="2"/>
  <c r="G188" i="2"/>
  <c r="I189" i="2"/>
  <c r="O189" i="2"/>
  <c r="J189" i="2"/>
  <c r="K189" i="2"/>
  <c r="L189" i="2"/>
  <c r="M189" i="2"/>
  <c r="B189" i="2"/>
  <c r="C189" i="2"/>
  <c r="P189" i="2"/>
  <c r="D189" i="2"/>
  <c r="Q189" i="2"/>
  <c r="E189" i="2"/>
  <c r="R189" i="2"/>
  <c r="F189" i="2"/>
  <c r="S189" i="2"/>
  <c r="G189" i="2"/>
  <c r="I190" i="2"/>
  <c r="O190" i="2"/>
  <c r="J190" i="2"/>
  <c r="K190" i="2"/>
  <c r="L190" i="2"/>
  <c r="M190" i="2"/>
  <c r="B190" i="2"/>
  <c r="C190" i="2"/>
  <c r="P190" i="2"/>
  <c r="D190" i="2"/>
  <c r="Q190" i="2"/>
  <c r="E190" i="2"/>
  <c r="R190" i="2"/>
  <c r="F190" i="2"/>
  <c r="S190" i="2"/>
  <c r="G190" i="2"/>
  <c r="I191" i="2"/>
  <c r="O191" i="2"/>
  <c r="J191" i="2"/>
  <c r="K191" i="2"/>
  <c r="L191" i="2"/>
  <c r="M191" i="2"/>
  <c r="B191" i="2"/>
  <c r="C191" i="2"/>
  <c r="P191" i="2"/>
  <c r="D191" i="2"/>
  <c r="Q191" i="2"/>
  <c r="E191" i="2"/>
  <c r="R191" i="2"/>
  <c r="F191" i="2"/>
  <c r="S191" i="2"/>
  <c r="G191" i="2"/>
  <c r="I192" i="2"/>
  <c r="O192" i="2"/>
  <c r="J192" i="2"/>
  <c r="K192" i="2"/>
  <c r="L192" i="2"/>
  <c r="M192" i="2"/>
  <c r="B192" i="2"/>
  <c r="C192" i="2"/>
  <c r="P192" i="2"/>
  <c r="D192" i="2"/>
  <c r="Q192" i="2"/>
  <c r="E192" i="2"/>
  <c r="R192" i="2"/>
  <c r="F192" i="2"/>
  <c r="S192" i="2"/>
  <c r="G192" i="2"/>
  <c r="I193" i="2"/>
  <c r="O193" i="2"/>
  <c r="J193" i="2"/>
  <c r="K193" i="2"/>
  <c r="L193" i="2"/>
  <c r="M193" i="2"/>
  <c r="B193" i="2"/>
  <c r="C193" i="2"/>
  <c r="P193" i="2"/>
  <c r="D193" i="2"/>
  <c r="Q193" i="2"/>
  <c r="E193" i="2"/>
  <c r="R193" i="2"/>
  <c r="F193" i="2"/>
  <c r="S193" i="2"/>
  <c r="G193" i="2"/>
  <c r="I194" i="2"/>
  <c r="O194" i="2"/>
  <c r="J194" i="2"/>
  <c r="K194" i="2"/>
  <c r="L194" i="2"/>
  <c r="M194" i="2"/>
  <c r="B194" i="2"/>
  <c r="C194" i="2"/>
  <c r="P194" i="2"/>
  <c r="D194" i="2"/>
  <c r="Q194" i="2"/>
  <c r="E194" i="2"/>
  <c r="R194" i="2"/>
  <c r="F194" i="2"/>
  <c r="S194" i="2"/>
  <c r="G194" i="2"/>
  <c r="I195" i="2"/>
  <c r="O195" i="2"/>
  <c r="J195" i="2"/>
  <c r="K195" i="2"/>
  <c r="L195" i="2"/>
  <c r="M195" i="2"/>
  <c r="B195" i="2"/>
  <c r="C195" i="2"/>
  <c r="P195" i="2"/>
  <c r="D195" i="2"/>
  <c r="Q195" i="2"/>
  <c r="E195" i="2"/>
  <c r="R195" i="2"/>
  <c r="F195" i="2"/>
  <c r="S195" i="2"/>
  <c r="G195" i="2"/>
  <c r="I196" i="2"/>
  <c r="O196" i="2"/>
  <c r="J196" i="2"/>
  <c r="K196" i="2"/>
  <c r="L196" i="2"/>
  <c r="M196" i="2"/>
  <c r="B196" i="2"/>
  <c r="C196" i="2"/>
  <c r="P196" i="2"/>
  <c r="D196" i="2"/>
  <c r="Q196" i="2"/>
  <c r="E196" i="2"/>
  <c r="R196" i="2"/>
  <c r="F196" i="2"/>
  <c r="S196" i="2"/>
  <c r="G196" i="2"/>
  <c r="I197" i="2"/>
  <c r="O197" i="2"/>
  <c r="J197" i="2"/>
  <c r="K197" i="2"/>
  <c r="L197" i="2"/>
  <c r="M197" i="2"/>
  <c r="B197" i="2"/>
  <c r="C197" i="2"/>
  <c r="P197" i="2"/>
  <c r="D197" i="2"/>
  <c r="Q197" i="2"/>
  <c r="E197" i="2"/>
  <c r="R197" i="2"/>
  <c r="F197" i="2"/>
  <c r="S197" i="2"/>
  <c r="G197" i="2"/>
  <c r="I198" i="2"/>
  <c r="O198" i="2"/>
  <c r="J198" i="2"/>
  <c r="K198" i="2"/>
  <c r="L198" i="2"/>
  <c r="M198" i="2"/>
  <c r="B198" i="2"/>
  <c r="C198" i="2"/>
  <c r="P198" i="2"/>
  <c r="D198" i="2"/>
  <c r="Q198" i="2"/>
  <c r="E198" i="2"/>
  <c r="R198" i="2"/>
  <c r="F198" i="2"/>
  <c r="S198" i="2"/>
  <c r="G198" i="2"/>
  <c r="I199" i="2"/>
  <c r="O199" i="2"/>
  <c r="J199" i="2"/>
  <c r="K199" i="2"/>
  <c r="L199" i="2"/>
  <c r="M199" i="2"/>
  <c r="B199" i="2"/>
  <c r="C199" i="2"/>
  <c r="P199" i="2"/>
  <c r="D199" i="2"/>
  <c r="Q199" i="2"/>
  <c r="E199" i="2"/>
  <c r="R199" i="2"/>
  <c r="F199" i="2"/>
  <c r="S199" i="2"/>
  <c r="G199" i="2"/>
  <c r="I200" i="2"/>
  <c r="O200" i="2"/>
  <c r="J200" i="2"/>
  <c r="K200" i="2"/>
  <c r="L200" i="2"/>
  <c r="M200" i="2"/>
  <c r="B200" i="2"/>
  <c r="C200" i="2"/>
  <c r="P200" i="2"/>
  <c r="D200" i="2"/>
  <c r="Q200" i="2"/>
  <c r="E200" i="2"/>
  <c r="R200" i="2"/>
  <c r="F200" i="2"/>
  <c r="S200" i="2"/>
  <c r="G200" i="2"/>
  <c r="I201" i="2"/>
  <c r="O201" i="2"/>
  <c r="J201" i="2"/>
  <c r="K201" i="2"/>
  <c r="L201" i="2"/>
  <c r="M201" i="2"/>
  <c r="B201" i="2"/>
  <c r="C201" i="2"/>
  <c r="P201" i="2"/>
  <c r="D201" i="2"/>
  <c r="Q201" i="2"/>
  <c r="E201" i="2"/>
  <c r="R201" i="2"/>
  <c r="F201" i="2"/>
  <c r="S201" i="2"/>
  <c r="G201" i="2"/>
  <c r="I202" i="2"/>
  <c r="O202" i="2"/>
  <c r="J202" i="2"/>
  <c r="K202" i="2"/>
  <c r="L202" i="2"/>
  <c r="M202" i="2"/>
  <c r="B202" i="2"/>
  <c r="C202" i="2"/>
  <c r="P202" i="2"/>
  <c r="D202" i="2"/>
  <c r="Q202" i="2"/>
  <c r="E202" i="2"/>
  <c r="R202" i="2"/>
  <c r="F202" i="2"/>
  <c r="S202" i="2"/>
  <c r="G202" i="2"/>
  <c r="I203" i="2"/>
  <c r="O203" i="2"/>
  <c r="J203" i="2"/>
  <c r="K203" i="2"/>
  <c r="L203" i="2"/>
  <c r="M203" i="2"/>
  <c r="B203" i="2"/>
  <c r="C203" i="2"/>
  <c r="P203" i="2"/>
  <c r="D203" i="2"/>
  <c r="Q203" i="2"/>
  <c r="E203" i="2"/>
  <c r="R203" i="2"/>
  <c r="F203" i="2"/>
  <c r="S203" i="2"/>
  <c r="G203" i="2"/>
  <c r="I204" i="2"/>
  <c r="O204" i="2"/>
  <c r="J204" i="2"/>
  <c r="K204" i="2"/>
  <c r="L204" i="2"/>
  <c r="M204" i="2"/>
  <c r="B204" i="2"/>
  <c r="C204" i="2"/>
  <c r="P204" i="2"/>
  <c r="D204" i="2"/>
  <c r="Q204" i="2"/>
  <c r="E204" i="2"/>
  <c r="R204" i="2"/>
  <c r="F204" i="2"/>
  <c r="S204" i="2"/>
  <c r="G204" i="2"/>
  <c r="I205" i="2"/>
  <c r="O205" i="2"/>
  <c r="J205" i="2"/>
  <c r="K205" i="2"/>
  <c r="L205" i="2"/>
  <c r="M205" i="2"/>
  <c r="B205" i="2"/>
  <c r="C205" i="2"/>
  <c r="P205" i="2"/>
  <c r="D205" i="2"/>
  <c r="Q205" i="2"/>
  <c r="E205" i="2"/>
  <c r="R205" i="2"/>
  <c r="F205" i="2"/>
  <c r="S205" i="2"/>
  <c r="G205" i="2"/>
  <c r="I206" i="2"/>
  <c r="O206" i="2"/>
  <c r="J206" i="2"/>
  <c r="K206" i="2"/>
  <c r="L206" i="2"/>
  <c r="M206" i="2"/>
  <c r="B206" i="2"/>
  <c r="C206" i="2"/>
  <c r="P206" i="2"/>
  <c r="D206" i="2"/>
  <c r="Q206" i="2"/>
  <c r="E206" i="2"/>
  <c r="R206" i="2"/>
  <c r="F206" i="2"/>
  <c r="S206" i="2"/>
  <c r="G206" i="2"/>
  <c r="I207" i="2"/>
  <c r="O207" i="2"/>
  <c r="J207" i="2"/>
  <c r="K207" i="2"/>
  <c r="L207" i="2"/>
  <c r="M207" i="2"/>
  <c r="B207" i="2"/>
  <c r="C207" i="2"/>
  <c r="P207" i="2"/>
  <c r="D207" i="2"/>
  <c r="Q207" i="2"/>
  <c r="E207" i="2"/>
  <c r="R207" i="2"/>
  <c r="F207" i="2"/>
  <c r="S207" i="2"/>
  <c r="G207" i="2"/>
  <c r="I208" i="2"/>
  <c r="O208" i="2"/>
  <c r="J208" i="2"/>
  <c r="K208" i="2"/>
  <c r="L208" i="2"/>
  <c r="M208" i="2"/>
  <c r="B208" i="2"/>
  <c r="C208" i="2"/>
  <c r="P208" i="2"/>
  <c r="D208" i="2"/>
  <c r="Q208" i="2"/>
  <c r="E208" i="2"/>
  <c r="R208" i="2"/>
  <c r="F208" i="2"/>
  <c r="S208" i="2"/>
  <c r="G208" i="2"/>
  <c r="I209" i="2"/>
  <c r="O209" i="2"/>
  <c r="J209" i="2"/>
  <c r="K209" i="2"/>
  <c r="L209" i="2"/>
  <c r="M209" i="2"/>
  <c r="B209" i="2"/>
  <c r="C209" i="2"/>
  <c r="P209" i="2"/>
  <c r="D209" i="2"/>
  <c r="Q209" i="2"/>
  <c r="E209" i="2"/>
  <c r="R209" i="2"/>
  <c r="F209" i="2"/>
  <c r="S209" i="2"/>
  <c r="G209" i="2"/>
  <c r="I210" i="2"/>
  <c r="O210" i="2"/>
  <c r="J210" i="2"/>
  <c r="K210" i="2"/>
  <c r="L210" i="2"/>
  <c r="M210" i="2"/>
  <c r="B210" i="2"/>
  <c r="C210" i="2"/>
  <c r="P210" i="2"/>
  <c r="D210" i="2"/>
  <c r="Q210" i="2"/>
  <c r="E210" i="2"/>
  <c r="R210" i="2"/>
  <c r="F210" i="2"/>
  <c r="S210" i="2"/>
  <c r="G210" i="2"/>
  <c r="I211" i="2"/>
  <c r="O211" i="2"/>
  <c r="J211" i="2"/>
  <c r="K211" i="2"/>
  <c r="L211" i="2"/>
  <c r="M211" i="2"/>
  <c r="B211" i="2"/>
  <c r="C211" i="2"/>
  <c r="P211" i="2"/>
  <c r="D211" i="2"/>
  <c r="Q211" i="2"/>
  <c r="E211" i="2"/>
  <c r="R211" i="2"/>
  <c r="F211" i="2"/>
  <c r="S211" i="2"/>
  <c r="G211" i="2"/>
  <c r="I212" i="2"/>
  <c r="O212" i="2"/>
  <c r="J212" i="2"/>
  <c r="K212" i="2"/>
  <c r="L212" i="2"/>
  <c r="M212" i="2"/>
  <c r="B212" i="2"/>
  <c r="C212" i="2"/>
  <c r="P212" i="2"/>
  <c r="D212" i="2"/>
  <c r="Q212" i="2"/>
  <c r="E212" i="2"/>
  <c r="R212" i="2"/>
  <c r="F212" i="2"/>
  <c r="S212" i="2"/>
  <c r="G212" i="2"/>
  <c r="I213" i="2"/>
  <c r="O213" i="2"/>
  <c r="J213" i="2"/>
  <c r="K213" i="2"/>
  <c r="L213" i="2"/>
  <c r="M213" i="2"/>
  <c r="B213" i="2"/>
  <c r="C213" i="2"/>
  <c r="P213" i="2"/>
  <c r="D213" i="2"/>
  <c r="Q213" i="2"/>
  <c r="E213" i="2"/>
  <c r="R213" i="2"/>
  <c r="F213" i="2"/>
  <c r="S213" i="2"/>
  <c r="G213" i="2"/>
  <c r="I214" i="2"/>
  <c r="O214" i="2"/>
  <c r="J214" i="2"/>
  <c r="K214" i="2"/>
  <c r="L214" i="2"/>
  <c r="M214" i="2"/>
  <c r="B214" i="2"/>
  <c r="C214" i="2"/>
  <c r="P214" i="2"/>
  <c r="D214" i="2"/>
  <c r="Q214" i="2"/>
  <c r="E214" i="2"/>
  <c r="R214" i="2"/>
  <c r="F214" i="2"/>
  <c r="S214" i="2"/>
  <c r="G214" i="2"/>
  <c r="I215" i="2"/>
  <c r="O215" i="2"/>
  <c r="J215" i="2"/>
  <c r="K215" i="2"/>
  <c r="L215" i="2"/>
  <c r="M215" i="2"/>
  <c r="B215" i="2"/>
  <c r="C215" i="2"/>
  <c r="P215" i="2"/>
  <c r="D215" i="2"/>
  <c r="Q215" i="2"/>
  <c r="E215" i="2"/>
  <c r="R215" i="2"/>
  <c r="F215" i="2"/>
  <c r="S215" i="2"/>
  <c r="G215" i="2"/>
  <c r="I216" i="2"/>
  <c r="O216" i="2"/>
  <c r="J216" i="2"/>
  <c r="K216" i="2"/>
  <c r="L216" i="2"/>
  <c r="M216" i="2"/>
  <c r="B216" i="2"/>
  <c r="C216" i="2"/>
  <c r="P216" i="2"/>
  <c r="D216" i="2"/>
  <c r="Q216" i="2"/>
  <c r="E216" i="2"/>
  <c r="R216" i="2"/>
  <c r="F216" i="2"/>
  <c r="S216" i="2"/>
  <c r="G216" i="2"/>
  <c r="I217" i="2"/>
  <c r="O217" i="2"/>
  <c r="J217" i="2"/>
  <c r="K217" i="2"/>
  <c r="L217" i="2"/>
  <c r="M217" i="2"/>
  <c r="B217" i="2"/>
  <c r="C217" i="2"/>
  <c r="P217" i="2"/>
  <c r="D217" i="2"/>
  <c r="Q217" i="2"/>
  <c r="E217" i="2"/>
  <c r="R217" i="2"/>
  <c r="F217" i="2"/>
  <c r="S217" i="2"/>
  <c r="G217" i="2"/>
  <c r="I218" i="2"/>
  <c r="O218" i="2"/>
  <c r="J218" i="2"/>
  <c r="K218" i="2"/>
  <c r="L218" i="2"/>
  <c r="M218" i="2"/>
  <c r="B218" i="2"/>
  <c r="C218" i="2"/>
  <c r="P218" i="2"/>
  <c r="D218" i="2"/>
  <c r="Q218" i="2"/>
  <c r="E218" i="2"/>
  <c r="R218" i="2"/>
  <c r="F218" i="2"/>
  <c r="S218" i="2"/>
  <c r="G218" i="2"/>
  <c r="I219" i="2"/>
  <c r="O219" i="2"/>
  <c r="J219" i="2"/>
  <c r="K219" i="2"/>
  <c r="L219" i="2"/>
  <c r="M219" i="2"/>
  <c r="B219" i="2"/>
  <c r="C219" i="2"/>
  <c r="P219" i="2"/>
  <c r="D219" i="2"/>
  <c r="Q219" i="2"/>
  <c r="E219" i="2"/>
  <c r="R219" i="2"/>
  <c r="F219" i="2"/>
  <c r="S219" i="2"/>
  <c r="G219" i="2"/>
  <c r="I220" i="2"/>
  <c r="O220" i="2"/>
  <c r="J220" i="2"/>
  <c r="K220" i="2"/>
  <c r="L220" i="2"/>
  <c r="M220" i="2"/>
  <c r="B220" i="2"/>
  <c r="C220" i="2"/>
  <c r="P220" i="2"/>
  <c r="D220" i="2"/>
  <c r="Q220" i="2"/>
  <c r="E220" i="2"/>
  <c r="R220" i="2"/>
  <c r="F220" i="2"/>
  <c r="S220" i="2"/>
  <c r="G220" i="2"/>
  <c r="I221" i="2"/>
  <c r="O221" i="2"/>
  <c r="J221" i="2"/>
  <c r="K221" i="2"/>
  <c r="L221" i="2"/>
  <c r="M221" i="2"/>
  <c r="B221" i="2"/>
  <c r="C221" i="2"/>
  <c r="P221" i="2"/>
  <c r="D221" i="2"/>
  <c r="Q221" i="2"/>
  <c r="E221" i="2"/>
  <c r="R221" i="2"/>
  <c r="F221" i="2"/>
  <c r="S221" i="2"/>
  <c r="G221" i="2"/>
  <c r="I222" i="2"/>
  <c r="O222" i="2"/>
  <c r="J222" i="2"/>
  <c r="K222" i="2"/>
  <c r="L222" i="2"/>
  <c r="M222" i="2"/>
  <c r="B222" i="2"/>
  <c r="C222" i="2"/>
  <c r="P222" i="2"/>
  <c r="D222" i="2"/>
  <c r="Q222" i="2"/>
  <c r="E222" i="2"/>
  <c r="R222" i="2"/>
  <c r="F222" i="2"/>
  <c r="S222" i="2"/>
  <c r="G222" i="2"/>
  <c r="I223" i="2"/>
  <c r="O223" i="2"/>
  <c r="J223" i="2"/>
  <c r="K223" i="2"/>
  <c r="L223" i="2"/>
  <c r="M223" i="2"/>
  <c r="B223" i="2"/>
  <c r="C223" i="2"/>
  <c r="P223" i="2"/>
  <c r="D223" i="2"/>
  <c r="Q223" i="2"/>
  <c r="E223" i="2"/>
  <c r="R223" i="2"/>
  <c r="F223" i="2"/>
  <c r="S223" i="2"/>
  <c r="G223" i="2"/>
  <c r="I224" i="2"/>
  <c r="O224" i="2"/>
  <c r="J224" i="2"/>
  <c r="K224" i="2"/>
  <c r="L224" i="2"/>
  <c r="M224" i="2"/>
  <c r="B224" i="2"/>
  <c r="C224" i="2"/>
  <c r="P224" i="2"/>
  <c r="D224" i="2"/>
  <c r="Q224" i="2"/>
  <c r="E224" i="2"/>
  <c r="R224" i="2"/>
  <c r="F224" i="2"/>
  <c r="S224" i="2"/>
  <c r="G224" i="2"/>
  <c r="I225" i="2"/>
  <c r="O225" i="2"/>
  <c r="J225" i="2"/>
  <c r="K225" i="2"/>
  <c r="L225" i="2"/>
  <c r="M225" i="2"/>
  <c r="B225" i="2"/>
  <c r="C225" i="2"/>
  <c r="P225" i="2"/>
  <c r="D225" i="2"/>
  <c r="Q225" i="2"/>
  <c r="E225" i="2"/>
  <c r="R225" i="2"/>
  <c r="F225" i="2"/>
  <c r="S225" i="2"/>
  <c r="G225" i="2"/>
  <c r="I226" i="2"/>
  <c r="O226" i="2"/>
  <c r="J226" i="2"/>
  <c r="K226" i="2"/>
  <c r="L226" i="2"/>
  <c r="M226" i="2"/>
  <c r="B226" i="2"/>
  <c r="C226" i="2"/>
  <c r="P226" i="2"/>
  <c r="D226" i="2"/>
  <c r="Q226" i="2"/>
  <c r="E226" i="2"/>
  <c r="R226" i="2"/>
  <c r="F226" i="2"/>
  <c r="S226" i="2"/>
  <c r="G226" i="2"/>
  <c r="I227" i="2"/>
  <c r="O227" i="2"/>
  <c r="J227" i="2"/>
  <c r="K227" i="2"/>
  <c r="L227" i="2"/>
  <c r="M227" i="2"/>
  <c r="B227" i="2"/>
  <c r="C227" i="2"/>
  <c r="P227" i="2"/>
  <c r="D227" i="2"/>
  <c r="Q227" i="2"/>
  <c r="E227" i="2"/>
  <c r="R227" i="2"/>
  <c r="F227" i="2"/>
  <c r="S227" i="2"/>
  <c r="G227" i="2"/>
  <c r="I228" i="2"/>
  <c r="O228" i="2"/>
  <c r="J228" i="2"/>
  <c r="K228" i="2"/>
  <c r="L228" i="2"/>
  <c r="M228" i="2"/>
  <c r="B228" i="2"/>
  <c r="C228" i="2"/>
  <c r="P228" i="2"/>
  <c r="D228" i="2"/>
  <c r="Q228" i="2"/>
  <c r="E228" i="2"/>
  <c r="R228" i="2"/>
  <c r="F228" i="2"/>
  <c r="S228" i="2"/>
  <c r="G228" i="2"/>
  <c r="I229" i="2"/>
  <c r="O229" i="2"/>
  <c r="J229" i="2"/>
  <c r="K229" i="2"/>
  <c r="L229" i="2"/>
  <c r="M229" i="2"/>
  <c r="B229" i="2"/>
  <c r="C229" i="2"/>
  <c r="P229" i="2"/>
  <c r="D229" i="2"/>
  <c r="Q229" i="2"/>
  <c r="E229" i="2"/>
  <c r="R229" i="2"/>
  <c r="F229" i="2"/>
  <c r="S229" i="2"/>
  <c r="G229" i="2"/>
  <c r="I230" i="2"/>
  <c r="O230" i="2"/>
  <c r="J230" i="2"/>
  <c r="K230" i="2"/>
  <c r="L230" i="2"/>
  <c r="M230" i="2"/>
  <c r="B230" i="2"/>
  <c r="C230" i="2"/>
  <c r="P230" i="2"/>
  <c r="D230" i="2"/>
  <c r="Q230" i="2"/>
  <c r="E230" i="2"/>
  <c r="R230" i="2"/>
  <c r="F230" i="2"/>
  <c r="S230" i="2"/>
  <c r="G230" i="2"/>
  <c r="I231" i="2"/>
  <c r="O231" i="2"/>
  <c r="J231" i="2"/>
  <c r="K231" i="2"/>
  <c r="L231" i="2"/>
  <c r="M231" i="2"/>
  <c r="B231" i="2"/>
  <c r="C231" i="2"/>
  <c r="P231" i="2"/>
  <c r="D231" i="2"/>
  <c r="Q231" i="2"/>
  <c r="E231" i="2"/>
  <c r="R231" i="2"/>
  <c r="F231" i="2"/>
  <c r="S231" i="2"/>
  <c r="G231" i="2"/>
  <c r="I232" i="2"/>
  <c r="O232" i="2"/>
  <c r="J232" i="2"/>
  <c r="K232" i="2"/>
  <c r="L232" i="2"/>
  <c r="M232" i="2"/>
  <c r="B232" i="2"/>
  <c r="C232" i="2"/>
  <c r="P232" i="2"/>
  <c r="D232" i="2"/>
  <c r="Q232" i="2"/>
  <c r="E232" i="2"/>
  <c r="R232" i="2"/>
  <c r="F232" i="2"/>
  <c r="S232" i="2"/>
  <c r="G232" i="2"/>
  <c r="I233" i="2"/>
  <c r="O233" i="2"/>
  <c r="J233" i="2"/>
  <c r="K233" i="2"/>
  <c r="L233" i="2"/>
  <c r="M233" i="2"/>
  <c r="B233" i="2"/>
  <c r="C233" i="2"/>
  <c r="P233" i="2"/>
  <c r="D233" i="2"/>
  <c r="Q233" i="2"/>
  <c r="E233" i="2"/>
  <c r="R233" i="2"/>
  <c r="F233" i="2"/>
  <c r="S233" i="2"/>
  <c r="G233" i="2"/>
  <c r="I234" i="2"/>
  <c r="O234" i="2"/>
  <c r="J234" i="2"/>
  <c r="K234" i="2"/>
  <c r="L234" i="2"/>
  <c r="M234" i="2"/>
  <c r="B234" i="2"/>
  <c r="C234" i="2"/>
  <c r="P234" i="2"/>
  <c r="D234" i="2"/>
  <c r="Q234" i="2"/>
  <c r="E234" i="2"/>
  <c r="R234" i="2"/>
  <c r="F234" i="2"/>
  <c r="S234" i="2"/>
  <c r="G234" i="2"/>
  <c r="I235" i="2"/>
  <c r="O235" i="2"/>
  <c r="J235" i="2"/>
  <c r="K235" i="2"/>
  <c r="L235" i="2"/>
  <c r="M235" i="2"/>
  <c r="B235" i="2"/>
  <c r="C235" i="2"/>
  <c r="P235" i="2"/>
  <c r="D235" i="2"/>
  <c r="Q235" i="2"/>
  <c r="E235" i="2"/>
  <c r="R235" i="2"/>
  <c r="F235" i="2"/>
  <c r="S235" i="2"/>
  <c r="G235" i="2"/>
  <c r="I236" i="2"/>
  <c r="O236" i="2"/>
  <c r="J236" i="2"/>
  <c r="K236" i="2"/>
  <c r="L236" i="2"/>
  <c r="M236" i="2"/>
  <c r="B236" i="2"/>
  <c r="C236" i="2"/>
  <c r="P236" i="2"/>
  <c r="D236" i="2"/>
  <c r="Q236" i="2"/>
  <c r="E236" i="2"/>
  <c r="R236" i="2"/>
  <c r="F236" i="2"/>
  <c r="S236" i="2"/>
  <c r="G236" i="2"/>
  <c r="I237" i="2"/>
  <c r="O237" i="2"/>
  <c r="J237" i="2"/>
  <c r="K237" i="2"/>
  <c r="L237" i="2"/>
  <c r="M237" i="2"/>
  <c r="B237" i="2"/>
  <c r="C237" i="2"/>
  <c r="P237" i="2"/>
  <c r="D237" i="2"/>
  <c r="Q237" i="2"/>
  <c r="E237" i="2"/>
  <c r="R237" i="2"/>
  <c r="F237" i="2"/>
  <c r="S237" i="2"/>
  <c r="G237" i="2"/>
  <c r="I238" i="2"/>
  <c r="O238" i="2"/>
  <c r="J238" i="2"/>
  <c r="K238" i="2"/>
  <c r="L238" i="2"/>
  <c r="M238" i="2"/>
  <c r="B238" i="2"/>
  <c r="C238" i="2"/>
  <c r="P238" i="2"/>
  <c r="D238" i="2"/>
  <c r="Q238" i="2"/>
  <c r="E238" i="2"/>
  <c r="R238" i="2"/>
  <c r="F238" i="2"/>
  <c r="S238" i="2"/>
  <c r="G238" i="2"/>
  <c r="I239" i="2"/>
  <c r="O239" i="2"/>
  <c r="J239" i="2"/>
  <c r="K239" i="2"/>
  <c r="L239" i="2"/>
  <c r="M239" i="2"/>
  <c r="B239" i="2"/>
  <c r="C239" i="2"/>
  <c r="P239" i="2"/>
  <c r="D239" i="2"/>
  <c r="Q239" i="2"/>
  <c r="E239" i="2"/>
  <c r="R239" i="2"/>
  <c r="F239" i="2"/>
  <c r="S239" i="2"/>
  <c r="G239" i="2"/>
  <c r="I240" i="2"/>
  <c r="O240" i="2"/>
  <c r="J240" i="2"/>
  <c r="K240" i="2"/>
  <c r="L240" i="2"/>
  <c r="M240" i="2"/>
  <c r="B240" i="2"/>
  <c r="C240" i="2"/>
  <c r="P240" i="2"/>
  <c r="D240" i="2"/>
  <c r="Q240" i="2"/>
  <c r="E240" i="2"/>
  <c r="R240" i="2"/>
  <c r="F240" i="2"/>
  <c r="S240" i="2"/>
  <c r="G240" i="2"/>
  <c r="I241" i="2"/>
  <c r="O241" i="2"/>
  <c r="J241" i="2"/>
  <c r="K241" i="2"/>
  <c r="L241" i="2"/>
  <c r="M241" i="2"/>
  <c r="B241" i="2"/>
  <c r="C241" i="2"/>
  <c r="P241" i="2"/>
  <c r="D241" i="2"/>
  <c r="Q241" i="2"/>
  <c r="E241" i="2"/>
  <c r="R241" i="2"/>
  <c r="F241" i="2"/>
  <c r="S241" i="2"/>
  <c r="G241" i="2"/>
  <c r="I242" i="2"/>
  <c r="O242" i="2"/>
  <c r="J242" i="2"/>
  <c r="K242" i="2"/>
  <c r="L242" i="2"/>
  <c r="M242" i="2"/>
  <c r="B242" i="2"/>
  <c r="C242" i="2"/>
  <c r="P242" i="2"/>
  <c r="D242" i="2"/>
  <c r="Q242" i="2"/>
  <c r="E242" i="2"/>
  <c r="R242" i="2"/>
  <c r="F242" i="2"/>
  <c r="S242" i="2"/>
  <c r="G242" i="2"/>
  <c r="I243" i="2"/>
  <c r="O243" i="2"/>
  <c r="J243" i="2"/>
  <c r="K243" i="2"/>
  <c r="L243" i="2"/>
  <c r="M243" i="2"/>
  <c r="B243" i="2"/>
  <c r="C243" i="2"/>
  <c r="P243" i="2"/>
  <c r="D243" i="2"/>
  <c r="Q243" i="2"/>
  <c r="E243" i="2"/>
  <c r="R243" i="2"/>
  <c r="F243" i="2"/>
  <c r="S243" i="2"/>
  <c r="G243" i="2"/>
  <c r="I244" i="2"/>
  <c r="O244" i="2"/>
  <c r="J244" i="2"/>
  <c r="K244" i="2"/>
  <c r="L244" i="2"/>
  <c r="M244" i="2"/>
  <c r="B244" i="2"/>
  <c r="C244" i="2"/>
  <c r="P244" i="2"/>
  <c r="D244" i="2"/>
  <c r="Q244" i="2"/>
  <c r="E244" i="2"/>
  <c r="R244" i="2"/>
  <c r="F244" i="2"/>
  <c r="S244" i="2"/>
  <c r="G244" i="2"/>
  <c r="I245" i="2"/>
  <c r="O245" i="2"/>
  <c r="J245" i="2"/>
  <c r="K245" i="2"/>
  <c r="L245" i="2"/>
  <c r="M245" i="2"/>
  <c r="B245" i="2"/>
  <c r="C245" i="2"/>
  <c r="P245" i="2"/>
  <c r="D245" i="2"/>
  <c r="Q245" i="2"/>
  <c r="E245" i="2"/>
  <c r="R245" i="2"/>
  <c r="F245" i="2"/>
  <c r="S245" i="2"/>
  <c r="G245" i="2"/>
  <c r="I246" i="2"/>
  <c r="O246" i="2"/>
  <c r="J246" i="2"/>
  <c r="K246" i="2"/>
  <c r="L246" i="2"/>
  <c r="M246" i="2"/>
  <c r="B246" i="2"/>
  <c r="C246" i="2"/>
  <c r="P246" i="2"/>
  <c r="D246" i="2"/>
  <c r="Q246" i="2"/>
  <c r="E246" i="2"/>
  <c r="R246" i="2"/>
  <c r="F246" i="2"/>
  <c r="S246" i="2"/>
  <c r="G246" i="2"/>
  <c r="I247" i="2"/>
  <c r="O247" i="2"/>
  <c r="J247" i="2"/>
  <c r="K247" i="2"/>
  <c r="L247" i="2"/>
  <c r="M247" i="2"/>
  <c r="B247" i="2"/>
  <c r="C247" i="2"/>
  <c r="P247" i="2"/>
  <c r="D247" i="2"/>
  <c r="Q247" i="2"/>
  <c r="E247" i="2"/>
  <c r="R247" i="2"/>
  <c r="F247" i="2"/>
  <c r="S247" i="2"/>
  <c r="G247" i="2"/>
  <c r="I248" i="2"/>
  <c r="O248" i="2"/>
  <c r="J248" i="2"/>
  <c r="K248" i="2"/>
  <c r="L248" i="2"/>
  <c r="M248" i="2"/>
  <c r="B248" i="2"/>
  <c r="C248" i="2"/>
  <c r="P248" i="2"/>
  <c r="D248" i="2"/>
  <c r="Q248" i="2"/>
  <c r="E248" i="2"/>
  <c r="R248" i="2"/>
  <c r="F248" i="2"/>
  <c r="S248" i="2"/>
  <c r="G248" i="2"/>
  <c r="I249" i="2"/>
  <c r="O249" i="2"/>
  <c r="J249" i="2"/>
  <c r="K249" i="2"/>
  <c r="L249" i="2"/>
  <c r="M249" i="2"/>
  <c r="B249" i="2"/>
  <c r="C249" i="2"/>
  <c r="P249" i="2"/>
  <c r="D249" i="2"/>
  <c r="Q249" i="2"/>
  <c r="E249" i="2"/>
  <c r="R249" i="2"/>
  <c r="F249" i="2"/>
  <c r="S249" i="2"/>
  <c r="G249" i="2"/>
  <c r="I250" i="2"/>
  <c r="O250" i="2"/>
  <c r="J250" i="2"/>
  <c r="K250" i="2"/>
  <c r="L250" i="2"/>
  <c r="M250" i="2"/>
  <c r="B250" i="2"/>
  <c r="C250" i="2"/>
  <c r="P250" i="2"/>
  <c r="D250" i="2"/>
  <c r="Q250" i="2"/>
  <c r="E250" i="2"/>
  <c r="R250" i="2"/>
  <c r="F250" i="2"/>
  <c r="S250" i="2"/>
  <c r="G250" i="2"/>
  <c r="I251" i="2"/>
  <c r="O251" i="2"/>
  <c r="J251" i="2"/>
  <c r="K251" i="2"/>
  <c r="L251" i="2"/>
  <c r="M251" i="2"/>
  <c r="B251" i="2"/>
  <c r="C251" i="2"/>
  <c r="P251" i="2"/>
  <c r="D251" i="2"/>
  <c r="Q251" i="2"/>
  <c r="E251" i="2"/>
  <c r="R251" i="2"/>
  <c r="F251" i="2"/>
  <c r="S251" i="2"/>
  <c r="G251" i="2"/>
  <c r="I252" i="2"/>
  <c r="O252" i="2"/>
  <c r="J252" i="2"/>
  <c r="K252" i="2"/>
  <c r="L252" i="2"/>
  <c r="M252" i="2"/>
  <c r="B252" i="2"/>
  <c r="C252" i="2"/>
  <c r="P252" i="2"/>
  <c r="D252" i="2"/>
  <c r="Q252" i="2"/>
  <c r="E252" i="2"/>
  <c r="R252" i="2"/>
  <c r="F252" i="2"/>
  <c r="S252" i="2"/>
  <c r="G252" i="2"/>
  <c r="I253" i="2"/>
  <c r="O253" i="2"/>
  <c r="J253" i="2"/>
  <c r="K253" i="2"/>
  <c r="L253" i="2"/>
  <c r="M253" i="2"/>
  <c r="B253" i="2"/>
  <c r="C253" i="2"/>
  <c r="P253" i="2"/>
  <c r="D253" i="2"/>
  <c r="Q253" i="2"/>
  <c r="E253" i="2"/>
  <c r="R253" i="2"/>
  <c r="F253" i="2"/>
  <c r="S253" i="2"/>
  <c r="G253" i="2"/>
  <c r="I254" i="2"/>
  <c r="O254" i="2"/>
  <c r="J254" i="2"/>
  <c r="K254" i="2"/>
  <c r="L254" i="2"/>
  <c r="M254" i="2"/>
  <c r="B254" i="2"/>
  <c r="C254" i="2"/>
  <c r="P254" i="2"/>
  <c r="D254" i="2"/>
  <c r="Q254" i="2"/>
  <c r="E254" i="2"/>
  <c r="R254" i="2"/>
  <c r="F254" i="2"/>
  <c r="S254" i="2"/>
  <c r="G254" i="2"/>
  <c r="I255" i="2"/>
  <c r="O255" i="2"/>
  <c r="J255" i="2"/>
  <c r="K255" i="2"/>
  <c r="L255" i="2"/>
  <c r="M255" i="2"/>
  <c r="B255" i="2"/>
  <c r="C255" i="2"/>
  <c r="P255" i="2"/>
  <c r="D255" i="2"/>
  <c r="Q255" i="2"/>
  <c r="E255" i="2"/>
  <c r="R255" i="2"/>
  <c r="F255" i="2"/>
  <c r="S255" i="2"/>
  <c r="G255" i="2"/>
  <c r="I256" i="2"/>
  <c r="O256" i="2"/>
  <c r="J256" i="2"/>
  <c r="K256" i="2"/>
  <c r="L256" i="2"/>
  <c r="M256" i="2"/>
  <c r="B256" i="2"/>
  <c r="C256" i="2"/>
  <c r="P256" i="2"/>
  <c r="D256" i="2"/>
  <c r="Q256" i="2"/>
  <c r="E256" i="2"/>
  <c r="R256" i="2"/>
  <c r="F256" i="2"/>
  <c r="S256" i="2"/>
  <c r="G256" i="2"/>
  <c r="I257" i="2"/>
  <c r="O257" i="2"/>
  <c r="J257" i="2"/>
  <c r="K257" i="2"/>
  <c r="L257" i="2"/>
  <c r="M257" i="2"/>
  <c r="B257" i="2"/>
  <c r="C257" i="2"/>
  <c r="P257" i="2"/>
  <c r="D257" i="2"/>
  <c r="Q257" i="2"/>
  <c r="E257" i="2"/>
  <c r="R257" i="2"/>
  <c r="F257" i="2"/>
  <c r="S257" i="2"/>
  <c r="G257" i="2"/>
  <c r="I258" i="2"/>
  <c r="O258" i="2"/>
  <c r="J258" i="2"/>
  <c r="K258" i="2"/>
  <c r="L258" i="2"/>
  <c r="M258" i="2"/>
  <c r="B258" i="2"/>
  <c r="C258" i="2"/>
  <c r="P258" i="2"/>
  <c r="D258" i="2"/>
  <c r="Q258" i="2"/>
  <c r="E258" i="2"/>
  <c r="R258" i="2"/>
  <c r="F258" i="2"/>
  <c r="S258" i="2"/>
  <c r="G258" i="2"/>
  <c r="I259" i="2"/>
  <c r="O259" i="2"/>
  <c r="J259" i="2"/>
  <c r="K259" i="2"/>
  <c r="L259" i="2"/>
  <c r="M259" i="2"/>
  <c r="B259" i="2"/>
  <c r="C259" i="2"/>
  <c r="P259" i="2"/>
  <c r="D259" i="2"/>
  <c r="Q259" i="2"/>
  <c r="E259" i="2"/>
  <c r="R259" i="2"/>
  <c r="F259" i="2"/>
  <c r="S259" i="2"/>
  <c r="G259" i="2"/>
  <c r="I260" i="2"/>
  <c r="O260" i="2"/>
  <c r="J260" i="2"/>
  <c r="K260" i="2"/>
  <c r="L260" i="2"/>
  <c r="M260" i="2"/>
  <c r="B260" i="2"/>
  <c r="C260" i="2"/>
  <c r="P260" i="2"/>
  <c r="D260" i="2"/>
  <c r="Q260" i="2"/>
  <c r="E260" i="2"/>
  <c r="R260" i="2"/>
  <c r="F260" i="2"/>
  <c r="S260" i="2"/>
  <c r="G260" i="2"/>
  <c r="I261" i="2"/>
  <c r="O261" i="2"/>
  <c r="J261" i="2"/>
  <c r="K261" i="2"/>
  <c r="L261" i="2"/>
  <c r="M261" i="2"/>
  <c r="B261" i="2"/>
  <c r="C261" i="2"/>
  <c r="P261" i="2"/>
  <c r="D261" i="2"/>
  <c r="Q261" i="2"/>
  <c r="E261" i="2"/>
  <c r="R261" i="2"/>
  <c r="F261" i="2"/>
  <c r="S261" i="2"/>
  <c r="G261" i="2"/>
  <c r="I262" i="2"/>
  <c r="O262" i="2"/>
  <c r="J262" i="2"/>
  <c r="K262" i="2"/>
  <c r="L262" i="2"/>
  <c r="M262" i="2"/>
  <c r="B262" i="2"/>
  <c r="C262" i="2"/>
  <c r="P262" i="2"/>
  <c r="D262" i="2"/>
  <c r="Q262" i="2"/>
  <c r="E262" i="2"/>
  <c r="R262" i="2"/>
  <c r="F262" i="2"/>
  <c r="S262" i="2"/>
  <c r="G262" i="2"/>
  <c r="I263" i="2"/>
  <c r="O263" i="2"/>
  <c r="J263" i="2"/>
  <c r="K263" i="2"/>
  <c r="L263" i="2"/>
  <c r="M263" i="2"/>
  <c r="B263" i="2"/>
  <c r="C263" i="2"/>
  <c r="P263" i="2"/>
  <c r="D263" i="2"/>
  <c r="Q263" i="2"/>
  <c r="E263" i="2"/>
  <c r="R263" i="2"/>
  <c r="F263" i="2"/>
  <c r="S263" i="2"/>
  <c r="G263" i="2"/>
  <c r="I264" i="2"/>
  <c r="O264" i="2"/>
  <c r="J264" i="2"/>
  <c r="K264" i="2"/>
  <c r="L264" i="2"/>
  <c r="M264" i="2"/>
  <c r="B264" i="2"/>
  <c r="C264" i="2"/>
  <c r="P264" i="2"/>
  <c r="D264" i="2"/>
  <c r="Q264" i="2"/>
  <c r="E264" i="2"/>
  <c r="R264" i="2"/>
  <c r="F264" i="2"/>
  <c r="S264" i="2"/>
  <c r="G264" i="2"/>
  <c r="I265" i="2"/>
  <c r="O265" i="2"/>
  <c r="J265" i="2"/>
  <c r="K265" i="2"/>
  <c r="L265" i="2"/>
  <c r="M265" i="2"/>
  <c r="B265" i="2"/>
  <c r="C265" i="2"/>
  <c r="P265" i="2"/>
  <c r="D265" i="2"/>
  <c r="Q265" i="2"/>
  <c r="E265" i="2"/>
  <c r="R265" i="2"/>
  <c r="F265" i="2"/>
  <c r="S265" i="2"/>
  <c r="G265" i="2"/>
  <c r="I266" i="2"/>
  <c r="O266" i="2"/>
  <c r="J266" i="2"/>
  <c r="K266" i="2"/>
  <c r="L266" i="2"/>
  <c r="M266" i="2"/>
  <c r="B266" i="2"/>
  <c r="C266" i="2"/>
  <c r="P266" i="2"/>
  <c r="D266" i="2"/>
  <c r="Q266" i="2"/>
  <c r="E266" i="2"/>
  <c r="R266" i="2"/>
  <c r="F266" i="2"/>
  <c r="S266" i="2"/>
  <c r="G266" i="2"/>
  <c r="I267" i="2"/>
  <c r="O267" i="2"/>
  <c r="J267" i="2"/>
  <c r="K267" i="2"/>
  <c r="L267" i="2"/>
  <c r="M267" i="2"/>
  <c r="B267" i="2"/>
  <c r="C267" i="2"/>
  <c r="P267" i="2"/>
  <c r="D267" i="2"/>
  <c r="Q267" i="2"/>
  <c r="E267" i="2"/>
  <c r="R267" i="2"/>
  <c r="F267" i="2"/>
  <c r="S267" i="2"/>
  <c r="G267" i="2"/>
  <c r="I268" i="2"/>
  <c r="O268" i="2"/>
  <c r="J268" i="2"/>
  <c r="K268" i="2"/>
  <c r="L268" i="2"/>
  <c r="M268" i="2"/>
  <c r="B268" i="2"/>
  <c r="C268" i="2"/>
  <c r="P268" i="2"/>
  <c r="D268" i="2"/>
  <c r="Q268" i="2"/>
  <c r="E268" i="2"/>
  <c r="R268" i="2"/>
  <c r="F268" i="2"/>
  <c r="S268" i="2"/>
  <c r="G268" i="2"/>
  <c r="I269" i="2"/>
  <c r="O269" i="2"/>
  <c r="J269" i="2"/>
  <c r="K269" i="2"/>
  <c r="L269" i="2"/>
  <c r="M269" i="2"/>
  <c r="B269" i="2"/>
  <c r="C269" i="2"/>
  <c r="P269" i="2"/>
  <c r="D269" i="2"/>
  <c r="Q269" i="2"/>
  <c r="E269" i="2"/>
  <c r="R269" i="2"/>
  <c r="F269" i="2"/>
  <c r="S269" i="2"/>
  <c r="G269" i="2"/>
  <c r="I270" i="2"/>
  <c r="O270" i="2"/>
  <c r="J270" i="2"/>
  <c r="K270" i="2"/>
  <c r="L270" i="2"/>
  <c r="M270" i="2"/>
  <c r="B270" i="2"/>
  <c r="C270" i="2"/>
  <c r="P270" i="2"/>
  <c r="D270" i="2"/>
  <c r="Q270" i="2"/>
  <c r="E270" i="2"/>
  <c r="R270" i="2"/>
  <c r="F270" i="2"/>
  <c r="S270" i="2"/>
  <c r="G270" i="2"/>
  <c r="I271" i="2"/>
  <c r="O271" i="2"/>
  <c r="J271" i="2"/>
  <c r="K271" i="2"/>
  <c r="L271" i="2"/>
  <c r="M271" i="2"/>
  <c r="B271" i="2"/>
  <c r="C271" i="2"/>
  <c r="P271" i="2"/>
  <c r="D271" i="2"/>
  <c r="Q271" i="2"/>
  <c r="E271" i="2"/>
  <c r="R271" i="2"/>
  <c r="F271" i="2"/>
  <c r="S271" i="2"/>
  <c r="G271" i="2"/>
  <c r="I272" i="2"/>
  <c r="O272" i="2"/>
  <c r="J272" i="2"/>
  <c r="K272" i="2"/>
  <c r="L272" i="2"/>
  <c r="M272" i="2"/>
  <c r="B272" i="2"/>
  <c r="C272" i="2"/>
  <c r="P272" i="2"/>
  <c r="D272" i="2"/>
  <c r="Q272" i="2"/>
  <c r="E272" i="2"/>
  <c r="R272" i="2"/>
  <c r="F272" i="2"/>
  <c r="S272" i="2"/>
  <c r="G272" i="2"/>
  <c r="I273" i="2"/>
  <c r="O273" i="2"/>
  <c r="J273" i="2"/>
  <c r="K273" i="2"/>
  <c r="L273" i="2"/>
  <c r="M273" i="2"/>
  <c r="B273" i="2"/>
  <c r="C273" i="2"/>
  <c r="P273" i="2"/>
  <c r="D273" i="2"/>
  <c r="Q273" i="2"/>
  <c r="E273" i="2"/>
  <c r="R273" i="2"/>
  <c r="F273" i="2"/>
  <c r="S273" i="2"/>
  <c r="G273" i="2"/>
  <c r="I274" i="2"/>
  <c r="O274" i="2"/>
  <c r="J274" i="2"/>
  <c r="K274" i="2"/>
  <c r="L274" i="2"/>
  <c r="M274" i="2"/>
  <c r="B274" i="2"/>
  <c r="C274" i="2"/>
  <c r="P274" i="2"/>
  <c r="D274" i="2"/>
  <c r="Q274" i="2"/>
  <c r="E274" i="2"/>
  <c r="R274" i="2"/>
  <c r="F274" i="2"/>
  <c r="S274" i="2"/>
  <c r="G274" i="2"/>
  <c r="I275" i="2"/>
  <c r="O275" i="2"/>
  <c r="J275" i="2"/>
  <c r="K275" i="2"/>
  <c r="L275" i="2"/>
  <c r="M275" i="2"/>
  <c r="B275" i="2"/>
  <c r="C275" i="2"/>
  <c r="P275" i="2"/>
  <c r="D275" i="2"/>
  <c r="Q275" i="2"/>
  <c r="E275" i="2"/>
  <c r="R275" i="2"/>
  <c r="F275" i="2"/>
  <c r="S275" i="2"/>
  <c r="G275" i="2"/>
  <c r="I276" i="2"/>
  <c r="O276" i="2"/>
  <c r="J276" i="2"/>
  <c r="K276" i="2"/>
  <c r="L276" i="2"/>
  <c r="M276" i="2"/>
  <c r="B276" i="2"/>
  <c r="C276" i="2"/>
  <c r="P276" i="2"/>
  <c r="D276" i="2"/>
  <c r="Q276" i="2"/>
  <c r="E276" i="2"/>
  <c r="R276" i="2"/>
  <c r="F276" i="2"/>
  <c r="S276" i="2"/>
  <c r="G276" i="2"/>
  <c r="I277" i="2"/>
  <c r="O277" i="2"/>
  <c r="J277" i="2"/>
  <c r="K277" i="2"/>
  <c r="L277" i="2"/>
  <c r="M277" i="2"/>
  <c r="B277" i="2"/>
  <c r="C277" i="2"/>
  <c r="P277" i="2"/>
  <c r="D277" i="2"/>
  <c r="Q277" i="2"/>
  <c r="E277" i="2"/>
  <c r="R277" i="2"/>
  <c r="F277" i="2"/>
  <c r="S277" i="2"/>
  <c r="G277" i="2"/>
  <c r="I278" i="2"/>
  <c r="O278" i="2"/>
  <c r="J278" i="2"/>
  <c r="K278" i="2"/>
  <c r="L278" i="2"/>
  <c r="M278" i="2"/>
  <c r="B278" i="2"/>
  <c r="C278" i="2"/>
  <c r="P278" i="2"/>
  <c r="D278" i="2"/>
  <c r="Q278" i="2"/>
  <c r="E278" i="2"/>
  <c r="R278" i="2"/>
  <c r="F278" i="2"/>
  <c r="S278" i="2"/>
  <c r="G278" i="2"/>
  <c r="I279" i="2"/>
  <c r="O279" i="2"/>
  <c r="J279" i="2"/>
  <c r="K279" i="2"/>
  <c r="L279" i="2"/>
  <c r="M279" i="2"/>
  <c r="B279" i="2"/>
  <c r="C279" i="2"/>
  <c r="P279" i="2"/>
  <c r="D279" i="2"/>
  <c r="Q279" i="2"/>
  <c r="E279" i="2"/>
  <c r="R279" i="2"/>
  <c r="F279" i="2"/>
  <c r="S279" i="2"/>
  <c r="G279" i="2"/>
  <c r="I280" i="2"/>
  <c r="O280" i="2"/>
  <c r="J280" i="2"/>
  <c r="K280" i="2"/>
  <c r="L280" i="2"/>
  <c r="M280" i="2"/>
  <c r="B280" i="2"/>
  <c r="C280" i="2"/>
  <c r="P280" i="2"/>
  <c r="D280" i="2"/>
  <c r="Q280" i="2"/>
  <c r="E280" i="2"/>
  <c r="R280" i="2"/>
  <c r="F280" i="2"/>
  <c r="S280" i="2"/>
  <c r="G280" i="2"/>
  <c r="I281" i="2"/>
  <c r="O281" i="2"/>
  <c r="J281" i="2"/>
  <c r="K281" i="2"/>
  <c r="L281" i="2"/>
  <c r="M281" i="2"/>
  <c r="B281" i="2"/>
  <c r="C281" i="2"/>
  <c r="P281" i="2"/>
  <c r="D281" i="2"/>
  <c r="Q281" i="2"/>
  <c r="E281" i="2"/>
  <c r="R281" i="2"/>
  <c r="F281" i="2"/>
  <c r="S281" i="2"/>
  <c r="G281" i="2"/>
  <c r="I282" i="2"/>
  <c r="O282" i="2"/>
  <c r="J282" i="2"/>
  <c r="K282" i="2"/>
  <c r="L282" i="2"/>
  <c r="M282" i="2"/>
  <c r="B282" i="2"/>
  <c r="C282" i="2"/>
  <c r="P282" i="2"/>
  <c r="D282" i="2"/>
  <c r="Q282" i="2"/>
  <c r="E282" i="2"/>
  <c r="R282" i="2"/>
  <c r="F282" i="2"/>
  <c r="S282" i="2"/>
  <c r="G282" i="2"/>
  <c r="I283" i="2"/>
  <c r="O283" i="2"/>
  <c r="J283" i="2"/>
  <c r="K283" i="2"/>
  <c r="L283" i="2"/>
  <c r="M283" i="2"/>
  <c r="B283" i="2"/>
  <c r="C283" i="2"/>
  <c r="P283" i="2"/>
  <c r="D283" i="2"/>
  <c r="Q283" i="2"/>
  <c r="E283" i="2"/>
  <c r="R283" i="2"/>
  <c r="F283" i="2"/>
  <c r="S283" i="2"/>
  <c r="G283" i="2"/>
  <c r="I284" i="2"/>
  <c r="O284" i="2"/>
  <c r="J284" i="2"/>
  <c r="K284" i="2"/>
  <c r="L284" i="2"/>
  <c r="M284" i="2"/>
  <c r="B284" i="2"/>
  <c r="C284" i="2"/>
  <c r="P284" i="2"/>
  <c r="D284" i="2"/>
  <c r="Q284" i="2"/>
  <c r="E284" i="2"/>
  <c r="R284" i="2"/>
  <c r="F284" i="2"/>
  <c r="S284" i="2"/>
  <c r="G284" i="2"/>
  <c r="I285" i="2"/>
  <c r="O285" i="2"/>
  <c r="J285" i="2"/>
  <c r="K285" i="2"/>
  <c r="L285" i="2"/>
  <c r="M285" i="2"/>
  <c r="B285" i="2"/>
  <c r="C285" i="2"/>
  <c r="P285" i="2"/>
  <c r="D285" i="2"/>
  <c r="Q285" i="2"/>
  <c r="E285" i="2"/>
  <c r="R285" i="2"/>
  <c r="F285" i="2"/>
  <c r="S285" i="2"/>
  <c r="G285" i="2"/>
  <c r="I286" i="2"/>
  <c r="O286" i="2"/>
  <c r="J286" i="2"/>
  <c r="K286" i="2"/>
  <c r="L286" i="2"/>
  <c r="M286" i="2"/>
  <c r="B286" i="2"/>
  <c r="C286" i="2"/>
  <c r="P286" i="2"/>
  <c r="D286" i="2"/>
  <c r="Q286" i="2"/>
  <c r="E286" i="2"/>
  <c r="R286" i="2"/>
  <c r="F286" i="2"/>
  <c r="S286" i="2"/>
  <c r="G286" i="2"/>
  <c r="I287" i="2"/>
  <c r="O287" i="2"/>
  <c r="J287" i="2"/>
  <c r="K287" i="2"/>
  <c r="L287" i="2"/>
  <c r="M287" i="2"/>
  <c r="B287" i="2"/>
  <c r="C287" i="2"/>
  <c r="P287" i="2"/>
  <c r="D287" i="2"/>
  <c r="Q287" i="2"/>
  <c r="E287" i="2"/>
  <c r="R287" i="2"/>
  <c r="F287" i="2"/>
  <c r="S287" i="2"/>
  <c r="G287" i="2"/>
  <c r="I288" i="2"/>
  <c r="O288" i="2"/>
  <c r="J288" i="2"/>
  <c r="K288" i="2"/>
  <c r="L288" i="2"/>
  <c r="M288" i="2"/>
  <c r="B288" i="2"/>
  <c r="C288" i="2"/>
  <c r="P288" i="2"/>
  <c r="D288" i="2"/>
  <c r="Q288" i="2"/>
  <c r="E288" i="2"/>
  <c r="R288" i="2"/>
  <c r="F288" i="2"/>
  <c r="S288" i="2"/>
  <c r="G288" i="2"/>
  <c r="I289" i="2"/>
  <c r="O289" i="2"/>
  <c r="J289" i="2"/>
  <c r="K289" i="2"/>
  <c r="L289" i="2"/>
  <c r="M289" i="2"/>
  <c r="B289" i="2"/>
  <c r="C289" i="2"/>
  <c r="P289" i="2"/>
  <c r="D289" i="2"/>
  <c r="Q289" i="2"/>
  <c r="E289" i="2"/>
  <c r="R289" i="2"/>
  <c r="F289" i="2"/>
  <c r="S289" i="2"/>
  <c r="G289" i="2"/>
  <c r="I290" i="2"/>
  <c r="O290" i="2"/>
  <c r="J290" i="2"/>
  <c r="K290" i="2"/>
  <c r="L290" i="2"/>
  <c r="M290" i="2"/>
  <c r="B290" i="2"/>
  <c r="C290" i="2"/>
  <c r="P290" i="2"/>
  <c r="D290" i="2"/>
  <c r="Q290" i="2"/>
  <c r="E290" i="2"/>
  <c r="R290" i="2"/>
  <c r="F290" i="2"/>
  <c r="S290" i="2"/>
  <c r="G290" i="2"/>
  <c r="I291" i="2"/>
  <c r="O291" i="2"/>
  <c r="J291" i="2"/>
  <c r="K291" i="2"/>
  <c r="L291" i="2"/>
  <c r="M291" i="2"/>
  <c r="B291" i="2"/>
  <c r="C291" i="2"/>
  <c r="P291" i="2"/>
  <c r="D291" i="2"/>
  <c r="Q291" i="2"/>
  <c r="E291" i="2"/>
  <c r="R291" i="2"/>
  <c r="F291" i="2"/>
  <c r="S291" i="2"/>
  <c r="G291" i="2"/>
  <c r="I292" i="2"/>
  <c r="O292" i="2"/>
  <c r="J292" i="2"/>
  <c r="K292" i="2"/>
  <c r="L292" i="2"/>
  <c r="M292" i="2"/>
  <c r="B292" i="2"/>
  <c r="C292" i="2"/>
  <c r="P292" i="2"/>
  <c r="D292" i="2"/>
  <c r="Q292" i="2"/>
  <c r="E292" i="2"/>
  <c r="R292" i="2"/>
  <c r="F292" i="2"/>
  <c r="S292" i="2"/>
  <c r="G292" i="2"/>
  <c r="I293" i="2"/>
  <c r="O293" i="2"/>
  <c r="J293" i="2"/>
  <c r="K293" i="2"/>
  <c r="L293" i="2"/>
  <c r="M293" i="2"/>
  <c r="B293" i="2"/>
  <c r="C293" i="2"/>
  <c r="P293" i="2"/>
  <c r="D293" i="2"/>
  <c r="Q293" i="2"/>
  <c r="E293" i="2"/>
  <c r="R293" i="2"/>
  <c r="F293" i="2"/>
  <c r="S293" i="2"/>
  <c r="G293" i="2"/>
  <c r="I294" i="2"/>
  <c r="O294" i="2"/>
  <c r="J294" i="2"/>
  <c r="K294" i="2"/>
  <c r="L294" i="2"/>
  <c r="M294" i="2"/>
  <c r="B294" i="2"/>
  <c r="C294" i="2"/>
  <c r="P294" i="2"/>
  <c r="D294" i="2"/>
  <c r="Q294" i="2"/>
  <c r="E294" i="2"/>
  <c r="R294" i="2"/>
  <c r="F294" i="2"/>
  <c r="S294" i="2"/>
  <c r="G294" i="2"/>
  <c r="I295" i="2"/>
  <c r="O295" i="2"/>
  <c r="J295" i="2"/>
  <c r="K295" i="2"/>
  <c r="L295" i="2"/>
  <c r="M295" i="2"/>
  <c r="B295" i="2"/>
  <c r="C295" i="2"/>
  <c r="P295" i="2"/>
  <c r="D295" i="2"/>
  <c r="Q295" i="2"/>
  <c r="E295" i="2"/>
  <c r="R295" i="2"/>
  <c r="F295" i="2"/>
  <c r="S295" i="2"/>
  <c r="G295" i="2"/>
  <c r="I296" i="2"/>
  <c r="O296" i="2"/>
  <c r="J296" i="2"/>
  <c r="K296" i="2"/>
  <c r="L296" i="2"/>
  <c r="M296" i="2"/>
  <c r="B296" i="2"/>
  <c r="C296" i="2"/>
  <c r="P296" i="2"/>
  <c r="D296" i="2"/>
  <c r="Q296" i="2"/>
  <c r="E296" i="2"/>
  <c r="R296" i="2"/>
  <c r="F296" i="2"/>
  <c r="S296" i="2"/>
  <c r="G296" i="2"/>
  <c r="I297" i="2"/>
  <c r="O297" i="2"/>
  <c r="J297" i="2"/>
  <c r="K297" i="2"/>
  <c r="L297" i="2"/>
  <c r="M297" i="2"/>
  <c r="B297" i="2"/>
  <c r="C297" i="2"/>
  <c r="P297" i="2"/>
  <c r="D297" i="2"/>
  <c r="Q297" i="2"/>
  <c r="E297" i="2"/>
  <c r="R297" i="2"/>
  <c r="F297" i="2"/>
  <c r="S297" i="2"/>
  <c r="G297" i="2"/>
  <c r="I298" i="2"/>
  <c r="O298" i="2"/>
  <c r="J298" i="2"/>
  <c r="K298" i="2"/>
  <c r="L298" i="2"/>
  <c r="M298" i="2"/>
  <c r="B298" i="2"/>
  <c r="C298" i="2"/>
  <c r="P298" i="2"/>
  <c r="D298" i="2"/>
  <c r="Q298" i="2"/>
  <c r="E298" i="2"/>
  <c r="R298" i="2"/>
  <c r="F298" i="2"/>
  <c r="S298" i="2"/>
  <c r="G298" i="2"/>
  <c r="I299" i="2"/>
  <c r="O299" i="2"/>
  <c r="J299" i="2"/>
  <c r="K299" i="2"/>
  <c r="L299" i="2"/>
  <c r="M299" i="2"/>
  <c r="B299" i="2"/>
  <c r="C299" i="2"/>
  <c r="P299" i="2"/>
  <c r="D299" i="2"/>
  <c r="Q299" i="2"/>
  <c r="E299" i="2"/>
  <c r="R299" i="2"/>
  <c r="F299" i="2"/>
  <c r="S299" i="2"/>
  <c r="G299" i="2"/>
  <c r="I300" i="2"/>
  <c r="O300" i="2"/>
  <c r="J300" i="2"/>
  <c r="K300" i="2"/>
  <c r="L300" i="2"/>
  <c r="M300" i="2"/>
  <c r="B300" i="2"/>
  <c r="C300" i="2"/>
  <c r="P300" i="2"/>
  <c r="D300" i="2"/>
  <c r="Q300" i="2"/>
  <c r="E300" i="2"/>
  <c r="R300" i="2"/>
  <c r="F300" i="2"/>
  <c r="S300" i="2"/>
  <c r="G300" i="2"/>
  <c r="I301" i="2"/>
  <c r="O301" i="2"/>
  <c r="J301" i="2"/>
  <c r="K301" i="2"/>
  <c r="L301" i="2"/>
  <c r="M301" i="2"/>
  <c r="B301" i="2"/>
  <c r="C301" i="2"/>
  <c r="P301" i="2"/>
  <c r="D301" i="2"/>
  <c r="Q301" i="2"/>
  <c r="E301" i="2"/>
  <c r="R301" i="2"/>
  <c r="F301" i="2"/>
  <c r="S301" i="2"/>
  <c r="G301" i="2"/>
  <c r="I302" i="2"/>
  <c r="O302" i="2"/>
  <c r="J302" i="2"/>
  <c r="K302" i="2"/>
  <c r="L302" i="2"/>
  <c r="M302" i="2"/>
  <c r="B302" i="2"/>
  <c r="C302" i="2"/>
  <c r="P302" i="2"/>
  <c r="D302" i="2"/>
  <c r="Q302" i="2"/>
  <c r="E302" i="2"/>
  <c r="R302" i="2"/>
  <c r="F302" i="2"/>
  <c r="S302" i="2"/>
  <c r="G302" i="2"/>
  <c r="I303" i="2"/>
  <c r="O303" i="2"/>
  <c r="J303" i="2"/>
  <c r="K303" i="2"/>
  <c r="L303" i="2"/>
  <c r="M303" i="2"/>
  <c r="B303" i="2"/>
  <c r="C303" i="2"/>
  <c r="P303" i="2"/>
  <c r="D303" i="2"/>
  <c r="Q303" i="2"/>
  <c r="E303" i="2"/>
  <c r="R303" i="2"/>
  <c r="F303" i="2"/>
  <c r="S303" i="2"/>
  <c r="G303" i="2"/>
  <c r="I304" i="2"/>
  <c r="O304" i="2"/>
  <c r="J304" i="2"/>
  <c r="K304" i="2"/>
  <c r="L304" i="2"/>
  <c r="M304" i="2"/>
  <c r="B304" i="2"/>
  <c r="C304" i="2"/>
  <c r="P304" i="2"/>
  <c r="D304" i="2"/>
  <c r="Q304" i="2"/>
  <c r="E304" i="2"/>
  <c r="R304" i="2"/>
  <c r="F304" i="2"/>
  <c r="S304" i="2"/>
  <c r="G304" i="2"/>
  <c r="I305" i="2"/>
  <c r="O305" i="2"/>
  <c r="J305" i="2"/>
  <c r="K305" i="2"/>
  <c r="L305" i="2"/>
  <c r="M305" i="2"/>
  <c r="B305" i="2"/>
  <c r="C305" i="2"/>
  <c r="P305" i="2"/>
  <c r="D305" i="2"/>
  <c r="Q305" i="2"/>
  <c r="E305" i="2"/>
  <c r="R305" i="2"/>
  <c r="F305" i="2"/>
  <c r="S305" i="2"/>
  <c r="G305" i="2"/>
  <c r="I306" i="2"/>
  <c r="O306" i="2"/>
  <c r="J306" i="2"/>
  <c r="K306" i="2"/>
  <c r="L306" i="2"/>
  <c r="M306" i="2"/>
  <c r="B306" i="2"/>
  <c r="C306" i="2"/>
  <c r="P306" i="2"/>
  <c r="D306" i="2"/>
  <c r="Q306" i="2"/>
  <c r="E306" i="2"/>
  <c r="R306" i="2"/>
  <c r="F306" i="2"/>
  <c r="S306" i="2"/>
  <c r="G306" i="2"/>
  <c r="I307" i="2"/>
  <c r="O307" i="2"/>
  <c r="J307" i="2"/>
  <c r="K307" i="2"/>
  <c r="L307" i="2"/>
  <c r="M307" i="2"/>
  <c r="B307" i="2"/>
  <c r="C307" i="2"/>
  <c r="P307" i="2"/>
  <c r="D307" i="2"/>
  <c r="Q307" i="2"/>
  <c r="E307" i="2"/>
  <c r="R307" i="2"/>
  <c r="F307" i="2"/>
  <c r="S307" i="2"/>
  <c r="G307" i="2"/>
  <c r="I308" i="2"/>
  <c r="O308" i="2"/>
  <c r="J308" i="2"/>
  <c r="K308" i="2"/>
  <c r="L308" i="2"/>
  <c r="M308" i="2"/>
  <c r="B308" i="2"/>
  <c r="C308" i="2"/>
  <c r="P308" i="2"/>
  <c r="D308" i="2"/>
  <c r="Q308" i="2"/>
  <c r="E308" i="2"/>
  <c r="R308" i="2"/>
  <c r="F308" i="2"/>
  <c r="S308" i="2"/>
  <c r="G308" i="2"/>
  <c r="I309" i="2"/>
  <c r="O309" i="2"/>
  <c r="J309" i="2"/>
  <c r="K309" i="2"/>
  <c r="L309" i="2"/>
  <c r="M309" i="2"/>
  <c r="B309" i="2"/>
  <c r="C309" i="2"/>
  <c r="P309" i="2"/>
  <c r="D309" i="2"/>
  <c r="Q309" i="2"/>
  <c r="E309" i="2"/>
  <c r="R309" i="2"/>
  <c r="F309" i="2"/>
  <c r="S309" i="2"/>
  <c r="G309" i="2"/>
  <c r="I310" i="2"/>
  <c r="O310" i="2"/>
  <c r="J310" i="2"/>
  <c r="K310" i="2"/>
  <c r="L310" i="2"/>
  <c r="M310" i="2"/>
  <c r="B310" i="2"/>
  <c r="C310" i="2"/>
  <c r="P310" i="2"/>
  <c r="D310" i="2"/>
  <c r="Q310" i="2"/>
  <c r="E310" i="2"/>
  <c r="R310" i="2"/>
  <c r="F310" i="2"/>
  <c r="S310" i="2"/>
  <c r="G310" i="2"/>
  <c r="I311" i="2"/>
  <c r="O311" i="2"/>
  <c r="J311" i="2"/>
  <c r="K311" i="2"/>
  <c r="L311" i="2"/>
  <c r="M311" i="2"/>
  <c r="B311" i="2"/>
  <c r="C311" i="2"/>
  <c r="P311" i="2"/>
  <c r="D311" i="2"/>
  <c r="Q311" i="2"/>
  <c r="E311" i="2"/>
  <c r="R311" i="2"/>
  <c r="F311" i="2"/>
  <c r="S311" i="2"/>
  <c r="G311" i="2"/>
  <c r="I312" i="2"/>
  <c r="O312" i="2"/>
  <c r="J312" i="2"/>
  <c r="K312" i="2"/>
  <c r="L312" i="2"/>
  <c r="M312" i="2"/>
  <c r="B312" i="2"/>
  <c r="C312" i="2"/>
  <c r="P312" i="2"/>
  <c r="D312" i="2"/>
  <c r="Q312" i="2"/>
  <c r="E312" i="2"/>
  <c r="R312" i="2"/>
  <c r="F312" i="2"/>
  <c r="S312" i="2"/>
  <c r="G312" i="2"/>
  <c r="I313" i="2"/>
  <c r="O313" i="2"/>
  <c r="J313" i="2"/>
  <c r="K313" i="2"/>
  <c r="L313" i="2"/>
  <c r="M313" i="2"/>
  <c r="B313" i="2"/>
  <c r="C313" i="2"/>
  <c r="P313" i="2"/>
  <c r="D313" i="2"/>
  <c r="Q313" i="2"/>
  <c r="E313" i="2"/>
  <c r="R313" i="2"/>
  <c r="F313" i="2"/>
  <c r="S313" i="2"/>
  <c r="G313" i="2"/>
  <c r="I314" i="2"/>
  <c r="O314" i="2"/>
  <c r="J314" i="2"/>
  <c r="K314" i="2"/>
  <c r="L314" i="2"/>
  <c r="M314" i="2"/>
  <c r="B314" i="2"/>
  <c r="C314" i="2"/>
  <c r="P314" i="2"/>
  <c r="D314" i="2"/>
  <c r="Q314" i="2"/>
  <c r="E314" i="2"/>
  <c r="R314" i="2"/>
  <c r="F314" i="2"/>
  <c r="S314" i="2"/>
  <c r="G314" i="2"/>
  <c r="I315" i="2"/>
  <c r="O315" i="2"/>
  <c r="J315" i="2"/>
  <c r="K315" i="2"/>
  <c r="L315" i="2"/>
  <c r="M315" i="2"/>
  <c r="B315" i="2"/>
  <c r="C315" i="2"/>
  <c r="P315" i="2"/>
  <c r="D315" i="2"/>
  <c r="Q315" i="2"/>
  <c r="E315" i="2"/>
  <c r="R315" i="2"/>
  <c r="F315" i="2"/>
  <c r="S315" i="2"/>
  <c r="G315" i="2"/>
  <c r="I316" i="2"/>
  <c r="O316" i="2"/>
  <c r="J316" i="2"/>
  <c r="K316" i="2"/>
  <c r="L316" i="2"/>
  <c r="M316" i="2"/>
  <c r="B316" i="2"/>
  <c r="C316" i="2"/>
  <c r="P316" i="2"/>
  <c r="D316" i="2"/>
  <c r="Q316" i="2"/>
  <c r="E316" i="2"/>
  <c r="R316" i="2"/>
  <c r="F316" i="2"/>
  <c r="S316" i="2"/>
  <c r="G316" i="2"/>
  <c r="I317" i="2"/>
  <c r="O317" i="2"/>
  <c r="J317" i="2"/>
  <c r="K317" i="2"/>
  <c r="L317" i="2"/>
  <c r="M317" i="2"/>
  <c r="B317" i="2"/>
  <c r="C317" i="2"/>
  <c r="P317" i="2"/>
  <c r="D317" i="2"/>
  <c r="Q317" i="2"/>
  <c r="E317" i="2"/>
  <c r="R317" i="2"/>
  <c r="F317" i="2"/>
  <c r="S317" i="2"/>
  <c r="G317" i="2"/>
  <c r="I318" i="2"/>
  <c r="O318" i="2"/>
  <c r="J318" i="2"/>
  <c r="K318" i="2"/>
  <c r="L318" i="2"/>
  <c r="M318" i="2"/>
  <c r="B318" i="2"/>
  <c r="C318" i="2"/>
  <c r="P318" i="2"/>
  <c r="D318" i="2"/>
  <c r="Q318" i="2"/>
  <c r="E318" i="2"/>
  <c r="R318" i="2"/>
  <c r="F318" i="2"/>
  <c r="S318" i="2"/>
  <c r="G318" i="2"/>
  <c r="I319" i="2"/>
  <c r="O319" i="2"/>
  <c r="J319" i="2"/>
  <c r="K319" i="2"/>
  <c r="L319" i="2"/>
  <c r="M319" i="2"/>
  <c r="B319" i="2"/>
  <c r="C319" i="2"/>
  <c r="P319" i="2"/>
  <c r="D319" i="2"/>
  <c r="Q319" i="2"/>
  <c r="E319" i="2"/>
  <c r="R319" i="2"/>
  <c r="F319" i="2"/>
  <c r="S319" i="2"/>
  <c r="G319" i="2"/>
  <c r="I320" i="2"/>
  <c r="O320" i="2"/>
  <c r="J320" i="2"/>
  <c r="K320" i="2"/>
  <c r="L320" i="2"/>
  <c r="M320" i="2"/>
  <c r="B320" i="2"/>
  <c r="C320" i="2"/>
  <c r="P320" i="2"/>
  <c r="D320" i="2"/>
  <c r="Q320" i="2"/>
  <c r="E320" i="2"/>
  <c r="R320" i="2"/>
  <c r="F320" i="2"/>
  <c r="S320" i="2"/>
  <c r="G320" i="2"/>
  <c r="I321" i="2"/>
  <c r="O321" i="2"/>
  <c r="J321" i="2"/>
  <c r="K321" i="2"/>
  <c r="L321" i="2"/>
  <c r="M321" i="2"/>
  <c r="B321" i="2"/>
  <c r="C321" i="2"/>
  <c r="P321" i="2"/>
  <c r="D321" i="2"/>
  <c r="Q321" i="2"/>
  <c r="E321" i="2"/>
  <c r="R321" i="2"/>
  <c r="F321" i="2"/>
  <c r="S321" i="2"/>
  <c r="G321" i="2"/>
  <c r="I322" i="2"/>
  <c r="O322" i="2"/>
  <c r="J322" i="2"/>
  <c r="K322" i="2"/>
  <c r="L322" i="2"/>
  <c r="M322" i="2"/>
  <c r="B322" i="2"/>
  <c r="C322" i="2"/>
  <c r="P322" i="2"/>
  <c r="D322" i="2"/>
  <c r="Q322" i="2"/>
  <c r="E322" i="2"/>
  <c r="R322" i="2"/>
  <c r="F322" i="2"/>
  <c r="S322" i="2"/>
  <c r="G322" i="2"/>
  <c r="I323" i="2"/>
  <c r="O323" i="2"/>
  <c r="J323" i="2"/>
  <c r="K323" i="2"/>
  <c r="L323" i="2"/>
  <c r="M323" i="2"/>
  <c r="B323" i="2"/>
  <c r="C323" i="2"/>
  <c r="P323" i="2"/>
  <c r="D323" i="2"/>
  <c r="Q323" i="2"/>
  <c r="E323" i="2"/>
  <c r="R323" i="2"/>
  <c r="F323" i="2"/>
  <c r="S323" i="2"/>
  <c r="G323" i="2"/>
  <c r="I324" i="2"/>
  <c r="O324" i="2"/>
  <c r="J324" i="2"/>
  <c r="K324" i="2"/>
  <c r="L324" i="2"/>
  <c r="M324" i="2"/>
  <c r="B324" i="2"/>
  <c r="C324" i="2"/>
  <c r="P324" i="2"/>
  <c r="D324" i="2"/>
  <c r="Q324" i="2"/>
  <c r="E324" i="2"/>
  <c r="R324" i="2"/>
  <c r="F324" i="2"/>
  <c r="S324" i="2"/>
  <c r="G324" i="2"/>
  <c r="I325" i="2"/>
  <c r="O325" i="2"/>
  <c r="J325" i="2"/>
  <c r="K325" i="2"/>
  <c r="L325" i="2"/>
  <c r="M325" i="2"/>
  <c r="B325" i="2"/>
  <c r="C325" i="2"/>
  <c r="P325" i="2"/>
  <c r="D325" i="2"/>
  <c r="Q325" i="2"/>
  <c r="E325" i="2"/>
  <c r="R325" i="2"/>
  <c r="F325" i="2"/>
  <c r="S325" i="2"/>
  <c r="G325" i="2"/>
  <c r="I326" i="2"/>
  <c r="O326" i="2"/>
  <c r="J326" i="2"/>
  <c r="K326" i="2"/>
  <c r="L326" i="2"/>
  <c r="M326" i="2"/>
  <c r="B326" i="2"/>
  <c r="C326" i="2"/>
  <c r="P326" i="2"/>
  <c r="D326" i="2"/>
  <c r="Q326" i="2"/>
  <c r="E326" i="2"/>
  <c r="R326" i="2"/>
  <c r="F326" i="2"/>
  <c r="S326" i="2"/>
  <c r="G326" i="2"/>
  <c r="I327" i="2"/>
  <c r="O327" i="2"/>
  <c r="J327" i="2"/>
  <c r="K327" i="2"/>
  <c r="L327" i="2"/>
  <c r="M327" i="2"/>
  <c r="B327" i="2"/>
  <c r="C327" i="2"/>
  <c r="P327" i="2"/>
  <c r="D327" i="2"/>
  <c r="Q327" i="2"/>
  <c r="E327" i="2"/>
  <c r="R327" i="2"/>
  <c r="F327" i="2"/>
  <c r="S327" i="2"/>
  <c r="G327" i="2"/>
  <c r="I328" i="2"/>
  <c r="O328" i="2"/>
  <c r="J328" i="2"/>
  <c r="K328" i="2"/>
  <c r="L328" i="2"/>
  <c r="M328" i="2"/>
  <c r="B328" i="2"/>
  <c r="C328" i="2"/>
  <c r="P328" i="2"/>
  <c r="D328" i="2"/>
  <c r="Q328" i="2"/>
  <c r="E328" i="2"/>
  <c r="R328" i="2"/>
  <c r="F328" i="2"/>
  <c r="S328" i="2"/>
  <c r="G328" i="2"/>
  <c r="I329" i="2"/>
  <c r="O329" i="2"/>
  <c r="J329" i="2"/>
  <c r="K329" i="2"/>
  <c r="L329" i="2"/>
  <c r="M329" i="2"/>
  <c r="B329" i="2"/>
  <c r="C329" i="2"/>
  <c r="P329" i="2"/>
  <c r="D329" i="2"/>
  <c r="Q329" i="2"/>
  <c r="E329" i="2"/>
  <c r="R329" i="2"/>
  <c r="F329" i="2"/>
  <c r="S329" i="2"/>
  <c r="G329" i="2"/>
  <c r="I330" i="2"/>
  <c r="O330" i="2"/>
  <c r="J330" i="2"/>
  <c r="K330" i="2"/>
  <c r="L330" i="2"/>
  <c r="M330" i="2"/>
  <c r="B330" i="2"/>
  <c r="C330" i="2"/>
  <c r="P330" i="2"/>
  <c r="D330" i="2"/>
  <c r="Q330" i="2"/>
  <c r="E330" i="2"/>
  <c r="R330" i="2"/>
  <c r="F330" i="2"/>
  <c r="S330" i="2"/>
  <c r="G330" i="2"/>
  <c r="I331" i="2"/>
  <c r="O331" i="2"/>
  <c r="J331" i="2"/>
  <c r="K331" i="2"/>
  <c r="L331" i="2"/>
  <c r="M331" i="2"/>
  <c r="B331" i="2"/>
  <c r="C331" i="2"/>
  <c r="P331" i="2"/>
  <c r="D331" i="2"/>
  <c r="Q331" i="2"/>
  <c r="E331" i="2"/>
  <c r="R331" i="2"/>
  <c r="F331" i="2"/>
  <c r="S331" i="2"/>
  <c r="G331" i="2"/>
  <c r="I332" i="2"/>
  <c r="O332" i="2"/>
  <c r="J332" i="2"/>
  <c r="K332" i="2"/>
  <c r="L332" i="2"/>
  <c r="M332" i="2"/>
  <c r="B332" i="2"/>
  <c r="C332" i="2"/>
  <c r="P332" i="2"/>
  <c r="D332" i="2"/>
  <c r="Q332" i="2"/>
  <c r="E332" i="2"/>
  <c r="R332" i="2"/>
  <c r="F332" i="2"/>
  <c r="S332" i="2"/>
  <c r="G332" i="2"/>
  <c r="I333" i="2"/>
  <c r="O333" i="2"/>
  <c r="J333" i="2"/>
  <c r="K333" i="2"/>
  <c r="L333" i="2"/>
  <c r="M333" i="2"/>
  <c r="B333" i="2"/>
  <c r="C333" i="2"/>
  <c r="P333" i="2"/>
  <c r="D333" i="2"/>
  <c r="Q333" i="2"/>
  <c r="E333" i="2"/>
  <c r="R333" i="2"/>
  <c r="F333" i="2"/>
  <c r="S333" i="2"/>
  <c r="G333" i="2"/>
  <c r="I334" i="2"/>
  <c r="O334" i="2"/>
  <c r="J334" i="2"/>
  <c r="K334" i="2"/>
  <c r="L334" i="2"/>
  <c r="M334" i="2"/>
  <c r="B334" i="2"/>
  <c r="C334" i="2"/>
  <c r="P334" i="2"/>
  <c r="D334" i="2"/>
  <c r="Q334" i="2"/>
  <c r="E334" i="2"/>
  <c r="R334" i="2"/>
  <c r="F334" i="2"/>
  <c r="S334" i="2"/>
  <c r="G334" i="2"/>
  <c r="I335" i="2"/>
  <c r="O335" i="2"/>
  <c r="J335" i="2"/>
  <c r="K335" i="2"/>
  <c r="L335" i="2"/>
  <c r="M335" i="2"/>
  <c r="B335" i="2"/>
  <c r="C335" i="2"/>
  <c r="P335" i="2"/>
  <c r="D335" i="2"/>
  <c r="Q335" i="2"/>
  <c r="E335" i="2"/>
  <c r="R335" i="2"/>
  <c r="F335" i="2"/>
  <c r="S335" i="2"/>
  <c r="G335" i="2"/>
  <c r="I336" i="2"/>
  <c r="O336" i="2"/>
  <c r="J336" i="2"/>
  <c r="K336" i="2"/>
  <c r="L336" i="2"/>
  <c r="M336" i="2"/>
  <c r="B336" i="2"/>
  <c r="C336" i="2"/>
  <c r="P336" i="2"/>
  <c r="D336" i="2"/>
  <c r="Q336" i="2"/>
  <c r="E336" i="2"/>
  <c r="R336" i="2"/>
  <c r="F336" i="2"/>
  <c r="S336" i="2"/>
  <c r="G336" i="2"/>
  <c r="I337" i="2"/>
  <c r="O337" i="2"/>
  <c r="J337" i="2"/>
  <c r="K337" i="2"/>
  <c r="L337" i="2"/>
  <c r="M337" i="2"/>
  <c r="B337" i="2"/>
  <c r="C337" i="2"/>
  <c r="P337" i="2"/>
  <c r="D337" i="2"/>
  <c r="Q337" i="2"/>
  <c r="E337" i="2"/>
  <c r="R337" i="2"/>
  <c r="F337" i="2"/>
  <c r="S337" i="2"/>
  <c r="G337" i="2"/>
  <c r="I338" i="2"/>
  <c r="O338" i="2"/>
  <c r="J338" i="2"/>
  <c r="K338" i="2"/>
  <c r="L338" i="2"/>
  <c r="M338" i="2"/>
  <c r="B338" i="2"/>
  <c r="C338" i="2"/>
  <c r="P338" i="2"/>
  <c r="D338" i="2"/>
  <c r="Q338" i="2"/>
  <c r="E338" i="2"/>
  <c r="R338" i="2"/>
  <c r="F338" i="2"/>
  <c r="S338" i="2"/>
  <c r="G338" i="2"/>
  <c r="I339" i="2"/>
  <c r="O339" i="2"/>
  <c r="J339" i="2"/>
  <c r="K339" i="2"/>
  <c r="L339" i="2"/>
  <c r="M339" i="2"/>
  <c r="B339" i="2"/>
  <c r="C339" i="2"/>
  <c r="P339" i="2"/>
  <c r="D339" i="2"/>
  <c r="Q339" i="2"/>
  <c r="E339" i="2"/>
  <c r="R339" i="2"/>
  <c r="F339" i="2"/>
  <c r="S339" i="2"/>
  <c r="G339" i="2"/>
  <c r="I340" i="2"/>
  <c r="O340" i="2"/>
  <c r="J340" i="2"/>
  <c r="K340" i="2"/>
  <c r="L340" i="2"/>
  <c r="M340" i="2"/>
  <c r="B340" i="2"/>
  <c r="C340" i="2"/>
  <c r="P340" i="2"/>
  <c r="D340" i="2"/>
  <c r="Q340" i="2"/>
  <c r="E340" i="2"/>
  <c r="R340" i="2"/>
  <c r="F340" i="2"/>
  <c r="S340" i="2"/>
  <c r="G340" i="2"/>
  <c r="I341" i="2"/>
  <c r="O341" i="2"/>
  <c r="J341" i="2"/>
  <c r="K341" i="2"/>
  <c r="L341" i="2"/>
  <c r="M341" i="2"/>
  <c r="B341" i="2"/>
  <c r="C341" i="2"/>
  <c r="P341" i="2"/>
  <c r="D341" i="2"/>
  <c r="Q341" i="2"/>
  <c r="E341" i="2"/>
  <c r="R341" i="2"/>
  <c r="F341" i="2"/>
  <c r="S341" i="2"/>
  <c r="G341" i="2"/>
  <c r="I342" i="2"/>
  <c r="O342" i="2"/>
  <c r="J342" i="2"/>
  <c r="K342" i="2"/>
  <c r="L342" i="2"/>
  <c r="M342" i="2"/>
  <c r="B342" i="2"/>
  <c r="C342" i="2"/>
  <c r="P342" i="2"/>
  <c r="D342" i="2"/>
  <c r="Q342" i="2"/>
  <c r="E342" i="2"/>
  <c r="R342" i="2"/>
  <c r="F342" i="2"/>
  <c r="S342" i="2"/>
  <c r="G342" i="2"/>
  <c r="I343" i="2"/>
  <c r="O343" i="2"/>
  <c r="J343" i="2"/>
  <c r="K343" i="2"/>
  <c r="L343" i="2"/>
  <c r="M343" i="2"/>
  <c r="B343" i="2"/>
  <c r="C343" i="2"/>
  <c r="P343" i="2"/>
  <c r="D343" i="2"/>
  <c r="Q343" i="2"/>
  <c r="E343" i="2"/>
  <c r="R343" i="2"/>
  <c r="F343" i="2"/>
  <c r="S343" i="2"/>
  <c r="G343" i="2"/>
  <c r="I344" i="2"/>
  <c r="O344" i="2"/>
  <c r="J344" i="2"/>
  <c r="K344" i="2"/>
  <c r="L344" i="2"/>
  <c r="M344" i="2"/>
  <c r="B344" i="2"/>
  <c r="C344" i="2"/>
  <c r="P344" i="2"/>
  <c r="D344" i="2"/>
  <c r="Q344" i="2"/>
  <c r="E344" i="2"/>
  <c r="R344" i="2"/>
  <c r="F344" i="2"/>
  <c r="S344" i="2"/>
  <c r="G344" i="2"/>
  <c r="I345" i="2"/>
  <c r="O345" i="2"/>
  <c r="J345" i="2"/>
  <c r="K345" i="2"/>
  <c r="L345" i="2"/>
  <c r="M345" i="2"/>
  <c r="B345" i="2"/>
  <c r="C345" i="2"/>
  <c r="P345" i="2"/>
  <c r="D345" i="2"/>
  <c r="Q345" i="2"/>
  <c r="E345" i="2"/>
  <c r="R345" i="2"/>
  <c r="F345" i="2"/>
  <c r="S345" i="2"/>
  <c r="G345" i="2"/>
  <c r="I346" i="2"/>
  <c r="O346" i="2"/>
  <c r="J346" i="2"/>
  <c r="K346" i="2"/>
  <c r="L346" i="2"/>
  <c r="M346" i="2"/>
  <c r="B346" i="2"/>
  <c r="C346" i="2"/>
  <c r="P346" i="2"/>
  <c r="D346" i="2"/>
  <c r="Q346" i="2"/>
  <c r="E346" i="2"/>
  <c r="R346" i="2"/>
  <c r="F346" i="2"/>
  <c r="S346" i="2"/>
  <c r="G346" i="2"/>
  <c r="I347" i="2"/>
  <c r="O347" i="2"/>
  <c r="J347" i="2"/>
  <c r="K347" i="2"/>
  <c r="L347" i="2"/>
  <c r="M347" i="2"/>
  <c r="B347" i="2"/>
  <c r="C347" i="2"/>
  <c r="P347" i="2"/>
  <c r="D347" i="2"/>
  <c r="Q347" i="2"/>
  <c r="E347" i="2"/>
  <c r="R347" i="2"/>
  <c r="F347" i="2"/>
  <c r="S347" i="2"/>
  <c r="G347" i="2"/>
  <c r="I348" i="2"/>
  <c r="O348" i="2"/>
  <c r="J348" i="2"/>
  <c r="K348" i="2"/>
  <c r="L348" i="2"/>
  <c r="M348" i="2"/>
  <c r="B348" i="2"/>
  <c r="C348" i="2"/>
  <c r="P348" i="2"/>
  <c r="D348" i="2"/>
  <c r="Q348" i="2"/>
  <c r="E348" i="2"/>
  <c r="R348" i="2"/>
  <c r="F348" i="2"/>
  <c r="S348" i="2"/>
  <c r="G348" i="2"/>
  <c r="I349" i="2"/>
  <c r="O349" i="2"/>
  <c r="J349" i="2"/>
  <c r="K349" i="2"/>
  <c r="L349" i="2"/>
  <c r="M349" i="2"/>
  <c r="B349" i="2"/>
  <c r="C349" i="2"/>
  <c r="P349" i="2"/>
  <c r="D349" i="2"/>
  <c r="Q349" i="2"/>
  <c r="E349" i="2"/>
  <c r="R349" i="2"/>
  <c r="F349" i="2"/>
  <c r="S349" i="2"/>
  <c r="G349" i="2"/>
  <c r="I350" i="2"/>
  <c r="O350" i="2"/>
  <c r="J350" i="2"/>
  <c r="K350" i="2"/>
  <c r="L350" i="2"/>
  <c r="M350" i="2"/>
  <c r="B350" i="2"/>
  <c r="C350" i="2"/>
  <c r="P350" i="2"/>
  <c r="D350" i="2"/>
  <c r="Q350" i="2"/>
  <c r="E350" i="2"/>
  <c r="R350" i="2"/>
  <c r="F350" i="2"/>
  <c r="S350" i="2"/>
  <c r="G350" i="2"/>
  <c r="I351" i="2"/>
  <c r="O351" i="2"/>
  <c r="J351" i="2"/>
  <c r="K351" i="2"/>
  <c r="L351" i="2"/>
  <c r="M351" i="2"/>
  <c r="B351" i="2"/>
  <c r="C351" i="2"/>
  <c r="P351" i="2"/>
  <c r="D351" i="2"/>
  <c r="Q351" i="2"/>
  <c r="E351" i="2"/>
  <c r="R351" i="2"/>
  <c r="F351" i="2"/>
  <c r="S351" i="2"/>
  <c r="G351" i="2"/>
  <c r="I352" i="2"/>
  <c r="O352" i="2"/>
  <c r="J352" i="2"/>
  <c r="K352" i="2"/>
  <c r="L352" i="2"/>
  <c r="M352" i="2"/>
  <c r="B352" i="2"/>
  <c r="C352" i="2"/>
  <c r="P352" i="2"/>
  <c r="D352" i="2"/>
  <c r="Q352" i="2"/>
  <c r="E352" i="2"/>
  <c r="R352" i="2"/>
  <c r="F352" i="2"/>
  <c r="S352" i="2"/>
  <c r="G352" i="2"/>
  <c r="I353" i="2"/>
  <c r="O353" i="2"/>
  <c r="J353" i="2"/>
  <c r="K353" i="2"/>
  <c r="L353" i="2"/>
  <c r="M353" i="2"/>
  <c r="B353" i="2"/>
  <c r="C353" i="2"/>
  <c r="P353" i="2"/>
  <c r="D353" i="2"/>
  <c r="Q353" i="2"/>
  <c r="E353" i="2"/>
  <c r="R353" i="2"/>
  <c r="F353" i="2"/>
  <c r="S353" i="2"/>
  <c r="G353" i="2"/>
  <c r="I354" i="2"/>
  <c r="O354" i="2"/>
  <c r="J354" i="2"/>
  <c r="K354" i="2"/>
  <c r="L354" i="2"/>
  <c r="M354" i="2"/>
  <c r="B354" i="2"/>
  <c r="C354" i="2"/>
  <c r="P354" i="2"/>
  <c r="D354" i="2"/>
  <c r="Q354" i="2"/>
  <c r="E354" i="2"/>
  <c r="R354" i="2"/>
  <c r="F354" i="2"/>
  <c r="S354" i="2"/>
  <c r="G354" i="2"/>
  <c r="I355" i="2"/>
  <c r="O355" i="2"/>
  <c r="J355" i="2"/>
  <c r="K355" i="2"/>
  <c r="L355" i="2"/>
  <c r="M355" i="2"/>
  <c r="B355" i="2"/>
  <c r="C355" i="2"/>
  <c r="P355" i="2"/>
  <c r="D355" i="2"/>
  <c r="Q355" i="2"/>
  <c r="E355" i="2"/>
  <c r="R355" i="2"/>
  <c r="F355" i="2"/>
  <c r="S355" i="2"/>
  <c r="G355" i="2"/>
  <c r="I356" i="2"/>
  <c r="O356" i="2"/>
  <c r="J356" i="2"/>
  <c r="K356" i="2"/>
  <c r="L356" i="2"/>
  <c r="M356" i="2"/>
  <c r="B356" i="2"/>
  <c r="C356" i="2"/>
  <c r="P356" i="2"/>
  <c r="D356" i="2"/>
  <c r="Q356" i="2"/>
  <c r="E356" i="2"/>
  <c r="R356" i="2"/>
  <c r="F356" i="2"/>
  <c r="S356" i="2"/>
  <c r="G356" i="2"/>
  <c r="I357" i="2"/>
  <c r="O357" i="2"/>
  <c r="J357" i="2"/>
  <c r="K357" i="2"/>
  <c r="L357" i="2"/>
  <c r="M357" i="2"/>
  <c r="B357" i="2"/>
  <c r="C357" i="2"/>
  <c r="P357" i="2"/>
  <c r="D357" i="2"/>
  <c r="Q357" i="2"/>
  <c r="E357" i="2"/>
  <c r="R357" i="2"/>
  <c r="F357" i="2"/>
  <c r="S357" i="2"/>
  <c r="G357" i="2"/>
  <c r="I358" i="2"/>
  <c r="O358" i="2"/>
  <c r="J358" i="2"/>
  <c r="K358" i="2"/>
  <c r="L358" i="2"/>
  <c r="M358" i="2"/>
  <c r="B358" i="2"/>
  <c r="C358" i="2"/>
  <c r="P358" i="2"/>
  <c r="D358" i="2"/>
  <c r="Q358" i="2"/>
  <c r="E358" i="2"/>
  <c r="R358" i="2"/>
  <c r="F358" i="2"/>
  <c r="S358" i="2"/>
  <c r="G358" i="2"/>
  <c r="I359" i="2"/>
  <c r="O359" i="2"/>
  <c r="J359" i="2"/>
  <c r="K359" i="2"/>
  <c r="L359" i="2"/>
  <c r="M359" i="2"/>
  <c r="B359" i="2"/>
  <c r="C359" i="2"/>
  <c r="P359" i="2"/>
  <c r="D359" i="2"/>
  <c r="Q359" i="2"/>
  <c r="E359" i="2"/>
  <c r="R359" i="2"/>
  <c r="F359" i="2"/>
  <c r="S359" i="2"/>
  <c r="G359" i="2"/>
  <c r="I360" i="2"/>
  <c r="O360" i="2"/>
  <c r="J360" i="2"/>
  <c r="K360" i="2"/>
  <c r="L360" i="2"/>
  <c r="M360" i="2"/>
  <c r="B360" i="2"/>
  <c r="C360" i="2"/>
  <c r="P360" i="2"/>
  <c r="D360" i="2"/>
  <c r="Q360" i="2"/>
  <c r="E360" i="2"/>
  <c r="R360" i="2"/>
  <c r="F360" i="2"/>
  <c r="S360" i="2"/>
  <c r="G360" i="2"/>
  <c r="I361" i="2"/>
  <c r="O361" i="2"/>
  <c r="J361" i="2"/>
  <c r="K361" i="2"/>
  <c r="L361" i="2"/>
  <c r="M361" i="2"/>
  <c r="B361" i="2"/>
  <c r="C361" i="2"/>
  <c r="P361" i="2"/>
  <c r="D361" i="2"/>
  <c r="Q361" i="2"/>
  <c r="E361" i="2"/>
  <c r="R361" i="2"/>
  <c r="F361" i="2"/>
  <c r="S361" i="2"/>
  <c r="G361" i="2"/>
  <c r="I362" i="2"/>
  <c r="O362" i="2"/>
  <c r="J362" i="2"/>
  <c r="K362" i="2"/>
  <c r="L362" i="2"/>
  <c r="M362" i="2"/>
  <c r="B362" i="2"/>
  <c r="C362" i="2"/>
  <c r="P362" i="2"/>
  <c r="D362" i="2"/>
  <c r="Q362" i="2"/>
  <c r="E362" i="2"/>
  <c r="R362" i="2"/>
  <c r="F362" i="2"/>
  <c r="S362" i="2"/>
  <c r="G362" i="2"/>
  <c r="I363" i="2"/>
  <c r="O363" i="2"/>
  <c r="J363" i="2"/>
  <c r="K363" i="2"/>
  <c r="L363" i="2"/>
  <c r="M363" i="2"/>
  <c r="B363" i="2"/>
  <c r="C363" i="2"/>
  <c r="P363" i="2"/>
  <c r="D363" i="2"/>
  <c r="Q363" i="2"/>
  <c r="E363" i="2"/>
  <c r="R363" i="2"/>
  <c r="F363" i="2"/>
  <c r="S363" i="2"/>
  <c r="G363" i="2"/>
  <c r="I364" i="2"/>
  <c r="O364" i="2"/>
  <c r="J364" i="2"/>
  <c r="K364" i="2"/>
  <c r="L364" i="2"/>
  <c r="M364" i="2"/>
  <c r="B364" i="2"/>
  <c r="C364" i="2"/>
  <c r="P364" i="2"/>
  <c r="D364" i="2"/>
  <c r="Q364" i="2"/>
  <c r="E364" i="2"/>
  <c r="R364" i="2"/>
  <c r="F364" i="2"/>
  <c r="S364" i="2"/>
  <c r="G364" i="2"/>
  <c r="I365" i="2"/>
  <c r="O365" i="2"/>
  <c r="J365" i="2"/>
  <c r="K365" i="2"/>
  <c r="L365" i="2"/>
  <c r="M365" i="2"/>
  <c r="B365" i="2"/>
  <c r="C365" i="2"/>
  <c r="P365" i="2"/>
  <c r="D365" i="2"/>
  <c r="Q365" i="2"/>
  <c r="E365" i="2"/>
  <c r="R365" i="2"/>
  <c r="F365" i="2"/>
  <c r="S365" i="2"/>
  <c r="G365" i="2"/>
  <c r="I366" i="2"/>
  <c r="O366" i="2"/>
  <c r="J366" i="2"/>
  <c r="K366" i="2"/>
  <c r="L366" i="2"/>
  <c r="M366" i="2"/>
  <c r="B366" i="2"/>
  <c r="C366" i="2"/>
  <c r="P366" i="2"/>
  <c r="D366" i="2"/>
  <c r="Q366" i="2"/>
  <c r="E366" i="2"/>
  <c r="R366" i="2"/>
  <c r="F366" i="2"/>
  <c r="S366" i="2"/>
  <c r="G366" i="2"/>
  <c r="I367" i="2"/>
  <c r="O367" i="2"/>
  <c r="J367" i="2"/>
  <c r="K367" i="2"/>
  <c r="L367" i="2"/>
  <c r="M367" i="2"/>
  <c r="B367" i="2"/>
  <c r="C367" i="2"/>
  <c r="P367" i="2"/>
  <c r="D367" i="2"/>
  <c r="Q367" i="2"/>
  <c r="E367" i="2"/>
  <c r="R367" i="2"/>
  <c r="F367" i="2"/>
  <c r="S367" i="2"/>
  <c r="G367" i="2"/>
  <c r="I368" i="2"/>
  <c r="O368" i="2"/>
  <c r="J368" i="2"/>
  <c r="K368" i="2"/>
  <c r="L368" i="2"/>
  <c r="M368" i="2"/>
  <c r="B368" i="2"/>
  <c r="C368" i="2"/>
  <c r="P368" i="2"/>
  <c r="D368" i="2"/>
  <c r="Q368" i="2"/>
  <c r="E368" i="2"/>
  <c r="R368" i="2"/>
  <c r="F368" i="2"/>
  <c r="S368" i="2"/>
  <c r="G368" i="2"/>
  <c r="I369" i="2"/>
  <c r="O369" i="2"/>
  <c r="J369" i="2"/>
  <c r="K369" i="2"/>
  <c r="L369" i="2"/>
  <c r="M369" i="2"/>
  <c r="B369" i="2"/>
  <c r="C369" i="2"/>
  <c r="P369" i="2"/>
  <c r="D369" i="2"/>
  <c r="Q369" i="2"/>
  <c r="E369" i="2"/>
  <c r="R369" i="2"/>
  <c r="F369" i="2"/>
  <c r="S369" i="2"/>
  <c r="G369" i="2"/>
  <c r="I370" i="2"/>
  <c r="O370" i="2"/>
  <c r="J370" i="2"/>
  <c r="K370" i="2"/>
  <c r="L370" i="2"/>
  <c r="M370" i="2"/>
  <c r="B370" i="2"/>
  <c r="C370" i="2"/>
  <c r="P370" i="2"/>
  <c r="D370" i="2"/>
  <c r="Q370" i="2"/>
  <c r="E370" i="2"/>
  <c r="R370" i="2"/>
  <c r="F370" i="2"/>
  <c r="S370" i="2"/>
  <c r="G370" i="2"/>
  <c r="I371" i="2"/>
  <c r="O371" i="2"/>
  <c r="J371" i="2"/>
  <c r="K371" i="2"/>
  <c r="L371" i="2"/>
  <c r="M371" i="2"/>
  <c r="B371" i="2"/>
  <c r="C371" i="2"/>
  <c r="P371" i="2"/>
  <c r="D371" i="2"/>
  <c r="Q371" i="2"/>
  <c r="E371" i="2"/>
  <c r="R371" i="2"/>
  <c r="F371" i="2"/>
  <c r="S371" i="2"/>
  <c r="G371" i="2"/>
  <c r="I372" i="2"/>
  <c r="O372" i="2"/>
  <c r="J372" i="2"/>
  <c r="K372" i="2"/>
  <c r="L372" i="2"/>
  <c r="M372" i="2"/>
  <c r="B372" i="2"/>
  <c r="C372" i="2"/>
  <c r="P372" i="2"/>
  <c r="D372" i="2"/>
  <c r="Q372" i="2"/>
  <c r="E372" i="2"/>
  <c r="R372" i="2"/>
  <c r="F372" i="2"/>
  <c r="S372" i="2"/>
  <c r="G372" i="2"/>
  <c r="I373" i="2"/>
  <c r="O373" i="2"/>
  <c r="J373" i="2"/>
  <c r="K373" i="2"/>
  <c r="L373" i="2"/>
  <c r="M373" i="2"/>
  <c r="B373" i="2"/>
  <c r="C373" i="2"/>
  <c r="P373" i="2"/>
  <c r="D373" i="2"/>
  <c r="Q373" i="2"/>
  <c r="E373" i="2"/>
  <c r="R373" i="2"/>
  <c r="F373" i="2"/>
  <c r="S373" i="2"/>
  <c r="G373" i="2"/>
  <c r="I374" i="2"/>
  <c r="O374" i="2"/>
  <c r="J374" i="2"/>
  <c r="K374" i="2"/>
  <c r="L374" i="2"/>
  <c r="M374" i="2"/>
  <c r="B374" i="2"/>
  <c r="C374" i="2"/>
  <c r="P374" i="2"/>
  <c r="D374" i="2"/>
  <c r="Q374" i="2"/>
  <c r="E374" i="2"/>
  <c r="R374" i="2"/>
  <c r="F374" i="2"/>
  <c r="S374" i="2"/>
  <c r="G374" i="2"/>
  <c r="I375" i="2"/>
  <c r="O375" i="2"/>
  <c r="J375" i="2"/>
  <c r="K375" i="2"/>
  <c r="L375" i="2"/>
  <c r="M375" i="2"/>
  <c r="B375" i="2"/>
  <c r="C375" i="2"/>
  <c r="P375" i="2"/>
  <c r="D375" i="2"/>
  <c r="Q375" i="2"/>
  <c r="E375" i="2"/>
  <c r="R375" i="2"/>
  <c r="F375" i="2"/>
  <c r="S375" i="2"/>
  <c r="G375" i="2"/>
  <c r="I376" i="2"/>
  <c r="O376" i="2"/>
  <c r="J376" i="2"/>
  <c r="K376" i="2"/>
  <c r="L376" i="2"/>
  <c r="M376" i="2"/>
  <c r="B376" i="2"/>
  <c r="C376" i="2"/>
  <c r="P376" i="2"/>
  <c r="D376" i="2"/>
  <c r="Q376" i="2"/>
  <c r="E376" i="2"/>
  <c r="R376" i="2"/>
  <c r="F376" i="2"/>
  <c r="S376" i="2"/>
  <c r="G376" i="2"/>
  <c r="I377" i="2"/>
  <c r="O377" i="2"/>
  <c r="J377" i="2"/>
  <c r="K377" i="2"/>
  <c r="L377" i="2"/>
  <c r="M377" i="2"/>
  <c r="B377" i="2"/>
  <c r="C377" i="2"/>
  <c r="P377" i="2"/>
  <c r="D377" i="2"/>
  <c r="Q377" i="2"/>
  <c r="E377" i="2"/>
  <c r="R377" i="2"/>
  <c r="F377" i="2"/>
  <c r="S377" i="2"/>
  <c r="G377" i="2"/>
  <c r="I378" i="2"/>
  <c r="O378" i="2"/>
  <c r="J378" i="2"/>
  <c r="K378" i="2"/>
  <c r="L378" i="2"/>
  <c r="M378" i="2"/>
  <c r="B378" i="2"/>
  <c r="C378" i="2"/>
  <c r="P378" i="2"/>
  <c r="D378" i="2"/>
  <c r="Q378" i="2"/>
  <c r="E378" i="2"/>
  <c r="R378" i="2"/>
  <c r="F378" i="2"/>
  <c r="S378" i="2"/>
  <c r="G378" i="2"/>
  <c r="I379" i="2"/>
  <c r="O379" i="2"/>
  <c r="J379" i="2"/>
  <c r="K379" i="2"/>
  <c r="L379" i="2"/>
  <c r="M379" i="2"/>
  <c r="B379" i="2"/>
  <c r="C379" i="2"/>
  <c r="P379" i="2"/>
  <c r="D379" i="2"/>
  <c r="Q379" i="2"/>
  <c r="E379" i="2"/>
  <c r="R379" i="2"/>
  <c r="F379" i="2"/>
  <c r="S379" i="2"/>
  <c r="G379" i="2"/>
  <c r="I380" i="2"/>
  <c r="O380" i="2"/>
  <c r="J380" i="2"/>
  <c r="K380" i="2"/>
  <c r="L380" i="2"/>
  <c r="M380" i="2"/>
  <c r="B380" i="2"/>
  <c r="C380" i="2"/>
  <c r="P380" i="2"/>
  <c r="D380" i="2"/>
  <c r="Q380" i="2"/>
  <c r="E380" i="2"/>
  <c r="R380" i="2"/>
  <c r="F380" i="2"/>
  <c r="S380" i="2"/>
  <c r="G380" i="2"/>
  <c r="I381" i="2"/>
  <c r="O381" i="2"/>
  <c r="J381" i="2"/>
  <c r="K381" i="2"/>
  <c r="L381" i="2"/>
  <c r="M381" i="2"/>
  <c r="B381" i="2"/>
  <c r="C381" i="2"/>
  <c r="P381" i="2"/>
  <c r="D381" i="2"/>
  <c r="Q381" i="2"/>
  <c r="E381" i="2"/>
  <c r="R381" i="2"/>
  <c r="F381" i="2"/>
  <c r="S381" i="2"/>
  <c r="G381" i="2"/>
  <c r="I382" i="2"/>
  <c r="O382" i="2"/>
  <c r="J382" i="2"/>
  <c r="K382" i="2"/>
  <c r="L382" i="2"/>
  <c r="M382" i="2"/>
  <c r="B382" i="2"/>
  <c r="C382" i="2"/>
  <c r="P382" i="2"/>
  <c r="D382" i="2"/>
  <c r="Q382" i="2"/>
  <c r="E382" i="2"/>
  <c r="R382" i="2"/>
  <c r="F382" i="2"/>
  <c r="S382" i="2"/>
  <c r="G382" i="2"/>
  <c r="I383" i="2"/>
  <c r="O383" i="2"/>
  <c r="J383" i="2"/>
  <c r="K383" i="2"/>
  <c r="L383" i="2"/>
  <c r="M383" i="2"/>
  <c r="B383" i="2"/>
  <c r="C383" i="2"/>
  <c r="P383" i="2"/>
  <c r="D383" i="2"/>
  <c r="Q383" i="2"/>
  <c r="E383" i="2"/>
  <c r="R383" i="2"/>
  <c r="F383" i="2"/>
  <c r="S383" i="2"/>
  <c r="G383" i="2"/>
  <c r="I384" i="2"/>
  <c r="O384" i="2"/>
  <c r="J384" i="2"/>
  <c r="K384" i="2"/>
  <c r="L384" i="2"/>
  <c r="M384" i="2"/>
  <c r="B384" i="2"/>
  <c r="C384" i="2"/>
  <c r="P384" i="2"/>
  <c r="D384" i="2"/>
  <c r="Q384" i="2"/>
  <c r="E384" i="2"/>
  <c r="R384" i="2"/>
  <c r="F384" i="2"/>
  <c r="S384" i="2"/>
  <c r="G384" i="2"/>
  <c r="I385" i="2"/>
  <c r="O385" i="2"/>
  <c r="J385" i="2"/>
  <c r="K385" i="2"/>
  <c r="L385" i="2"/>
  <c r="M385" i="2"/>
  <c r="B385" i="2"/>
  <c r="C385" i="2"/>
  <c r="P385" i="2"/>
  <c r="D385" i="2"/>
  <c r="Q385" i="2"/>
  <c r="E385" i="2"/>
  <c r="R385" i="2"/>
  <c r="F385" i="2"/>
  <c r="S385" i="2"/>
  <c r="G385" i="2"/>
  <c r="I386" i="2"/>
  <c r="O386" i="2"/>
  <c r="J386" i="2"/>
  <c r="K386" i="2"/>
  <c r="L386" i="2"/>
  <c r="M386" i="2"/>
  <c r="B386" i="2"/>
  <c r="C386" i="2"/>
  <c r="P386" i="2"/>
  <c r="D386" i="2"/>
  <c r="Q386" i="2"/>
  <c r="E386" i="2"/>
  <c r="R386" i="2"/>
  <c r="F386" i="2"/>
  <c r="S386" i="2"/>
  <c r="G386" i="2"/>
  <c r="I387" i="2"/>
  <c r="O387" i="2"/>
  <c r="J387" i="2"/>
  <c r="K387" i="2"/>
  <c r="L387" i="2"/>
  <c r="M387" i="2"/>
  <c r="B387" i="2"/>
  <c r="C387" i="2"/>
  <c r="P387" i="2"/>
  <c r="D387" i="2"/>
  <c r="Q387" i="2"/>
  <c r="E387" i="2"/>
  <c r="R387" i="2"/>
  <c r="F387" i="2"/>
  <c r="S387" i="2"/>
  <c r="G387" i="2"/>
  <c r="I388" i="2"/>
  <c r="O388" i="2"/>
  <c r="J388" i="2"/>
  <c r="K388" i="2"/>
  <c r="L388" i="2"/>
  <c r="M388" i="2"/>
  <c r="B388" i="2"/>
  <c r="C388" i="2"/>
  <c r="P388" i="2"/>
  <c r="D388" i="2"/>
  <c r="Q388" i="2"/>
  <c r="E388" i="2"/>
  <c r="R388" i="2"/>
  <c r="F388" i="2"/>
  <c r="S388" i="2"/>
  <c r="G388" i="2"/>
  <c r="I389" i="2"/>
  <c r="O389" i="2"/>
  <c r="J389" i="2"/>
  <c r="K389" i="2"/>
  <c r="L389" i="2"/>
  <c r="M389" i="2"/>
  <c r="B389" i="2"/>
  <c r="C389" i="2"/>
  <c r="P389" i="2"/>
  <c r="D389" i="2"/>
  <c r="Q389" i="2"/>
  <c r="E389" i="2"/>
  <c r="R389" i="2"/>
  <c r="F389" i="2"/>
  <c r="S389" i="2"/>
  <c r="G389" i="2"/>
  <c r="I390" i="2"/>
  <c r="O390" i="2"/>
  <c r="J390" i="2"/>
  <c r="K390" i="2"/>
  <c r="L390" i="2"/>
  <c r="M390" i="2"/>
  <c r="B390" i="2"/>
  <c r="C390" i="2"/>
  <c r="P390" i="2"/>
  <c r="D390" i="2"/>
  <c r="Q390" i="2"/>
  <c r="E390" i="2"/>
  <c r="R390" i="2"/>
  <c r="F390" i="2"/>
  <c r="S390" i="2"/>
  <c r="G390" i="2"/>
  <c r="I391" i="2"/>
  <c r="O391" i="2"/>
  <c r="J391" i="2"/>
  <c r="K391" i="2"/>
  <c r="L391" i="2"/>
  <c r="M391" i="2"/>
  <c r="B391" i="2"/>
  <c r="C391" i="2"/>
  <c r="P391" i="2"/>
  <c r="D391" i="2"/>
  <c r="Q391" i="2"/>
  <c r="E391" i="2"/>
  <c r="R391" i="2"/>
  <c r="F391" i="2"/>
  <c r="S391" i="2"/>
  <c r="G391" i="2"/>
  <c r="I392" i="2"/>
  <c r="O392" i="2"/>
  <c r="J392" i="2"/>
  <c r="K392" i="2"/>
  <c r="L392" i="2"/>
  <c r="M392" i="2"/>
  <c r="B392" i="2"/>
  <c r="C392" i="2"/>
  <c r="P392" i="2"/>
  <c r="D392" i="2"/>
  <c r="Q392" i="2"/>
  <c r="E392" i="2"/>
  <c r="R392" i="2"/>
  <c r="F392" i="2"/>
  <c r="S392" i="2"/>
  <c r="G392" i="2"/>
  <c r="I393" i="2"/>
  <c r="O393" i="2"/>
  <c r="J393" i="2"/>
  <c r="K393" i="2"/>
  <c r="L393" i="2"/>
  <c r="M393" i="2"/>
  <c r="B393" i="2"/>
  <c r="C393" i="2"/>
  <c r="P393" i="2"/>
  <c r="D393" i="2"/>
  <c r="Q393" i="2"/>
  <c r="E393" i="2"/>
  <c r="R393" i="2"/>
  <c r="F393" i="2"/>
  <c r="S393" i="2"/>
  <c r="G393" i="2"/>
  <c r="I394" i="2"/>
  <c r="O394" i="2"/>
  <c r="J394" i="2"/>
  <c r="K394" i="2"/>
  <c r="L394" i="2"/>
  <c r="M394" i="2"/>
  <c r="B394" i="2"/>
  <c r="C394" i="2"/>
  <c r="P394" i="2"/>
  <c r="D394" i="2"/>
  <c r="Q394" i="2"/>
  <c r="E394" i="2"/>
  <c r="R394" i="2"/>
  <c r="F394" i="2"/>
  <c r="S394" i="2"/>
  <c r="G394" i="2"/>
  <c r="I395" i="2"/>
  <c r="O395" i="2"/>
  <c r="J395" i="2"/>
  <c r="K395" i="2"/>
  <c r="L395" i="2"/>
  <c r="M395" i="2"/>
  <c r="B395" i="2"/>
  <c r="C395" i="2"/>
  <c r="P395" i="2"/>
  <c r="D395" i="2"/>
  <c r="Q395" i="2"/>
  <c r="E395" i="2"/>
  <c r="R395" i="2"/>
  <c r="F395" i="2"/>
  <c r="S395" i="2"/>
  <c r="G395" i="2"/>
  <c r="I396" i="2"/>
  <c r="O396" i="2"/>
  <c r="J396" i="2"/>
  <c r="K396" i="2"/>
  <c r="L396" i="2"/>
  <c r="M396" i="2"/>
  <c r="B396" i="2"/>
  <c r="C396" i="2"/>
  <c r="P396" i="2"/>
  <c r="D396" i="2"/>
  <c r="Q396" i="2"/>
  <c r="E396" i="2"/>
  <c r="R396" i="2"/>
  <c r="F396" i="2"/>
  <c r="S396" i="2"/>
  <c r="G396" i="2"/>
  <c r="I397" i="2"/>
  <c r="O397" i="2"/>
  <c r="J397" i="2"/>
  <c r="K397" i="2"/>
  <c r="L397" i="2"/>
  <c r="M397" i="2"/>
  <c r="B397" i="2"/>
  <c r="C397" i="2"/>
  <c r="P397" i="2"/>
  <c r="D397" i="2"/>
  <c r="Q397" i="2"/>
  <c r="E397" i="2"/>
  <c r="R397" i="2"/>
  <c r="F397" i="2"/>
  <c r="S397" i="2"/>
  <c r="G397" i="2"/>
  <c r="I398" i="2"/>
  <c r="O398" i="2"/>
  <c r="J398" i="2"/>
  <c r="K398" i="2"/>
  <c r="L398" i="2"/>
  <c r="M398" i="2"/>
  <c r="B398" i="2"/>
  <c r="C398" i="2"/>
  <c r="P398" i="2"/>
  <c r="D398" i="2"/>
  <c r="Q398" i="2"/>
  <c r="E398" i="2"/>
  <c r="R398" i="2"/>
  <c r="F398" i="2"/>
  <c r="S398" i="2"/>
  <c r="G398" i="2"/>
  <c r="I399" i="2"/>
  <c r="O399" i="2"/>
  <c r="J399" i="2"/>
  <c r="K399" i="2"/>
  <c r="L399" i="2"/>
  <c r="M399" i="2"/>
  <c r="B399" i="2"/>
  <c r="C399" i="2"/>
  <c r="P399" i="2"/>
  <c r="D399" i="2"/>
  <c r="Q399" i="2"/>
  <c r="E399" i="2"/>
  <c r="R399" i="2"/>
  <c r="F399" i="2"/>
  <c r="S399" i="2"/>
  <c r="G399" i="2"/>
  <c r="I400" i="2"/>
  <c r="O400" i="2"/>
  <c r="J400" i="2"/>
  <c r="K400" i="2"/>
  <c r="L400" i="2"/>
  <c r="M400" i="2"/>
  <c r="B400" i="2"/>
  <c r="C400" i="2"/>
  <c r="P400" i="2"/>
  <c r="D400" i="2"/>
  <c r="Q400" i="2"/>
  <c r="E400" i="2"/>
  <c r="R400" i="2"/>
  <c r="F400" i="2"/>
  <c r="S400" i="2"/>
  <c r="G400" i="2"/>
  <c r="I401" i="2"/>
  <c r="O401" i="2"/>
  <c r="J401" i="2"/>
  <c r="K401" i="2"/>
  <c r="L401" i="2"/>
  <c r="M401" i="2"/>
  <c r="B401" i="2"/>
  <c r="C401" i="2"/>
  <c r="P401" i="2"/>
  <c r="D401" i="2"/>
  <c r="Q401" i="2"/>
  <c r="E401" i="2"/>
  <c r="R401" i="2"/>
  <c r="F401" i="2"/>
  <c r="S401" i="2"/>
  <c r="G401" i="2"/>
  <c r="I402" i="2"/>
  <c r="O402" i="2"/>
  <c r="J402" i="2"/>
  <c r="K402" i="2"/>
  <c r="L402" i="2"/>
  <c r="M402" i="2"/>
  <c r="B402" i="2"/>
  <c r="C402" i="2"/>
  <c r="P402" i="2"/>
  <c r="D402" i="2"/>
  <c r="Q402" i="2"/>
  <c r="E402" i="2"/>
  <c r="R402" i="2"/>
  <c r="F402" i="2"/>
  <c r="S402" i="2"/>
  <c r="G402" i="2"/>
  <c r="I403" i="2"/>
  <c r="O403" i="2"/>
  <c r="J403" i="2"/>
  <c r="K403" i="2"/>
  <c r="L403" i="2"/>
  <c r="M403" i="2"/>
  <c r="B403" i="2"/>
  <c r="C403" i="2"/>
  <c r="P403" i="2"/>
  <c r="D403" i="2"/>
  <c r="Q403" i="2"/>
  <c r="E403" i="2"/>
  <c r="R403" i="2"/>
  <c r="F403" i="2"/>
  <c r="S403" i="2"/>
  <c r="G403" i="2"/>
  <c r="I404" i="2"/>
  <c r="O404" i="2"/>
  <c r="J404" i="2"/>
  <c r="K404" i="2"/>
  <c r="L404" i="2"/>
  <c r="M404" i="2"/>
  <c r="B404" i="2"/>
  <c r="C404" i="2"/>
  <c r="P404" i="2"/>
  <c r="D404" i="2"/>
  <c r="Q404" i="2"/>
  <c r="E404" i="2"/>
  <c r="R404" i="2"/>
  <c r="F404" i="2"/>
  <c r="S404" i="2"/>
  <c r="G404" i="2"/>
  <c r="I405" i="2"/>
  <c r="O405" i="2"/>
  <c r="J405" i="2"/>
  <c r="K405" i="2"/>
  <c r="L405" i="2"/>
  <c r="M405" i="2"/>
  <c r="B405" i="2"/>
  <c r="C405" i="2"/>
  <c r="P405" i="2"/>
  <c r="D405" i="2"/>
  <c r="Q405" i="2"/>
  <c r="E405" i="2"/>
  <c r="R405" i="2"/>
  <c r="F405" i="2"/>
  <c r="S405" i="2"/>
  <c r="G405" i="2"/>
  <c r="I406" i="2"/>
  <c r="O406" i="2"/>
  <c r="J406" i="2"/>
  <c r="K406" i="2"/>
  <c r="L406" i="2"/>
  <c r="M406" i="2"/>
  <c r="B406" i="2"/>
  <c r="C406" i="2"/>
  <c r="P406" i="2"/>
  <c r="D406" i="2"/>
  <c r="Q406" i="2"/>
  <c r="E406" i="2"/>
  <c r="R406" i="2"/>
  <c r="F406" i="2"/>
  <c r="S406" i="2"/>
  <c r="G406" i="2"/>
  <c r="I407" i="2"/>
  <c r="O407" i="2"/>
  <c r="J407" i="2"/>
  <c r="K407" i="2"/>
  <c r="L407" i="2"/>
  <c r="M407" i="2"/>
  <c r="B407" i="2"/>
  <c r="C407" i="2"/>
  <c r="P407" i="2"/>
  <c r="D407" i="2"/>
  <c r="Q407" i="2"/>
  <c r="E407" i="2"/>
  <c r="R407" i="2"/>
  <c r="F407" i="2"/>
  <c r="S407" i="2"/>
  <c r="G407" i="2"/>
  <c r="I408" i="2"/>
  <c r="O408" i="2"/>
  <c r="J408" i="2"/>
  <c r="K408" i="2"/>
  <c r="L408" i="2"/>
  <c r="M408" i="2"/>
  <c r="B408" i="2"/>
  <c r="C408" i="2"/>
  <c r="P408" i="2"/>
  <c r="D408" i="2"/>
  <c r="Q408" i="2"/>
  <c r="E408" i="2"/>
  <c r="R408" i="2"/>
  <c r="F408" i="2"/>
  <c r="S408" i="2"/>
  <c r="G408" i="2"/>
  <c r="I409" i="2"/>
  <c r="O409" i="2"/>
  <c r="J409" i="2"/>
  <c r="K409" i="2"/>
  <c r="L409" i="2"/>
  <c r="M409" i="2"/>
  <c r="B409" i="2"/>
  <c r="C409" i="2"/>
  <c r="P409" i="2"/>
  <c r="D409" i="2"/>
  <c r="Q409" i="2"/>
  <c r="E409" i="2"/>
  <c r="R409" i="2"/>
  <c r="F409" i="2"/>
  <c r="S409" i="2"/>
  <c r="G409" i="2"/>
  <c r="I410" i="2"/>
  <c r="O410" i="2"/>
  <c r="J410" i="2"/>
  <c r="K410" i="2"/>
  <c r="L410" i="2"/>
  <c r="M410" i="2"/>
  <c r="B410" i="2"/>
  <c r="C410" i="2"/>
  <c r="P410" i="2"/>
  <c r="D410" i="2"/>
  <c r="Q410" i="2"/>
  <c r="E410" i="2"/>
  <c r="R410" i="2"/>
  <c r="F410" i="2"/>
  <c r="S410" i="2"/>
  <c r="G410" i="2"/>
  <c r="I411" i="2"/>
  <c r="O411" i="2"/>
  <c r="J411" i="2"/>
  <c r="K411" i="2"/>
  <c r="L411" i="2"/>
  <c r="M411" i="2"/>
  <c r="B411" i="2"/>
  <c r="C411" i="2"/>
  <c r="P411" i="2"/>
  <c r="D411" i="2"/>
  <c r="Q411" i="2"/>
  <c r="E411" i="2"/>
  <c r="R411" i="2"/>
  <c r="F411" i="2"/>
  <c r="S411" i="2"/>
  <c r="G411" i="2"/>
  <c r="I412" i="2"/>
  <c r="O412" i="2"/>
  <c r="J412" i="2"/>
  <c r="K412" i="2"/>
  <c r="L412" i="2"/>
  <c r="M412" i="2"/>
  <c r="B412" i="2"/>
  <c r="C412" i="2"/>
  <c r="P412" i="2"/>
  <c r="D412" i="2"/>
  <c r="Q412" i="2"/>
  <c r="E412" i="2"/>
  <c r="R412" i="2"/>
  <c r="F412" i="2"/>
  <c r="S412" i="2"/>
  <c r="G412" i="2"/>
  <c r="I413" i="2"/>
  <c r="O413" i="2"/>
  <c r="J413" i="2"/>
  <c r="K413" i="2"/>
  <c r="L413" i="2"/>
  <c r="M413" i="2"/>
  <c r="B413" i="2"/>
  <c r="C413" i="2"/>
  <c r="P413" i="2"/>
  <c r="D413" i="2"/>
  <c r="Q413" i="2"/>
  <c r="E413" i="2"/>
  <c r="R413" i="2"/>
  <c r="F413" i="2"/>
  <c r="S413" i="2"/>
  <c r="G413" i="2"/>
  <c r="I414" i="2"/>
  <c r="O414" i="2"/>
  <c r="J414" i="2"/>
  <c r="K414" i="2"/>
  <c r="L414" i="2"/>
  <c r="M414" i="2"/>
  <c r="B414" i="2"/>
  <c r="C414" i="2"/>
  <c r="P414" i="2"/>
  <c r="D414" i="2"/>
  <c r="Q414" i="2"/>
  <c r="E414" i="2"/>
  <c r="R414" i="2"/>
  <c r="F414" i="2"/>
  <c r="S414" i="2"/>
  <c r="G414" i="2"/>
  <c r="I415" i="2"/>
  <c r="O415" i="2"/>
  <c r="J415" i="2"/>
  <c r="K415" i="2"/>
  <c r="L415" i="2"/>
  <c r="M415" i="2"/>
  <c r="B415" i="2"/>
  <c r="C415" i="2"/>
  <c r="P415" i="2"/>
  <c r="D415" i="2"/>
  <c r="Q415" i="2"/>
  <c r="E415" i="2"/>
  <c r="R415" i="2"/>
  <c r="F415" i="2"/>
  <c r="S415" i="2"/>
  <c r="G415" i="2"/>
  <c r="I416" i="2"/>
  <c r="O416" i="2"/>
  <c r="J416" i="2"/>
  <c r="K416" i="2"/>
  <c r="L416" i="2"/>
  <c r="M416" i="2"/>
  <c r="B416" i="2"/>
  <c r="C416" i="2"/>
  <c r="P416" i="2"/>
  <c r="D416" i="2"/>
  <c r="Q416" i="2"/>
  <c r="E416" i="2"/>
  <c r="R416" i="2"/>
  <c r="F416" i="2"/>
  <c r="S416" i="2"/>
  <c r="G416" i="2"/>
  <c r="I417" i="2"/>
  <c r="O417" i="2"/>
  <c r="J417" i="2"/>
  <c r="K417" i="2"/>
  <c r="L417" i="2"/>
  <c r="M417" i="2"/>
  <c r="B417" i="2"/>
  <c r="C417" i="2"/>
  <c r="P417" i="2"/>
  <c r="D417" i="2"/>
  <c r="Q417" i="2"/>
  <c r="E417" i="2"/>
  <c r="R417" i="2"/>
  <c r="F417" i="2"/>
  <c r="S417" i="2"/>
  <c r="G417" i="2"/>
  <c r="I418" i="2"/>
  <c r="O418" i="2"/>
  <c r="J418" i="2"/>
  <c r="K418" i="2"/>
  <c r="L418" i="2"/>
  <c r="M418" i="2"/>
  <c r="B418" i="2"/>
  <c r="C418" i="2"/>
  <c r="P418" i="2"/>
  <c r="D418" i="2"/>
  <c r="Q418" i="2"/>
  <c r="E418" i="2"/>
  <c r="R418" i="2"/>
  <c r="F418" i="2"/>
  <c r="S418" i="2"/>
  <c r="G418" i="2"/>
  <c r="I419" i="2"/>
  <c r="O419" i="2"/>
  <c r="J419" i="2"/>
  <c r="K419" i="2"/>
  <c r="L419" i="2"/>
  <c r="M419" i="2"/>
  <c r="B419" i="2"/>
  <c r="C419" i="2"/>
  <c r="P419" i="2"/>
  <c r="D419" i="2"/>
  <c r="Q419" i="2"/>
  <c r="E419" i="2"/>
  <c r="R419" i="2"/>
  <c r="F419" i="2"/>
  <c r="S419" i="2"/>
  <c r="G419" i="2"/>
  <c r="I420" i="2"/>
  <c r="O420" i="2"/>
  <c r="J420" i="2"/>
  <c r="K420" i="2"/>
  <c r="L420" i="2"/>
  <c r="M420" i="2"/>
  <c r="B420" i="2"/>
  <c r="C420" i="2"/>
  <c r="P420" i="2"/>
  <c r="D420" i="2"/>
  <c r="Q420" i="2"/>
  <c r="E420" i="2"/>
  <c r="R420" i="2"/>
  <c r="F420" i="2"/>
  <c r="S420" i="2"/>
  <c r="G420" i="2"/>
  <c r="I421" i="2"/>
  <c r="O421" i="2"/>
  <c r="J421" i="2"/>
  <c r="K421" i="2"/>
  <c r="L421" i="2"/>
  <c r="M421" i="2"/>
  <c r="B421" i="2"/>
  <c r="C421" i="2"/>
  <c r="P421" i="2"/>
  <c r="D421" i="2"/>
  <c r="Q421" i="2"/>
  <c r="E421" i="2"/>
  <c r="R421" i="2"/>
  <c r="F421" i="2"/>
  <c r="S421" i="2"/>
  <c r="G421" i="2"/>
  <c r="I422" i="2"/>
  <c r="O422" i="2"/>
  <c r="J422" i="2"/>
  <c r="K422" i="2"/>
  <c r="L422" i="2"/>
  <c r="M422" i="2"/>
  <c r="B422" i="2"/>
  <c r="C422" i="2"/>
  <c r="P422" i="2"/>
  <c r="D422" i="2"/>
  <c r="Q422" i="2"/>
  <c r="E422" i="2"/>
  <c r="R422" i="2"/>
  <c r="F422" i="2"/>
  <c r="S422" i="2"/>
  <c r="G422" i="2"/>
  <c r="I423" i="2"/>
  <c r="O423" i="2"/>
  <c r="J423" i="2"/>
  <c r="K423" i="2"/>
  <c r="L423" i="2"/>
  <c r="M423" i="2"/>
  <c r="B423" i="2"/>
  <c r="C423" i="2"/>
  <c r="P423" i="2"/>
  <c r="D423" i="2"/>
  <c r="Q423" i="2"/>
  <c r="E423" i="2"/>
  <c r="R423" i="2"/>
  <c r="F423" i="2"/>
  <c r="S423" i="2"/>
  <c r="G423" i="2"/>
  <c r="I424" i="2"/>
  <c r="O424" i="2"/>
  <c r="J424" i="2"/>
  <c r="K424" i="2"/>
  <c r="L424" i="2"/>
  <c r="M424" i="2"/>
  <c r="B424" i="2"/>
  <c r="C424" i="2"/>
  <c r="P424" i="2"/>
  <c r="D424" i="2"/>
  <c r="Q424" i="2"/>
  <c r="E424" i="2"/>
  <c r="R424" i="2"/>
  <c r="F424" i="2"/>
  <c r="S424" i="2"/>
  <c r="G424" i="2"/>
  <c r="I425" i="2"/>
  <c r="O425" i="2"/>
  <c r="J425" i="2"/>
  <c r="K425" i="2"/>
  <c r="L425" i="2"/>
  <c r="M425" i="2"/>
  <c r="B425" i="2"/>
  <c r="C425" i="2"/>
  <c r="P425" i="2"/>
  <c r="D425" i="2"/>
  <c r="Q425" i="2"/>
  <c r="E425" i="2"/>
  <c r="R425" i="2"/>
  <c r="F425" i="2"/>
  <c r="S425" i="2"/>
  <c r="G425" i="2"/>
  <c r="I426" i="2"/>
  <c r="O426" i="2"/>
  <c r="J426" i="2"/>
  <c r="K426" i="2"/>
  <c r="L426" i="2"/>
  <c r="M426" i="2"/>
  <c r="B426" i="2"/>
  <c r="C426" i="2"/>
  <c r="P426" i="2"/>
  <c r="D426" i="2"/>
  <c r="Q426" i="2"/>
  <c r="E426" i="2"/>
  <c r="R426" i="2"/>
  <c r="F426" i="2"/>
  <c r="S426" i="2"/>
  <c r="G426" i="2"/>
  <c r="I427" i="2"/>
  <c r="O427" i="2"/>
  <c r="J427" i="2"/>
  <c r="K427" i="2"/>
  <c r="L427" i="2"/>
  <c r="M427" i="2"/>
  <c r="B427" i="2"/>
  <c r="C427" i="2"/>
  <c r="P427" i="2"/>
  <c r="D427" i="2"/>
  <c r="Q427" i="2"/>
  <c r="E427" i="2"/>
  <c r="R427" i="2"/>
  <c r="F427" i="2"/>
  <c r="S427" i="2"/>
  <c r="G427" i="2"/>
  <c r="I428" i="2"/>
  <c r="O428" i="2"/>
  <c r="J428" i="2"/>
  <c r="K428" i="2"/>
  <c r="L428" i="2"/>
  <c r="M428" i="2"/>
  <c r="B428" i="2"/>
  <c r="C428" i="2"/>
  <c r="P428" i="2"/>
  <c r="D428" i="2"/>
  <c r="Q428" i="2"/>
  <c r="E428" i="2"/>
  <c r="R428" i="2"/>
  <c r="F428" i="2"/>
  <c r="S428" i="2"/>
  <c r="G428" i="2"/>
  <c r="I429" i="2"/>
  <c r="O429" i="2"/>
  <c r="J429" i="2"/>
  <c r="K429" i="2"/>
  <c r="L429" i="2"/>
  <c r="M429" i="2"/>
  <c r="B429" i="2"/>
  <c r="C429" i="2"/>
  <c r="P429" i="2"/>
  <c r="D429" i="2"/>
  <c r="Q429" i="2"/>
  <c r="E429" i="2"/>
  <c r="R429" i="2"/>
  <c r="F429" i="2"/>
  <c r="S429" i="2"/>
  <c r="G429" i="2"/>
  <c r="I430" i="2"/>
  <c r="O430" i="2"/>
  <c r="J430" i="2"/>
  <c r="K430" i="2"/>
  <c r="L430" i="2"/>
  <c r="M430" i="2"/>
  <c r="B430" i="2"/>
  <c r="C430" i="2"/>
  <c r="P430" i="2"/>
  <c r="D430" i="2"/>
  <c r="Q430" i="2"/>
  <c r="E430" i="2"/>
  <c r="R430" i="2"/>
  <c r="F430" i="2"/>
  <c r="S430" i="2"/>
  <c r="G430" i="2"/>
  <c r="I431" i="2"/>
  <c r="O431" i="2"/>
  <c r="J431" i="2"/>
  <c r="K431" i="2"/>
  <c r="L431" i="2"/>
  <c r="M431" i="2"/>
  <c r="B431" i="2"/>
  <c r="C431" i="2"/>
  <c r="P431" i="2"/>
  <c r="D431" i="2"/>
  <c r="Q431" i="2"/>
  <c r="E431" i="2"/>
  <c r="R431" i="2"/>
  <c r="F431" i="2"/>
  <c r="S431" i="2"/>
  <c r="G431" i="2"/>
  <c r="I432" i="2"/>
  <c r="O432" i="2"/>
  <c r="J432" i="2"/>
  <c r="K432" i="2"/>
  <c r="L432" i="2"/>
  <c r="M432" i="2"/>
  <c r="B432" i="2"/>
  <c r="C432" i="2"/>
  <c r="P432" i="2"/>
  <c r="D432" i="2"/>
  <c r="Q432" i="2"/>
  <c r="E432" i="2"/>
  <c r="R432" i="2"/>
  <c r="F432" i="2"/>
  <c r="S432" i="2"/>
  <c r="G432" i="2"/>
  <c r="I433" i="2"/>
  <c r="O433" i="2"/>
  <c r="J433" i="2"/>
  <c r="K433" i="2"/>
  <c r="L433" i="2"/>
  <c r="M433" i="2"/>
  <c r="B433" i="2"/>
  <c r="C433" i="2"/>
  <c r="P433" i="2"/>
  <c r="D433" i="2"/>
  <c r="Q433" i="2"/>
  <c r="E433" i="2"/>
  <c r="R433" i="2"/>
  <c r="F433" i="2"/>
  <c r="S433" i="2"/>
  <c r="G433" i="2"/>
  <c r="I434" i="2"/>
  <c r="O434" i="2"/>
  <c r="J434" i="2"/>
  <c r="K434" i="2"/>
  <c r="L434" i="2"/>
  <c r="M434" i="2"/>
  <c r="B434" i="2"/>
  <c r="C434" i="2"/>
  <c r="P434" i="2"/>
  <c r="D434" i="2"/>
  <c r="Q434" i="2"/>
  <c r="E434" i="2"/>
  <c r="R434" i="2"/>
  <c r="F434" i="2"/>
  <c r="S434" i="2"/>
  <c r="G434" i="2"/>
  <c r="I435" i="2"/>
  <c r="O435" i="2"/>
  <c r="J435" i="2"/>
  <c r="K435" i="2"/>
  <c r="L435" i="2"/>
  <c r="M435" i="2"/>
  <c r="B435" i="2"/>
  <c r="C435" i="2"/>
  <c r="P435" i="2"/>
  <c r="D435" i="2"/>
  <c r="Q435" i="2"/>
  <c r="E435" i="2"/>
  <c r="R435" i="2"/>
  <c r="F435" i="2"/>
  <c r="S435" i="2"/>
  <c r="G435" i="2"/>
  <c r="I436" i="2"/>
  <c r="O436" i="2"/>
  <c r="J436" i="2"/>
  <c r="K436" i="2"/>
  <c r="L436" i="2"/>
  <c r="M436" i="2"/>
  <c r="B436" i="2"/>
  <c r="C436" i="2"/>
  <c r="P436" i="2"/>
  <c r="D436" i="2"/>
  <c r="Q436" i="2"/>
  <c r="E436" i="2"/>
  <c r="R436" i="2"/>
  <c r="F436" i="2"/>
  <c r="S436" i="2"/>
  <c r="G436" i="2"/>
  <c r="I437" i="2"/>
  <c r="O437" i="2"/>
  <c r="J437" i="2"/>
  <c r="K437" i="2"/>
  <c r="L437" i="2"/>
  <c r="M437" i="2"/>
  <c r="B437" i="2"/>
  <c r="C437" i="2"/>
  <c r="P437" i="2"/>
  <c r="D437" i="2"/>
  <c r="Q437" i="2"/>
  <c r="E437" i="2"/>
  <c r="R437" i="2"/>
  <c r="F437" i="2"/>
  <c r="S437" i="2"/>
  <c r="G437" i="2"/>
  <c r="I438" i="2"/>
  <c r="O438" i="2"/>
  <c r="J438" i="2"/>
  <c r="K438" i="2"/>
  <c r="L438" i="2"/>
  <c r="M438" i="2"/>
  <c r="B438" i="2"/>
  <c r="C438" i="2"/>
  <c r="P438" i="2"/>
  <c r="D438" i="2"/>
  <c r="Q438" i="2"/>
  <c r="E438" i="2"/>
  <c r="R438" i="2"/>
  <c r="F438" i="2"/>
  <c r="S438" i="2"/>
  <c r="G438" i="2"/>
  <c r="I439" i="2"/>
  <c r="O439" i="2"/>
  <c r="J439" i="2"/>
  <c r="K439" i="2"/>
  <c r="L439" i="2"/>
  <c r="M439" i="2"/>
  <c r="B439" i="2"/>
  <c r="C439" i="2"/>
  <c r="P439" i="2"/>
  <c r="D439" i="2"/>
  <c r="Q439" i="2"/>
  <c r="E439" i="2"/>
  <c r="R439" i="2"/>
  <c r="F439" i="2"/>
  <c r="S439" i="2"/>
  <c r="G439" i="2"/>
  <c r="I440" i="2"/>
  <c r="O440" i="2"/>
  <c r="J440" i="2"/>
  <c r="K440" i="2"/>
  <c r="L440" i="2"/>
  <c r="M440" i="2"/>
  <c r="B440" i="2"/>
  <c r="C440" i="2"/>
  <c r="P440" i="2"/>
  <c r="D440" i="2"/>
  <c r="Q440" i="2"/>
  <c r="E440" i="2"/>
  <c r="R440" i="2"/>
  <c r="F440" i="2"/>
  <c r="S440" i="2"/>
  <c r="G440" i="2"/>
  <c r="I441" i="2"/>
  <c r="O441" i="2"/>
  <c r="J441" i="2"/>
  <c r="K441" i="2"/>
  <c r="L441" i="2"/>
  <c r="M441" i="2"/>
  <c r="B441" i="2"/>
  <c r="C441" i="2"/>
  <c r="P441" i="2"/>
  <c r="D441" i="2"/>
  <c r="Q441" i="2"/>
  <c r="E441" i="2"/>
  <c r="R441" i="2"/>
  <c r="F441" i="2"/>
  <c r="S441" i="2"/>
  <c r="G441" i="2"/>
  <c r="I442" i="2"/>
  <c r="O442" i="2"/>
  <c r="J442" i="2"/>
  <c r="K442" i="2"/>
  <c r="L442" i="2"/>
  <c r="M442" i="2"/>
  <c r="B442" i="2"/>
  <c r="C442" i="2"/>
  <c r="P442" i="2"/>
  <c r="D442" i="2"/>
  <c r="Q442" i="2"/>
  <c r="E442" i="2"/>
  <c r="R442" i="2"/>
  <c r="F442" i="2"/>
  <c r="S442" i="2"/>
  <c r="G442" i="2"/>
  <c r="I443" i="2"/>
  <c r="O443" i="2"/>
  <c r="J443" i="2"/>
  <c r="K443" i="2"/>
  <c r="L443" i="2"/>
  <c r="M443" i="2"/>
  <c r="B443" i="2"/>
  <c r="C443" i="2"/>
  <c r="P443" i="2"/>
  <c r="D443" i="2"/>
  <c r="Q443" i="2"/>
  <c r="E443" i="2"/>
  <c r="R443" i="2"/>
  <c r="F443" i="2"/>
  <c r="S443" i="2"/>
  <c r="G443" i="2"/>
  <c r="I444" i="2"/>
  <c r="O444" i="2"/>
  <c r="J444" i="2"/>
  <c r="K444" i="2"/>
  <c r="L444" i="2"/>
  <c r="M444" i="2"/>
  <c r="B444" i="2"/>
  <c r="C444" i="2"/>
  <c r="P444" i="2"/>
  <c r="D444" i="2"/>
  <c r="Q444" i="2"/>
  <c r="E444" i="2"/>
  <c r="R444" i="2"/>
  <c r="F444" i="2"/>
  <c r="S444" i="2"/>
  <c r="G444" i="2"/>
  <c r="I445" i="2"/>
  <c r="O445" i="2"/>
  <c r="J445" i="2"/>
  <c r="K445" i="2"/>
  <c r="L445" i="2"/>
  <c r="M445" i="2"/>
  <c r="B445" i="2"/>
  <c r="C445" i="2"/>
  <c r="P445" i="2"/>
  <c r="D445" i="2"/>
  <c r="Q445" i="2"/>
  <c r="E445" i="2"/>
  <c r="R445" i="2"/>
  <c r="F445" i="2"/>
  <c r="S445" i="2"/>
  <c r="G445" i="2"/>
  <c r="I446" i="2"/>
  <c r="O446" i="2"/>
  <c r="J446" i="2"/>
  <c r="K446" i="2"/>
  <c r="L446" i="2"/>
  <c r="M446" i="2"/>
  <c r="B446" i="2"/>
  <c r="C446" i="2"/>
  <c r="P446" i="2"/>
  <c r="D446" i="2"/>
  <c r="Q446" i="2"/>
  <c r="E446" i="2"/>
  <c r="R446" i="2"/>
  <c r="F446" i="2"/>
  <c r="S446" i="2"/>
  <c r="G446" i="2"/>
  <c r="I447" i="2"/>
  <c r="O447" i="2"/>
  <c r="J447" i="2"/>
  <c r="K447" i="2"/>
  <c r="L447" i="2"/>
  <c r="M447" i="2"/>
  <c r="B447" i="2"/>
  <c r="C447" i="2"/>
  <c r="P447" i="2"/>
  <c r="D447" i="2"/>
  <c r="Q447" i="2"/>
  <c r="E447" i="2"/>
  <c r="R447" i="2"/>
  <c r="F447" i="2"/>
  <c r="S447" i="2"/>
  <c r="G447" i="2"/>
  <c r="I448" i="2"/>
  <c r="O448" i="2"/>
  <c r="J448" i="2"/>
  <c r="K448" i="2"/>
  <c r="L448" i="2"/>
  <c r="M448" i="2"/>
  <c r="B448" i="2"/>
  <c r="C448" i="2"/>
  <c r="P448" i="2"/>
  <c r="D448" i="2"/>
  <c r="Q448" i="2"/>
  <c r="E448" i="2"/>
  <c r="R448" i="2"/>
  <c r="F448" i="2"/>
  <c r="S448" i="2"/>
  <c r="G448" i="2"/>
  <c r="I449" i="2"/>
  <c r="O449" i="2"/>
  <c r="J449" i="2"/>
  <c r="K449" i="2"/>
  <c r="L449" i="2"/>
  <c r="M449" i="2"/>
  <c r="B449" i="2"/>
  <c r="C449" i="2"/>
  <c r="P449" i="2"/>
  <c r="D449" i="2"/>
  <c r="Q449" i="2"/>
  <c r="E449" i="2"/>
  <c r="R449" i="2"/>
  <c r="F449" i="2"/>
  <c r="S449" i="2"/>
  <c r="G449" i="2"/>
  <c r="I450" i="2"/>
  <c r="O450" i="2"/>
  <c r="J450" i="2"/>
  <c r="K450" i="2"/>
  <c r="L450" i="2"/>
  <c r="M450" i="2"/>
  <c r="B450" i="2"/>
  <c r="C450" i="2"/>
  <c r="P450" i="2"/>
  <c r="D450" i="2"/>
  <c r="Q450" i="2"/>
  <c r="E450" i="2"/>
  <c r="R450" i="2"/>
  <c r="F450" i="2"/>
  <c r="S450" i="2"/>
  <c r="G450" i="2"/>
  <c r="I451" i="2"/>
  <c r="O451" i="2"/>
  <c r="J451" i="2"/>
  <c r="K451" i="2"/>
  <c r="L451" i="2"/>
  <c r="M451" i="2"/>
  <c r="B451" i="2"/>
  <c r="C451" i="2"/>
  <c r="P451" i="2"/>
  <c r="D451" i="2"/>
  <c r="Q451" i="2"/>
  <c r="E451" i="2"/>
  <c r="R451" i="2"/>
  <c r="F451" i="2"/>
  <c r="S451" i="2"/>
  <c r="G451" i="2"/>
  <c r="I452" i="2"/>
  <c r="O452" i="2"/>
  <c r="J452" i="2"/>
  <c r="K452" i="2"/>
  <c r="L452" i="2"/>
  <c r="M452" i="2"/>
  <c r="B452" i="2"/>
  <c r="C452" i="2"/>
  <c r="P452" i="2"/>
  <c r="D452" i="2"/>
  <c r="Q452" i="2"/>
  <c r="E452" i="2"/>
  <c r="R452" i="2"/>
  <c r="F452" i="2"/>
  <c r="S452" i="2"/>
  <c r="G452" i="2"/>
  <c r="I453" i="2"/>
  <c r="O453" i="2"/>
  <c r="J453" i="2"/>
  <c r="K453" i="2"/>
  <c r="L453" i="2"/>
  <c r="M453" i="2"/>
  <c r="B453" i="2"/>
  <c r="C453" i="2"/>
  <c r="P453" i="2"/>
  <c r="D453" i="2"/>
  <c r="Q453" i="2"/>
  <c r="E453" i="2"/>
  <c r="R453" i="2"/>
  <c r="F453" i="2"/>
  <c r="S453" i="2"/>
  <c r="G453" i="2"/>
  <c r="I454" i="2"/>
  <c r="O454" i="2"/>
  <c r="J454" i="2"/>
  <c r="K454" i="2"/>
  <c r="L454" i="2"/>
  <c r="M454" i="2"/>
  <c r="B454" i="2"/>
  <c r="C454" i="2"/>
  <c r="P454" i="2"/>
  <c r="D454" i="2"/>
  <c r="Q454" i="2"/>
  <c r="E454" i="2"/>
  <c r="R454" i="2"/>
  <c r="F454" i="2"/>
  <c r="S454" i="2"/>
  <c r="G454" i="2"/>
  <c r="I455" i="2"/>
  <c r="O455" i="2"/>
  <c r="J455" i="2"/>
  <c r="K455" i="2"/>
  <c r="L455" i="2"/>
  <c r="M455" i="2"/>
  <c r="B455" i="2"/>
  <c r="C455" i="2"/>
  <c r="P455" i="2"/>
  <c r="D455" i="2"/>
  <c r="Q455" i="2"/>
  <c r="E455" i="2"/>
  <c r="R455" i="2"/>
  <c r="F455" i="2"/>
  <c r="S455" i="2"/>
  <c r="G455" i="2"/>
  <c r="I456" i="2"/>
  <c r="O456" i="2"/>
  <c r="J456" i="2"/>
  <c r="K456" i="2"/>
  <c r="L456" i="2"/>
  <c r="M456" i="2"/>
  <c r="B456" i="2"/>
  <c r="C456" i="2"/>
  <c r="P456" i="2"/>
  <c r="D456" i="2"/>
  <c r="Q456" i="2"/>
  <c r="E456" i="2"/>
  <c r="R456" i="2"/>
  <c r="F456" i="2"/>
  <c r="S456" i="2"/>
  <c r="G456" i="2"/>
  <c r="I457" i="2"/>
  <c r="O457" i="2"/>
  <c r="J457" i="2"/>
  <c r="K457" i="2"/>
  <c r="L457" i="2"/>
  <c r="M457" i="2"/>
  <c r="B457" i="2"/>
  <c r="C457" i="2"/>
  <c r="P457" i="2"/>
  <c r="D457" i="2"/>
  <c r="Q457" i="2"/>
  <c r="E457" i="2"/>
  <c r="R457" i="2"/>
  <c r="F457" i="2"/>
  <c r="S457" i="2"/>
  <c r="G457" i="2"/>
  <c r="I458" i="2"/>
  <c r="O458" i="2"/>
  <c r="J458" i="2"/>
  <c r="K458" i="2"/>
  <c r="L458" i="2"/>
  <c r="M458" i="2"/>
  <c r="B458" i="2"/>
  <c r="C458" i="2"/>
  <c r="P458" i="2"/>
  <c r="D458" i="2"/>
  <c r="Q458" i="2"/>
  <c r="E458" i="2"/>
  <c r="R458" i="2"/>
  <c r="F458" i="2"/>
  <c r="S458" i="2"/>
  <c r="G458" i="2"/>
  <c r="I459" i="2"/>
  <c r="O459" i="2"/>
  <c r="J459" i="2"/>
  <c r="K459" i="2"/>
  <c r="L459" i="2"/>
  <c r="M459" i="2"/>
  <c r="B459" i="2"/>
  <c r="C459" i="2"/>
  <c r="P459" i="2"/>
  <c r="D459" i="2"/>
  <c r="Q459" i="2"/>
  <c r="E459" i="2"/>
  <c r="R459" i="2"/>
  <c r="F459" i="2"/>
  <c r="S459" i="2"/>
  <c r="G459" i="2"/>
  <c r="I460" i="2"/>
  <c r="O460" i="2"/>
  <c r="J460" i="2"/>
  <c r="K460" i="2"/>
  <c r="L460" i="2"/>
  <c r="M460" i="2"/>
  <c r="B460" i="2"/>
  <c r="C460" i="2"/>
  <c r="P460" i="2"/>
  <c r="D460" i="2"/>
  <c r="Q460" i="2"/>
  <c r="E460" i="2"/>
  <c r="R460" i="2"/>
  <c r="F460" i="2"/>
  <c r="S460" i="2"/>
  <c r="G460" i="2"/>
  <c r="I461" i="2"/>
  <c r="O461" i="2"/>
  <c r="J461" i="2"/>
  <c r="K461" i="2"/>
  <c r="L461" i="2"/>
  <c r="M461" i="2"/>
  <c r="B461" i="2"/>
  <c r="C461" i="2"/>
  <c r="P461" i="2"/>
  <c r="D461" i="2"/>
  <c r="Q461" i="2"/>
  <c r="E461" i="2"/>
  <c r="R461" i="2"/>
  <c r="F461" i="2"/>
  <c r="S461" i="2"/>
  <c r="G461" i="2"/>
  <c r="I462" i="2"/>
  <c r="O462" i="2"/>
  <c r="J462" i="2"/>
  <c r="K462" i="2"/>
  <c r="L462" i="2"/>
  <c r="M462" i="2"/>
  <c r="B462" i="2"/>
  <c r="C462" i="2"/>
  <c r="P462" i="2"/>
  <c r="D462" i="2"/>
  <c r="Q462" i="2"/>
  <c r="E462" i="2"/>
  <c r="R462" i="2"/>
  <c r="F462" i="2"/>
  <c r="S462" i="2"/>
  <c r="G462" i="2"/>
  <c r="I463" i="2"/>
  <c r="O463" i="2"/>
  <c r="J463" i="2"/>
  <c r="K463" i="2"/>
  <c r="L463" i="2"/>
  <c r="M463" i="2"/>
  <c r="B463" i="2"/>
  <c r="C463" i="2"/>
  <c r="P463" i="2"/>
  <c r="D463" i="2"/>
  <c r="Q463" i="2"/>
  <c r="E463" i="2"/>
  <c r="R463" i="2"/>
  <c r="F463" i="2"/>
  <c r="S463" i="2"/>
  <c r="G463" i="2"/>
  <c r="I464" i="2"/>
  <c r="O464" i="2"/>
  <c r="J464" i="2"/>
  <c r="K464" i="2"/>
  <c r="L464" i="2"/>
  <c r="M464" i="2"/>
  <c r="B464" i="2"/>
  <c r="C464" i="2"/>
  <c r="P464" i="2"/>
  <c r="D464" i="2"/>
  <c r="Q464" i="2"/>
  <c r="E464" i="2"/>
  <c r="R464" i="2"/>
  <c r="F464" i="2"/>
  <c r="S464" i="2"/>
  <c r="G464" i="2"/>
  <c r="I465" i="2"/>
  <c r="O465" i="2"/>
  <c r="J465" i="2"/>
  <c r="K465" i="2"/>
  <c r="L465" i="2"/>
  <c r="M465" i="2"/>
  <c r="B465" i="2"/>
  <c r="C465" i="2"/>
  <c r="P465" i="2"/>
  <c r="D465" i="2"/>
  <c r="Q465" i="2"/>
  <c r="E465" i="2"/>
  <c r="R465" i="2"/>
  <c r="F465" i="2"/>
  <c r="S465" i="2"/>
  <c r="G465" i="2"/>
  <c r="I466" i="2"/>
  <c r="O466" i="2"/>
  <c r="J466" i="2"/>
  <c r="K466" i="2"/>
  <c r="L466" i="2"/>
  <c r="M466" i="2"/>
  <c r="B466" i="2"/>
  <c r="C466" i="2"/>
  <c r="P466" i="2"/>
  <c r="D466" i="2"/>
  <c r="Q466" i="2"/>
  <c r="E466" i="2"/>
  <c r="R466" i="2"/>
  <c r="F466" i="2"/>
  <c r="S466" i="2"/>
  <c r="G466" i="2"/>
  <c r="I467" i="2"/>
  <c r="O467" i="2"/>
  <c r="J467" i="2"/>
  <c r="K467" i="2"/>
  <c r="L467" i="2"/>
  <c r="M467" i="2"/>
  <c r="B467" i="2"/>
  <c r="C467" i="2"/>
  <c r="P467" i="2"/>
  <c r="D467" i="2"/>
  <c r="Q467" i="2"/>
  <c r="E467" i="2"/>
  <c r="R467" i="2"/>
  <c r="F467" i="2"/>
  <c r="S467" i="2"/>
  <c r="G467" i="2"/>
  <c r="I468" i="2"/>
  <c r="O468" i="2"/>
  <c r="J468" i="2"/>
  <c r="K468" i="2"/>
  <c r="L468" i="2"/>
  <c r="M468" i="2"/>
  <c r="B468" i="2"/>
  <c r="C468" i="2"/>
  <c r="P468" i="2"/>
  <c r="D468" i="2"/>
  <c r="Q468" i="2"/>
  <c r="E468" i="2"/>
  <c r="R468" i="2"/>
  <c r="F468" i="2"/>
  <c r="S468" i="2"/>
  <c r="G468" i="2"/>
  <c r="I469" i="2"/>
  <c r="O469" i="2"/>
  <c r="J469" i="2"/>
  <c r="K469" i="2"/>
  <c r="L469" i="2"/>
  <c r="M469" i="2"/>
  <c r="B469" i="2"/>
  <c r="C469" i="2"/>
  <c r="P469" i="2"/>
  <c r="D469" i="2"/>
  <c r="Q469" i="2"/>
  <c r="E469" i="2"/>
  <c r="R469" i="2"/>
  <c r="F469" i="2"/>
  <c r="S469" i="2"/>
  <c r="G469" i="2"/>
  <c r="I470" i="2"/>
  <c r="O470" i="2"/>
  <c r="J470" i="2"/>
  <c r="K470" i="2"/>
  <c r="L470" i="2"/>
  <c r="M470" i="2"/>
  <c r="B470" i="2"/>
  <c r="C470" i="2"/>
  <c r="P470" i="2"/>
  <c r="D470" i="2"/>
  <c r="Q470" i="2"/>
  <c r="E470" i="2"/>
  <c r="R470" i="2"/>
  <c r="F470" i="2"/>
  <c r="S470" i="2"/>
  <c r="G470" i="2"/>
  <c r="I471" i="2"/>
  <c r="O471" i="2"/>
  <c r="J471" i="2"/>
  <c r="K471" i="2"/>
  <c r="L471" i="2"/>
  <c r="M471" i="2"/>
  <c r="B471" i="2"/>
  <c r="C471" i="2"/>
  <c r="P471" i="2"/>
  <c r="D471" i="2"/>
  <c r="Q471" i="2"/>
  <c r="E471" i="2"/>
  <c r="R471" i="2"/>
  <c r="F471" i="2"/>
  <c r="S471" i="2"/>
  <c r="G471" i="2"/>
  <c r="I472" i="2"/>
  <c r="O472" i="2"/>
  <c r="J472" i="2"/>
  <c r="K472" i="2"/>
  <c r="L472" i="2"/>
  <c r="M472" i="2"/>
  <c r="B472" i="2"/>
  <c r="C472" i="2"/>
  <c r="P472" i="2"/>
  <c r="D472" i="2"/>
  <c r="Q472" i="2"/>
  <c r="E472" i="2"/>
  <c r="R472" i="2"/>
  <c r="F472" i="2"/>
  <c r="S472" i="2"/>
  <c r="G472" i="2"/>
  <c r="I473" i="2"/>
  <c r="O473" i="2"/>
  <c r="J473" i="2"/>
  <c r="K473" i="2"/>
  <c r="L473" i="2"/>
  <c r="M473" i="2"/>
  <c r="B473" i="2"/>
  <c r="C473" i="2"/>
  <c r="P473" i="2"/>
  <c r="D473" i="2"/>
  <c r="Q473" i="2"/>
  <c r="E473" i="2"/>
  <c r="R473" i="2"/>
  <c r="F473" i="2"/>
  <c r="S473" i="2"/>
  <c r="G473" i="2"/>
  <c r="I474" i="2"/>
  <c r="O474" i="2"/>
  <c r="J474" i="2"/>
  <c r="K474" i="2"/>
  <c r="L474" i="2"/>
  <c r="M474" i="2"/>
  <c r="B474" i="2"/>
  <c r="C474" i="2"/>
  <c r="P474" i="2"/>
  <c r="D474" i="2"/>
  <c r="Q474" i="2"/>
  <c r="E474" i="2"/>
  <c r="R474" i="2"/>
  <c r="F474" i="2"/>
  <c r="S474" i="2"/>
  <c r="G474" i="2"/>
  <c r="I475" i="2"/>
  <c r="O475" i="2"/>
  <c r="J475" i="2"/>
  <c r="K475" i="2"/>
  <c r="L475" i="2"/>
  <c r="M475" i="2"/>
  <c r="B475" i="2"/>
  <c r="C475" i="2"/>
  <c r="P475" i="2"/>
  <c r="D475" i="2"/>
  <c r="Q475" i="2"/>
  <c r="E475" i="2"/>
  <c r="R475" i="2"/>
  <c r="F475" i="2"/>
  <c r="S475" i="2"/>
  <c r="G475" i="2"/>
  <c r="I476" i="2"/>
  <c r="O476" i="2"/>
  <c r="J476" i="2"/>
  <c r="K476" i="2"/>
  <c r="L476" i="2"/>
  <c r="M476" i="2"/>
  <c r="B476" i="2"/>
  <c r="C476" i="2"/>
  <c r="P476" i="2"/>
  <c r="D476" i="2"/>
  <c r="Q476" i="2"/>
  <c r="E476" i="2"/>
  <c r="R476" i="2"/>
  <c r="F476" i="2"/>
  <c r="S476" i="2"/>
  <c r="G476" i="2"/>
  <c r="I477" i="2"/>
  <c r="O477" i="2"/>
  <c r="J477" i="2"/>
  <c r="K477" i="2"/>
  <c r="L477" i="2"/>
  <c r="M477" i="2"/>
  <c r="B477" i="2"/>
  <c r="C477" i="2"/>
  <c r="P477" i="2"/>
  <c r="D477" i="2"/>
  <c r="Q477" i="2"/>
  <c r="E477" i="2"/>
  <c r="R477" i="2"/>
  <c r="F477" i="2"/>
  <c r="S477" i="2"/>
  <c r="G477" i="2"/>
  <c r="I478" i="2"/>
  <c r="O478" i="2"/>
  <c r="J478" i="2"/>
  <c r="K478" i="2"/>
  <c r="L478" i="2"/>
  <c r="M478" i="2"/>
  <c r="B478" i="2"/>
  <c r="C478" i="2"/>
  <c r="P478" i="2"/>
  <c r="D478" i="2"/>
  <c r="Q478" i="2"/>
  <c r="E478" i="2"/>
  <c r="R478" i="2"/>
  <c r="F478" i="2"/>
  <c r="S478" i="2"/>
  <c r="G478" i="2"/>
  <c r="I479" i="2"/>
  <c r="O479" i="2"/>
  <c r="J479" i="2"/>
  <c r="K479" i="2"/>
  <c r="L479" i="2"/>
  <c r="M479" i="2"/>
  <c r="B479" i="2"/>
  <c r="C479" i="2"/>
  <c r="P479" i="2"/>
  <c r="D479" i="2"/>
  <c r="Q479" i="2"/>
  <c r="E479" i="2"/>
  <c r="R479" i="2"/>
  <c r="F479" i="2"/>
  <c r="S479" i="2"/>
  <c r="G479" i="2"/>
  <c r="I480" i="2"/>
  <c r="O480" i="2"/>
  <c r="J480" i="2"/>
  <c r="K480" i="2"/>
  <c r="L480" i="2"/>
  <c r="M480" i="2"/>
  <c r="B480" i="2"/>
  <c r="C480" i="2"/>
  <c r="P480" i="2"/>
  <c r="D480" i="2"/>
  <c r="Q480" i="2"/>
  <c r="E480" i="2"/>
  <c r="R480" i="2"/>
  <c r="F480" i="2"/>
  <c r="S480" i="2"/>
  <c r="G480" i="2"/>
  <c r="I481" i="2"/>
  <c r="O481" i="2"/>
  <c r="J481" i="2"/>
  <c r="K481" i="2"/>
  <c r="L481" i="2"/>
  <c r="M481" i="2"/>
  <c r="B481" i="2"/>
  <c r="C481" i="2"/>
  <c r="P481" i="2"/>
  <c r="D481" i="2"/>
  <c r="Q481" i="2"/>
  <c r="E481" i="2"/>
  <c r="R481" i="2"/>
  <c r="F481" i="2"/>
  <c r="S481" i="2"/>
  <c r="G481" i="2"/>
  <c r="I482" i="2"/>
  <c r="O482" i="2"/>
  <c r="J482" i="2"/>
  <c r="K482" i="2"/>
  <c r="L482" i="2"/>
  <c r="M482" i="2"/>
  <c r="B482" i="2"/>
  <c r="C482" i="2"/>
  <c r="P482" i="2"/>
  <c r="D482" i="2"/>
  <c r="Q482" i="2"/>
  <c r="E482" i="2"/>
  <c r="R482" i="2"/>
  <c r="F482" i="2"/>
  <c r="S482" i="2"/>
  <c r="G482" i="2"/>
  <c r="I483" i="2"/>
  <c r="O483" i="2"/>
  <c r="J483" i="2"/>
  <c r="K483" i="2"/>
  <c r="L483" i="2"/>
  <c r="M483" i="2"/>
  <c r="B483" i="2"/>
  <c r="C483" i="2"/>
  <c r="P483" i="2"/>
  <c r="D483" i="2"/>
  <c r="Q483" i="2"/>
  <c r="E483" i="2"/>
  <c r="R483" i="2"/>
  <c r="F483" i="2"/>
  <c r="S483" i="2"/>
  <c r="G483" i="2"/>
  <c r="I484" i="2"/>
  <c r="O484" i="2"/>
  <c r="J484" i="2"/>
  <c r="K484" i="2"/>
  <c r="L484" i="2"/>
  <c r="M484" i="2"/>
  <c r="B484" i="2"/>
  <c r="C484" i="2"/>
  <c r="P484" i="2"/>
  <c r="D484" i="2"/>
  <c r="Q484" i="2"/>
  <c r="E484" i="2"/>
  <c r="R484" i="2"/>
  <c r="F484" i="2"/>
  <c r="S484" i="2"/>
  <c r="G484" i="2"/>
  <c r="I485" i="2"/>
  <c r="O485" i="2"/>
  <c r="J485" i="2"/>
  <c r="K485" i="2"/>
  <c r="L485" i="2"/>
  <c r="M485" i="2"/>
  <c r="B485" i="2"/>
  <c r="C485" i="2"/>
  <c r="P485" i="2"/>
  <c r="D485" i="2"/>
  <c r="Q485" i="2"/>
  <c r="E485" i="2"/>
  <c r="R485" i="2"/>
  <c r="F485" i="2"/>
  <c r="S485" i="2"/>
  <c r="G485" i="2"/>
  <c r="I486" i="2"/>
  <c r="O486" i="2"/>
  <c r="J486" i="2"/>
  <c r="K486" i="2"/>
  <c r="L486" i="2"/>
  <c r="M486" i="2"/>
  <c r="B486" i="2"/>
  <c r="C486" i="2"/>
  <c r="P486" i="2"/>
  <c r="D486" i="2"/>
  <c r="Q486" i="2"/>
  <c r="E486" i="2"/>
  <c r="R486" i="2"/>
  <c r="F486" i="2"/>
  <c r="S486" i="2"/>
  <c r="G486" i="2"/>
  <c r="I487" i="2"/>
  <c r="O487" i="2"/>
  <c r="J487" i="2"/>
  <c r="K487" i="2"/>
  <c r="L487" i="2"/>
  <c r="M487" i="2"/>
  <c r="B487" i="2"/>
  <c r="C487" i="2"/>
  <c r="P487" i="2"/>
  <c r="D487" i="2"/>
  <c r="Q487" i="2"/>
  <c r="E487" i="2"/>
  <c r="R487" i="2"/>
  <c r="F487" i="2"/>
  <c r="S487" i="2"/>
  <c r="G487" i="2"/>
  <c r="I488" i="2"/>
  <c r="O488" i="2"/>
  <c r="J488" i="2"/>
  <c r="K488" i="2"/>
  <c r="L488" i="2"/>
  <c r="M488" i="2"/>
  <c r="B488" i="2"/>
  <c r="C488" i="2"/>
  <c r="P488" i="2"/>
  <c r="D488" i="2"/>
  <c r="Q488" i="2"/>
  <c r="E488" i="2"/>
  <c r="R488" i="2"/>
  <c r="F488" i="2"/>
  <c r="S488" i="2"/>
  <c r="G488" i="2"/>
  <c r="I489" i="2"/>
  <c r="O489" i="2"/>
  <c r="J489" i="2"/>
  <c r="K489" i="2"/>
  <c r="L489" i="2"/>
  <c r="M489" i="2"/>
  <c r="B489" i="2"/>
  <c r="C489" i="2"/>
  <c r="P489" i="2"/>
  <c r="D489" i="2"/>
  <c r="Q489" i="2"/>
  <c r="E489" i="2"/>
  <c r="R489" i="2"/>
  <c r="F489" i="2"/>
  <c r="S489" i="2"/>
  <c r="G489" i="2"/>
  <c r="I490" i="2"/>
  <c r="O490" i="2"/>
  <c r="J490" i="2"/>
  <c r="K490" i="2"/>
  <c r="L490" i="2"/>
  <c r="M490" i="2"/>
  <c r="B490" i="2"/>
  <c r="C490" i="2"/>
  <c r="P490" i="2"/>
  <c r="D490" i="2"/>
  <c r="Q490" i="2"/>
  <c r="E490" i="2"/>
  <c r="R490" i="2"/>
  <c r="F490" i="2"/>
  <c r="S490" i="2"/>
  <c r="G490" i="2"/>
  <c r="I491" i="2"/>
  <c r="O491" i="2"/>
  <c r="J491" i="2"/>
  <c r="K491" i="2"/>
  <c r="L491" i="2"/>
  <c r="M491" i="2"/>
  <c r="B491" i="2"/>
  <c r="C491" i="2"/>
  <c r="P491" i="2"/>
  <c r="D491" i="2"/>
  <c r="Q491" i="2"/>
  <c r="E491" i="2"/>
  <c r="R491" i="2"/>
  <c r="F491" i="2"/>
  <c r="S491" i="2"/>
  <c r="G491" i="2"/>
  <c r="I492" i="2"/>
  <c r="O492" i="2"/>
  <c r="J492" i="2"/>
  <c r="K492" i="2"/>
  <c r="L492" i="2"/>
  <c r="M492" i="2"/>
  <c r="B492" i="2"/>
  <c r="C492" i="2"/>
  <c r="P492" i="2"/>
  <c r="D492" i="2"/>
  <c r="Q492" i="2"/>
  <c r="E492" i="2"/>
  <c r="R492" i="2"/>
  <c r="F492" i="2"/>
  <c r="S492" i="2"/>
  <c r="G492" i="2"/>
  <c r="I493" i="2"/>
  <c r="O493" i="2"/>
  <c r="J493" i="2"/>
  <c r="K493" i="2"/>
  <c r="L493" i="2"/>
  <c r="M493" i="2"/>
  <c r="B493" i="2"/>
  <c r="C493" i="2"/>
  <c r="P493" i="2"/>
  <c r="D493" i="2"/>
  <c r="Q493" i="2"/>
  <c r="E493" i="2"/>
  <c r="R493" i="2"/>
  <c r="F493" i="2"/>
  <c r="S493" i="2"/>
  <c r="G493" i="2"/>
  <c r="I494" i="2"/>
  <c r="O494" i="2"/>
  <c r="J494" i="2"/>
  <c r="K494" i="2"/>
  <c r="L494" i="2"/>
  <c r="M494" i="2"/>
  <c r="B494" i="2"/>
  <c r="C494" i="2"/>
  <c r="P494" i="2"/>
  <c r="D494" i="2"/>
  <c r="Q494" i="2"/>
  <c r="E494" i="2"/>
  <c r="R494" i="2"/>
  <c r="F494" i="2"/>
  <c r="S494" i="2"/>
  <c r="G494" i="2"/>
  <c r="I495" i="2"/>
  <c r="O495" i="2"/>
  <c r="J495" i="2"/>
  <c r="K495" i="2"/>
  <c r="L495" i="2"/>
  <c r="M495" i="2"/>
  <c r="B495" i="2"/>
  <c r="C495" i="2"/>
  <c r="P495" i="2"/>
  <c r="D495" i="2"/>
  <c r="Q495" i="2"/>
  <c r="E495" i="2"/>
  <c r="R495" i="2"/>
  <c r="F495" i="2"/>
  <c r="S495" i="2"/>
  <c r="G495" i="2"/>
  <c r="I496" i="2"/>
  <c r="O496" i="2"/>
  <c r="J496" i="2"/>
  <c r="K496" i="2"/>
  <c r="L496" i="2"/>
  <c r="M496" i="2"/>
  <c r="B496" i="2"/>
  <c r="C496" i="2"/>
  <c r="P496" i="2"/>
  <c r="D496" i="2"/>
  <c r="Q496" i="2"/>
  <c r="E496" i="2"/>
  <c r="R496" i="2"/>
  <c r="F496" i="2"/>
  <c r="S496" i="2"/>
  <c r="G496" i="2"/>
  <c r="I497" i="2"/>
  <c r="O497" i="2"/>
  <c r="J497" i="2"/>
  <c r="K497" i="2"/>
  <c r="L497" i="2"/>
  <c r="M497" i="2"/>
  <c r="B497" i="2"/>
  <c r="C497" i="2"/>
  <c r="P497" i="2"/>
  <c r="D497" i="2"/>
  <c r="Q497" i="2"/>
  <c r="E497" i="2"/>
  <c r="R497" i="2"/>
  <c r="F497" i="2"/>
  <c r="S497" i="2"/>
  <c r="G497" i="2"/>
  <c r="I498" i="2"/>
  <c r="O498" i="2"/>
  <c r="J498" i="2"/>
  <c r="K498" i="2"/>
  <c r="L498" i="2"/>
  <c r="M498" i="2"/>
  <c r="B498" i="2"/>
  <c r="C498" i="2"/>
  <c r="P498" i="2"/>
  <c r="D498" i="2"/>
  <c r="Q498" i="2"/>
  <c r="E498" i="2"/>
  <c r="R498" i="2"/>
  <c r="F498" i="2"/>
  <c r="S498" i="2"/>
  <c r="G498" i="2"/>
  <c r="I499" i="2"/>
  <c r="O499" i="2"/>
  <c r="J499" i="2"/>
  <c r="K499" i="2"/>
  <c r="L499" i="2"/>
  <c r="M499" i="2"/>
  <c r="B499" i="2"/>
  <c r="C499" i="2"/>
  <c r="P499" i="2"/>
  <c r="D499" i="2"/>
  <c r="Q499" i="2"/>
  <c r="E499" i="2"/>
  <c r="R499" i="2"/>
  <c r="F499" i="2"/>
  <c r="S499" i="2"/>
  <c r="G499" i="2"/>
  <c r="I500" i="2"/>
  <c r="O500" i="2"/>
  <c r="J500" i="2"/>
  <c r="K500" i="2"/>
  <c r="L500" i="2"/>
  <c r="M500" i="2"/>
  <c r="B500" i="2"/>
  <c r="C500" i="2"/>
  <c r="P500" i="2"/>
  <c r="D500" i="2"/>
  <c r="Q500" i="2"/>
  <c r="E500" i="2"/>
  <c r="R500" i="2"/>
  <c r="F500" i="2"/>
  <c r="S500" i="2"/>
  <c r="G500" i="2"/>
  <c r="I501" i="2"/>
  <c r="O501" i="2"/>
  <c r="J501" i="2"/>
  <c r="K501" i="2"/>
  <c r="L501" i="2"/>
  <c r="M501" i="2"/>
  <c r="B501" i="2"/>
  <c r="C501" i="2"/>
  <c r="P501" i="2"/>
  <c r="D501" i="2"/>
  <c r="Q501" i="2"/>
  <c r="E501" i="2"/>
  <c r="R501" i="2"/>
  <c r="F501" i="2"/>
  <c r="S501" i="2"/>
  <c r="G501" i="2"/>
  <c r="I502" i="2"/>
  <c r="O502" i="2"/>
  <c r="J502" i="2"/>
  <c r="K502" i="2"/>
  <c r="L502" i="2"/>
  <c r="M502" i="2"/>
  <c r="B502" i="2"/>
  <c r="C502" i="2"/>
  <c r="P502" i="2"/>
  <c r="D502" i="2"/>
  <c r="Q502" i="2"/>
  <c r="E502" i="2"/>
  <c r="R502" i="2"/>
  <c r="F502" i="2"/>
  <c r="S502" i="2"/>
  <c r="G502" i="2"/>
  <c r="I503" i="2"/>
  <c r="O503" i="2"/>
  <c r="J503" i="2"/>
  <c r="K503" i="2"/>
  <c r="L503" i="2"/>
  <c r="M503" i="2"/>
  <c r="B503" i="2"/>
  <c r="C503" i="2"/>
  <c r="P503" i="2"/>
  <c r="D503" i="2"/>
  <c r="Q503" i="2"/>
  <c r="E503" i="2"/>
  <c r="R503" i="2"/>
  <c r="F503" i="2"/>
  <c r="S503" i="2"/>
  <c r="G503" i="2"/>
  <c r="I504" i="2"/>
  <c r="O504" i="2"/>
  <c r="J504" i="2"/>
  <c r="K504" i="2"/>
  <c r="L504" i="2"/>
  <c r="M504" i="2"/>
  <c r="B504" i="2"/>
  <c r="C504" i="2"/>
  <c r="P504" i="2"/>
  <c r="D504" i="2"/>
  <c r="Q504" i="2"/>
  <c r="E504" i="2"/>
  <c r="R504" i="2"/>
  <c r="F504" i="2"/>
  <c r="S504" i="2"/>
  <c r="G504" i="2"/>
  <c r="I505" i="2"/>
  <c r="O505" i="2"/>
  <c r="J505" i="2"/>
  <c r="K505" i="2"/>
  <c r="L505" i="2"/>
  <c r="M505" i="2"/>
  <c r="B505" i="2"/>
  <c r="C505" i="2"/>
  <c r="P505" i="2"/>
  <c r="D505" i="2"/>
  <c r="Q505" i="2"/>
  <c r="E505" i="2"/>
  <c r="R505" i="2"/>
  <c r="F505" i="2"/>
  <c r="S505" i="2"/>
  <c r="G505" i="2"/>
  <c r="I506" i="2"/>
  <c r="O506" i="2"/>
  <c r="J506" i="2"/>
  <c r="K506" i="2"/>
  <c r="L506" i="2"/>
  <c r="M506" i="2"/>
  <c r="B506" i="2"/>
  <c r="C506" i="2"/>
  <c r="P506" i="2"/>
  <c r="D506" i="2"/>
  <c r="Q506" i="2"/>
  <c r="E506" i="2"/>
  <c r="R506" i="2"/>
  <c r="F506" i="2"/>
  <c r="S506" i="2"/>
  <c r="G506" i="2"/>
  <c r="I507" i="2"/>
  <c r="O507" i="2"/>
  <c r="J507" i="2"/>
  <c r="K507" i="2"/>
  <c r="L507" i="2"/>
  <c r="M507" i="2"/>
  <c r="B507" i="2"/>
  <c r="C507" i="2"/>
  <c r="P507" i="2"/>
  <c r="D507" i="2"/>
  <c r="Q507" i="2"/>
  <c r="E507" i="2"/>
  <c r="R507" i="2"/>
  <c r="F507" i="2"/>
  <c r="S507" i="2"/>
  <c r="G507" i="2"/>
  <c r="I508" i="2"/>
  <c r="O508" i="2"/>
  <c r="J508" i="2"/>
  <c r="K508" i="2"/>
  <c r="L508" i="2"/>
  <c r="M508" i="2"/>
  <c r="B508" i="2"/>
  <c r="C508" i="2"/>
  <c r="P508" i="2"/>
  <c r="D508" i="2"/>
  <c r="Q508" i="2"/>
  <c r="E508" i="2"/>
  <c r="R508" i="2"/>
  <c r="F508" i="2"/>
  <c r="S508" i="2"/>
  <c r="G508" i="2"/>
  <c r="I509" i="2"/>
  <c r="O509" i="2"/>
  <c r="J509" i="2"/>
  <c r="K509" i="2"/>
  <c r="L509" i="2"/>
  <c r="M509" i="2"/>
  <c r="B509" i="2"/>
  <c r="C509" i="2"/>
  <c r="P509" i="2"/>
  <c r="D509" i="2"/>
  <c r="Q509" i="2"/>
  <c r="E509" i="2"/>
  <c r="R509" i="2"/>
  <c r="F509" i="2"/>
  <c r="S509" i="2"/>
  <c r="G509" i="2"/>
  <c r="I510" i="2"/>
  <c r="O510" i="2"/>
  <c r="J510" i="2"/>
  <c r="K510" i="2"/>
  <c r="L510" i="2"/>
  <c r="M510" i="2"/>
  <c r="B510" i="2"/>
  <c r="C510" i="2"/>
  <c r="P510" i="2"/>
  <c r="D510" i="2"/>
  <c r="Q510" i="2"/>
  <c r="E510" i="2"/>
  <c r="R510" i="2"/>
  <c r="F510" i="2"/>
  <c r="S510" i="2"/>
  <c r="G510" i="2"/>
  <c r="I511" i="2"/>
  <c r="O511" i="2"/>
  <c r="J511" i="2"/>
  <c r="K511" i="2"/>
  <c r="L511" i="2"/>
  <c r="M511" i="2"/>
  <c r="B511" i="2"/>
  <c r="C511" i="2"/>
  <c r="P511" i="2"/>
  <c r="D511" i="2"/>
  <c r="Q511" i="2"/>
  <c r="E511" i="2"/>
  <c r="R511" i="2"/>
  <c r="F511" i="2"/>
  <c r="S511" i="2"/>
  <c r="G511" i="2"/>
  <c r="I512" i="2"/>
  <c r="O512" i="2"/>
  <c r="J512" i="2"/>
  <c r="K512" i="2"/>
  <c r="L512" i="2"/>
  <c r="M512" i="2"/>
  <c r="B512" i="2"/>
  <c r="C512" i="2"/>
  <c r="P512" i="2"/>
  <c r="D512" i="2"/>
  <c r="Q512" i="2"/>
  <c r="E512" i="2"/>
  <c r="R512" i="2"/>
  <c r="F512" i="2"/>
  <c r="S512" i="2"/>
  <c r="G512" i="2"/>
  <c r="I513" i="2"/>
  <c r="O513" i="2"/>
  <c r="J513" i="2"/>
  <c r="K513" i="2"/>
  <c r="L513" i="2"/>
  <c r="M513" i="2"/>
  <c r="B513" i="2"/>
  <c r="C513" i="2"/>
  <c r="P513" i="2"/>
  <c r="D513" i="2"/>
  <c r="Q513" i="2"/>
  <c r="E513" i="2"/>
  <c r="R513" i="2"/>
  <c r="F513" i="2"/>
  <c r="S513" i="2"/>
  <c r="G513" i="2"/>
  <c r="I514" i="2"/>
  <c r="O514" i="2"/>
  <c r="J514" i="2"/>
  <c r="K514" i="2"/>
  <c r="L514" i="2"/>
  <c r="M514" i="2"/>
  <c r="B514" i="2"/>
  <c r="C514" i="2"/>
  <c r="P514" i="2"/>
  <c r="D514" i="2"/>
  <c r="Q514" i="2"/>
  <c r="E514" i="2"/>
  <c r="R514" i="2"/>
  <c r="F514" i="2"/>
  <c r="S514" i="2"/>
  <c r="G514" i="2"/>
  <c r="I515" i="2"/>
  <c r="O515" i="2"/>
  <c r="J515" i="2"/>
  <c r="K515" i="2"/>
  <c r="L515" i="2"/>
  <c r="M515" i="2"/>
  <c r="B515" i="2"/>
  <c r="C515" i="2"/>
  <c r="P515" i="2"/>
  <c r="D515" i="2"/>
  <c r="Q515" i="2"/>
  <c r="E515" i="2"/>
  <c r="R515" i="2"/>
  <c r="F515" i="2"/>
  <c r="S515" i="2"/>
  <c r="G515" i="2"/>
  <c r="I516" i="2"/>
  <c r="O516" i="2"/>
  <c r="J516" i="2"/>
  <c r="K516" i="2"/>
  <c r="L516" i="2"/>
  <c r="M516" i="2"/>
  <c r="B516" i="2"/>
  <c r="C516" i="2"/>
  <c r="P516" i="2"/>
  <c r="D516" i="2"/>
  <c r="Q516" i="2"/>
  <c r="E516" i="2"/>
  <c r="R516" i="2"/>
  <c r="F516" i="2"/>
  <c r="S516" i="2"/>
  <c r="G516" i="2"/>
  <c r="I517" i="2"/>
  <c r="O517" i="2"/>
  <c r="J517" i="2"/>
  <c r="K517" i="2"/>
  <c r="L517" i="2"/>
  <c r="M517" i="2"/>
  <c r="B517" i="2"/>
  <c r="C517" i="2"/>
  <c r="P517" i="2"/>
  <c r="D517" i="2"/>
  <c r="Q517" i="2"/>
  <c r="E517" i="2"/>
  <c r="R517" i="2"/>
  <c r="F517" i="2"/>
  <c r="S517" i="2"/>
  <c r="G517" i="2"/>
  <c r="I518" i="2"/>
  <c r="O518" i="2"/>
  <c r="J518" i="2"/>
  <c r="K518" i="2"/>
  <c r="L518" i="2"/>
  <c r="M518" i="2"/>
  <c r="B518" i="2"/>
  <c r="C518" i="2"/>
  <c r="P518" i="2"/>
  <c r="D518" i="2"/>
  <c r="Q518" i="2"/>
  <c r="E518" i="2"/>
  <c r="R518" i="2"/>
  <c r="F518" i="2"/>
  <c r="S518" i="2"/>
  <c r="G518" i="2"/>
  <c r="I519" i="2"/>
  <c r="O519" i="2"/>
  <c r="J519" i="2"/>
  <c r="K519" i="2"/>
  <c r="L519" i="2"/>
  <c r="M519" i="2"/>
  <c r="B519" i="2"/>
  <c r="C519" i="2"/>
  <c r="P519" i="2"/>
  <c r="D519" i="2"/>
  <c r="Q519" i="2"/>
  <c r="E519" i="2"/>
  <c r="R519" i="2"/>
  <c r="F519" i="2"/>
  <c r="S519" i="2"/>
  <c r="G519" i="2"/>
  <c r="I520" i="2"/>
  <c r="O520" i="2"/>
  <c r="J520" i="2"/>
  <c r="K520" i="2"/>
  <c r="L520" i="2"/>
  <c r="M520" i="2"/>
  <c r="B520" i="2"/>
  <c r="C520" i="2"/>
  <c r="P520" i="2"/>
  <c r="D520" i="2"/>
  <c r="Q520" i="2"/>
  <c r="E520" i="2"/>
  <c r="R520" i="2"/>
  <c r="F520" i="2"/>
  <c r="S520" i="2"/>
  <c r="G520" i="2"/>
  <c r="I521" i="2"/>
  <c r="O521" i="2"/>
  <c r="J521" i="2"/>
  <c r="K521" i="2"/>
  <c r="L521" i="2"/>
  <c r="M521" i="2"/>
  <c r="B521" i="2"/>
  <c r="C521" i="2"/>
  <c r="P521" i="2"/>
  <c r="D521" i="2"/>
  <c r="Q521" i="2"/>
  <c r="E521" i="2"/>
  <c r="R521" i="2"/>
  <c r="F521" i="2"/>
  <c r="S521" i="2"/>
  <c r="G521" i="2"/>
  <c r="I522" i="2"/>
  <c r="O522" i="2"/>
  <c r="J522" i="2"/>
  <c r="K522" i="2"/>
  <c r="L522" i="2"/>
  <c r="M522" i="2"/>
  <c r="B522" i="2"/>
  <c r="C522" i="2"/>
  <c r="P522" i="2"/>
  <c r="D522" i="2"/>
  <c r="Q522" i="2"/>
  <c r="E522" i="2"/>
  <c r="R522" i="2"/>
  <c r="F522" i="2"/>
  <c r="S522" i="2"/>
  <c r="G522" i="2"/>
  <c r="I523" i="2"/>
  <c r="O523" i="2"/>
  <c r="J523" i="2"/>
  <c r="K523" i="2"/>
  <c r="L523" i="2"/>
  <c r="M523" i="2"/>
  <c r="B523" i="2"/>
  <c r="C523" i="2"/>
  <c r="P523" i="2"/>
  <c r="D523" i="2"/>
  <c r="Q523" i="2"/>
  <c r="E523" i="2"/>
  <c r="R523" i="2"/>
  <c r="F523" i="2"/>
  <c r="S523" i="2"/>
  <c r="G523" i="2"/>
  <c r="I524" i="2"/>
  <c r="O524" i="2"/>
  <c r="J524" i="2"/>
  <c r="K524" i="2"/>
  <c r="L524" i="2"/>
  <c r="M524" i="2"/>
  <c r="B524" i="2"/>
  <c r="C524" i="2"/>
  <c r="P524" i="2"/>
  <c r="D524" i="2"/>
  <c r="Q524" i="2"/>
  <c r="E524" i="2"/>
  <c r="R524" i="2"/>
  <c r="F524" i="2"/>
  <c r="S524" i="2"/>
  <c r="G524" i="2"/>
  <c r="I525" i="2"/>
  <c r="O525" i="2"/>
  <c r="J525" i="2"/>
  <c r="K525" i="2"/>
  <c r="L525" i="2"/>
  <c r="M525" i="2"/>
  <c r="B525" i="2"/>
  <c r="C525" i="2"/>
  <c r="P525" i="2"/>
  <c r="D525" i="2"/>
  <c r="Q525" i="2"/>
  <c r="E525" i="2"/>
  <c r="R525" i="2"/>
  <c r="F525" i="2"/>
  <c r="S525" i="2"/>
  <c r="G525" i="2"/>
  <c r="I526" i="2"/>
  <c r="O526" i="2"/>
  <c r="J526" i="2"/>
  <c r="K526" i="2"/>
  <c r="L526" i="2"/>
  <c r="M526" i="2"/>
  <c r="B526" i="2"/>
  <c r="C526" i="2"/>
  <c r="P526" i="2"/>
  <c r="D526" i="2"/>
  <c r="Q526" i="2"/>
  <c r="E526" i="2"/>
  <c r="R526" i="2"/>
  <c r="F526" i="2"/>
  <c r="S526" i="2"/>
  <c r="G526" i="2"/>
  <c r="I527" i="2"/>
  <c r="O527" i="2"/>
  <c r="J527" i="2"/>
  <c r="K527" i="2"/>
  <c r="L527" i="2"/>
  <c r="M527" i="2"/>
  <c r="B527" i="2"/>
  <c r="C527" i="2"/>
  <c r="P527" i="2"/>
  <c r="D527" i="2"/>
  <c r="Q527" i="2"/>
  <c r="E527" i="2"/>
  <c r="R527" i="2"/>
  <c r="F527" i="2"/>
  <c r="S527" i="2"/>
  <c r="G527" i="2"/>
  <c r="I528" i="2"/>
  <c r="O528" i="2"/>
  <c r="J528" i="2"/>
  <c r="K528" i="2"/>
  <c r="L528" i="2"/>
  <c r="M528" i="2"/>
  <c r="B528" i="2"/>
  <c r="C528" i="2"/>
  <c r="P528" i="2"/>
  <c r="D528" i="2"/>
  <c r="Q528" i="2"/>
  <c r="E528" i="2"/>
  <c r="R528" i="2"/>
  <c r="F528" i="2"/>
  <c r="S528" i="2"/>
  <c r="G528" i="2"/>
  <c r="I529" i="2"/>
  <c r="O529" i="2"/>
  <c r="J529" i="2"/>
  <c r="K529" i="2"/>
  <c r="L529" i="2"/>
  <c r="M529" i="2"/>
  <c r="B529" i="2"/>
  <c r="C529" i="2"/>
  <c r="P529" i="2"/>
  <c r="D529" i="2"/>
  <c r="Q529" i="2"/>
  <c r="E529" i="2"/>
  <c r="R529" i="2"/>
  <c r="F529" i="2"/>
  <c r="S529" i="2"/>
  <c r="G529" i="2"/>
  <c r="I530" i="2"/>
  <c r="O530" i="2"/>
  <c r="J530" i="2"/>
  <c r="K530" i="2"/>
  <c r="L530" i="2"/>
  <c r="M530" i="2"/>
  <c r="B530" i="2"/>
  <c r="C530" i="2"/>
  <c r="P530" i="2"/>
  <c r="D530" i="2"/>
  <c r="Q530" i="2"/>
  <c r="E530" i="2"/>
  <c r="R530" i="2"/>
  <c r="F530" i="2"/>
  <c r="S530" i="2"/>
  <c r="G530" i="2"/>
  <c r="I531" i="2"/>
  <c r="O531" i="2"/>
  <c r="J531" i="2"/>
  <c r="K531" i="2"/>
  <c r="L531" i="2"/>
  <c r="M531" i="2"/>
  <c r="B531" i="2"/>
  <c r="C531" i="2"/>
  <c r="P531" i="2"/>
  <c r="D531" i="2"/>
  <c r="Q531" i="2"/>
  <c r="E531" i="2"/>
  <c r="R531" i="2"/>
  <c r="F531" i="2"/>
  <c r="S531" i="2"/>
  <c r="G531" i="2"/>
  <c r="I532" i="2"/>
  <c r="O532" i="2"/>
  <c r="J532" i="2"/>
  <c r="K532" i="2"/>
  <c r="L532" i="2"/>
  <c r="M532" i="2"/>
  <c r="B532" i="2"/>
  <c r="C532" i="2"/>
  <c r="P532" i="2"/>
  <c r="D532" i="2"/>
  <c r="Q532" i="2"/>
  <c r="E532" i="2"/>
  <c r="R532" i="2"/>
  <c r="F532" i="2"/>
  <c r="S532" i="2"/>
  <c r="G532" i="2"/>
  <c r="I533" i="2"/>
  <c r="O533" i="2"/>
  <c r="J533" i="2"/>
  <c r="K533" i="2"/>
  <c r="L533" i="2"/>
  <c r="M533" i="2"/>
  <c r="B533" i="2"/>
  <c r="C533" i="2"/>
  <c r="P533" i="2"/>
  <c r="D533" i="2"/>
  <c r="Q533" i="2"/>
  <c r="E533" i="2"/>
  <c r="R533" i="2"/>
  <c r="F533" i="2"/>
  <c r="S533" i="2"/>
  <c r="G533" i="2"/>
  <c r="I534" i="2"/>
  <c r="O534" i="2"/>
  <c r="J534" i="2"/>
  <c r="K534" i="2"/>
  <c r="L534" i="2"/>
  <c r="M534" i="2"/>
  <c r="B534" i="2"/>
  <c r="C534" i="2"/>
  <c r="P534" i="2"/>
  <c r="D534" i="2"/>
  <c r="Q534" i="2"/>
  <c r="E534" i="2"/>
  <c r="R534" i="2"/>
  <c r="F534" i="2"/>
  <c r="S534" i="2"/>
  <c r="G534" i="2"/>
  <c r="I535" i="2"/>
  <c r="O535" i="2"/>
  <c r="J535" i="2"/>
  <c r="K535" i="2"/>
  <c r="L535" i="2"/>
  <c r="M535" i="2"/>
  <c r="B535" i="2"/>
  <c r="C535" i="2"/>
  <c r="P535" i="2"/>
  <c r="D535" i="2"/>
  <c r="Q535" i="2"/>
  <c r="E535" i="2"/>
  <c r="R535" i="2"/>
  <c r="F535" i="2"/>
  <c r="S535" i="2"/>
  <c r="G535" i="2"/>
  <c r="I536" i="2"/>
  <c r="O536" i="2"/>
  <c r="J536" i="2"/>
  <c r="K536" i="2"/>
  <c r="L536" i="2"/>
  <c r="M536" i="2"/>
  <c r="B536" i="2"/>
  <c r="C536" i="2"/>
  <c r="P536" i="2"/>
  <c r="D536" i="2"/>
  <c r="Q536" i="2"/>
  <c r="E536" i="2"/>
  <c r="R536" i="2"/>
  <c r="F536" i="2"/>
  <c r="S536" i="2"/>
  <c r="G536" i="2"/>
  <c r="I537" i="2"/>
  <c r="O537" i="2"/>
  <c r="J537" i="2"/>
  <c r="K537" i="2"/>
  <c r="L537" i="2"/>
  <c r="M537" i="2"/>
  <c r="B537" i="2"/>
  <c r="C537" i="2"/>
  <c r="P537" i="2"/>
  <c r="D537" i="2"/>
  <c r="Q537" i="2"/>
  <c r="E537" i="2"/>
  <c r="R537" i="2"/>
  <c r="F537" i="2"/>
  <c r="S537" i="2"/>
  <c r="G537" i="2"/>
  <c r="I538" i="2"/>
  <c r="O538" i="2"/>
  <c r="J538" i="2"/>
  <c r="K538" i="2"/>
  <c r="L538" i="2"/>
  <c r="M538" i="2"/>
  <c r="B538" i="2"/>
  <c r="C538" i="2"/>
  <c r="P538" i="2"/>
  <c r="D538" i="2"/>
  <c r="Q538" i="2"/>
  <c r="E538" i="2"/>
  <c r="R538" i="2"/>
  <c r="F538" i="2"/>
  <c r="S538" i="2"/>
  <c r="G538" i="2"/>
  <c r="I539" i="2"/>
  <c r="O539" i="2"/>
  <c r="J539" i="2"/>
  <c r="K539" i="2"/>
  <c r="L539" i="2"/>
  <c r="M539" i="2"/>
  <c r="B539" i="2"/>
  <c r="C539" i="2"/>
  <c r="P539" i="2"/>
  <c r="D539" i="2"/>
  <c r="Q539" i="2"/>
  <c r="E539" i="2"/>
  <c r="R539" i="2"/>
  <c r="F539" i="2"/>
  <c r="S539" i="2"/>
  <c r="G539" i="2"/>
  <c r="I540" i="2"/>
  <c r="O540" i="2"/>
  <c r="J540" i="2"/>
  <c r="K540" i="2"/>
  <c r="L540" i="2"/>
  <c r="M540" i="2"/>
  <c r="B540" i="2"/>
  <c r="C540" i="2"/>
  <c r="P540" i="2"/>
  <c r="D540" i="2"/>
  <c r="Q540" i="2"/>
  <c r="E540" i="2"/>
  <c r="R540" i="2"/>
  <c r="F540" i="2"/>
  <c r="S540" i="2"/>
  <c r="G540" i="2"/>
  <c r="I541" i="2"/>
  <c r="O541" i="2"/>
  <c r="J541" i="2"/>
  <c r="K541" i="2"/>
  <c r="L541" i="2"/>
  <c r="M541" i="2"/>
  <c r="B541" i="2"/>
  <c r="C541" i="2"/>
  <c r="P541" i="2"/>
  <c r="D541" i="2"/>
  <c r="Q541" i="2"/>
  <c r="E541" i="2"/>
  <c r="R541" i="2"/>
  <c r="F541" i="2"/>
  <c r="S541" i="2"/>
  <c r="G541" i="2"/>
  <c r="I542" i="2"/>
  <c r="O542" i="2"/>
  <c r="J542" i="2"/>
  <c r="K542" i="2"/>
  <c r="L542" i="2"/>
  <c r="M542" i="2"/>
  <c r="B542" i="2"/>
  <c r="C542" i="2"/>
  <c r="P542" i="2"/>
  <c r="D542" i="2"/>
  <c r="Q542" i="2"/>
  <c r="E542" i="2"/>
  <c r="R542" i="2"/>
  <c r="F542" i="2"/>
  <c r="S542" i="2"/>
  <c r="G542" i="2"/>
  <c r="I543" i="2"/>
  <c r="O543" i="2"/>
  <c r="J543" i="2"/>
  <c r="K543" i="2"/>
  <c r="L543" i="2"/>
  <c r="M543" i="2"/>
  <c r="B543" i="2"/>
  <c r="C543" i="2"/>
  <c r="P543" i="2"/>
  <c r="D543" i="2"/>
  <c r="Q543" i="2"/>
  <c r="E543" i="2"/>
  <c r="R543" i="2"/>
  <c r="F543" i="2"/>
  <c r="S543" i="2"/>
  <c r="G543" i="2"/>
  <c r="I544" i="2"/>
  <c r="O544" i="2"/>
  <c r="J544" i="2"/>
  <c r="K544" i="2"/>
  <c r="L544" i="2"/>
  <c r="M544" i="2"/>
  <c r="B544" i="2"/>
  <c r="C544" i="2"/>
  <c r="P544" i="2"/>
  <c r="D544" i="2"/>
  <c r="Q544" i="2"/>
  <c r="E544" i="2"/>
  <c r="R544" i="2"/>
  <c r="F544" i="2"/>
  <c r="S544" i="2"/>
  <c r="G544" i="2"/>
  <c r="I545" i="2"/>
  <c r="O545" i="2"/>
  <c r="J545" i="2"/>
  <c r="K545" i="2"/>
  <c r="L545" i="2"/>
  <c r="M545" i="2"/>
  <c r="B545" i="2"/>
  <c r="C545" i="2"/>
  <c r="P545" i="2"/>
  <c r="D545" i="2"/>
  <c r="Q545" i="2"/>
  <c r="E545" i="2"/>
  <c r="R545" i="2"/>
  <c r="F545" i="2"/>
  <c r="S545" i="2"/>
  <c r="G545" i="2"/>
  <c r="I546" i="2"/>
  <c r="O546" i="2"/>
  <c r="J546" i="2"/>
  <c r="K546" i="2"/>
  <c r="L546" i="2"/>
  <c r="M546" i="2"/>
  <c r="B546" i="2"/>
  <c r="C546" i="2"/>
  <c r="P546" i="2"/>
  <c r="D546" i="2"/>
  <c r="Q546" i="2"/>
  <c r="E546" i="2"/>
  <c r="R546" i="2"/>
  <c r="F546" i="2"/>
  <c r="S546" i="2"/>
  <c r="G546" i="2"/>
  <c r="I547" i="2"/>
  <c r="O547" i="2"/>
  <c r="J547" i="2"/>
  <c r="K547" i="2"/>
  <c r="L547" i="2"/>
  <c r="M547" i="2"/>
  <c r="B547" i="2"/>
  <c r="C547" i="2"/>
  <c r="P547" i="2"/>
  <c r="D547" i="2"/>
  <c r="Q547" i="2"/>
  <c r="E547" i="2"/>
  <c r="R547" i="2"/>
  <c r="F547" i="2"/>
  <c r="S547" i="2"/>
  <c r="G547" i="2"/>
  <c r="I548" i="2"/>
  <c r="O548" i="2"/>
  <c r="J548" i="2"/>
  <c r="K548" i="2"/>
  <c r="L548" i="2"/>
  <c r="M548" i="2"/>
  <c r="B548" i="2"/>
  <c r="C548" i="2"/>
  <c r="P548" i="2"/>
  <c r="D548" i="2"/>
  <c r="Q548" i="2"/>
  <c r="E548" i="2"/>
  <c r="R548" i="2"/>
  <c r="F548" i="2"/>
  <c r="S548" i="2"/>
  <c r="G548" i="2"/>
  <c r="I549" i="2"/>
  <c r="O549" i="2"/>
  <c r="J549" i="2"/>
  <c r="K549" i="2"/>
  <c r="L549" i="2"/>
  <c r="M549" i="2"/>
  <c r="B549" i="2"/>
  <c r="C549" i="2"/>
  <c r="P549" i="2"/>
  <c r="D549" i="2"/>
  <c r="Q549" i="2"/>
  <c r="E549" i="2"/>
  <c r="R549" i="2"/>
  <c r="F549" i="2"/>
  <c r="S549" i="2"/>
  <c r="G549" i="2"/>
  <c r="I550" i="2"/>
  <c r="O550" i="2"/>
  <c r="J550" i="2"/>
  <c r="K550" i="2"/>
  <c r="L550" i="2"/>
  <c r="M550" i="2"/>
  <c r="B550" i="2"/>
  <c r="C550" i="2"/>
  <c r="P550" i="2"/>
  <c r="D550" i="2"/>
  <c r="Q550" i="2"/>
  <c r="E550" i="2"/>
  <c r="R550" i="2"/>
  <c r="F550" i="2"/>
  <c r="S550" i="2"/>
  <c r="G550" i="2"/>
  <c r="I551" i="2"/>
  <c r="O551" i="2"/>
  <c r="J551" i="2"/>
  <c r="K551" i="2"/>
  <c r="L551" i="2"/>
  <c r="M551" i="2"/>
  <c r="B551" i="2"/>
  <c r="C551" i="2"/>
  <c r="P551" i="2"/>
  <c r="D551" i="2"/>
  <c r="Q551" i="2"/>
  <c r="E551" i="2"/>
  <c r="R551" i="2"/>
  <c r="F551" i="2"/>
  <c r="S551" i="2"/>
  <c r="G551" i="2"/>
  <c r="I552" i="2"/>
  <c r="O552" i="2"/>
  <c r="J552" i="2"/>
  <c r="K552" i="2"/>
  <c r="L552" i="2"/>
  <c r="M552" i="2"/>
  <c r="B552" i="2"/>
  <c r="C552" i="2"/>
  <c r="P552" i="2"/>
  <c r="D552" i="2"/>
  <c r="Q552" i="2"/>
  <c r="E552" i="2"/>
  <c r="R552" i="2"/>
  <c r="F552" i="2"/>
  <c r="S552" i="2"/>
  <c r="G552" i="2"/>
  <c r="I553" i="2"/>
  <c r="O553" i="2"/>
  <c r="J553" i="2"/>
  <c r="K553" i="2"/>
  <c r="L553" i="2"/>
  <c r="M553" i="2"/>
  <c r="B553" i="2"/>
  <c r="C553" i="2"/>
  <c r="P553" i="2"/>
  <c r="D553" i="2"/>
  <c r="Q553" i="2"/>
  <c r="E553" i="2"/>
  <c r="R553" i="2"/>
  <c r="F553" i="2"/>
  <c r="S553" i="2"/>
  <c r="G553" i="2"/>
  <c r="I554" i="2"/>
  <c r="O554" i="2"/>
  <c r="J554" i="2"/>
  <c r="K554" i="2"/>
  <c r="L554" i="2"/>
  <c r="M554" i="2"/>
  <c r="B554" i="2"/>
  <c r="C554" i="2"/>
  <c r="P554" i="2"/>
  <c r="D554" i="2"/>
  <c r="Q554" i="2"/>
  <c r="E554" i="2"/>
  <c r="R554" i="2"/>
  <c r="F554" i="2"/>
  <c r="S554" i="2"/>
  <c r="G554" i="2"/>
  <c r="I555" i="2"/>
  <c r="O555" i="2"/>
  <c r="J555" i="2"/>
  <c r="K555" i="2"/>
  <c r="L555" i="2"/>
  <c r="M555" i="2"/>
  <c r="B555" i="2"/>
  <c r="C555" i="2"/>
  <c r="P555" i="2"/>
  <c r="D555" i="2"/>
  <c r="Q555" i="2"/>
  <c r="E555" i="2"/>
  <c r="R555" i="2"/>
  <c r="F555" i="2"/>
  <c r="S555" i="2"/>
  <c r="G555" i="2"/>
  <c r="I556" i="2"/>
  <c r="O556" i="2"/>
  <c r="J556" i="2"/>
  <c r="K556" i="2"/>
  <c r="L556" i="2"/>
  <c r="M556" i="2"/>
  <c r="B556" i="2"/>
  <c r="C556" i="2"/>
  <c r="P556" i="2"/>
  <c r="D556" i="2"/>
  <c r="Q556" i="2"/>
  <c r="E556" i="2"/>
  <c r="R556" i="2"/>
  <c r="F556" i="2"/>
  <c r="S556" i="2"/>
  <c r="G556" i="2"/>
  <c r="I557" i="2"/>
  <c r="O557" i="2"/>
  <c r="J557" i="2"/>
  <c r="K557" i="2"/>
  <c r="L557" i="2"/>
  <c r="M557" i="2"/>
  <c r="B557" i="2"/>
  <c r="C557" i="2"/>
  <c r="P557" i="2"/>
  <c r="D557" i="2"/>
  <c r="Q557" i="2"/>
  <c r="E557" i="2"/>
  <c r="R557" i="2"/>
  <c r="F557" i="2"/>
  <c r="S557" i="2"/>
  <c r="G557" i="2"/>
  <c r="I558" i="2"/>
  <c r="O558" i="2"/>
  <c r="J558" i="2"/>
  <c r="K558" i="2"/>
  <c r="L558" i="2"/>
  <c r="M558" i="2"/>
  <c r="B558" i="2"/>
  <c r="C558" i="2"/>
  <c r="P558" i="2"/>
  <c r="D558" i="2"/>
  <c r="Q558" i="2"/>
  <c r="E558" i="2"/>
  <c r="R558" i="2"/>
  <c r="F558" i="2"/>
  <c r="S558" i="2"/>
  <c r="G558" i="2"/>
  <c r="I559" i="2"/>
  <c r="O559" i="2"/>
  <c r="J559" i="2"/>
  <c r="K559" i="2"/>
  <c r="L559" i="2"/>
  <c r="M559" i="2"/>
  <c r="B559" i="2"/>
  <c r="C559" i="2"/>
  <c r="P559" i="2"/>
  <c r="D559" i="2"/>
  <c r="Q559" i="2"/>
  <c r="E559" i="2"/>
  <c r="R559" i="2"/>
  <c r="F559" i="2"/>
  <c r="S559" i="2"/>
  <c r="G559" i="2"/>
  <c r="I560" i="2"/>
  <c r="O560" i="2"/>
  <c r="J560" i="2"/>
  <c r="K560" i="2"/>
  <c r="L560" i="2"/>
  <c r="M560" i="2"/>
  <c r="B560" i="2"/>
  <c r="C560" i="2"/>
  <c r="P560" i="2"/>
  <c r="D560" i="2"/>
  <c r="Q560" i="2"/>
  <c r="E560" i="2"/>
  <c r="R560" i="2"/>
  <c r="F560" i="2"/>
  <c r="S560" i="2"/>
  <c r="G560" i="2"/>
  <c r="I561" i="2"/>
  <c r="O561" i="2"/>
  <c r="J561" i="2"/>
  <c r="K561" i="2"/>
  <c r="L561" i="2"/>
  <c r="M561" i="2"/>
  <c r="B561" i="2"/>
  <c r="C561" i="2"/>
  <c r="P561" i="2"/>
  <c r="D561" i="2"/>
  <c r="Q561" i="2"/>
  <c r="E561" i="2"/>
  <c r="R561" i="2"/>
  <c r="F561" i="2"/>
  <c r="S561" i="2"/>
  <c r="G561" i="2"/>
  <c r="I562" i="2"/>
  <c r="O562" i="2"/>
  <c r="J562" i="2"/>
  <c r="K562" i="2"/>
  <c r="L562" i="2"/>
  <c r="M562" i="2"/>
  <c r="B562" i="2"/>
  <c r="C562" i="2"/>
  <c r="P562" i="2"/>
  <c r="D562" i="2"/>
  <c r="Q562" i="2"/>
  <c r="E562" i="2"/>
  <c r="R562" i="2"/>
  <c r="F562" i="2"/>
  <c r="S562" i="2"/>
  <c r="G562" i="2"/>
  <c r="I563" i="2"/>
  <c r="O563" i="2"/>
  <c r="J563" i="2"/>
  <c r="K563" i="2"/>
  <c r="L563" i="2"/>
  <c r="M563" i="2"/>
  <c r="B563" i="2"/>
  <c r="C563" i="2"/>
  <c r="P563" i="2"/>
  <c r="D563" i="2"/>
  <c r="Q563" i="2"/>
  <c r="E563" i="2"/>
  <c r="R563" i="2"/>
  <c r="F563" i="2"/>
  <c r="S563" i="2"/>
  <c r="G563" i="2"/>
  <c r="I564" i="2"/>
  <c r="O564" i="2"/>
  <c r="J564" i="2"/>
  <c r="K564" i="2"/>
  <c r="L564" i="2"/>
  <c r="M564" i="2"/>
  <c r="B564" i="2"/>
  <c r="C564" i="2"/>
  <c r="P564" i="2"/>
  <c r="D564" i="2"/>
  <c r="Q564" i="2"/>
  <c r="E564" i="2"/>
  <c r="R564" i="2"/>
  <c r="F564" i="2"/>
  <c r="S564" i="2"/>
  <c r="G564" i="2"/>
  <c r="I565" i="2"/>
  <c r="O565" i="2"/>
  <c r="J565" i="2"/>
  <c r="K565" i="2"/>
  <c r="L565" i="2"/>
  <c r="M565" i="2"/>
  <c r="B565" i="2"/>
  <c r="C565" i="2"/>
  <c r="P565" i="2"/>
  <c r="D565" i="2"/>
  <c r="Q565" i="2"/>
  <c r="E565" i="2"/>
  <c r="R565" i="2"/>
  <c r="F565" i="2"/>
  <c r="S565" i="2"/>
  <c r="G565" i="2"/>
  <c r="I566" i="2"/>
  <c r="O566" i="2"/>
  <c r="J566" i="2"/>
  <c r="K566" i="2"/>
  <c r="L566" i="2"/>
  <c r="M566" i="2"/>
  <c r="B566" i="2"/>
  <c r="C566" i="2"/>
  <c r="P566" i="2"/>
  <c r="D566" i="2"/>
  <c r="Q566" i="2"/>
  <c r="E566" i="2"/>
  <c r="R566" i="2"/>
  <c r="F566" i="2"/>
  <c r="S566" i="2"/>
  <c r="G566" i="2"/>
  <c r="I567" i="2"/>
  <c r="O567" i="2"/>
  <c r="J567" i="2"/>
  <c r="K567" i="2"/>
  <c r="L567" i="2"/>
  <c r="M567" i="2"/>
  <c r="B567" i="2"/>
  <c r="C567" i="2"/>
  <c r="P567" i="2"/>
  <c r="D567" i="2"/>
  <c r="Q567" i="2"/>
  <c r="E567" i="2"/>
  <c r="R567" i="2"/>
  <c r="F567" i="2"/>
  <c r="S567" i="2"/>
  <c r="G567" i="2"/>
  <c r="I568" i="2"/>
  <c r="O568" i="2"/>
  <c r="J568" i="2"/>
  <c r="K568" i="2"/>
  <c r="L568" i="2"/>
  <c r="M568" i="2"/>
  <c r="B568" i="2"/>
  <c r="C568" i="2"/>
  <c r="P568" i="2"/>
  <c r="D568" i="2"/>
  <c r="Q568" i="2"/>
  <c r="E568" i="2"/>
  <c r="R568" i="2"/>
  <c r="F568" i="2"/>
  <c r="S568" i="2"/>
  <c r="G568" i="2"/>
  <c r="I569" i="2"/>
  <c r="O569" i="2"/>
  <c r="J569" i="2"/>
  <c r="K569" i="2"/>
  <c r="L569" i="2"/>
  <c r="M569" i="2"/>
  <c r="B569" i="2"/>
  <c r="C569" i="2"/>
  <c r="P569" i="2"/>
  <c r="D569" i="2"/>
  <c r="Q569" i="2"/>
  <c r="E569" i="2"/>
  <c r="R569" i="2"/>
  <c r="F569" i="2"/>
  <c r="S569" i="2"/>
  <c r="G569" i="2"/>
  <c r="I570" i="2"/>
  <c r="O570" i="2"/>
  <c r="J570" i="2"/>
  <c r="K570" i="2"/>
  <c r="L570" i="2"/>
  <c r="M570" i="2"/>
  <c r="B570" i="2"/>
  <c r="C570" i="2"/>
  <c r="P570" i="2"/>
  <c r="D570" i="2"/>
  <c r="Q570" i="2"/>
  <c r="E570" i="2"/>
  <c r="R570" i="2"/>
  <c r="F570" i="2"/>
  <c r="S570" i="2"/>
  <c r="G570" i="2"/>
  <c r="I571" i="2"/>
  <c r="O571" i="2"/>
  <c r="J571" i="2"/>
  <c r="K571" i="2"/>
  <c r="L571" i="2"/>
  <c r="M571" i="2"/>
  <c r="B571" i="2"/>
  <c r="C571" i="2"/>
  <c r="P571" i="2"/>
  <c r="D571" i="2"/>
  <c r="Q571" i="2"/>
  <c r="E571" i="2"/>
  <c r="R571" i="2"/>
  <c r="F571" i="2"/>
  <c r="S571" i="2"/>
  <c r="G571" i="2"/>
  <c r="I572" i="2"/>
  <c r="O572" i="2"/>
  <c r="J572" i="2"/>
  <c r="K572" i="2"/>
  <c r="L572" i="2"/>
  <c r="M572" i="2"/>
  <c r="B572" i="2"/>
  <c r="C572" i="2"/>
  <c r="P572" i="2"/>
  <c r="D572" i="2"/>
  <c r="Q572" i="2"/>
  <c r="E572" i="2"/>
  <c r="R572" i="2"/>
  <c r="F572" i="2"/>
  <c r="S572" i="2"/>
  <c r="G572" i="2"/>
  <c r="I573" i="2"/>
  <c r="O573" i="2"/>
  <c r="J573" i="2"/>
  <c r="K573" i="2"/>
  <c r="L573" i="2"/>
  <c r="M573" i="2"/>
  <c r="B573" i="2"/>
  <c r="C573" i="2"/>
  <c r="P573" i="2"/>
  <c r="D573" i="2"/>
  <c r="Q573" i="2"/>
  <c r="E573" i="2"/>
  <c r="R573" i="2"/>
  <c r="F573" i="2"/>
  <c r="S573" i="2"/>
  <c r="G573" i="2"/>
  <c r="I574" i="2"/>
  <c r="O574" i="2"/>
  <c r="J574" i="2"/>
  <c r="K574" i="2"/>
  <c r="L574" i="2"/>
  <c r="M574" i="2"/>
  <c r="B574" i="2"/>
  <c r="C574" i="2"/>
  <c r="P574" i="2"/>
  <c r="D574" i="2"/>
  <c r="Q574" i="2"/>
  <c r="E574" i="2"/>
  <c r="R574" i="2"/>
  <c r="F574" i="2"/>
  <c r="S574" i="2"/>
  <c r="G574" i="2"/>
  <c r="I575" i="2"/>
  <c r="O575" i="2"/>
  <c r="J575" i="2"/>
  <c r="K575" i="2"/>
  <c r="L575" i="2"/>
  <c r="M575" i="2"/>
  <c r="B575" i="2"/>
  <c r="C575" i="2"/>
  <c r="P575" i="2"/>
  <c r="D575" i="2"/>
  <c r="Q575" i="2"/>
  <c r="E575" i="2"/>
  <c r="R575" i="2"/>
  <c r="F575" i="2"/>
  <c r="S575" i="2"/>
  <c r="G575" i="2"/>
  <c r="I576" i="2"/>
  <c r="O576" i="2"/>
  <c r="J576" i="2"/>
  <c r="K576" i="2"/>
  <c r="L576" i="2"/>
  <c r="M576" i="2"/>
  <c r="B576" i="2"/>
  <c r="C576" i="2"/>
  <c r="P576" i="2"/>
  <c r="D576" i="2"/>
  <c r="Q576" i="2"/>
  <c r="E576" i="2"/>
  <c r="R576" i="2"/>
  <c r="F576" i="2"/>
  <c r="S576" i="2"/>
  <c r="G576" i="2"/>
  <c r="I577" i="2"/>
  <c r="O577" i="2"/>
  <c r="J577" i="2"/>
  <c r="K577" i="2"/>
  <c r="L577" i="2"/>
  <c r="M577" i="2"/>
  <c r="B577" i="2"/>
  <c r="C577" i="2"/>
  <c r="P577" i="2"/>
  <c r="D577" i="2"/>
  <c r="Q577" i="2"/>
  <c r="E577" i="2"/>
  <c r="R577" i="2"/>
  <c r="F577" i="2"/>
  <c r="S577" i="2"/>
  <c r="G577" i="2"/>
  <c r="I578" i="2"/>
  <c r="O578" i="2"/>
  <c r="J578" i="2"/>
  <c r="K578" i="2"/>
  <c r="L578" i="2"/>
  <c r="M578" i="2"/>
  <c r="B578" i="2"/>
  <c r="C578" i="2"/>
  <c r="P578" i="2"/>
  <c r="D578" i="2"/>
  <c r="Q578" i="2"/>
  <c r="E578" i="2"/>
  <c r="R578" i="2"/>
  <c r="F578" i="2"/>
  <c r="S578" i="2"/>
  <c r="G578" i="2"/>
  <c r="I579" i="2"/>
  <c r="O579" i="2"/>
  <c r="J579" i="2"/>
  <c r="K579" i="2"/>
  <c r="L579" i="2"/>
  <c r="M579" i="2"/>
  <c r="B579" i="2"/>
  <c r="C579" i="2"/>
  <c r="P579" i="2"/>
  <c r="D579" i="2"/>
  <c r="Q579" i="2"/>
  <c r="E579" i="2"/>
  <c r="R579" i="2"/>
  <c r="F579" i="2"/>
  <c r="S579" i="2"/>
  <c r="G579" i="2"/>
  <c r="I580" i="2"/>
  <c r="O580" i="2"/>
  <c r="J580" i="2"/>
  <c r="K580" i="2"/>
  <c r="L580" i="2"/>
  <c r="M580" i="2"/>
  <c r="B580" i="2"/>
  <c r="C580" i="2"/>
  <c r="P580" i="2"/>
  <c r="D580" i="2"/>
  <c r="Q580" i="2"/>
  <c r="E580" i="2"/>
  <c r="R580" i="2"/>
  <c r="F580" i="2"/>
  <c r="S580" i="2"/>
  <c r="G580" i="2"/>
  <c r="I581" i="2"/>
  <c r="O581" i="2"/>
  <c r="J581" i="2"/>
  <c r="K581" i="2"/>
  <c r="L581" i="2"/>
  <c r="M581" i="2"/>
  <c r="B581" i="2"/>
  <c r="C581" i="2"/>
  <c r="P581" i="2"/>
  <c r="D581" i="2"/>
  <c r="Q581" i="2"/>
  <c r="E581" i="2"/>
  <c r="R581" i="2"/>
  <c r="F581" i="2"/>
  <c r="S581" i="2"/>
  <c r="G581" i="2"/>
  <c r="I582" i="2"/>
  <c r="O582" i="2"/>
  <c r="J582" i="2"/>
  <c r="K582" i="2"/>
  <c r="L582" i="2"/>
  <c r="M582" i="2"/>
  <c r="B582" i="2"/>
  <c r="C582" i="2"/>
  <c r="P582" i="2"/>
  <c r="D582" i="2"/>
  <c r="Q582" i="2"/>
  <c r="E582" i="2"/>
  <c r="R582" i="2"/>
  <c r="F582" i="2"/>
  <c r="S582" i="2"/>
  <c r="G582" i="2"/>
  <c r="I583" i="2"/>
  <c r="O583" i="2"/>
  <c r="J583" i="2"/>
  <c r="K583" i="2"/>
  <c r="L583" i="2"/>
  <c r="M583" i="2"/>
  <c r="B583" i="2"/>
  <c r="C583" i="2"/>
  <c r="P583" i="2"/>
  <c r="D583" i="2"/>
  <c r="Q583" i="2"/>
  <c r="E583" i="2"/>
  <c r="R583" i="2"/>
  <c r="F583" i="2"/>
  <c r="S583" i="2"/>
  <c r="G583" i="2"/>
  <c r="I584" i="2"/>
  <c r="O584" i="2"/>
  <c r="J584" i="2"/>
  <c r="K584" i="2"/>
  <c r="L584" i="2"/>
  <c r="M584" i="2"/>
  <c r="B584" i="2"/>
  <c r="C584" i="2"/>
  <c r="P584" i="2"/>
  <c r="D584" i="2"/>
  <c r="Q584" i="2"/>
  <c r="E584" i="2"/>
  <c r="R584" i="2"/>
  <c r="F584" i="2"/>
  <c r="S584" i="2"/>
  <c r="G584" i="2"/>
  <c r="I585" i="2"/>
  <c r="O585" i="2"/>
  <c r="J585" i="2"/>
  <c r="K585" i="2"/>
  <c r="L585" i="2"/>
  <c r="M585" i="2"/>
  <c r="B585" i="2"/>
  <c r="C585" i="2"/>
  <c r="P585" i="2"/>
  <c r="D585" i="2"/>
  <c r="Q585" i="2"/>
  <c r="E585" i="2"/>
  <c r="R585" i="2"/>
  <c r="F585" i="2"/>
  <c r="S585" i="2"/>
  <c r="G585" i="2"/>
  <c r="I586" i="2"/>
  <c r="O586" i="2"/>
  <c r="J586" i="2"/>
  <c r="K586" i="2"/>
  <c r="L586" i="2"/>
  <c r="M586" i="2"/>
  <c r="B586" i="2"/>
  <c r="C586" i="2"/>
  <c r="P586" i="2"/>
  <c r="D586" i="2"/>
  <c r="Q586" i="2"/>
  <c r="E586" i="2"/>
  <c r="R586" i="2"/>
  <c r="F586" i="2"/>
  <c r="S586" i="2"/>
  <c r="G586" i="2"/>
  <c r="I587" i="2"/>
  <c r="O587" i="2"/>
  <c r="J587" i="2"/>
  <c r="K587" i="2"/>
  <c r="L587" i="2"/>
  <c r="M587" i="2"/>
  <c r="B587" i="2"/>
  <c r="C587" i="2"/>
  <c r="P587" i="2"/>
  <c r="D587" i="2"/>
  <c r="Q587" i="2"/>
  <c r="E587" i="2"/>
  <c r="R587" i="2"/>
  <c r="F587" i="2"/>
  <c r="S587" i="2"/>
  <c r="G587" i="2"/>
  <c r="I588" i="2"/>
  <c r="O588" i="2"/>
  <c r="J588" i="2"/>
  <c r="K588" i="2"/>
  <c r="L588" i="2"/>
  <c r="M588" i="2"/>
  <c r="B588" i="2"/>
  <c r="C588" i="2"/>
  <c r="P588" i="2"/>
  <c r="D588" i="2"/>
  <c r="Q588" i="2"/>
  <c r="E588" i="2"/>
  <c r="R588" i="2"/>
  <c r="F588" i="2"/>
  <c r="S588" i="2"/>
  <c r="G588" i="2"/>
  <c r="I589" i="2"/>
  <c r="O589" i="2"/>
  <c r="J589" i="2"/>
  <c r="K589" i="2"/>
  <c r="L589" i="2"/>
  <c r="M589" i="2"/>
  <c r="B589" i="2"/>
  <c r="C589" i="2"/>
  <c r="P589" i="2"/>
  <c r="D589" i="2"/>
  <c r="Q589" i="2"/>
  <c r="E589" i="2"/>
  <c r="R589" i="2"/>
  <c r="F589" i="2"/>
  <c r="S589" i="2"/>
  <c r="G589" i="2"/>
  <c r="I590" i="2"/>
  <c r="O590" i="2"/>
  <c r="J590" i="2"/>
  <c r="K590" i="2"/>
  <c r="L590" i="2"/>
  <c r="M590" i="2"/>
  <c r="B590" i="2"/>
  <c r="C590" i="2"/>
  <c r="P590" i="2"/>
  <c r="D590" i="2"/>
  <c r="Q590" i="2"/>
  <c r="E590" i="2"/>
  <c r="R590" i="2"/>
  <c r="F590" i="2"/>
  <c r="S590" i="2"/>
  <c r="G590" i="2"/>
  <c r="I591" i="2"/>
  <c r="O591" i="2"/>
  <c r="J591" i="2"/>
  <c r="K591" i="2"/>
  <c r="L591" i="2"/>
  <c r="M591" i="2"/>
  <c r="B591" i="2"/>
  <c r="C591" i="2"/>
  <c r="P591" i="2"/>
  <c r="D591" i="2"/>
  <c r="Q591" i="2"/>
  <c r="E591" i="2"/>
  <c r="R591" i="2"/>
  <c r="F591" i="2"/>
  <c r="S591" i="2"/>
  <c r="G591" i="2"/>
  <c r="I592" i="2"/>
  <c r="O592" i="2"/>
  <c r="J592" i="2"/>
  <c r="K592" i="2"/>
  <c r="L592" i="2"/>
  <c r="M592" i="2"/>
  <c r="B592" i="2"/>
  <c r="C592" i="2"/>
  <c r="P592" i="2"/>
  <c r="D592" i="2"/>
  <c r="Q592" i="2"/>
  <c r="E592" i="2"/>
  <c r="R592" i="2"/>
  <c r="F592" i="2"/>
  <c r="S592" i="2"/>
  <c r="G592" i="2"/>
  <c r="I593" i="2"/>
  <c r="O593" i="2"/>
  <c r="J593" i="2"/>
  <c r="K593" i="2"/>
  <c r="L593" i="2"/>
  <c r="M593" i="2"/>
  <c r="B593" i="2"/>
  <c r="C593" i="2"/>
  <c r="P593" i="2"/>
  <c r="D593" i="2"/>
  <c r="Q593" i="2"/>
  <c r="E593" i="2"/>
  <c r="R593" i="2"/>
  <c r="F593" i="2"/>
  <c r="S593" i="2"/>
  <c r="G593" i="2"/>
  <c r="I594" i="2"/>
  <c r="O594" i="2"/>
  <c r="J594" i="2"/>
  <c r="K594" i="2"/>
  <c r="L594" i="2"/>
  <c r="M594" i="2"/>
  <c r="B594" i="2"/>
  <c r="C594" i="2"/>
  <c r="P594" i="2"/>
  <c r="D594" i="2"/>
  <c r="Q594" i="2"/>
  <c r="E594" i="2"/>
  <c r="R594" i="2"/>
  <c r="F594" i="2"/>
  <c r="S594" i="2"/>
  <c r="G594" i="2"/>
  <c r="I595" i="2"/>
  <c r="O595" i="2"/>
  <c r="J595" i="2"/>
  <c r="K595" i="2"/>
  <c r="L595" i="2"/>
  <c r="M595" i="2"/>
  <c r="B595" i="2"/>
  <c r="C595" i="2"/>
  <c r="P595" i="2"/>
  <c r="D595" i="2"/>
  <c r="Q595" i="2"/>
  <c r="E595" i="2"/>
  <c r="R595" i="2"/>
  <c r="F595" i="2"/>
  <c r="S595" i="2"/>
  <c r="G595" i="2"/>
  <c r="I596" i="2"/>
  <c r="O596" i="2"/>
  <c r="J596" i="2"/>
  <c r="K596" i="2"/>
  <c r="L596" i="2"/>
  <c r="M596" i="2"/>
  <c r="B596" i="2"/>
  <c r="C596" i="2"/>
  <c r="P596" i="2"/>
  <c r="D596" i="2"/>
  <c r="Q596" i="2"/>
  <c r="E596" i="2"/>
  <c r="R596" i="2"/>
  <c r="F596" i="2"/>
  <c r="S596" i="2"/>
  <c r="G596" i="2"/>
  <c r="I597" i="2"/>
  <c r="O597" i="2"/>
  <c r="J597" i="2"/>
  <c r="K597" i="2"/>
  <c r="L597" i="2"/>
  <c r="M597" i="2"/>
  <c r="B597" i="2"/>
  <c r="C597" i="2"/>
  <c r="P597" i="2"/>
  <c r="D597" i="2"/>
  <c r="Q597" i="2"/>
  <c r="E597" i="2"/>
  <c r="R597" i="2"/>
  <c r="F597" i="2"/>
  <c r="S597" i="2"/>
  <c r="G597" i="2"/>
  <c r="I598" i="2"/>
  <c r="O598" i="2"/>
  <c r="J598" i="2"/>
  <c r="K598" i="2"/>
  <c r="L598" i="2"/>
  <c r="M598" i="2"/>
  <c r="B598" i="2"/>
  <c r="C598" i="2"/>
  <c r="P598" i="2"/>
  <c r="D598" i="2"/>
  <c r="Q598" i="2"/>
  <c r="E598" i="2"/>
  <c r="R598" i="2"/>
  <c r="F598" i="2"/>
  <c r="S598" i="2"/>
  <c r="G598" i="2"/>
  <c r="I599" i="2"/>
  <c r="O599" i="2"/>
  <c r="J599" i="2"/>
  <c r="K599" i="2"/>
  <c r="L599" i="2"/>
  <c r="M599" i="2"/>
  <c r="B599" i="2"/>
  <c r="C599" i="2"/>
  <c r="P599" i="2"/>
  <c r="D599" i="2"/>
  <c r="Q599" i="2"/>
  <c r="E599" i="2"/>
  <c r="R599" i="2"/>
  <c r="F599" i="2"/>
  <c r="S599" i="2"/>
  <c r="G599" i="2"/>
  <c r="I600" i="2"/>
  <c r="O600" i="2"/>
  <c r="J600" i="2"/>
  <c r="K600" i="2"/>
  <c r="L600" i="2"/>
  <c r="M600" i="2"/>
  <c r="B600" i="2"/>
  <c r="C600" i="2"/>
  <c r="P600" i="2"/>
  <c r="D600" i="2"/>
  <c r="Q600" i="2"/>
  <c r="E600" i="2"/>
  <c r="R600" i="2"/>
  <c r="F600" i="2"/>
  <c r="S600" i="2"/>
  <c r="G600" i="2"/>
  <c r="I601" i="2"/>
  <c r="O601" i="2"/>
  <c r="J601" i="2"/>
  <c r="K601" i="2"/>
  <c r="L601" i="2"/>
  <c r="M601" i="2"/>
  <c r="B601" i="2"/>
  <c r="C601" i="2"/>
  <c r="P601" i="2"/>
  <c r="D601" i="2"/>
  <c r="Q601" i="2"/>
  <c r="E601" i="2"/>
  <c r="R601" i="2"/>
  <c r="F601" i="2"/>
  <c r="S601" i="2"/>
  <c r="G601" i="2"/>
  <c r="I602" i="2"/>
  <c r="O602" i="2"/>
  <c r="J602" i="2"/>
  <c r="K602" i="2"/>
  <c r="L602" i="2"/>
  <c r="M602" i="2"/>
  <c r="B602" i="2"/>
  <c r="C602" i="2"/>
  <c r="P602" i="2"/>
  <c r="D602" i="2"/>
  <c r="Q602" i="2"/>
  <c r="E602" i="2"/>
  <c r="R602" i="2"/>
  <c r="F602" i="2"/>
  <c r="S602" i="2"/>
  <c r="G602" i="2"/>
  <c r="I603" i="2"/>
  <c r="O603" i="2"/>
  <c r="J603" i="2"/>
  <c r="K603" i="2"/>
  <c r="L603" i="2"/>
  <c r="M603" i="2"/>
  <c r="B603" i="2"/>
  <c r="C603" i="2"/>
  <c r="P603" i="2"/>
  <c r="D603" i="2"/>
  <c r="Q603" i="2"/>
  <c r="E603" i="2"/>
  <c r="R603" i="2"/>
  <c r="F603" i="2"/>
  <c r="S603" i="2"/>
  <c r="G603" i="2"/>
  <c r="I604" i="2"/>
  <c r="O604" i="2"/>
  <c r="J604" i="2"/>
  <c r="K604" i="2"/>
  <c r="L604" i="2"/>
  <c r="M604" i="2"/>
  <c r="B604" i="2"/>
  <c r="C604" i="2"/>
  <c r="P604" i="2"/>
  <c r="D604" i="2"/>
  <c r="Q604" i="2"/>
  <c r="E604" i="2"/>
  <c r="R604" i="2"/>
  <c r="F604" i="2"/>
  <c r="S604" i="2"/>
  <c r="G604" i="2"/>
  <c r="I605" i="2"/>
  <c r="O605" i="2"/>
  <c r="J605" i="2"/>
  <c r="K605" i="2"/>
  <c r="L605" i="2"/>
  <c r="M605" i="2"/>
  <c r="B605" i="2"/>
  <c r="C605" i="2"/>
  <c r="P605" i="2"/>
  <c r="D605" i="2"/>
  <c r="Q605" i="2"/>
  <c r="E605" i="2"/>
  <c r="R605" i="2"/>
  <c r="F605" i="2"/>
  <c r="S605" i="2"/>
  <c r="G605" i="2"/>
  <c r="I606" i="2"/>
  <c r="O606" i="2"/>
  <c r="J606" i="2"/>
  <c r="K606" i="2"/>
  <c r="L606" i="2"/>
  <c r="M606" i="2"/>
  <c r="B606" i="2"/>
  <c r="C606" i="2"/>
  <c r="P606" i="2"/>
  <c r="D606" i="2"/>
  <c r="Q606" i="2"/>
  <c r="E606" i="2"/>
  <c r="R606" i="2"/>
  <c r="F606" i="2"/>
  <c r="S606" i="2"/>
  <c r="G606" i="2"/>
  <c r="I607" i="2"/>
  <c r="O607" i="2"/>
  <c r="J607" i="2"/>
  <c r="K607" i="2"/>
  <c r="L607" i="2"/>
  <c r="M607" i="2"/>
  <c r="B607" i="2"/>
  <c r="C607" i="2"/>
  <c r="P607" i="2"/>
  <c r="D607" i="2"/>
  <c r="Q607" i="2"/>
  <c r="E607" i="2"/>
  <c r="R607" i="2"/>
  <c r="F607" i="2"/>
  <c r="S607" i="2"/>
  <c r="G607" i="2"/>
  <c r="I608" i="2"/>
  <c r="O608" i="2"/>
  <c r="J608" i="2"/>
  <c r="K608" i="2"/>
  <c r="L608" i="2"/>
  <c r="M608" i="2"/>
  <c r="B608" i="2"/>
  <c r="C608" i="2"/>
  <c r="P608" i="2"/>
  <c r="D608" i="2"/>
  <c r="Q608" i="2"/>
  <c r="E608" i="2"/>
  <c r="R608" i="2"/>
  <c r="F608" i="2"/>
  <c r="S608" i="2"/>
  <c r="G608" i="2"/>
  <c r="I609" i="2"/>
  <c r="O609" i="2"/>
  <c r="J609" i="2"/>
  <c r="K609" i="2"/>
  <c r="L609" i="2"/>
  <c r="M609" i="2"/>
  <c r="B609" i="2"/>
  <c r="C609" i="2"/>
  <c r="P609" i="2"/>
  <c r="D609" i="2"/>
  <c r="Q609" i="2"/>
  <c r="E609" i="2"/>
  <c r="R609" i="2"/>
  <c r="F609" i="2"/>
  <c r="S609" i="2"/>
  <c r="G609" i="2"/>
  <c r="I610" i="2"/>
  <c r="O610" i="2"/>
  <c r="J610" i="2"/>
  <c r="K610" i="2"/>
  <c r="L610" i="2"/>
  <c r="M610" i="2"/>
  <c r="B610" i="2"/>
  <c r="C610" i="2"/>
  <c r="P610" i="2"/>
  <c r="D610" i="2"/>
  <c r="Q610" i="2"/>
  <c r="E610" i="2"/>
  <c r="R610" i="2"/>
  <c r="F610" i="2"/>
  <c r="S610" i="2"/>
  <c r="G610" i="2"/>
  <c r="I611" i="2"/>
  <c r="O611" i="2"/>
  <c r="J611" i="2"/>
  <c r="K611" i="2"/>
  <c r="L611" i="2"/>
  <c r="M611" i="2"/>
  <c r="B611" i="2"/>
  <c r="C611" i="2"/>
  <c r="P611" i="2"/>
  <c r="D611" i="2"/>
  <c r="Q611" i="2"/>
  <c r="E611" i="2"/>
  <c r="R611" i="2"/>
  <c r="F611" i="2"/>
  <c r="S611" i="2"/>
  <c r="G611" i="2"/>
  <c r="I612" i="2"/>
  <c r="O612" i="2"/>
  <c r="J612" i="2"/>
  <c r="K612" i="2"/>
  <c r="L612" i="2"/>
  <c r="M612" i="2"/>
  <c r="B612" i="2"/>
  <c r="C612" i="2"/>
  <c r="P612" i="2"/>
  <c r="D612" i="2"/>
  <c r="Q612" i="2"/>
  <c r="E612" i="2"/>
  <c r="R612" i="2"/>
  <c r="F612" i="2"/>
  <c r="S612" i="2"/>
  <c r="G612" i="2"/>
  <c r="I613" i="2"/>
  <c r="O613" i="2"/>
  <c r="J613" i="2"/>
  <c r="K613" i="2"/>
  <c r="L613" i="2"/>
  <c r="M613" i="2"/>
  <c r="B613" i="2"/>
  <c r="C613" i="2"/>
  <c r="P613" i="2"/>
  <c r="D613" i="2"/>
  <c r="Q613" i="2"/>
  <c r="E613" i="2"/>
  <c r="R613" i="2"/>
  <c r="F613" i="2"/>
  <c r="S613" i="2"/>
  <c r="G613" i="2"/>
  <c r="I614" i="2"/>
  <c r="O614" i="2"/>
  <c r="J614" i="2"/>
  <c r="K614" i="2"/>
  <c r="L614" i="2"/>
  <c r="M614" i="2"/>
  <c r="B614" i="2"/>
  <c r="C614" i="2"/>
  <c r="P614" i="2"/>
  <c r="D614" i="2"/>
  <c r="Q614" i="2"/>
  <c r="E614" i="2"/>
  <c r="R614" i="2"/>
  <c r="F614" i="2"/>
  <c r="S614" i="2"/>
  <c r="G614" i="2"/>
  <c r="I615" i="2"/>
  <c r="O615" i="2"/>
  <c r="J615" i="2"/>
  <c r="K615" i="2"/>
  <c r="L615" i="2"/>
  <c r="M615" i="2"/>
  <c r="B615" i="2"/>
  <c r="C615" i="2"/>
  <c r="P615" i="2"/>
  <c r="D615" i="2"/>
  <c r="Q615" i="2"/>
  <c r="E615" i="2"/>
  <c r="R615" i="2"/>
  <c r="F615" i="2"/>
  <c r="S615" i="2"/>
  <c r="G615" i="2"/>
  <c r="I616" i="2"/>
  <c r="O616" i="2"/>
  <c r="J616" i="2"/>
  <c r="K616" i="2"/>
  <c r="L616" i="2"/>
  <c r="M616" i="2"/>
  <c r="B616" i="2"/>
  <c r="C616" i="2"/>
  <c r="P616" i="2"/>
  <c r="D616" i="2"/>
  <c r="Q616" i="2"/>
  <c r="E616" i="2"/>
  <c r="R616" i="2"/>
  <c r="F616" i="2"/>
  <c r="S616" i="2"/>
  <c r="G616" i="2"/>
  <c r="I617" i="2"/>
  <c r="O617" i="2"/>
  <c r="J617" i="2"/>
  <c r="K617" i="2"/>
  <c r="L617" i="2"/>
  <c r="M617" i="2"/>
  <c r="B617" i="2"/>
  <c r="C617" i="2"/>
  <c r="P617" i="2"/>
  <c r="D617" i="2"/>
  <c r="Q617" i="2"/>
  <c r="E617" i="2"/>
  <c r="R617" i="2"/>
  <c r="F617" i="2"/>
  <c r="S617" i="2"/>
  <c r="G617" i="2"/>
  <c r="I618" i="2"/>
  <c r="O618" i="2"/>
  <c r="J618" i="2"/>
  <c r="K618" i="2"/>
  <c r="L618" i="2"/>
  <c r="M618" i="2"/>
  <c r="B618" i="2"/>
  <c r="C618" i="2"/>
  <c r="P618" i="2"/>
  <c r="D618" i="2"/>
  <c r="Q618" i="2"/>
  <c r="E618" i="2"/>
  <c r="R618" i="2"/>
  <c r="F618" i="2"/>
  <c r="S618" i="2"/>
  <c r="G618" i="2"/>
  <c r="I619" i="2"/>
  <c r="O619" i="2"/>
  <c r="J619" i="2"/>
  <c r="K619" i="2"/>
  <c r="L619" i="2"/>
  <c r="M619" i="2"/>
  <c r="B619" i="2"/>
  <c r="C619" i="2"/>
  <c r="P619" i="2"/>
  <c r="D619" i="2"/>
  <c r="Q619" i="2"/>
  <c r="E619" i="2"/>
  <c r="R619" i="2"/>
  <c r="F619" i="2"/>
  <c r="S619" i="2"/>
  <c r="G619" i="2"/>
  <c r="I620" i="2"/>
  <c r="O620" i="2"/>
  <c r="J620" i="2"/>
  <c r="K620" i="2"/>
  <c r="L620" i="2"/>
  <c r="M620" i="2"/>
  <c r="B620" i="2"/>
  <c r="C620" i="2"/>
  <c r="P620" i="2"/>
  <c r="D620" i="2"/>
  <c r="Q620" i="2"/>
  <c r="E620" i="2"/>
  <c r="R620" i="2"/>
  <c r="F620" i="2"/>
  <c r="S620" i="2"/>
  <c r="G620" i="2"/>
  <c r="I621" i="2"/>
  <c r="O621" i="2"/>
  <c r="J621" i="2"/>
  <c r="K621" i="2"/>
  <c r="L621" i="2"/>
  <c r="M621" i="2"/>
  <c r="B621" i="2"/>
  <c r="C621" i="2"/>
  <c r="P621" i="2"/>
  <c r="D621" i="2"/>
  <c r="Q621" i="2"/>
  <c r="E621" i="2"/>
  <c r="R621" i="2"/>
  <c r="F621" i="2"/>
  <c r="S621" i="2"/>
  <c r="G621" i="2"/>
  <c r="I622" i="2"/>
  <c r="O622" i="2"/>
  <c r="J622" i="2"/>
  <c r="K622" i="2"/>
  <c r="L622" i="2"/>
  <c r="M622" i="2"/>
  <c r="B622" i="2"/>
  <c r="C622" i="2"/>
  <c r="P622" i="2"/>
  <c r="D622" i="2"/>
  <c r="Q622" i="2"/>
  <c r="E622" i="2"/>
  <c r="R622" i="2"/>
  <c r="F622" i="2"/>
  <c r="S622" i="2"/>
  <c r="G622" i="2"/>
  <c r="I623" i="2"/>
  <c r="O623" i="2"/>
  <c r="J623" i="2"/>
  <c r="K623" i="2"/>
  <c r="L623" i="2"/>
  <c r="M623" i="2"/>
  <c r="B623" i="2"/>
  <c r="C623" i="2"/>
  <c r="P623" i="2"/>
  <c r="D623" i="2"/>
  <c r="Q623" i="2"/>
  <c r="E623" i="2"/>
  <c r="R623" i="2"/>
  <c r="F623" i="2"/>
  <c r="S623" i="2"/>
  <c r="G623" i="2"/>
  <c r="I624" i="2"/>
  <c r="O624" i="2"/>
  <c r="J624" i="2"/>
  <c r="K624" i="2"/>
  <c r="L624" i="2"/>
  <c r="M624" i="2"/>
  <c r="B624" i="2"/>
  <c r="C624" i="2"/>
  <c r="P624" i="2"/>
  <c r="D624" i="2"/>
  <c r="Q624" i="2"/>
  <c r="E624" i="2"/>
  <c r="R624" i="2"/>
  <c r="F624" i="2"/>
  <c r="S624" i="2"/>
  <c r="G624" i="2"/>
  <c r="I625" i="2"/>
  <c r="O625" i="2"/>
  <c r="J625" i="2"/>
  <c r="K625" i="2"/>
  <c r="L625" i="2"/>
  <c r="M625" i="2"/>
  <c r="B625" i="2"/>
  <c r="C625" i="2"/>
  <c r="P625" i="2"/>
  <c r="D625" i="2"/>
  <c r="Q625" i="2"/>
  <c r="E625" i="2"/>
  <c r="R625" i="2"/>
  <c r="F625" i="2"/>
  <c r="S625" i="2"/>
  <c r="G625" i="2"/>
  <c r="I626" i="2"/>
  <c r="O626" i="2"/>
  <c r="J626" i="2"/>
  <c r="K626" i="2"/>
  <c r="L626" i="2"/>
  <c r="M626" i="2"/>
  <c r="B626" i="2"/>
  <c r="C626" i="2"/>
  <c r="P626" i="2"/>
  <c r="D626" i="2"/>
  <c r="Q626" i="2"/>
  <c r="E626" i="2"/>
  <c r="R626" i="2"/>
  <c r="F626" i="2"/>
  <c r="S626" i="2"/>
  <c r="G626" i="2"/>
  <c r="I627" i="2"/>
  <c r="O627" i="2"/>
  <c r="J627" i="2"/>
  <c r="K627" i="2"/>
  <c r="L627" i="2"/>
  <c r="M627" i="2"/>
  <c r="B627" i="2"/>
  <c r="C627" i="2"/>
  <c r="P627" i="2"/>
  <c r="D627" i="2"/>
  <c r="Q627" i="2"/>
  <c r="E627" i="2"/>
  <c r="R627" i="2"/>
  <c r="F627" i="2"/>
  <c r="S627" i="2"/>
  <c r="G627" i="2"/>
  <c r="I628" i="2"/>
  <c r="O628" i="2"/>
  <c r="J628" i="2"/>
  <c r="K628" i="2"/>
  <c r="L628" i="2"/>
  <c r="M628" i="2"/>
  <c r="B628" i="2"/>
  <c r="C628" i="2"/>
  <c r="P628" i="2"/>
  <c r="D628" i="2"/>
  <c r="Q628" i="2"/>
  <c r="E628" i="2"/>
  <c r="R628" i="2"/>
  <c r="F628" i="2"/>
  <c r="S628" i="2"/>
  <c r="G628" i="2"/>
  <c r="I629" i="2"/>
  <c r="O629" i="2"/>
  <c r="J629" i="2"/>
  <c r="K629" i="2"/>
  <c r="L629" i="2"/>
  <c r="M629" i="2"/>
  <c r="B629" i="2"/>
  <c r="C629" i="2"/>
  <c r="P629" i="2"/>
  <c r="D629" i="2"/>
  <c r="Q629" i="2"/>
  <c r="E629" i="2"/>
  <c r="R629" i="2"/>
  <c r="F629" i="2"/>
  <c r="S629" i="2"/>
  <c r="G629" i="2"/>
  <c r="I630" i="2"/>
  <c r="O630" i="2"/>
  <c r="J630" i="2"/>
  <c r="K630" i="2"/>
  <c r="L630" i="2"/>
  <c r="M630" i="2"/>
  <c r="B630" i="2"/>
  <c r="C630" i="2"/>
  <c r="P630" i="2"/>
  <c r="D630" i="2"/>
  <c r="Q630" i="2"/>
  <c r="E630" i="2"/>
  <c r="R630" i="2"/>
  <c r="F630" i="2"/>
  <c r="S630" i="2"/>
  <c r="G630" i="2"/>
  <c r="I631" i="2"/>
  <c r="O631" i="2"/>
  <c r="J631" i="2"/>
  <c r="K631" i="2"/>
  <c r="L631" i="2"/>
  <c r="M631" i="2"/>
  <c r="B631" i="2"/>
  <c r="C631" i="2"/>
  <c r="P631" i="2"/>
  <c r="D631" i="2"/>
  <c r="Q631" i="2"/>
  <c r="E631" i="2"/>
  <c r="R631" i="2"/>
  <c r="F631" i="2"/>
  <c r="S631" i="2"/>
  <c r="G631" i="2"/>
  <c r="I632" i="2"/>
  <c r="O632" i="2"/>
  <c r="J632" i="2"/>
  <c r="K632" i="2"/>
  <c r="L632" i="2"/>
  <c r="M632" i="2"/>
  <c r="B632" i="2"/>
  <c r="C632" i="2"/>
  <c r="P632" i="2"/>
  <c r="D632" i="2"/>
  <c r="Q632" i="2"/>
  <c r="E632" i="2"/>
  <c r="R632" i="2"/>
  <c r="F632" i="2"/>
  <c r="S632" i="2"/>
  <c r="G632" i="2"/>
  <c r="I633" i="2"/>
  <c r="O633" i="2"/>
  <c r="J633" i="2"/>
  <c r="K633" i="2"/>
  <c r="L633" i="2"/>
  <c r="M633" i="2"/>
  <c r="B633" i="2"/>
  <c r="C633" i="2"/>
  <c r="P633" i="2"/>
  <c r="D633" i="2"/>
  <c r="Q633" i="2"/>
  <c r="E633" i="2"/>
  <c r="R633" i="2"/>
  <c r="F633" i="2"/>
  <c r="S633" i="2"/>
  <c r="G633" i="2"/>
  <c r="I634" i="2"/>
  <c r="O634" i="2"/>
  <c r="J634" i="2"/>
  <c r="K634" i="2"/>
  <c r="L634" i="2"/>
  <c r="M634" i="2"/>
  <c r="B634" i="2"/>
  <c r="C634" i="2"/>
  <c r="P634" i="2"/>
  <c r="D634" i="2"/>
  <c r="Q634" i="2"/>
  <c r="E634" i="2"/>
  <c r="R634" i="2"/>
  <c r="F634" i="2"/>
  <c r="S634" i="2"/>
  <c r="G634" i="2"/>
  <c r="I635" i="2"/>
  <c r="O635" i="2"/>
  <c r="J635" i="2"/>
  <c r="K635" i="2"/>
  <c r="L635" i="2"/>
  <c r="M635" i="2"/>
  <c r="B635" i="2"/>
  <c r="C635" i="2"/>
  <c r="P635" i="2"/>
  <c r="D635" i="2"/>
  <c r="Q635" i="2"/>
  <c r="E635" i="2"/>
  <c r="R635" i="2"/>
  <c r="F635" i="2"/>
  <c r="S635" i="2"/>
  <c r="G635" i="2"/>
  <c r="I636" i="2"/>
  <c r="O636" i="2"/>
  <c r="J636" i="2"/>
  <c r="K636" i="2"/>
  <c r="L636" i="2"/>
  <c r="M636" i="2"/>
  <c r="B636" i="2"/>
  <c r="C636" i="2"/>
  <c r="P636" i="2"/>
  <c r="D636" i="2"/>
  <c r="Q636" i="2"/>
  <c r="E636" i="2"/>
  <c r="R636" i="2"/>
  <c r="F636" i="2"/>
  <c r="S636" i="2"/>
  <c r="G636" i="2"/>
  <c r="I637" i="2"/>
  <c r="O637" i="2"/>
  <c r="J637" i="2"/>
  <c r="K637" i="2"/>
  <c r="L637" i="2"/>
  <c r="M637" i="2"/>
  <c r="B637" i="2"/>
  <c r="C637" i="2"/>
  <c r="P637" i="2"/>
  <c r="D637" i="2"/>
  <c r="Q637" i="2"/>
  <c r="E637" i="2"/>
  <c r="R637" i="2"/>
  <c r="F637" i="2"/>
  <c r="S637" i="2"/>
  <c r="G637" i="2"/>
  <c r="I638" i="2"/>
  <c r="O638" i="2"/>
  <c r="J638" i="2"/>
  <c r="K638" i="2"/>
  <c r="L638" i="2"/>
  <c r="M638" i="2"/>
  <c r="B638" i="2"/>
  <c r="C638" i="2"/>
  <c r="P638" i="2"/>
  <c r="D638" i="2"/>
  <c r="Q638" i="2"/>
  <c r="E638" i="2"/>
  <c r="R638" i="2"/>
  <c r="F638" i="2"/>
  <c r="S638" i="2"/>
  <c r="G638" i="2"/>
  <c r="I639" i="2"/>
  <c r="O639" i="2"/>
  <c r="J639" i="2"/>
  <c r="K639" i="2"/>
  <c r="L639" i="2"/>
  <c r="M639" i="2"/>
  <c r="B639" i="2"/>
  <c r="C639" i="2"/>
  <c r="P639" i="2"/>
  <c r="D639" i="2"/>
  <c r="Q639" i="2"/>
  <c r="E639" i="2"/>
  <c r="R639" i="2"/>
  <c r="F639" i="2"/>
  <c r="S639" i="2"/>
  <c r="G639" i="2"/>
  <c r="I640" i="2"/>
  <c r="O640" i="2"/>
  <c r="J640" i="2"/>
  <c r="K640" i="2"/>
  <c r="L640" i="2"/>
  <c r="M640" i="2"/>
  <c r="B640" i="2"/>
  <c r="C640" i="2"/>
  <c r="P640" i="2"/>
  <c r="D640" i="2"/>
  <c r="Q640" i="2"/>
  <c r="E640" i="2"/>
  <c r="R640" i="2"/>
  <c r="F640" i="2"/>
  <c r="S640" i="2"/>
  <c r="G640" i="2"/>
  <c r="I641" i="2"/>
  <c r="O641" i="2"/>
  <c r="J641" i="2"/>
  <c r="K641" i="2"/>
  <c r="L641" i="2"/>
  <c r="M641" i="2"/>
  <c r="B641" i="2"/>
  <c r="C641" i="2"/>
  <c r="P641" i="2"/>
  <c r="D641" i="2"/>
  <c r="Q641" i="2"/>
  <c r="E641" i="2"/>
  <c r="R641" i="2"/>
  <c r="F641" i="2"/>
  <c r="S641" i="2"/>
  <c r="G641" i="2"/>
  <c r="I642" i="2"/>
  <c r="O642" i="2"/>
  <c r="J642" i="2"/>
  <c r="K642" i="2"/>
  <c r="L642" i="2"/>
  <c r="M642" i="2"/>
  <c r="B642" i="2"/>
  <c r="C642" i="2"/>
  <c r="P642" i="2"/>
  <c r="D642" i="2"/>
  <c r="Q642" i="2"/>
  <c r="E642" i="2"/>
  <c r="R642" i="2"/>
  <c r="F642" i="2"/>
  <c r="S642" i="2"/>
  <c r="G642" i="2"/>
  <c r="I643" i="2"/>
  <c r="O643" i="2"/>
  <c r="J643" i="2"/>
  <c r="K643" i="2"/>
  <c r="L643" i="2"/>
  <c r="M643" i="2"/>
  <c r="B643" i="2"/>
  <c r="C643" i="2"/>
  <c r="P643" i="2"/>
  <c r="D643" i="2"/>
  <c r="Q643" i="2"/>
  <c r="E643" i="2"/>
  <c r="R643" i="2"/>
  <c r="F643" i="2"/>
  <c r="S643" i="2"/>
  <c r="G643" i="2"/>
  <c r="I644" i="2"/>
  <c r="O644" i="2"/>
  <c r="J644" i="2"/>
  <c r="K644" i="2"/>
  <c r="L644" i="2"/>
  <c r="M644" i="2"/>
  <c r="B644" i="2"/>
  <c r="C644" i="2"/>
  <c r="P644" i="2"/>
  <c r="D644" i="2"/>
  <c r="Q644" i="2"/>
  <c r="E644" i="2"/>
  <c r="R644" i="2"/>
  <c r="F644" i="2"/>
  <c r="S644" i="2"/>
  <c r="G644" i="2"/>
  <c r="I645" i="2"/>
  <c r="O645" i="2"/>
  <c r="J645" i="2"/>
  <c r="K645" i="2"/>
  <c r="L645" i="2"/>
  <c r="M645" i="2"/>
  <c r="B645" i="2"/>
  <c r="C645" i="2"/>
  <c r="P645" i="2"/>
  <c r="D645" i="2"/>
  <c r="Q645" i="2"/>
  <c r="E645" i="2"/>
  <c r="R645" i="2"/>
  <c r="F645" i="2"/>
  <c r="S645" i="2"/>
  <c r="G645" i="2"/>
  <c r="I646" i="2"/>
  <c r="O646" i="2"/>
  <c r="J646" i="2"/>
  <c r="K646" i="2"/>
  <c r="L646" i="2"/>
  <c r="M646" i="2"/>
  <c r="B646" i="2"/>
  <c r="C646" i="2"/>
  <c r="P646" i="2"/>
  <c r="D646" i="2"/>
  <c r="Q646" i="2"/>
  <c r="E646" i="2"/>
  <c r="R646" i="2"/>
  <c r="F646" i="2"/>
  <c r="S646" i="2"/>
  <c r="G646" i="2"/>
  <c r="I647" i="2"/>
  <c r="O647" i="2"/>
  <c r="J647" i="2"/>
  <c r="K647" i="2"/>
  <c r="L647" i="2"/>
  <c r="M647" i="2"/>
  <c r="B647" i="2"/>
  <c r="C647" i="2"/>
  <c r="P647" i="2"/>
  <c r="D647" i="2"/>
  <c r="Q647" i="2"/>
  <c r="E647" i="2"/>
  <c r="R647" i="2"/>
  <c r="F647" i="2"/>
  <c r="S647" i="2"/>
  <c r="G647" i="2"/>
  <c r="I648" i="2"/>
  <c r="O648" i="2"/>
  <c r="J648" i="2"/>
  <c r="K648" i="2"/>
  <c r="L648" i="2"/>
  <c r="M648" i="2"/>
  <c r="B648" i="2"/>
  <c r="C648" i="2"/>
  <c r="P648" i="2"/>
  <c r="D648" i="2"/>
  <c r="Q648" i="2"/>
  <c r="E648" i="2"/>
  <c r="R648" i="2"/>
  <c r="F648" i="2"/>
  <c r="S648" i="2"/>
  <c r="G648" i="2"/>
  <c r="I649" i="2"/>
  <c r="O649" i="2"/>
  <c r="J649" i="2"/>
  <c r="K649" i="2"/>
  <c r="L649" i="2"/>
  <c r="M649" i="2"/>
  <c r="B649" i="2"/>
  <c r="C649" i="2"/>
  <c r="P649" i="2"/>
  <c r="D649" i="2"/>
  <c r="Q649" i="2"/>
  <c r="E649" i="2"/>
  <c r="R649" i="2"/>
  <c r="F649" i="2"/>
  <c r="S649" i="2"/>
  <c r="G649" i="2"/>
  <c r="I650" i="2"/>
  <c r="O650" i="2"/>
  <c r="J650" i="2"/>
  <c r="K650" i="2"/>
  <c r="L650" i="2"/>
  <c r="M650" i="2"/>
  <c r="B650" i="2"/>
  <c r="C650" i="2"/>
  <c r="P650" i="2"/>
  <c r="D650" i="2"/>
  <c r="Q650" i="2"/>
  <c r="E650" i="2"/>
  <c r="R650" i="2"/>
  <c r="F650" i="2"/>
  <c r="S650" i="2"/>
  <c r="G650" i="2"/>
  <c r="I651" i="2"/>
  <c r="O651" i="2"/>
  <c r="J651" i="2"/>
  <c r="K651" i="2"/>
  <c r="L651" i="2"/>
  <c r="M651" i="2"/>
  <c r="B651" i="2"/>
  <c r="C651" i="2"/>
  <c r="P651" i="2"/>
  <c r="D651" i="2"/>
  <c r="Q651" i="2"/>
  <c r="E651" i="2"/>
  <c r="R651" i="2"/>
  <c r="F651" i="2"/>
  <c r="S651" i="2"/>
  <c r="G651" i="2"/>
  <c r="I652" i="2"/>
  <c r="O652" i="2"/>
  <c r="J652" i="2"/>
  <c r="K652" i="2"/>
  <c r="L652" i="2"/>
  <c r="M652" i="2"/>
  <c r="B652" i="2"/>
  <c r="C652" i="2"/>
  <c r="P652" i="2"/>
  <c r="D652" i="2"/>
  <c r="Q652" i="2"/>
  <c r="E652" i="2"/>
  <c r="R652" i="2"/>
  <c r="F652" i="2"/>
  <c r="S652" i="2"/>
  <c r="G652" i="2"/>
  <c r="I653" i="2"/>
  <c r="O653" i="2"/>
  <c r="J653" i="2"/>
  <c r="K653" i="2"/>
  <c r="L653" i="2"/>
  <c r="M653" i="2"/>
  <c r="B653" i="2"/>
  <c r="C653" i="2"/>
  <c r="P653" i="2"/>
  <c r="D653" i="2"/>
  <c r="Q653" i="2"/>
  <c r="E653" i="2"/>
  <c r="R653" i="2"/>
  <c r="F653" i="2"/>
  <c r="S653" i="2"/>
  <c r="G653" i="2"/>
  <c r="I654" i="2"/>
  <c r="O654" i="2"/>
  <c r="J654" i="2"/>
  <c r="K654" i="2"/>
  <c r="L654" i="2"/>
  <c r="M654" i="2"/>
  <c r="B654" i="2"/>
  <c r="C654" i="2"/>
  <c r="P654" i="2"/>
  <c r="D654" i="2"/>
  <c r="Q654" i="2"/>
  <c r="E654" i="2"/>
  <c r="R654" i="2"/>
  <c r="F654" i="2"/>
  <c r="S654" i="2"/>
  <c r="G654" i="2"/>
  <c r="I655" i="2"/>
  <c r="O655" i="2"/>
  <c r="J655" i="2"/>
  <c r="K655" i="2"/>
  <c r="L655" i="2"/>
  <c r="M655" i="2"/>
  <c r="B655" i="2"/>
  <c r="C655" i="2"/>
  <c r="P655" i="2"/>
  <c r="D655" i="2"/>
  <c r="Q655" i="2"/>
  <c r="E655" i="2"/>
  <c r="R655" i="2"/>
  <c r="F655" i="2"/>
  <c r="S655" i="2"/>
  <c r="G655" i="2"/>
  <c r="I656" i="2"/>
  <c r="O656" i="2"/>
  <c r="J656" i="2"/>
  <c r="K656" i="2"/>
  <c r="L656" i="2"/>
  <c r="M656" i="2"/>
  <c r="B656" i="2"/>
  <c r="C656" i="2"/>
  <c r="P656" i="2"/>
  <c r="D656" i="2"/>
  <c r="Q656" i="2"/>
  <c r="E656" i="2"/>
  <c r="R656" i="2"/>
  <c r="F656" i="2"/>
  <c r="S656" i="2"/>
  <c r="G656" i="2"/>
  <c r="I657" i="2"/>
  <c r="O657" i="2"/>
  <c r="J657" i="2"/>
  <c r="K657" i="2"/>
  <c r="L657" i="2"/>
  <c r="M657" i="2"/>
  <c r="B657" i="2"/>
  <c r="C657" i="2"/>
  <c r="P657" i="2"/>
  <c r="D657" i="2"/>
  <c r="Q657" i="2"/>
  <c r="E657" i="2"/>
  <c r="R657" i="2"/>
  <c r="F657" i="2"/>
  <c r="S657" i="2"/>
  <c r="G657" i="2"/>
  <c r="I658" i="2"/>
  <c r="O658" i="2"/>
  <c r="J658" i="2"/>
  <c r="K658" i="2"/>
  <c r="L658" i="2"/>
  <c r="M658" i="2"/>
  <c r="B658" i="2"/>
  <c r="C658" i="2"/>
  <c r="P658" i="2"/>
  <c r="D658" i="2"/>
  <c r="Q658" i="2"/>
  <c r="E658" i="2"/>
  <c r="R658" i="2"/>
  <c r="F658" i="2"/>
  <c r="S658" i="2"/>
  <c r="G658" i="2"/>
  <c r="I659" i="2"/>
  <c r="O659" i="2"/>
  <c r="J659" i="2"/>
  <c r="K659" i="2"/>
  <c r="L659" i="2"/>
  <c r="M659" i="2"/>
  <c r="B659" i="2"/>
  <c r="C659" i="2"/>
  <c r="P659" i="2"/>
  <c r="D659" i="2"/>
  <c r="Q659" i="2"/>
  <c r="E659" i="2"/>
  <c r="R659" i="2"/>
  <c r="F659" i="2"/>
  <c r="S659" i="2"/>
  <c r="G659" i="2"/>
  <c r="I660" i="2"/>
  <c r="O660" i="2"/>
  <c r="J660" i="2"/>
  <c r="K660" i="2"/>
  <c r="L660" i="2"/>
  <c r="M660" i="2"/>
  <c r="B660" i="2"/>
  <c r="C660" i="2"/>
  <c r="P660" i="2"/>
  <c r="D660" i="2"/>
  <c r="Q660" i="2"/>
  <c r="E660" i="2"/>
  <c r="R660" i="2"/>
  <c r="F660" i="2"/>
  <c r="S660" i="2"/>
  <c r="G660" i="2"/>
  <c r="I661" i="2"/>
  <c r="O661" i="2"/>
  <c r="J661" i="2"/>
  <c r="K661" i="2"/>
  <c r="L661" i="2"/>
  <c r="M661" i="2"/>
  <c r="B661" i="2"/>
  <c r="C661" i="2"/>
  <c r="P661" i="2"/>
  <c r="D661" i="2"/>
  <c r="Q661" i="2"/>
  <c r="E661" i="2"/>
  <c r="R661" i="2"/>
  <c r="F661" i="2"/>
  <c r="S661" i="2"/>
  <c r="G661" i="2"/>
  <c r="I662" i="2"/>
  <c r="O662" i="2"/>
  <c r="J662" i="2"/>
  <c r="K662" i="2"/>
  <c r="L662" i="2"/>
  <c r="M662" i="2"/>
  <c r="B662" i="2"/>
  <c r="C662" i="2"/>
  <c r="P662" i="2"/>
  <c r="D662" i="2"/>
  <c r="Q662" i="2"/>
  <c r="E662" i="2"/>
  <c r="R662" i="2"/>
  <c r="F662" i="2"/>
  <c r="S662" i="2"/>
  <c r="G662" i="2"/>
  <c r="I663" i="2"/>
  <c r="O663" i="2"/>
  <c r="J663" i="2"/>
  <c r="K663" i="2"/>
  <c r="L663" i="2"/>
  <c r="M663" i="2"/>
  <c r="B663" i="2"/>
  <c r="C663" i="2"/>
  <c r="P663" i="2"/>
  <c r="D663" i="2"/>
  <c r="Q663" i="2"/>
  <c r="E663" i="2"/>
  <c r="R663" i="2"/>
  <c r="F663" i="2"/>
  <c r="S663" i="2"/>
  <c r="G663" i="2"/>
  <c r="I664" i="2"/>
  <c r="O664" i="2"/>
  <c r="J664" i="2"/>
  <c r="K664" i="2"/>
  <c r="L664" i="2"/>
  <c r="M664" i="2"/>
  <c r="B664" i="2"/>
  <c r="C664" i="2"/>
  <c r="P664" i="2"/>
  <c r="D664" i="2"/>
  <c r="Q664" i="2"/>
  <c r="E664" i="2"/>
  <c r="R664" i="2"/>
  <c r="F664" i="2"/>
  <c r="S664" i="2"/>
  <c r="G664" i="2"/>
  <c r="I665" i="2"/>
  <c r="O665" i="2"/>
  <c r="J665" i="2"/>
  <c r="K665" i="2"/>
  <c r="L665" i="2"/>
  <c r="M665" i="2"/>
  <c r="B665" i="2"/>
  <c r="C665" i="2"/>
  <c r="P665" i="2"/>
  <c r="D665" i="2"/>
  <c r="Q665" i="2"/>
  <c r="E665" i="2"/>
  <c r="R665" i="2"/>
  <c r="F665" i="2"/>
  <c r="S665" i="2"/>
  <c r="G665" i="2"/>
  <c r="I666" i="2"/>
  <c r="O666" i="2"/>
  <c r="J666" i="2"/>
  <c r="K666" i="2"/>
  <c r="L666" i="2"/>
  <c r="M666" i="2"/>
  <c r="B666" i="2"/>
  <c r="C666" i="2"/>
  <c r="P666" i="2"/>
  <c r="D666" i="2"/>
  <c r="Q666" i="2"/>
  <c r="E666" i="2"/>
  <c r="R666" i="2"/>
  <c r="F666" i="2"/>
  <c r="S666" i="2"/>
  <c r="G666" i="2"/>
  <c r="I667" i="2"/>
  <c r="O667" i="2"/>
  <c r="J667" i="2"/>
  <c r="K667" i="2"/>
  <c r="L667" i="2"/>
  <c r="M667" i="2"/>
  <c r="B667" i="2"/>
  <c r="C667" i="2"/>
  <c r="P667" i="2"/>
  <c r="D667" i="2"/>
  <c r="Q667" i="2"/>
  <c r="E667" i="2"/>
  <c r="R667" i="2"/>
  <c r="F667" i="2"/>
  <c r="S667" i="2"/>
  <c r="G667" i="2"/>
  <c r="I668" i="2"/>
  <c r="O668" i="2"/>
  <c r="J668" i="2"/>
  <c r="K668" i="2"/>
  <c r="L668" i="2"/>
  <c r="M668" i="2"/>
  <c r="B668" i="2"/>
  <c r="C668" i="2"/>
  <c r="P668" i="2"/>
  <c r="D668" i="2"/>
  <c r="Q668" i="2"/>
  <c r="E668" i="2"/>
  <c r="R668" i="2"/>
  <c r="F668" i="2"/>
  <c r="S668" i="2"/>
  <c r="G668" i="2"/>
  <c r="I669" i="2"/>
  <c r="O669" i="2"/>
  <c r="J669" i="2"/>
  <c r="K669" i="2"/>
  <c r="L669" i="2"/>
  <c r="M669" i="2"/>
  <c r="B669" i="2"/>
  <c r="C669" i="2"/>
  <c r="P669" i="2"/>
  <c r="D669" i="2"/>
  <c r="Q669" i="2"/>
  <c r="E669" i="2"/>
  <c r="R669" i="2"/>
  <c r="F669" i="2"/>
  <c r="S669" i="2"/>
  <c r="G669" i="2"/>
  <c r="I670" i="2"/>
  <c r="O670" i="2"/>
  <c r="J670" i="2"/>
  <c r="K670" i="2"/>
  <c r="L670" i="2"/>
  <c r="M670" i="2"/>
  <c r="B670" i="2"/>
  <c r="C670" i="2"/>
  <c r="P670" i="2"/>
  <c r="D670" i="2"/>
  <c r="Q670" i="2"/>
  <c r="E670" i="2"/>
  <c r="R670" i="2"/>
  <c r="F670" i="2"/>
  <c r="S670" i="2"/>
  <c r="G670" i="2"/>
  <c r="I671" i="2"/>
  <c r="O671" i="2"/>
  <c r="J671" i="2"/>
  <c r="K671" i="2"/>
  <c r="L671" i="2"/>
  <c r="M671" i="2"/>
  <c r="B671" i="2"/>
  <c r="C671" i="2"/>
  <c r="P671" i="2"/>
  <c r="D671" i="2"/>
  <c r="Q671" i="2"/>
  <c r="E671" i="2"/>
  <c r="R671" i="2"/>
  <c r="F671" i="2"/>
  <c r="S671" i="2"/>
  <c r="G671" i="2"/>
  <c r="I672" i="2"/>
  <c r="O672" i="2"/>
  <c r="J672" i="2"/>
  <c r="K672" i="2"/>
  <c r="L672" i="2"/>
  <c r="M672" i="2"/>
  <c r="B672" i="2"/>
  <c r="C672" i="2"/>
  <c r="P672" i="2"/>
  <c r="D672" i="2"/>
  <c r="Q672" i="2"/>
  <c r="E672" i="2"/>
  <c r="R672" i="2"/>
  <c r="F672" i="2"/>
  <c r="S672" i="2"/>
  <c r="G672" i="2"/>
  <c r="I673" i="2"/>
  <c r="O673" i="2"/>
  <c r="J673" i="2"/>
  <c r="K673" i="2"/>
  <c r="L673" i="2"/>
  <c r="M673" i="2"/>
  <c r="B673" i="2"/>
  <c r="C673" i="2"/>
  <c r="P673" i="2"/>
  <c r="D673" i="2"/>
  <c r="Q673" i="2"/>
  <c r="E673" i="2"/>
  <c r="R673" i="2"/>
  <c r="F673" i="2"/>
  <c r="S673" i="2"/>
  <c r="G673" i="2"/>
  <c r="I674" i="2"/>
  <c r="O674" i="2"/>
  <c r="J674" i="2"/>
  <c r="K674" i="2"/>
  <c r="L674" i="2"/>
  <c r="M674" i="2"/>
  <c r="B674" i="2"/>
  <c r="C674" i="2"/>
  <c r="P674" i="2"/>
  <c r="D674" i="2"/>
  <c r="Q674" i="2"/>
  <c r="E674" i="2"/>
  <c r="R674" i="2"/>
  <c r="F674" i="2"/>
  <c r="S674" i="2"/>
  <c r="G674" i="2"/>
  <c r="I675" i="2"/>
  <c r="O675" i="2"/>
  <c r="J675" i="2"/>
  <c r="K675" i="2"/>
  <c r="L675" i="2"/>
  <c r="M675" i="2"/>
  <c r="B675" i="2"/>
  <c r="C675" i="2"/>
  <c r="P675" i="2"/>
  <c r="D675" i="2"/>
  <c r="Q675" i="2"/>
  <c r="E675" i="2"/>
  <c r="R675" i="2"/>
  <c r="F675" i="2"/>
  <c r="S675" i="2"/>
  <c r="G675" i="2"/>
  <c r="I676" i="2"/>
  <c r="O676" i="2"/>
  <c r="J676" i="2"/>
  <c r="K676" i="2"/>
  <c r="L676" i="2"/>
  <c r="M676" i="2"/>
  <c r="B676" i="2"/>
  <c r="C676" i="2"/>
  <c r="P676" i="2"/>
  <c r="D676" i="2"/>
  <c r="Q676" i="2"/>
  <c r="E676" i="2"/>
  <c r="R676" i="2"/>
  <c r="F676" i="2"/>
  <c r="S676" i="2"/>
  <c r="G676" i="2"/>
  <c r="I677" i="2"/>
  <c r="O677" i="2"/>
  <c r="J677" i="2"/>
  <c r="K677" i="2"/>
  <c r="L677" i="2"/>
  <c r="M677" i="2"/>
  <c r="B677" i="2"/>
  <c r="C677" i="2"/>
  <c r="P677" i="2"/>
  <c r="D677" i="2"/>
  <c r="Q677" i="2"/>
  <c r="E677" i="2"/>
  <c r="R677" i="2"/>
  <c r="F677" i="2"/>
  <c r="S677" i="2"/>
  <c r="G677" i="2"/>
  <c r="I678" i="2"/>
  <c r="O678" i="2"/>
  <c r="J678" i="2"/>
  <c r="K678" i="2"/>
  <c r="L678" i="2"/>
  <c r="M678" i="2"/>
  <c r="B678" i="2"/>
  <c r="C678" i="2"/>
  <c r="P678" i="2"/>
  <c r="D678" i="2"/>
  <c r="Q678" i="2"/>
  <c r="E678" i="2"/>
  <c r="R678" i="2"/>
  <c r="F678" i="2"/>
  <c r="S678" i="2"/>
  <c r="G678" i="2"/>
  <c r="I679" i="2"/>
  <c r="O679" i="2"/>
  <c r="J679" i="2"/>
  <c r="K679" i="2"/>
  <c r="L679" i="2"/>
  <c r="M679" i="2"/>
  <c r="B679" i="2"/>
  <c r="C679" i="2"/>
  <c r="P679" i="2"/>
  <c r="D679" i="2"/>
  <c r="Q679" i="2"/>
  <c r="E679" i="2"/>
  <c r="R679" i="2"/>
  <c r="F679" i="2"/>
  <c r="S679" i="2"/>
  <c r="G679" i="2"/>
  <c r="I680" i="2"/>
  <c r="O680" i="2"/>
  <c r="J680" i="2"/>
  <c r="K680" i="2"/>
  <c r="L680" i="2"/>
  <c r="M680" i="2"/>
  <c r="B680" i="2"/>
  <c r="C680" i="2"/>
  <c r="P680" i="2"/>
  <c r="D680" i="2"/>
  <c r="Q680" i="2"/>
  <c r="E680" i="2"/>
  <c r="R680" i="2"/>
  <c r="F680" i="2"/>
  <c r="S680" i="2"/>
  <c r="G680" i="2"/>
  <c r="I681" i="2"/>
  <c r="O681" i="2"/>
  <c r="J681" i="2"/>
  <c r="K681" i="2"/>
  <c r="L681" i="2"/>
  <c r="M681" i="2"/>
  <c r="B681" i="2"/>
  <c r="C681" i="2"/>
  <c r="P681" i="2"/>
  <c r="D681" i="2"/>
  <c r="Q681" i="2"/>
  <c r="E681" i="2"/>
  <c r="R681" i="2"/>
  <c r="F681" i="2"/>
  <c r="S681" i="2"/>
  <c r="G681" i="2"/>
  <c r="I682" i="2"/>
  <c r="O682" i="2"/>
  <c r="J682" i="2"/>
  <c r="K682" i="2"/>
  <c r="L682" i="2"/>
  <c r="M682" i="2"/>
  <c r="B682" i="2"/>
  <c r="C682" i="2"/>
  <c r="P682" i="2"/>
  <c r="D682" i="2"/>
  <c r="Q682" i="2"/>
  <c r="E682" i="2"/>
  <c r="R682" i="2"/>
  <c r="F682" i="2"/>
  <c r="S682" i="2"/>
  <c r="G682" i="2"/>
  <c r="I683" i="2"/>
  <c r="O683" i="2"/>
  <c r="J683" i="2"/>
  <c r="K683" i="2"/>
  <c r="L683" i="2"/>
  <c r="M683" i="2"/>
  <c r="B683" i="2"/>
  <c r="C683" i="2"/>
  <c r="P683" i="2"/>
  <c r="D683" i="2"/>
  <c r="Q683" i="2"/>
  <c r="E683" i="2"/>
  <c r="R683" i="2"/>
  <c r="F683" i="2"/>
  <c r="S683" i="2"/>
  <c r="G683" i="2"/>
  <c r="I684" i="2"/>
  <c r="O684" i="2"/>
  <c r="J684" i="2"/>
  <c r="K684" i="2"/>
  <c r="L684" i="2"/>
  <c r="M684" i="2"/>
  <c r="B684" i="2"/>
  <c r="C684" i="2"/>
  <c r="P684" i="2"/>
  <c r="D684" i="2"/>
  <c r="Q684" i="2"/>
  <c r="E684" i="2"/>
  <c r="R684" i="2"/>
  <c r="F684" i="2"/>
  <c r="S684" i="2"/>
  <c r="G684" i="2"/>
  <c r="I685" i="2"/>
  <c r="O685" i="2"/>
  <c r="J685" i="2"/>
  <c r="K685" i="2"/>
  <c r="L685" i="2"/>
  <c r="M685" i="2"/>
  <c r="B685" i="2"/>
  <c r="C685" i="2"/>
  <c r="P685" i="2"/>
  <c r="D685" i="2"/>
  <c r="Q685" i="2"/>
  <c r="E685" i="2"/>
  <c r="R685" i="2"/>
  <c r="F685" i="2"/>
  <c r="S685" i="2"/>
  <c r="G685" i="2"/>
  <c r="I686" i="2"/>
  <c r="O686" i="2"/>
  <c r="J686" i="2"/>
  <c r="K686" i="2"/>
  <c r="L686" i="2"/>
  <c r="M686" i="2"/>
  <c r="B686" i="2"/>
  <c r="C686" i="2"/>
  <c r="P686" i="2"/>
  <c r="D686" i="2"/>
  <c r="Q686" i="2"/>
  <c r="E686" i="2"/>
  <c r="R686" i="2"/>
  <c r="F686" i="2"/>
  <c r="S686" i="2"/>
  <c r="G686" i="2"/>
  <c r="I687" i="2"/>
  <c r="O687" i="2"/>
  <c r="J687" i="2"/>
  <c r="K687" i="2"/>
  <c r="L687" i="2"/>
  <c r="M687" i="2"/>
  <c r="B687" i="2"/>
  <c r="C687" i="2"/>
  <c r="P687" i="2"/>
  <c r="D687" i="2"/>
  <c r="Q687" i="2"/>
  <c r="E687" i="2"/>
  <c r="R687" i="2"/>
  <c r="F687" i="2"/>
  <c r="S687" i="2"/>
  <c r="G687" i="2"/>
  <c r="I688" i="2"/>
  <c r="O688" i="2"/>
  <c r="J688" i="2"/>
  <c r="K688" i="2"/>
  <c r="L688" i="2"/>
  <c r="M688" i="2"/>
  <c r="B688" i="2"/>
  <c r="C688" i="2"/>
  <c r="P688" i="2"/>
  <c r="D688" i="2"/>
  <c r="Q688" i="2"/>
  <c r="E688" i="2"/>
  <c r="R688" i="2"/>
  <c r="F688" i="2"/>
  <c r="S688" i="2"/>
  <c r="G688" i="2"/>
  <c r="I689" i="2"/>
  <c r="O689" i="2"/>
  <c r="J689" i="2"/>
  <c r="K689" i="2"/>
  <c r="L689" i="2"/>
  <c r="M689" i="2"/>
  <c r="B689" i="2"/>
  <c r="C689" i="2"/>
  <c r="P689" i="2"/>
  <c r="D689" i="2"/>
  <c r="Q689" i="2"/>
  <c r="E689" i="2"/>
  <c r="R689" i="2"/>
  <c r="F689" i="2"/>
  <c r="S689" i="2"/>
  <c r="G689" i="2"/>
  <c r="I690" i="2"/>
  <c r="O690" i="2"/>
  <c r="J690" i="2"/>
  <c r="K690" i="2"/>
  <c r="L690" i="2"/>
  <c r="M690" i="2"/>
  <c r="B690" i="2"/>
  <c r="C690" i="2"/>
  <c r="P690" i="2"/>
  <c r="D690" i="2"/>
  <c r="Q690" i="2"/>
  <c r="E690" i="2"/>
  <c r="R690" i="2"/>
  <c r="F690" i="2"/>
  <c r="S690" i="2"/>
  <c r="G690" i="2"/>
  <c r="I691" i="2"/>
  <c r="O691" i="2"/>
  <c r="J691" i="2"/>
  <c r="K691" i="2"/>
  <c r="L691" i="2"/>
  <c r="M691" i="2"/>
  <c r="B691" i="2"/>
  <c r="C691" i="2"/>
  <c r="P691" i="2"/>
  <c r="D691" i="2"/>
  <c r="Q691" i="2"/>
  <c r="E691" i="2"/>
  <c r="R691" i="2"/>
  <c r="F691" i="2"/>
  <c r="S691" i="2"/>
  <c r="G691" i="2"/>
  <c r="I692" i="2"/>
  <c r="O692" i="2"/>
  <c r="J692" i="2"/>
  <c r="K692" i="2"/>
  <c r="L692" i="2"/>
  <c r="M692" i="2"/>
  <c r="B692" i="2"/>
  <c r="C692" i="2"/>
  <c r="P692" i="2"/>
  <c r="D692" i="2"/>
  <c r="Q692" i="2"/>
  <c r="E692" i="2"/>
  <c r="R692" i="2"/>
  <c r="F692" i="2"/>
  <c r="S692" i="2"/>
  <c r="G692" i="2"/>
  <c r="I693" i="2"/>
  <c r="O693" i="2"/>
  <c r="J693" i="2"/>
  <c r="K693" i="2"/>
  <c r="L693" i="2"/>
  <c r="M693" i="2"/>
  <c r="B693" i="2"/>
  <c r="C693" i="2"/>
  <c r="P693" i="2"/>
  <c r="D693" i="2"/>
  <c r="Q693" i="2"/>
  <c r="E693" i="2"/>
  <c r="R693" i="2"/>
  <c r="F693" i="2"/>
  <c r="S693" i="2"/>
  <c r="G693" i="2"/>
  <c r="I694" i="2"/>
  <c r="O694" i="2"/>
  <c r="J694" i="2"/>
  <c r="K694" i="2"/>
  <c r="L694" i="2"/>
  <c r="M694" i="2"/>
  <c r="B694" i="2"/>
  <c r="C694" i="2"/>
  <c r="P694" i="2"/>
  <c r="D694" i="2"/>
  <c r="Q694" i="2"/>
  <c r="E694" i="2"/>
  <c r="R694" i="2"/>
  <c r="F694" i="2"/>
  <c r="S694" i="2"/>
  <c r="G694" i="2"/>
  <c r="I695" i="2"/>
  <c r="O695" i="2"/>
  <c r="J695" i="2"/>
  <c r="K695" i="2"/>
  <c r="L695" i="2"/>
  <c r="M695" i="2"/>
  <c r="B695" i="2"/>
  <c r="C695" i="2"/>
  <c r="P695" i="2"/>
  <c r="D695" i="2"/>
  <c r="Q695" i="2"/>
  <c r="E695" i="2"/>
  <c r="R695" i="2"/>
  <c r="F695" i="2"/>
  <c r="S695" i="2"/>
  <c r="G695" i="2"/>
  <c r="I696" i="2"/>
  <c r="O696" i="2"/>
  <c r="J696" i="2"/>
  <c r="K696" i="2"/>
  <c r="L696" i="2"/>
  <c r="M696" i="2"/>
  <c r="B696" i="2"/>
  <c r="C696" i="2"/>
  <c r="P696" i="2"/>
  <c r="D696" i="2"/>
  <c r="Q696" i="2"/>
  <c r="E696" i="2"/>
  <c r="R696" i="2"/>
  <c r="F696" i="2"/>
  <c r="S696" i="2"/>
  <c r="G696" i="2"/>
  <c r="I697" i="2"/>
  <c r="O697" i="2"/>
  <c r="J697" i="2"/>
  <c r="K697" i="2"/>
  <c r="L697" i="2"/>
  <c r="M697" i="2"/>
  <c r="B697" i="2"/>
  <c r="C697" i="2"/>
  <c r="P697" i="2"/>
  <c r="D697" i="2"/>
  <c r="Q697" i="2"/>
  <c r="E697" i="2"/>
  <c r="R697" i="2"/>
  <c r="F697" i="2"/>
  <c r="S697" i="2"/>
  <c r="G697" i="2"/>
  <c r="I698" i="2"/>
  <c r="O698" i="2"/>
  <c r="J698" i="2"/>
  <c r="K698" i="2"/>
  <c r="L698" i="2"/>
  <c r="M698" i="2"/>
  <c r="B698" i="2"/>
  <c r="C698" i="2"/>
  <c r="P698" i="2"/>
  <c r="D698" i="2"/>
  <c r="Q698" i="2"/>
  <c r="E698" i="2"/>
  <c r="R698" i="2"/>
  <c r="F698" i="2"/>
  <c r="S698" i="2"/>
  <c r="G698" i="2"/>
  <c r="I699" i="2"/>
  <c r="O699" i="2"/>
  <c r="J699" i="2"/>
  <c r="K699" i="2"/>
  <c r="L699" i="2"/>
  <c r="M699" i="2"/>
  <c r="B699" i="2"/>
  <c r="C699" i="2"/>
  <c r="P699" i="2"/>
  <c r="D699" i="2"/>
  <c r="Q699" i="2"/>
  <c r="E699" i="2"/>
  <c r="R699" i="2"/>
  <c r="F699" i="2"/>
  <c r="S699" i="2"/>
  <c r="G699" i="2"/>
  <c r="I700" i="2"/>
  <c r="O700" i="2"/>
  <c r="J700" i="2"/>
  <c r="K700" i="2"/>
  <c r="L700" i="2"/>
  <c r="M700" i="2"/>
  <c r="B700" i="2"/>
  <c r="C700" i="2"/>
  <c r="P700" i="2"/>
  <c r="D700" i="2"/>
  <c r="Q700" i="2"/>
  <c r="E700" i="2"/>
  <c r="R700" i="2"/>
  <c r="F700" i="2"/>
  <c r="S700" i="2"/>
  <c r="G700" i="2"/>
  <c r="I701" i="2"/>
  <c r="O701" i="2"/>
  <c r="J701" i="2"/>
  <c r="K701" i="2"/>
  <c r="L701" i="2"/>
  <c r="M701" i="2"/>
  <c r="B701" i="2"/>
  <c r="C701" i="2"/>
  <c r="P701" i="2"/>
  <c r="D701" i="2"/>
  <c r="Q701" i="2"/>
  <c r="E701" i="2"/>
  <c r="R701" i="2"/>
  <c r="F701" i="2"/>
  <c r="S701" i="2"/>
  <c r="G701" i="2"/>
  <c r="I702" i="2"/>
  <c r="O702" i="2"/>
  <c r="J702" i="2"/>
  <c r="K702" i="2"/>
  <c r="L702" i="2"/>
  <c r="M702" i="2"/>
  <c r="B702" i="2"/>
  <c r="C702" i="2"/>
  <c r="P702" i="2"/>
  <c r="D702" i="2"/>
  <c r="Q702" i="2"/>
  <c r="E702" i="2"/>
  <c r="R702" i="2"/>
  <c r="F702" i="2"/>
  <c r="S702" i="2"/>
  <c r="G702" i="2"/>
  <c r="I703" i="2"/>
  <c r="O703" i="2"/>
  <c r="J703" i="2"/>
  <c r="K703" i="2"/>
  <c r="L703" i="2"/>
  <c r="M703" i="2"/>
  <c r="B703" i="2"/>
  <c r="C703" i="2"/>
  <c r="P703" i="2"/>
  <c r="D703" i="2"/>
  <c r="Q703" i="2"/>
  <c r="E703" i="2"/>
  <c r="R703" i="2"/>
  <c r="F703" i="2"/>
  <c r="S703" i="2"/>
  <c r="G703" i="2"/>
  <c r="I704" i="2"/>
  <c r="O704" i="2"/>
  <c r="J704" i="2"/>
  <c r="K704" i="2"/>
  <c r="L704" i="2"/>
  <c r="M704" i="2"/>
  <c r="B704" i="2"/>
  <c r="C704" i="2"/>
  <c r="P704" i="2"/>
  <c r="D704" i="2"/>
  <c r="Q704" i="2"/>
  <c r="E704" i="2"/>
  <c r="R704" i="2"/>
  <c r="F704" i="2"/>
  <c r="S704" i="2"/>
  <c r="G704" i="2"/>
  <c r="I705" i="2"/>
  <c r="O705" i="2"/>
  <c r="J705" i="2"/>
  <c r="K705" i="2"/>
  <c r="L705" i="2"/>
  <c r="M705" i="2"/>
  <c r="B705" i="2"/>
  <c r="C705" i="2"/>
  <c r="P705" i="2"/>
  <c r="D705" i="2"/>
  <c r="Q705" i="2"/>
  <c r="E705" i="2"/>
  <c r="R705" i="2"/>
  <c r="F705" i="2"/>
  <c r="S705" i="2"/>
  <c r="G705" i="2"/>
  <c r="I706" i="2"/>
  <c r="O706" i="2"/>
  <c r="J706" i="2"/>
  <c r="K706" i="2"/>
  <c r="L706" i="2"/>
  <c r="M706" i="2"/>
  <c r="B706" i="2"/>
  <c r="C706" i="2"/>
  <c r="P706" i="2"/>
  <c r="D706" i="2"/>
  <c r="Q706" i="2"/>
  <c r="E706" i="2"/>
  <c r="R706" i="2"/>
  <c r="F706" i="2"/>
  <c r="S706" i="2"/>
  <c r="G706" i="2"/>
  <c r="I707" i="2"/>
  <c r="O707" i="2"/>
  <c r="J707" i="2"/>
  <c r="K707" i="2"/>
  <c r="L707" i="2"/>
  <c r="M707" i="2"/>
  <c r="B707" i="2"/>
  <c r="C707" i="2"/>
  <c r="P707" i="2"/>
  <c r="D707" i="2"/>
  <c r="Q707" i="2"/>
  <c r="E707" i="2"/>
  <c r="R707" i="2"/>
  <c r="F707" i="2"/>
  <c r="S707" i="2"/>
  <c r="G707" i="2"/>
  <c r="I708" i="2"/>
  <c r="O708" i="2"/>
  <c r="J708" i="2"/>
  <c r="K708" i="2"/>
  <c r="L708" i="2"/>
  <c r="M708" i="2"/>
  <c r="B708" i="2"/>
  <c r="C708" i="2"/>
  <c r="P708" i="2"/>
  <c r="D708" i="2"/>
  <c r="Q708" i="2"/>
  <c r="E708" i="2"/>
  <c r="R708" i="2"/>
  <c r="F708" i="2"/>
  <c r="S708" i="2"/>
  <c r="G708" i="2"/>
  <c r="I709" i="2"/>
  <c r="O709" i="2"/>
  <c r="J709" i="2"/>
  <c r="K709" i="2"/>
  <c r="L709" i="2"/>
  <c r="M709" i="2"/>
  <c r="B709" i="2"/>
  <c r="C709" i="2"/>
  <c r="P709" i="2"/>
  <c r="D709" i="2"/>
  <c r="Q709" i="2"/>
  <c r="E709" i="2"/>
  <c r="R709" i="2"/>
  <c r="F709" i="2"/>
  <c r="S709" i="2"/>
  <c r="G709" i="2"/>
  <c r="I710" i="2"/>
  <c r="O710" i="2"/>
  <c r="J710" i="2"/>
  <c r="K710" i="2"/>
  <c r="L710" i="2"/>
  <c r="M710" i="2"/>
  <c r="B710" i="2"/>
  <c r="C710" i="2"/>
  <c r="P710" i="2"/>
  <c r="D710" i="2"/>
  <c r="Q710" i="2"/>
  <c r="E710" i="2"/>
  <c r="R710" i="2"/>
  <c r="F710" i="2"/>
  <c r="S710" i="2"/>
  <c r="G710" i="2"/>
  <c r="I711" i="2"/>
  <c r="O711" i="2"/>
  <c r="J711" i="2"/>
  <c r="K711" i="2"/>
  <c r="L711" i="2"/>
  <c r="M711" i="2"/>
  <c r="B711" i="2"/>
  <c r="C711" i="2"/>
  <c r="P711" i="2"/>
  <c r="D711" i="2"/>
  <c r="Q711" i="2"/>
  <c r="E711" i="2"/>
  <c r="R711" i="2"/>
  <c r="F711" i="2"/>
  <c r="S711" i="2"/>
  <c r="G711" i="2"/>
  <c r="I712" i="2"/>
  <c r="O712" i="2"/>
  <c r="J712" i="2"/>
  <c r="K712" i="2"/>
  <c r="L712" i="2"/>
  <c r="M712" i="2"/>
  <c r="B712" i="2"/>
  <c r="C712" i="2"/>
  <c r="P712" i="2"/>
  <c r="D712" i="2"/>
  <c r="Q712" i="2"/>
  <c r="E712" i="2"/>
  <c r="R712" i="2"/>
  <c r="F712" i="2"/>
  <c r="S712" i="2"/>
  <c r="G712" i="2"/>
  <c r="I713" i="2"/>
  <c r="O713" i="2"/>
  <c r="J713" i="2"/>
  <c r="K713" i="2"/>
  <c r="L713" i="2"/>
  <c r="M713" i="2"/>
  <c r="B713" i="2"/>
  <c r="C713" i="2"/>
  <c r="P713" i="2"/>
  <c r="D713" i="2"/>
  <c r="Q713" i="2"/>
  <c r="E713" i="2"/>
  <c r="R713" i="2"/>
  <c r="F713" i="2"/>
  <c r="S713" i="2"/>
  <c r="G713" i="2"/>
  <c r="I714" i="2"/>
  <c r="O714" i="2"/>
  <c r="J714" i="2"/>
  <c r="K714" i="2"/>
  <c r="L714" i="2"/>
  <c r="M714" i="2"/>
  <c r="B714" i="2"/>
  <c r="C714" i="2"/>
  <c r="P714" i="2"/>
  <c r="D714" i="2"/>
  <c r="Q714" i="2"/>
  <c r="E714" i="2"/>
  <c r="R714" i="2"/>
  <c r="F714" i="2"/>
  <c r="S714" i="2"/>
  <c r="G714" i="2"/>
  <c r="I715" i="2"/>
  <c r="O715" i="2"/>
  <c r="J715" i="2"/>
  <c r="K715" i="2"/>
  <c r="L715" i="2"/>
  <c r="M715" i="2"/>
  <c r="B715" i="2"/>
  <c r="C715" i="2"/>
  <c r="P715" i="2"/>
  <c r="D715" i="2"/>
  <c r="Q715" i="2"/>
  <c r="E715" i="2"/>
  <c r="R715" i="2"/>
  <c r="F715" i="2"/>
  <c r="S715" i="2"/>
  <c r="G715" i="2"/>
  <c r="I716" i="2"/>
  <c r="O716" i="2"/>
  <c r="J716" i="2"/>
  <c r="K716" i="2"/>
  <c r="L716" i="2"/>
  <c r="M716" i="2"/>
  <c r="B716" i="2"/>
  <c r="C716" i="2"/>
  <c r="P716" i="2"/>
  <c r="D716" i="2"/>
  <c r="Q716" i="2"/>
  <c r="E716" i="2"/>
  <c r="R716" i="2"/>
  <c r="F716" i="2"/>
  <c r="S716" i="2"/>
  <c r="G716" i="2"/>
  <c r="I717" i="2"/>
  <c r="O717" i="2"/>
  <c r="J717" i="2"/>
  <c r="K717" i="2"/>
  <c r="L717" i="2"/>
  <c r="M717" i="2"/>
  <c r="B717" i="2"/>
  <c r="C717" i="2"/>
  <c r="P717" i="2"/>
  <c r="D717" i="2"/>
  <c r="Q717" i="2"/>
  <c r="E717" i="2"/>
  <c r="R717" i="2"/>
  <c r="F717" i="2"/>
  <c r="S717" i="2"/>
  <c r="G717" i="2"/>
  <c r="I718" i="2"/>
  <c r="O718" i="2"/>
  <c r="J718" i="2"/>
  <c r="K718" i="2"/>
  <c r="L718" i="2"/>
  <c r="M718" i="2"/>
  <c r="B718" i="2"/>
  <c r="C718" i="2"/>
  <c r="P718" i="2"/>
  <c r="D718" i="2"/>
  <c r="Q718" i="2"/>
  <c r="E718" i="2"/>
  <c r="R718" i="2"/>
  <c r="F718" i="2"/>
  <c r="S718" i="2"/>
  <c r="G718" i="2"/>
  <c r="I719" i="2"/>
  <c r="O719" i="2"/>
  <c r="J719" i="2"/>
  <c r="K719" i="2"/>
  <c r="L719" i="2"/>
  <c r="M719" i="2"/>
  <c r="B719" i="2"/>
  <c r="C719" i="2"/>
  <c r="P719" i="2"/>
  <c r="D719" i="2"/>
  <c r="Q719" i="2"/>
  <c r="E719" i="2"/>
  <c r="R719" i="2"/>
  <c r="F719" i="2"/>
  <c r="S719" i="2"/>
  <c r="G719" i="2"/>
  <c r="I720" i="2"/>
  <c r="O720" i="2"/>
  <c r="J720" i="2"/>
  <c r="K720" i="2"/>
  <c r="L720" i="2"/>
  <c r="M720" i="2"/>
  <c r="B720" i="2"/>
  <c r="C720" i="2"/>
  <c r="P720" i="2"/>
  <c r="D720" i="2"/>
  <c r="Q720" i="2"/>
  <c r="E720" i="2"/>
  <c r="R720" i="2"/>
  <c r="F720" i="2"/>
  <c r="S720" i="2"/>
  <c r="G720" i="2"/>
  <c r="I721" i="2"/>
  <c r="O721" i="2"/>
  <c r="J721" i="2"/>
  <c r="K721" i="2"/>
  <c r="L721" i="2"/>
  <c r="M721" i="2"/>
  <c r="B721" i="2"/>
  <c r="C721" i="2"/>
  <c r="P721" i="2"/>
  <c r="D721" i="2"/>
  <c r="Q721" i="2"/>
  <c r="E721" i="2"/>
  <c r="R721" i="2"/>
  <c r="F721" i="2"/>
  <c r="S721" i="2"/>
  <c r="G721" i="2"/>
  <c r="I722" i="2"/>
  <c r="O722" i="2"/>
  <c r="J722" i="2"/>
  <c r="K722" i="2"/>
  <c r="L722" i="2"/>
  <c r="M722" i="2"/>
  <c r="B722" i="2"/>
  <c r="C722" i="2"/>
  <c r="P722" i="2"/>
  <c r="D722" i="2"/>
  <c r="Q722" i="2"/>
  <c r="E722" i="2"/>
  <c r="R722" i="2"/>
  <c r="F722" i="2"/>
  <c r="S722" i="2"/>
  <c r="G722" i="2"/>
  <c r="I723" i="2"/>
  <c r="O723" i="2"/>
  <c r="J723" i="2"/>
  <c r="K723" i="2"/>
  <c r="L723" i="2"/>
  <c r="M723" i="2"/>
  <c r="B723" i="2"/>
  <c r="C723" i="2"/>
  <c r="P723" i="2"/>
  <c r="D723" i="2"/>
  <c r="Q723" i="2"/>
  <c r="E723" i="2"/>
  <c r="R723" i="2"/>
  <c r="F723" i="2"/>
  <c r="S723" i="2"/>
  <c r="G723" i="2"/>
  <c r="I724" i="2"/>
  <c r="O724" i="2"/>
  <c r="J724" i="2"/>
  <c r="K724" i="2"/>
  <c r="L724" i="2"/>
  <c r="M724" i="2"/>
  <c r="B724" i="2"/>
  <c r="C724" i="2"/>
  <c r="P724" i="2"/>
  <c r="D724" i="2"/>
  <c r="Q724" i="2"/>
  <c r="E724" i="2"/>
  <c r="R724" i="2"/>
  <c r="F724" i="2"/>
  <c r="S724" i="2"/>
  <c r="G724" i="2"/>
  <c r="I725" i="2"/>
  <c r="O725" i="2"/>
  <c r="J725" i="2"/>
  <c r="K725" i="2"/>
  <c r="L725" i="2"/>
  <c r="M725" i="2"/>
  <c r="B725" i="2"/>
  <c r="C725" i="2"/>
  <c r="P725" i="2"/>
  <c r="D725" i="2"/>
  <c r="Q725" i="2"/>
  <c r="E725" i="2"/>
  <c r="R725" i="2"/>
  <c r="F725" i="2"/>
  <c r="S725" i="2"/>
  <c r="G725" i="2"/>
  <c r="I726" i="2"/>
  <c r="O726" i="2"/>
  <c r="J726" i="2"/>
  <c r="K726" i="2"/>
  <c r="L726" i="2"/>
  <c r="M726" i="2"/>
  <c r="B726" i="2"/>
  <c r="C726" i="2"/>
  <c r="P726" i="2"/>
  <c r="D726" i="2"/>
  <c r="Q726" i="2"/>
  <c r="E726" i="2"/>
  <c r="R726" i="2"/>
  <c r="F726" i="2"/>
  <c r="S726" i="2"/>
  <c r="G726" i="2"/>
  <c r="I727" i="2"/>
  <c r="O727" i="2"/>
  <c r="J727" i="2"/>
  <c r="K727" i="2"/>
  <c r="L727" i="2"/>
  <c r="M727" i="2"/>
  <c r="B727" i="2"/>
  <c r="C727" i="2"/>
  <c r="P727" i="2"/>
  <c r="D727" i="2"/>
  <c r="Q727" i="2"/>
  <c r="E727" i="2"/>
  <c r="R727" i="2"/>
  <c r="F727" i="2"/>
  <c r="S727" i="2"/>
  <c r="G727" i="2"/>
  <c r="I728" i="2"/>
  <c r="O728" i="2"/>
  <c r="J728" i="2"/>
  <c r="K728" i="2"/>
  <c r="L728" i="2"/>
  <c r="M728" i="2"/>
  <c r="B728" i="2"/>
  <c r="C728" i="2"/>
  <c r="P728" i="2"/>
  <c r="D728" i="2"/>
  <c r="Q728" i="2"/>
  <c r="E728" i="2"/>
  <c r="R728" i="2"/>
  <c r="F728" i="2"/>
  <c r="S728" i="2"/>
  <c r="G728" i="2"/>
  <c r="I729" i="2"/>
  <c r="O729" i="2"/>
  <c r="J729" i="2"/>
  <c r="K729" i="2"/>
  <c r="L729" i="2"/>
  <c r="M729" i="2"/>
  <c r="B729" i="2"/>
  <c r="C729" i="2"/>
  <c r="P729" i="2"/>
  <c r="D729" i="2"/>
  <c r="Q729" i="2"/>
  <c r="E729" i="2"/>
  <c r="R729" i="2"/>
  <c r="F729" i="2"/>
  <c r="S729" i="2"/>
  <c r="G729" i="2"/>
  <c r="I730" i="2"/>
  <c r="O730" i="2"/>
  <c r="J730" i="2"/>
  <c r="K730" i="2"/>
  <c r="L730" i="2"/>
  <c r="M730" i="2"/>
  <c r="B730" i="2"/>
  <c r="C730" i="2"/>
  <c r="P730" i="2"/>
  <c r="D730" i="2"/>
  <c r="Q730" i="2"/>
  <c r="E730" i="2"/>
  <c r="R730" i="2"/>
  <c r="F730" i="2"/>
  <c r="S730" i="2"/>
  <c r="G730" i="2"/>
  <c r="I731" i="2"/>
  <c r="O731" i="2"/>
  <c r="J731" i="2"/>
  <c r="K731" i="2"/>
  <c r="L731" i="2"/>
  <c r="M731" i="2"/>
  <c r="B731" i="2"/>
  <c r="C731" i="2"/>
  <c r="P731" i="2"/>
  <c r="D731" i="2"/>
  <c r="Q731" i="2"/>
  <c r="E731" i="2"/>
  <c r="R731" i="2"/>
  <c r="F731" i="2"/>
  <c r="S731" i="2"/>
  <c r="G731" i="2"/>
  <c r="I732" i="2"/>
  <c r="O732" i="2"/>
  <c r="J732" i="2"/>
  <c r="K732" i="2"/>
  <c r="L732" i="2"/>
  <c r="M732" i="2"/>
  <c r="B732" i="2"/>
  <c r="C732" i="2"/>
  <c r="P732" i="2"/>
  <c r="D732" i="2"/>
  <c r="Q732" i="2"/>
  <c r="E732" i="2"/>
  <c r="R732" i="2"/>
  <c r="F732" i="2"/>
  <c r="S732" i="2"/>
  <c r="G732" i="2"/>
  <c r="I733" i="2"/>
  <c r="O733" i="2"/>
  <c r="J733" i="2"/>
  <c r="K733" i="2"/>
  <c r="L733" i="2"/>
  <c r="M733" i="2"/>
  <c r="B733" i="2"/>
  <c r="C733" i="2"/>
  <c r="P733" i="2"/>
  <c r="D733" i="2"/>
  <c r="Q733" i="2"/>
  <c r="E733" i="2"/>
  <c r="R733" i="2"/>
  <c r="F733" i="2"/>
  <c r="S733" i="2"/>
  <c r="G733" i="2"/>
  <c r="I734" i="2"/>
  <c r="O734" i="2"/>
  <c r="J734" i="2"/>
  <c r="K734" i="2"/>
  <c r="L734" i="2"/>
  <c r="M734" i="2"/>
  <c r="B734" i="2"/>
  <c r="C734" i="2"/>
  <c r="P734" i="2"/>
  <c r="D734" i="2"/>
  <c r="Q734" i="2"/>
  <c r="E734" i="2"/>
  <c r="R734" i="2"/>
  <c r="F734" i="2"/>
  <c r="S734" i="2"/>
  <c r="G734" i="2"/>
  <c r="I735" i="2"/>
  <c r="O735" i="2"/>
  <c r="J735" i="2"/>
  <c r="K735" i="2"/>
  <c r="L735" i="2"/>
  <c r="M735" i="2"/>
  <c r="B735" i="2"/>
  <c r="C735" i="2"/>
  <c r="P735" i="2"/>
  <c r="D735" i="2"/>
  <c r="Q735" i="2"/>
  <c r="E735" i="2"/>
  <c r="R735" i="2"/>
  <c r="F735" i="2"/>
  <c r="S735" i="2"/>
  <c r="G735" i="2"/>
  <c r="I736" i="2"/>
  <c r="O736" i="2"/>
  <c r="J736" i="2"/>
  <c r="K736" i="2"/>
  <c r="L736" i="2"/>
  <c r="M736" i="2"/>
  <c r="B736" i="2"/>
  <c r="C736" i="2"/>
  <c r="P736" i="2"/>
  <c r="D736" i="2"/>
  <c r="Q736" i="2"/>
  <c r="E736" i="2"/>
  <c r="R736" i="2"/>
  <c r="F736" i="2"/>
  <c r="S736" i="2"/>
  <c r="G736" i="2"/>
  <c r="I737" i="2"/>
  <c r="O737" i="2"/>
  <c r="J737" i="2"/>
  <c r="K737" i="2"/>
  <c r="L737" i="2"/>
  <c r="M737" i="2"/>
  <c r="B737" i="2"/>
  <c r="C737" i="2"/>
  <c r="P737" i="2"/>
  <c r="D737" i="2"/>
  <c r="Q737" i="2"/>
  <c r="E737" i="2"/>
  <c r="R737" i="2"/>
  <c r="F737" i="2"/>
  <c r="S737" i="2"/>
  <c r="G737" i="2"/>
  <c r="I738" i="2"/>
  <c r="O738" i="2"/>
  <c r="J738" i="2"/>
  <c r="K738" i="2"/>
  <c r="L738" i="2"/>
  <c r="M738" i="2"/>
  <c r="B738" i="2"/>
  <c r="C738" i="2"/>
  <c r="P738" i="2"/>
  <c r="D738" i="2"/>
  <c r="Q738" i="2"/>
  <c r="E738" i="2"/>
  <c r="R738" i="2"/>
  <c r="F738" i="2"/>
  <c r="S738" i="2"/>
  <c r="G738" i="2"/>
  <c r="I739" i="2"/>
  <c r="O739" i="2"/>
  <c r="J739" i="2"/>
  <c r="K739" i="2"/>
  <c r="L739" i="2"/>
  <c r="M739" i="2"/>
  <c r="B739" i="2"/>
  <c r="C739" i="2"/>
  <c r="P739" i="2"/>
  <c r="D739" i="2"/>
  <c r="Q739" i="2"/>
  <c r="E739" i="2"/>
  <c r="R739" i="2"/>
  <c r="F739" i="2"/>
  <c r="S739" i="2"/>
  <c r="G739" i="2"/>
  <c r="I740" i="2"/>
  <c r="O740" i="2"/>
  <c r="J740" i="2"/>
  <c r="K740" i="2"/>
  <c r="L740" i="2"/>
  <c r="M740" i="2"/>
  <c r="B740" i="2"/>
  <c r="C740" i="2"/>
  <c r="P740" i="2"/>
  <c r="D740" i="2"/>
  <c r="Q740" i="2"/>
  <c r="E740" i="2"/>
  <c r="R740" i="2"/>
  <c r="F740" i="2"/>
  <c r="S740" i="2"/>
  <c r="G740" i="2"/>
  <c r="I741" i="2"/>
  <c r="O741" i="2"/>
  <c r="J741" i="2"/>
  <c r="K741" i="2"/>
  <c r="L741" i="2"/>
  <c r="M741" i="2"/>
  <c r="B741" i="2"/>
  <c r="C741" i="2"/>
  <c r="P741" i="2"/>
  <c r="D741" i="2"/>
  <c r="Q741" i="2"/>
  <c r="E741" i="2"/>
  <c r="R741" i="2"/>
  <c r="F741" i="2"/>
  <c r="S741" i="2"/>
  <c r="G741" i="2"/>
  <c r="I742" i="2"/>
  <c r="O742" i="2"/>
  <c r="J742" i="2"/>
  <c r="K742" i="2"/>
  <c r="L742" i="2"/>
  <c r="M742" i="2"/>
  <c r="B742" i="2"/>
  <c r="C742" i="2"/>
  <c r="P742" i="2"/>
  <c r="D742" i="2"/>
  <c r="Q742" i="2"/>
  <c r="E742" i="2"/>
  <c r="R742" i="2"/>
  <c r="F742" i="2"/>
  <c r="S742" i="2"/>
  <c r="G742" i="2"/>
  <c r="I743" i="2"/>
  <c r="O743" i="2"/>
  <c r="J743" i="2"/>
  <c r="K743" i="2"/>
  <c r="L743" i="2"/>
  <c r="M743" i="2"/>
  <c r="B743" i="2"/>
  <c r="C743" i="2"/>
  <c r="P743" i="2"/>
  <c r="D743" i="2"/>
  <c r="Q743" i="2"/>
  <c r="E743" i="2"/>
  <c r="R743" i="2"/>
  <c r="F743" i="2"/>
  <c r="S743" i="2"/>
  <c r="G743" i="2"/>
  <c r="I744" i="2"/>
  <c r="O744" i="2"/>
  <c r="J744" i="2"/>
  <c r="K744" i="2"/>
  <c r="L744" i="2"/>
  <c r="M744" i="2"/>
  <c r="B744" i="2"/>
  <c r="C744" i="2"/>
  <c r="P744" i="2"/>
  <c r="D744" i="2"/>
  <c r="Q744" i="2"/>
  <c r="E744" i="2"/>
  <c r="R744" i="2"/>
  <c r="F744" i="2"/>
  <c r="S744" i="2"/>
  <c r="G744" i="2"/>
  <c r="I745" i="2"/>
  <c r="O745" i="2"/>
  <c r="J745" i="2"/>
  <c r="K745" i="2"/>
  <c r="L745" i="2"/>
  <c r="M745" i="2"/>
  <c r="B745" i="2"/>
  <c r="C745" i="2"/>
  <c r="P745" i="2"/>
  <c r="D745" i="2"/>
  <c r="Q745" i="2"/>
  <c r="E745" i="2"/>
  <c r="R745" i="2"/>
  <c r="F745" i="2"/>
  <c r="S745" i="2"/>
  <c r="G745" i="2"/>
  <c r="I746" i="2"/>
  <c r="O746" i="2"/>
  <c r="J746" i="2"/>
  <c r="K746" i="2"/>
  <c r="L746" i="2"/>
  <c r="M746" i="2"/>
  <c r="B746" i="2"/>
  <c r="C746" i="2"/>
  <c r="P746" i="2"/>
  <c r="D746" i="2"/>
  <c r="Q746" i="2"/>
  <c r="E746" i="2"/>
  <c r="R746" i="2"/>
  <c r="F746" i="2"/>
  <c r="S746" i="2"/>
  <c r="G746" i="2"/>
  <c r="I747" i="2"/>
  <c r="O747" i="2"/>
  <c r="J747" i="2"/>
  <c r="K747" i="2"/>
  <c r="L747" i="2"/>
  <c r="M747" i="2"/>
  <c r="B747" i="2"/>
  <c r="C747" i="2"/>
  <c r="P747" i="2"/>
  <c r="D747" i="2"/>
  <c r="Q747" i="2"/>
  <c r="E747" i="2"/>
  <c r="R747" i="2"/>
  <c r="F747" i="2"/>
  <c r="S747" i="2"/>
  <c r="G747" i="2"/>
  <c r="I748" i="2"/>
  <c r="O748" i="2"/>
  <c r="J748" i="2"/>
  <c r="K748" i="2"/>
  <c r="L748" i="2"/>
  <c r="M748" i="2"/>
  <c r="B748" i="2"/>
  <c r="C748" i="2"/>
  <c r="P748" i="2"/>
  <c r="D748" i="2"/>
  <c r="Q748" i="2"/>
  <c r="E748" i="2"/>
  <c r="R748" i="2"/>
  <c r="F748" i="2"/>
  <c r="S748" i="2"/>
  <c r="G748" i="2"/>
  <c r="I749" i="2"/>
  <c r="O749" i="2"/>
  <c r="J749" i="2"/>
  <c r="K749" i="2"/>
  <c r="L749" i="2"/>
  <c r="M749" i="2"/>
  <c r="B749" i="2"/>
  <c r="C749" i="2"/>
  <c r="P749" i="2"/>
  <c r="D749" i="2"/>
  <c r="Q749" i="2"/>
  <c r="E749" i="2"/>
  <c r="R749" i="2"/>
  <c r="F749" i="2"/>
  <c r="S749" i="2"/>
  <c r="G749" i="2"/>
  <c r="M750" i="2"/>
  <c r="S750" i="2"/>
  <c r="L750" i="2"/>
  <c r="R750" i="2"/>
  <c r="K750" i="2"/>
  <c r="Q750" i="2"/>
  <c r="J750" i="2"/>
  <c r="P750" i="2"/>
  <c r="I750" i="2"/>
  <c r="O750" i="2"/>
  <c r="B750" i="2"/>
  <c r="G750" i="2"/>
  <c r="F750" i="2"/>
  <c r="E750" i="2"/>
  <c r="D750" i="2"/>
  <c r="C750"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A347" i="2"/>
  <c r="A348" i="2"/>
  <c r="A349" i="2"/>
  <c r="A350" i="2"/>
  <c r="A351" i="2"/>
  <c r="A352" i="2"/>
  <c r="A353" i="2"/>
  <c r="A354" i="2"/>
  <c r="A355" i="2"/>
  <c r="A356" i="2"/>
  <c r="A357" i="2"/>
  <c r="A358" i="2"/>
  <c r="A359" i="2"/>
  <c r="A360" i="2"/>
  <c r="A361" i="2"/>
  <c r="A362" i="2"/>
  <c r="A363" i="2"/>
  <c r="A364" i="2"/>
  <c r="A365" i="2"/>
  <c r="A366" i="2"/>
  <c r="A367" i="2"/>
  <c r="A368" i="2"/>
  <c r="A369" i="2"/>
  <c r="A370" i="2"/>
  <c r="A371" i="2"/>
  <c r="A372" i="2"/>
  <c r="A373" i="2"/>
  <c r="A374" i="2"/>
  <c r="A375" i="2"/>
  <c r="A376" i="2"/>
  <c r="A377" i="2"/>
  <c r="A378" i="2"/>
  <c r="A379" i="2"/>
  <c r="A380" i="2"/>
  <c r="A381" i="2"/>
  <c r="A382" i="2"/>
  <c r="A383" i="2"/>
  <c r="A384" i="2"/>
  <c r="A385" i="2"/>
  <c r="A386" i="2"/>
  <c r="A387" i="2"/>
  <c r="A388" i="2"/>
  <c r="A389" i="2"/>
  <c r="A390" i="2"/>
  <c r="A391" i="2"/>
  <c r="A392" i="2"/>
  <c r="A393" i="2"/>
  <c r="A394" i="2"/>
  <c r="A395" i="2"/>
  <c r="A396" i="2"/>
  <c r="A397" i="2"/>
  <c r="A398" i="2"/>
  <c r="A399" i="2"/>
  <c r="A400" i="2"/>
  <c r="A401" i="2"/>
  <c r="A402" i="2"/>
  <c r="A403" i="2"/>
  <c r="A404" i="2"/>
  <c r="A405" i="2"/>
  <c r="A406" i="2"/>
  <c r="A407" i="2"/>
  <c r="A408" i="2"/>
  <c r="A409" i="2"/>
  <c r="A410" i="2"/>
  <c r="A411" i="2"/>
  <c r="A412" i="2"/>
  <c r="A413" i="2"/>
  <c r="A414" i="2"/>
  <c r="A415" i="2"/>
  <c r="A416" i="2"/>
  <c r="A417" i="2"/>
  <c r="A418" i="2"/>
  <c r="A419" i="2"/>
  <c r="A420" i="2"/>
  <c r="A421" i="2"/>
  <c r="A422" i="2"/>
  <c r="A423" i="2"/>
  <c r="A424" i="2"/>
  <c r="A425" i="2"/>
  <c r="A426" i="2"/>
  <c r="A427" i="2"/>
  <c r="A428" i="2"/>
  <c r="A429" i="2"/>
  <c r="A430" i="2"/>
  <c r="A431" i="2"/>
  <c r="A432" i="2"/>
  <c r="A433" i="2"/>
  <c r="A434" i="2"/>
  <c r="A435" i="2"/>
  <c r="A436" i="2"/>
  <c r="A437" i="2"/>
  <c r="A438" i="2"/>
  <c r="A439" i="2"/>
  <c r="A440" i="2"/>
  <c r="A441" i="2"/>
  <c r="A442" i="2"/>
  <c r="A443" i="2"/>
  <c r="A444" i="2"/>
  <c r="A445" i="2"/>
  <c r="A446" i="2"/>
  <c r="A447" i="2"/>
  <c r="A448" i="2"/>
  <c r="A449" i="2"/>
  <c r="A450" i="2"/>
  <c r="A451" i="2"/>
  <c r="A452" i="2"/>
  <c r="A453" i="2"/>
  <c r="A454" i="2"/>
  <c r="A455" i="2"/>
  <c r="A456" i="2"/>
  <c r="A457" i="2"/>
  <c r="A458" i="2"/>
  <c r="A459" i="2"/>
  <c r="A460" i="2"/>
  <c r="A461" i="2"/>
  <c r="A462" i="2"/>
  <c r="A463" i="2"/>
  <c r="A464" i="2"/>
  <c r="A465" i="2"/>
  <c r="A466" i="2"/>
  <c r="A467" i="2"/>
  <c r="A468" i="2"/>
  <c r="A469" i="2"/>
  <c r="A470" i="2"/>
  <c r="A471" i="2"/>
  <c r="A472" i="2"/>
  <c r="A473" i="2"/>
  <c r="A474" i="2"/>
  <c r="A475" i="2"/>
  <c r="A476" i="2"/>
  <c r="A477" i="2"/>
  <c r="A478" i="2"/>
  <c r="A479" i="2"/>
  <c r="A480" i="2"/>
  <c r="A481" i="2"/>
  <c r="A482" i="2"/>
  <c r="A483" i="2"/>
  <c r="A484" i="2"/>
  <c r="A485" i="2"/>
  <c r="A486" i="2"/>
  <c r="A487" i="2"/>
  <c r="A488" i="2"/>
  <c r="A489" i="2"/>
  <c r="A490" i="2"/>
  <c r="A491" i="2"/>
  <c r="A492" i="2"/>
  <c r="A493" i="2"/>
  <c r="A494" i="2"/>
  <c r="A495" i="2"/>
  <c r="A496" i="2"/>
  <c r="A497" i="2"/>
  <c r="A498" i="2"/>
  <c r="A499" i="2"/>
  <c r="A500" i="2"/>
  <c r="A501" i="2"/>
  <c r="A502" i="2"/>
  <c r="A503" i="2"/>
  <c r="A504" i="2"/>
  <c r="A505" i="2"/>
  <c r="A506" i="2"/>
  <c r="A507" i="2"/>
  <c r="A508" i="2"/>
  <c r="A509" i="2"/>
  <c r="A510" i="2"/>
  <c r="A511" i="2"/>
  <c r="A512" i="2"/>
  <c r="A513" i="2"/>
  <c r="A514" i="2"/>
  <c r="A515" i="2"/>
  <c r="A516" i="2"/>
  <c r="A517" i="2"/>
  <c r="A518" i="2"/>
  <c r="A519" i="2"/>
  <c r="A520" i="2"/>
  <c r="A521" i="2"/>
  <c r="A522" i="2"/>
  <c r="A523" i="2"/>
  <c r="A524" i="2"/>
  <c r="A525" i="2"/>
  <c r="A526" i="2"/>
  <c r="A527" i="2"/>
  <c r="A528" i="2"/>
  <c r="A529" i="2"/>
  <c r="A530" i="2"/>
  <c r="A531" i="2"/>
  <c r="A532" i="2"/>
  <c r="A533" i="2"/>
  <c r="A534" i="2"/>
  <c r="A535" i="2"/>
  <c r="A536" i="2"/>
  <c r="A537" i="2"/>
  <c r="A538" i="2"/>
  <c r="A539" i="2"/>
  <c r="A540" i="2"/>
  <c r="A541" i="2"/>
  <c r="A542" i="2"/>
  <c r="A543" i="2"/>
  <c r="A544" i="2"/>
  <c r="A545" i="2"/>
  <c r="A546" i="2"/>
  <c r="A547" i="2"/>
  <c r="A548" i="2"/>
  <c r="A549" i="2"/>
  <c r="A550" i="2"/>
  <c r="A551" i="2"/>
  <c r="A552" i="2"/>
  <c r="A553" i="2"/>
  <c r="A554" i="2"/>
  <c r="A555" i="2"/>
  <c r="A556" i="2"/>
  <c r="A557" i="2"/>
  <c r="A558" i="2"/>
  <c r="A559" i="2"/>
  <c r="A560" i="2"/>
  <c r="A561" i="2"/>
  <c r="A562" i="2"/>
  <c r="A563" i="2"/>
  <c r="A564" i="2"/>
  <c r="A565" i="2"/>
  <c r="A566" i="2"/>
  <c r="A567" i="2"/>
  <c r="A568" i="2"/>
  <c r="A569" i="2"/>
  <c r="A570" i="2"/>
  <c r="A571" i="2"/>
  <c r="A572" i="2"/>
  <c r="A573" i="2"/>
  <c r="A574" i="2"/>
  <c r="A575" i="2"/>
  <c r="A576" i="2"/>
  <c r="A577" i="2"/>
  <c r="A578" i="2"/>
  <c r="A579" i="2"/>
  <c r="A580" i="2"/>
  <c r="A581" i="2"/>
  <c r="A582" i="2"/>
  <c r="A583" i="2"/>
  <c r="A584" i="2"/>
  <c r="A585" i="2"/>
  <c r="A586" i="2"/>
  <c r="A587" i="2"/>
  <c r="A588" i="2"/>
  <c r="A589" i="2"/>
  <c r="A590" i="2"/>
  <c r="A591" i="2"/>
  <c r="A592" i="2"/>
  <c r="A593" i="2"/>
  <c r="A594" i="2"/>
  <c r="A595" i="2"/>
  <c r="A596" i="2"/>
  <c r="A597" i="2"/>
  <c r="A598" i="2"/>
  <c r="A599" i="2"/>
  <c r="A600" i="2"/>
  <c r="A601" i="2"/>
  <c r="A602" i="2"/>
  <c r="A603" i="2"/>
  <c r="A604" i="2"/>
  <c r="A605" i="2"/>
  <c r="A606" i="2"/>
  <c r="A607" i="2"/>
  <c r="A608" i="2"/>
  <c r="A609" i="2"/>
  <c r="A610" i="2"/>
  <c r="A611" i="2"/>
  <c r="A612" i="2"/>
  <c r="A613" i="2"/>
  <c r="A614" i="2"/>
  <c r="A615" i="2"/>
  <c r="A616" i="2"/>
  <c r="A617" i="2"/>
  <c r="A618" i="2"/>
  <c r="A619" i="2"/>
  <c r="A620" i="2"/>
  <c r="A621" i="2"/>
  <c r="A622" i="2"/>
  <c r="A623" i="2"/>
  <c r="A624" i="2"/>
  <c r="A625" i="2"/>
  <c r="A626" i="2"/>
  <c r="A627" i="2"/>
  <c r="A628" i="2"/>
  <c r="A629" i="2"/>
  <c r="A630" i="2"/>
  <c r="A631" i="2"/>
  <c r="A632" i="2"/>
  <c r="A633" i="2"/>
  <c r="A634" i="2"/>
  <c r="A635" i="2"/>
  <c r="A636" i="2"/>
  <c r="A637" i="2"/>
  <c r="A638" i="2"/>
  <c r="A639" i="2"/>
  <c r="A640" i="2"/>
  <c r="A641" i="2"/>
  <c r="A642" i="2"/>
  <c r="A643" i="2"/>
  <c r="A644" i="2"/>
  <c r="A645" i="2"/>
  <c r="A646" i="2"/>
  <c r="A647" i="2"/>
  <c r="A648" i="2"/>
  <c r="A649" i="2"/>
  <c r="A650" i="2"/>
  <c r="A651" i="2"/>
  <c r="A652" i="2"/>
  <c r="A653" i="2"/>
  <c r="A654" i="2"/>
  <c r="A655" i="2"/>
  <c r="A656" i="2"/>
  <c r="A657" i="2"/>
  <c r="A658" i="2"/>
  <c r="A659" i="2"/>
  <c r="A660" i="2"/>
  <c r="A661" i="2"/>
  <c r="A662" i="2"/>
  <c r="A663" i="2"/>
  <c r="A664" i="2"/>
  <c r="A665" i="2"/>
  <c r="A666" i="2"/>
  <c r="A667" i="2"/>
  <c r="A668" i="2"/>
  <c r="A669" i="2"/>
  <c r="A670" i="2"/>
  <c r="A671" i="2"/>
  <c r="A672" i="2"/>
  <c r="A673" i="2"/>
  <c r="A674" i="2"/>
  <c r="A675" i="2"/>
  <c r="A676" i="2"/>
  <c r="A677" i="2"/>
  <c r="A678" i="2"/>
  <c r="A679" i="2"/>
  <c r="A680" i="2"/>
  <c r="A681" i="2"/>
  <c r="A682" i="2"/>
  <c r="A683" i="2"/>
  <c r="A684" i="2"/>
  <c r="A685" i="2"/>
  <c r="A686" i="2"/>
  <c r="A687" i="2"/>
  <c r="A688" i="2"/>
  <c r="A689" i="2"/>
  <c r="A690" i="2"/>
  <c r="A691" i="2"/>
  <c r="A692" i="2"/>
  <c r="A693" i="2"/>
  <c r="A694" i="2"/>
  <c r="A695" i="2"/>
  <c r="A696" i="2"/>
  <c r="A697" i="2"/>
  <c r="A698" i="2"/>
  <c r="A699" i="2"/>
  <c r="A700" i="2"/>
  <c r="A701" i="2"/>
  <c r="A702" i="2"/>
  <c r="A703" i="2"/>
  <c r="A704" i="2"/>
  <c r="A705" i="2"/>
  <c r="A706" i="2"/>
  <c r="A707" i="2"/>
  <c r="A708" i="2"/>
  <c r="A709" i="2"/>
  <c r="A710" i="2"/>
  <c r="A711" i="2"/>
  <c r="A712" i="2"/>
  <c r="A713" i="2"/>
  <c r="A714" i="2"/>
  <c r="A715" i="2"/>
  <c r="A716" i="2"/>
  <c r="A717" i="2"/>
  <c r="A718" i="2"/>
  <c r="A719" i="2"/>
  <c r="A720" i="2"/>
  <c r="A721" i="2"/>
  <c r="A722" i="2"/>
  <c r="A723" i="2"/>
  <c r="A724" i="2"/>
  <c r="A725" i="2"/>
  <c r="A726" i="2"/>
  <c r="A727" i="2"/>
  <c r="A728" i="2"/>
  <c r="A729" i="2"/>
  <c r="A730" i="2"/>
  <c r="A731" i="2"/>
  <c r="A732" i="2"/>
  <c r="A733" i="2"/>
  <c r="A734" i="2"/>
  <c r="A735" i="2"/>
  <c r="A736" i="2"/>
  <c r="A737" i="2"/>
  <c r="A738" i="2"/>
  <c r="A739" i="2"/>
  <c r="A740" i="2"/>
  <c r="A741" i="2"/>
  <c r="A742" i="2"/>
  <c r="A743" i="2"/>
  <c r="A744" i="2"/>
  <c r="A745" i="2"/>
  <c r="A746" i="2"/>
  <c r="A747" i="2"/>
  <c r="A748" i="2"/>
  <c r="A749" i="2"/>
  <c r="A750" i="2"/>
</calcChain>
</file>

<file path=xl/comments1.xml><?xml version="1.0" encoding="utf-8"?>
<comments xmlns="http://schemas.openxmlformats.org/spreadsheetml/2006/main">
  <authors>
    <author/>
  </authors>
  <commentList>
    <comment ref="A6" authorId="0">
      <text>
        <r>
          <rPr>
            <sz val="10"/>
            <color rgb="FF000000"/>
            <rFont val="Arial"/>
          </rPr>
          <t>The rate of generating currency.
	-Anthony Pecorella</t>
        </r>
      </text>
    </comment>
    <comment ref="A7" authorId="0">
      <text>
        <r>
          <rPr>
            <sz val="10"/>
            <color rgb="FF000000"/>
            <rFont val="Arial"/>
          </rPr>
          <t>The cost for the first generator to be purchased.
	-Anthony Pecorella</t>
        </r>
      </text>
    </comment>
    <comment ref="A8" authorId="0">
      <text>
        <r>
          <rPr>
            <sz val="10"/>
            <color rgb="FF000000"/>
            <rFont val="Arial"/>
          </rPr>
          <t>The exponential growth factor - the multiple of the previous cost to obtain the new one.
	-Anthony Pecorella</t>
        </r>
      </text>
    </comment>
    <comment ref="A30" authorId="0">
      <text>
        <r>
          <rPr>
            <sz val="10"/>
            <color rgb="FF000000"/>
            <rFont val="Arial"/>
          </rPr>
          <t>If you want to see how things change (and they definitely do!) on prestiges, you can multiply the income of all generators by this factor.
	-Anthony Pecorella</t>
        </r>
      </text>
    </comment>
  </commentList>
</comments>
</file>

<file path=xl/sharedStrings.xml><?xml version="1.0" encoding="utf-8"?>
<sst xmlns="http://schemas.openxmlformats.org/spreadsheetml/2006/main" count="40" uniqueCount="28">
  <si>
    <t>Minutes</t>
  </si>
  <si>
    <t>Income / Sec</t>
  </si>
  <si>
    <t>Item 1 Score</t>
  </si>
  <si>
    <t>Item 2 Score</t>
  </si>
  <si>
    <t>Item 3 Score</t>
  </si>
  <si>
    <t>Item 4 Score</t>
  </si>
  <si>
    <t>Item 5 Score</t>
  </si>
  <si>
    <t>Generator 1 Count</t>
  </si>
  <si>
    <t>Generator 2 Count</t>
  </si>
  <si>
    <t>Generator 3 Count</t>
  </si>
  <si>
    <t>Generator 4 Count</t>
  </si>
  <si>
    <t>Generator 5 Count</t>
  </si>
  <si>
    <t>Item 1 Cost</t>
  </si>
  <si>
    <t>Item 2 Cost</t>
  </si>
  <si>
    <t>Item 3 Cost</t>
  </si>
  <si>
    <t>Item 4 Cost</t>
  </si>
  <si>
    <t>Item 5 Cost</t>
  </si>
  <si>
    <t xml:space="preserve">This sheet models perfectly optimal gameplay of an idle game with 5 generators. We give players a single instance of Generator 1 to start (though you can modify this on the Calculations tab). At every decision point (i.e. after each purchase) the best next purchase (based on income vs. cost) is selected. We then calculate the time required to afford it at the current income rate, buy it, and repeat. The result is a theoretical maximum performance for the game.
The default values below are the real values from AdVenture Capitalist for the first 5 business. And yes, you can indeed go this quickly (I verified for the first minute), though it's very difficult with all of the clicking involved. </t>
  </si>
  <si>
    <t>Generator 1</t>
  </si>
  <si>
    <t>Base Income</t>
  </si>
  <si>
    <t>Starting Cost</t>
  </si>
  <si>
    <t xml:space="preserve">Cost Mult Factor </t>
  </si>
  <si>
    <t>Generator 2</t>
  </si>
  <si>
    <t>`</t>
  </si>
  <si>
    <t>Generator 3</t>
  </si>
  <si>
    <t>Generator 4</t>
  </si>
  <si>
    <t>Generator 5</t>
  </si>
  <si>
    <t>Prestige Multiple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</si>
</sst>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4" x14ac:knownFonts="1">
    <font>
      <sz val="10"/>
      <color rgb="FF000000"/>
      <name val="Arial"/>
    </font>
    <font>
      <b/>
      <sz val="10"/>
      <name val="Arial"/>
    </font>
    <font>
      <sz val="10"/>
      <name val="Arial"/>
    </font>
    <font>
      <i/>
      <sz val="10"/>
      <name val="Arial"/>
    </font>
  </fonts>
  <fills count="4">
    <fill>
      <patternFill patternType="none"/>
    </fill>
    <fill>
      <patternFill patternType="gray125"/>
    </fill>
    <fill>
      <patternFill patternType="solid">
        <fgColor rgb="FFFFF2CC"/>
        <bgColor rgb="FFFFF2CC"/>
      </patternFill>
    </fill>
    <fill>
      <patternFill patternType="solid">
        <fgColor rgb="FFD9EAD3"/>
        <bgColor rgb="FFD9EAD3"/>
      </patternFill>
    </fill>
  </fills>
  <borders count="1">
    <border>
      <left/>
      <right/>
      <top/>
      <bottom/>
      <diagonal/>
    </border>
  </borders>
  <cellStyleXfs count="1">
    <xf numFmtId="0" fontId="0" fillId="0" borderId="0"/>
  </cellStyleXfs>
  <cellXfs count="17">
    <xf numFmtId="0" fontId="0" fillId="0" borderId="0" xfId="0" applyFont="1" applyAlignment="1"/>
    <xf numFmtId="2" fontId="1" fillId="0" borderId="0" xfId="0" applyNumberFormat="1" applyFont="1" applyAlignment="1"/>
    <xf numFmtId="0" fontId="1" fillId="0" borderId="0" xfId="0" applyFont="1" applyAlignment="1"/>
    <xf numFmtId="0" fontId="1" fillId="0" borderId="0" xfId="0" applyFont="1"/>
    <xf numFmtId="1" fontId="1" fillId="0" borderId="0" xfId="0" applyNumberFormat="1" applyFont="1" applyAlignment="1"/>
    <xf numFmtId="164" fontId="1" fillId="0" borderId="0" xfId="0" applyNumberFormat="1" applyFont="1" applyAlignment="1"/>
    <xf numFmtId="2" fontId="2" fillId="0" borderId="0" xfId="0" applyNumberFormat="1" applyFont="1" applyAlignment="1"/>
    <xf numFmtId="0" fontId="2" fillId="0" borderId="0" xfId="0" applyFont="1" applyAlignment="1"/>
    <xf numFmtId="2" fontId="2" fillId="0" borderId="0" xfId="0" applyNumberFormat="1" applyFont="1"/>
    <xf numFmtId="1" fontId="2" fillId="0" borderId="0" xfId="0" applyNumberFormat="1" applyFont="1" applyAlignment="1"/>
    <xf numFmtId="164" fontId="2" fillId="0" borderId="0" xfId="0" applyNumberFormat="1" applyFont="1"/>
    <xf numFmtId="1" fontId="2" fillId="0" borderId="0" xfId="0" applyNumberFormat="1" applyFont="1"/>
    <xf numFmtId="0" fontId="3" fillId="2" borderId="0" xfId="0" applyFont="1" applyFill="1" applyAlignment="1"/>
    <xf numFmtId="0" fontId="2" fillId="3" borderId="0" xfId="0" applyFont="1" applyFill="1" applyAlignment="1"/>
    <xf numFmtId="0" fontId="3" fillId="0" borderId="0" xfId="0" applyFont="1" applyAlignment="1"/>
    <xf numFmtId="0" fontId="2" fillId="0" borderId="0" xfId="0" applyFont="1" applyAlignment="1">
      <alignment wrapText="1"/>
    </xf>
    <xf numFmtId="0" fontId="0" fillId="0" borderId="0" xfId="0" applyFont="1" applyAlignmen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 Id="rId6"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worksheet" Target="worksheets/sheet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1"/>
  <c:style val="18"/>
  <c:chart>
    <c:title>
      <c:tx>
        <c:rich>
          <a:bodyPr/>
          <a:lstStyle/>
          <a:p>
            <a:pPr lvl="0">
              <a:defRPr sz="1600" b="1">
                <a:solidFill>
                  <a:srgbClr val="000000"/>
                </a:solidFill>
              </a:defRPr>
            </a:pPr>
            <a:r>
              <a:rPr lang="en-US"/>
              <a:t>Income / Sec vs. Minutes</a:t>
            </a:r>
          </a:p>
        </c:rich>
      </c:tx>
      <c:layout/>
      <c:overlay val="0"/>
    </c:title>
    <c:autoTitleDeleted val="0"/>
    <c:plotArea>
      <c:layout/>
      <c:lineChart>
        <c:grouping val="standard"/>
        <c:varyColors val="0"/>
        <c:ser>
          <c:idx val="0"/>
          <c:order val="0"/>
          <c:tx>
            <c:strRef>
              <c:f>Calculations!$B$1</c:f>
              <c:strCache>
                <c:ptCount val="1"/>
                <c:pt idx="0">
                  <c:v>Income / Sec</c:v>
                </c:pt>
              </c:strCache>
            </c:strRef>
          </c:tx>
          <c:spPr>
            <a:ln w="25400" cmpd="sng">
              <a:solidFill>
                <a:srgbClr val="3366CC"/>
              </a:solidFill>
            </a:ln>
          </c:spPr>
          <c:marker>
            <c:symbol val="none"/>
          </c:marker>
          <c:cat>
            <c:numRef>
              <c:f>Calculations!$A$2:$A$200</c:f>
              <c:numCache>
                <c:formatCode>0.00</c:formatCode>
                <c:ptCount val="199"/>
                <c:pt idx="0">
                  <c:v>0.0</c:v>
                </c:pt>
                <c:pt idx="1">
                  <c:v>0.0457045908183633</c:v>
                </c:pt>
                <c:pt idx="2">
                  <c:v>0.0701565469061876</c:v>
                </c:pt>
                <c:pt idx="3">
                  <c:v>0.0875989422488357</c:v>
                </c:pt>
                <c:pt idx="4">
                  <c:v>0.101596464511311</c:v>
                </c:pt>
                <c:pt idx="5">
                  <c:v>0.113578343567989</c:v>
                </c:pt>
                <c:pt idx="6">
                  <c:v>0.124262185726861</c:v>
                </c:pt>
                <c:pt idx="7">
                  <c:v>0.134060795249712</c:v>
                </c:pt>
                <c:pt idx="8">
                  <c:v>0.143234743415481</c:v>
                </c:pt>
                <c:pt idx="9">
                  <c:v>0.151960187448702</c:v>
                </c:pt>
                <c:pt idx="10">
                  <c:v>0.160362790052693</c:v>
                </c:pt>
                <c:pt idx="11">
                  <c:v>0.168536230767485</c:v>
                </c:pt>
                <c:pt idx="12">
                  <c:v>0.176553013868576</c:v>
                </c:pt>
                <c:pt idx="13">
                  <c:v>0.22952399498327</c:v>
                </c:pt>
                <c:pt idx="14">
                  <c:v>0.261231019677588</c:v>
                </c:pt>
                <c:pt idx="15">
                  <c:v>0.285876539042359</c:v>
                </c:pt>
                <c:pt idx="16">
                  <c:v>0.28798034857216</c:v>
                </c:pt>
                <c:pt idx="17">
                  <c:v>0.308956676828337</c:v>
                </c:pt>
                <c:pt idx="18">
                  <c:v>0.310735893659906</c:v>
                </c:pt>
                <c:pt idx="19">
                  <c:v>0.329882558938345</c:v>
                </c:pt>
                <c:pt idx="20">
                  <c:v>0.331456416727798</c:v>
                </c:pt>
                <c:pt idx="21">
                  <c:v>0.333118251329526</c:v>
                </c:pt>
                <c:pt idx="22">
                  <c:v>0.351134146380737</c:v>
                </c:pt>
                <c:pt idx="23">
                  <c:v>0.352652636968932</c:v>
                </c:pt>
                <c:pt idx="24">
                  <c:v>0.354259339858902</c:v>
                </c:pt>
                <c:pt idx="25">
                  <c:v>0.371790611726487</c:v>
                </c:pt>
                <c:pt idx="26">
                  <c:v>0.373292847586068</c:v>
                </c:pt>
                <c:pt idx="27">
                  <c:v>0.374884759302661</c:v>
                </c:pt>
                <c:pt idx="28">
                  <c:v>0.392357900689187</c:v>
                </c:pt>
                <c:pt idx="29">
                  <c:v>0.393872024419506</c:v>
                </c:pt>
                <c:pt idx="30">
                  <c:v>0.395478384713287</c:v>
                </c:pt>
                <c:pt idx="31">
                  <c:v>0.413208722357156</c:v>
                </c:pt>
                <c:pt idx="32">
                  <c:v>0.414756993026504</c:v>
                </c:pt>
                <c:pt idx="33">
                  <c:v>0.476916207857475</c:v>
                </c:pt>
                <c:pt idx="34">
                  <c:v>0.489963027180578</c:v>
                </c:pt>
                <c:pt idx="35">
                  <c:v>0.491059212477097</c:v>
                </c:pt>
                <c:pt idx="36">
                  <c:v>0.538068104715228</c:v>
                </c:pt>
                <c:pt idx="37">
                  <c:v>0.538986081862026</c:v>
                </c:pt>
                <c:pt idx="38">
                  <c:v>0.580974008743137</c:v>
                </c:pt>
                <c:pt idx="39">
                  <c:v>0.590035578989843</c:v>
                </c:pt>
                <c:pt idx="40">
                  <c:v>0.590812186244874</c:v>
                </c:pt>
                <c:pt idx="41">
                  <c:v>0.628689032980937</c:v>
                </c:pt>
                <c:pt idx="42">
                  <c:v>0.629398140294951</c:v>
                </c:pt>
                <c:pt idx="43">
                  <c:v>0.637934502068953</c:v>
                </c:pt>
                <c:pt idx="44">
                  <c:v>0.638667824790335</c:v>
                </c:pt>
                <c:pt idx="45">
                  <c:v>0.67430000557901</c:v>
                </c:pt>
                <c:pt idx="46">
                  <c:v>0.674987252399305</c:v>
                </c:pt>
                <c:pt idx="47">
                  <c:v>0.683300706826132</c:v>
                </c:pt>
                <c:pt idx="48">
                  <c:v>0.68401509641484</c:v>
                </c:pt>
                <c:pt idx="49">
                  <c:v>0.718592031037143</c:v>
                </c:pt>
                <c:pt idx="50">
                  <c:v>0.719274161252134</c:v>
                </c:pt>
                <c:pt idx="51">
                  <c:v>0.727564967594102</c:v>
                </c:pt>
                <c:pt idx="52">
                  <c:v>0.761943088009293</c:v>
                </c:pt>
                <c:pt idx="53">
                  <c:v>0.762588368791644</c:v>
                </c:pt>
                <c:pt idx="54">
                  <c:v>0.76327762449217</c:v>
                </c:pt>
                <c:pt idx="55">
                  <c:v>0.771694287672172</c:v>
                </c:pt>
                <c:pt idx="56">
                  <c:v>0.806383921698811</c:v>
                </c:pt>
                <c:pt idx="57">
                  <c:v>0.807044940754676</c:v>
                </c:pt>
                <c:pt idx="58">
                  <c:v>0.807751135892052</c:v>
                </c:pt>
                <c:pt idx="59">
                  <c:v>0.84387988293301</c:v>
                </c:pt>
                <c:pt idx="60">
                  <c:v>0.851877029271451</c:v>
                </c:pt>
                <c:pt idx="61">
                  <c:v>0.852561756757852</c:v>
                </c:pt>
                <c:pt idx="62">
                  <c:v>0.853293388528083</c:v>
                </c:pt>
                <c:pt idx="63">
                  <c:v>0.890568752402384</c:v>
                </c:pt>
                <c:pt idx="64">
                  <c:v>0.898953325357183</c:v>
                </c:pt>
                <c:pt idx="65">
                  <c:v>0.899669103384407</c:v>
                </c:pt>
                <c:pt idx="66">
                  <c:v>1.024346338602355</c:v>
                </c:pt>
                <c:pt idx="67">
                  <c:v>1.054803292460097</c:v>
                </c:pt>
                <c:pt idx="68">
                  <c:v>1.055372080634922</c:v>
                </c:pt>
                <c:pt idx="69">
                  <c:v>1.160036015061151</c:v>
                </c:pt>
                <c:pt idx="70">
                  <c:v>1.165882317784721</c:v>
                </c:pt>
                <c:pt idx="71">
                  <c:v>1.166382213887552</c:v>
                </c:pt>
                <c:pt idx="72">
                  <c:v>1.193417831800331</c:v>
                </c:pt>
                <c:pt idx="73">
                  <c:v>1.28665541992133</c:v>
                </c:pt>
                <c:pt idx="74">
                  <c:v>1.287096974373189</c:v>
                </c:pt>
                <c:pt idx="75">
                  <c:v>1.292591569895455</c:v>
                </c:pt>
                <c:pt idx="76">
                  <c:v>1.293060110657118</c:v>
                </c:pt>
                <c:pt idx="77">
                  <c:v>1.38295493449193</c:v>
                </c:pt>
                <c:pt idx="78">
                  <c:v>1.40513298017293</c:v>
                </c:pt>
                <c:pt idx="79">
                  <c:v>1.405560362659924</c:v>
                </c:pt>
                <c:pt idx="80">
                  <c:v>1.492164703415927</c:v>
                </c:pt>
                <c:pt idx="81">
                  <c:v>1.49694537612117</c:v>
                </c:pt>
                <c:pt idx="82">
                  <c:v>1.497351989039084</c:v>
                </c:pt>
                <c:pt idx="83">
                  <c:v>1.519161254019183</c:v>
                </c:pt>
                <c:pt idx="84">
                  <c:v>1.519585047887087</c:v>
                </c:pt>
                <c:pt idx="85">
                  <c:v>1.604350756171844</c:v>
                </c:pt>
                <c:pt idx="86">
                  <c:v>1.609180724710778</c:v>
                </c:pt>
                <c:pt idx="87">
                  <c:v>1.609589997318293</c:v>
                </c:pt>
                <c:pt idx="88">
                  <c:v>1.631449248137016</c:v>
                </c:pt>
                <c:pt idx="89">
                  <c:v>1.715963663586359</c:v>
                </c:pt>
                <c:pt idx="90">
                  <c:v>1.716356307368074</c:v>
                </c:pt>
                <c:pt idx="91">
                  <c:v>1.721309157081167</c:v>
                </c:pt>
                <c:pt idx="92">
                  <c:v>1.721727212155325</c:v>
                </c:pt>
                <c:pt idx="93">
                  <c:v>1.743960994324569</c:v>
                </c:pt>
                <c:pt idx="94">
                  <c:v>1.829376095695778</c:v>
                </c:pt>
                <c:pt idx="95">
                  <c:v>1.829781686489108</c:v>
                </c:pt>
                <c:pt idx="96">
                  <c:v>1.834920833295653</c:v>
                </c:pt>
                <c:pt idx="97">
                  <c:v>1.835352881776753</c:v>
                </c:pt>
                <c:pt idx="98">
                  <c:v>1.858233391678885</c:v>
                </c:pt>
                <c:pt idx="99">
                  <c:v>2.248807277135892</c:v>
                </c:pt>
                <c:pt idx="100">
                  <c:v>2.3096044245083</c:v>
                </c:pt>
                <c:pt idx="101">
                  <c:v>2.599578190991203</c:v>
                </c:pt>
                <c:pt idx="102">
                  <c:v>2.599811539913223</c:v>
                </c:pt>
                <c:pt idx="103">
                  <c:v>2.851731835777843</c:v>
                </c:pt>
                <c:pt idx="104">
                  <c:v>2.893168161450549</c:v>
                </c:pt>
                <c:pt idx="105">
                  <c:v>2.903606896369412</c:v>
                </c:pt>
                <c:pt idx="106">
                  <c:v>2.905944248387656</c:v>
                </c:pt>
                <c:pt idx="107">
                  <c:v>2.906140365846618</c:v>
                </c:pt>
                <c:pt idx="108">
                  <c:v>3.127768049573493</c:v>
                </c:pt>
                <c:pt idx="109">
                  <c:v>3.127946456310891</c:v>
                </c:pt>
                <c:pt idx="110">
                  <c:v>3.166224842698874</c:v>
                </c:pt>
                <c:pt idx="111">
                  <c:v>3.372126760631556</c:v>
                </c:pt>
                <c:pt idx="112">
                  <c:v>3.380661673797114</c:v>
                </c:pt>
                <c:pt idx="113">
                  <c:v>3.382593516806976</c:v>
                </c:pt>
                <c:pt idx="114">
                  <c:v>3.382754964894407</c:v>
                </c:pt>
                <c:pt idx="115">
                  <c:v>3.382927697439383</c:v>
                </c:pt>
                <c:pt idx="116">
                  <c:v>3.419506980402546</c:v>
                </c:pt>
                <c:pt idx="117">
                  <c:v>3.615263383241809</c:v>
                </c:pt>
                <c:pt idx="118">
                  <c:v>3.623684845699133</c:v>
                </c:pt>
                <c:pt idx="119">
                  <c:v>3.623845134063725</c:v>
                </c:pt>
                <c:pt idx="120">
                  <c:v>3.625769221989318</c:v>
                </c:pt>
                <c:pt idx="121">
                  <c:v>3.819728126269892</c:v>
                </c:pt>
                <c:pt idx="122">
                  <c:v>3.852000259290158</c:v>
                </c:pt>
                <c:pt idx="123">
                  <c:v>3.852152145314577</c:v>
                </c:pt>
                <c:pt idx="124">
                  <c:v>3.860614679689236</c:v>
                </c:pt>
                <c:pt idx="125">
                  <c:v>3.860776529867754</c:v>
                </c:pt>
                <c:pt idx="126">
                  <c:v>4.052562558289951</c:v>
                </c:pt>
                <c:pt idx="127">
                  <c:v>4.05434179532788</c:v>
                </c:pt>
                <c:pt idx="128">
                  <c:v>4.086887822660488</c:v>
                </c:pt>
                <c:pt idx="129">
                  <c:v>4.08704328840121</c:v>
                </c:pt>
                <c:pt idx="130">
                  <c:v>4.095668268210208</c:v>
                </c:pt>
                <c:pt idx="131">
                  <c:v>4.287803058343162</c:v>
                </c:pt>
                <c:pt idx="132">
                  <c:v>4.287955585327497</c:v>
                </c:pt>
                <c:pt idx="133">
                  <c:v>4.289802897415763</c:v>
                </c:pt>
                <c:pt idx="134">
                  <c:v>4.323009123033259</c:v>
                </c:pt>
                <c:pt idx="135">
                  <c:v>4.323170060320479</c:v>
                </c:pt>
                <c:pt idx="136">
                  <c:v>4.51844714995372</c:v>
                </c:pt>
                <c:pt idx="137">
                  <c:v>4.526689722180401</c:v>
                </c:pt>
                <c:pt idx="138">
                  <c:v>4.526848884447588</c:v>
                </c:pt>
                <c:pt idx="139">
                  <c:v>4.561074130405458</c:v>
                </c:pt>
                <c:pt idx="140">
                  <c:v>4.562987240627166</c:v>
                </c:pt>
                <c:pt idx="141">
                  <c:v>4.762585197556606</c:v>
                </c:pt>
                <c:pt idx="142">
                  <c:v>4.762742089786666</c:v>
                </c:pt>
                <c:pt idx="143">
                  <c:v>4.771371997083626</c:v>
                </c:pt>
                <c:pt idx="144">
                  <c:v>4.806901995950386</c:v>
                </c:pt>
                <c:pt idx="145">
                  <c:v>4.807067553765542</c:v>
                </c:pt>
                <c:pt idx="146">
                  <c:v>4.80909061228652</c:v>
                </c:pt>
                <c:pt idx="147">
                  <c:v>5.014664493118532</c:v>
                </c:pt>
                <c:pt idx="148">
                  <c:v>5.014830568882267</c:v>
                </c:pt>
                <c:pt idx="149">
                  <c:v>5.023926558244352</c:v>
                </c:pt>
                <c:pt idx="150">
                  <c:v>5.061054741638178</c:v>
                </c:pt>
                <c:pt idx="151">
                  <c:v>5.274291992337854</c:v>
                </c:pt>
                <c:pt idx="152">
                  <c:v>5.274457324166646</c:v>
                </c:pt>
                <c:pt idx="153">
                  <c:v>5.276486633930902</c:v>
                </c:pt>
                <c:pt idx="154">
                  <c:v>5.27666343687424</c:v>
                </c:pt>
                <c:pt idx="155">
                  <c:v>5.286305543491534</c:v>
                </c:pt>
                <c:pt idx="156">
                  <c:v>5.325324676501864</c:v>
                </c:pt>
                <c:pt idx="157">
                  <c:v>5.547597346621957</c:v>
                </c:pt>
                <c:pt idx="158">
                  <c:v>5.547774221170966</c:v>
                </c:pt>
                <c:pt idx="159">
                  <c:v>5.549954885269088</c:v>
                </c:pt>
                <c:pt idx="160">
                  <c:v>5.55014403895441</c:v>
                </c:pt>
                <c:pt idx="161">
                  <c:v>5.560415584779911</c:v>
                </c:pt>
                <c:pt idx="162">
                  <c:v>5.795306317167956</c:v>
                </c:pt>
                <c:pt idx="163">
                  <c:v>5.834416519377407</c:v>
                </c:pt>
                <c:pt idx="164">
                  <c:v>5.834606559864333</c:v>
                </c:pt>
                <c:pt idx="165">
                  <c:v>5.836959988097032</c:v>
                </c:pt>
                <c:pt idx="166">
                  <c:v>6.084417920652025</c:v>
                </c:pt>
                <c:pt idx="167">
                  <c:v>6.084611398682165</c:v>
                </c:pt>
                <c:pt idx="168">
                  <c:v>6.095072848547749</c:v>
                </c:pt>
                <c:pt idx="169">
                  <c:v>6.136684629600752</c:v>
                </c:pt>
                <c:pt idx="170">
                  <c:v>6.136889592420537</c:v>
                </c:pt>
                <c:pt idx="171">
                  <c:v>6.39809654420165</c:v>
                </c:pt>
                <c:pt idx="172">
                  <c:v>6.400530343159615</c:v>
                </c:pt>
                <c:pt idx="173">
                  <c:v>6.445040986333715</c:v>
                </c:pt>
                <c:pt idx="174">
                  <c:v>6.445248674532503</c:v>
                </c:pt>
                <c:pt idx="175">
                  <c:v>6.456430439087438</c:v>
                </c:pt>
                <c:pt idx="176">
                  <c:v>6.456652241527281</c:v>
                </c:pt>
                <c:pt idx="177">
                  <c:v>6.733172723551557</c:v>
                </c:pt>
                <c:pt idx="178">
                  <c:v>6.735824816758749</c:v>
                </c:pt>
                <c:pt idx="179">
                  <c:v>6.783485265196243</c:v>
                </c:pt>
                <c:pt idx="180">
                  <c:v>6.795569441141608</c:v>
                </c:pt>
                <c:pt idx="181">
                  <c:v>6.79579444722084</c:v>
                </c:pt>
                <c:pt idx="182">
                  <c:v>7.089417579205438</c:v>
                </c:pt>
                <c:pt idx="183">
                  <c:v>7.089648487716922</c:v>
                </c:pt>
                <c:pt idx="184">
                  <c:v>7.14084162329306</c:v>
                </c:pt>
                <c:pt idx="185">
                  <c:v>7.143719952749558</c:v>
                </c:pt>
                <c:pt idx="186">
                  <c:v>7.156814385072859</c:v>
                </c:pt>
                <c:pt idx="187">
                  <c:v>7.157059271516557</c:v>
                </c:pt>
                <c:pt idx="188">
                  <c:v>7.469675797864686</c:v>
                </c:pt>
                <c:pt idx="189">
                  <c:v>7.469927616978012</c:v>
                </c:pt>
                <c:pt idx="190">
                  <c:v>7.525030207806266</c:v>
                </c:pt>
                <c:pt idx="191">
                  <c:v>7.528184193166839</c:v>
                </c:pt>
                <c:pt idx="192">
                  <c:v>7.542408154156703</c:v>
                </c:pt>
                <c:pt idx="193">
                  <c:v>7.542675329197347</c:v>
                </c:pt>
                <c:pt idx="194">
                  <c:v>7.876327673300328</c:v>
                </c:pt>
                <c:pt idx="195">
                  <c:v>7.876602916725514</c:v>
                </c:pt>
                <c:pt idx="196">
                  <c:v>7.936047428270957</c:v>
                </c:pt>
                <c:pt idx="197">
                  <c:v>8.293623131249681</c:v>
                </c:pt>
                <c:pt idx="198">
                  <c:v>8.3085619419613</c:v>
                </c:pt>
              </c:numCache>
            </c:numRef>
          </c:cat>
          <c:val>
            <c:numRef>
              <c:f>Calculations!$B$2:$B$200</c:f>
              <c:numCache>
                <c:formatCode>General</c:formatCode>
                <c:ptCount val="199"/>
                <c:pt idx="0">
                  <c:v>1.67</c:v>
                </c:pt>
                <c:pt idx="1">
                  <c:v>3.34</c:v>
                </c:pt>
                <c:pt idx="2">
                  <c:v>5.01</c:v>
                </c:pt>
                <c:pt idx="3">
                  <c:v>6.68</c:v>
                </c:pt>
                <c:pt idx="4">
                  <c:v>8.35</c:v>
                </c:pt>
                <c:pt idx="5">
                  <c:v>10.02</c:v>
                </c:pt>
                <c:pt idx="6">
                  <c:v>11.69</c:v>
                </c:pt>
                <c:pt idx="7">
                  <c:v>13.36</c:v>
                </c:pt>
                <c:pt idx="8">
                  <c:v>15.03</c:v>
                </c:pt>
                <c:pt idx="9">
                  <c:v>16.7</c:v>
                </c:pt>
                <c:pt idx="10">
                  <c:v>18.37</c:v>
                </c:pt>
                <c:pt idx="11">
                  <c:v>20.04</c:v>
                </c:pt>
                <c:pt idx="12">
                  <c:v>21.71</c:v>
                </c:pt>
                <c:pt idx="13">
                  <c:v>41.71</c:v>
                </c:pt>
                <c:pt idx="14">
                  <c:v>61.71</c:v>
                </c:pt>
                <c:pt idx="15">
                  <c:v>81.71</c:v>
                </c:pt>
                <c:pt idx="16">
                  <c:v>83.38</c:v>
                </c:pt>
                <c:pt idx="17">
                  <c:v>103.38</c:v>
                </c:pt>
                <c:pt idx="18">
                  <c:v>105.05</c:v>
                </c:pt>
                <c:pt idx="19">
                  <c:v>125.05</c:v>
                </c:pt>
                <c:pt idx="20">
                  <c:v>126.72</c:v>
                </c:pt>
                <c:pt idx="21">
                  <c:v>128.39</c:v>
                </c:pt>
                <c:pt idx="22">
                  <c:v>148.39</c:v>
                </c:pt>
                <c:pt idx="23">
                  <c:v>150.06</c:v>
                </c:pt>
                <c:pt idx="24">
                  <c:v>151.73</c:v>
                </c:pt>
                <c:pt idx="25">
                  <c:v>171.73</c:v>
                </c:pt>
                <c:pt idx="26">
                  <c:v>173.4</c:v>
                </c:pt>
                <c:pt idx="27">
                  <c:v>175.07</c:v>
                </c:pt>
                <c:pt idx="28">
                  <c:v>195.07</c:v>
                </c:pt>
                <c:pt idx="29">
                  <c:v>196.74</c:v>
                </c:pt>
                <c:pt idx="30">
                  <c:v>198.41</c:v>
                </c:pt>
                <c:pt idx="31">
                  <c:v>218.41</c:v>
                </c:pt>
                <c:pt idx="32">
                  <c:v>220.08</c:v>
                </c:pt>
                <c:pt idx="33">
                  <c:v>310.08</c:v>
                </c:pt>
                <c:pt idx="34">
                  <c:v>330.08</c:v>
                </c:pt>
                <c:pt idx="35">
                  <c:v>331.75</c:v>
                </c:pt>
                <c:pt idx="36">
                  <c:v>421.75</c:v>
                </c:pt>
                <c:pt idx="37">
                  <c:v>423.42</c:v>
                </c:pt>
                <c:pt idx="38">
                  <c:v>513.4200000000001</c:v>
                </c:pt>
                <c:pt idx="39">
                  <c:v>533.4200000000001</c:v>
                </c:pt>
                <c:pt idx="40">
                  <c:v>535.09</c:v>
                </c:pt>
                <c:pt idx="41">
                  <c:v>625.09</c:v>
                </c:pt>
                <c:pt idx="42">
                  <c:v>626.76</c:v>
                </c:pt>
                <c:pt idx="43">
                  <c:v>646.76</c:v>
                </c:pt>
                <c:pt idx="44">
                  <c:v>648.4300000000001</c:v>
                </c:pt>
                <c:pt idx="45">
                  <c:v>738.4300000000001</c:v>
                </c:pt>
                <c:pt idx="46">
                  <c:v>740.1</c:v>
                </c:pt>
                <c:pt idx="47">
                  <c:v>760.1</c:v>
                </c:pt>
                <c:pt idx="48">
                  <c:v>761.77</c:v>
                </c:pt>
                <c:pt idx="49">
                  <c:v>851.77</c:v>
                </c:pt>
                <c:pt idx="50">
                  <c:v>853.4400000000001</c:v>
                </c:pt>
                <c:pt idx="51">
                  <c:v>873.4400000000001</c:v>
                </c:pt>
                <c:pt idx="52">
                  <c:v>963.4400000000001</c:v>
                </c:pt>
                <c:pt idx="53">
                  <c:v>965.11</c:v>
                </c:pt>
                <c:pt idx="54">
                  <c:v>966.78</c:v>
                </c:pt>
                <c:pt idx="55">
                  <c:v>986.78</c:v>
                </c:pt>
                <c:pt idx="56">
                  <c:v>1076.78</c:v>
                </c:pt>
                <c:pt idx="57">
                  <c:v>1078.45</c:v>
                </c:pt>
                <c:pt idx="58">
                  <c:v>1080.12</c:v>
                </c:pt>
                <c:pt idx="59">
                  <c:v>1170.12</c:v>
                </c:pt>
                <c:pt idx="60">
                  <c:v>1190.12</c:v>
                </c:pt>
                <c:pt idx="61">
                  <c:v>1191.79</c:v>
                </c:pt>
                <c:pt idx="62">
                  <c:v>1193.46</c:v>
                </c:pt>
                <c:pt idx="63">
                  <c:v>1283.46</c:v>
                </c:pt>
                <c:pt idx="64">
                  <c:v>1303.46</c:v>
                </c:pt>
                <c:pt idx="65">
                  <c:v>1305.13</c:v>
                </c:pt>
                <c:pt idx="66">
                  <c:v>1665.13</c:v>
                </c:pt>
                <c:pt idx="67">
                  <c:v>1755.13</c:v>
                </c:pt>
                <c:pt idx="68">
                  <c:v>1756.8</c:v>
                </c:pt>
                <c:pt idx="69">
                  <c:v>2116.8</c:v>
                </c:pt>
                <c:pt idx="70">
                  <c:v>2136.8</c:v>
                </c:pt>
                <c:pt idx="71">
                  <c:v>2138.47</c:v>
                </c:pt>
                <c:pt idx="72">
                  <c:v>2228.47</c:v>
                </c:pt>
                <c:pt idx="73">
                  <c:v>2588.47</c:v>
                </c:pt>
                <c:pt idx="74">
                  <c:v>2590.14</c:v>
                </c:pt>
                <c:pt idx="75">
                  <c:v>2610.14</c:v>
                </c:pt>
                <c:pt idx="76">
                  <c:v>2611.81</c:v>
                </c:pt>
                <c:pt idx="77">
                  <c:v>2971.81</c:v>
                </c:pt>
                <c:pt idx="78">
                  <c:v>3061.81</c:v>
                </c:pt>
                <c:pt idx="79">
                  <c:v>3063.48</c:v>
                </c:pt>
                <c:pt idx="80">
                  <c:v>3423.48</c:v>
                </c:pt>
                <c:pt idx="81">
                  <c:v>3443.48</c:v>
                </c:pt>
                <c:pt idx="82">
                  <c:v>3445.15</c:v>
                </c:pt>
                <c:pt idx="83">
                  <c:v>3535.15</c:v>
                </c:pt>
                <c:pt idx="84">
                  <c:v>3536.82</c:v>
                </c:pt>
                <c:pt idx="85">
                  <c:v>3896.82</c:v>
                </c:pt>
                <c:pt idx="86">
                  <c:v>3916.82</c:v>
                </c:pt>
                <c:pt idx="87">
                  <c:v>3918.49</c:v>
                </c:pt>
                <c:pt idx="88">
                  <c:v>4008.49</c:v>
                </c:pt>
                <c:pt idx="89">
                  <c:v>4368.49</c:v>
                </c:pt>
                <c:pt idx="90">
                  <c:v>4370.16</c:v>
                </c:pt>
                <c:pt idx="91">
                  <c:v>4390.16</c:v>
                </c:pt>
                <c:pt idx="92">
                  <c:v>4391.83</c:v>
                </c:pt>
                <c:pt idx="93">
                  <c:v>4481.83</c:v>
                </c:pt>
                <c:pt idx="94">
                  <c:v>4841.83</c:v>
                </c:pt>
                <c:pt idx="95">
                  <c:v>4843.5</c:v>
                </c:pt>
                <c:pt idx="96">
                  <c:v>4863.5</c:v>
                </c:pt>
                <c:pt idx="97">
                  <c:v>4865.17</c:v>
                </c:pt>
                <c:pt idx="98">
                  <c:v>4955.17</c:v>
                </c:pt>
                <c:pt idx="99">
                  <c:v>7115.17</c:v>
                </c:pt>
                <c:pt idx="100">
                  <c:v>7475.17</c:v>
                </c:pt>
                <c:pt idx="101">
                  <c:v>9635.17</c:v>
                </c:pt>
                <c:pt idx="102">
                  <c:v>9636.84</c:v>
                </c:pt>
                <c:pt idx="103">
                  <c:v>11796.84</c:v>
                </c:pt>
                <c:pt idx="104">
                  <c:v>12156.84</c:v>
                </c:pt>
                <c:pt idx="105">
                  <c:v>12246.84</c:v>
                </c:pt>
                <c:pt idx="106">
                  <c:v>12266.84</c:v>
                </c:pt>
                <c:pt idx="107">
                  <c:v>12268.51</c:v>
                </c:pt>
                <c:pt idx="108">
                  <c:v>14428.51</c:v>
                </c:pt>
                <c:pt idx="109">
                  <c:v>14430.18</c:v>
                </c:pt>
                <c:pt idx="110">
                  <c:v>14790.18</c:v>
                </c:pt>
                <c:pt idx="111">
                  <c:v>16950.18</c:v>
                </c:pt>
                <c:pt idx="112">
                  <c:v>17040.18</c:v>
                </c:pt>
                <c:pt idx="113">
                  <c:v>17060.18</c:v>
                </c:pt>
                <c:pt idx="114">
                  <c:v>17061.85</c:v>
                </c:pt>
                <c:pt idx="115">
                  <c:v>17063.52</c:v>
                </c:pt>
                <c:pt idx="116">
                  <c:v>17423.52</c:v>
                </c:pt>
                <c:pt idx="117">
                  <c:v>19583.52</c:v>
                </c:pt>
                <c:pt idx="118">
                  <c:v>19673.52</c:v>
                </c:pt>
                <c:pt idx="119">
                  <c:v>19675.19</c:v>
                </c:pt>
                <c:pt idx="120">
                  <c:v>19695.19</c:v>
                </c:pt>
                <c:pt idx="121">
                  <c:v>21855.19</c:v>
                </c:pt>
                <c:pt idx="122">
                  <c:v>22215.19</c:v>
                </c:pt>
                <c:pt idx="123">
                  <c:v>22216.86</c:v>
                </c:pt>
                <c:pt idx="124">
                  <c:v>22306.86</c:v>
                </c:pt>
                <c:pt idx="125">
                  <c:v>22308.53</c:v>
                </c:pt>
                <c:pt idx="126">
                  <c:v>24468.53</c:v>
                </c:pt>
                <c:pt idx="127">
                  <c:v>24488.53</c:v>
                </c:pt>
                <c:pt idx="128">
                  <c:v>24848.53</c:v>
                </c:pt>
                <c:pt idx="129">
                  <c:v>24850.2</c:v>
                </c:pt>
                <c:pt idx="130">
                  <c:v>24940.2</c:v>
                </c:pt>
                <c:pt idx="131">
                  <c:v>27100.2</c:v>
                </c:pt>
                <c:pt idx="132">
                  <c:v>27101.87</c:v>
                </c:pt>
                <c:pt idx="133">
                  <c:v>27121.87</c:v>
                </c:pt>
                <c:pt idx="134">
                  <c:v>27481.87</c:v>
                </c:pt>
                <c:pt idx="135">
                  <c:v>27483.54</c:v>
                </c:pt>
                <c:pt idx="136">
                  <c:v>29643.54</c:v>
                </c:pt>
                <c:pt idx="137">
                  <c:v>29733.54</c:v>
                </c:pt>
                <c:pt idx="138">
                  <c:v>29735.21</c:v>
                </c:pt>
                <c:pt idx="139">
                  <c:v>30095.21</c:v>
                </c:pt>
                <c:pt idx="140">
                  <c:v>30115.21</c:v>
                </c:pt>
                <c:pt idx="141">
                  <c:v>32275.21</c:v>
                </c:pt>
                <c:pt idx="142">
                  <c:v>32276.88</c:v>
                </c:pt>
                <c:pt idx="143">
                  <c:v>32366.88</c:v>
                </c:pt>
                <c:pt idx="144">
                  <c:v>32726.88</c:v>
                </c:pt>
                <c:pt idx="145">
                  <c:v>32728.55</c:v>
                </c:pt>
                <c:pt idx="146">
                  <c:v>32748.55</c:v>
                </c:pt>
                <c:pt idx="147">
                  <c:v>34908.55</c:v>
                </c:pt>
                <c:pt idx="148">
                  <c:v>34910.22</c:v>
                </c:pt>
                <c:pt idx="149">
                  <c:v>35000.22</c:v>
                </c:pt>
                <c:pt idx="150">
                  <c:v>35360.22</c:v>
                </c:pt>
                <c:pt idx="151">
                  <c:v>37520.22</c:v>
                </c:pt>
                <c:pt idx="152">
                  <c:v>37521.89</c:v>
                </c:pt>
                <c:pt idx="153">
                  <c:v>37541.89</c:v>
                </c:pt>
                <c:pt idx="154">
                  <c:v>37543.56</c:v>
                </c:pt>
                <c:pt idx="155">
                  <c:v>37633.56</c:v>
                </c:pt>
                <c:pt idx="156">
                  <c:v>37993.56</c:v>
                </c:pt>
                <c:pt idx="157">
                  <c:v>40153.56</c:v>
                </c:pt>
                <c:pt idx="158">
                  <c:v>40155.23</c:v>
                </c:pt>
                <c:pt idx="159">
                  <c:v>40175.23</c:v>
                </c:pt>
                <c:pt idx="160">
                  <c:v>40176.9</c:v>
                </c:pt>
                <c:pt idx="161">
                  <c:v>40266.9</c:v>
                </c:pt>
                <c:pt idx="162">
                  <c:v>42426.9</c:v>
                </c:pt>
                <c:pt idx="163">
                  <c:v>42786.9</c:v>
                </c:pt>
                <c:pt idx="164">
                  <c:v>42788.57</c:v>
                </c:pt>
                <c:pt idx="165">
                  <c:v>42808.57</c:v>
                </c:pt>
                <c:pt idx="166">
                  <c:v>44968.57</c:v>
                </c:pt>
                <c:pt idx="167">
                  <c:v>44970.24</c:v>
                </c:pt>
                <c:pt idx="168">
                  <c:v>45060.24</c:v>
                </c:pt>
                <c:pt idx="169">
                  <c:v>45420.24</c:v>
                </c:pt>
                <c:pt idx="170">
                  <c:v>45421.91</c:v>
                </c:pt>
                <c:pt idx="171">
                  <c:v>47581.91</c:v>
                </c:pt>
                <c:pt idx="172">
                  <c:v>47601.91</c:v>
                </c:pt>
                <c:pt idx="173">
                  <c:v>47961.91</c:v>
                </c:pt>
                <c:pt idx="174">
                  <c:v>47963.58</c:v>
                </c:pt>
                <c:pt idx="175">
                  <c:v>48053.58</c:v>
                </c:pt>
                <c:pt idx="176">
                  <c:v>48055.25</c:v>
                </c:pt>
                <c:pt idx="177">
                  <c:v>50215.25</c:v>
                </c:pt>
                <c:pt idx="178">
                  <c:v>50235.25</c:v>
                </c:pt>
                <c:pt idx="179">
                  <c:v>50595.25</c:v>
                </c:pt>
                <c:pt idx="180">
                  <c:v>50685.25</c:v>
                </c:pt>
                <c:pt idx="181">
                  <c:v>50686.92</c:v>
                </c:pt>
                <c:pt idx="182">
                  <c:v>52846.92</c:v>
                </c:pt>
                <c:pt idx="183">
                  <c:v>52848.59</c:v>
                </c:pt>
                <c:pt idx="184">
                  <c:v>53208.59</c:v>
                </c:pt>
                <c:pt idx="185">
                  <c:v>53228.59</c:v>
                </c:pt>
                <c:pt idx="186">
                  <c:v>53318.59</c:v>
                </c:pt>
                <c:pt idx="187">
                  <c:v>53320.26</c:v>
                </c:pt>
                <c:pt idx="188">
                  <c:v>55480.26</c:v>
                </c:pt>
                <c:pt idx="189">
                  <c:v>55481.93</c:v>
                </c:pt>
                <c:pt idx="190">
                  <c:v>55841.93</c:v>
                </c:pt>
                <c:pt idx="191">
                  <c:v>55861.93</c:v>
                </c:pt>
                <c:pt idx="192">
                  <c:v>55951.93</c:v>
                </c:pt>
                <c:pt idx="193">
                  <c:v>55953.6</c:v>
                </c:pt>
                <c:pt idx="194">
                  <c:v>58113.6</c:v>
                </c:pt>
                <c:pt idx="195">
                  <c:v>58115.27</c:v>
                </c:pt>
                <c:pt idx="196">
                  <c:v>58475.27</c:v>
                </c:pt>
                <c:pt idx="197">
                  <c:v>60635.27</c:v>
                </c:pt>
                <c:pt idx="198">
                  <c:v>60725.27</c:v>
                </c:pt>
              </c:numCache>
            </c:numRef>
          </c:val>
          <c:smooth val="0"/>
        </c:ser>
        <c:dLbls>
          <c:showLegendKey val="0"/>
          <c:showVal val="0"/>
          <c:showCatName val="0"/>
          <c:showSerName val="0"/>
          <c:showPercent val="0"/>
          <c:showBubbleSize val="0"/>
        </c:dLbls>
        <c:marker val="1"/>
        <c:smooth val="0"/>
        <c:axId val="671911864"/>
        <c:axId val="489861192"/>
      </c:lineChart>
      <c:catAx>
        <c:axId val="671911864"/>
        <c:scaling>
          <c:orientation val="minMax"/>
        </c:scaling>
        <c:delete val="0"/>
        <c:axPos val="b"/>
        <c:title>
          <c:tx>
            <c:rich>
              <a:bodyPr/>
              <a:lstStyle/>
              <a:p>
                <a:pPr lvl="0">
                  <a:defRPr/>
                </a:pPr>
                <a:r>
                  <a:rPr lang="en-US"/>
                  <a:t>Minutes</a:t>
                </a:r>
              </a:p>
            </c:rich>
          </c:tx>
          <c:layout/>
          <c:overlay val="0"/>
        </c:title>
        <c:numFmt formatCode="0.00" sourceLinked="1"/>
        <c:majorTickMark val="cross"/>
        <c:minorTickMark val="cross"/>
        <c:tickLblPos val="nextTo"/>
        <c:txPr>
          <a:bodyPr/>
          <a:lstStyle/>
          <a:p>
            <a:pPr lvl="0">
              <a:defRPr/>
            </a:pPr>
            <a:endParaRPr lang="en-US"/>
          </a:p>
        </c:txPr>
        <c:crossAx val="489861192"/>
        <c:crosses val="autoZero"/>
        <c:auto val="1"/>
        <c:lblAlgn val="ctr"/>
        <c:lblOffset val="100"/>
        <c:tickLblSkip val="20"/>
        <c:tickMarkSkip val="20"/>
        <c:noMultiLvlLbl val="1"/>
      </c:catAx>
      <c:valAx>
        <c:axId val="489861192"/>
        <c:scaling>
          <c:orientation val="minMax"/>
        </c:scaling>
        <c:delete val="0"/>
        <c:axPos val="l"/>
        <c:majorGridlines>
          <c:spPr>
            <a:ln>
              <a:solidFill>
                <a:srgbClr val="B7B7B7"/>
              </a:solidFill>
            </a:ln>
          </c:spPr>
        </c:majorGridlines>
        <c:title>
          <c:tx>
            <c:rich>
              <a:bodyPr/>
              <a:lstStyle/>
              <a:p>
                <a:pPr lvl="0">
                  <a:defRPr/>
                </a:pPr>
                <a:r>
                  <a:rPr lang="en-US"/>
                  <a:t>Income / Sec</a:t>
                </a:r>
              </a:p>
            </c:rich>
          </c:tx>
          <c:layout/>
          <c:overlay val="0"/>
        </c:title>
        <c:numFmt formatCode="General" sourceLinked="1"/>
        <c:majorTickMark val="cross"/>
        <c:minorTickMark val="cross"/>
        <c:tickLblPos val="nextTo"/>
        <c:spPr>
          <a:ln w="47625">
            <a:noFill/>
          </a:ln>
        </c:spPr>
        <c:txPr>
          <a:bodyPr/>
          <a:lstStyle/>
          <a:p>
            <a:pPr lvl="0">
              <a:defRPr/>
            </a:pPr>
            <a:endParaRPr lang="en-US"/>
          </a:p>
        </c:txPr>
        <c:crossAx val="671911864"/>
        <c:crosses val="autoZero"/>
        <c:crossBetween val="between"/>
      </c:valAx>
    </c:plotArea>
    <c:legend>
      <c:legendPos val="r"/>
      <c:layout/>
      <c:overlay val="0"/>
    </c:legend>
    <c:plotVisOnly val="1"/>
    <c:dispBlanksAs val="zero"/>
    <c:showDLblsOverMax val="1"/>
  </c:chart>
  <c:printSettings>
    <c:headerFooter/>
    <c:pageMargins b="1.0" l="0.75" r="0.75" t="1.0"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1"/>
  <c:style val="18"/>
  <c:chart>
    <c:title>
      <c:tx>
        <c:rich>
          <a:bodyPr/>
          <a:lstStyle/>
          <a:p>
            <a:pPr lvl="0">
              <a:defRPr sz="1600" b="1">
                <a:solidFill>
                  <a:srgbClr val="000000"/>
                </a:solidFill>
              </a:defRPr>
            </a:pPr>
            <a:r>
              <a:rPr lang="en-US"/>
              <a:t>Income / Sec vs. Minutes</a:t>
            </a:r>
          </a:p>
        </c:rich>
      </c:tx>
      <c:layout/>
      <c:overlay val="0"/>
    </c:title>
    <c:autoTitleDeleted val="0"/>
    <c:plotArea>
      <c:layout/>
      <c:lineChart>
        <c:grouping val="standard"/>
        <c:varyColors val="0"/>
        <c:ser>
          <c:idx val="0"/>
          <c:order val="0"/>
          <c:tx>
            <c:strRef>
              <c:f>Calculations!$B$1</c:f>
              <c:strCache>
                <c:ptCount val="1"/>
                <c:pt idx="0">
                  <c:v>Income / Sec</c:v>
                </c:pt>
              </c:strCache>
            </c:strRef>
          </c:tx>
          <c:spPr>
            <a:ln w="25400" cmpd="sng">
              <a:solidFill>
                <a:srgbClr val="3366CC"/>
              </a:solidFill>
            </a:ln>
          </c:spPr>
          <c:marker>
            <c:symbol val="none"/>
          </c:marker>
          <c:cat>
            <c:numRef>
              <c:f>Calculations!$A$2:$A$400</c:f>
              <c:numCache>
                <c:formatCode>0.00</c:formatCode>
                <c:ptCount val="399"/>
                <c:pt idx="0">
                  <c:v>0.0</c:v>
                </c:pt>
                <c:pt idx="1">
                  <c:v>0.0457045908183633</c:v>
                </c:pt>
                <c:pt idx="2">
                  <c:v>0.0701565469061876</c:v>
                </c:pt>
                <c:pt idx="3">
                  <c:v>0.0875989422488357</c:v>
                </c:pt>
                <c:pt idx="4">
                  <c:v>0.101596464511311</c:v>
                </c:pt>
                <c:pt idx="5">
                  <c:v>0.113578343567989</c:v>
                </c:pt>
                <c:pt idx="6">
                  <c:v>0.124262185726861</c:v>
                </c:pt>
                <c:pt idx="7">
                  <c:v>0.134060795249712</c:v>
                </c:pt>
                <c:pt idx="8">
                  <c:v>0.143234743415481</c:v>
                </c:pt>
                <c:pt idx="9">
                  <c:v>0.151960187448702</c:v>
                </c:pt>
                <c:pt idx="10">
                  <c:v>0.160362790052693</c:v>
                </c:pt>
                <c:pt idx="11">
                  <c:v>0.168536230767485</c:v>
                </c:pt>
                <c:pt idx="12">
                  <c:v>0.176553013868576</c:v>
                </c:pt>
                <c:pt idx="13">
                  <c:v>0.22952399498327</c:v>
                </c:pt>
                <c:pt idx="14">
                  <c:v>0.261231019677588</c:v>
                </c:pt>
                <c:pt idx="15">
                  <c:v>0.285876539042359</c:v>
                </c:pt>
                <c:pt idx="16">
                  <c:v>0.28798034857216</c:v>
                </c:pt>
                <c:pt idx="17">
                  <c:v>0.308956676828337</c:v>
                </c:pt>
                <c:pt idx="18">
                  <c:v>0.310735893659906</c:v>
                </c:pt>
                <c:pt idx="19">
                  <c:v>0.329882558938345</c:v>
                </c:pt>
                <c:pt idx="20">
                  <c:v>0.331456416727798</c:v>
                </c:pt>
                <c:pt idx="21">
                  <c:v>0.333118251329526</c:v>
                </c:pt>
                <c:pt idx="22">
                  <c:v>0.351134146380737</c:v>
                </c:pt>
                <c:pt idx="23">
                  <c:v>0.352652636968932</c:v>
                </c:pt>
                <c:pt idx="24">
                  <c:v>0.354259339858902</c:v>
                </c:pt>
                <c:pt idx="25">
                  <c:v>0.371790611726487</c:v>
                </c:pt>
                <c:pt idx="26">
                  <c:v>0.373292847586068</c:v>
                </c:pt>
                <c:pt idx="27">
                  <c:v>0.374884759302661</c:v>
                </c:pt>
                <c:pt idx="28">
                  <c:v>0.392357900689187</c:v>
                </c:pt>
                <c:pt idx="29">
                  <c:v>0.393872024419506</c:v>
                </c:pt>
                <c:pt idx="30">
                  <c:v>0.395478384713287</c:v>
                </c:pt>
                <c:pt idx="31">
                  <c:v>0.413208722357156</c:v>
                </c:pt>
                <c:pt idx="32">
                  <c:v>0.414756993026504</c:v>
                </c:pt>
                <c:pt idx="33">
                  <c:v>0.476916207857475</c:v>
                </c:pt>
                <c:pt idx="34">
                  <c:v>0.489963027180578</c:v>
                </c:pt>
                <c:pt idx="35">
                  <c:v>0.491059212477097</c:v>
                </c:pt>
                <c:pt idx="36">
                  <c:v>0.538068104715228</c:v>
                </c:pt>
                <c:pt idx="37">
                  <c:v>0.538986081862026</c:v>
                </c:pt>
                <c:pt idx="38">
                  <c:v>0.580974008743137</c:v>
                </c:pt>
                <c:pt idx="39">
                  <c:v>0.590035578989843</c:v>
                </c:pt>
                <c:pt idx="40">
                  <c:v>0.590812186244874</c:v>
                </c:pt>
                <c:pt idx="41">
                  <c:v>0.628689032980937</c:v>
                </c:pt>
                <c:pt idx="42">
                  <c:v>0.629398140294951</c:v>
                </c:pt>
                <c:pt idx="43">
                  <c:v>0.637934502068953</c:v>
                </c:pt>
                <c:pt idx="44">
                  <c:v>0.638667824790335</c:v>
                </c:pt>
                <c:pt idx="45">
                  <c:v>0.67430000557901</c:v>
                </c:pt>
                <c:pt idx="46">
                  <c:v>0.674987252399305</c:v>
                </c:pt>
                <c:pt idx="47">
                  <c:v>0.683300706826132</c:v>
                </c:pt>
                <c:pt idx="48">
                  <c:v>0.68401509641484</c:v>
                </c:pt>
                <c:pt idx="49">
                  <c:v>0.718592031037143</c:v>
                </c:pt>
                <c:pt idx="50">
                  <c:v>0.719274161252134</c:v>
                </c:pt>
                <c:pt idx="51">
                  <c:v>0.727564967594102</c:v>
                </c:pt>
                <c:pt idx="52">
                  <c:v>0.761943088009293</c:v>
                </c:pt>
                <c:pt idx="53">
                  <c:v>0.762588368791644</c:v>
                </c:pt>
                <c:pt idx="54">
                  <c:v>0.76327762449217</c:v>
                </c:pt>
                <c:pt idx="55">
                  <c:v>0.771694287672172</c:v>
                </c:pt>
                <c:pt idx="56">
                  <c:v>0.806383921698811</c:v>
                </c:pt>
                <c:pt idx="57">
                  <c:v>0.807044940754676</c:v>
                </c:pt>
                <c:pt idx="58">
                  <c:v>0.807751135892052</c:v>
                </c:pt>
                <c:pt idx="59">
                  <c:v>0.84387988293301</c:v>
                </c:pt>
                <c:pt idx="60">
                  <c:v>0.851877029271451</c:v>
                </c:pt>
                <c:pt idx="61">
                  <c:v>0.852561756757852</c:v>
                </c:pt>
                <c:pt idx="62">
                  <c:v>0.853293388528083</c:v>
                </c:pt>
                <c:pt idx="63">
                  <c:v>0.890568752402384</c:v>
                </c:pt>
                <c:pt idx="64">
                  <c:v>0.898953325357183</c:v>
                </c:pt>
                <c:pt idx="65">
                  <c:v>0.899669103384407</c:v>
                </c:pt>
                <c:pt idx="66">
                  <c:v>1.024346338602355</c:v>
                </c:pt>
                <c:pt idx="67">
                  <c:v>1.054803292460097</c:v>
                </c:pt>
                <c:pt idx="68">
                  <c:v>1.055372080634922</c:v>
                </c:pt>
                <c:pt idx="69">
                  <c:v>1.160036015061151</c:v>
                </c:pt>
                <c:pt idx="70">
                  <c:v>1.165882317784721</c:v>
                </c:pt>
                <c:pt idx="71">
                  <c:v>1.166382213887552</c:v>
                </c:pt>
                <c:pt idx="72">
                  <c:v>1.193417831800331</c:v>
                </c:pt>
                <c:pt idx="73">
                  <c:v>1.28665541992133</c:v>
                </c:pt>
                <c:pt idx="74">
                  <c:v>1.287096974373189</c:v>
                </c:pt>
                <c:pt idx="75">
                  <c:v>1.292591569895455</c:v>
                </c:pt>
                <c:pt idx="76">
                  <c:v>1.293060110657118</c:v>
                </c:pt>
                <c:pt idx="77">
                  <c:v>1.38295493449193</c:v>
                </c:pt>
                <c:pt idx="78">
                  <c:v>1.40513298017293</c:v>
                </c:pt>
                <c:pt idx="79">
                  <c:v>1.405560362659924</c:v>
                </c:pt>
                <c:pt idx="80">
                  <c:v>1.492164703415927</c:v>
                </c:pt>
                <c:pt idx="81">
                  <c:v>1.49694537612117</c:v>
                </c:pt>
                <c:pt idx="82">
                  <c:v>1.497351989039084</c:v>
                </c:pt>
                <c:pt idx="83">
                  <c:v>1.519161254019183</c:v>
                </c:pt>
                <c:pt idx="84">
                  <c:v>1.519585047887087</c:v>
                </c:pt>
                <c:pt idx="85">
                  <c:v>1.604350756171844</c:v>
                </c:pt>
                <c:pt idx="86">
                  <c:v>1.609180724710778</c:v>
                </c:pt>
                <c:pt idx="87">
                  <c:v>1.609589997318293</c:v>
                </c:pt>
                <c:pt idx="88">
                  <c:v>1.631449248137016</c:v>
                </c:pt>
                <c:pt idx="89">
                  <c:v>1.715963663586359</c:v>
                </c:pt>
                <c:pt idx="90">
                  <c:v>1.716356307368074</c:v>
                </c:pt>
                <c:pt idx="91">
                  <c:v>1.721309157081167</c:v>
                </c:pt>
                <c:pt idx="92">
                  <c:v>1.721727212155325</c:v>
                </c:pt>
                <c:pt idx="93">
                  <c:v>1.743960994324569</c:v>
                </c:pt>
                <c:pt idx="94">
                  <c:v>1.829376095695778</c:v>
                </c:pt>
                <c:pt idx="95">
                  <c:v>1.829781686489108</c:v>
                </c:pt>
                <c:pt idx="96">
                  <c:v>1.834920833295653</c:v>
                </c:pt>
                <c:pt idx="97">
                  <c:v>1.835352881776753</c:v>
                </c:pt>
                <c:pt idx="98">
                  <c:v>1.858233391678885</c:v>
                </c:pt>
                <c:pt idx="99">
                  <c:v>2.248807277135892</c:v>
                </c:pt>
                <c:pt idx="100">
                  <c:v>2.3096044245083</c:v>
                </c:pt>
                <c:pt idx="101">
                  <c:v>2.599578190991203</c:v>
                </c:pt>
                <c:pt idx="102">
                  <c:v>2.599811539913223</c:v>
                </c:pt>
                <c:pt idx="103">
                  <c:v>2.851731835777843</c:v>
                </c:pt>
                <c:pt idx="104">
                  <c:v>2.893168161450549</c:v>
                </c:pt>
                <c:pt idx="105">
                  <c:v>2.903606896369412</c:v>
                </c:pt>
                <c:pt idx="106">
                  <c:v>2.905944248387656</c:v>
                </c:pt>
                <c:pt idx="107">
                  <c:v>2.906140365846618</c:v>
                </c:pt>
                <c:pt idx="108">
                  <c:v>3.127768049573493</c:v>
                </c:pt>
                <c:pt idx="109">
                  <c:v>3.127946456310891</c:v>
                </c:pt>
                <c:pt idx="110">
                  <c:v>3.166224842698874</c:v>
                </c:pt>
                <c:pt idx="111">
                  <c:v>3.372126760631556</c:v>
                </c:pt>
                <c:pt idx="112">
                  <c:v>3.380661673797114</c:v>
                </c:pt>
                <c:pt idx="113">
                  <c:v>3.382593516806976</c:v>
                </c:pt>
                <c:pt idx="114">
                  <c:v>3.382754964894407</c:v>
                </c:pt>
                <c:pt idx="115">
                  <c:v>3.382927697439383</c:v>
                </c:pt>
                <c:pt idx="116">
                  <c:v>3.419506980402546</c:v>
                </c:pt>
                <c:pt idx="117">
                  <c:v>3.615263383241809</c:v>
                </c:pt>
                <c:pt idx="118">
                  <c:v>3.623684845699133</c:v>
                </c:pt>
                <c:pt idx="119">
                  <c:v>3.623845134063725</c:v>
                </c:pt>
                <c:pt idx="120">
                  <c:v>3.625769221989318</c:v>
                </c:pt>
                <c:pt idx="121">
                  <c:v>3.819728126269892</c:v>
                </c:pt>
                <c:pt idx="122">
                  <c:v>3.852000259290158</c:v>
                </c:pt>
                <c:pt idx="123">
                  <c:v>3.852152145314577</c:v>
                </c:pt>
                <c:pt idx="124">
                  <c:v>3.860614679689236</c:v>
                </c:pt>
                <c:pt idx="125">
                  <c:v>3.860776529867754</c:v>
                </c:pt>
                <c:pt idx="126">
                  <c:v>4.052562558289951</c:v>
                </c:pt>
                <c:pt idx="127">
                  <c:v>4.05434179532788</c:v>
                </c:pt>
                <c:pt idx="128">
                  <c:v>4.086887822660488</c:v>
                </c:pt>
                <c:pt idx="129">
                  <c:v>4.08704328840121</c:v>
                </c:pt>
                <c:pt idx="130">
                  <c:v>4.095668268210208</c:v>
                </c:pt>
                <c:pt idx="131">
                  <c:v>4.287803058343162</c:v>
                </c:pt>
                <c:pt idx="132">
                  <c:v>4.287955585327497</c:v>
                </c:pt>
                <c:pt idx="133">
                  <c:v>4.289802897415763</c:v>
                </c:pt>
                <c:pt idx="134">
                  <c:v>4.323009123033259</c:v>
                </c:pt>
                <c:pt idx="135">
                  <c:v>4.323170060320479</c:v>
                </c:pt>
                <c:pt idx="136">
                  <c:v>4.51844714995372</c:v>
                </c:pt>
                <c:pt idx="137">
                  <c:v>4.526689722180401</c:v>
                </c:pt>
                <c:pt idx="138">
                  <c:v>4.526848884447588</c:v>
                </c:pt>
                <c:pt idx="139">
                  <c:v>4.561074130405458</c:v>
                </c:pt>
                <c:pt idx="140">
                  <c:v>4.562987240627166</c:v>
                </c:pt>
                <c:pt idx="141">
                  <c:v>4.762585197556606</c:v>
                </c:pt>
                <c:pt idx="142">
                  <c:v>4.762742089786666</c:v>
                </c:pt>
                <c:pt idx="143">
                  <c:v>4.771371997083626</c:v>
                </c:pt>
                <c:pt idx="144">
                  <c:v>4.806901995950386</c:v>
                </c:pt>
                <c:pt idx="145">
                  <c:v>4.807067553765542</c:v>
                </c:pt>
                <c:pt idx="146">
                  <c:v>4.80909061228652</c:v>
                </c:pt>
                <c:pt idx="147">
                  <c:v>5.014664493118532</c:v>
                </c:pt>
                <c:pt idx="148">
                  <c:v>5.014830568882267</c:v>
                </c:pt>
                <c:pt idx="149">
                  <c:v>5.023926558244352</c:v>
                </c:pt>
                <c:pt idx="150">
                  <c:v>5.061054741638178</c:v>
                </c:pt>
                <c:pt idx="151">
                  <c:v>5.274291992337854</c:v>
                </c:pt>
                <c:pt idx="152">
                  <c:v>5.274457324166646</c:v>
                </c:pt>
                <c:pt idx="153">
                  <c:v>5.276486633930902</c:v>
                </c:pt>
                <c:pt idx="154">
                  <c:v>5.27666343687424</c:v>
                </c:pt>
                <c:pt idx="155">
                  <c:v>5.286305543491534</c:v>
                </c:pt>
                <c:pt idx="156">
                  <c:v>5.325324676501864</c:v>
                </c:pt>
                <c:pt idx="157">
                  <c:v>5.547597346621957</c:v>
                </c:pt>
                <c:pt idx="158">
                  <c:v>5.547774221170966</c:v>
                </c:pt>
                <c:pt idx="159">
                  <c:v>5.549954885269088</c:v>
                </c:pt>
                <c:pt idx="160">
                  <c:v>5.55014403895441</c:v>
                </c:pt>
                <c:pt idx="161">
                  <c:v>5.560415584779911</c:v>
                </c:pt>
                <c:pt idx="162">
                  <c:v>5.795306317167956</c:v>
                </c:pt>
                <c:pt idx="163">
                  <c:v>5.834416519377407</c:v>
                </c:pt>
                <c:pt idx="164">
                  <c:v>5.834606559864333</c:v>
                </c:pt>
                <c:pt idx="165">
                  <c:v>5.836959988097032</c:v>
                </c:pt>
                <c:pt idx="166">
                  <c:v>6.084417920652025</c:v>
                </c:pt>
                <c:pt idx="167">
                  <c:v>6.084611398682165</c:v>
                </c:pt>
                <c:pt idx="168">
                  <c:v>6.095072848547749</c:v>
                </c:pt>
                <c:pt idx="169">
                  <c:v>6.136684629600752</c:v>
                </c:pt>
                <c:pt idx="170">
                  <c:v>6.136889592420537</c:v>
                </c:pt>
                <c:pt idx="171">
                  <c:v>6.39809654420165</c:v>
                </c:pt>
                <c:pt idx="172">
                  <c:v>6.400530343159615</c:v>
                </c:pt>
                <c:pt idx="173">
                  <c:v>6.445040986333715</c:v>
                </c:pt>
                <c:pt idx="174">
                  <c:v>6.445248674532503</c:v>
                </c:pt>
                <c:pt idx="175">
                  <c:v>6.456430439087438</c:v>
                </c:pt>
                <c:pt idx="176">
                  <c:v>6.456652241527281</c:v>
                </c:pt>
                <c:pt idx="177">
                  <c:v>6.733172723551557</c:v>
                </c:pt>
                <c:pt idx="178">
                  <c:v>6.735824816758749</c:v>
                </c:pt>
                <c:pt idx="179">
                  <c:v>6.783485265196243</c:v>
                </c:pt>
                <c:pt idx="180">
                  <c:v>6.795569441141608</c:v>
                </c:pt>
                <c:pt idx="181">
                  <c:v>6.79579444722084</c:v>
                </c:pt>
                <c:pt idx="182">
                  <c:v>7.089417579205438</c:v>
                </c:pt>
                <c:pt idx="183">
                  <c:v>7.089648487716922</c:v>
                </c:pt>
                <c:pt idx="184">
                  <c:v>7.14084162329306</c:v>
                </c:pt>
                <c:pt idx="185">
                  <c:v>7.143719952749558</c:v>
                </c:pt>
                <c:pt idx="186">
                  <c:v>7.156814385072859</c:v>
                </c:pt>
                <c:pt idx="187">
                  <c:v>7.157059271516557</c:v>
                </c:pt>
                <c:pt idx="188">
                  <c:v>7.469675797864686</c:v>
                </c:pt>
                <c:pt idx="189">
                  <c:v>7.469927616978012</c:v>
                </c:pt>
                <c:pt idx="190">
                  <c:v>7.525030207806266</c:v>
                </c:pt>
                <c:pt idx="191">
                  <c:v>7.528184193166839</c:v>
                </c:pt>
                <c:pt idx="192">
                  <c:v>7.542408154156703</c:v>
                </c:pt>
                <c:pt idx="193">
                  <c:v>7.542675329197347</c:v>
                </c:pt>
                <c:pt idx="194">
                  <c:v>7.876327673300328</c:v>
                </c:pt>
                <c:pt idx="195">
                  <c:v>7.876602916725514</c:v>
                </c:pt>
                <c:pt idx="196">
                  <c:v>7.936047428270957</c:v>
                </c:pt>
                <c:pt idx="197">
                  <c:v>8.293623131249681</c:v>
                </c:pt>
                <c:pt idx="198">
                  <c:v>8.3085619419613</c:v>
                </c:pt>
                <c:pt idx="199">
                  <c:v>8.311897346220268</c:v>
                </c:pt>
                <c:pt idx="200">
                  <c:v>8.31217909759541</c:v>
                </c:pt>
                <c:pt idx="201">
                  <c:v>8.376441367225522</c:v>
                </c:pt>
                <c:pt idx="202">
                  <c:v>8.376741056880916</c:v>
                </c:pt>
                <c:pt idx="203">
                  <c:v>8.759967840641424</c:v>
                </c:pt>
                <c:pt idx="204">
                  <c:v>8.776289259049617</c:v>
                </c:pt>
                <c:pt idx="205">
                  <c:v>8.779965552181881</c:v>
                </c:pt>
                <c:pt idx="206">
                  <c:v>8.78027472646065</c:v>
                </c:pt>
                <c:pt idx="207">
                  <c:v>8.849874007946265</c:v>
                </c:pt>
                <c:pt idx="208">
                  <c:v>9.261366878683892</c:v>
                </c:pt>
                <c:pt idx="209">
                  <c:v>9.261685036490788</c:v>
                </c:pt>
                <c:pt idx="210">
                  <c:v>9.279547969829527</c:v>
                </c:pt>
                <c:pt idx="211">
                  <c:v>9.283607003487947</c:v>
                </c:pt>
                <c:pt idx="212">
                  <c:v>9.283946856450294</c:v>
                </c:pt>
                <c:pt idx="213">
                  <c:v>9.359456740647578</c:v>
                </c:pt>
                <c:pt idx="214">
                  <c:v>9.80204389040193</c:v>
                </c:pt>
                <c:pt idx="215">
                  <c:v>9.802394152969863</c:v>
                </c:pt>
                <c:pt idx="216">
                  <c:v>9.82197545829894</c:v>
                </c:pt>
                <c:pt idx="217">
                  <c:v>9.822349738612393</c:v>
                </c:pt>
                <c:pt idx="218">
                  <c:v>9.826838398436024</c:v>
                </c:pt>
                <c:pt idx="219">
                  <c:v>10.30612028724858</c:v>
                </c:pt>
                <c:pt idx="220">
                  <c:v>10.38567022564245</c:v>
                </c:pt>
                <c:pt idx="221">
                  <c:v>10.3860564027632</c:v>
                </c:pt>
                <c:pt idx="222">
                  <c:v>10.40755311979724</c:v>
                </c:pt>
                <c:pt idx="223">
                  <c:v>10.92467496185405</c:v>
                </c:pt>
                <c:pt idx="224">
                  <c:v>10.92507549868407</c:v>
                </c:pt>
                <c:pt idx="225">
                  <c:v>10.92990045227178</c:v>
                </c:pt>
                <c:pt idx="226">
                  <c:v>11.01656865645421</c:v>
                </c:pt>
                <c:pt idx="227">
                  <c:v>11.01699501442156</c:v>
                </c:pt>
                <c:pt idx="228">
                  <c:v>11.04062686011515</c:v>
                </c:pt>
                <c:pt idx="229">
                  <c:v>11.59916280507656</c:v>
                </c:pt>
                <c:pt idx="230">
                  <c:v>11.69373472707476</c:v>
                </c:pt>
                <c:pt idx="231">
                  <c:v>11.69417533762453</c:v>
                </c:pt>
                <c:pt idx="232">
                  <c:v>11.69950667599395</c:v>
                </c:pt>
                <c:pt idx="233">
                  <c:v>11.69997799561864</c:v>
                </c:pt>
                <c:pt idx="234">
                  <c:v>12.30472310417765</c:v>
                </c:pt>
                <c:pt idx="235">
                  <c:v>12.33002038354829</c:v>
                </c:pt>
                <c:pt idx="236">
                  <c:v>12.43331019077347</c:v>
                </c:pt>
                <c:pt idx="237">
                  <c:v>12.43379784022079</c:v>
                </c:pt>
                <c:pt idx="238">
                  <c:v>12.43972463231977</c:v>
                </c:pt>
                <c:pt idx="239">
                  <c:v>13.09449537764145</c:v>
                </c:pt>
                <c:pt idx="240">
                  <c:v>13.09500314796426</c:v>
                </c:pt>
                <c:pt idx="241">
                  <c:v>13.12290712231683</c:v>
                </c:pt>
                <c:pt idx="242">
                  <c:v>13.23584494490155</c:v>
                </c:pt>
                <c:pt idx="243">
                  <c:v>13.23638525470523</c:v>
                </c:pt>
                <c:pt idx="244">
                  <c:v>13.24298132667199</c:v>
                </c:pt>
                <c:pt idx="245">
                  <c:v>13.95268766412485</c:v>
                </c:pt>
                <c:pt idx="246">
                  <c:v>13.95325075522229</c:v>
                </c:pt>
                <c:pt idx="247">
                  <c:v>13.98406240743296</c:v>
                </c:pt>
                <c:pt idx="248">
                  <c:v>14.10767907132833</c:v>
                </c:pt>
                <c:pt idx="249">
                  <c:v>14.10827835109381</c:v>
                </c:pt>
                <c:pt idx="250">
                  <c:v>14.8785120600923</c:v>
                </c:pt>
                <c:pt idx="251">
                  <c:v>14.88567707033168</c:v>
                </c:pt>
                <c:pt idx="252">
                  <c:v>14.88630212565325</c:v>
                </c:pt>
                <c:pt idx="253">
                  <c:v>15.02188155372447</c:v>
                </c:pt>
                <c:pt idx="254">
                  <c:v>15.05579629649633</c:v>
                </c:pt>
                <c:pt idx="255">
                  <c:v>15.8923469177702</c:v>
                </c:pt>
                <c:pt idx="256">
                  <c:v>15.89299612422102</c:v>
                </c:pt>
                <c:pt idx="257">
                  <c:v>15.90099237993872</c:v>
                </c:pt>
                <c:pt idx="258">
                  <c:v>16.04967342755192</c:v>
                </c:pt>
                <c:pt idx="259">
                  <c:v>16.05036511570651</c:v>
                </c:pt>
                <c:pt idx="260">
                  <c:v>16.08789021066947</c:v>
                </c:pt>
                <c:pt idx="261">
                  <c:v>16.9972838219808</c:v>
                </c:pt>
                <c:pt idx="262">
                  <c:v>16.99800576284546</c:v>
                </c:pt>
                <c:pt idx="263">
                  <c:v>17.00693750118405</c:v>
                </c:pt>
                <c:pt idx="264">
                  <c:v>17.17012554272359</c:v>
                </c:pt>
                <c:pt idx="265">
                  <c:v>17.1708948189483</c:v>
                </c:pt>
                <c:pt idx="266">
                  <c:v>17.2124505856694</c:v>
                </c:pt>
                <c:pt idx="267">
                  <c:v>18.2018850707511</c:v>
                </c:pt>
                <c:pt idx="268">
                  <c:v>18.20268855693827</c:v>
                </c:pt>
                <c:pt idx="269">
                  <c:v>18.21267344699203</c:v>
                </c:pt>
                <c:pt idx="270">
                  <c:v>18.39193158057078</c:v>
                </c:pt>
                <c:pt idx="271">
                  <c:v>19.47037277408033</c:v>
                </c:pt>
                <c:pt idx="272">
                  <c:v>19.5154040726904</c:v>
                </c:pt>
                <c:pt idx="273">
                  <c:v>19.51624047878288</c:v>
                </c:pt>
                <c:pt idx="274">
                  <c:v>19.5171354178947</c:v>
                </c:pt>
                <c:pt idx="275">
                  <c:v>19.71424015768804</c:v>
                </c:pt>
                <c:pt idx="276">
                  <c:v>20.88967537546975</c:v>
                </c:pt>
                <c:pt idx="277">
                  <c:v>20.90056344829242</c:v>
                </c:pt>
                <c:pt idx="278">
                  <c:v>20.95054113425799</c:v>
                </c:pt>
                <c:pt idx="279">
                  <c:v>20.95147342682852</c:v>
                </c:pt>
                <c:pt idx="280">
                  <c:v>20.95247096315943</c:v>
                </c:pt>
                <c:pt idx="281">
                  <c:v>21.16931295451521</c:v>
                </c:pt>
                <c:pt idx="282">
                  <c:v>22.45113293277799</c:v>
                </c:pt>
                <c:pt idx="283">
                  <c:v>22.46333146122701</c:v>
                </c:pt>
                <c:pt idx="284">
                  <c:v>22.51883770394312</c:v>
                </c:pt>
                <c:pt idx="285">
                  <c:v>22.51987760189758</c:v>
                </c:pt>
                <c:pt idx="286">
                  <c:v>23.92362752643949</c:v>
                </c:pt>
                <c:pt idx="287">
                  <c:v>24.15741616305261</c:v>
                </c:pt>
                <c:pt idx="288">
                  <c:v>24.15850207855438</c:v>
                </c:pt>
                <c:pt idx="289">
                  <c:v>24.17217787172224</c:v>
                </c:pt>
                <c:pt idx="290">
                  <c:v>24.23386521377577</c:v>
                </c:pt>
                <c:pt idx="291">
                  <c:v>24.2350259064885</c:v>
                </c:pt>
                <c:pt idx="292">
                  <c:v>25.76776037873407</c:v>
                </c:pt>
                <c:pt idx="293">
                  <c:v>26.02544383661646</c:v>
                </c:pt>
                <c:pt idx="294">
                  <c:v>26.02665662487436</c:v>
                </c:pt>
                <c:pt idx="295">
                  <c:v>26.0952694579444</c:v>
                </c:pt>
                <c:pt idx="296">
                  <c:v>26.11059826081573</c:v>
                </c:pt>
                <c:pt idx="297">
                  <c:v>26.1118945966945</c:v>
                </c:pt>
                <c:pt idx="298">
                  <c:v>27.78652065603071</c:v>
                </c:pt>
                <c:pt idx="299">
                  <c:v>28.07071307251396</c:v>
                </c:pt>
                <c:pt idx="300">
                  <c:v>28.07206837108031</c:v>
                </c:pt>
                <c:pt idx="301">
                  <c:v>28.14841551672445</c:v>
                </c:pt>
                <c:pt idx="302">
                  <c:v>28.16562220850517</c:v>
                </c:pt>
                <c:pt idx="303">
                  <c:v>29.99640087416654</c:v>
                </c:pt>
                <c:pt idx="304">
                  <c:v>29.99782171669115</c:v>
                </c:pt>
                <c:pt idx="305">
                  <c:v>30.31143089476984</c:v>
                </c:pt>
                <c:pt idx="306">
                  <c:v>30.31294631706767</c:v>
                </c:pt>
                <c:pt idx="307">
                  <c:v>30.39794827886396</c:v>
                </c:pt>
                <c:pt idx="308">
                  <c:v>32.40090837848492</c:v>
                </c:pt>
                <c:pt idx="309">
                  <c:v>32.41987089495748</c:v>
                </c:pt>
                <c:pt idx="310">
                  <c:v>32.42146035612431</c:v>
                </c:pt>
                <c:pt idx="311">
                  <c:v>32.7677215127716</c:v>
                </c:pt>
                <c:pt idx="312">
                  <c:v>32.76941690261012</c:v>
                </c:pt>
                <c:pt idx="313">
                  <c:v>34.96325975243602</c:v>
                </c:pt>
                <c:pt idx="314">
                  <c:v>35.05620848654868</c:v>
                </c:pt>
                <c:pt idx="315">
                  <c:v>35.05798781322119</c:v>
                </c:pt>
                <c:pt idx="316">
                  <c:v>35.44056632274295</c:v>
                </c:pt>
                <c:pt idx="317">
                  <c:v>35.46181943875925</c:v>
                </c:pt>
                <c:pt idx="318">
                  <c:v>37.86410521692195</c:v>
                </c:pt>
                <c:pt idx="319">
                  <c:v>37.86596881104137</c:v>
                </c:pt>
                <c:pt idx="320">
                  <c:v>37.96960742523051</c:v>
                </c:pt>
                <c:pt idx="321">
                  <c:v>38.39245684308947</c:v>
                </c:pt>
                <c:pt idx="322">
                  <c:v>38.39444341888236</c:v>
                </c:pt>
                <c:pt idx="323">
                  <c:v>38.4183506997164</c:v>
                </c:pt>
                <c:pt idx="324">
                  <c:v>41.0501576587298</c:v>
                </c:pt>
                <c:pt idx="325">
                  <c:v>41.0522455159418</c:v>
                </c:pt>
                <c:pt idx="326">
                  <c:v>41.16785899902348</c:v>
                </c:pt>
                <c:pt idx="327">
                  <c:v>41.63543605550572</c:v>
                </c:pt>
                <c:pt idx="328">
                  <c:v>41.63766187275983</c:v>
                </c:pt>
                <c:pt idx="329">
                  <c:v>41.66456761406588</c:v>
                </c:pt>
                <c:pt idx="330">
                  <c:v>44.54920037699335</c:v>
                </c:pt>
                <c:pt idx="331">
                  <c:v>44.55154056187595</c:v>
                </c:pt>
                <c:pt idx="332">
                  <c:v>44.6805719236772</c:v>
                </c:pt>
                <c:pt idx="333">
                  <c:v>45.19784546258017</c:v>
                </c:pt>
                <c:pt idx="334">
                  <c:v>48.36158115559299</c:v>
                </c:pt>
                <c:pt idx="335">
                  <c:v>48.36403406150186</c:v>
                </c:pt>
                <c:pt idx="336">
                  <c:v>48.3938169525247</c:v>
                </c:pt>
                <c:pt idx="337">
                  <c:v>48.39644111757412</c:v>
                </c:pt>
                <c:pt idx="338">
                  <c:v>48.96934776591801</c:v>
                </c:pt>
                <c:pt idx="339">
                  <c:v>49.11301380845422</c:v>
                </c:pt>
                <c:pt idx="340">
                  <c:v>52.58376678708208</c:v>
                </c:pt>
                <c:pt idx="341">
                  <c:v>52.58651850672349</c:v>
                </c:pt>
                <c:pt idx="342">
                  <c:v>52.6200783980615</c:v>
                </c:pt>
                <c:pt idx="343">
                  <c:v>52.62302224972856</c:v>
                </c:pt>
                <c:pt idx="344">
                  <c:v>53.25735866077565</c:v>
                </c:pt>
                <c:pt idx="345">
                  <c:v>53.41784603129164</c:v>
                </c:pt>
                <c:pt idx="346">
                  <c:v>57.2270104978656</c:v>
                </c:pt>
                <c:pt idx="347">
                  <c:v>57.23009868777604</c:v>
                </c:pt>
                <c:pt idx="348">
                  <c:v>57.26792994347007</c:v>
                </c:pt>
                <c:pt idx="349">
                  <c:v>57.97057714238202</c:v>
                </c:pt>
                <c:pt idx="350">
                  <c:v>62.15570549364244</c:v>
                </c:pt>
                <c:pt idx="351">
                  <c:v>62.1589480139525</c:v>
                </c:pt>
                <c:pt idx="352">
                  <c:v>62.33544616008732</c:v>
                </c:pt>
                <c:pt idx="353">
                  <c:v>62.33891331645447</c:v>
                </c:pt>
                <c:pt idx="354">
                  <c:v>62.38157623637002</c:v>
                </c:pt>
                <c:pt idx="355">
                  <c:v>66.99052076612494</c:v>
                </c:pt>
                <c:pt idx="356">
                  <c:v>67.75694906260499</c:v>
                </c:pt>
                <c:pt idx="357">
                  <c:v>67.76059080870134</c:v>
                </c:pt>
                <c:pt idx="358">
                  <c:v>67.95797142649928</c:v>
                </c:pt>
                <c:pt idx="359">
                  <c:v>67.96186551627295</c:v>
                </c:pt>
                <c:pt idx="360">
                  <c:v>73.02650446575852</c:v>
                </c:pt>
                <c:pt idx="361">
                  <c:v>73.87648140058742</c:v>
                </c:pt>
                <c:pt idx="362">
                  <c:v>73.92375126484043</c:v>
                </c:pt>
                <c:pt idx="363">
                  <c:v>73.92784287066974</c:v>
                </c:pt>
                <c:pt idx="364">
                  <c:v>74.1486565747895</c:v>
                </c:pt>
                <c:pt idx="365">
                  <c:v>79.71530358911334</c:v>
                </c:pt>
                <c:pt idx="366">
                  <c:v>79.71961282705253</c:v>
                </c:pt>
                <c:pt idx="367">
                  <c:v>80.66243983164958</c:v>
                </c:pt>
                <c:pt idx="368">
                  <c:v>80.71580390717808</c:v>
                </c:pt>
                <c:pt idx="369">
                  <c:v>80.9629216557688</c:v>
                </c:pt>
                <c:pt idx="370">
                  <c:v>80.9675174159913</c:v>
                </c:pt>
                <c:pt idx="371">
                  <c:v>87.08798774671691</c:v>
                </c:pt>
                <c:pt idx="372">
                  <c:v>87.09283238100359</c:v>
                </c:pt>
                <c:pt idx="373">
                  <c:v>88.13900540229136</c:v>
                </c:pt>
                <c:pt idx="374">
                  <c:v>88.1992696198062</c:v>
                </c:pt>
                <c:pt idx="375">
                  <c:v>88.47591445663453</c:v>
                </c:pt>
                <c:pt idx="376">
                  <c:v>88.48108151762501</c:v>
                </c:pt>
                <c:pt idx="377">
                  <c:v>95.21273234625892</c:v>
                </c:pt>
                <c:pt idx="378">
                  <c:v>96.37397047419205</c:v>
                </c:pt>
                <c:pt idx="379">
                  <c:v>96.37940562990021</c:v>
                </c:pt>
                <c:pt idx="380">
                  <c:v>96.44748425015981</c:v>
                </c:pt>
                <c:pt idx="381">
                  <c:v>96.75728456365854</c:v>
                </c:pt>
                <c:pt idx="382">
                  <c:v>104.1636256288492</c:v>
                </c:pt>
                <c:pt idx="383">
                  <c:v>104.169353882835</c:v>
                </c:pt>
                <c:pt idx="384">
                  <c:v>105.458702950819</c:v>
                </c:pt>
                <c:pt idx="385">
                  <c:v>105.4648175585986</c:v>
                </c:pt>
                <c:pt idx="386">
                  <c:v>113.6218366425903</c:v>
                </c:pt>
                <c:pt idx="387">
                  <c:v>113.6976861867713</c:v>
                </c:pt>
                <c:pt idx="388">
                  <c:v>114.0398490815831</c:v>
                </c:pt>
                <c:pt idx="389">
                  <c:v>114.0462951102262</c:v>
                </c:pt>
                <c:pt idx="390">
                  <c:v>115.4783228998583</c:v>
                </c:pt>
                <c:pt idx="391">
                  <c:v>115.4852039750759</c:v>
                </c:pt>
                <c:pt idx="392">
                  <c:v>124.4650673279532</c:v>
                </c:pt>
                <c:pt idx="393">
                  <c:v>124.8486144063874</c:v>
                </c:pt>
                <c:pt idx="394">
                  <c:v>124.9343231964798</c:v>
                </c:pt>
                <c:pt idx="395">
                  <c:v>124.9415790655863</c:v>
                </c:pt>
                <c:pt idx="396">
                  <c:v>126.5325403887802</c:v>
                </c:pt>
                <c:pt idx="397">
                  <c:v>126.5402862667943</c:v>
                </c:pt>
                <c:pt idx="398">
                  <c:v>136.4288819989698</c:v>
                </c:pt>
              </c:numCache>
            </c:numRef>
          </c:cat>
          <c:val>
            <c:numRef>
              <c:f>Calculations!$B$2:$B$400</c:f>
              <c:numCache>
                <c:formatCode>General</c:formatCode>
                <c:ptCount val="399"/>
                <c:pt idx="0">
                  <c:v>1.67</c:v>
                </c:pt>
                <c:pt idx="1">
                  <c:v>3.34</c:v>
                </c:pt>
                <c:pt idx="2">
                  <c:v>5.01</c:v>
                </c:pt>
                <c:pt idx="3">
                  <c:v>6.68</c:v>
                </c:pt>
                <c:pt idx="4">
                  <c:v>8.35</c:v>
                </c:pt>
                <c:pt idx="5">
                  <c:v>10.02</c:v>
                </c:pt>
                <c:pt idx="6">
                  <c:v>11.69</c:v>
                </c:pt>
                <c:pt idx="7">
                  <c:v>13.36</c:v>
                </c:pt>
                <c:pt idx="8">
                  <c:v>15.03</c:v>
                </c:pt>
                <c:pt idx="9">
                  <c:v>16.7</c:v>
                </c:pt>
                <c:pt idx="10">
                  <c:v>18.37</c:v>
                </c:pt>
                <c:pt idx="11">
                  <c:v>20.04</c:v>
                </c:pt>
                <c:pt idx="12">
                  <c:v>21.71</c:v>
                </c:pt>
                <c:pt idx="13">
                  <c:v>41.71</c:v>
                </c:pt>
                <c:pt idx="14">
                  <c:v>61.71</c:v>
                </c:pt>
                <c:pt idx="15">
                  <c:v>81.71</c:v>
                </c:pt>
                <c:pt idx="16">
                  <c:v>83.38</c:v>
                </c:pt>
                <c:pt idx="17">
                  <c:v>103.38</c:v>
                </c:pt>
                <c:pt idx="18">
                  <c:v>105.05</c:v>
                </c:pt>
                <c:pt idx="19">
                  <c:v>125.05</c:v>
                </c:pt>
                <c:pt idx="20">
                  <c:v>126.72</c:v>
                </c:pt>
                <c:pt idx="21">
                  <c:v>128.39</c:v>
                </c:pt>
                <c:pt idx="22">
                  <c:v>148.39</c:v>
                </c:pt>
                <c:pt idx="23">
                  <c:v>150.06</c:v>
                </c:pt>
                <c:pt idx="24">
                  <c:v>151.73</c:v>
                </c:pt>
                <c:pt idx="25">
                  <c:v>171.73</c:v>
                </c:pt>
                <c:pt idx="26">
                  <c:v>173.4</c:v>
                </c:pt>
                <c:pt idx="27">
                  <c:v>175.07</c:v>
                </c:pt>
                <c:pt idx="28">
                  <c:v>195.07</c:v>
                </c:pt>
                <c:pt idx="29">
                  <c:v>196.74</c:v>
                </c:pt>
                <c:pt idx="30">
                  <c:v>198.41</c:v>
                </c:pt>
                <c:pt idx="31">
                  <c:v>218.41</c:v>
                </c:pt>
                <c:pt idx="32">
                  <c:v>220.08</c:v>
                </c:pt>
                <c:pt idx="33">
                  <c:v>310.08</c:v>
                </c:pt>
                <c:pt idx="34">
                  <c:v>330.08</c:v>
                </c:pt>
                <c:pt idx="35">
                  <c:v>331.75</c:v>
                </c:pt>
                <c:pt idx="36">
                  <c:v>421.75</c:v>
                </c:pt>
                <c:pt idx="37">
                  <c:v>423.42</c:v>
                </c:pt>
                <c:pt idx="38">
                  <c:v>513.4200000000001</c:v>
                </c:pt>
                <c:pt idx="39">
                  <c:v>533.4200000000001</c:v>
                </c:pt>
                <c:pt idx="40">
                  <c:v>535.09</c:v>
                </c:pt>
                <c:pt idx="41">
                  <c:v>625.09</c:v>
                </c:pt>
                <c:pt idx="42">
                  <c:v>626.76</c:v>
                </c:pt>
                <c:pt idx="43">
                  <c:v>646.76</c:v>
                </c:pt>
                <c:pt idx="44">
                  <c:v>648.4300000000001</c:v>
                </c:pt>
                <c:pt idx="45">
                  <c:v>738.4300000000001</c:v>
                </c:pt>
                <c:pt idx="46">
                  <c:v>740.1</c:v>
                </c:pt>
                <c:pt idx="47">
                  <c:v>760.1</c:v>
                </c:pt>
                <c:pt idx="48">
                  <c:v>761.77</c:v>
                </c:pt>
                <c:pt idx="49">
                  <c:v>851.77</c:v>
                </c:pt>
                <c:pt idx="50">
                  <c:v>853.4400000000001</c:v>
                </c:pt>
                <c:pt idx="51">
                  <c:v>873.4400000000001</c:v>
                </c:pt>
                <c:pt idx="52">
                  <c:v>963.4400000000001</c:v>
                </c:pt>
                <c:pt idx="53">
                  <c:v>965.11</c:v>
                </c:pt>
                <c:pt idx="54">
                  <c:v>966.78</c:v>
                </c:pt>
                <c:pt idx="55">
                  <c:v>986.78</c:v>
                </c:pt>
                <c:pt idx="56">
                  <c:v>1076.78</c:v>
                </c:pt>
                <c:pt idx="57">
                  <c:v>1078.45</c:v>
                </c:pt>
                <c:pt idx="58">
                  <c:v>1080.12</c:v>
                </c:pt>
                <c:pt idx="59">
                  <c:v>1170.12</c:v>
                </c:pt>
                <c:pt idx="60">
                  <c:v>1190.12</c:v>
                </c:pt>
                <c:pt idx="61">
                  <c:v>1191.79</c:v>
                </c:pt>
                <c:pt idx="62">
                  <c:v>1193.46</c:v>
                </c:pt>
                <c:pt idx="63">
                  <c:v>1283.46</c:v>
                </c:pt>
                <c:pt idx="64">
                  <c:v>1303.46</c:v>
                </c:pt>
                <c:pt idx="65">
                  <c:v>1305.13</c:v>
                </c:pt>
                <c:pt idx="66">
                  <c:v>1665.13</c:v>
                </c:pt>
                <c:pt idx="67">
                  <c:v>1755.13</c:v>
                </c:pt>
                <c:pt idx="68">
                  <c:v>1756.8</c:v>
                </c:pt>
                <c:pt idx="69">
                  <c:v>2116.8</c:v>
                </c:pt>
                <c:pt idx="70">
                  <c:v>2136.8</c:v>
                </c:pt>
                <c:pt idx="71">
                  <c:v>2138.47</c:v>
                </c:pt>
                <c:pt idx="72">
                  <c:v>2228.47</c:v>
                </c:pt>
                <c:pt idx="73">
                  <c:v>2588.47</c:v>
                </c:pt>
                <c:pt idx="74">
                  <c:v>2590.14</c:v>
                </c:pt>
                <c:pt idx="75">
                  <c:v>2610.14</c:v>
                </c:pt>
                <c:pt idx="76">
                  <c:v>2611.81</c:v>
                </c:pt>
                <c:pt idx="77">
                  <c:v>2971.81</c:v>
                </c:pt>
                <c:pt idx="78">
                  <c:v>3061.81</c:v>
                </c:pt>
                <c:pt idx="79">
                  <c:v>3063.48</c:v>
                </c:pt>
                <c:pt idx="80">
                  <c:v>3423.48</c:v>
                </c:pt>
                <c:pt idx="81">
                  <c:v>3443.48</c:v>
                </c:pt>
                <c:pt idx="82">
                  <c:v>3445.15</c:v>
                </c:pt>
                <c:pt idx="83">
                  <c:v>3535.15</c:v>
                </c:pt>
                <c:pt idx="84">
                  <c:v>3536.82</c:v>
                </c:pt>
                <c:pt idx="85">
                  <c:v>3896.82</c:v>
                </c:pt>
                <c:pt idx="86">
                  <c:v>3916.82</c:v>
                </c:pt>
                <c:pt idx="87">
                  <c:v>3918.49</c:v>
                </c:pt>
                <c:pt idx="88">
                  <c:v>4008.49</c:v>
                </c:pt>
                <c:pt idx="89">
                  <c:v>4368.49</c:v>
                </c:pt>
                <c:pt idx="90">
                  <c:v>4370.16</c:v>
                </c:pt>
                <c:pt idx="91">
                  <c:v>4390.16</c:v>
                </c:pt>
                <c:pt idx="92">
                  <c:v>4391.83</c:v>
                </c:pt>
                <c:pt idx="93">
                  <c:v>4481.83</c:v>
                </c:pt>
                <c:pt idx="94">
                  <c:v>4841.83</c:v>
                </c:pt>
                <c:pt idx="95">
                  <c:v>4843.5</c:v>
                </c:pt>
                <c:pt idx="96">
                  <c:v>4863.5</c:v>
                </c:pt>
                <c:pt idx="97">
                  <c:v>4865.17</c:v>
                </c:pt>
                <c:pt idx="98">
                  <c:v>4955.17</c:v>
                </c:pt>
                <c:pt idx="99">
                  <c:v>7115.17</c:v>
                </c:pt>
                <c:pt idx="100">
                  <c:v>7475.17</c:v>
                </c:pt>
                <c:pt idx="101">
                  <c:v>9635.17</c:v>
                </c:pt>
                <c:pt idx="102">
                  <c:v>9636.84</c:v>
                </c:pt>
                <c:pt idx="103">
                  <c:v>11796.84</c:v>
                </c:pt>
                <c:pt idx="104">
                  <c:v>12156.84</c:v>
                </c:pt>
                <c:pt idx="105">
                  <c:v>12246.84</c:v>
                </c:pt>
                <c:pt idx="106">
                  <c:v>12266.84</c:v>
                </c:pt>
                <c:pt idx="107">
                  <c:v>12268.51</c:v>
                </c:pt>
                <c:pt idx="108">
                  <c:v>14428.51</c:v>
                </c:pt>
                <c:pt idx="109">
                  <c:v>14430.18</c:v>
                </c:pt>
                <c:pt idx="110">
                  <c:v>14790.18</c:v>
                </c:pt>
                <c:pt idx="111">
                  <c:v>16950.18</c:v>
                </c:pt>
                <c:pt idx="112">
                  <c:v>17040.18</c:v>
                </c:pt>
                <c:pt idx="113">
                  <c:v>17060.18</c:v>
                </c:pt>
                <c:pt idx="114">
                  <c:v>17061.85</c:v>
                </c:pt>
                <c:pt idx="115">
                  <c:v>17063.52</c:v>
                </c:pt>
                <c:pt idx="116">
                  <c:v>17423.52</c:v>
                </c:pt>
                <c:pt idx="117">
                  <c:v>19583.52</c:v>
                </c:pt>
                <c:pt idx="118">
                  <c:v>19673.52</c:v>
                </c:pt>
                <c:pt idx="119">
                  <c:v>19675.19</c:v>
                </c:pt>
                <c:pt idx="120">
                  <c:v>19695.19</c:v>
                </c:pt>
                <c:pt idx="121">
                  <c:v>21855.19</c:v>
                </c:pt>
                <c:pt idx="122">
                  <c:v>22215.19</c:v>
                </c:pt>
                <c:pt idx="123">
                  <c:v>22216.86</c:v>
                </c:pt>
                <c:pt idx="124">
                  <c:v>22306.86</c:v>
                </c:pt>
                <c:pt idx="125">
                  <c:v>22308.53</c:v>
                </c:pt>
                <c:pt idx="126">
                  <c:v>24468.53</c:v>
                </c:pt>
                <c:pt idx="127">
                  <c:v>24488.53</c:v>
                </c:pt>
                <c:pt idx="128">
                  <c:v>24848.53</c:v>
                </c:pt>
                <c:pt idx="129">
                  <c:v>24850.2</c:v>
                </c:pt>
                <c:pt idx="130">
                  <c:v>24940.2</c:v>
                </c:pt>
                <c:pt idx="131">
                  <c:v>27100.2</c:v>
                </c:pt>
                <c:pt idx="132">
                  <c:v>27101.87</c:v>
                </c:pt>
                <c:pt idx="133">
                  <c:v>27121.87</c:v>
                </c:pt>
                <c:pt idx="134">
                  <c:v>27481.87</c:v>
                </c:pt>
                <c:pt idx="135">
                  <c:v>27483.54</c:v>
                </c:pt>
                <c:pt idx="136">
                  <c:v>29643.54</c:v>
                </c:pt>
                <c:pt idx="137">
                  <c:v>29733.54</c:v>
                </c:pt>
                <c:pt idx="138">
                  <c:v>29735.21</c:v>
                </c:pt>
                <c:pt idx="139">
                  <c:v>30095.21</c:v>
                </c:pt>
                <c:pt idx="140">
                  <c:v>30115.21</c:v>
                </c:pt>
                <c:pt idx="141">
                  <c:v>32275.21</c:v>
                </c:pt>
                <c:pt idx="142">
                  <c:v>32276.88</c:v>
                </c:pt>
                <c:pt idx="143">
                  <c:v>32366.88</c:v>
                </c:pt>
                <c:pt idx="144">
                  <c:v>32726.88</c:v>
                </c:pt>
                <c:pt idx="145">
                  <c:v>32728.55</c:v>
                </c:pt>
                <c:pt idx="146">
                  <c:v>32748.55</c:v>
                </c:pt>
                <c:pt idx="147">
                  <c:v>34908.55</c:v>
                </c:pt>
                <c:pt idx="148">
                  <c:v>34910.22</c:v>
                </c:pt>
                <c:pt idx="149">
                  <c:v>35000.22</c:v>
                </c:pt>
                <c:pt idx="150">
                  <c:v>35360.22</c:v>
                </c:pt>
                <c:pt idx="151">
                  <c:v>37520.22</c:v>
                </c:pt>
                <c:pt idx="152">
                  <c:v>37521.89</c:v>
                </c:pt>
                <c:pt idx="153">
                  <c:v>37541.89</c:v>
                </c:pt>
                <c:pt idx="154">
                  <c:v>37543.56</c:v>
                </c:pt>
                <c:pt idx="155">
                  <c:v>37633.56</c:v>
                </c:pt>
                <c:pt idx="156">
                  <c:v>37993.56</c:v>
                </c:pt>
                <c:pt idx="157">
                  <c:v>40153.56</c:v>
                </c:pt>
                <c:pt idx="158">
                  <c:v>40155.23</c:v>
                </c:pt>
                <c:pt idx="159">
                  <c:v>40175.23</c:v>
                </c:pt>
                <c:pt idx="160">
                  <c:v>40176.9</c:v>
                </c:pt>
                <c:pt idx="161">
                  <c:v>40266.9</c:v>
                </c:pt>
                <c:pt idx="162">
                  <c:v>42426.9</c:v>
                </c:pt>
                <c:pt idx="163">
                  <c:v>42786.9</c:v>
                </c:pt>
                <c:pt idx="164">
                  <c:v>42788.57</c:v>
                </c:pt>
                <c:pt idx="165">
                  <c:v>42808.57</c:v>
                </c:pt>
                <c:pt idx="166">
                  <c:v>44968.57</c:v>
                </c:pt>
                <c:pt idx="167">
                  <c:v>44970.24</c:v>
                </c:pt>
                <c:pt idx="168">
                  <c:v>45060.24</c:v>
                </c:pt>
                <c:pt idx="169">
                  <c:v>45420.24</c:v>
                </c:pt>
                <c:pt idx="170">
                  <c:v>45421.91</c:v>
                </c:pt>
                <c:pt idx="171">
                  <c:v>47581.91</c:v>
                </c:pt>
                <c:pt idx="172">
                  <c:v>47601.91</c:v>
                </c:pt>
                <c:pt idx="173">
                  <c:v>47961.91</c:v>
                </c:pt>
                <c:pt idx="174">
                  <c:v>47963.58</c:v>
                </c:pt>
                <c:pt idx="175">
                  <c:v>48053.58</c:v>
                </c:pt>
                <c:pt idx="176">
                  <c:v>48055.25</c:v>
                </c:pt>
                <c:pt idx="177">
                  <c:v>50215.25</c:v>
                </c:pt>
                <c:pt idx="178">
                  <c:v>50235.25</c:v>
                </c:pt>
                <c:pt idx="179">
                  <c:v>50595.25</c:v>
                </c:pt>
                <c:pt idx="180">
                  <c:v>50685.25</c:v>
                </c:pt>
                <c:pt idx="181">
                  <c:v>50686.92</c:v>
                </c:pt>
                <c:pt idx="182">
                  <c:v>52846.92</c:v>
                </c:pt>
                <c:pt idx="183">
                  <c:v>52848.59</c:v>
                </c:pt>
                <c:pt idx="184">
                  <c:v>53208.59</c:v>
                </c:pt>
                <c:pt idx="185">
                  <c:v>53228.59</c:v>
                </c:pt>
                <c:pt idx="186">
                  <c:v>53318.59</c:v>
                </c:pt>
                <c:pt idx="187">
                  <c:v>53320.26</c:v>
                </c:pt>
                <c:pt idx="188">
                  <c:v>55480.26</c:v>
                </c:pt>
                <c:pt idx="189">
                  <c:v>55481.93</c:v>
                </c:pt>
                <c:pt idx="190">
                  <c:v>55841.93</c:v>
                </c:pt>
                <c:pt idx="191">
                  <c:v>55861.93</c:v>
                </c:pt>
                <c:pt idx="192">
                  <c:v>55951.93</c:v>
                </c:pt>
                <c:pt idx="193">
                  <c:v>55953.6</c:v>
                </c:pt>
                <c:pt idx="194">
                  <c:v>58113.6</c:v>
                </c:pt>
                <c:pt idx="195">
                  <c:v>58115.27</c:v>
                </c:pt>
                <c:pt idx="196">
                  <c:v>58475.27</c:v>
                </c:pt>
                <c:pt idx="197">
                  <c:v>60635.27</c:v>
                </c:pt>
                <c:pt idx="198">
                  <c:v>60725.27</c:v>
                </c:pt>
                <c:pt idx="199">
                  <c:v>60745.27</c:v>
                </c:pt>
                <c:pt idx="200">
                  <c:v>60746.94</c:v>
                </c:pt>
                <c:pt idx="201">
                  <c:v>61106.94</c:v>
                </c:pt>
                <c:pt idx="202">
                  <c:v>61108.61</c:v>
                </c:pt>
                <c:pt idx="203">
                  <c:v>63268.61</c:v>
                </c:pt>
                <c:pt idx="204">
                  <c:v>63358.61</c:v>
                </c:pt>
                <c:pt idx="205">
                  <c:v>63378.61</c:v>
                </c:pt>
                <c:pt idx="206">
                  <c:v>63380.28</c:v>
                </c:pt>
                <c:pt idx="207">
                  <c:v>63740.28</c:v>
                </c:pt>
                <c:pt idx="208">
                  <c:v>65900.28</c:v>
                </c:pt>
                <c:pt idx="209">
                  <c:v>65901.95</c:v>
                </c:pt>
                <c:pt idx="210">
                  <c:v>65991.95</c:v>
                </c:pt>
                <c:pt idx="211">
                  <c:v>66011.95</c:v>
                </c:pt>
                <c:pt idx="212">
                  <c:v>66013.62</c:v>
                </c:pt>
                <c:pt idx="213">
                  <c:v>66373.62</c:v>
                </c:pt>
                <c:pt idx="214">
                  <c:v>68533.62</c:v>
                </c:pt>
                <c:pt idx="215">
                  <c:v>68535.29000000001</c:v>
                </c:pt>
                <c:pt idx="216">
                  <c:v>68625.29000000001</c:v>
                </c:pt>
                <c:pt idx="217">
                  <c:v>68626.96</c:v>
                </c:pt>
                <c:pt idx="218">
                  <c:v>68646.96</c:v>
                </c:pt>
                <c:pt idx="219">
                  <c:v>70806.96</c:v>
                </c:pt>
                <c:pt idx="220">
                  <c:v>71166.96</c:v>
                </c:pt>
                <c:pt idx="221">
                  <c:v>71168.63</c:v>
                </c:pt>
                <c:pt idx="222">
                  <c:v>71258.63</c:v>
                </c:pt>
                <c:pt idx="223">
                  <c:v>73418.63</c:v>
                </c:pt>
                <c:pt idx="224">
                  <c:v>73420.3</c:v>
                </c:pt>
                <c:pt idx="225">
                  <c:v>73440.3</c:v>
                </c:pt>
                <c:pt idx="226">
                  <c:v>73800.3</c:v>
                </c:pt>
                <c:pt idx="227">
                  <c:v>73801.97</c:v>
                </c:pt>
                <c:pt idx="228">
                  <c:v>73891.97</c:v>
                </c:pt>
                <c:pt idx="229">
                  <c:v>76051.97</c:v>
                </c:pt>
                <c:pt idx="230">
                  <c:v>76411.97</c:v>
                </c:pt>
                <c:pt idx="231">
                  <c:v>76413.64</c:v>
                </c:pt>
                <c:pt idx="232">
                  <c:v>76433.64</c:v>
                </c:pt>
                <c:pt idx="233">
                  <c:v>76435.31</c:v>
                </c:pt>
                <c:pt idx="234">
                  <c:v>78595.31</c:v>
                </c:pt>
                <c:pt idx="235">
                  <c:v>78685.31</c:v>
                </c:pt>
                <c:pt idx="236">
                  <c:v>79045.31</c:v>
                </c:pt>
                <c:pt idx="237">
                  <c:v>79046.98</c:v>
                </c:pt>
                <c:pt idx="238">
                  <c:v>79066.98</c:v>
                </c:pt>
                <c:pt idx="239">
                  <c:v>81226.98</c:v>
                </c:pt>
                <c:pt idx="240">
                  <c:v>81228.65</c:v>
                </c:pt>
                <c:pt idx="241">
                  <c:v>81318.65</c:v>
                </c:pt>
                <c:pt idx="242">
                  <c:v>81678.65</c:v>
                </c:pt>
                <c:pt idx="243">
                  <c:v>81680.32</c:v>
                </c:pt>
                <c:pt idx="244">
                  <c:v>81700.32</c:v>
                </c:pt>
                <c:pt idx="245">
                  <c:v>83860.32</c:v>
                </c:pt>
                <c:pt idx="246">
                  <c:v>83861.99</c:v>
                </c:pt>
                <c:pt idx="247">
                  <c:v>83951.99</c:v>
                </c:pt>
                <c:pt idx="248">
                  <c:v>84311.99</c:v>
                </c:pt>
                <c:pt idx="249">
                  <c:v>84313.66</c:v>
                </c:pt>
                <c:pt idx="250">
                  <c:v>86473.66</c:v>
                </c:pt>
                <c:pt idx="251">
                  <c:v>86493.66</c:v>
                </c:pt>
                <c:pt idx="252">
                  <c:v>86495.33</c:v>
                </c:pt>
                <c:pt idx="253">
                  <c:v>86855.33</c:v>
                </c:pt>
                <c:pt idx="254">
                  <c:v>86945.33</c:v>
                </c:pt>
                <c:pt idx="255">
                  <c:v>89105.33</c:v>
                </c:pt>
                <c:pt idx="256">
                  <c:v>89107.0</c:v>
                </c:pt>
                <c:pt idx="257">
                  <c:v>89127.0</c:v>
                </c:pt>
                <c:pt idx="258">
                  <c:v>89487.0</c:v>
                </c:pt>
                <c:pt idx="259">
                  <c:v>89488.67</c:v>
                </c:pt>
                <c:pt idx="260">
                  <c:v>89578.67</c:v>
                </c:pt>
                <c:pt idx="261">
                  <c:v>91738.67</c:v>
                </c:pt>
                <c:pt idx="262">
                  <c:v>91740.34</c:v>
                </c:pt>
                <c:pt idx="263">
                  <c:v>91760.34</c:v>
                </c:pt>
                <c:pt idx="264">
                  <c:v>92120.34</c:v>
                </c:pt>
                <c:pt idx="265">
                  <c:v>92122.01000000001</c:v>
                </c:pt>
                <c:pt idx="266">
                  <c:v>92212.01000000001</c:v>
                </c:pt>
                <c:pt idx="267">
                  <c:v>94372.01000000001</c:v>
                </c:pt>
                <c:pt idx="268">
                  <c:v>94373.68</c:v>
                </c:pt>
                <c:pt idx="269">
                  <c:v>94393.68</c:v>
                </c:pt>
                <c:pt idx="270">
                  <c:v>94753.68</c:v>
                </c:pt>
                <c:pt idx="271">
                  <c:v>96913.68</c:v>
                </c:pt>
                <c:pt idx="272">
                  <c:v>97003.68</c:v>
                </c:pt>
                <c:pt idx="273">
                  <c:v>97005.35</c:v>
                </c:pt>
                <c:pt idx="274">
                  <c:v>97007.02</c:v>
                </c:pt>
                <c:pt idx="275">
                  <c:v>97367.02</c:v>
                </c:pt>
                <c:pt idx="276">
                  <c:v>99527.02</c:v>
                </c:pt>
                <c:pt idx="277">
                  <c:v>99547.02</c:v>
                </c:pt>
                <c:pt idx="278">
                  <c:v>99637.02</c:v>
                </c:pt>
                <c:pt idx="279">
                  <c:v>99638.69</c:v>
                </c:pt>
                <c:pt idx="280">
                  <c:v>99640.36</c:v>
                </c:pt>
                <c:pt idx="281">
                  <c:v>100000.36</c:v>
                </c:pt>
                <c:pt idx="282">
                  <c:v>102160.36</c:v>
                </c:pt>
                <c:pt idx="283">
                  <c:v>102180.36</c:v>
                </c:pt>
                <c:pt idx="284">
                  <c:v>102270.36</c:v>
                </c:pt>
                <c:pt idx="285">
                  <c:v>102272.03</c:v>
                </c:pt>
                <c:pt idx="286">
                  <c:v>104432.03</c:v>
                </c:pt>
                <c:pt idx="287">
                  <c:v>104792.03</c:v>
                </c:pt>
                <c:pt idx="288">
                  <c:v>104793.7</c:v>
                </c:pt>
                <c:pt idx="289">
                  <c:v>104813.7</c:v>
                </c:pt>
                <c:pt idx="290">
                  <c:v>104903.7</c:v>
                </c:pt>
                <c:pt idx="291">
                  <c:v>104905.37</c:v>
                </c:pt>
                <c:pt idx="292">
                  <c:v>107065.37</c:v>
                </c:pt>
                <c:pt idx="293">
                  <c:v>107425.37</c:v>
                </c:pt>
                <c:pt idx="294">
                  <c:v>107427.04</c:v>
                </c:pt>
                <c:pt idx="295">
                  <c:v>107517.04</c:v>
                </c:pt>
                <c:pt idx="296">
                  <c:v>107537.04</c:v>
                </c:pt>
                <c:pt idx="297">
                  <c:v>107538.71</c:v>
                </c:pt>
                <c:pt idx="298">
                  <c:v>109698.71</c:v>
                </c:pt>
                <c:pt idx="299">
                  <c:v>110058.71</c:v>
                </c:pt>
                <c:pt idx="300">
                  <c:v>110060.38</c:v>
                </c:pt>
                <c:pt idx="301">
                  <c:v>110150.38</c:v>
                </c:pt>
                <c:pt idx="302">
                  <c:v>110170.38</c:v>
                </c:pt>
                <c:pt idx="303">
                  <c:v>112330.38</c:v>
                </c:pt>
                <c:pt idx="304">
                  <c:v>112332.05</c:v>
                </c:pt>
                <c:pt idx="305">
                  <c:v>112692.05</c:v>
                </c:pt>
                <c:pt idx="306">
                  <c:v>112693.72</c:v>
                </c:pt>
                <c:pt idx="307">
                  <c:v>112783.72</c:v>
                </c:pt>
                <c:pt idx="308">
                  <c:v>114943.72</c:v>
                </c:pt>
                <c:pt idx="309">
                  <c:v>114963.72</c:v>
                </c:pt>
                <c:pt idx="310">
                  <c:v>114965.39</c:v>
                </c:pt>
                <c:pt idx="311">
                  <c:v>115325.39</c:v>
                </c:pt>
                <c:pt idx="312">
                  <c:v>115327.06</c:v>
                </c:pt>
                <c:pt idx="313">
                  <c:v>117487.06</c:v>
                </c:pt>
                <c:pt idx="314">
                  <c:v>117577.06</c:v>
                </c:pt>
                <c:pt idx="315">
                  <c:v>117578.73</c:v>
                </c:pt>
                <c:pt idx="316">
                  <c:v>117938.73</c:v>
                </c:pt>
                <c:pt idx="317">
                  <c:v>117958.73</c:v>
                </c:pt>
                <c:pt idx="318">
                  <c:v>120118.73</c:v>
                </c:pt>
                <c:pt idx="319">
                  <c:v>120120.4</c:v>
                </c:pt>
                <c:pt idx="320">
                  <c:v>120210.4</c:v>
                </c:pt>
                <c:pt idx="321">
                  <c:v>120570.4</c:v>
                </c:pt>
                <c:pt idx="322">
                  <c:v>120572.07</c:v>
                </c:pt>
                <c:pt idx="323">
                  <c:v>120592.07</c:v>
                </c:pt>
                <c:pt idx="324">
                  <c:v>122752.07</c:v>
                </c:pt>
                <c:pt idx="325">
                  <c:v>122753.74</c:v>
                </c:pt>
                <c:pt idx="326">
                  <c:v>122843.74</c:v>
                </c:pt>
                <c:pt idx="327">
                  <c:v>123203.74</c:v>
                </c:pt>
                <c:pt idx="328">
                  <c:v>123205.41</c:v>
                </c:pt>
                <c:pt idx="329">
                  <c:v>123225.41</c:v>
                </c:pt>
                <c:pt idx="330">
                  <c:v>125385.41</c:v>
                </c:pt>
                <c:pt idx="331">
                  <c:v>125387.08</c:v>
                </c:pt>
                <c:pt idx="332">
                  <c:v>125477.08</c:v>
                </c:pt>
                <c:pt idx="333">
                  <c:v>125837.08</c:v>
                </c:pt>
                <c:pt idx="334">
                  <c:v>127997.08</c:v>
                </c:pt>
                <c:pt idx="335">
                  <c:v>127998.75</c:v>
                </c:pt>
                <c:pt idx="336">
                  <c:v>128018.75</c:v>
                </c:pt>
                <c:pt idx="337">
                  <c:v>128020.42</c:v>
                </c:pt>
                <c:pt idx="338">
                  <c:v>128380.42</c:v>
                </c:pt>
                <c:pt idx="339">
                  <c:v>128470.42</c:v>
                </c:pt>
                <c:pt idx="340">
                  <c:v>130630.42</c:v>
                </c:pt>
                <c:pt idx="341">
                  <c:v>130632.09</c:v>
                </c:pt>
                <c:pt idx="342">
                  <c:v>130652.09</c:v>
                </c:pt>
                <c:pt idx="343">
                  <c:v>130653.76</c:v>
                </c:pt>
                <c:pt idx="344">
                  <c:v>131013.76</c:v>
                </c:pt>
                <c:pt idx="345">
                  <c:v>131103.76</c:v>
                </c:pt>
                <c:pt idx="346">
                  <c:v>133263.76</c:v>
                </c:pt>
                <c:pt idx="347">
                  <c:v>133265.43</c:v>
                </c:pt>
                <c:pt idx="348">
                  <c:v>133285.43</c:v>
                </c:pt>
                <c:pt idx="349">
                  <c:v>133645.43</c:v>
                </c:pt>
                <c:pt idx="350">
                  <c:v>135805.43</c:v>
                </c:pt>
                <c:pt idx="351">
                  <c:v>135807.1</c:v>
                </c:pt>
                <c:pt idx="352">
                  <c:v>135897.1</c:v>
                </c:pt>
                <c:pt idx="353">
                  <c:v>135898.77</c:v>
                </c:pt>
                <c:pt idx="354">
                  <c:v>135918.77</c:v>
                </c:pt>
                <c:pt idx="355">
                  <c:v>138078.77</c:v>
                </c:pt>
                <c:pt idx="356">
                  <c:v>138438.77</c:v>
                </c:pt>
                <c:pt idx="357">
                  <c:v>138440.44</c:v>
                </c:pt>
                <c:pt idx="358">
                  <c:v>138530.44</c:v>
                </c:pt>
                <c:pt idx="359">
                  <c:v>138532.11</c:v>
                </c:pt>
                <c:pt idx="360">
                  <c:v>140692.11</c:v>
                </c:pt>
                <c:pt idx="361">
                  <c:v>141052.11</c:v>
                </c:pt>
                <c:pt idx="362">
                  <c:v>141072.11</c:v>
                </c:pt>
                <c:pt idx="363">
                  <c:v>141073.78</c:v>
                </c:pt>
                <c:pt idx="364">
                  <c:v>141163.78</c:v>
                </c:pt>
                <c:pt idx="365">
                  <c:v>143323.78</c:v>
                </c:pt>
                <c:pt idx="366">
                  <c:v>143325.45</c:v>
                </c:pt>
                <c:pt idx="367">
                  <c:v>143685.45</c:v>
                </c:pt>
                <c:pt idx="368">
                  <c:v>143705.45</c:v>
                </c:pt>
                <c:pt idx="369">
                  <c:v>143795.45</c:v>
                </c:pt>
                <c:pt idx="370">
                  <c:v>143797.12</c:v>
                </c:pt>
                <c:pt idx="371">
                  <c:v>145957.12</c:v>
                </c:pt>
                <c:pt idx="372">
                  <c:v>145958.79</c:v>
                </c:pt>
                <c:pt idx="373">
                  <c:v>146318.79</c:v>
                </c:pt>
                <c:pt idx="374">
                  <c:v>146338.79</c:v>
                </c:pt>
                <c:pt idx="375">
                  <c:v>146428.79</c:v>
                </c:pt>
                <c:pt idx="376">
                  <c:v>146430.46</c:v>
                </c:pt>
                <c:pt idx="377">
                  <c:v>148590.46</c:v>
                </c:pt>
                <c:pt idx="378">
                  <c:v>148950.46</c:v>
                </c:pt>
                <c:pt idx="379">
                  <c:v>148952.13</c:v>
                </c:pt>
                <c:pt idx="380">
                  <c:v>148972.13</c:v>
                </c:pt>
                <c:pt idx="381">
                  <c:v>149062.13</c:v>
                </c:pt>
                <c:pt idx="382">
                  <c:v>151222.13</c:v>
                </c:pt>
                <c:pt idx="383">
                  <c:v>151223.8</c:v>
                </c:pt>
                <c:pt idx="384">
                  <c:v>151583.8</c:v>
                </c:pt>
                <c:pt idx="385">
                  <c:v>151585.47</c:v>
                </c:pt>
                <c:pt idx="386">
                  <c:v>153745.47</c:v>
                </c:pt>
                <c:pt idx="387">
                  <c:v>153765.47</c:v>
                </c:pt>
                <c:pt idx="388">
                  <c:v>153855.47</c:v>
                </c:pt>
                <c:pt idx="389">
                  <c:v>153857.14</c:v>
                </c:pt>
                <c:pt idx="390">
                  <c:v>154217.14</c:v>
                </c:pt>
                <c:pt idx="391">
                  <c:v>154218.81</c:v>
                </c:pt>
                <c:pt idx="392">
                  <c:v>156378.81</c:v>
                </c:pt>
                <c:pt idx="393">
                  <c:v>156468.81</c:v>
                </c:pt>
                <c:pt idx="394">
                  <c:v>156488.81</c:v>
                </c:pt>
                <c:pt idx="395">
                  <c:v>156490.48</c:v>
                </c:pt>
                <c:pt idx="396">
                  <c:v>156850.48</c:v>
                </c:pt>
                <c:pt idx="397">
                  <c:v>156852.15</c:v>
                </c:pt>
                <c:pt idx="398">
                  <c:v>159012.15</c:v>
                </c:pt>
              </c:numCache>
            </c:numRef>
          </c:val>
          <c:smooth val="0"/>
        </c:ser>
        <c:dLbls>
          <c:showLegendKey val="0"/>
          <c:showVal val="0"/>
          <c:showCatName val="0"/>
          <c:showSerName val="0"/>
          <c:showPercent val="0"/>
          <c:showBubbleSize val="0"/>
        </c:dLbls>
        <c:marker val="1"/>
        <c:smooth val="0"/>
        <c:axId val="672299576"/>
        <c:axId val="672275656"/>
      </c:lineChart>
      <c:catAx>
        <c:axId val="672299576"/>
        <c:scaling>
          <c:orientation val="minMax"/>
        </c:scaling>
        <c:delete val="0"/>
        <c:axPos val="b"/>
        <c:title>
          <c:tx>
            <c:rich>
              <a:bodyPr/>
              <a:lstStyle/>
              <a:p>
                <a:pPr lvl="0">
                  <a:defRPr/>
                </a:pPr>
                <a:r>
                  <a:rPr lang="en-US"/>
                  <a:t>Minutes</a:t>
                </a:r>
              </a:p>
            </c:rich>
          </c:tx>
          <c:layout/>
          <c:overlay val="0"/>
        </c:title>
        <c:numFmt formatCode="0.00" sourceLinked="1"/>
        <c:majorTickMark val="cross"/>
        <c:minorTickMark val="cross"/>
        <c:tickLblPos val="nextTo"/>
        <c:txPr>
          <a:bodyPr/>
          <a:lstStyle/>
          <a:p>
            <a:pPr lvl="0">
              <a:defRPr/>
            </a:pPr>
            <a:endParaRPr lang="en-US"/>
          </a:p>
        </c:txPr>
        <c:crossAx val="672275656"/>
        <c:crosses val="autoZero"/>
        <c:auto val="1"/>
        <c:lblAlgn val="ctr"/>
        <c:lblOffset val="100"/>
        <c:tickLblSkip val="40"/>
        <c:tickMarkSkip val="40"/>
        <c:noMultiLvlLbl val="1"/>
      </c:catAx>
      <c:valAx>
        <c:axId val="672275656"/>
        <c:scaling>
          <c:orientation val="minMax"/>
        </c:scaling>
        <c:delete val="0"/>
        <c:axPos val="l"/>
        <c:majorGridlines>
          <c:spPr>
            <a:ln>
              <a:solidFill>
                <a:srgbClr val="B7B7B7"/>
              </a:solidFill>
            </a:ln>
          </c:spPr>
        </c:majorGridlines>
        <c:title>
          <c:tx>
            <c:rich>
              <a:bodyPr/>
              <a:lstStyle/>
              <a:p>
                <a:pPr lvl="0">
                  <a:defRPr/>
                </a:pPr>
                <a:r>
                  <a:rPr lang="en-US"/>
                  <a:t>Income / Sec</a:t>
                </a:r>
              </a:p>
            </c:rich>
          </c:tx>
          <c:layout/>
          <c:overlay val="0"/>
        </c:title>
        <c:numFmt formatCode="General" sourceLinked="1"/>
        <c:majorTickMark val="cross"/>
        <c:minorTickMark val="cross"/>
        <c:tickLblPos val="nextTo"/>
        <c:spPr>
          <a:ln w="47625">
            <a:noFill/>
          </a:ln>
        </c:spPr>
        <c:txPr>
          <a:bodyPr/>
          <a:lstStyle/>
          <a:p>
            <a:pPr lvl="0">
              <a:defRPr/>
            </a:pPr>
            <a:endParaRPr lang="en-US"/>
          </a:p>
        </c:txPr>
        <c:crossAx val="672299576"/>
        <c:crosses val="autoZero"/>
        <c:crossBetween val="between"/>
      </c:valAx>
    </c:plotArea>
    <c:legend>
      <c:legendPos val="r"/>
      <c:layout/>
      <c:overlay val="0"/>
    </c:legend>
    <c:plotVisOnly val="1"/>
    <c:dispBlanksAs val="zero"/>
    <c:showDLblsOverMax val="1"/>
  </c:chart>
  <c:printSettings>
    <c:headerFooter/>
    <c:pageMargins b="1.0" l="0.75" r="0.75" t="1.0"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1"/>
  <c:style val="18"/>
  <c:chart>
    <c:title>
      <c:tx>
        <c:rich>
          <a:bodyPr/>
          <a:lstStyle/>
          <a:p>
            <a:pPr lvl="0">
              <a:defRPr sz="1600" b="1">
                <a:solidFill>
                  <a:srgbClr val="000000"/>
                </a:solidFill>
              </a:defRPr>
            </a:pPr>
            <a:r>
              <a:rPr lang="en-US"/>
              <a:t>Counts of Items Over Time</a:t>
            </a:r>
          </a:p>
        </c:rich>
      </c:tx>
      <c:layout/>
      <c:overlay val="0"/>
    </c:title>
    <c:autoTitleDeleted val="0"/>
    <c:plotArea>
      <c:layout/>
      <c:lineChart>
        <c:grouping val="standard"/>
        <c:varyColors val="1"/>
        <c:ser>
          <c:idx val="0"/>
          <c:order val="0"/>
          <c:tx>
            <c:strRef>
              <c:f>Calculations!$I$1</c:f>
              <c:strCache>
                <c:ptCount val="1"/>
                <c:pt idx="0">
                  <c:v>Generator 1 Count</c:v>
                </c:pt>
              </c:strCache>
            </c:strRef>
          </c:tx>
          <c:spPr>
            <a:ln w="25400" cmpd="sng">
              <a:solidFill>
                <a:srgbClr val="3366CC"/>
              </a:solidFill>
            </a:ln>
          </c:spPr>
          <c:marker>
            <c:symbol val="none"/>
          </c:marker>
          <c:cat>
            <c:numRef>
              <c:f>Calculations!$A$2:$A$300</c:f>
              <c:numCache>
                <c:formatCode>0.00</c:formatCode>
                <c:ptCount val="299"/>
                <c:pt idx="0">
                  <c:v>0.0</c:v>
                </c:pt>
                <c:pt idx="1">
                  <c:v>0.0457045908183633</c:v>
                </c:pt>
                <c:pt idx="2">
                  <c:v>0.0701565469061876</c:v>
                </c:pt>
                <c:pt idx="3">
                  <c:v>0.0875989422488357</c:v>
                </c:pt>
                <c:pt idx="4">
                  <c:v>0.101596464511311</c:v>
                </c:pt>
                <c:pt idx="5">
                  <c:v>0.113578343567989</c:v>
                </c:pt>
                <c:pt idx="6">
                  <c:v>0.124262185726861</c:v>
                </c:pt>
                <c:pt idx="7">
                  <c:v>0.134060795249712</c:v>
                </c:pt>
                <c:pt idx="8">
                  <c:v>0.143234743415481</c:v>
                </c:pt>
                <c:pt idx="9">
                  <c:v>0.151960187448702</c:v>
                </c:pt>
                <c:pt idx="10">
                  <c:v>0.160362790052693</c:v>
                </c:pt>
                <c:pt idx="11">
                  <c:v>0.168536230767485</c:v>
                </c:pt>
                <c:pt idx="12">
                  <c:v>0.176553013868576</c:v>
                </c:pt>
                <c:pt idx="13">
                  <c:v>0.22952399498327</c:v>
                </c:pt>
                <c:pt idx="14">
                  <c:v>0.261231019677588</c:v>
                </c:pt>
                <c:pt idx="15">
                  <c:v>0.285876539042359</c:v>
                </c:pt>
                <c:pt idx="16">
                  <c:v>0.28798034857216</c:v>
                </c:pt>
                <c:pt idx="17">
                  <c:v>0.308956676828337</c:v>
                </c:pt>
                <c:pt idx="18">
                  <c:v>0.310735893659906</c:v>
                </c:pt>
                <c:pt idx="19">
                  <c:v>0.329882558938345</c:v>
                </c:pt>
                <c:pt idx="20">
                  <c:v>0.331456416727798</c:v>
                </c:pt>
                <c:pt idx="21">
                  <c:v>0.333118251329526</c:v>
                </c:pt>
                <c:pt idx="22">
                  <c:v>0.351134146380737</c:v>
                </c:pt>
                <c:pt idx="23">
                  <c:v>0.352652636968932</c:v>
                </c:pt>
                <c:pt idx="24">
                  <c:v>0.354259339858902</c:v>
                </c:pt>
                <c:pt idx="25">
                  <c:v>0.371790611726487</c:v>
                </c:pt>
                <c:pt idx="26">
                  <c:v>0.373292847586068</c:v>
                </c:pt>
                <c:pt idx="27">
                  <c:v>0.374884759302661</c:v>
                </c:pt>
                <c:pt idx="28">
                  <c:v>0.392357900689187</c:v>
                </c:pt>
                <c:pt idx="29">
                  <c:v>0.393872024419506</c:v>
                </c:pt>
                <c:pt idx="30">
                  <c:v>0.395478384713287</c:v>
                </c:pt>
                <c:pt idx="31">
                  <c:v>0.413208722357156</c:v>
                </c:pt>
                <c:pt idx="32">
                  <c:v>0.414756993026504</c:v>
                </c:pt>
                <c:pt idx="33">
                  <c:v>0.476916207857475</c:v>
                </c:pt>
                <c:pt idx="34">
                  <c:v>0.489963027180578</c:v>
                </c:pt>
                <c:pt idx="35">
                  <c:v>0.491059212477097</c:v>
                </c:pt>
                <c:pt idx="36">
                  <c:v>0.538068104715228</c:v>
                </c:pt>
                <c:pt idx="37">
                  <c:v>0.538986081862026</c:v>
                </c:pt>
                <c:pt idx="38">
                  <c:v>0.580974008743137</c:v>
                </c:pt>
                <c:pt idx="39">
                  <c:v>0.590035578989843</c:v>
                </c:pt>
                <c:pt idx="40">
                  <c:v>0.590812186244874</c:v>
                </c:pt>
                <c:pt idx="41">
                  <c:v>0.628689032980937</c:v>
                </c:pt>
                <c:pt idx="42">
                  <c:v>0.629398140294951</c:v>
                </c:pt>
                <c:pt idx="43">
                  <c:v>0.637934502068953</c:v>
                </c:pt>
                <c:pt idx="44">
                  <c:v>0.638667824790335</c:v>
                </c:pt>
                <c:pt idx="45">
                  <c:v>0.67430000557901</c:v>
                </c:pt>
                <c:pt idx="46">
                  <c:v>0.674987252399305</c:v>
                </c:pt>
                <c:pt idx="47">
                  <c:v>0.683300706826132</c:v>
                </c:pt>
                <c:pt idx="48">
                  <c:v>0.68401509641484</c:v>
                </c:pt>
                <c:pt idx="49">
                  <c:v>0.718592031037143</c:v>
                </c:pt>
                <c:pt idx="50">
                  <c:v>0.719274161252134</c:v>
                </c:pt>
                <c:pt idx="51">
                  <c:v>0.727564967594102</c:v>
                </c:pt>
                <c:pt idx="52">
                  <c:v>0.761943088009293</c:v>
                </c:pt>
                <c:pt idx="53">
                  <c:v>0.762588368791644</c:v>
                </c:pt>
                <c:pt idx="54">
                  <c:v>0.76327762449217</c:v>
                </c:pt>
                <c:pt idx="55">
                  <c:v>0.771694287672172</c:v>
                </c:pt>
                <c:pt idx="56">
                  <c:v>0.806383921698811</c:v>
                </c:pt>
                <c:pt idx="57">
                  <c:v>0.807044940754676</c:v>
                </c:pt>
                <c:pt idx="58">
                  <c:v>0.807751135892052</c:v>
                </c:pt>
                <c:pt idx="59">
                  <c:v>0.84387988293301</c:v>
                </c:pt>
                <c:pt idx="60">
                  <c:v>0.851877029271451</c:v>
                </c:pt>
                <c:pt idx="61">
                  <c:v>0.852561756757852</c:v>
                </c:pt>
                <c:pt idx="62">
                  <c:v>0.853293388528083</c:v>
                </c:pt>
                <c:pt idx="63">
                  <c:v>0.890568752402384</c:v>
                </c:pt>
                <c:pt idx="64">
                  <c:v>0.898953325357183</c:v>
                </c:pt>
                <c:pt idx="65">
                  <c:v>0.899669103384407</c:v>
                </c:pt>
                <c:pt idx="66">
                  <c:v>1.024346338602355</c:v>
                </c:pt>
                <c:pt idx="67">
                  <c:v>1.054803292460097</c:v>
                </c:pt>
                <c:pt idx="68">
                  <c:v>1.055372080634922</c:v>
                </c:pt>
                <c:pt idx="69">
                  <c:v>1.160036015061151</c:v>
                </c:pt>
                <c:pt idx="70">
                  <c:v>1.165882317784721</c:v>
                </c:pt>
                <c:pt idx="71">
                  <c:v>1.166382213887552</c:v>
                </c:pt>
                <c:pt idx="72">
                  <c:v>1.193417831800331</c:v>
                </c:pt>
                <c:pt idx="73">
                  <c:v>1.28665541992133</c:v>
                </c:pt>
                <c:pt idx="74">
                  <c:v>1.287096974373189</c:v>
                </c:pt>
                <c:pt idx="75">
                  <c:v>1.292591569895455</c:v>
                </c:pt>
                <c:pt idx="76">
                  <c:v>1.293060110657118</c:v>
                </c:pt>
                <c:pt idx="77">
                  <c:v>1.38295493449193</c:v>
                </c:pt>
                <c:pt idx="78">
                  <c:v>1.40513298017293</c:v>
                </c:pt>
                <c:pt idx="79">
                  <c:v>1.405560362659924</c:v>
                </c:pt>
                <c:pt idx="80">
                  <c:v>1.492164703415927</c:v>
                </c:pt>
                <c:pt idx="81">
                  <c:v>1.49694537612117</c:v>
                </c:pt>
                <c:pt idx="82">
                  <c:v>1.497351989039084</c:v>
                </c:pt>
                <c:pt idx="83">
                  <c:v>1.519161254019183</c:v>
                </c:pt>
                <c:pt idx="84">
                  <c:v>1.519585047887087</c:v>
                </c:pt>
                <c:pt idx="85">
                  <c:v>1.604350756171844</c:v>
                </c:pt>
                <c:pt idx="86">
                  <c:v>1.609180724710778</c:v>
                </c:pt>
                <c:pt idx="87">
                  <c:v>1.609589997318293</c:v>
                </c:pt>
                <c:pt idx="88">
                  <c:v>1.631449248137016</c:v>
                </c:pt>
                <c:pt idx="89">
                  <c:v>1.715963663586359</c:v>
                </c:pt>
                <c:pt idx="90">
                  <c:v>1.716356307368074</c:v>
                </c:pt>
                <c:pt idx="91">
                  <c:v>1.721309157081167</c:v>
                </c:pt>
                <c:pt idx="92">
                  <c:v>1.721727212155325</c:v>
                </c:pt>
                <c:pt idx="93">
                  <c:v>1.743960994324569</c:v>
                </c:pt>
                <c:pt idx="94">
                  <c:v>1.829376095695778</c:v>
                </c:pt>
                <c:pt idx="95">
                  <c:v>1.829781686489108</c:v>
                </c:pt>
                <c:pt idx="96">
                  <c:v>1.834920833295653</c:v>
                </c:pt>
                <c:pt idx="97">
                  <c:v>1.835352881776753</c:v>
                </c:pt>
                <c:pt idx="98">
                  <c:v>1.858233391678885</c:v>
                </c:pt>
                <c:pt idx="99">
                  <c:v>2.248807277135892</c:v>
                </c:pt>
                <c:pt idx="100">
                  <c:v>2.3096044245083</c:v>
                </c:pt>
                <c:pt idx="101">
                  <c:v>2.599578190991203</c:v>
                </c:pt>
                <c:pt idx="102">
                  <c:v>2.599811539913223</c:v>
                </c:pt>
                <c:pt idx="103">
                  <c:v>2.851731835777843</c:v>
                </c:pt>
                <c:pt idx="104">
                  <c:v>2.893168161450549</c:v>
                </c:pt>
                <c:pt idx="105">
                  <c:v>2.903606896369412</c:v>
                </c:pt>
                <c:pt idx="106">
                  <c:v>2.905944248387656</c:v>
                </c:pt>
                <c:pt idx="107">
                  <c:v>2.906140365846618</c:v>
                </c:pt>
                <c:pt idx="108">
                  <c:v>3.127768049573493</c:v>
                </c:pt>
                <c:pt idx="109">
                  <c:v>3.127946456310891</c:v>
                </c:pt>
                <c:pt idx="110">
                  <c:v>3.166224842698874</c:v>
                </c:pt>
                <c:pt idx="111">
                  <c:v>3.372126760631556</c:v>
                </c:pt>
                <c:pt idx="112">
                  <c:v>3.380661673797114</c:v>
                </c:pt>
                <c:pt idx="113">
                  <c:v>3.382593516806976</c:v>
                </c:pt>
                <c:pt idx="114">
                  <c:v>3.382754964894407</c:v>
                </c:pt>
                <c:pt idx="115">
                  <c:v>3.382927697439383</c:v>
                </c:pt>
                <c:pt idx="116">
                  <c:v>3.419506980402546</c:v>
                </c:pt>
                <c:pt idx="117">
                  <c:v>3.615263383241809</c:v>
                </c:pt>
                <c:pt idx="118">
                  <c:v>3.623684845699133</c:v>
                </c:pt>
                <c:pt idx="119">
                  <c:v>3.623845134063725</c:v>
                </c:pt>
                <c:pt idx="120">
                  <c:v>3.625769221989318</c:v>
                </c:pt>
                <c:pt idx="121">
                  <c:v>3.819728126269892</c:v>
                </c:pt>
                <c:pt idx="122">
                  <c:v>3.852000259290158</c:v>
                </c:pt>
                <c:pt idx="123">
                  <c:v>3.852152145314577</c:v>
                </c:pt>
                <c:pt idx="124">
                  <c:v>3.860614679689236</c:v>
                </c:pt>
                <c:pt idx="125">
                  <c:v>3.860776529867754</c:v>
                </c:pt>
                <c:pt idx="126">
                  <c:v>4.052562558289951</c:v>
                </c:pt>
                <c:pt idx="127">
                  <c:v>4.05434179532788</c:v>
                </c:pt>
                <c:pt idx="128">
                  <c:v>4.086887822660488</c:v>
                </c:pt>
                <c:pt idx="129">
                  <c:v>4.08704328840121</c:v>
                </c:pt>
                <c:pt idx="130">
                  <c:v>4.095668268210208</c:v>
                </c:pt>
                <c:pt idx="131">
                  <c:v>4.287803058343162</c:v>
                </c:pt>
                <c:pt idx="132">
                  <c:v>4.287955585327497</c:v>
                </c:pt>
                <c:pt idx="133">
                  <c:v>4.289802897415763</c:v>
                </c:pt>
                <c:pt idx="134">
                  <c:v>4.323009123033259</c:v>
                </c:pt>
                <c:pt idx="135">
                  <c:v>4.323170060320479</c:v>
                </c:pt>
                <c:pt idx="136">
                  <c:v>4.51844714995372</c:v>
                </c:pt>
                <c:pt idx="137">
                  <c:v>4.526689722180401</c:v>
                </c:pt>
                <c:pt idx="138">
                  <c:v>4.526848884447588</c:v>
                </c:pt>
                <c:pt idx="139">
                  <c:v>4.561074130405458</c:v>
                </c:pt>
                <c:pt idx="140">
                  <c:v>4.562987240627166</c:v>
                </c:pt>
                <c:pt idx="141">
                  <c:v>4.762585197556606</c:v>
                </c:pt>
                <c:pt idx="142">
                  <c:v>4.762742089786666</c:v>
                </c:pt>
                <c:pt idx="143">
                  <c:v>4.771371997083626</c:v>
                </c:pt>
                <c:pt idx="144">
                  <c:v>4.806901995950386</c:v>
                </c:pt>
                <c:pt idx="145">
                  <c:v>4.807067553765542</c:v>
                </c:pt>
                <c:pt idx="146">
                  <c:v>4.80909061228652</c:v>
                </c:pt>
                <c:pt idx="147">
                  <c:v>5.014664493118532</c:v>
                </c:pt>
                <c:pt idx="148">
                  <c:v>5.014830568882267</c:v>
                </c:pt>
                <c:pt idx="149">
                  <c:v>5.023926558244352</c:v>
                </c:pt>
                <c:pt idx="150">
                  <c:v>5.061054741638178</c:v>
                </c:pt>
                <c:pt idx="151">
                  <c:v>5.274291992337854</c:v>
                </c:pt>
                <c:pt idx="152">
                  <c:v>5.274457324166646</c:v>
                </c:pt>
                <c:pt idx="153">
                  <c:v>5.276486633930902</c:v>
                </c:pt>
                <c:pt idx="154">
                  <c:v>5.27666343687424</c:v>
                </c:pt>
                <c:pt idx="155">
                  <c:v>5.286305543491534</c:v>
                </c:pt>
                <c:pt idx="156">
                  <c:v>5.325324676501864</c:v>
                </c:pt>
                <c:pt idx="157">
                  <c:v>5.547597346621957</c:v>
                </c:pt>
                <c:pt idx="158">
                  <c:v>5.547774221170966</c:v>
                </c:pt>
                <c:pt idx="159">
                  <c:v>5.549954885269088</c:v>
                </c:pt>
                <c:pt idx="160">
                  <c:v>5.55014403895441</c:v>
                </c:pt>
                <c:pt idx="161">
                  <c:v>5.560415584779911</c:v>
                </c:pt>
                <c:pt idx="162">
                  <c:v>5.795306317167956</c:v>
                </c:pt>
                <c:pt idx="163">
                  <c:v>5.834416519377407</c:v>
                </c:pt>
                <c:pt idx="164">
                  <c:v>5.834606559864333</c:v>
                </c:pt>
                <c:pt idx="165">
                  <c:v>5.836959988097032</c:v>
                </c:pt>
                <c:pt idx="166">
                  <c:v>6.084417920652025</c:v>
                </c:pt>
                <c:pt idx="167">
                  <c:v>6.084611398682165</c:v>
                </c:pt>
                <c:pt idx="168">
                  <c:v>6.095072848547749</c:v>
                </c:pt>
                <c:pt idx="169">
                  <c:v>6.136684629600752</c:v>
                </c:pt>
                <c:pt idx="170">
                  <c:v>6.136889592420537</c:v>
                </c:pt>
                <c:pt idx="171">
                  <c:v>6.39809654420165</c:v>
                </c:pt>
                <c:pt idx="172">
                  <c:v>6.400530343159615</c:v>
                </c:pt>
                <c:pt idx="173">
                  <c:v>6.445040986333715</c:v>
                </c:pt>
                <c:pt idx="174">
                  <c:v>6.445248674532503</c:v>
                </c:pt>
                <c:pt idx="175">
                  <c:v>6.456430439087438</c:v>
                </c:pt>
                <c:pt idx="176">
                  <c:v>6.456652241527281</c:v>
                </c:pt>
                <c:pt idx="177">
                  <c:v>6.733172723551557</c:v>
                </c:pt>
                <c:pt idx="178">
                  <c:v>6.735824816758749</c:v>
                </c:pt>
                <c:pt idx="179">
                  <c:v>6.783485265196243</c:v>
                </c:pt>
                <c:pt idx="180">
                  <c:v>6.795569441141608</c:v>
                </c:pt>
                <c:pt idx="181">
                  <c:v>6.79579444722084</c:v>
                </c:pt>
                <c:pt idx="182">
                  <c:v>7.089417579205438</c:v>
                </c:pt>
                <c:pt idx="183">
                  <c:v>7.089648487716922</c:v>
                </c:pt>
                <c:pt idx="184">
                  <c:v>7.14084162329306</c:v>
                </c:pt>
                <c:pt idx="185">
                  <c:v>7.143719952749558</c:v>
                </c:pt>
                <c:pt idx="186">
                  <c:v>7.156814385072859</c:v>
                </c:pt>
                <c:pt idx="187">
                  <c:v>7.157059271516557</c:v>
                </c:pt>
                <c:pt idx="188">
                  <c:v>7.469675797864686</c:v>
                </c:pt>
                <c:pt idx="189">
                  <c:v>7.469927616978012</c:v>
                </c:pt>
                <c:pt idx="190">
                  <c:v>7.525030207806266</c:v>
                </c:pt>
                <c:pt idx="191">
                  <c:v>7.528184193166839</c:v>
                </c:pt>
                <c:pt idx="192">
                  <c:v>7.542408154156703</c:v>
                </c:pt>
                <c:pt idx="193">
                  <c:v>7.542675329197347</c:v>
                </c:pt>
                <c:pt idx="194">
                  <c:v>7.876327673300328</c:v>
                </c:pt>
                <c:pt idx="195">
                  <c:v>7.876602916725514</c:v>
                </c:pt>
                <c:pt idx="196">
                  <c:v>7.936047428270957</c:v>
                </c:pt>
                <c:pt idx="197">
                  <c:v>8.293623131249681</c:v>
                </c:pt>
                <c:pt idx="198">
                  <c:v>8.3085619419613</c:v>
                </c:pt>
                <c:pt idx="199">
                  <c:v>8.311897346220268</c:v>
                </c:pt>
                <c:pt idx="200">
                  <c:v>8.31217909759541</c:v>
                </c:pt>
                <c:pt idx="201">
                  <c:v>8.376441367225522</c:v>
                </c:pt>
                <c:pt idx="202">
                  <c:v>8.376741056880916</c:v>
                </c:pt>
                <c:pt idx="203">
                  <c:v>8.759967840641424</c:v>
                </c:pt>
                <c:pt idx="204">
                  <c:v>8.776289259049617</c:v>
                </c:pt>
                <c:pt idx="205">
                  <c:v>8.779965552181881</c:v>
                </c:pt>
                <c:pt idx="206">
                  <c:v>8.78027472646065</c:v>
                </c:pt>
                <c:pt idx="207">
                  <c:v>8.849874007946265</c:v>
                </c:pt>
                <c:pt idx="208">
                  <c:v>9.261366878683892</c:v>
                </c:pt>
                <c:pt idx="209">
                  <c:v>9.261685036490788</c:v>
                </c:pt>
                <c:pt idx="210">
                  <c:v>9.279547969829527</c:v>
                </c:pt>
                <c:pt idx="211">
                  <c:v>9.283607003487947</c:v>
                </c:pt>
                <c:pt idx="212">
                  <c:v>9.283946856450294</c:v>
                </c:pt>
                <c:pt idx="213">
                  <c:v>9.359456740647578</c:v>
                </c:pt>
                <c:pt idx="214">
                  <c:v>9.80204389040193</c:v>
                </c:pt>
                <c:pt idx="215">
                  <c:v>9.802394152969863</c:v>
                </c:pt>
                <c:pt idx="216">
                  <c:v>9.82197545829894</c:v>
                </c:pt>
                <c:pt idx="217">
                  <c:v>9.822349738612393</c:v>
                </c:pt>
                <c:pt idx="218">
                  <c:v>9.826838398436024</c:v>
                </c:pt>
                <c:pt idx="219">
                  <c:v>10.30612028724858</c:v>
                </c:pt>
                <c:pt idx="220">
                  <c:v>10.38567022564245</c:v>
                </c:pt>
                <c:pt idx="221">
                  <c:v>10.3860564027632</c:v>
                </c:pt>
                <c:pt idx="222">
                  <c:v>10.40755311979724</c:v>
                </c:pt>
                <c:pt idx="223">
                  <c:v>10.92467496185405</c:v>
                </c:pt>
                <c:pt idx="224">
                  <c:v>10.92507549868407</c:v>
                </c:pt>
                <c:pt idx="225">
                  <c:v>10.92990045227178</c:v>
                </c:pt>
                <c:pt idx="226">
                  <c:v>11.01656865645421</c:v>
                </c:pt>
                <c:pt idx="227">
                  <c:v>11.01699501442156</c:v>
                </c:pt>
                <c:pt idx="228">
                  <c:v>11.04062686011515</c:v>
                </c:pt>
                <c:pt idx="229">
                  <c:v>11.59916280507656</c:v>
                </c:pt>
                <c:pt idx="230">
                  <c:v>11.69373472707476</c:v>
                </c:pt>
                <c:pt idx="231">
                  <c:v>11.69417533762453</c:v>
                </c:pt>
                <c:pt idx="232">
                  <c:v>11.69950667599395</c:v>
                </c:pt>
                <c:pt idx="233">
                  <c:v>11.69997799561864</c:v>
                </c:pt>
                <c:pt idx="234">
                  <c:v>12.30472310417765</c:v>
                </c:pt>
                <c:pt idx="235">
                  <c:v>12.33002038354829</c:v>
                </c:pt>
                <c:pt idx="236">
                  <c:v>12.43331019077347</c:v>
                </c:pt>
                <c:pt idx="237">
                  <c:v>12.43379784022079</c:v>
                </c:pt>
                <c:pt idx="238">
                  <c:v>12.43972463231977</c:v>
                </c:pt>
                <c:pt idx="239">
                  <c:v>13.09449537764145</c:v>
                </c:pt>
                <c:pt idx="240">
                  <c:v>13.09500314796426</c:v>
                </c:pt>
                <c:pt idx="241">
                  <c:v>13.12290712231683</c:v>
                </c:pt>
                <c:pt idx="242">
                  <c:v>13.23584494490155</c:v>
                </c:pt>
                <c:pt idx="243">
                  <c:v>13.23638525470523</c:v>
                </c:pt>
                <c:pt idx="244">
                  <c:v>13.24298132667199</c:v>
                </c:pt>
                <c:pt idx="245">
                  <c:v>13.95268766412485</c:v>
                </c:pt>
                <c:pt idx="246">
                  <c:v>13.95325075522229</c:v>
                </c:pt>
                <c:pt idx="247">
                  <c:v>13.98406240743296</c:v>
                </c:pt>
                <c:pt idx="248">
                  <c:v>14.10767907132833</c:v>
                </c:pt>
                <c:pt idx="249">
                  <c:v>14.10827835109381</c:v>
                </c:pt>
                <c:pt idx="250">
                  <c:v>14.8785120600923</c:v>
                </c:pt>
                <c:pt idx="251">
                  <c:v>14.88567707033168</c:v>
                </c:pt>
                <c:pt idx="252">
                  <c:v>14.88630212565325</c:v>
                </c:pt>
                <c:pt idx="253">
                  <c:v>15.02188155372447</c:v>
                </c:pt>
                <c:pt idx="254">
                  <c:v>15.05579629649633</c:v>
                </c:pt>
                <c:pt idx="255">
                  <c:v>15.8923469177702</c:v>
                </c:pt>
                <c:pt idx="256">
                  <c:v>15.89299612422102</c:v>
                </c:pt>
                <c:pt idx="257">
                  <c:v>15.90099237993872</c:v>
                </c:pt>
                <c:pt idx="258">
                  <c:v>16.04967342755192</c:v>
                </c:pt>
                <c:pt idx="259">
                  <c:v>16.05036511570651</c:v>
                </c:pt>
                <c:pt idx="260">
                  <c:v>16.08789021066947</c:v>
                </c:pt>
                <c:pt idx="261">
                  <c:v>16.9972838219808</c:v>
                </c:pt>
                <c:pt idx="262">
                  <c:v>16.99800576284546</c:v>
                </c:pt>
                <c:pt idx="263">
                  <c:v>17.00693750118405</c:v>
                </c:pt>
                <c:pt idx="264">
                  <c:v>17.17012554272359</c:v>
                </c:pt>
                <c:pt idx="265">
                  <c:v>17.1708948189483</c:v>
                </c:pt>
                <c:pt idx="266">
                  <c:v>17.2124505856694</c:v>
                </c:pt>
                <c:pt idx="267">
                  <c:v>18.2018850707511</c:v>
                </c:pt>
                <c:pt idx="268">
                  <c:v>18.20268855693827</c:v>
                </c:pt>
                <c:pt idx="269">
                  <c:v>18.21267344699203</c:v>
                </c:pt>
                <c:pt idx="270">
                  <c:v>18.39193158057078</c:v>
                </c:pt>
                <c:pt idx="271">
                  <c:v>19.47037277408033</c:v>
                </c:pt>
                <c:pt idx="272">
                  <c:v>19.5154040726904</c:v>
                </c:pt>
                <c:pt idx="273">
                  <c:v>19.51624047878288</c:v>
                </c:pt>
                <c:pt idx="274">
                  <c:v>19.5171354178947</c:v>
                </c:pt>
                <c:pt idx="275">
                  <c:v>19.71424015768804</c:v>
                </c:pt>
                <c:pt idx="276">
                  <c:v>20.88967537546975</c:v>
                </c:pt>
                <c:pt idx="277">
                  <c:v>20.90056344829242</c:v>
                </c:pt>
                <c:pt idx="278">
                  <c:v>20.95054113425799</c:v>
                </c:pt>
                <c:pt idx="279">
                  <c:v>20.95147342682852</c:v>
                </c:pt>
                <c:pt idx="280">
                  <c:v>20.95247096315943</c:v>
                </c:pt>
                <c:pt idx="281">
                  <c:v>21.16931295451521</c:v>
                </c:pt>
                <c:pt idx="282">
                  <c:v>22.45113293277799</c:v>
                </c:pt>
                <c:pt idx="283">
                  <c:v>22.46333146122701</c:v>
                </c:pt>
                <c:pt idx="284">
                  <c:v>22.51883770394312</c:v>
                </c:pt>
                <c:pt idx="285">
                  <c:v>22.51987760189758</c:v>
                </c:pt>
                <c:pt idx="286">
                  <c:v>23.92362752643949</c:v>
                </c:pt>
                <c:pt idx="287">
                  <c:v>24.15741616305261</c:v>
                </c:pt>
                <c:pt idx="288">
                  <c:v>24.15850207855438</c:v>
                </c:pt>
                <c:pt idx="289">
                  <c:v>24.17217787172224</c:v>
                </c:pt>
                <c:pt idx="290">
                  <c:v>24.23386521377577</c:v>
                </c:pt>
                <c:pt idx="291">
                  <c:v>24.2350259064885</c:v>
                </c:pt>
                <c:pt idx="292">
                  <c:v>25.76776037873407</c:v>
                </c:pt>
                <c:pt idx="293">
                  <c:v>26.02544383661646</c:v>
                </c:pt>
                <c:pt idx="294">
                  <c:v>26.02665662487436</c:v>
                </c:pt>
                <c:pt idx="295">
                  <c:v>26.0952694579444</c:v>
                </c:pt>
                <c:pt idx="296">
                  <c:v>26.11059826081573</c:v>
                </c:pt>
                <c:pt idx="297">
                  <c:v>26.1118945966945</c:v>
                </c:pt>
                <c:pt idx="298">
                  <c:v>27.78652065603071</c:v>
                </c:pt>
              </c:numCache>
            </c:numRef>
          </c:cat>
          <c:val>
            <c:numRef>
              <c:f>Calculations!$I$2:$I$300</c:f>
              <c:numCache>
                <c:formatCode>0</c:formatCode>
                <c:ptCount val="299"/>
                <c:pt idx="0">
                  <c:v>1.0</c:v>
                </c:pt>
                <c:pt idx="1">
                  <c:v>2.0</c:v>
                </c:pt>
                <c:pt idx="2">
                  <c:v>3.0</c:v>
                </c:pt>
                <c:pt idx="3">
                  <c:v>4.0</c:v>
                </c:pt>
                <c:pt idx="4">
                  <c:v>5.0</c:v>
                </c:pt>
                <c:pt idx="5">
                  <c:v>6.0</c:v>
                </c:pt>
                <c:pt idx="6">
                  <c:v>7.0</c:v>
                </c:pt>
                <c:pt idx="7">
                  <c:v>8.0</c:v>
                </c:pt>
                <c:pt idx="8">
                  <c:v>9.0</c:v>
                </c:pt>
                <c:pt idx="9">
                  <c:v>10.0</c:v>
                </c:pt>
                <c:pt idx="10">
                  <c:v>11.0</c:v>
                </c:pt>
                <c:pt idx="11">
                  <c:v>12.0</c:v>
                </c:pt>
                <c:pt idx="12">
                  <c:v>13.0</c:v>
                </c:pt>
                <c:pt idx="13">
                  <c:v>13.0</c:v>
                </c:pt>
                <c:pt idx="14">
                  <c:v>13.0</c:v>
                </c:pt>
                <c:pt idx="15">
                  <c:v>13.0</c:v>
                </c:pt>
                <c:pt idx="16">
                  <c:v>14.0</c:v>
                </c:pt>
                <c:pt idx="17">
                  <c:v>14.0</c:v>
                </c:pt>
                <c:pt idx="18">
                  <c:v>15.0</c:v>
                </c:pt>
                <c:pt idx="19">
                  <c:v>15.0</c:v>
                </c:pt>
                <c:pt idx="20">
                  <c:v>16.0</c:v>
                </c:pt>
                <c:pt idx="21">
                  <c:v>17.0</c:v>
                </c:pt>
                <c:pt idx="22">
                  <c:v>17.0</c:v>
                </c:pt>
                <c:pt idx="23">
                  <c:v>18.0</c:v>
                </c:pt>
                <c:pt idx="24">
                  <c:v>19.0</c:v>
                </c:pt>
                <c:pt idx="25">
                  <c:v>19.0</c:v>
                </c:pt>
                <c:pt idx="26">
                  <c:v>20.0</c:v>
                </c:pt>
                <c:pt idx="27">
                  <c:v>21.0</c:v>
                </c:pt>
                <c:pt idx="28">
                  <c:v>21.0</c:v>
                </c:pt>
                <c:pt idx="29">
                  <c:v>22.0</c:v>
                </c:pt>
                <c:pt idx="30">
                  <c:v>23.0</c:v>
                </c:pt>
                <c:pt idx="31">
                  <c:v>23.0</c:v>
                </c:pt>
                <c:pt idx="32">
                  <c:v>24.0</c:v>
                </c:pt>
                <c:pt idx="33">
                  <c:v>24.0</c:v>
                </c:pt>
                <c:pt idx="34">
                  <c:v>24.0</c:v>
                </c:pt>
                <c:pt idx="35">
                  <c:v>25.0</c:v>
                </c:pt>
                <c:pt idx="36">
                  <c:v>25.0</c:v>
                </c:pt>
                <c:pt idx="37">
                  <c:v>26.0</c:v>
                </c:pt>
                <c:pt idx="38">
                  <c:v>26.0</c:v>
                </c:pt>
                <c:pt idx="39">
                  <c:v>26.0</c:v>
                </c:pt>
                <c:pt idx="40">
                  <c:v>27.0</c:v>
                </c:pt>
                <c:pt idx="41">
                  <c:v>27.0</c:v>
                </c:pt>
                <c:pt idx="42">
                  <c:v>28.0</c:v>
                </c:pt>
                <c:pt idx="43">
                  <c:v>28.0</c:v>
                </c:pt>
                <c:pt idx="44">
                  <c:v>29.0</c:v>
                </c:pt>
                <c:pt idx="45">
                  <c:v>29.0</c:v>
                </c:pt>
                <c:pt idx="46">
                  <c:v>30.0</c:v>
                </c:pt>
                <c:pt idx="47">
                  <c:v>30.0</c:v>
                </c:pt>
                <c:pt idx="48">
                  <c:v>31.0</c:v>
                </c:pt>
                <c:pt idx="49">
                  <c:v>31.0</c:v>
                </c:pt>
                <c:pt idx="50">
                  <c:v>32.0</c:v>
                </c:pt>
                <c:pt idx="51">
                  <c:v>32.0</c:v>
                </c:pt>
                <c:pt idx="52">
                  <c:v>32.0</c:v>
                </c:pt>
                <c:pt idx="53">
                  <c:v>33.0</c:v>
                </c:pt>
                <c:pt idx="54">
                  <c:v>34.0</c:v>
                </c:pt>
                <c:pt idx="55">
                  <c:v>34.0</c:v>
                </c:pt>
                <c:pt idx="56">
                  <c:v>34.0</c:v>
                </c:pt>
                <c:pt idx="57">
                  <c:v>35.0</c:v>
                </c:pt>
                <c:pt idx="58">
                  <c:v>36.0</c:v>
                </c:pt>
                <c:pt idx="59">
                  <c:v>36.0</c:v>
                </c:pt>
                <c:pt idx="60">
                  <c:v>36.0</c:v>
                </c:pt>
                <c:pt idx="61">
                  <c:v>37.0</c:v>
                </c:pt>
                <c:pt idx="62">
                  <c:v>38.0</c:v>
                </c:pt>
                <c:pt idx="63">
                  <c:v>38.0</c:v>
                </c:pt>
                <c:pt idx="64">
                  <c:v>38.0</c:v>
                </c:pt>
                <c:pt idx="65">
                  <c:v>39.0</c:v>
                </c:pt>
                <c:pt idx="66">
                  <c:v>39.0</c:v>
                </c:pt>
                <c:pt idx="67">
                  <c:v>39.0</c:v>
                </c:pt>
                <c:pt idx="68">
                  <c:v>40.0</c:v>
                </c:pt>
                <c:pt idx="69">
                  <c:v>40.0</c:v>
                </c:pt>
                <c:pt idx="70">
                  <c:v>40.0</c:v>
                </c:pt>
                <c:pt idx="71">
                  <c:v>41.0</c:v>
                </c:pt>
                <c:pt idx="72">
                  <c:v>41.0</c:v>
                </c:pt>
                <c:pt idx="73">
                  <c:v>41.0</c:v>
                </c:pt>
                <c:pt idx="74">
                  <c:v>42.0</c:v>
                </c:pt>
                <c:pt idx="75">
                  <c:v>42.0</c:v>
                </c:pt>
                <c:pt idx="76">
                  <c:v>43.0</c:v>
                </c:pt>
                <c:pt idx="77">
                  <c:v>43.0</c:v>
                </c:pt>
                <c:pt idx="78">
                  <c:v>43.0</c:v>
                </c:pt>
                <c:pt idx="79">
                  <c:v>44.0</c:v>
                </c:pt>
                <c:pt idx="80">
                  <c:v>44.0</c:v>
                </c:pt>
                <c:pt idx="81">
                  <c:v>44.0</c:v>
                </c:pt>
                <c:pt idx="82">
                  <c:v>45.0</c:v>
                </c:pt>
                <c:pt idx="83">
                  <c:v>45.0</c:v>
                </c:pt>
                <c:pt idx="84">
                  <c:v>46.0</c:v>
                </c:pt>
                <c:pt idx="85">
                  <c:v>46.0</c:v>
                </c:pt>
                <c:pt idx="86">
                  <c:v>46.0</c:v>
                </c:pt>
                <c:pt idx="87">
                  <c:v>47.0</c:v>
                </c:pt>
                <c:pt idx="88">
                  <c:v>47.0</c:v>
                </c:pt>
                <c:pt idx="89">
                  <c:v>47.0</c:v>
                </c:pt>
                <c:pt idx="90">
                  <c:v>48.0</c:v>
                </c:pt>
                <c:pt idx="91">
                  <c:v>48.0</c:v>
                </c:pt>
                <c:pt idx="92">
                  <c:v>49.0</c:v>
                </c:pt>
                <c:pt idx="93">
                  <c:v>49.0</c:v>
                </c:pt>
                <c:pt idx="94">
                  <c:v>49.0</c:v>
                </c:pt>
                <c:pt idx="95">
                  <c:v>50.0</c:v>
                </c:pt>
                <c:pt idx="96">
                  <c:v>50.0</c:v>
                </c:pt>
                <c:pt idx="97">
                  <c:v>51.0</c:v>
                </c:pt>
                <c:pt idx="98">
                  <c:v>51.0</c:v>
                </c:pt>
                <c:pt idx="99">
                  <c:v>51.0</c:v>
                </c:pt>
                <c:pt idx="100">
                  <c:v>51.0</c:v>
                </c:pt>
                <c:pt idx="101">
                  <c:v>51.0</c:v>
                </c:pt>
                <c:pt idx="102">
                  <c:v>52.0</c:v>
                </c:pt>
                <c:pt idx="103">
                  <c:v>52.0</c:v>
                </c:pt>
                <c:pt idx="104">
                  <c:v>52.0</c:v>
                </c:pt>
                <c:pt idx="105">
                  <c:v>52.0</c:v>
                </c:pt>
                <c:pt idx="106">
                  <c:v>52.0</c:v>
                </c:pt>
                <c:pt idx="107">
                  <c:v>53.0</c:v>
                </c:pt>
                <c:pt idx="108">
                  <c:v>53.0</c:v>
                </c:pt>
                <c:pt idx="109">
                  <c:v>54.0</c:v>
                </c:pt>
                <c:pt idx="110">
                  <c:v>54.0</c:v>
                </c:pt>
                <c:pt idx="111">
                  <c:v>54.0</c:v>
                </c:pt>
                <c:pt idx="112">
                  <c:v>54.0</c:v>
                </c:pt>
                <c:pt idx="113">
                  <c:v>54.0</c:v>
                </c:pt>
                <c:pt idx="114">
                  <c:v>55.0</c:v>
                </c:pt>
                <c:pt idx="115">
                  <c:v>56.0</c:v>
                </c:pt>
                <c:pt idx="116">
                  <c:v>56.0</c:v>
                </c:pt>
                <c:pt idx="117">
                  <c:v>56.0</c:v>
                </c:pt>
                <c:pt idx="118">
                  <c:v>56.0</c:v>
                </c:pt>
                <c:pt idx="119">
                  <c:v>57.0</c:v>
                </c:pt>
                <c:pt idx="120">
                  <c:v>57.0</c:v>
                </c:pt>
                <c:pt idx="121">
                  <c:v>57.0</c:v>
                </c:pt>
                <c:pt idx="122">
                  <c:v>57.0</c:v>
                </c:pt>
                <c:pt idx="123">
                  <c:v>58.0</c:v>
                </c:pt>
                <c:pt idx="124">
                  <c:v>58.0</c:v>
                </c:pt>
                <c:pt idx="125">
                  <c:v>59.0</c:v>
                </c:pt>
                <c:pt idx="126">
                  <c:v>59.0</c:v>
                </c:pt>
                <c:pt idx="127">
                  <c:v>59.0</c:v>
                </c:pt>
                <c:pt idx="128">
                  <c:v>59.0</c:v>
                </c:pt>
                <c:pt idx="129">
                  <c:v>60.0</c:v>
                </c:pt>
                <c:pt idx="130">
                  <c:v>60.0</c:v>
                </c:pt>
                <c:pt idx="131">
                  <c:v>60.0</c:v>
                </c:pt>
                <c:pt idx="132">
                  <c:v>61.0</c:v>
                </c:pt>
                <c:pt idx="133">
                  <c:v>61.0</c:v>
                </c:pt>
                <c:pt idx="134">
                  <c:v>61.0</c:v>
                </c:pt>
                <c:pt idx="135">
                  <c:v>62.0</c:v>
                </c:pt>
                <c:pt idx="136">
                  <c:v>62.0</c:v>
                </c:pt>
                <c:pt idx="137">
                  <c:v>62.0</c:v>
                </c:pt>
                <c:pt idx="138">
                  <c:v>63.0</c:v>
                </c:pt>
                <c:pt idx="139">
                  <c:v>63.0</c:v>
                </c:pt>
                <c:pt idx="140">
                  <c:v>63.0</c:v>
                </c:pt>
                <c:pt idx="141">
                  <c:v>63.0</c:v>
                </c:pt>
                <c:pt idx="142">
                  <c:v>64.0</c:v>
                </c:pt>
                <c:pt idx="143">
                  <c:v>64.0</c:v>
                </c:pt>
                <c:pt idx="144">
                  <c:v>64.0</c:v>
                </c:pt>
                <c:pt idx="145">
                  <c:v>65.0</c:v>
                </c:pt>
                <c:pt idx="146">
                  <c:v>65.0</c:v>
                </c:pt>
                <c:pt idx="147">
                  <c:v>65.0</c:v>
                </c:pt>
                <c:pt idx="148">
                  <c:v>66.0</c:v>
                </c:pt>
                <c:pt idx="149">
                  <c:v>66.0</c:v>
                </c:pt>
                <c:pt idx="150">
                  <c:v>66.0</c:v>
                </c:pt>
                <c:pt idx="151">
                  <c:v>66.0</c:v>
                </c:pt>
                <c:pt idx="152">
                  <c:v>67.0</c:v>
                </c:pt>
                <c:pt idx="153">
                  <c:v>67.0</c:v>
                </c:pt>
                <c:pt idx="154">
                  <c:v>68.0</c:v>
                </c:pt>
                <c:pt idx="155">
                  <c:v>68.0</c:v>
                </c:pt>
                <c:pt idx="156">
                  <c:v>68.0</c:v>
                </c:pt>
                <c:pt idx="157">
                  <c:v>68.0</c:v>
                </c:pt>
                <c:pt idx="158">
                  <c:v>69.0</c:v>
                </c:pt>
                <c:pt idx="159">
                  <c:v>69.0</c:v>
                </c:pt>
                <c:pt idx="160">
                  <c:v>70.0</c:v>
                </c:pt>
                <c:pt idx="161">
                  <c:v>70.0</c:v>
                </c:pt>
                <c:pt idx="162">
                  <c:v>70.0</c:v>
                </c:pt>
                <c:pt idx="163">
                  <c:v>70.0</c:v>
                </c:pt>
                <c:pt idx="164">
                  <c:v>71.0</c:v>
                </c:pt>
                <c:pt idx="165">
                  <c:v>71.0</c:v>
                </c:pt>
                <c:pt idx="166">
                  <c:v>71.0</c:v>
                </c:pt>
                <c:pt idx="167">
                  <c:v>72.0</c:v>
                </c:pt>
                <c:pt idx="168">
                  <c:v>72.0</c:v>
                </c:pt>
                <c:pt idx="169">
                  <c:v>72.0</c:v>
                </c:pt>
                <c:pt idx="170">
                  <c:v>73.0</c:v>
                </c:pt>
                <c:pt idx="171">
                  <c:v>73.0</c:v>
                </c:pt>
                <c:pt idx="172">
                  <c:v>73.0</c:v>
                </c:pt>
                <c:pt idx="173">
                  <c:v>73.0</c:v>
                </c:pt>
                <c:pt idx="174">
                  <c:v>74.0</c:v>
                </c:pt>
                <c:pt idx="175">
                  <c:v>74.0</c:v>
                </c:pt>
                <c:pt idx="176">
                  <c:v>75.0</c:v>
                </c:pt>
                <c:pt idx="177">
                  <c:v>75.0</c:v>
                </c:pt>
                <c:pt idx="178">
                  <c:v>75.0</c:v>
                </c:pt>
                <c:pt idx="179">
                  <c:v>75.0</c:v>
                </c:pt>
                <c:pt idx="180">
                  <c:v>75.0</c:v>
                </c:pt>
                <c:pt idx="181">
                  <c:v>76.0</c:v>
                </c:pt>
                <c:pt idx="182">
                  <c:v>76.0</c:v>
                </c:pt>
                <c:pt idx="183">
                  <c:v>77.0</c:v>
                </c:pt>
                <c:pt idx="184">
                  <c:v>77.0</c:v>
                </c:pt>
                <c:pt idx="185">
                  <c:v>77.0</c:v>
                </c:pt>
                <c:pt idx="186">
                  <c:v>77.0</c:v>
                </c:pt>
                <c:pt idx="187">
                  <c:v>78.0</c:v>
                </c:pt>
                <c:pt idx="188">
                  <c:v>78.0</c:v>
                </c:pt>
                <c:pt idx="189">
                  <c:v>79.0</c:v>
                </c:pt>
                <c:pt idx="190">
                  <c:v>79.0</c:v>
                </c:pt>
                <c:pt idx="191">
                  <c:v>79.0</c:v>
                </c:pt>
                <c:pt idx="192">
                  <c:v>79.0</c:v>
                </c:pt>
                <c:pt idx="193">
                  <c:v>80.0</c:v>
                </c:pt>
                <c:pt idx="194">
                  <c:v>80.0</c:v>
                </c:pt>
                <c:pt idx="195">
                  <c:v>81.0</c:v>
                </c:pt>
                <c:pt idx="196">
                  <c:v>81.0</c:v>
                </c:pt>
                <c:pt idx="197">
                  <c:v>81.0</c:v>
                </c:pt>
                <c:pt idx="198">
                  <c:v>81.0</c:v>
                </c:pt>
                <c:pt idx="199">
                  <c:v>81.0</c:v>
                </c:pt>
                <c:pt idx="200">
                  <c:v>82.0</c:v>
                </c:pt>
                <c:pt idx="201">
                  <c:v>82.0</c:v>
                </c:pt>
                <c:pt idx="202">
                  <c:v>83.0</c:v>
                </c:pt>
                <c:pt idx="203">
                  <c:v>83.0</c:v>
                </c:pt>
                <c:pt idx="204">
                  <c:v>83.0</c:v>
                </c:pt>
                <c:pt idx="205">
                  <c:v>83.0</c:v>
                </c:pt>
                <c:pt idx="206">
                  <c:v>84.0</c:v>
                </c:pt>
                <c:pt idx="207">
                  <c:v>84.0</c:v>
                </c:pt>
                <c:pt idx="208">
                  <c:v>84.0</c:v>
                </c:pt>
                <c:pt idx="209">
                  <c:v>85.0</c:v>
                </c:pt>
                <c:pt idx="210">
                  <c:v>85.0</c:v>
                </c:pt>
                <c:pt idx="211">
                  <c:v>85.0</c:v>
                </c:pt>
                <c:pt idx="212">
                  <c:v>86.0</c:v>
                </c:pt>
                <c:pt idx="213">
                  <c:v>86.0</c:v>
                </c:pt>
                <c:pt idx="214">
                  <c:v>86.0</c:v>
                </c:pt>
                <c:pt idx="215">
                  <c:v>87.0</c:v>
                </c:pt>
                <c:pt idx="216">
                  <c:v>87.0</c:v>
                </c:pt>
                <c:pt idx="217">
                  <c:v>88.0</c:v>
                </c:pt>
                <c:pt idx="218">
                  <c:v>88.0</c:v>
                </c:pt>
                <c:pt idx="219">
                  <c:v>88.0</c:v>
                </c:pt>
                <c:pt idx="220">
                  <c:v>88.0</c:v>
                </c:pt>
                <c:pt idx="221">
                  <c:v>89.0</c:v>
                </c:pt>
                <c:pt idx="222">
                  <c:v>89.0</c:v>
                </c:pt>
                <c:pt idx="223">
                  <c:v>89.0</c:v>
                </c:pt>
                <c:pt idx="224">
                  <c:v>90.0</c:v>
                </c:pt>
                <c:pt idx="225">
                  <c:v>90.0</c:v>
                </c:pt>
                <c:pt idx="226">
                  <c:v>90.0</c:v>
                </c:pt>
                <c:pt idx="227">
                  <c:v>91.0</c:v>
                </c:pt>
                <c:pt idx="228">
                  <c:v>91.0</c:v>
                </c:pt>
                <c:pt idx="229">
                  <c:v>91.0</c:v>
                </c:pt>
                <c:pt idx="230">
                  <c:v>91.0</c:v>
                </c:pt>
                <c:pt idx="231">
                  <c:v>92.0</c:v>
                </c:pt>
                <c:pt idx="232">
                  <c:v>92.0</c:v>
                </c:pt>
                <c:pt idx="233">
                  <c:v>93.0</c:v>
                </c:pt>
                <c:pt idx="234">
                  <c:v>93.0</c:v>
                </c:pt>
                <c:pt idx="235">
                  <c:v>93.0</c:v>
                </c:pt>
                <c:pt idx="236">
                  <c:v>93.0</c:v>
                </c:pt>
                <c:pt idx="237">
                  <c:v>94.0</c:v>
                </c:pt>
                <c:pt idx="238">
                  <c:v>94.0</c:v>
                </c:pt>
                <c:pt idx="239">
                  <c:v>94.0</c:v>
                </c:pt>
                <c:pt idx="240">
                  <c:v>95.0</c:v>
                </c:pt>
                <c:pt idx="241">
                  <c:v>95.0</c:v>
                </c:pt>
                <c:pt idx="242">
                  <c:v>95.0</c:v>
                </c:pt>
                <c:pt idx="243">
                  <c:v>96.0</c:v>
                </c:pt>
                <c:pt idx="244">
                  <c:v>96.0</c:v>
                </c:pt>
                <c:pt idx="245">
                  <c:v>96.0</c:v>
                </c:pt>
                <c:pt idx="246">
                  <c:v>97.0</c:v>
                </c:pt>
                <c:pt idx="247">
                  <c:v>97.0</c:v>
                </c:pt>
                <c:pt idx="248">
                  <c:v>97.0</c:v>
                </c:pt>
                <c:pt idx="249">
                  <c:v>98.0</c:v>
                </c:pt>
                <c:pt idx="250">
                  <c:v>98.0</c:v>
                </c:pt>
                <c:pt idx="251">
                  <c:v>98.0</c:v>
                </c:pt>
                <c:pt idx="252">
                  <c:v>99.0</c:v>
                </c:pt>
                <c:pt idx="253">
                  <c:v>99.0</c:v>
                </c:pt>
                <c:pt idx="254">
                  <c:v>99.0</c:v>
                </c:pt>
                <c:pt idx="255">
                  <c:v>99.0</c:v>
                </c:pt>
                <c:pt idx="256">
                  <c:v>100.0</c:v>
                </c:pt>
                <c:pt idx="257">
                  <c:v>100.0</c:v>
                </c:pt>
                <c:pt idx="258">
                  <c:v>100.0</c:v>
                </c:pt>
                <c:pt idx="259">
                  <c:v>101.0</c:v>
                </c:pt>
                <c:pt idx="260">
                  <c:v>101.0</c:v>
                </c:pt>
                <c:pt idx="261">
                  <c:v>101.0</c:v>
                </c:pt>
                <c:pt idx="262">
                  <c:v>102.0</c:v>
                </c:pt>
                <c:pt idx="263">
                  <c:v>102.0</c:v>
                </c:pt>
                <c:pt idx="264">
                  <c:v>102.0</c:v>
                </c:pt>
                <c:pt idx="265">
                  <c:v>103.0</c:v>
                </c:pt>
                <c:pt idx="266">
                  <c:v>103.0</c:v>
                </c:pt>
                <c:pt idx="267">
                  <c:v>103.0</c:v>
                </c:pt>
                <c:pt idx="268">
                  <c:v>104.0</c:v>
                </c:pt>
                <c:pt idx="269">
                  <c:v>104.0</c:v>
                </c:pt>
                <c:pt idx="270">
                  <c:v>104.0</c:v>
                </c:pt>
                <c:pt idx="271">
                  <c:v>104.0</c:v>
                </c:pt>
                <c:pt idx="272">
                  <c:v>104.0</c:v>
                </c:pt>
                <c:pt idx="273">
                  <c:v>105.0</c:v>
                </c:pt>
                <c:pt idx="274">
                  <c:v>106.0</c:v>
                </c:pt>
                <c:pt idx="275">
                  <c:v>106.0</c:v>
                </c:pt>
                <c:pt idx="276">
                  <c:v>106.0</c:v>
                </c:pt>
                <c:pt idx="277">
                  <c:v>106.0</c:v>
                </c:pt>
                <c:pt idx="278">
                  <c:v>106.0</c:v>
                </c:pt>
                <c:pt idx="279">
                  <c:v>107.0</c:v>
                </c:pt>
                <c:pt idx="280">
                  <c:v>108.0</c:v>
                </c:pt>
                <c:pt idx="281">
                  <c:v>108.0</c:v>
                </c:pt>
                <c:pt idx="282">
                  <c:v>108.0</c:v>
                </c:pt>
                <c:pt idx="283">
                  <c:v>108.0</c:v>
                </c:pt>
                <c:pt idx="284">
                  <c:v>108.0</c:v>
                </c:pt>
                <c:pt idx="285">
                  <c:v>109.0</c:v>
                </c:pt>
                <c:pt idx="286">
                  <c:v>109.0</c:v>
                </c:pt>
                <c:pt idx="287">
                  <c:v>109.0</c:v>
                </c:pt>
                <c:pt idx="288">
                  <c:v>110.0</c:v>
                </c:pt>
                <c:pt idx="289">
                  <c:v>110.0</c:v>
                </c:pt>
                <c:pt idx="290">
                  <c:v>110.0</c:v>
                </c:pt>
                <c:pt idx="291">
                  <c:v>111.0</c:v>
                </c:pt>
                <c:pt idx="292">
                  <c:v>111.0</c:v>
                </c:pt>
                <c:pt idx="293">
                  <c:v>111.0</c:v>
                </c:pt>
                <c:pt idx="294">
                  <c:v>112.0</c:v>
                </c:pt>
                <c:pt idx="295">
                  <c:v>112.0</c:v>
                </c:pt>
                <c:pt idx="296">
                  <c:v>112.0</c:v>
                </c:pt>
                <c:pt idx="297">
                  <c:v>113.0</c:v>
                </c:pt>
                <c:pt idx="298">
                  <c:v>113.0</c:v>
                </c:pt>
              </c:numCache>
            </c:numRef>
          </c:val>
          <c:smooth val="0"/>
        </c:ser>
        <c:ser>
          <c:idx val="1"/>
          <c:order val="1"/>
          <c:tx>
            <c:strRef>
              <c:f>Calculations!$J$1</c:f>
              <c:strCache>
                <c:ptCount val="1"/>
                <c:pt idx="0">
                  <c:v>Generator 2 Count</c:v>
                </c:pt>
              </c:strCache>
            </c:strRef>
          </c:tx>
          <c:spPr>
            <a:ln w="25400" cmpd="sng">
              <a:solidFill>
                <a:srgbClr val="DC3912"/>
              </a:solidFill>
            </a:ln>
          </c:spPr>
          <c:marker>
            <c:symbol val="none"/>
          </c:marker>
          <c:cat>
            <c:numRef>
              <c:f>Calculations!$A$2:$A$300</c:f>
              <c:numCache>
                <c:formatCode>0.00</c:formatCode>
                <c:ptCount val="299"/>
                <c:pt idx="0">
                  <c:v>0.0</c:v>
                </c:pt>
                <c:pt idx="1">
                  <c:v>0.0457045908183633</c:v>
                </c:pt>
                <c:pt idx="2">
                  <c:v>0.0701565469061876</c:v>
                </c:pt>
                <c:pt idx="3">
                  <c:v>0.0875989422488357</c:v>
                </c:pt>
                <c:pt idx="4">
                  <c:v>0.101596464511311</c:v>
                </c:pt>
                <c:pt idx="5">
                  <c:v>0.113578343567989</c:v>
                </c:pt>
                <c:pt idx="6">
                  <c:v>0.124262185726861</c:v>
                </c:pt>
                <c:pt idx="7">
                  <c:v>0.134060795249712</c:v>
                </c:pt>
                <c:pt idx="8">
                  <c:v>0.143234743415481</c:v>
                </c:pt>
                <c:pt idx="9">
                  <c:v>0.151960187448702</c:v>
                </c:pt>
                <c:pt idx="10">
                  <c:v>0.160362790052693</c:v>
                </c:pt>
                <c:pt idx="11">
                  <c:v>0.168536230767485</c:v>
                </c:pt>
                <c:pt idx="12">
                  <c:v>0.176553013868576</c:v>
                </c:pt>
                <c:pt idx="13">
                  <c:v>0.22952399498327</c:v>
                </c:pt>
                <c:pt idx="14">
                  <c:v>0.261231019677588</c:v>
                </c:pt>
                <c:pt idx="15">
                  <c:v>0.285876539042359</c:v>
                </c:pt>
                <c:pt idx="16">
                  <c:v>0.28798034857216</c:v>
                </c:pt>
                <c:pt idx="17">
                  <c:v>0.308956676828337</c:v>
                </c:pt>
                <c:pt idx="18">
                  <c:v>0.310735893659906</c:v>
                </c:pt>
                <c:pt idx="19">
                  <c:v>0.329882558938345</c:v>
                </c:pt>
                <c:pt idx="20">
                  <c:v>0.331456416727798</c:v>
                </c:pt>
                <c:pt idx="21">
                  <c:v>0.333118251329526</c:v>
                </c:pt>
                <c:pt idx="22">
                  <c:v>0.351134146380737</c:v>
                </c:pt>
                <c:pt idx="23">
                  <c:v>0.352652636968932</c:v>
                </c:pt>
                <c:pt idx="24">
                  <c:v>0.354259339858902</c:v>
                </c:pt>
                <c:pt idx="25">
                  <c:v>0.371790611726487</c:v>
                </c:pt>
                <c:pt idx="26">
                  <c:v>0.373292847586068</c:v>
                </c:pt>
                <c:pt idx="27">
                  <c:v>0.374884759302661</c:v>
                </c:pt>
                <c:pt idx="28">
                  <c:v>0.392357900689187</c:v>
                </c:pt>
                <c:pt idx="29">
                  <c:v>0.393872024419506</c:v>
                </c:pt>
                <c:pt idx="30">
                  <c:v>0.395478384713287</c:v>
                </c:pt>
                <c:pt idx="31">
                  <c:v>0.413208722357156</c:v>
                </c:pt>
                <c:pt idx="32">
                  <c:v>0.414756993026504</c:v>
                </c:pt>
                <c:pt idx="33">
                  <c:v>0.476916207857475</c:v>
                </c:pt>
                <c:pt idx="34">
                  <c:v>0.489963027180578</c:v>
                </c:pt>
                <c:pt idx="35">
                  <c:v>0.491059212477097</c:v>
                </c:pt>
                <c:pt idx="36">
                  <c:v>0.538068104715228</c:v>
                </c:pt>
                <c:pt idx="37">
                  <c:v>0.538986081862026</c:v>
                </c:pt>
                <c:pt idx="38">
                  <c:v>0.580974008743137</c:v>
                </c:pt>
                <c:pt idx="39">
                  <c:v>0.590035578989843</c:v>
                </c:pt>
                <c:pt idx="40">
                  <c:v>0.590812186244874</c:v>
                </c:pt>
                <c:pt idx="41">
                  <c:v>0.628689032980937</c:v>
                </c:pt>
                <c:pt idx="42">
                  <c:v>0.629398140294951</c:v>
                </c:pt>
                <c:pt idx="43">
                  <c:v>0.637934502068953</c:v>
                </c:pt>
                <c:pt idx="44">
                  <c:v>0.638667824790335</c:v>
                </c:pt>
                <c:pt idx="45">
                  <c:v>0.67430000557901</c:v>
                </c:pt>
                <c:pt idx="46">
                  <c:v>0.674987252399305</c:v>
                </c:pt>
                <c:pt idx="47">
                  <c:v>0.683300706826132</c:v>
                </c:pt>
                <c:pt idx="48">
                  <c:v>0.68401509641484</c:v>
                </c:pt>
                <c:pt idx="49">
                  <c:v>0.718592031037143</c:v>
                </c:pt>
                <c:pt idx="50">
                  <c:v>0.719274161252134</c:v>
                </c:pt>
                <c:pt idx="51">
                  <c:v>0.727564967594102</c:v>
                </c:pt>
                <c:pt idx="52">
                  <c:v>0.761943088009293</c:v>
                </c:pt>
                <c:pt idx="53">
                  <c:v>0.762588368791644</c:v>
                </c:pt>
                <c:pt idx="54">
                  <c:v>0.76327762449217</c:v>
                </c:pt>
                <c:pt idx="55">
                  <c:v>0.771694287672172</c:v>
                </c:pt>
                <c:pt idx="56">
                  <c:v>0.806383921698811</c:v>
                </c:pt>
                <c:pt idx="57">
                  <c:v>0.807044940754676</c:v>
                </c:pt>
                <c:pt idx="58">
                  <c:v>0.807751135892052</c:v>
                </c:pt>
                <c:pt idx="59">
                  <c:v>0.84387988293301</c:v>
                </c:pt>
                <c:pt idx="60">
                  <c:v>0.851877029271451</c:v>
                </c:pt>
                <c:pt idx="61">
                  <c:v>0.852561756757852</c:v>
                </c:pt>
                <c:pt idx="62">
                  <c:v>0.853293388528083</c:v>
                </c:pt>
                <c:pt idx="63">
                  <c:v>0.890568752402384</c:v>
                </c:pt>
                <c:pt idx="64">
                  <c:v>0.898953325357183</c:v>
                </c:pt>
                <c:pt idx="65">
                  <c:v>0.899669103384407</c:v>
                </c:pt>
                <c:pt idx="66">
                  <c:v>1.024346338602355</c:v>
                </c:pt>
                <c:pt idx="67">
                  <c:v>1.054803292460097</c:v>
                </c:pt>
                <c:pt idx="68">
                  <c:v>1.055372080634922</c:v>
                </c:pt>
                <c:pt idx="69">
                  <c:v>1.160036015061151</c:v>
                </c:pt>
                <c:pt idx="70">
                  <c:v>1.165882317784721</c:v>
                </c:pt>
                <c:pt idx="71">
                  <c:v>1.166382213887552</c:v>
                </c:pt>
                <c:pt idx="72">
                  <c:v>1.193417831800331</c:v>
                </c:pt>
                <c:pt idx="73">
                  <c:v>1.28665541992133</c:v>
                </c:pt>
                <c:pt idx="74">
                  <c:v>1.287096974373189</c:v>
                </c:pt>
                <c:pt idx="75">
                  <c:v>1.292591569895455</c:v>
                </c:pt>
                <c:pt idx="76">
                  <c:v>1.293060110657118</c:v>
                </c:pt>
                <c:pt idx="77">
                  <c:v>1.38295493449193</c:v>
                </c:pt>
                <c:pt idx="78">
                  <c:v>1.40513298017293</c:v>
                </c:pt>
                <c:pt idx="79">
                  <c:v>1.405560362659924</c:v>
                </c:pt>
                <c:pt idx="80">
                  <c:v>1.492164703415927</c:v>
                </c:pt>
                <c:pt idx="81">
                  <c:v>1.49694537612117</c:v>
                </c:pt>
                <c:pt idx="82">
                  <c:v>1.497351989039084</c:v>
                </c:pt>
                <c:pt idx="83">
                  <c:v>1.519161254019183</c:v>
                </c:pt>
                <c:pt idx="84">
                  <c:v>1.519585047887087</c:v>
                </c:pt>
                <c:pt idx="85">
                  <c:v>1.604350756171844</c:v>
                </c:pt>
                <c:pt idx="86">
                  <c:v>1.609180724710778</c:v>
                </c:pt>
                <c:pt idx="87">
                  <c:v>1.609589997318293</c:v>
                </c:pt>
                <c:pt idx="88">
                  <c:v>1.631449248137016</c:v>
                </c:pt>
                <c:pt idx="89">
                  <c:v>1.715963663586359</c:v>
                </c:pt>
                <c:pt idx="90">
                  <c:v>1.716356307368074</c:v>
                </c:pt>
                <c:pt idx="91">
                  <c:v>1.721309157081167</c:v>
                </c:pt>
                <c:pt idx="92">
                  <c:v>1.721727212155325</c:v>
                </c:pt>
                <c:pt idx="93">
                  <c:v>1.743960994324569</c:v>
                </c:pt>
                <c:pt idx="94">
                  <c:v>1.829376095695778</c:v>
                </c:pt>
                <c:pt idx="95">
                  <c:v>1.829781686489108</c:v>
                </c:pt>
                <c:pt idx="96">
                  <c:v>1.834920833295653</c:v>
                </c:pt>
                <c:pt idx="97">
                  <c:v>1.835352881776753</c:v>
                </c:pt>
                <c:pt idx="98">
                  <c:v>1.858233391678885</c:v>
                </c:pt>
                <c:pt idx="99">
                  <c:v>2.248807277135892</c:v>
                </c:pt>
                <c:pt idx="100">
                  <c:v>2.3096044245083</c:v>
                </c:pt>
                <c:pt idx="101">
                  <c:v>2.599578190991203</c:v>
                </c:pt>
                <c:pt idx="102">
                  <c:v>2.599811539913223</c:v>
                </c:pt>
                <c:pt idx="103">
                  <c:v>2.851731835777843</c:v>
                </c:pt>
                <c:pt idx="104">
                  <c:v>2.893168161450549</c:v>
                </c:pt>
                <c:pt idx="105">
                  <c:v>2.903606896369412</c:v>
                </c:pt>
                <c:pt idx="106">
                  <c:v>2.905944248387656</c:v>
                </c:pt>
                <c:pt idx="107">
                  <c:v>2.906140365846618</c:v>
                </c:pt>
                <c:pt idx="108">
                  <c:v>3.127768049573493</c:v>
                </c:pt>
                <c:pt idx="109">
                  <c:v>3.127946456310891</c:v>
                </c:pt>
                <c:pt idx="110">
                  <c:v>3.166224842698874</c:v>
                </c:pt>
                <c:pt idx="111">
                  <c:v>3.372126760631556</c:v>
                </c:pt>
                <c:pt idx="112">
                  <c:v>3.380661673797114</c:v>
                </c:pt>
                <c:pt idx="113">
                  <c:v>3.382593516806976</c:v>
                </c:pt>
                <c:pt idx="114">
                  <c:v>3.382754964894407</c:v>
                </c:pt>
                <c:pt idx="115">
                  <c:v>3.382927697439383</c:v>
                </c:pt>
                <c:pt idx="116">
                  <c:v>3.419506980402546</c:v>
                </c:pt>
                <c:pt idx="117">
                  <c:v>3.615263383241809</c:v>
                </c:pt>
                <c:pt idx="118">
                  <c:v>3.623684845699133</c:v>
                </c:pt>
                <c:pt idx="119">
                  <c:v>3.623845134063725</c:v>
                </c:pt>
                <c:pt idx="120">
                  <c:v>3.625769221989318</c:v>
                </c:pt>
                <c:pt idx="121">
                  <c:v>3.819728126269892</c:v>
                </c:pt>
                <c:pt idx="122">
                  <c:v>3.852000259290158</c:v>
                </c:pt>
                <c:pt idx="123">
                  <c:v>3.852152145314577</c:v>
                </c:pt>
                <c:pt idx="124">
                  <c:v>3.860614679689236</c:v>
                </c:pt>
                <c:pt idx="125">
                  <c:v>3.860776529867754</c:v>
                </c:pt>
                <c:pt idx="126">
                  <c:v>4.052562558289951</c:v>
                </c:pt>
                <c:pt idx="127">
                  <c:v>4.05434179532788</c:v>
                </c:pt>
                <c:pt idx="128">
                  <c:v>4.086887822660488</c:v>
                </c:pt>
                <c:pt idx="129">
                  <c:v>4.08704328840121</c:v>
                </c:pt>
                <c:pt idx="130">
                  <c:v>4.095668268210208</c:v>
                </c:pt>
                <c:pt idx="131">
                  <c:v>4.287803058343162</c:v>
                </c:pt>
                <c:pt idx="132">
                  <c:v>4.287955585327497</c:v>
                </c:pt>
                <c:pt idx="133">
                  <c:v>4.289802897415763</c:v>
                </c:pt>
                <c:pt idx="134">
                  <c:v>4.323009123033259</c:v>
                </c:pt>
                <c:pt idx="135">
                  <c:v>4.323170060320479</c:v>
                </c:pt>
                <c:pt idx="136">
                  <c:v>4.51844714995372</c:v>
                </c:pt>
                <c:pt idx="137">
                  <c:v>4.526689722180401</c:v>
                </c:pt>
                <c:pt idx="138">
                  <c:v>4.526848884447588</c:v>
                </c:pt>
                <c:pt idx="139">
                  <c:v>4.561074130405458</c:v>
                </c:pt>
                <c:pt idx="140">
                  <c:v>4.562987240627166</c:v>
                </c:pt>
                <c:pt idx="141">
                  <c:v>4.762585197556606</c:v>
                </c:pt>
                <c:pt idx="142">
                  <c:v>4.762742089786666</c:v>
                </c:pt>
                <c:pt idx="143">
                  <c:v>4.771371997083626</c:v>
                </c:pt>
                <c:pt idx="144">
                  <c:v>4.806901995950386</c:v>
                </c:pt>
                <c:pt idx="145">
                  <c:v>4.807067553765542</c:v>
                </c:pt>
                <c:pt idx="146">
                  <c:v>4.80909061228652</c:v>
                </c:pt>
                <c:pt idx="147">
                  <c:v>5.014664493118532</c:v>
                </c:pt>
                <c:pt idx="148">
                  <c:v>5.014830568882267</c:v>
                </c:pt>
                <c:pt idx="149">
                  <c:v>5.023926558244352</c:v>
                </c:pt>
                <c:pt idx="150">
                  <c:v>5.061054741638178</c:v>
                </c:pt>
                <c:pt idx="151">
                  <c:v>5.274291992337854</c:v>
                </c:pt>
                <c:pt idx="152">
                  <c:v>5.274457324166646</c:v>
                </c:pt>
                <c:pt idx="153">
                  <c:v>5.276486633930902</c:v>
                </c:pt>
                <c:pt idx="154">
                  <c:v>5.27666343687424</c:v>
                </c:pt>
                <c:pt idx="155">
                  <c:v>5.286305543491534</c:v>
                </c:pt>
                <c:pt idx="156">
                  <c:v>5.325324676501864</c:v>
                </c:pt>
                <c:pt idx="157">
                  <c:v>5.547597346621957</c:v>
                </c:pt>
                <c:pt idx="158">
                  <c:v>5.547774221170966</c:v>
                </c:pt>
                <c:pt idx="159">
                  <c:v>5.549954885269088</c:v>
                </c:pt>
                <c:pt idx="160">
                  <c:v>5.55014403895441</c:v>
                </c:pt>
                <c:pt idx="161">
                  <c:v>5.560415584779911</c:v>
                </c:pt>
                <c:pt idx="162">
                  <c:v>5.795306317167956</c:v>
                </c:pt>
                <c:pt idx="163">
                  <c:v>5.834416519377407</c:v>
                </c:pt>
                <c:pt idx="164">
                  <c:v>5.834606559864333</c:v>
                </c:pt>
                <c:pt idx="165">
                  <c:v>5.836959988097032</c:v>
                </c:pt>
                <c:pt idx="166">
                  <c:v>6.084417920652025</c:v>
                </c:pt>
                <c:pt idx="167">
                  <c:v>6.084611398682165</c:v>
                </c:pt>
                <c:pt idx="168">
                  <c:v>6.095072848547749</c:v>
                </c:pt>
                <c:pt idx="169">
                  <c:v>6.136684629600752</c:v>
                </c:pt>
                <c:pt idx="170">
                  <c:v>6.136889592420537</c:v>
                </c:pt>
                <c:pt idx="171">
                  <c:v>6.39809654420165</c:v>
                </c:pt>
                <c:pt idx="172">
                  <c:v>6.400530343159615</c:v>
                </c:pt>
                <c:pt idx="173">
                  <c:v>6.445040986333715</c:v>
                </c:pt>
                <c:pt idx="174">
                  <c:v>6.445248674532503</c:v>
                </c:pt>
                <c:pt idx="175">
                  <c:v>6.456430439087438</c:v>
                </c:pt>
                <c:pt idx="176">
                  <c:v>6.456652241527281</c:v>
                </c:pt>
                <c:pt idx="177">
                  <c:v>6.733172723551557</c:v>
                </c:pt>
                <c:pt idx="178">
                  <c:v>6.735824816758749</c:v>
                </c:pt>
                <c:pt idx="179">
                  <c:v>6.783485265196243</c:v>
                </c:pt>
                <c:pt idx="180">
                  <c:v>6.795569441141608</c:v>
                </c:pt>
                <c:pt idx="181">
                  <c:v>6.79579444722084</c:v>
                </c:pt>
                <c:pt idx="182">
                  <c:v>7.089417579205438</c:v>
                </c:pt>
                <c:pt idx="183">
                  <c:v>7.089648487716922</c:v>
                </c:pt>
                <c:pt idx="184">
                  <c:v>7.14084162329306</c:v>
                </c:pt>
                <c:pt idx="185">
                  <c:v>7.143719952749558</c:v>
                </c:pt>
                <c:pt idx="186">
                  <c:v>7.156814385072859</c:v>
                </c:pt>
                <c:pt idx="187">
                  <c:v>7.157059271516557</c:v>
                </c:pt>
                <c:pt idx="188">
                  <c:v>7.469675797864686</c:v>
                </c:pt>
                <c:pt idx="189">
                  <c:v>7.469927616978012</c:v>
                </c:pt>
                <c:pt idx="190">
                  <c:v>7.525030207806266</c:v>
                </c:pt>
                <c:pt idx="191">
                  <c:v>7.528184193166839</c:v>
                </c:pt>
                <c:pt idx="192">
                  <c:v>7.542408154156703</c:v>
                </c:pt>
                <c:pt idx="193">
                  <c:v>7.542675329197347</c:v>
                </c:pt>
                <c:pt idx="194">
                  <c:v>7.876327673300328</c:v>
                </c:pt>
                <c:pt idx="195">
                  <c:v>7.876602916725514</c:v>
                </c:pt>
                <c:pt idx="196">
                  <c:v>7.936047428270957</c:v>
                </c:pt>
                <c:pt idx="197">
                  <c:v>8.293623131249681</c:v>
                </c:pt>
                <c:pt idx="198">
                  <c:v>8.3085619419613</c:v>
                </c:pt>
                <c:pt idx="199">
                  <c:v>8.311897346220268</c:v>
                </c:pt>
                <c:pt idx="200">
                  <c:v>8.31217909759541</c:v>
                </c:pt>
                <c:pt idx="201">
                  <c:v>8.376441367225522</c:v>
                </c:pt>
                <c:pt idx="202">
                  <c:v>8.376741056880916</c:v>
                </c:pt>
                <c:pt idx="203">
                  <c:v>8.759967840641424</c:v>
                </c:pt>
                <c:pt idx="204">
                  <c:v>8.776289259049617</c:v>
                </c:pt>
                <c:pt idx="205">
                  <c:v>8.779965552181881</c:v>
                </c:pt>
                <c:pt idx="206">
                  <c:v>8.78027472646065</c:v>
                </c:pt>
                <c:pt idx="207">
                  <c:v>8.849874007946265</c:v>
                </c:pt>
                <c:pt idx="208">
                  <c:v>9.261366878683892</c:v>
                </c:pt>
                <c:pt idx="209">
                  <c:v>9.261685036490788</c:v>
                </c:pt>
                <c:pt idx="210">
                  <c:v>9.279547969829527</c:v>
                </c:pt>
                <c:pt idx="211">
                  <c:v>9.283607003487947</c:v>
                </c:pt>
                <c:pt idx="212">
                  <c:v>9.283946856450294</c:v>
                </c:pt>
                <c:pt idx="213">
                  <c:v>9.359456740647578</c:v>
                </c:pt>
                <c:pt idx="214">
                  <c:v>9.80204389040193</c:v>
                </c:pt>
                <c:pt idx="215">
                  <c:v>9.802394152969863</c:v>
                </c:pt>
                <c:pt idx="216">
                  <c:v>9.82197545829894</c:v>
                </c:pt>
                <c:pt idx="217">
                  <c:v>9.822349738612393</c:v>
                </c:pt>
                <c:pt idx="218">
                  <c:v>9.826838398436024</c:v>
                </c:pt>
                <c:pt idx="219">
                  <c:v>10.30612028724858</c:v>
                </c:pt>
                <c:pt idx="220">
                  <c:v>10.38567022564245</c:v>
                </c:pt>
                <c:pt idx="221">
                  <c:v>10.3860564027632</c:v>
                </c:pt>
                <c:pt idx="222">
                  <c:v>10.40755311979724</c:v>
                </c:pt>
                <c:pt idx="223">
                  <c:v>10.92467496185405</c:v>
                </c:pt>
                <c:pt idx="224">
                  <c:v>10.92507549868407</c:v>
                </c:pt>
                <c:pt idx="225">
                  <c:v>10.92990045227178</c:v>
                </c:pt>
                <c:pt idx="226">
                  <c:v>11.01656865645421</c:v>
                </c:pt>
                <c:pt idx="227">
                  <c:v>11.01699501442156</c:v>
                </c:pt>
                <c:pt idx="228">
                  <c:v>11.04062686011515</c:v>
                </c:pt>
                <c:pt idx="229">
                  <c:v>11.59916280507656</c:v>
                </c:pt>
                <c:pt idx="230">
                  <c:v>11.69373472707476</c:v>
                </c:pt>
                <c:pt idx="231">
                  <c:v>11.69417533762453</c:v>
                </c:pt>
                <c:pt idx="232">
                  <c:v>11.69950667599395</c:v>
                </c:pt>
                <c:pt idx="233">
                  <c:v>11.69997799561864</c:v>
                </c:pt>
                <c:pt idx="234">
                  <c:v>12.30472310417765</c:v>
                </c:pt>
                <c:pt idx="235">
                  <c:v>12.33002038354829</c:v>
                </c:pt>
                <c:pt idx="236">
                  <c:v>12.43331019077347</c:v>
                </c:pt>
                <c:pt idx="237">
                  <c:v>12.43379784022079</c:v>
                </c:pt>
                <c:pt idx="238">
                  <c:v>12.43972463231977</c:v>
                </c:pt>
                <c:pt idx="239">
                  <c:v>13.09449537764145</c:v>
                </c:pt>
                <c:pt idx="240">
                  <c:v>13.09500314796426</c:v>
                </c:pt>
                <c:pt idx="241">
                  <c:v>13.12290712231683</c:v>
                </c:pt>
                <c:pt idx="242">
                  <c:v>13.23584494490155</c:v>
                </c:pt>
                <c:pt idx="243">
                  <c:v>13.23638525470523</c:v>
                </c:pt>
                <c:pt idx="244">
                  <c:v>13.24298132667199</c:v>
                </c:pt>
                <c:pt idx="245">
                  <c:v>13.95268766412485</c:v>
                </c:pt>
                <c:pt idx="246">
                  <c:v>13.95325075522229</c:v>
                </c:pt>
                <c:pt idx="247">
                  <c:v>13.98406240743296</c:v>
                </c:pt>
                <c:pt idx="248">
                  <c:v>14.10767907132833</c:v>
                </c:pt>
                <c:pt idx="249">
                  <c:v>14.10827835109381</c:v>
                </c:pt>
                <c:pt idx="250">
                  <c:v>14.8785120600923</c:v>
                </c:pt>
                <c:pt idx="251">
                  <c:v>14.88567707033168</c:v>
                </c:pt>
                <c:pt idx="252">
                  <c:v>14.88630212565325</c:v>
                </c:pt>
                <c:pt idx="253">
                  <c:v>15.02188155372447</c:v>
                </c:pt>
                <c:pt idx="254">
                  <c:v>15.05579629649633</c:v>
                </c:pt>
                <c:pt idx="255">
                  <c:v>15.8923469177702</c:v>
                </c:pt>
                <c:pt idx="256">
                  <c:v>15.89299612422102</c:v>
                </c:pt>
                <c:pt idx="257">
                  <c:v>15.90099237993872</c:v>
                </c:pt>
                <c:pt idx="258">
                  <c:v>16.04967342755192</c:v>
                </c:pt>
                <c:pt idx="259">
                  <c:v>16.05036511570651</c:v>
                </c:pt>
                <c:pt idx="260">
                  <c:v>16.08789021066947</c:v>
                </c:pt>
                <c:pt idx="261">
                  <c:v>16.9972838219808</c:v>
                </c:pt>
                <c:pt idx="262">
                  <c:v>16.99800576284546</c:v>
                </c:pt>
                <c:pt idx="263">
                  <c:v>17.00693750118405</c:v>
                </c:pt>
                <c:pt idx="264">
                  <c:v>17.17012554272359</c:v>
                </c:pt>
                <c:pt idx="265">
                  <c:v>17.1708948189483</c:v>
                </c:pt>
                <c:pt idx="266">
                  <c:v>17.2124505856694</c:v>
                </c:pt>
                <c:pt idx="267">
                  <c:v>18.2018850707511</c:v>
                </c:pt>
                <c:pt idx="268">
                  <c:v>18.20268855693827</c:v>
                </c:pt>
                <c:pt idx="269">
                  <c:v>18.21267344699203</c:v>
                </c:pt>
                <c:pt idx="270">
                  <c:v>18.39193158057078</c:v>
                </c:pt>
                <c:pt idx="271">
                  <c:v>19.47037277408033</c:v>
                </c:pt>
                <c:pt idx="272">
                  <c:v>19.5154040726904</c:v>
                </c:pt>
                <c:pt idx="273">
                  <c:v>19.51624047878288</c:v>
                </c:pt>
                <c:pt idx="274">
                  <c:v>19.5171354178947</c:v>
                </c:pt>
                <c:pt idx="275">
                  <c:v>19.71424015768804</c:v>
                </c:pt>
                <c:pt idx="276">
                  <c:v>20.88967537546975</c:v>
                </c:pt>
                <c:pt idx="277">
                  <c:v>20.90056344829242</c:v>
                </c:pt>
                <c:pt idx="278">
                  <c:v>20.95054113425799</c:v>
                </c:pt>
                <c:pt idx="279">
                  <c:v>20.95147342682852</c:v>
                </c:pt>
                <c:pt idx="280">
                  <c:v>20.95247096315943</c:v>
                </c:pt>
                <c:pt idx="281">
                  <c:v>21.16931295451521</c:v>
                </c:pt>
                <c:pt idx="282">
                  <c:v>22.45113293277799</c:v>
                </c:pt>
                <c:pt idx="283">
                  <c:v>22.46333146122701</c:v>
                </c:pt>
                <c:pt idx="284">
                  <c:v>22.51883770394312</c:v>
                </c:pt>
                <c:pt idx="285">
                  <c:v>22.51987760189758</c:v>
                </c:pt>
                <c:pt idx="286">
                  <c:v>23.92362752643949</c:v>
                </c:pt>
                <c:pt idx="287">
                  <c:v>24.15741616305261</c:v>
                </c:pt>
                <c:pt idx="288">
                  <c:v>24.15850207855438</c:v>
                </c:pt>
                <c:pt idx="289">
                  <c:v>24.17217787172224</c:v>
                </c:pt>
                <c:pt idx="290">
                  <c:v>24.23386521377577</c:v>
                </c:pt>
                <c:pt idx="291">
                  <c:v>24.2350259064885</c:v>
                </c:pt>
                <c:pt idx="292">
                  <c:v>25.76776037873407</c:v>
                </c:pt>
                <c:pt idx="293">
                  <c:v>26.02544383661646</c:v>
                </c:pt>
                <c:pt idx="294">
                  <c:v>26.02665662487436</c:v>
                </c:pt>
                <c:pt idx="295">
                  <c:v>26.0952694579444</c:v>
                </c:pt>
                <c:pt idx="296">
                  <c:v>26.11059826081573</c:v>
                </c:pt>
                <c:pt idx="297">
                  <c:v>26.1118945966945</c:v>
                </c:pt>
                <c:pt idx="298">
                  <c:v>27.78652065603071</c:v>
                </c:pt>
              </c:numCache>
            </c:numRef>
          </c:cat>
          <c:val>
            <c:numRef>
              <c:f>Calculations!$J$2:$J$300</c:f>
              <c:numCache>
                <c:formatCode>0</c:formatCode>
                <c:ptCount val="299"/>
                <c:pt idx="0">
                  <c:v>0.0</c:v>
                </c:pt>
                <c:pt idx="1">
                  <c:v>0.0</c:v>
                </c:pt>
                <c:pt idx="2">
                  <c:v>0.0</c:v>
                </c:pt>
                <c:pt idx="3">
                  <c:v>0.0</c:v>
                </c:pt>
                <c:pt idx="4">
                  <c:v>0.0</c:v>
                </c:pt>
                <c:pt idx="5">
                  <c:v>0.0</c:v>
                </c:pt>
                <c:pt idx="6">
                  <c:v>0.0</c:v>
                </c:pt>
                <c:pt idx="7">
                  <c:v>0.0</c:v>
                </c:pt>
                <c:pt idx="8">
                  <c:v>0.0</c:v>
                </c:pt>
                <c:pt idx="9">
                  <c:v>0.0</c:v>
                </c:pt>
                <c:pt idx="10">
                  <c:v>0.0</c:v>
                </c:pt>
                <c:pt idx="11">
                  <c:v>0.0</c:v>
                </c:pt>
                <c:pt idx="12">
                  <c:v>0.0</c:v>
                </c:pt>
                <c:pt idx="13">
                  <c:v>1.0</c:v>
                </c:pt>
                <c:pt idx="14">
                  <c:v>2.0</c:v>
                </c:pt>
                <c:pt idx="15">
                  <c:v>3.0</c:v>
                </c:pt>
                <c:pt idx="16">
                  <c:v>3.0</c:v>
                </c:pt>
                <c:pt idx="17">
                  <c:v>4.0</c:v>
                </c:pt>
                <c:pt idx="18">
                  <c:v>4.0</c:v>
                </c:pt>
                <c:pt idx="19">
                  <c:v>5.0</c:v>
                </c:pt>
                <c:pt idx="20">
                  <c:v>5.0</c:v>
                </c:pt>
                <c:pt idx="21">
                  <c:v>5.0</c:v>
                </c:pt>
                <c:pt idx="22">
                  <c:v>6.0</c:v>
                </c:pt>
                <c:pt idx="23">
                  <c:v>6.0</c:v>
                </c:pt>
                <c:pt idx="24">
                  <c:v>6.0</c:v>
                </c:pt>
                <c:pt idx="25">
                  <c:v>7.0</c:v>
                </c:pt>
                <c:pt idx="26">
                  <c:v>7.0</c:v>
                </c:pt>
                <c:pt idx="27">
                  <c:v>7.0</c:v>
                </c:pt>
                <c:pt idx="28">
                  <c:v>8.0</c:v>
                </c:pt>
                <c:pt idx="29">
                  <c:v>8.0</c:v>
                </c:pt>
                <c:pt idx="30">
                  <c:v>8.0</c:v>
                </c:pt>
                <c:pt idx="31">
                  <c:v>9.0</c:v>
                </c:pt>
                <c:pt idx="32">
                  <c:v>9.0</c:v>
                </c:pt>
                <c:pt idx="33">
                  <c:v>9.0</c:v>
                </c:pt>
                <c:pt idx="34">
                  <c:v>10.0</c:v>
                </c:pt>
                <c:pt idx="35">
                  <c:v>10.0</c:v>
                </c:pt>
                <c:pt idx="36">
                  <c:v>10.0</c:v>
                </c:pt>
                <c:pt idx="37">
                  <c:v>10.0</c:v>
                </c:pt>
                <c:pt idx="38">
                  <c:v>10.0</c:v>
                </c:pt>
                <c:pt idx="39">
                  <c:v>11.0</c:v>
                </c:pt>
                <c:pt idx="40">
                  <c:v>11.0</c:v>
                </c:pt>
                <c:pt idx="41">
                  <c:v>11.0</c:v>
                </c:pt>
                <c:pt idx="42">
                  <c:v>11.0</c:v>
                </c:pt>
                <c:pt idx="43">
                  <c:v>12.0</c:v>
                </c:pt>
                <c:pt idx="44">
                  <c:v>12.0</c:v>
                </c:pt>
                <c:pt idx="45">
                  <c:v>12.0</c:v>
                </c:pt>
                <c:pt idx="46">
                  <c:v>12.0</c:v>
                </c:pt>
                <c:pt idx="47">
                  <c:v>13.0</c:v>
                </c:pt>
                <c:pt idx="48">
                  <c:v>13.0</c:v>
                </c:pt>
                <c:pt idx="49">
                  <c:v>13.0</c:v>
                </c:pt>
                <c:pt idx="50">
                  <c:v>13.0</c:v>
                </c:pt>
                <c:pt idx="51">
                  <c:v>14.0</c:v>
                </c:pt>
                <c:pt idx="52">
                  <c:v>14.0</c:v>
                </c:pt>
                <c:pt idx="53">
                  <c:v>14.0</c:v>
                </c:pt>
                <c:pt idx="54">
                  <c:v>14.0</c:v>
                </c:pt>
                <c:pt idx="55">
                  <c:v>15.0</c:v>
                </c:pt>
                <c:pt idx="56">
                  <c:v>15.0</c:v>
                </c:pt>
                <c:pt idx="57">
                  <c:v>15.0</c:v>
                </c:pt>
                <c:pt idx="58">
                  <c:v>15.0</c:v>
                </c:pt>
                <c:pt idx="59">
                  <c:v>15.0</c:v>
                </c:pt>
                <c:pt idx="60">
                  <c:v>16.0</c:v>
                </c:pt>
                <c:pt idx="61">
                  <c:v>16.0</c:v>
                </c:pt>
                <c:pt idx="62">
                  <c:v>16.0</c:v>
                </c:pt>
                <c:pt idx="63">
                  <c:v>16.0</c:v>
                </c:pt>
                <c:pt idx="64">
                  <c:v>17.0</c:v>
                </c:pt>
                <c:pt idx="65">
                  <c:v>17.0</c:v>
                </c:pt>
                <c:pt idx="66">
                  <c:v>17.0</c:v>
                </c:pt>
                <c:pt idx="67">
                  <c:v>17.0</c:v>
                </c:pt>
                <c:pt idx="68">
                  <c:v>17.0</c:v>
                </c:pt>
                <c:pt idx="69">
                  <c:v>17.0</c:v>
                </c:pt>
                <c:pt idx="70">
                  <c:v>18.0</c:v>
                </c:pt>
                <c:pt idx="71">
                  <c:v>18.0</c:v>
                </c:pt>
                <c:pt idx="72">
                  <c:v>18.0</c:v>
                </c:pt>
                <c:pt idx="73">
                  <c:v>18.0</c:v>
                </c:pt>
                <c:pt idx="74">
                  <c:v>18.0</c:v>
                </c:pt>
                <c:pt idx="75">
                  <c:v>19.0</c:v>
                </c:pt>
                <c:pt idx="76">
                  <c:v>19.0</c:v>
                </c:pt>
                <c:pt idx="77">
                  <c:v>19.0</c:v>
                </c:pt>
                <c:pt idx="78">
                  <c:v>19.0</c:v>
                </c:pt>
                <c:pt idx="79">
                  <c:v>19.0</c:v>
                </c:pt>
                <c:pt idx="80">
                  <c:v>19.0</c:v>
                </c:pt>
                <c:pt idx="81">
                  <c:v>20.0</c:v>
                </c:pt>
                <c:pt idx="82">
                  <c:v>20.0</c:v>
                </c:pt>
                <c:pt idx="83">
                  <c:v>20.0</c:v>
                </c:pt>
                <c:pt idx="84">
                  <c:v>20.0</c:v>
                </c:pt>
                <c:pt idx="85">
                  <c:v>20.0</c:v>
                </c:pt>
                <c:pt idx="86">
                  <c:v>21.0</c:v>
                </c:pt>
                <c:pt idx="87">
                  <c:v>21.0</c:v>
                </c:pt>
                <c:pt idx="88">
                  <c:v>21.0</c:v>
                </c:pt>
                <c:pt idx="89">
                  <c:v>21.0</c:v>
                </c:pt>
                <c:pt idx="90">
                  <c:v>21.0</c:v>
                </c:pt>
                <c:pt idx="91">
                  <c:v>22.0</c:v>
                </c:pt>
                <c:pt idx="92">
                  <c:v>22.0</c:v>
                </c:pt>
                <c:pt idx="93">
                  <c:v>22.0</c:v>
                </c:pt>
                <c:pt idx="94">
                  <c:v>22.0</c:v>
                </c:pt>
                <c:pt idx="95">
                  <c:v>22.0</c:v>
                </c:pt>
                <c:pt idx="96">
                  <c:v>23.0</c:v>
                </c:pt>
                <c:pt idx="97">
                  <c:v>23.0</c:v>
                </c:pt>
                <c:pt idx="98">
                  <c:v>23.0</c:v>
                </c:pt>
                <c:pt idx="99">
                  <c:v>23.0</c:v>
                </c:pt>
                <c:pt idx="100">
                  <c:v>23.0</c:v>
                </c:pt>
                <c:pt idx="101">
                  <c:v>23.0</c:v>
                </c:pt>
                <c:pt idx="102">
                  <c:v>23.0</c:v>
                </c:pt>
                <c:pt idx="103">
                  <c:v>23.0</c:v>
                </c:pt>
                <c:pt idx="104">
                  <c:v>23.0</c:v>
                </c:pt>
                <c:pt idx="105">
                  <c:v>23.0</c:v>
                </c:pt>
                <c:pt idx="106">
                  <c:v>24.0</c:v>
                </c:pt>
                <c:pt idx="107">
                  <c:v>24.0</c:v>
                </c:pt>
                <c:pt idx="108">
                  <c:v>24.0</c:v>
                </c:pt>
                <c:pt idx="109">
                  <c:v>24.0</c:v>
                </c:pt>
                <c:pt idx="110">
                  <c:v>24.0</c:v>
                </c:pt>
                <c:pt idx="111">
                  <c:v>24.0</c:v>
                </c:pt>
                <c:pt idx="112">
                  <c:v>24.0</c:v>
                </c:pt>
                <c:pt idx="113">
                  <c:v>25.0</c:v>
                </c:pt>
                <c:pt idx="114">
                  <c:v>25.0</c:v>
                </c:pt>
                <c:pt idx="115">
                  <c:v>25.0</c:v>
                </c:pt>
                <c:pt idx="116">
                  <c:v>25.0</c:v>
                </c:pt>
                <c:pt idx="117">
                  <c:v>25.0</c:v>
                </c:pt>
                <c:pt idx="118">
                  <c:v>25.0</c:v>
                </c:pt>
                <c:pt idx="119">
                  <c:v>25.0</c:v>
                </c:pt>
                <c:pt idx="120">
                  <c:v>26.0</c:v>
                </c:pt>
                <c:pt idx="121">
                  <c:v>26.0</c:v>
                </c:pt>
                <c:pt idx="122">
                  <c:v>26.0</c:v>
                </c:pt>
                <c:pt idx="123">
                  <c:v>26.0</c:v>
                </c:pt>
                <c:pt idx="124">
                  <c:v>26.0</c:v>
                </c:pt>
                <c:pt idx="125">
                  <c:v>26.0</c:v>
                </c:pt>
                <c:pt idx="126">
                  <c:v>26.0</c:v>
                </c:pt>
                <c:pt idx="127">
                  <c:v>27.0</c:v>
                </c:pt>
                <c:pt idx="128">
                  <c:v>27.0</c:v>
                </c:pt>
                <c:pt idx="129">
                  <c:v>27.0</c:v>
                </c:pt>
                <c:pt idx="130">
                  <c:v>27.0</c:v>
                </c:pt>
                <c:pt idx="131">
                  <c:v>27.0</c:v>
                </c:pt>
                <c:pt idx="132">
                  <c:v>27.0</c:v>
                </c:pt>
                <c:pt idx="133">
                  <c:v>28.0</c:v>
                </c:pt>
                <c:pt idx="134">
                  <c:v>28.0</c:v>
                </c:pt>
                <c:pt idx="135">
                  <c:v>28.0</c:v>
                </c:pt>
                <c:pt idx="136">
                  <c:v>28.0</c:v>
                </c:pt>
                <c:pt idx="137">
                  <c:v>28.0</c:v>
                </c:pt>
                <c:pt idx="138">
                  <c:v>28.0</c:v>
                </c:pt>
                <c:pt idx="139">
                  <c:v>28.0</c:v>
                </c:pt>
                <c:pt idx="140">
                  <c:v>29.0</c:v>
                </c:pt>
                <c:pt idx="141">
                  <c:v>29.0</c:v>
                </c:pt>
                <c:pt idx="142">
                  <c:v>29.0</c:v>
                </c:pt>
                <c:pt idx="143">
                  <c:v>29.0</c:v>
                </c:pt>
                <c:pt idx="144">
                  <c:v>29.0</c:v>
                </c:pt>
                <c:pt idx="145">
                  <c:v>29.0</c:v>
                </c:pt>
                <c:pt idx="146">
                  <c:v>30.0</c:v>
                </c:pt>
                <c:pt idx="147">
                  <c:v>30.0</c:v>
                </c:pt>
                <c:pt idx="148">
                  <c:v>30.0</c:v>
                </c:pt>
                <c:pt idx="149">
                  <c:v>30.0</c:v>
                </c:pt>
                <c:pt idx="150">
                  <c:v>30.0</c:v>
                </c:pt>
                <c:pt idx="151">
                  <c:v>30.0</c:v>
                </c:pt>
                <c:pt idx="152">
                  <c:v>30.0</c:v>
                </c:pt>
                <c:pt idx="153">
                  <c:v>31.0</c:v>
                </c:pt>
                <c:pt idx="154">
                  <c:v>31.0</c:v>
                </c:pt>
                <c:pt idx="155">
                  <c:v>31.0</c:v>
                </c:pt>
                <c:pt idx="156">
                  <c:v>31.0</c:v>
                </c:pt>
                <c:pt idx="157">
                  <c:v>31.0</c:v>
                </c:pt>
                <c:pt idx="158">
                  <c:v>31.0</c:v>
                </c:pt>
                <c:pt idx="159">
                  <c:v>32.0</c:v>
                </c:pt>
                <c:pt idx="160">
                  <c:v>32.0</c:v>
                </c:pt>
                <c:pt idx="161">
                  <c:v>32.0</c:v>
                </c:pt>
                <c:pt idx="162">
                  <c:v>32.0</c:v>
                </c:pt>
                <c:pt idx="163">
                  <c:v>32.0</c:v>
                </c:pt>
                <c:pt idx="164">
                  <c:v>32.0</c:v>
                </c:pt>
                <c:pt idx="165">
                  <c:v>33.0</c:v>
                </c:pt>
                <c:pt idx="166">
                  <c:v>33.0</c:v>
                </c:pt>
                <c:pt idx="167">
                  <c:v>33.0</c:v>
                </c:pt>
                <c:pt idx="168">
                  <c:v>33.0</c:v>
                </c:pt>
                <c:pt idx="169">
                  <c:v>33.0</c:v>
                </c:pt>
                <c:pt idx="170">
                  <c:v>33.0</c:v>
                </c:pt>
                <c:pt idx="171">
                  <c:v>33.0</c:v>
                </c:pt>
                <c:pt idx="172">
                  <c:v>34.0</c:v>
                </c:pt>
                <c:pt idx="173">
                  <c:v>34.0</c:v>
                </c:pt>
                <c:pt idx="174">
                  <c:v>34.0</c:v>
                </c:pt>
                <c:pt idx="175">
                  <c:v>34.0</c:v>
                </c:pt>
                <c:pt idx="176">
                  <c:v>34.0</c:v>
                </c:pt>
                <c:pt idx="177">
                  <c:v>34.0</c:v>
                </c:pt>
                <c:pt idx="178">
                  <c:v>35.0</c:v>
                </c:pt>
                <c:pt idx="179">
                  <c:v>35.0</c:v>
                </c:pt>
                <c:pt idx="180">
                  <c:v>35.0</c:v>
                </c:pt>
                <c:pt idx="181">
                  <c:v>35.0</c:v>
                </c:pt>
                <c:pt idx="182">
                  <c:v>35.0</c:v>
                </c:pt>
                <c:pt idx="183">
                  <c:v>35.0</c:v>
                </c:pt>
                <c:pt idx="184">
                  <c:v>35.0</c:v>
                </c:pt>
                <c:pt idx="185">
                  <c:v>36.0</c:v>
                </c:pt>
                <c:pt idx="186">
                  <c:v>36.0</c:v>
                </c:pt>
                <c:pt idx="187">
                  <c:v>36.0</c:v>
                </c:pt>
                <c:pt idx="188">
                  <c:v>36.0</c:v>
                </c:pt>
                <c:pt idx="189">
                  <c:v>36.0</c:v>
                </c:pt>
                <c:pt idx="190">
                  <c:v>36.0</c:v>
                </c:pt>
                <c:pt idx="191">
                  <c:v>37.0</c:v>
                </c:pt>
                <c:pt idx="192">
                  <c:v>37.0</c:v>
                </c:pt>
                <c:pt idx="193">
                  <c:v>37.0</c:v>
                </c:pt>
                <c:pt idx="194">
                  <c:v>37.0</c:v>
                </c:pt>
                <c:pt idx="195">
                  <c:v>37.0</c:v>
                </c:pt>
                <c:pt idx="196">
                  <c:v>37.0</c:v>
                </c:pt>
                <c:pt idx="197">
                  <c:v>37.0</c:v>
                </c:pt>
                <c:pt idx="198">
                  <c:v>37.0</c:v>
                </c:pt>
                <c:pt idx="199">
                  <c:v>38.0</c:v>
                </c:pt>
                <c:pt idx="200">
                  <c:v>38.0</c:v>
                </c:pt>
                <c:pt idx="201">
                  <c:v>38.0</c:v>
                </c:pt>
                <c:pt idx="202">
                  <c:v>38.0</c:v>
                </c:pt>
                <c:pt idx="203">
                  <c:v>38.0</c:v>
                </c:pt>
                <c:pt idx="204">
                  <c:v>38.0</c:v>
                </c:pt>
                <c:pt idx="205">
                  <c:v>39.0</c:v>
                </c:pt>
                <c:pt idx="206">
                  <c:v>39.0</c:v>
                </c:pt>
                <c:pt idx="207">
                  <c:v>39.0</c:v>
                </c:pt>
                <c:pt idx="208">
                  <c:v>39.0</c:v>
                </c:pt>
                <c:pt idx="209">
                  <c:v>39.0</c:v>
                </c:pt>
                <c:pt idx="210">
                  <c:v>39.0</c:v>
                </c:pt>
                <c:pt idx="211">
                  <c:v>40.0</c:v>
                </c:pt>
                <c:pt idx="212">
                  <c:v>40.0</c:v>
                </c:pt>
                <c:pt idx="213">
                  <c:v>40.0</c:v>
                </c:pt>
                <c:pt idx="214">
                  <c:v>40.0</c:v>
                </c:pt>
                <c:pt idx="215">
                  <c:v>40.0</c:v>
                </c:pt>
                <c:pt idx="216">
                  <c:v>40.0</c:v>
                </c:pt>
                <c:pt idx="217">
                  <c:v>40.0</c:v>
                </c:pt>
                <c:pt idx="218">
                  <c:v>41.0</c:v>
                </c:pt>
                <c:pt idx="219">
                  <c:v>41.0</c:v>
                </c:pt>
                <c:pt idx="220">
                  <c:v>41.0</c:v>
                </c:pt>
                <c:pt idx="221">
                  <c:v>41.0</c:v>
                </c:pt>
                <c:pt idx="222">
                  <c:v>41.0</c:v>
                </c:pt>
                <c:pt idx="223">
                  <c:v>41.0</c:v>
                </c:pt>
                <c:pt idx="224">
                  <c:v>41.0</c:v>
                </c:pt>
                <c:pt idx="225">
                  <c:v>42.0</c:v>
                </c:pt>
                <c:pt idx="226">
                  <c:v>42.0</c:v>
                </c:pt>
                <c:pt idx="227">
                  <c:v>42.0</c:v>
                </c:pt>
                <c:pt idx="228">
                  <c:v>42.0</c:v>
                </c:pt>
                <c:pt idx="229">
                  <c:v>42.0</c:v>
                </c:pt>
                <c:pt idx="230">
                  <c:v>42.0</c:v>
                </c:pt>
                <c:pt idx="231">
                  <c:v>42.0</c:v>
                </c:pt>
                <c:pt idx="232">
                  <c:v>43.0</c:v>
                </c:pt>
                <c:pt idx="233">
                  <c:v>43.0</c:v>
                </c:pt>
                <c:pt idx="234">
                  <c:v>43.0</c:v>
                </c:pt>
                <c:pt idx="235">
                  <c:v>43.0</c:v>
                </c:pt>
                <c:pt idx="236">
                  <c:v>43.0</c:v>
                </c:pt>
                <c:pt idx="237">
                  <c:v>43.0</c:v>
                </c:pt>
                <c:pt idx="238">
                  <c:v>44.0</c:v>
                </c:pt>
                <c:pt idx="239">
                  <c:v>44.0</c:v>
                </c:pt>
                <c:pt idx="240">
                  <c:v>44.0</c:v>
                </c:pt>
                <c:pt idx="241">
                  <c:v>44.0</c:v>
                </c:pt>
                <c:pt idx="242">
                  <c:v>44.0</c:v>
                </c:pt>
                <c:pt idx="243">
                  <c:v>44.0</c:v>
                </c:pt>
                <c:pt idx="244">
                  <c:v>45.0</c:v>
                </c:pt>
                <c:pt idx="245">
                  <c:v>45.0</c:v>
                </c:pt>
                <c:pt idx="246">
                  <c:v>45.0</c:v>
                </c:pt>
                <c:pt idx="247">
                  <c:v>45.0</c:v>
                </c:pt>
                <c:pt idx="248">
                  <c:v>45.0</c:v>
                </c:pt>
                <c:pt idx="249">
                  <c:v>45.0</c:v>
                </c:pt>
                <c:pt idx="250">
                  <c:v>45.0</c:v>
                </c:pt>
                <c:pt idx="251">
                  <c:v>46.0</c:v>
                </c:pt>
                <c:pt idx="252">
                  <c:v>46.0</c:v>
                </c:pt>
                <c:pt idx="253">
                  <c:v>46.0</c:v>
                </c:pt>
                <c:pt idx="254">
                  <c:v>46.0</c:v>
                </c:pt>
                <c:pt idx="255">
                  <c:v>46.0</c:v>
                </c:pt>
                <c:pt idx="256">
                  <c:v>46.0</c:v>
                </c:pt>
                <c:pt idx="257">
                  <c:v>47.0</c:v>
                </c:pt>
                <c:pt idx="258">
                  <c:v>47.0</c:v>
                </c:pt>
                <c:pt idx="259">
                  <c:v>47.0</c:v>
                </c:pt>
                <c:pt idx="260">
                  <c:v>47.0</c:v>
                </c:pt>
                <c:pt idx="261">
                  <c:v>47.0</c:v>
                </c:pt>
                <c:pt idx="262">
                  <c:v>47.0</c:v>
                </c:pt>
                <c:pt idx="263">
                  <c:v>48.0</c:v>
                </c:pt>
                <c:pt idx="264">
                  <c:v>48.0</c:v>
                </c:pt>
                <c:pt idx="265">
                  <c:v>48.0</c:v>
                </c:pt>
                <c:pt idx="266">
                  <c:v>48.0</c:v>
                </c:pt>
                <c:pt idx="267">
                  <c:v>48.0</c:v>
                </c:pt>
                <c:pt idx="268">
                  <c:v>48.0</c:v>
                </c:pt>
                <c:pt idx="269">
                  <c:v>49.0</c:v>
                </c:pt>
                <c:pt idx="270">
                  <c:v>49.0</c:v>
                </c:pt>
                <c:pt idx="271">
                  <c:v>49.0</c:v>
                </c:pt>
                <c:pt idx="272">
                  <c:v>49.0</c:v>
                </c:pt>
                <c:pt idx="273">
                  <c:v>49.0</c:v>
                </c:pt>
                <c:pt idx="274">
                  <c:v>49.0</c:v>
                </c:pt>
                <c:pt idx="275">
                  <c:v>49.0</c:v>
                </c:pt>
                <c:pt idx="276">
                  <c:v>49.0</c:v>
                </c:pt>
                <c:pt idx="277">
                  <c:v>50.0</c:v>
                </c:pt>
                <c:pt idx="278">
                  <c:v>50.0</c:v>
                </c:pt>
                <c:pt idx="279">
                  <c:v>50.0</c:v>
                </c:pt>
                <c:pt idx="280">
                  <c:v>50.0</c:v>
                </c:pt>
                <c:pt idx="281">
                  <c:v>50.0</c:v>
                </c:pt>
                <c:pt idx="282">
                  <c:v>50.0</c:v>
                </c:pt>
                <c:pt idx="283">
                  <c:v>51.0</c:v>
                </c:pt>
                <c:pt idx="284">
                  <c:v>51.0</c:v>
                </c:pt>
                <c:pt idx="285">
                  <c:v>51.0</c:v>
                </c:pt>
                <c:pt idx="286">
                  <c:v>51.0</c:v>
                </c:pt>
                <c:pt idx="287">
                  <c:v>51.0</c:v>
                </c:pt>
                <c:pt idx="288">
                  <c:v>51.0</c:v>
                </c:pt>
                <c:pt idx="289">
                  <c:v>52.0</c:v>
                </c:pt>
                <c:pt idx="290">
                  <c:v>52.0</c:v>
                </c:pt>
                <c:pt idx="291">
                  <c:v>52.0</c:v>
                </c:pt>
                <c:pt idx="292">
                  <c:v>52.0</c:v>
                </c:pt>
                <c:pt idx="293">
                  <c:v>52.0</c:v>
                </c:pt>
                <c:pt idx="294">
                  <c:v>52.0</c:v>
                </c:pt>
                <c:pt idx="295">
                  <c:v>52.0</c:v>
                </c:pt>
                <c:pt idx="296">
                  <c:v>53.0</c:v>
                </c:pt>
                <c:pt idx="297">
                  <c:v>53.0</c:v>
                </c:pt>
                <c:pt idx="298">
                  <c:v>53.0</c:v>
                </c:pt>
              </c:numCache>
            </c:numRef>
          </c:val>
          <c:smooth val="0"/>
        </c:ser>
        <c:ser>
          <c:idx val="2"/>
          <c:order val="2"/>
          <c:tx>
            <c:strRef>
              <c:f>Calculations!$K$1</c:f>
              <c:strCache>
                <c:ptCount val="1"/>
                <c:pt idx="0">
                  <c:v>Generator 3 Count</c:v>
                </c:pt>
              </c:strCache>
            </c:strRef>
          </c:tx>
          <c:spPr>
            <a:ln w="25400" cmpd="sng">
              <a:solidFill>
                <a:srgbClr val="FF9900"/>
              </a:solidFill>
            </a:ln>
          </c:spPr>
          <c:marker>
            <c:symbol val="none"/>
          </c:marker>
          <c:cat>
            <c:numRef>
              <c:f>Calculations!$A$2:$A$300</c:f>
              <c:numCache>
                <c:formatCode>0.00</c:formatCode>
                <c:ptCount val="299"/>
                <c:pt idx="0">
                  <c:v>0.0</c:v>
                </c:pt>
                <c:pt idx="1">
                  <c:v>0.0457045908183633</c:v>
                </c:pt>
                <c:pt idx="2">
                  <c:v>0.0701565469061876</c:v>
                </c:pt>
                <c:pt idx="3">
                  <c:v>0.0875989422488357</c:v>
                </c:pt>
                <c:pt idx="4">
                  <c:v>0.101596464511311</c:v>
                </c:pt>
                <c:pt idx="5">
                  <c:v>0.113578343567989</c:v>
                </c:pt>
                <c:pt idx="6">
                  <c:v>0.124262185726861</c:v>
                </c:pt>
                <c:pt idx="7">
                  <c:v>0.134060795249712</c:v>
                </c:pt>
                <c:pt idx="8">
                  <c:v>0.143234743415481</c:v>
                </c:pt>
                <c:pt idx="9">
                  <c:v>0.151960187448702</c:v>
                </c:pt>
                <c:pt idx="10">
                  <c:v>0.160362790052693</c:v>
                </c:pt>
                <c:pt idx="11">
                  <c:v>0.168536230767485</c:v>
                </c:pt>
                <c:pt idx="12">
                  <c:v>0.176553013868576</c:v>
                </c:pt>
                <c:pt idx="13">
                  <c:v>0.22952399498327</c:v>
                </c:pt>
                <c:pt idx="14">
                  <c:v>0.261231019677588</c:v>
                </c:pt>
                <c:pt idx="15">
                  <c:v>0.285876539042359</c:v>
                </c:pt>
                <c:pt idx="16">
                  <c:v>0.28798034857216</c:v>
                </c:pt>
                <c:pt idx="17">
                  <c:v>0.308956676828337</c:v>
                </c:pt>
                <c:pt idx="18">
                  <c:v>0.310735893659906</c:v>
                </c:pt>
                <c:pt idx="19">
                  <c:v>0.329882558938345</c:v>
                </c:pt>
                <c:pt idx="20">
                  <c:v>0.331456416727798</c:v>
                </c:pt>
                <c:pt idx="21">
                  <c:v>0.333118251329526</c:v>
                </c:pt>
                <c:pt idx="22">
                  <c:v>0.351134146380737</c:v>
                </c:pt>
                <c:pt idx="23">
                  <c:v>0.352652636968932</c:v>
                </c:pt>
                <c:pt idx="24">
                  <c:v>0.354259339858902</c:v>
                </c:pt>
                <c:pt idx="25">
                  <c:v>0.371790611726487</c:v>
                </c:pt>
                <c:pt idx="26">
                  <c:v>0.373292847586068</c:v>
                </c:pt>
                <c:pt idx="27">
                  <c:v>0.374884759302661</c:v>
                </c:pt>
                <c:pt idx="28">
                  <c:v>0.392357900689187</c:v>
                </c:pt>
                <c:pt idx="29">
                  <c:v>0.393872024419506</c:v>
                </c:pt>
                <c:pt idx="30">
                  <c:v>0.395478384713287</c:v>
                </c:pt>
                <c:pt idx="31">
                  <c:v>0.413208722357156</c:v>
                </c:pt>
                <c:pt idx="32">
                  <c:v>0.414756993026504</c:v>
                </c:pt>
                <c:pt idx="33">
                  <c:v>0.476916207857475</c:v>
                </c:pt>
                <c:pt idx="34">
                  <c:v>0.489963027180578</c:v>
                </c:pt>
                <c:pt idx="35">
                  <c:v>0.491059212477097</c:v>
                </c:pt>
                <c:pt idx="36">
                  <c:v>0.538068104715228</c:v>
                </c:pt>
                <c:pt idx="37">
                  <c:v>0.538986081862026</c:v>
                </c:pt>
                <c:pt idx="38">
                  <c:v>0.580974008743137</c:v>
                </c:pt>
                <c:pt idx="39">
                  <c:v>0.590035578989843</c:v>
                </c:pt>
                <c:pt idx="40">
                  <c:v>0.590812186244874</c:v>
                </c:pt>
                <c:pt idx="41">
                  <c:v>0.628689032980937</c:v>
                </c:pt>
                <c:pt idx="42">
                  <c:v>0.629398140294951</c:v>
                </c:pt>
                <c:pt idx="43">
                  <c:v>0.637934502068953</c:v>
                </c:pt>
                <c:pt idx="44">
                  <c:v>0.638667824790335</c:v>
                </c:pt>
                <c:pt idx="45">
                  <c:v>0.67430000557901</c:v>
                </c:pt>
                <c:pt idx="46">
                  <c:v>0.674987252399305</c:v>
                </c:pt>
                <c:pt idx="47">
                  <c:v>0.683300706826132</c:v>
                </c:pt>
                <c:pt idx="48">
                  <c:v>0.68401509641484</c:v>
                </c:pt>
                <c:pt idx="49">
                  <c:v>0.718592031037143</c:v>
                </c:pt>
                <c:pt idx="50">
                  <c:v>0.719274161252134</c:v>
                </c:pt>
                <c:pt idx="51">
                  <c:v>0.727564967594102</c:v>
                </c:pt>
                <c:pt idx="52">
                  <c:v>0.761943088009293</c:v>
                </c:pt>
                <c:pt idx="53">
                  <c:v>0.762588368791644</c:v>
                </c:pt>
                <c:pt idx="54">
                  <c:v>0.76327762449217</c:v>
                </c:pt>
                <c:pt idx="55">
                  <c:v>0.771694287672172</c:v>
                </c:pt>
                <c:pt idx="56">
                  <c:v>0.806383921698811</c:v>
                </c:pt>
                <c:pt idx="57">
                  <c:v>0.807044940754676</c:v>
                </c:pt>
                <c:pt idx="58">
                  <c:v>0.807751135892052</c:v>
                </c:pt>
                <c:pt idx="59">
                  <c:v>0.84387988293301</c:v>
                </c:pt>
                <c:pt idx="60">
                  <c:v>0.851877029271451</c:v>
                </c:pt>
                <c:pt idx="61">
                  <c:v>0.852561756757852</c:v>
                </c:pt>
                <c:pt idx="62">
                  <c:v>0.853293388528083</c:v>
                </c:pt>
                <c:pt idx="63">
                  <c:v>0.890568752402384</c:v>
                </c:pt>
                <c:pt idx="64">
                  <c:v>0.898953325357183</c:v>
                </c:pt>
                <c:pt idx="65">
                  <c:v>0.899669103384407</c:v>
                </c:pt>
                <c:pt idx="66">
                  <c:v>1.024346338602355</c:v>
                </c:pt>
                <c:pt idx="67">
                  <c:v>1.054803292460097</c:v>
                </c:pt>
                <c:pt idx="68">
                  <c:v>1.055372080634922</c:v>
                </c:pt>
                <c:pt idx="69">
                  <c:v>1.160036015061151</c:v>
                </c:pt>
                <c:pt idx="70">
                  <c:v>1.165882317784721</c:v>
                </c:pt>
                <c:pt idx="71">
                  <c:v>1.166382213887552</c:v>
                </c:pt>
                <c:pt idx="72">
                  <c:v>1.193417831800331</c:v>
                </c:pt>
                <c:pt idx="73">
                  <c:v>1.28665541992133</c:v>
                </c:pt>
                <c:pt idx="74">
                  <c:v>1.287096974373189</c:v>
                </c:pt>
                <c:pt idx="75">
                  <c:v>1.292591569895455</c:v>
                </c:pt>
                <c:pt idx="76">
                  <c:v>1.293060110657118</c:v>
                </c:pt>
                <c:pt idx="77">
                  <c:v>1.38295493449193</c:v>
                </c:pt>
                <c:pt idx="78">
                  <c:v>1.40513298017293</c:v>
                </c:pt>
                <c:pt idx="79">
                  <c:v>1.405560362659924</c:v>
                </c:pt>
                <c:pt idx="80">
                  <c:v>1.492164703415927</c:v>
                </c:pt>
                <c:pt idx="81">
                  <c:v>1.49694537612117</c:v>
                </c:pt>
                <c:pt idx="82">
                  <c:v>1.497351989039084</c:v>
                </c:pt>
                <c:pt idx="83">
                  <c:v>1.519161254019183</c:v>
                </c:pt>
                <c:pt idx="84">
                  <c:v>1.519585047887087</c:v>
                </c:pt>
                <c:pt idx="85">
                  <c:v>1.604350756171844</c:v>
                </c:pt>
                <c:pt idx="86">
                  <c:v>1.609180724710778</c:v>
                </c:pt>
                <c:pt idx="87">
                  <c:v>1.609589997318293</c:v>
                </c:pt>
                <c:pt idx="88">
                  <c:v>1.631449248137016</c:v>
                </c:pt>
                <c:pt idx="89">
                  <c:v>1.715963663586359</c:v>
                </c:pt>
                <c:pt idx="90">
                  <c:v>1.716356307368074</c:v>
                </c:pt>
                <c:pt idx="91">
                  <c:v>1.721309157081167</c:v>
                </c:pt>
                <c:pt idx="92">
                  <c:v>1.721727212155325</c:v>
                </c:pt>
                <c:pt idx="93">
                  <c:v>1.743960994324569</c:v>
                </c:pt>
                <c:pt idx="94">
                  <c:v>1.829376095695778</c:v>
                </c:pt>
                <c:pt idx="95">
                  <c:v>1.829781686489108</c:v>
                </c:pt>
                <c:pt idx="96">
                  <c:v>1.834920833295653</c:v>
                </c:pt>
                <c:pt idx="97">
                  <c:v>1.835352881776753</c:v>
                </c:pt>
                <c:pt idx="98">
                  <c:v>1.858233391678885</c:v>
                </c:pt>
                <c:pt idx="99">
                  <c:v>2.248807277135892</c:v>
                </c:pt>
                <c:pt idx="100">
                  <c:v>2.3096044245083</c:v>
                </c:pt>
                <c:pt idx="101">
                  <c:v>2.599578190991203</c:v>
                </c:pt>
                <c:pt idx="102">
                  <c:v>2.599811539913223</c:v>
                </c:pt>
                <c:pt idx="103">
                  <c:v>2.851731835777843</c:v>
                </c:pt>
                <c:pt idx="104">
                  <c:v>2.893168161450549</c:v>
                </c:pt>
                <c:pt idx="105">
                  <c:v>2.903606896369412</c:v>
                </c:pt>
                <c:pt idx="106">
                  <c:v>2.905944248387656</c:v>
                </c:pt>
                <c:pt idx="107">
                  <c:v>2.906140365846618</c:v>
                </c:pt>
                <c:pt idx="108">
                  <c:v>3.127768049573493</c:v>
                </c:pt>
                <c:pt idx="109">
                  <c:v>3.127946456310891</c:v>
                </c:pt>
                <c:pt idx="110">
                  <c:v>3.166224842698874</c:v>
                </c:pt>
                <c:pt idx="111">
                  <c:v>3.372126760631556</c:v>
                </c:pt>
                <c:pt idx="112">
                  <c:v>3.380661673797114</c:v>
                </c:pt>
                <c:pt idx="113">
                  <c:v>3.382593516806976</c:v>
                </c:pt>
                <c:pt idx="114">
                  <c:v>3.382754964894407</c:v>
                </c:pt>
                <c:pt idx="115">
                  <c:v>3.382927697439383</c:v>
                </c:pt>
                <c:pt idx="116">
                  <c:v>3.419506980402546</c:v>
                </c:pt>
                <c:pt idx="117">
                  <c:v>3.615263383241809</c:v>
                </c:pt>
                <c:pt idx="118">
                  <c:v>3.623684845699133</c:v>
                </c:pt>
                <c:pt idx="119">
                  <c:v>3.623845134063725</c:v>
                </c:pt>
                <c:pt idx="120">
                  <c:v>3.625769221989318</c:v>
                </c:pt>
                <c:pt idx="121">
                  <c:v>3.819728126269892</c:v>
                </c:pt>
                <c:pt idx="122">
                  <c:v>3.852000259290158</c:v>
                </c:pt>
                <c:pt idx="123">
                  <c:v>3.852152145314577</c:v>
                </c:pt>
                <c:pt idx="124">
                  <c:v>3.860614679689236</c:v>
                </c:pt>
                <c:pt idx="125">
                  <c:v>3.860776529867754</c:v>
                </c:pt>
                <c:pt idx="126">
                  <c:v>4.052562558289951</c:v>
                </c:pt>
                <c:pt idx="127">
                  <c:v>4.05434179532788</c:v>
                </c:pt>
                <c:pt idx="128">
                  <c:v>4.086887822660488</c:v>
                </c:pt>
                <c:pt idx="129">
                  <c:v>4.08704328840121</c:v>
                </c:pt>
                <c:pt idx="130">
                  <c:v>4.095668268210208</c:v>
                </c:pt>
                <c:pt idx="131">
                  <c:v>4.287803058343162</c:v>
                </c:pt>
                <c:pt idx="132">
                  <c:v>4.287955585327497</c:v>
                </c:pt>
                <c:pt idx="133">
                  <c:v>4.289802897415763</c:v>
                </c:pt>
                <c:pt idx="134">
                  <c:v>4.323009123033259</c:v>
                </c:pt>
                <c:pt idx="135">
                  <c:v>4.323170060320479</c:v>
                </c:pt>
                <c:pt idx="136">
                  <c:v>4.51844714995372</c:v>
                </c:pt>
                <c:pt idx="137">
                  <c:v>4.526689722180401</c:v>
                </c:pt>
                <c:pt idx="138">
                  <c:v>4.526848884447588</c:v>
                </c:pt>
                <c:pt idx="139">
                  <c:v>4.561074130405458</c:v>
                </c:pt>
                <c:pt idx="140">
                  <c:v>4.562987240627166</c:v>
                </c:pt>
                <c:pt idx="141">
                  <c:v>4.762585197556606</c:v>
                </c:pt>
                <c:pt idx="142">
                  <c:v>4.762742089786666</c:v>
                </c:pt>
                <c:pt idx="143">
                  <c:v>4.771371997083626</c:v>
                </c:pt>
                <c:pt idx="144">
                  <c:v>4.806901995950386</c:v>
                </c:pt>
                <c:pt idx="145">
                  <c:v>4.807067553765542</c:v>
                </c:pt>
                <c:pt idx="146">
                  <c:v>4.80909061228652</c:v>
                </c:pt>
                <c:pt idx="147">
                  <c:v>5.014664493118532</c:v>
                </c:pt>
                <c:pt idx="148">
                  <c:v>5.014830568882267</c:v>
                </c:pt>
                <c:pt idx="149">
                  <c:v>5.023926558244352</c:v>
                </c:pt>
                <c:pt idx="150">
                  <c:v>5.061054741638178</c:v>
                </c:pt>
                <c:pt idx="151">
                  <c:v>5.274291992337854</c:v>
                </c:pt>
                <c:pt idx="152">
                  <c:v>5.274457324166646</c:v>
                </c:pt>
                <c:pt idx="153">
                  <c:v>5.276486633930902</c:v>
                </c:pt>
                <c:pt idx="154">
                  <c:v>5.27666343687424</c:v>
                </c:pt>
                <c:pt idx="155">
                  <c:v>5.286305543491534</c:v>
                </c:pt>
                <c:pt idx="156">
                  <c:v>5.325324676501864</c:v>
                </c:pt>
                <c:pt idx="157">
                  <c:v>5.547597346621957</c:v>
                </c:pt>
                <c:pt idx="158">
                  <c:v>5.547774221170966</c:v>
                </c:pt>
                <c:pt idx="159">
                  <c:v>5.549954885269088</c:v>
                </c:pt>
                <c:pt idx="160">
                  <c:v>5.55014403895441</c:v>
                </c:pt>
                <c:pt idx="161">
                  <c:v>5.560415584779911</c:v>
                </c:pt>
                <c:pt idx="162">
                  <c:v>5.795306317167956</c:v>
                </c:pt>
                <c:pt idx="163">
                  <c:v>5.834416519377407</c:v>
                </c:pt>
                <c:pt idx="164">
                  <c:v>5.834606559864333</c:v>
                </c:pt>
                <c:pt idx="165">
                  <c:v>5.836959988097032</c:v>
                </c:pt>
                <c:pt idx="166">
                  <c:v>6.084417920652025</c:v>
                </c:pt>
                <c:pt idx="167">
                  <c:v>6.084611398682165</c:v>
                </c:pt>
                <c:pt idx="168">
                  <c:v>6.095072848547749</c:v>
                </c:pt>
                <c:pt idx="169">
                  <c:v>6.136684629600752</c:v>
                </c:pt>
                <c:pt idx="170">
                  <c:v>6.136889592420537</c:v>
                </c:pt>
                <c:pt idx="171">
                  <c:v>6.39809654420165</c:v>
                </c:pt>
                <c:pt idx="172">
                  <c:v>6.400530343159615</c:v>
                </c:pt>
                <c:pt idx="173">
                  <c:v>6.445040986333715</c:v>
                </c:pt>
                <c:pt idx="174">
                  <c:v>6.445248674532503</c:v>
                </c:pt>
                <c:pt idx="175">
                  <c:v>6.456430439087438</c:v>
                </c:pt>
                <c:pt idx="176">
                  <c:v>6.456652241527281</c:v>
                </c:pt>
                <c:pt idx="177">
                  <c:v>6.733172723551557</c:v>
                </c:pt>
                <c:pt idx="178">
                  <c:v>6.735824816758749</c:v>
                </c:pt>
                <c:pt idx="179">
                  <c:v>6.783485265196243</c:v>
                </c:pt>
                <c:pt idx="180">
                  <c:v>6.795569441141608</c:v>
                </c:pt>
                <c:pt idx="181">
                  <c:v>6.79579444722084</c:v>
                </c:pt>
                <c:pt idx="182">
                  <c:v>7.089417579205438</c:v>
                </c:pt>
                <c:pt idx="183">
                  <c:v>7.089648487716922</c:v>
                </c:pt>
                <c:pt idx="184">
                  <c:v>7.14084162329306</c:v>
                </c:pt>
                <c:pt idx="185">
                  <c:v>7.143719952749558</c:v>
                </c:pt>
                <c:pt idx="186">
                  <c:v>7.156814385072859</c:v>
                </c:pt>
                <c:pt idx="187">
                  <c:v>7.157059271516557</c:v>
                </c:pt>
                <c:pt idx="188">
                  <c:v>7.469675797864686</c:v>
                </c:pt>
                <c:pt idx="189">
                  <c:v>7.469927616978012</c:v>
                </c:pt>
                <c:pt idx="190">
                  <c:v>7.525030207806266</c:v>
                </c:pt>
                <c:pt idx="191">
                  <c:v>7.528184193166839</c:v>
                </c:pt>
                <c:pt idx="192">
                  <c:v>7.542408154156703</c:v>
                </c:pt>
                <c:pt idx="193">
                  <c:v>7.542675329197347</c:v>
                </c:pt>
                <c:pt idx="194">
                  <c:v>7.876327673300328</c:v>
                </c:pt>
                <c:pt idx="195">
                  <c:v>7.876602916725514</c:v>
                </c:pt>
                <c:pt idx="196">
                  <c:v>7.936047428270957</c:v>
                </c:pt>
                <c:pt idx="197">
                  <c:v>8.293623131249681</c:v>
                </c:pt>
                <c:pt idx="198">
                  <c:v>8.3085619419613</c:v>
                </c:pt>
                <c:pt idx="199">
                  <c:v>8.311897346220268</c:v>
                </c:pt>
                <c:pt idx="200">
                  <c:v>8.31217909759541</c:v>
                </c:pt>
                <c:pt idx="201">
                  <c:v>8.376441367225522</c:v>
                </c:pt>
                <c:pt idx="202">
                  <c:v>8.376741056880916</c:v>
                </c:pt>
                <c:pt idx="203">
                  <c:v>8.759967840641424</c:v>
                </c:pt>
                <c:pt idx="204">
                  <c:v>8.776289259049617</c:v>
                </c:pt>
                <c:pt idx="205">
                  <c:v>8.779965552181881</c:v>
                </c:pt>
                <c:pt idx="206">
                  <c:v>8.78027472646065</c:v>
                </c:pt>
                <c:pt idx="207">
                  <c:v>8.849874007946265</c:v>
                </c:pt>
                <c:pt idx="208">
                  <c:v>9.261366878683892</c:v>
                </c:pt>
                <c:pt idx="209">
                  <c:v>9.261685036490788</c:v>
                </c:pt>
                <c:pt idx="210">
                  <c:v>9.279547969829527</c:v>
                </c:pt>
                <c:pt idx="211">
                  <c:v>9.283607003487947</c:v>
                </c:pt>
                <c:pt idx="212">
                  <c:v>9.283946856450294</c:v>
                </c:pt>
                <c:pt idx="213">
                  <c:v>9.359456740647578</c:v>
                </c:pt>
                <c:pt idx="214">
                  <c:v>9.80204389040193</c:v>
                </c:pt>
                <c:pt idx="215">
                  <c:v>9.802394152969863</c:v>
                </c:pt>
                <c:pt idx="216">
                  <c:v>9.82197545829894</c:v>
                </c:pt>
                <c:pt idx="217">
                  <c:v>9.822349738612393</c:v>
                </c:pt>
                <c:pt idx="218">
                  <c:v>9.826838398436024</c:v>
                </c:pt>
                <c:pt idx="219">
                  <c:v>10.30612028724858</c:v>
                </c:pt>
                <c:pt idx="220">
                  <c:v>10.38567022564245</c:v>
                </c:pt>
                <c:pt idx="221">
                  <c:v>10.3860564027632</c:v>
                </c:pt>
                <c:pt idx="222">
                  <c:v>10.40755311979724</c:v>
                </c:pt>
                <c:pt idx="223">
                  <c:v>10.92467496185405</c:v>
                </c:pt>
                <c:pt idx="224">
                  <c:v>10.92507549868407</c:v>
                </c:pt>
                <c:pt idx="225">
                  <c:v>10.92990045227178</c:v>
                </c:pt>
                <c:pt idx="226">
                  <c:v>11.01656865645421</c:v>
                </c:pt>
                <c:pt idx="227">
                  <c:v>11.01699501442156</c:v>
                </c:pt>
                <c:pt idx="228">
                  <c:v>11.04062686011515</c:v>
                </c:pt>
                <c:pt idx="229">
                  <c:v>11.59916280507656</c:v>
                </c:pt>
                <c:pt idx="230">
                  <c:v>11.69373472707476</c:v>
                </c:pt>
                <c:pt idx="231">
                  <c:v>11.69417533762453</c:v>
                </c:pt>
                <c:pt idx="232">
                  <c:v>11.69950667599395</c:v>
                </c:pt>
                <c:pt idx="233">
                  <c:v>11.69997799561864</c:v>
                </c:pt>
                <c:pt idx="234">
                  <c:v>12.30472310417765</c:v>
                </c:pt>
                <c:pt idx="235">
                  <c:v>12.33002038354829</c:v>
                </c:pt>
                <c:pt idx="236">
                  <c:v>12.43331019077347</c:v>
                </c:pt>
                <c:pt idx="237">
                  <c:v>12.43379784022079</c:v>
                </c:pt>
                <c:pt idx="238">
                  <c:v>12.43972463231977</c:v>
                </c:pt>
                <c:pt idx="239">
                  <c:v>13.09449537764145</c:v>
                </c:pt>
                <c:pt idx="240">
                  <c:v>13.09500314796426</c:v>
                </c:pt>
                <c:pt idx="241">
                  <c:v>13.12290712231683</c:v>
                </c:pt>
                <c:pt idx="242">
                  <c:v>13.23584494490155</c:v>
                </c:pt>
                <c:pt idx="243">
                  <c:v>13.23638525470523</c:v>
                </c:pt>
                <c:pt idx="244">
                  <c:v>13.24298132667199</c:v>
                </c:pt>
                <c:pt idx="245">
                  <c:v>13.95268766412485</c:v>
                </c:pt>
                <c:pt idx="246">
                  <c:v>13.95325075522229</c:v>
                </c:pt>
                <c:pt idx="247">
                  <c:v>13.98406240743296</c:v>
                </c:pt>
                <c:pt idx="248">
                  <c:v>14.10767907132833</c:v>
                </c:pt>
                <c:pt idx="249">
                  <c:v>14.10827835109381</c:v>
                </c:pt>
                <c:pt idx="250">
                  <c:v>14.8785120600923</c:v>
                </c:pt>
                <c:pt idx="251">
                  <c:v>14.88567707033168</c:v>
                </c:pt>
                <c:pt idx="252">
                  <c:v>14.88630212565325</c:v>
                </c:pt>
                <c:pt idx="253">
                  <c:v>15.02188155372447</c:v>
                </c:pt>
                <c:pt idx="254">
                  <c:v>15.05579629649633</c:v>
                </c:pt>
                <c:pt idx="255">
                  <c:v>15.8923469177702</c:v>
                </c:pt>
                <c:pt idx="256">
                  <c:v>15.89299612422102</c:v>
                </c:pt>
                <c:pt idx="257">
                  <c:v>15.90099237993872</c:v>
                </c:pt>
                <c:pt idx="258">
                  <c:v>16.04967342755192</c:v>
                </c:pt>
                <c:pt idx="259">
                  <c:v>16.05036511570651</c:v>
                </c:pt>
                <c:pt idx="260">
                  <c:v>16.08789021066947</c:v>
                </c:pt>
                <c:pt idx="261">
                  <c:v>16.9972838219808</c:v>
                </c:pt>
                <c:pt idx="262">
                  <c:v>16.99800576284546</c:v>
                </c:pt>
                <c:pt idx="263">
                  <c:v>17.00693750118405</c:v>
                </c:pt>
                <c:pt idx="264">
                  <c:v>17.17012554272359</c:v>
                </c:pt>
                <c:pt idx="265">
                  <c:v>17.1708948189483</c:v>
                </c:pt>
                <c:pt idx="266">
                  <c:v>17.2124505856694</c:v>
                </c:pt>
                <c:pt idx="267">
                  <c:v>18.2018850707511</c:v>
                </c:pt>
                <c:pt idx="268">
                  <c:v>18.20268855693827</c:v>
                </c:pt>
                <c:pt idx="269">
                  <c:v>18.21267344699203</c:v>
                </c:pt>
                <c:pt idx="270">
                  <c:v>18.39193158057078</c:v>
                </c:pt>
                <c:pt idx="271">
                  <c:v>19.47037277408033</c:v>
                </c:pt>
                <c:pt idx="272">
                  <c:v>19.5154040726904</c:v>
                </c:pt>
                <c:pt idx="273">
                  <c:v>19.51624047878288</c:v>
                </c:pt>
                <c:pt idx="274">
                  <c:v>19.5171354178947</c:v>
                </c:pt>
                <c:pt idx="275">
                  <c:v>19.71424015768804</c:v>
                </c:pt>
                <c:pt idx="276">
                  <c:v>20.88967537546975</c:v>
                </c:pt>
                <c:pt idx="277">
                  <c:v>20.90056344829242</c:v>
                </c:pt>
                <c:pt idx="278">
                  <c:v>20.95054113425799</c:v>
                </c:pt>
                <c:pt idx="279">
                  <c:v>20.95147342682852</c:v>
                </c:pt>
                <c:pt idx="280">
                  <c:v>20.95247096315943</c:v>
                </c:pt>
                <c:pt idx="281">
                  <c:v>21.16931295451521</c:v>
                </c:pt>
                <c:pt idx="282">
                  <c:v>22.45113293277799</c:v>
                </c:pt>
                <c:pt idx="283">
                  <c:v>22.46333146122701</c:v>
                </c:pt>
                <c:pt idx="284">
                  <c:v>22.51883770394312</c:v>
                </c:pt>
                <c:pt idx="285">
                  <c:v>22.51987760189758</c:v>
                </c:pt>
                <c:pt idx="286">
                  <c:v>23.92362752643949</c:v>
                </c:pt>
                <c:pt idx="287">
                  <c:v>24.15741616305261</c:v>
                </c:pt>
                <c:pt idx="288">
                  <c:v>24.15850207855438</c:v>
                </c:pt>
                <c:pt idx="289">
                  <c:v>24.17217787172224</c:v>
                </c:pt>
                <c:pt idx="290">
                  <c:v>24.23386521377577</c:v>
                </c:pt>
                <c:pt idx="291">
                  <c:v>24.2350259064885</c:v>
                </c:pt>
                <c:pt idx="292">
                  <c:v>25.76776037873407</c:v>
                </c:pt>
                <c:pt idx="293">
                  <c:v>26.02544383661646</c:v>
                </c:pt>
                <c:pt idx="294">
                  <c:v>26.02665662487436</c:v>
                </c:pt>
                <c:pt idx="295">
                  <c:v>26.0952694579444</c:v>
                </c:pt>
                <c:pt idx="296">
                  <c:v>26.11059826081573</c:v>
                </c:pt>
                <c:pt idx="297">
                  <c:v>26.1118945966945</c:v>
                </c:pt>
                <c:pt idx="298">
                  <c:v>27.78652065603071</c:v>
                </c:pt>
              </c:numCache>
            </c:numRef>
          </c:cat>
          <c:val>
            <c:numRef>
              <c:f>Calculations!$K$2:$K$300</c:f>
              <c:numCache>
                <c:formatCode>0</c:formatCode>
                <c:ptCount val="299"/>
                <c:pt idx="0">
                  <c:v>0.0</c:v>
                </c:pt>
                <c:pt idx="1">
                  <c:v>0.0</c:v>
                </c:pt>
                <c:pt idx="2">
                  <c:v>0.0</c:v>
                </c:pt>
                <c:pt idx="3">
                  <c:v>0.0</c:v>
                </c:pt>
                <c:pt idx="4">
                  <c:v>0.0</c:v>
                </c:pt>
                <c:pt idx="5">
                  <c:v>0.0</c:v>
                </c:pt>
                <c:pt idx="6">
                  <c:v>0.0</c:v>
                </c:pt>
                <c:pt idx="7">
                  <c:v>0.0</c:v>
                </c:pt>
                <c:pt idx="8">
                  <c:v>0.0</c:v>
                </c:pt>
                <c:pt idx="9">
                  <c:v>0.0</c:v>
                </c:pt>
                <c:pt idx="10">
                  <c:v>0.0</c:v>
                </c:pt>
                <c:pt idx="11">
                  <c:v>0.0</c:v>
                </c:pt>
                <c:pt idx="12">
                  <c:v>0.0</c:v>
                </c:pt>
                <c:pt idx="13">
                  <c:v>0.0</c:v>
                </c:pt>
                <c:pt idx="14">
                  <c:v>0.0</c:v>
                </c:pt>
                <c:pt idx="15">
                  <c:v>0.0</c:v>
                </c:pt>
                <c:pt idx="16">
                  <c:v>0.0</c:v>
                </c:pt>
                <c:pt idx="17">
                  <c:v>0.0</c:v>
                </c:pt>
                <c:pt idx="18">
                  <c:v>0.0</c:v>
                </c:pt>
                <c:pt idx="19">
                  <c:v>0.0</c:v>
                </c:pt>
                <c:pt idx="20">
                  <c:v>0.0</c:v>
                </c:pt>
                <c:pt idx="21">
                  <c:v>0.0</c:v>
                </c:pt>
                <c:pt idx="22">
                  <c:v>0.0</c:v>
                </c:pt>
                <c:pt idx="23">
                  <c:v>0.0</c:v>
                </c:pt>
                <c:pt idx="24">
                  <c:v>0.0</c:v>
                </c:pt>
                <c:pt idx="25">
                  <c:v>0.0</c:v>
                </c:pt>
                <c:pt idx="26">
                  <c:v>0.0</c:v>
                </c:pt>
                <c:pt idx="27">
                  <c:v>0.0</c:v>
                </c:pt>
                <c:pt idx="28">
                  <c:v>0.0</c:v>
                </c:pt>
                <c:pt idx="29">
                  <c:v>0.0</c:v>
                </c:pt>
                <c:pt idx="30">
                  <c:v>0.0</c:v>
                </c:pt>
                <c:pt idx="31">
                  <c:v>0.0</c:v>
                </c:pt>
                <c:pt idx="32">
                  <c:v>0.0</c:v>
                </c:pt>
                <c:pt idx="33">
                  <c:v>1.0</c:v>
                </c:pt>
                <c:pt idx="34">
                  <c:v>1.0</c:v>
                </c:pt>
                <c:pt idx="35">
                  <c:v>1.0</c:v>
                </c:pt>
                <c:pt idx="36">
                  <c:v>2.0</c:v>
                </c:pt>
                <c:pt idx="37">
                  <c:v>2.0</c:v>
                </c:pt>
                <c:pt idx="38">
                  <c:v>3.0</c:v>
                </c:pt>
                <c:pt idx="39">
                  <c:v>3.0</c:v>
                </c:pt>
                <c:pt idx="40">
                  <c:v>3.0</c:v>
                </c:pt>
                <c:pt idx="41">
                  <c:v>4.0</c:v>
                </c:pt>
                <c:pt idx="42">
                  <c:v>4.0</c:v>
                </c:pt>
                <c:pt idx="43">
                  <c:v>4.0</c:v>
                </c:pt>
                <c:pt idx="44">
                  <c:v>4.0</c:v>
                </c:pt>
                <c:pt idx="45">
                  <c:v>5.0</c:v>
                </c:pt>
                <c:pt idx="46">
                  <c:v>5.0</c:v>
                </c:pt>
                <c:pt idx="47">
                  <c:v>5.0</c:v>
                </c:pt>
                <c:pt idx="48">
                  <c:v>5.0</c:v>
                </c:pt>
                <c:pt idx="49">
                  <c:v>6.0</c:v>
                </c:pt>
                <c:pt idx="50">
                  <c:v>6.0</c:v>
                </c:pt>
                <c:pt idx="51">
                  <c:v>6.0</c:v>
                </c:pt>
                <c:pt idx="52">
                  <c:v>7.0</c:v>
                </c:pt>
                <c:pt idx="53">
                  <c:v>7.0</c:v>
                </c:pt>
                <c:pt idx="54">
                  <c:v>7.0</c:v>
                </c:pt>
                <c:pt idx="55">
                  <c:v>7.0</c:v>
                </c:pt>
                <c:pt idx="56">
                  <c:v>8.0</c:v>
                </c:pt>
                <c:pt idx="57">
                  <c:v>8.0</c:v>
                </c:pt>
                <c:pt idx="58">
                  <c:v>8.0</c:v>
                </c:pt>
                <c:pt idx="59">
                  <c:v>9.0</c:v>
                </c:pt>
                <c:pt idx="60">
                  <c:v>9.0</c:v>
                </c:pt>
                <c:pt idx="61">
                  <c:v>9.0</c:v>
                </c:pt>
                <c:pt idx="62">
                  <c:v>9.0</c:v>
                </c:pt>
                <c:pt idx="63">
                  <c:v>10.0</c:v>
                </c:pt>
                <c:pt idx="64">
                  <c:v>10.0</c:v>
                </c:pt>
                <c:pt idx="65">
                  <c:v>10.0</c:v>
                </c:pt>
                <c:pt idx="66">
                  <c:v>10.0</c:v>
                </c:pt>
                <c:pt idx="67">
                  <c:v>11.0</c:v>
                </c:pt>
                <c:pt idx="68">
                  <c:v>11.0</c:v>
                </c:pt>
                <c:pt idx="69">
                  <c:v>11.0</c:v>
                </c:pt>
                <c:pt idx="70">
                  <c:v>11.0</c:v>
                </c:pt>
                <c:pt idx="71">
                  <c:v>11.0</c:v>
                </c:pt>
                <c:pt idx="72">
                  <c:v>12.0</c:v>
                </c:pt>
                <c:pt idx="73">
                  <c:v>12.0</c:v>
                </c:pt>
                <c:pt idx="74">
                  <c:v>12.0</c:v>
                </c:pt>
                <c:pt idx="75">
                  <c:v>12.0</c:v>
                </c:pt>
                <c:pt idx="76">
                  <c:v>12.0</c:v>
                </c:pt>
                <c:pt idx="77">
                  <c:v>12.0</c:v>
                </c:pt>
                <c:pt idx="78">
                  <c:v>13.0</c:v>
                </c:pt>
                <c:pt idx="79">
                  <c:v>13.0</c:v>
                </c:pt>
                <c:pt idx="80">
                  <c:v>13.0</c:v>
                </c:pt>
                <c:pt idx="81">
                  <c:v>13.0</c:v>
                </c:pt>
                <c:pt idx="82">
                  <c:v>13.0</c:v>
                </c:pt>
                <c:pt idx="83">
                  <c:v>14.0</c:v>
                </c:pt>
                <c:pt idx="84">
                  <c:v>14.0</c:v>
                </c:pt>
                <c:pt idx="85">
                  <c:v>14.0</c:v>
                </c:pt>
                <c:pt idx="86">
                  <c:v>14.0</c:v>
                </c:pt>
                <c:pt idx="87">
                  <c:v>14.0</c:v>
                </c:pt>
                <c:pt idx="88">
                  <c:v>15.0</c:v>
                </c:pt>
                <c:pt idx="89">
                  <c:v>15.0</c:v>
                </c:pt>
                <c:pt idx="90">
                  <c:v>15.0</c:v>
                </c:pt>
                <c:pt idx="91">
                  <c:v>15.0</c:v>
                </c:pt>
                <c:pt idx="92">
                  <c:v>15.0</c:v>
                </c:pt>
                <c:pt idx="93">
                  <c:v>16.0</c:v>
                </c:pt>
                <c:pt idx="94">
                  <c:v>16.0</c:v>
                </c:pt>
                <c:pt idx="95">
                  <c:v>16.0</c:v>
                </c:pt>
                <c:pt idx="96">
                  <c:v>16.0</c:v>
                </c:pt>
                <c:pt idx="97">
                  <c:v>16.0</c:v>
                </c:pt>
                <c:pt idx="98">
                  <c:v>17.0</c:v>
                </c:pt>
                <c:pt idx="99">
                  <c:v>17.0</c:v>
                </c:pt>
                <c:pt idx="100">
                  <c:v>17.0</c:v>
                </c:pt>
                <c:pt idx="101">
                  <c:v>17.0</c:v>
                </c:pt>
                <c:pt idx="102">
                  <c:v>17.0</c:v>
                </c:pt>
                <c:pt idx="103">
                  <c:v>17.0</c:v>
                </c:pt>
                <c:pt idx="104">
                  <c:v>17.0</c:v>
                </c:pt>
                <c:pt idx="105">
                  <c:v>18.0</c:v>
                </c:pt>
                <c:pt idx="106">
                  <c:v>18.0</c:v>
                </c:pt>
                <c:pt idx="107">
                  <c:v>18.0</c:v>
                </c:pt>
                <c:pt idx="108">
                  <c:v>18.0</c:v>
                </c:pt>
                <c:pt idx="109">
                  <c:v>18.0</c:v>
                </c:pt>
                <c:pt idx="110">
                  <c:v>18.0</c:v>
                </c:pt>
                <c:pt idx="111">
                  <c:v>18.0</c:v>
                </c:pt>
                <c:pt idx="112">
                  <c:v>19.0</c:v>
                </c:pt>
                <c:pt idx="113">
                  <c:v>19.0</c:v>
                </c:pt>
                <c:pt idx="114">
                  <c:v>19.0</c:v>
                </c:pt>
                <c:pt idx="115">
                  <c:v>19.0</c:v>
                </c:pt>
                <c:pt idx="116">
                  <c:v>19.0</c:v>
                </c:pt>
                <c:pt idx="117">
                  <c:v>19.0</c:v>
                </c:pt>
                <c:pt idx="118">
                  <c:v>20.0</c:v>
                </c:pt>
                <c:pt idx="119">
                  <c:v>20.0</c:v>
                </c:pt>
                <c:pt idx="120">
                  <c:v>20.0</c:v>
                </c:pt>
                <c:pt idx="121">
                  <c:v>20.0</c:v>
                </c:pt>
                <c:pt idx="122">
                  <c:v>20.0</c:v>
                </c:pt>
                <c:pt idx="123">
                  <c:v>20.0</c:v>
                </c:pt>
                <c:pt idx="124">
                  <c:v>21.0</c:v>
                </c:pt>
                <c:pt idx="125">
                  <c:v>21.0</c:v>
                </c:pt>
                <c:pt idx="126">
                  <c:v>21.0</c:v>
                </c:pt>
                <c:pt idx="127">
                  <c:v>21.0</c:v>
                </c:pt>
                <c:pt idx="128">
                  <c:v>21.0</c:v>
                </c:pt>
                <c:pt idx="129">
                  <c:v>21.0</c:v>
                </c:pt>
                <c:pt idx="130">
                  <c:v>22.0</c:v>
                </c:pt>
                <c:pt idx="131">
                  <c:v>22.0</c:v>
                </c:pt>
                <c:pt idx="132">
                  <c:v>22.0</c:v>
                </c:pt>
                <c:pt idx="133">
                  <c:v>22.0</c:v>
                </c:pt>
                <c:pt idx="134">
                  <c:v>22.0</c:v>
                </c:pt>
                <c:pt idx="135">
                  <c:v>22.0</c:v>
                </c:pt>
                <c:pt idx="136">
                  <c:v>22.0</c:v>
                </c:pt>
                <c:pt idx="137">
                  <c:v>23.0</c:v>
                </c:pt>
                <c:pt idx="138">
                  <c:v>23.0</c:v>
                </c:pt>
                <c:pt idx="139">
                  <c:v>23.0</c:v>
                </c:pt>
                <c:pt idx="140">
                  <c:v>23.0</c:v>
                </c:pt>
                <c:pt idx="141">
                  <c:v>23.0</c:v>
                </c:pt>
                <c:pt idx="142">
                  <c:v>23.0</c:v>
                </c:pt>
                <c:pt idx="143">
                  <c:v>24.0</c:v>
                </c:pt>
                <c:pt idx="144">
                  <c:v>24.0</c:v>
                </c:pt>
                <c:pt idx="145">
                  <c:v>24.0</c:v>
                </c:pt>
                <c:pt idx="146">
                  <c:v>24.0</c:v>
                </c:pt>
                <c:pt idx="147">
                  <c:v>24.0</c:v>
                </c:pt>
                <c:pt idx="148">
                  <c:v>24.0</c:v>
                </c:pt>
                <c:pt idx="149">
                  <c:v>25.0</c:v>
                </c:pt>
                <c:pt idx="150">
                  <c:v>25.0</c:v>
                </c:pt>
                <c:pt idx="151">
                  <c:v>25.0</c:v>
                </c:pt>
                <c:pt idx="152">
                  <c:v>25.0</c:v>
                </c:pt>
                <c:pt idx="153">
                  <c:v>25.0</c:v>
                </c:pt>
                <c:pt idx="154">
                  <c:v>25.0</c:v>
                </c:pt>
                <c:pt idx="155">
                  <c:v>26.0</c:v>
                </c:pt>
                <c:pt idx="156">
                  <c:v>26.0</c:v>
                </c:pt>
                <c:pt idx="157">
                  <c:v>26.0</c:v>
                </c:pt>
                <c:pt idx="158">
                  <c:v>26.0</c:v>
                </c:pt>
                <c:pt idx="159">
                  <c:v>26.0</c:v>
                </c:pt>
                <c:pt idx="160">
                  <c:v>26.0</c:v>
                </c:pt>
                <c:pt idx="161">
                  <c:v>27.0</c:v>
                </c:pt>
                <c:pt idx="162">
                  <c:v>27.0</c:v>
                </c:pt>
                <c:pt idx="163">
                  <c:v>27.0</c:v>
                </c:pt>
                <c:pt idx="164">
                  <c:v>27.0</c:v>
                </c:pt>
                <c:pt idx="165">
                  <c:v>27.0</c:v>
                </c:pt>
                <c:pt idx="166">
                  <c:v>27.0</c:v>
                </c:pt>
                <c:pt idx="167">
                  <c:v>27.0</c:v>
                </c:pt>
                <c:pt idx="168">
                  <c:v>28.0</c:v>
                </c:pt>
                <c:pt idx="169">
                  <c:v>28.0</c:v>
                </c:pt>
                <c:pt idx="170">
                  <c:v>28.0</c:v>
                </c:pt>
                <c:pt idx="171">
                  <c:v>28.0</c:v>
                </c:pt>
                <c:pt idx="172">
                  <c:v>28.0</c:v>
                </c:pt>
                <c:pt idx="173">
                  <c:v>28.0</c:v>
                </c:pt>
                <c:pt idx="174">
                  <c:v>28.0</c:v>
                </c:pt>
                <c:pt idx="175">
                  <c:v>29.0</c:v>
                </c:pt>
                <c:pt idx="176">
                  <c:v>29.0</c:v>
                </c:pt>
                <c:pt idx="177">
                  <c:v>29.0</c:v>
                </c:pt>
                <c:pt idx="178">
                  <c:v>29.0</c:v>
                </c:pt>
                <c:pt idx="179">
                  <c:v>29.0</c:v>
                </c:pt>
                <c:pt idx="180">
                  <c:v>30.0</c:v>
                </c:pt>
                <c:pt idx="181">
                  <c:v>30.0</c:v>
                </c:pt>
                <c:pt idx="182">
                  <c:v>30.0</c:v>
                </c:pt>
                <c:pt idx="183">
                  <c:v>30.0</c:v>
                </c:pt>
                <c:pt idx="184">
                  <c:v>30.0</c:v>
                </c:pt>
                <c:pt idx="185">
                  <c:v>30.0</c:v>
                </c:pt>
                <c:pt idx="186">
                  <c:v>31.0</c:v>
                </c:pt>
                <c:pt idx="187">
                  <c:v>31.0</c:v>
                </c:pt>
                <c:pt idx="188">
                  <c:v>31.0</c:v>
                </c:pt>
                <c:pt idx="189">
                  <c:v>31.0</c:v>
                </c:pt>
                <c:pt idx="190">
                  <c:v>31.0</c:v>
                </c:pt>
                <c:pt idx="191">
                  <c:v>31.0</c:v>
                </c:pt>
                <c:pt idx="192">
                  <c:v>32.0</c:v>
                </c:pt>
                <c:pt idx="193">
                  <c:v>32.0</c:v>
                </c:pt>
                <c:pt idx="194">
                  <c:v>32.0</c:v>
                </c:pt>
                <c:pt idx="195">
                  <c:v>32.0</c:v>
                </c:pt>
                <c:pt idx="196">
                  <c:v>32.0</c:v>
                </c:pt>
                <c:pt idx="197">
                  <c:v>32.0</c:v>
                </c:pt>
                <c:pt idx="198">
                  <c:v>33.0</c:v>
                </c:pt>
                <c:pt idx="199">
                  <c:v>33.0</c:v>
                </c:pt>
                <c:pt idx="200">
                  <c:v>33.0</c:v>
                </c:pt>
                <c:pt idx="201">
                  <c:v>33.0</c:v>
                </c:pt>
                <c:pt idx="202">
                  <c:v>33.0</c:v>
                </c:pt>
                <c:pt idx="203">
                  <c:v>33.0</c:v>
                </c:pt>
                <c:pt idx="204">
                  <c:v>34.0</c:v>
                </c:pt>
                <c:pt idx="205">
                  <c:v>34.0</c:v>
                </c:pt>
                <c:pt idx="206">
                  <c:v>34.0</c:v>
                </c:pt>
                <c:pt idx="207">
                  <c:v>34.0</c:v>
                </c:pt>
                <c:pt idx="208">
                  <c:v>34.0</c:v>
                </c:pt>
                <c:pt idx="209">
                  <c:v>34.0</c:v>
                </c:pt>
                <c:pt idx="210">
                  <c:v>35.0</c:v>
                </c:pt>
                <c:pt idx="211">
                  <c:v>35.0</c:v>
                </c:pt>
                <c:pt idx="212">
                  <c:v>35.0</c:v>
                </c:pt>
                <c:pt idx="213">
                  <c:v>35.0</c:v>
                </c:pt>
                <c:pt idx="214">
                  <c:v>35.0</c:v>
                </c:pt>
                <c:pt idx="215">
                  <c:v>35.0</c:v>
                </c:pt>
                <c:pt idx="216">
                  <c:v>36.0</c:v>
                </c:pt>
                <c:pt idx="217">
                  <c:v>36.0</c:v>
                </c:pt>
                <c:pt idx="218">
                  <c:v>36.0</c:v>
                </c:pt>
                <c:pt idx="219">
                  <c:v>36.0</c:v>
                </c:pt>
                <c:pt idx="220">
                  <c:v>36.0</c:v>
                </c:pt>
                <c:pt idx="221">
                  <c:v>36.0</c:v>
                </c:pt>
                <c:pt idx="222">
                  <c:v>37.0</c:v>
                </c:pt>
                <c:pt idx="223">
                  <c:v>37.0</c:v>
                </c:pt>
                <c:pt idx="224">
                  <c:v>37.0</c:v>
                </c:pt>
                <c:pt idx="225">
                  <c:v>37.0</c:v>
                </c:pt>
                <c:pt idx="226">
                  <c:v>37.0</c:v>
                </c:pt>
                <c:pt idx="227">
                  <c:v>37.0</c:v>
                </c:pt>
                <c:pt idx="228">
                  <c:v>38.0</c:v>
                </c:pt>
                <c:pt idx="229">
                  <c:v>38.0</c:v>
                </c:pt>
                <c:pt idx="230">
                  <c:v>38.0</c:v>
                </c:pt>
                <c:pt idx="231">
                  <c:v>38.0</c:v>
                </c:pt>
                <c:pt idx="232">
                  <c:v>38.0</c:v>
                </c:pt>
                <c:pt idx="233">
                  <c:v>38.0</c:v>
                </c:pt>
                <c:pt idx="234">
                  <c:v>38.0</c:v>
                </c:pt>
                <c:pt idx="235">
                  <c:v>39.0</c:v>
                </c:pt>
                <c:pt idx="236">
                  <c:v>39.0</c:v>
                </c:pt>
                <c:pt idx="237">
                  <c:v>39.0</c:v>
                </c:pt>
                <c:pt idx="238">
                  <c:v>39.0</c:v>
                </c:pt>
                <c:pt idx="239">
                  <c:v>39.0</c:v>
                </c:pt>
                <c:pt idx="240">
                  <c:v>39.0</c:v>
                </c:pt>
                <c:pt idx="241">
                  <c:v>40.0</c:v>
                </c:pt>
                <c:pt idx="242">
                  <c:v>40.0</c:v>
                </c:pt>
                <c:pt idx="243">
                  <c:v>40.0</c:v>
                </c:pt>
                <c:pt idx="244">
                  <c:v>40.0</c:v>
                </c:pt>
                <c:pt idx="245">
                  <c:v>40.0</c:v>
                </c:pt>
                <c:pt idx="246">
                  <c:v>40.0</c:v>
                </c:pt>
                <c:pt idx="247">
                  <c:v>41.0</c:v>
                </c:pt>
                <c:pt idx="248">
                  <c:v>41.0</c:v>
                </c:pt>
                <c:pt idx="249">
                  <c:v>41.0</c:v>
                </c:pt>
                <c:pt idx="250">
                  <c:v>41.0</c:v>
                </c:pt>
                <c:pt idx="251">
                  <c:v>41.0</c:v>
                </c:pt>
                <c:pt idx="252">
                  <c:v>41.0</c:v>
                </c:pt>
                <c:pt idx="253">
                  <c:v>41.0</c:v>
                </c:pt>
                <c:pt idx="254">
                  <c:v>42.0</c:v>
                </c:pt>
                <c:pt idx="255">
                  <c:v>42.0</c:v>
                </c:pt>
                <c:pt idx="256">
                  <c:v>42.0</c:v>
                </c:pt>
                <c:pt idx="257">
                  <c:v>42.0</c:v>
                </c:pt>
                <c:pt idx="258">
                  <c:v>42.0</c:v>
                </c:pt>
                <c:pt idx="259">
                  <c:v>42.0</c:v>
                </c:pt>
                <c:pt idx="260">
                  <c:v>43.0</c:v>
                </c:pt>
                <c:pt idx="261">
                  <c:v>43.0</c:v>
                </c:pt>
                <c:pt idx="262">
                  <c:v>43.0</c:v>
                </c:pt>
                <c:pt idx="263">
                  <c:v>43.0</c:v>
                </c:pt>
                <c:pt idx="264">
                  <c:v>43.0</c:v>
                </c:pt>
                <c:pt idx="265">
                  <c:v>43.0</c:v>
                </c:pt>
                <c:pt idx="266">
                  <c:v>44.0</c:v>
                </c:pt>
                <c:pt idx="267">
                  <c:v>44.0</c:v>
                </c:pt>
                <c:pt idx="268">
                  <c:v>44.0</c:v>
                </c:pt>
                <c:pt idx="269">
                  <c:v>44.0</c:v>
                </c:pt>
                <c:pt idx="270">
                  <c:v>44.0</c:v>
                </c:pt>
                <c:pt idx="271">
                  <c:v>44.0</c:v>
                </c:pt>
                <c:pt idx="272">
                  <c:v>45.0</c:v>
                </c:pt>
                <c:pt idx="273">
                  <c:v>45.0</c:v>
                </c:pt>
                <c:pt idx="274">
                  <c:v>45.0</c:v>
                </c:pt>
                <c:pt idx="275">
                  <c:v>45.0</c:v>
                </c:pt>
                <c:pt idx="276">
                  <c:v>45.0</c:v>
                </c:pt>
                <c:pt idx="277">
                  <c:v>45.0</c:v>
                </c:pt>
                <c:pt idx="278">
                  <c:v>46.0</c:v>
                </c:pt>
                <c:pt idx="279">
                  <c:v>46.0</c:v>
                </c:pt>
                <c:pt idx="280">
                  <c:v>46.0</c:v>
                </c:pt>
                <c:pt idx="281">
                  <c:v>46.0</c:v>
                </c:pt>
                <c:pt idx="282">
                  <c:v>46.0</c:v>
                </c:pt>
                <c:pt idx="283">
                  <c:v>46.0</c:v>
                </c:pt>
                <c:pt idx="284">
                  <c:v>47.0</c:v>
                </c:pt>
                <c:pt idx="285">
                  <c:v>47.0</c:v>
                </c:pt>
                <c:pt idx="286">
                  <c:v>47.0</c:v>
                </c:pt>
                <c:pt idx="287">
                  <c:v>47.0</c:v>
                </c:pt>
                <c:pt idx="288">
                  <c:v>47.0</c:v>
                </c:pt>
                <c:pt idx="289">
                  <c:v>47.0</c:v>
                </c:pt>
                <c:pt idx="290">
                  <c:v>48.0</c:v>
                </c:pt>
                <c:pt idx="291">
                  <c:v>48.0</c:v>
                </c:pt>
                <c:pt idx="292">
                  <c:v>48.0</c:v>
                </c:pt>
                <c:pt idx="293">
                  <c:v>48.0</c:v>
                </c:pt>
                <c:pt idx="294">
                  <c:v>48.0</c:v>
                </c:pt>
                <c:pt idx="295">
                  <c:v>49.0</c:v>
                </c:pt>
                <c:pt idx="296">
                  <c:v>49.0</c:v>
                </c:pt>
                <c:pt idx="297">
                  <c:v>49.0</c:v>
                </c:pt>
                <c:pt idx="298">
                  <c:v>49.0</c:v>
                </c:pt>
              </c:numCache>
            </c:numRef>
          </c:val>
          <c:smooth val="0"/>
        </c:ser>
        <c:ser>
          <c:idx val="3"/>
          <c:order val="3"/>
          <c:tx>
            <c:strRef>
              <c:f>Calculations!$L$1</c:f>
              <c:strCache>
                <c:ptCount val="1"/>
                <c:pt idx="0">
                  <c:v>Generator 4 Count</c:v>
                </c:pt>
              </c:strCache>
            </c:strRef>
          </c:tx>
          <c:spPr>
            <a:ln w="25400" cmpd="sng">
              <a:solidFill>
                <a:srgbClr val="109618"/>
              </a:solidFill>
            </a:ln>
          </c:spPr>
          <c:marker>
            <c:symbol val="none"/>
          </c:marker>
          <c:cat>
            <c:numRef>
              <c:f>Calculations!$A$2:$A$300</c:f>
              <c:numCache>
                <c:formatCode>0.00</c:formatCode>
                <c:ptCount val="299"/>
                <c:pt idx="0">
                  <c:v>0.0</c:v>
                </c:pt>
                <c:pt idx="1">
                  <c:v>0.0457045908183633</c:v>
                </c:pt>
                <c:pt idx="2">
                  <c:v>0.0701565469061876</c:v>
                </c:pt>
                <c:pt idx="3">
                  <c:v>0.0875989422488357</c:v>
                </c:pt>
                <c:pt idx="4">
                  <c:v>0.101596464511311</c:v>
                </c:pt>
                <c:pt idx="5">
                  <c:v>0.113578343567989</c:v>
                </c:pt>
                <c:pt idx="6">
                  <c:v>0.124262185726861</c:v>
                </c:pt>
                <c:pt idx="7">
                  <c:v>0.134060795249712</c:v>
                </c:pt>
                <c:pt idx="8">
                  <c:v>0.143234743415481</c:v>
                </c:pt>
                <c:pt idx="9">
                  <c:v>0.151960187448702</c:v>
                </c:pt>
                <c:pt idx="10">
                  <c:v>0.160362790052693</c:v>
                </c:pt>
                <c:pt idx="11">
                  <c:v>0.168536230767485</c:v>
                </c:pt>
                <c:pt idx="12">
                  <c:v>0.176553013868576</c:v>
                </c:pt>
                <c:pt idx="13">
                  <c:v>0.22952399498327</c:v>
                </c:pt>
                <c:pt idx="14">
                  <c:v>0.261231019677588</c:v>
                </c:pt>
                <c:pt idx="15">
                  <c:v>0.285876539042359</c:v>
                </c:pt>
                <c:pt idx="16">
                  <c:v>0.28798034857216</c:v>
                </c:pt>
                <c:pt idx="17">
                  <c:v>0.308956676828337</c:v>
                </c:pt>
                <c:pt idx="18">
                  <c:v>0.310735893659906</c:v>
                </c:pt>
                <c:pt idx="19">
                  <c:v>0.329882558938345</c:v>
                </c:pt>
                <c:pt idx="20">
                  <c:v>0.331456416727798</c:v>
                </c:pt>
                <c:pt idx="21">
                  <c:v>0.333118251329526</c:v>
                </c:pt>
                <c:pt idx="22">
                  <c:v>0.351134146380737</c:v>
                </c:pt>
                <c:pt idx="23">
                  <c:v>0.352652636968932</c:v>
                </c:pt>
                <c:pt idx="24">
                  <c:v>0.354259339858902</c:v>
                </c:pt>
                <c:pt idx="25">
                  <c:v>0.371790611726487</c:v>
                </c:pt>
                <c:pt idx="26">
                  <c:v>0.373292847586068</c:v>
                </c:pt>
                <c:pt idx="27">
                  <c:v>0.374884759302661</c:v>
                </c:pt>
                <c:pt idx="28">
                  <c:v>0.392357900689187</c:v>
                </c:pt>
                <c:pt idx="29">
                  <c:v>0.393872024419506</c:v>
                </c:pt>
                <c:pt idx="30">
                  <c:v>0.395478384713287</c:v>
                </c:pt>
                <c:pt idx="31">
                  <c:v>0.413208722357156</c:v>
                </c:pt>
                <c:pt idx="32">
                  <c:v>0.414756993026504</c:v>
                </c:pt>
                <c:pt idx="33">
                  <c:v>0.476916207857475</c:v>
                </c:pt>
                <c:pt idx="34">
                  <c:v>0.489963027180578</c:v>
                </c:pt>
                <c:pt idx="35">
                  <c:v>0.491059212477097</c:v>
                </c:pt>
                <c:pt idx="36">
                  <c:v>0.538068104715228</c:v>
                </c:pt>
                <c:pt idx="37">
                  <c:v>0.538986081862026</c:v>
                </c:pt>
                <c:pt idx="38">
                  <c:v>0.580974008743137</c:v>
                </c:pt>
                <c:pt idx="39">
                  <c:v>0.590035578989843</c:v>
                </c:pt>
                <c:pt idx="40">
                  <c:v>0.590812186244874</c:v>
                </c:pt>
                <c:pt idx="41">
                  <c:v>0.628689032980937</c:v>
                </c:pt>
                <c:pt idx="42">
                  <c:v>0.629398140294951</c:v>
                </c:pt>
                <c:pt idx="43">
                  <c:v>0.637934502068953</c:v>
                </c:pt>
                <c:pt idx="44">
                  <c:v>0.638667824790335</c:v>
                </c:pt>
                <c:pt idx="45">
                  <c:v>0.67430000557901</c:v>
                </c:pt>
                <c:pt idx="46">
                  <c:v>0.674987252399305</c:v>
                </c:pt>
                <c:pt idx="47">
                  <c:v>0.683300706826132</c:v>
                </c:pt>
                <c:pt idx="48">
                  <c:v>0.68401509641484</c:v>
                </c:pt>
                <c:pt idx="49">
                  <c:v>0.718592031037143</c:v>
                </c:pt>
                <c:pt idx="50">
                  <c:v>0.719274161252134</c:v>
                </c:pt>
                <c:pt idx="51">
                  <c:v>0.727564967594102</c:v>
                </c:pt>
                <c:pt idx="52">
                  <c:v>0.761943088009293</c:v>
                </c:pt>
                <c:pt idx="53">
                  <c:v>0.762588368791644</c:v>
                </c:pt>
                <c:pt idx="54">
                  <c:v>0.76327762449217</c:v>
                </c:pt>
                <c:pt idx="55">
                  <c:v>0.771694287672172</c:v>
                </c:pt>
                <c:pt idx="56">
                  <c:v>0.806383921698811</c:v>
                </c:pt>
                <c:pt idx="57">
                  <c:v>0.807044940754676</c:v>
                </c:pt>
                <c:pt idx="58">
                  <c:v>0.807751135892052</c:v>
                </c:pt>
                <c:pt idx="59">
                  <c:v>0.84387988293301</c:v>
                </c:pt>
                <c:pt idx="60">
                  <c:v>0.851877029271451</c:v>
                </c:pt>
                <c:pt idx="61">
                  <c:v>0.852561756757852</c:v>
                </c:pt>
                <c:pt idx="62">
                  <c:v>0.853293388528083</c:v>
                </c:pt>
                <c:pt idx="63">
                  <c:v>0.890568752402384</c:v>
                </c:pt>
                <c:pt idx="64">
                  <c:v>0.898953325357183</c:v>
                </c:pt>
                <c:pt idx="65">
                  <c:v>0.899669103384407</c:v>
                </c:pt>
                <c:pt idx="66">
                  <c:v>1.024346338602355</c:v>
                </c:pt>
                <c:pt idx="67">
                  <c:v>1.054803292460097</c:v>
                </c:pt>
                <c:pt idx="68">
                  <c:v>1.055372080634922</c:v>
                </c:pt>
                <c:pt idx="69">
                  <c:v>1.160036015061151</c:v>
                </c:pt>
                <c:pt idx="70">
                  <c:v>1.165882317784721</c:v>
                </c:pt>
                <c:pt idx="71">
                  <c:v>1.166382213887552</c:v>
                </c:pt>
                <c:pt idx="72">
                  <c:v>1.193417831800331</c:v>
                </c:pt>
                <c:pt idx="73">
                  <c:v>1.28665541992133</c:v>
                </c:pt>
                <c:pt idx="74">
                  <c:v>1.287096974373189</c:v>
                </c:pt>
                <c:pt idx="75">
                  <c:v>1.292591569895455</c:v>
                </c:pt>
                <c:pt idx="76">
                  <c:v>1.293060110657118</c:v>
                </c:pt>
                <c:pt idx="77">
                  <c:v>1.38295493449193</c:v>
                </c:pt>
                <c:pt idx="78">
                  <c:v>1.40513298017293</c:v>
                </c:pt>
                <c:pt idx="79">
                  <c:v>1.405560362659924</c:v>
                </c:pt>
                <c:pt idx="80">
                  <c:v>1.492164703415927</c:v>
                </c:pt>
                <c:pt idx="81">
                  <c:v>1.49694537612117</c:v>
                </c:pt>
                <c:pt idx="82">
                  <c:v>1.497351989039084</c:v>
                </c:pt>
                <c:pt idx="83">
                  <c:v>1.519161254019183</c:v>
                </c:pt>
                <c:pt idx="84">
                  <c:v>1.519585047887087</c:v>
                </c:pt>
                <c:pt idx="85">
                  <c:v>1.604350756171844</c:v>
                </c:pt>
                <c:pt idx="86">
                  <c:v>1.609180724710778</c:v>
                </c:pt>
                <c:pt idx="87">
                  <c:v>1.609589997318293</c:v>
                </c:pt>
                <c:pt idx="88">
                  <c:v>1.631449248137016</c:v>
                </c:pt>
                <c:pt idx="89">
                  <c:v>1.715963663586359</c:v>
                </c:pt>
                <c:pt idx="90">
                  <c:v>1.716356307368074</c:v>
                </c:pt>
                <c:pt idx="91">
                  <c:v>1.721309157081167</c:v>
                </c:pt>
                <c:pt idx="92">
                  <c:v>1.721727212155325</c:v>
                </c:pt>
                <c:pt idx="93">
                  <c:v>1.743960994324569</c:v>
                </c:pt>
                <c:pt idx="94">
                  <c:v>1.829376095695778</c:v>
                </c:pt>
                <c:pt idx="95">
                  <c:v>1.829781686489108</c:v>
                </c:pt>
                <c:pt idx="96">
                  <c:v>1.834920833295653</c:v>
                </c:pt>
                <c:pt idx="97">
                  <c:v>1.835352881776753</c:v>
                </c:pt>
                <c:pt idx="98">
                  <c:v>1.858233391678885</c:v>
                </c:pt>
                <c:pt idx="99">
                  <c:v>2.248807277135892</c:v>
                </c:pt>
                <c:pt idx="100">
                  <c:v>2.3096044245083</c:v>
                </c:pt>
                <c:pt idx="101">
                  <c:v>2.599578190991203</c:v>
                </c:pt>
                <c:pt idx="102">
                  <c:v>2.599811539913223</c:v>
                </c:pt>
                <c:pt idx="103">
                  <c:v>2.851731835777843</c:v>
                </c:pt>
                <c:pt idx="104">
                  <c:v>2.893168161450549</c:v>
                </c:pt>
                <c:pt idx="105">
                  <c:v>2.903606896369412</c:v>
                </c:pt>
                <c:pt idx="106">
                  <c:v>2.905944248387656</c:v>
                </c:pt>
                <c:pt idx="107">
                  <c:v>2.906140365846618</c:v>
                </c:pt>
                <c:pt idx="108">
                  <c:v>3.127768049573493</c:v>
                </c:pt>
                <c:pt idx="109">
                  <c:v>3.127946456310891</c:v>
                </c:pt>
                <c:pt idx="110">
                  <c:v>3.166224842698874</c:v>
                </c:pt>
                <c:pt idx="111">
                  <c:v>3.372126760631556</c:v>
                </c:pt>
                <c:pt idx="112">
                  <c:v>3.380661673797114</c:v>
                </c:pt>
                <c:pt idx="113">
                  <c:v>3.382593516806976</c:v>
                </c:pt>
                <c:pt idx="114">
                  <c:v>3.382754964894407</c:v>
                </c:pt>
                <c:pt idx="115">
                  <c:v>3.382927697439383</c:v>
                </c:pt>
                <c:pt idx="116">
                  <c:v>3.419506980402546</c:v>
                </c:pt>
                <c:pt idx="117">
                  <c:v>3.615263383241809</c:v>
                </c:pt>
                <c:pt idx="118">
                  <c:v>3.623684845699133</c:v>
                </c:pt>
                <c:pt idx="119">
                  <c:v>3.623845134063725</c:v>
                </c:pt>
                <c:pt idx="120">
                  <c:v>3.625769221989318</c:v>
                </c:pt>
                <c:pt idx="121">
                  <c:v>3.819728126269892</c:v>
                </c:pt>
                <c:pt idx="122">
                  <c:v>3.852000259290158</c:v>
                </c:pt>
                <c:pt idx="123">
                  <c:v>3.852152145314577</c:v>
                </c:pt>
                <c:pt idx="124">
                  <c:v>3.860614679689236</c:v>
                </c:pt>
                <c:pt idx="125">
                  <c:v>3.860776529867754</c:v>
                </c:pt>
                <c:pt idx="126">
                  <c:v>4.052562558289951</c:v>
                </c:pt>
                <c:pt idx="127">
                  <c:v>4.05434179532788</c:v>
                </c:pt>
                <c:pt idx="128">
                  <c:v>4.086887822660488</c:v>
                </c:pt>
                <c:pt idx="129">
                  <c:v>4.08704328840121</c:v>
                </c:pt>
                <c:pt idx="130">
                  <c:v>4.095668268210208</c:v>
                </c:pt>
                <c:pt idx="131">
                  <c:v>4.287803058343162</c:v>
                </c:pt>
                <c:pt idx="132">
                  <c:v>4.287955585327497</c:v>
                </c:pt>
                <c:pt idx="133">
                  <c:v>4.289802897415763</c:v>
                </c:pt>
                <c:pt idx="134">
                  <c:v>4.323009123033259</c:v>
                </c:pt>
                <c:pt idx="135">
                  <c:v>4.323170060320479</c:v>
                </c:pt>
                <c:pt idx="136">
                  <c:v>4.51844714995372</c:v>
                </c:pt>
                <c:pt idx="137">
                  <c:v>4.526689722180401</c:v>
                </c:pt>
                <c:pt idx="138">
                  <c:v>4.526848884447588</c:v>
                </c:pt>
                <c:pt idx="139">
                  <c:v>4.561074130405458</c:v>
                </c:pt>
                <c:pt idx="140">
                  <c:v>4.562987240627166</c:v>
                </c:pt>
                <c:pt idx="141">
                  <c:v>4.762585197556606</c:v>
                </c:pt>
                <c:pt idx="142">
                  <c:v>4.762742089786666</c:v>
                </c:pt>
                <c:pt idx="143">
                  <c:v>4.771371997083626</c:v>
                </c:pt>
                <c:pt idx="144">
                  <c:v>4.806901995950386</c:v>
                </c:pt>
                <c:pt idx="145">
                  <c:v>4.807067553765542</c:v>
                </c:pt>
                <c:pt idx="146">
                  <c:v>4.80909061228652</c:v>
                </c:pt>
                <c:pt idx="147">
                  <c:v>5.014664493118532</c:v>
                </c:pt>
                <c:pt idx="148">
                  <c:v>5.014830568882267</c:v>
                </c:pt>
                <c:pt idx="149">
                  <c:v>5.023926558244352</c:v>
                </c:pt>
                <c:pt idx="150">
                  <c:v>5.061054741638178</c:v>
                </c:pt>
                <c:pt idx="151">
                  <c:v>5.274291992337854</c:v>
                </c:pt>
                <c:pt idx="152">
                  <c:v>5.274457324166646</c:v>
                </c:pt>
                <c:pt idx="153">
                  <c:v>5.276486633930902</c:v>
                </c:pt>
                <c:pt idx="154">
                  <c:v>5.27666343687424</c:v>
                </c:pt>
                <c:pt idx="155">
                  <c:v>5.286305543491534</c:v>
                </c:pt>
                <c:pt idx="156">
                  <c:v>5.325324676501864</c:v>
                </c:pt>
                <c:pt idx="157">
                  <c:v>5.547597346621957</c:v>
                </c:pt>
                <c:pt idx="158">
                  <c:v>5.547774221170966</c:v>
                </c:pt>
                <c:pt idx="159">
                  <c:v>5.549954885269088</c:v>
                </c:pt>
                <c:pt idx="160">
                  <c:v>5.55014403895441</c:v>
                </c:pt>
                <c:pt idx="161">
                  <c:v>5.560415584779911</c:v>
                </c:pt>
                <c:pt idx="162">
                  <c:v>5.795306317167956</c:v>
                </c:pt>
                <c:pt idx="163">
                  <c:v>5.834416519377407</c:v>
                </c:pt>
                <c:pt idx="164">
                  <c:v>5.834606559864333</c:v>
                </c:pt>
                <c:pt idx="165">
                  <c:v>5.836959988097032</c:v>
                </c:pt>
                <c:pt idx="166">
                  <c:v>6.084417920652025</c:v>
                </c:pt>
                <c:pt idx="167">
                  <c:v>6.084611398682165</c:v>
                </c:pt>
                <c:pt idx="168">
                  <c:v>6.095072848547749</c:v>
                </c:pt>
                <c:pt idx="169">
                  <c:v>6.136684629600752</c:v>
                </c:pt>
                <c:pt idx="170">
                  <c:v>6.136889592420537</c:v>
                </c:pt>
                <c:pt idx="171">
                  <c:v>6.39809654420165</c:v>
                </c:pt>
                <c:pt idx="172">
                  <c:v>6.400530343159615</c:v>
                </c:pt>
                <c:pt idx="173">
                  <c:v>6.445040986333715</c:v>
                </c:pt>
                <c:pt idx="174">
                  <c:v>6.445248674532503</c:v>
                </c:pt>
                <c:pt idx="175">
                  <c:v>6.456430439087438</c:v>
                </c:pt>
                <c:pt idx="176">
                  <c:v>6.456652241527281</c:v>
                </c:pt>
                <c:pt idx="177">
                  <c:v>6.733172723551557</c:v>
                </c:pt>
                <c:pt idx="178">
                  <c:v>6.735824816758749</c:v>
                </c:pt>
                <c:pt idx="179">
                  <c:v>6.783485265196243</c:v>
                </c:pt>
                <c:pt idx="180">
                  <c:v>6.795569441141608</c:v>
                </c:pt>
                <c:pt idx="181">
                  <c:v>6.79579444722084</c:v>
                </c:pt>
                <c:pt idx="182">
                  <c:v>7.089417579205438</c:v>
                </c:pt>
                <c:pt idx="183">
                  <c:v>7.089648487716922</c:v>
                </c:pt>
                <c:pt idx="184">
                  <c:v>7.14084162329306</c:v>
                </c:pt>
                <c:pt idx="185">
                  <c:v>7.143719952749558</c:v>
                </c:pt>
                <c:pt idx="186">
                  <c:v>7.156814385072859</c:v>
                </c:pt>
                <c:pt idx="187">
                  <c:v>7.157059271516557</c:v>
                </c:pt>
                <c:pt idx="188">
                  <c:v>7.469675797864686</c:v>
                </c:pt>
                <c:pt idx="189">
                  <c:v>7.469927616978012</c:v>
                </c:pt>
                <c:pt idx="190">
                  <c:v>7.525030207806266</c:v>
                </c:pt>
                <c:pt idx="191">
                  <c:v>7.528184193166839</c:v>
                </c:pt>
                <c:pt idx="192">
                  <c:v>7.542408154156703</c:v>
                </c:pt>
                <c:pt idx="193">
                  <c:v>7.542675329197347</c:v>
                </c:pt>
                <c:pt idx="194">
                  <c:v>7.876327673300328</c:v>
                </c:pt>
                <c:pt idx="195">
                  <c:v>7.876602916725514</c:v>
                </c:pt>
                <c:pt idx="196">
                  <c:v>7.936047428270957</c:v>
                </c:pt>
                <c:pt idx="197">
                  <c:v>8.293623131249681</c:v>
                </c:pt>
                <c:pt idx="198">
                  <c:v>8.3085619419613</c:v>
                </c:pt>
                <c:pt idx="199">
                  <c:v>8.311897346220268</c:v>
                </c:pt>
                <c:pt idx="200">
                  <c:v>8.31217909759541</c:v>
                </c:pt>
                <c:pt idx="201">
                  <c:v>8.376441367225522</c:v>
                </c:pt>
                <c:pt idx="202">
                  <c:v>8.376741056880916</c:v>
                </c:pt>
                <c:pt idx="203">
                  <c:v>8.759967840641424</c:v>
                </c:pt>
                <c:pt idx="204">
                  <c:v>8.776289259049617</c:v>
                </c:pt>
                <c:pt idx="205">
                  <c:v>8.779965552181881</c:v>
                </c:pt>
                <c:pt idx="206">
                  <c:v>8.78027472646065</c:v>
                </c:pt>
                <c:pt idx="207">
                  <c:v>8.849874007946265</c:v>
                </c:pt>
                <c:pt idx="208">
                  <c:v>9.261366878683892</c:v>
                </c:pt>
                <c:pt idx="209">
                  <c:v>9.261685036490788</c:v>
                </c:pt>
                <c:pt idx="210">
                  <c:v>9.279547969829527</c:v>
                </c:pt>
                <c:pt idx="211">
                  <c:v>9.283607003487947</c:v>
                </c:pt>
                <c:pt idx="212">
                  <c:v>9.283946856450294</c:v>
                </c:pt>
                <c:pt idx="213">
                  <c:v>9.359456740647578</c:v>
                </c:pt>
                <c:pt idx="214">
                  <c:v>9.80204389040193</c:v>
                </c:pt>
                <c:pt idx="215">
                  <c:v>9.802394152969863</c:v>
                </c:pt>
                <c:pt idx="216">
                  <c:v>9.82197545829894</c:v>
                </c:pt>
                <c:pt idx="217">
                  <c:v>9.822349738612393</c:v>
                </c:pt>
                <c:pt idx="218">
                  <c:v>9.826838398436024</c:v>
                </c:pt>
                <c:pt idx="219">
                  <c:v>10.30612028724858</c:v>
                </c:pt>
                <c:pt idx="220">
                  <c:v>10.38567022564245</c:v>
                </c:pt>
                <c:pt idx="221">
                  <c:v>10.3860564027632</c:v>
                </c:pt>
                <c:pt idx="222">
                  <c:v>10.40755311979724</c:v>
                </c:pt>
                <c:pt idx="223">
                  <c:v>10.92467496185405</c:v>
                </c:pt>
                <c:pt idx="224">
                  <c:v>10.92507549868407</c:v>
                </c:pt>
                <c:pt idx="225">
                  <c:v>10.92990045227178</c:v>
                </c:pt>
                <c:pt idx="226">
                  <c:v>11.01656865645421</c:v>
                </c:pt>
                <c:pt idx="227">
                  <c:v>11.01699501442156</c:v>
                </c:pt>
                <c:pt idx="228">
                  <c:v>11.04062686011515</c:v>
                </c:pt>
                <c:pt idx="229">
                  <c:v>11.59916280507656</c:v>
                </c:pt>
                <c:pt idx="230">
                  <c:v>11.69373472707476</c:v>
                </c:pt>
                <c:pt idx="231">
                  <c:v>11.69417533762453</c:v>
                </c:pt>
                <c:pt idx="232">
                  <c:v>11.69950667599395</c:v>
                </c:pt>
                <c:pt idx="233">
                  <c:v>11.69997799561864</c:v>
                </c:pt>
                <c:pt idx="234">
                  <c:v>12.30472310417765</c:v>
                </c:pt>
                <c:pt idx="235">
                  <c:v>12.33002038354829</c:v>
                </c:pt>
                <c:pt idx="236">
                  <c:v>12.43331019077347</c:v>
                </c:pt>
                <c:pt idx="237">
                  <c:v>12.43379784022079</c:v>
                </c:pt>
                <c:pt idx="238">
                  <c:v>12.43972463231977</c:v>
                </c:pt>
                <c:pt idx="239">
                  <c:v>13.09449537764145</c:v>
                </c:pt>
                <c:pt idx="240">
                  <c:v>13.09500314796426</c:v>
                </c:pt>
                <c:pt idx="241">
                  <c:v>13.12290712231683</c:v>
                </c:pt>
                <c:pt idx="242">
                  <c:v>13.23584494490155</c:v>
                </c:pt>
                <c:pt idx="243">
                  <c:v>13.23638525470523</c:v>
                </c:pt>
                <c:pt idx="244">
                  <c:v>13.24298132667199</c:v>
                </c:pt>
                <c:pt idx="245">
                  <c:v>13.95268766412485</c:v>
                </c:pt>
                <c:pt idx="246">
                  <c:v>13.95325075522229</c:v>
                </c:pt>
                <c:pt idx="247">
                  <c:v>13.98406240743296</c:v>
                </c:pt>
                <c:pt idx="248">
                  <c:v>14.10767907132833</c:v>
                </c:pt>
                <c:pt idx="249">
                  <c:v>14.10827835109381</c:v>
                </c:pt>
                <c:pt idx="250">
                  <c:v>14.8785120600923</c:v>
                </c:pt>
                <c:pt idx="251">
                  <c:v>14.88567707033168</c:v>
                </c:pt>
                <c:pt idx="252">
                  <c:v>14.88630212565325</c:v>
                </c:pt>
                <c:pt idx="253">
                  <c:v>15.02188155372447</c:v>
                </c:pt>
                <c:pt idx="254">
                  <c:v>15.05579629649633</c:v>
                </c:pt>
                <c:pt idx="255">
                  <c:v>15.8923469177702</c:v>
                </c:pt>
                <c:pt idx="256">
                  <c:v>15.89299612422102</c:v>
                </c:pt>
                <c:pt idx="257">
                  <c:v>15.90099237993872</c:v>
                </c:pt>
                <c:pt idx="258">
                  <c:v>16.04967342755192</c:v>
                </c:pt>
                <c:pt idx="259">
                  <c:v>16.05036511570651</c:v>
                </c:pt>
                <c:pt idx="260">
                  <c:v>16.08789021066947</c:v>
                </c:pt>
                <c:pt idx="261">
                  <c:v>16.9972838219808</c:v>
                </c:pt>
                <c:pt idx="262">
                  <c:v>16.99800576284546</c:v>
                </c:pt>
                <c:pt idx="263">
                  <c:v>17.00693750118405</c:v>
                </c:pt>
                <c:pt idx="264">
                  <c:v>17.17012554272359</c:v>
                </c:pt>
                <c:pt idx="265">
                  <c:v>17.1708948189483</c:v>
                </c:pt>
                <c:pt idx="266">
                  <c:v>17.2124505856694</c:v>
                </c:pt>
                <c:pt idx="267">
                  <c:v>18.2018850707511</c:v>
                </c:pt>
                <c:pt idx="268">
                  <c:v>18.20268855693827</c:v>
                </c:pt>
                <c:pt idx="269">
                  <c:v>18.21267344699203</c:v>
                </c:pt>
                <c:pt idx="270">
                  <c:v>18.39193158057078</c:v>
                </c:pt>
                <c:pt idx="271">
                  <c:v>19.47037277408033</c:v>
                </c:pt>
                <c:pt idx="272">
                  <c:v>19.5154040726904</c:v>
                </c:pt>
                <c:pt idx="273">
                  <c:v>19.51624047878288</c:v>
                </c:pt>
                <c:pt idx="274">
                  <c:v>19.5171354178947</c:v>
                </c:pt>
                <c:pt idx="275">
                  <c:v>19.71424015768804</c:v>
                </c:pt>
                <c:pt idx="276">
                  <c:v>20.88967537546975</c:v>
                </c:pt>
                <c:pt idx="277">
                  <c:v>20.90056344829242</c:v>
                </c:pt>
                <c:pt idx="278">
                  <c:v>20.95054113425799</c:v>
                </c:pt>
                <c:pt idx="279">
                  <c:v>20.95147342682852</c:v>
                </c:pt>
                <c:pt idx="280">
                  <c:v>20.95247096315943</c:v>
                </c:pt>
                <c:pt idx="281">
                  <c:v>21.16931295451521</c:v>
                </c:pt>
                <c:pt idx="282">
                  <c:v>22.45113293277799</c:v>
                </c:pt>
                <c:pt idx="283">
                  <c:v>22.46333146122701</c:v>
                </c:pt>
                <c:pt idx="284">
                  <c:v>22.51883770394312</c:v>
                </c:pt>
                <c:pt idx="285">
                  <c:v>22.51987760189758</c:v>
                </c:pt>
                <c:pt idx="286">
                  <c:v>23.92362752643949</c:v>
                </c:pt>
                <c:pt idx="287">
                  <c:v>24.15741616305261</c:v>
                </c:pt>
                <c:pt idx="288">
                  <c:v>24.15850207855438</c:v>
                </c:pt>
                <c:pt idx="289">
                  <c:v>24.17217787172224</c:v>
                </c:pt>
                <c:pt idx="290">
                  <c:v>24.23386521377577</c:v>
                </c:pt>
                <c:pt idx="291">
                  <c:v>24.2350259064885</c:v>
                </c:pt>
                <c:pt idx="292">
                  <c:v>25.76776037873407</c:v>
                </c:pt>
                <c:pt idx="293">
                  <c:v>26.02544383661646</c:v>
                </c:pt>
                <c:pt idx="294">
                  <c:v>26.02665662487436</c:v>
                </c:pt>
                <c:pt idx="295">
                  <c:v>26.0952694579444</c:v>
                </c:pt>
                <c:pt idx="296">
                  <c:v>26.11059826081573</c:v>
                </c:pt>
                <c:pt idx="297">
                  <c:v>26.1118945966945</c:v>
                </c:pt>
                <c:pt idx="298">
                  <c:v>27.78652065603071</c:v>
                </c:pt>
              </c:numCache>
            </c:numRef>
          </c:cat>
          <c:val>
            <c:numRef>
              <c:f>Calculations!$L$2:$L$300</c:f>
              <c:numCache>
                <c:formatCode>0</c:formatCode>
                <c:ptCount val="299"/>
                <c:pt idx="0">
                  <c:v>0.0</c:v>
                </c:pt>
                <c:pt idx="1">
                  <c:v>0.0</c:v>
                </c:pt>
                <c:pt idx="2">
                  <c:v>0.0</c:v>
                </c:pt>
                <c:pt idx="3">
                  <c:v>0.0</c:v>
                </c:pt>
                <c:pt idx="4">
                  <c:v>0.0</c:v>
                </c:pt>
                <c:pt idx="5">
                  <c:v>0.0</c:v>
                </c:pt>
                <c:pt idx="6">
                  <c:v>0.0</c:v>
                </c:pt>
                <c:pt idx="7">
                  <c:v>0.0</c:v>
                </c:pt>
                <c:pt idx="8">
                  <c:v>0.0</c:v>
                </c:pt>
                <c:pt idx="9">
                  <c:v>0.0</c:v>
                </c:pt>
                <c:pt idx="10">
                  <c:v>0.0</c:v>
                </c:pt>
                <c:pt idx="11">
                  <c:v>0.0</c:v>
                </c:pt>
                <c:pt idx="12">
                  <c:v>0.0</c:v>
                </c:pt>
                <c:pt idx="13">
                  <c:v>0.0</c:v>
                </c:pt>
                <c:pt idx="14">
                  <c:v>0.0</c:v>
                </c:pt>
                <c:pt idx="15">
                  <c:v>0.0</c:v>
                </c:pt>
                <c:pt idx="16">
                  <c:v>0.0</c:v>
                </c:pt>
                <c:pt idx="17">
                  <c:v>0.0</c:v>
                </c:pt>
                <c:pt idx="18">
                  <c:v>0.0</c:v>
                </c:pt>
                <c:pt idx="19">
                  <c:v>0.0</c:v>
                </c:pt>
                <c:pt idx="20">
                  <c:v>0.0</c:v>
                </c:pt>
                <c:pt idx="21">
                  <c:v>0.0</c:v>
                </c:pt>
                <c:pt idx="22">
                  <c:v>0.0</c:v>
                </c:pt>
                <c:pt idx="23">
                  <c:v>0.0</c:v>
                </c:pt>
                <c:pt idx="24">
                  <c:v>0.0</c:v>
                </c:pt>
                <c:pt idx="25">
                  <c:v>0.0</c:v>
                </c:pt>
                <c:pt idx="26">
                  <c:v>0.0</c:v>
                </c:pt>
                <c:pt idx="27">
                  <c:v>0.0</c:v>
                </c:pt>
                <c:pt idx="28">
                  <c:v>0.0</c:v>
                </c:pt>
                <c:pt idx="29">
                  <c:v>0.0</c:v>
                </c:pt>
                <c:pt idx="30">
                  <c:v>0.0</c:v>
                </c:pt>
                <c:pt idx="31">
                  <c:v>0.0</c:v>
                </c:pt>
                <c:pt idx="32">
                  <c:v>0.0</c:v>
                </c:pt>
                <c:pt idx="33">
                  <c:v>0.0</c:v>
                </c:pt>
                <c:pt idx="34">
                  <c:v>0.0</c:v>
                </c:pt>
                <c:pt idx="35">
                  <c:v>0.0</c:v>
                </c:pt>
                <c:pt idx="36">
                  <c:v>0.0</c:v>
                </c:pt>
                <c:pt idx="37">
                  <c:v>0.0</c:v>
                </c:pt>
                <c:pt idx="38">
                  <c:v>0.0</c:v>
                </c:pt>
                <c:pt idx="39">
                  <c:v>0.0</c:v>
                </c:pt>
                <c:pt idx="40">
                  <c:v>0.0</c:v>
                </c:pt>
                <c:pt idx="41">
                  <c:v>0.0</c:v>
                </c:pt>
                <c:pt idx="42">
                  <c:v>0.0</c:v>
                </c:pt>
                <c:pt idx="43">
                  <c:v>0.0</c:v>
                </c:pt>
                <c:pt idx="44">
                  <c:v>0.0</c:v>
                </c:pt>
                <c:pt idx="45">
                  <c:v>0.0</c:v>
                </c:pt>
                <c:pt idx="46">
                  <c:v>0.0</c:v>
                </c:pt>
                <c:pt idx="47">
                  <c:v>0.0</c:v>
                </c:pt>
                <c:pt idx="48">
                  <c:v>0.0</c:v>
                </c:pt>
                <c:pt idx="49">
                  <c:v>0.0</c:v>
                </c:pt>
                <c:pt idx="50">
                  <c:v>0.0</c:v>
                </c:pt>
                <c:pt idx="51">
                  <c:v>0.0</c:v>
                </c:pt>
                <c:pt idx="52">
                  <c:v>0.0</c:v>
                </c:pt>
                <c:pt idx="53">
                  <c:v>0.0</c:v>
                </c:pt>
                <c:pt idx="54">
                  <c:v>0.0</c:v>
                </c:pt>
                <c:pt idx="55">
                  <c:v>0.0</c:v>
                </c:pt>
                <c:pt idx="56">
                  <c:v>0.0</c:v>
                </c:pt>
                <c:pt idx="57">
                  <c:v>0.0</c:v>
                </c:pt>
                <c:pt idx="58">
                  <c:v>0.0</c:v>
                </c:pt>
                <c:pt idx="59">
                  <c:v>0.0</c:v>
                </c:pt>
                <c:pt idx="60">
                  <c:v>0.0</c:v>
                </c:pt>
                <c:pt idx="61">
                  <c:v>0.0</c:v>
                </c:pt>
                <c:pt idx="62">
                  <c:v>0.0</c:v>
                </c:pt>
                <c:pt idx="63">
                  <c:v>0.0</c:v>
                </c:pt>
                <c:pt idx="64">
                  <c:v>0.0</c:v>
                </c:pt>
                <c:pt idx="65">
                  <c:v>0.0</c:v>
                </c:pt>
                <c:pt idx="66">
                  <c:v>1.0</c:v>
                </c:pt>
                <c:pt idx="67">
                  <c:v>1.0</c:v>
                </c:pt>
                <c:pt idx="68">
                  <c:v>1.0</c:v>
                </c:pt>
                <c:pt idx="69">
                  <c:v>2.0</c:v>
                </c:pt>
                <c:pt idx="70">
                  <c:v>2.0</c:v>
                </c:pt>
                <c:pt idx="71">
                  <c:v>2.0</c:v>
                </c:pt>
                <c:pt idx="72">
                  <c:v>2.0</c:v>
                </c:pt>
                <c:pt idx="73">
                  <c:v>3.0</c:v>
                </c:pt>
                <c:pt idx="74">
                  <c:v>3.0</c:v>
                </c:pt>
                <c:pt idx="75">
                  <c:v>3.0</c:v>
                </c:pt>
                <c:pt idx="76">
                  <c:v>3.0</c:v>
                </c:pt>
                <c:pt idx="77">
                  <c:v>4.0</c:v>
                </c:pt>
                <c:pt idx="78">
                  <c:v>4.0</c:v>
                </c:pt>
                <c:pt idx="79">
                  <c:v>4.0</c:v>
                </c:pt>
                <c:pt idx="80">
                  <c:v>5.0</c:v>
                </c:pt>
                <c:pt idx="81">
                  <c:v>5.0</c:v>
                </c:pt>
                <c:pt idx="82">
                  <c:v>5.0</c:v>
                </c:pt>
                <c:pt idx="83">
                  <c:v>5.0</c:v>
                </c:pt>
                <c:pt idx="84">
                  <c:v>5.0</c:v>
                </c:pt>
                <c:pt idx="85">
                  <c:v>6.0</c:v>
                </c:pt>
                <c:pt idx="86">
                  <c:v>6.0</c:v>
                </c:pt>
                <c:pt idx="87">
                  <c:v>6.0</c:v>
                </c:pt>
                <c:pt idx="88">
                  <c:v>6.0</c:v>
                </c:pt>
                <c:pt idx="89">
                  <c:v>7.0</c:v>
                </c:pt>
                <c:pt idx="90">
                  <c:v>7.0</c:v>
                </c:pt>
                <c:pt idx="91">
                  <c:v>7.0</c:v>
                </c:pt>
                <c:pt idx="92">
                  <c:v>7.0</c:v>
                </c:pt>
                <c:pt idx="93">
                  <c:v>7.0</c:v>
                </c:pt>
                <c:pt idx="94">
                  <c:v>8.0</c:v>
                </c:pt>
                <c:pt idx="95">
                  <c:v>8.0</c:v>
                </c:pt>
                <c:pt idx="96">
                  <c:v>8.0</c:v>
                </c:pt>
                <c:pt idx="97">
                  <c:v>8.0</c:v>
                </c:pt>
                <c:pt idx="98">
                  <c:v>8.0</c:v>
                </c:pt>
                <c:pt idx="99">
                  <c:v>8.0</c:v>
                </c:pt>
                <c:pt idx="100">
                  <c:v>9.0</c:v>
                </c:pt>
                <c:pt idx="101">
                  <c:v>9.0</c:v>
                </c:pt>
                <c:pt idx="102">
                  <c:v>9.0</c:v>
                </c:pt>
                <c:pt idx="103">
                  <c:v>9.0</c:v>
                </c:pt>
                <c:pt idx="104">
                  <c:v>10.0</c:v>
                </c:pt>
                <c:pt idx="105">
                  <c:v>10.0</c:v>
                </c:pt>
                <c:pt idx="106">
                  <c:v>10.0</c:v>
                </c:pt>
                <c:pt idx="107">
                  <c:v>10.0</c:v>
                </c:pt>
                <c:pt idx="108">
                  <c:v>10.0</c:v>
                </c:pt>
                <c:pt idx="109">
                  <c:v>10.0</c:v>
                </c:pt>
                <c:pt idx="110">
                  <c:v>11.0</c:v>
                </c:pt>
                <c:pt idx="111">
                  <c:v>11.0</c:v>
                </c:pt>
                <c:pt idx="112">
                  <c:v>11.0</c:v>
                </c:pt>
                <c:pt idx="113">
                  <c:v>11.0</c:v>
                </c:pt>
                <c:pt idx="114">
                  <c:v>11.0</c:v>
                </c:pt>
                <c:pt idx="115">
                  <c:v>11.0</c:v>
                </c:pt>
                <c:pt idx="116">
                  <c:v>12.0</c:v>
                </c:pt>
                <c:pt idx="117">
                  <c:v>12.0</c:v>
                </c:pt>
                <c:pt idx="118">
                  <c:v>12.0</c:v>
                </c:pt>
                <c:pt idx="119">
                  <c:v>12.0</c:v>
                </c:pt>
                <c:pt idx="120">
                  <c:v>12.0</c:v>
                </c:pt>
                <c:pt idx="121">
                  <c:v>12.0</c:v>
                </c:pt>
                <c:pt idx="122">
                  <c:v>13.0</c:v>
                </c:pt>
                <c:pt idx="123">
                  <c:v>13.0</c:v>
                </c:pt>
                <c:pt idx="124">
                  <c:v>13.0</c:v>
                </c:pt>
                <c:pt idx="125">
                  <c:v>13.0</c:v>
                </c:pt>
                <c:pt idx="126">
                  <c:v>13.0</c:v>
                </c:pt>
                <c:pt idx="127">
                  <c:v>13.0</c:v>
                </c:pt>
                <c:pt idx="128">
                  <c:v>14.0</c:v>
                </c:pt>
                <c:pt idx="129">
                  <c:v>14.0</c:v>
                </c:pt>
                <c:pt idx="130">
                  <c:v>14.0</c:v>
                </c:pt>
                <c:pt idx="131">
                  <c:v>14.0</c:v>
                </c:pt>
                <c:pt idx="132">
                  <c:v>14.0</c:v>
                </c:pt>
                <c:pt idx="133">
                  <c:v>14.0</c:v>
                </c:pt>
                <c:pt idx="134">
                  <c:v>15.0</c:v>
                </c:pt>
                <c:pt idx="135">
                  <c:v>15.0</c:v>
                </c:pt>
                <c:pt idx="136">
                  <c:v>15.0</c:v>
                </c:pt>
                <c:pt idx="137">
                  <c:v>15.0</c:v>
                </c:pt>
                <c:pt idx="138">
                  <c:v>15.0</c:v>
                </c:pt>
                <c:pt idx="139">
                  <c:v>16.0</c:v>
                </c:pt>
                <c:pt idx="140">
                  <c:v>16.0</c:v>
                </c:pt>
                <c:pt idx="141">
                  <c:v>16.0</c:v>
                </c:pt>
                <c:pt idx="142">
                  <c:v>16.0</c:v>
                </c:pt>
                <c:pt idx="143">
                  <c:v>16.0</c:v>
                </c:pt>
                <c:pt idx="144">
                  <c:v>17.0</c:v>
                </c:pt>
                <c:pt idx="145">
                  <c:v>17.0</c:v>
                </c:pt>
                <c:pt idx="146">
                  <c:v>17.0</c:v>
                </c:pt>
                <c:pt idx="147">
                  <c:v>17.0</c:v>
                </c:pt>
                <c:pt idx="148">
                  <c:v>17.0</c:v>
                </c:pt>
                <c:pt idx="149">
                  <c:v>17.0</c:v>
                </c:pt>
                <c:pt idx="150">
                  <c:v>18.0</c:v>
                </c:pt>
                <c:pt idx="151">
                  <c:v>18.0</c:v>
                </c:pt>
                <c:pt idx="152">
                  <c:v>18.0</c:v>
                </c:pt>
                <c:pt idx="153">
                  <c:v>18.0</c:v>
                </c:pt>
                <c:pt idx="154">
                  <c:v>18.0</c:v>
                </c:pt>
                <c:pt idx="155">
                  <c:v>18.0</c:v>
                </c:pt>
                <c:pt idx="156">
                  <c:v>19.0</c:v>
                </c:pt>
                <c:pt idx="157">
                  <c:v>19.0</c:v>
                </c:pt>
                <c:pt idx="158">
                  <c:v>19.0</c:v>
                </c:pt>
                <c:pt idx="159">
                  <c:v>19.0</c:v>
                </c:pt>
                <c:pt idx="160">
                  <c:v>19.0</c:v>
                </c:pt>
                <c:pt idx="161">
                  <c:v>19.0</c:v>
                </c:pt>
                <c:pt idx="162">
                  <c:v>19.0</c:v>
                </c:pt>
                <c:pt idx="163">
                  <c:v>20.0</c:v>
                </c:pt>
                <c:pt idx="164">
                  <c:v>20.0</c:v>
                </c:pt>
                <c:pt idx="165">
                  <c:v>20.0</c:v>
                </c:pt>
                <c:pt idx="166">
                  <c:v>20.0</c:v>
                </c:pt>
                <c:pt idx="167">
                  <c:v>20.0</c:v>
                </c:pt>
                <c:pt idx="168">
                  <c:v>20.0</c:v>
                </c:pt>
                <c:pt idx="169">
                  <c:v>21.0</c:v>
                </c:pt>
                <c:pt idx="170">
                  <c:v>21.0</c:v>
                </c:pt>
                <c:pt idx="171">
                  <c:v>21.0</c:v>
                </c:pt>
                <c:pt idx="172">
                  <c:v>21.0</c:v>
                </c:pt>
                <c:pt idx="173">
                  <c:v>22.0</c:v>
                </c:pt>
                <c:pt idx="174">
                  <c:v>22.0</c:v>
                </c:pt>
                <c:pt idx="175">
                  <c:v>22.0</c:v>
                </c:pt>
                <c:pt idx="176">
                  <c:v>22.0</c:v>
                </c:pt>
                <c:pt idx="177">
                  <c:v>22.0</c:v>
                </c:pt>
                <c:pt idx="178">
                  <c:v>22.0</c:v>
                </c:pt>
                <c:pt idx="179">
                  <c:v>23.0</c:v>
                </c:pt>
                <c:pt idx="180">
                  <c:v>23.0</c:v>
                </c:pt>
                <c:pt idx="181">
                  <c:v>23.0</c:v>
                </c:pt>
                <c:pt idx="182">
                  <c:v>23.0</c:v>
                </c:pt>
                <c:pt idx="183">
                  <c:v>23.0</c:v>
                </c:pt>
                <c:pt idx="184">
                  <c:v>24.0</c:v>
                </c:pt>
                <c:pt idx="185">
                  <c:v>24.0</c:v>
                </c:pt>
                <c:pt idx="186">
                  <c:v>24.0</c:v>
                </c:pt>
                <c:pt idx="187">
                  <c:v>24.0</c:v>
                </c:pt>
                <c:pt idx="188">
                  <c:v>24.0</c:v>
                </c:pt>
                <c:pt idx="189">
                  <c:v>24.0</c:v>
                </c:pt>
                <c:pt idx="190">
                  <c:v>25.0</c:v>
                </c:pt>
                <c:pt idx="191">
                  <c:v>25.0</c:v>
                </c:pt>
                <c:pt idx="192">
                  <c:v>25.0</c:v>
                </c:pt>
                <c:pt idx="193">
                  <c:v>25.0</c:v>
                </c:pt>
                <c:pt idx="194">
                  <c:v>25.0</c:v>
                </c:pt>
                <c:pt idx="195">
                  <c:v>25.0</c:v>
                </c:pt>
                <c:pt idx="196">
                  <c:v>26.0</c:v>
                </c:pt>
                <c:pt idx="197">
                  <c:v>26.0</c:v>
                </c:pt>
                <c:pt idx="198">
                  <c:v>26.0</c:v>
                </c:pt>
                <c:pt idx="199">
                  <c:v>26.0</c:v>
                </c:pt>
                <c:pt idx="200">
                  <c:v>26.0</c:v>
                </c:pt>
                <c:pt idx="201">
                  <c:v>27.0</c:v>
                </c:pt>
                <c:pt idx="202">
                  <c:v>27.0</c:v>
                </c:pt>
                <c:pt idx="203">
                  <c:v>27.0</c:v>
                </c:pt>
                <c:pt idx="204">
                  <c:v>27.0</c:v>
                </c:pt>
                <c:pt idx="205">
                  <c:v>27.0</c:v>
                </c:pt>
                <c:pt idx="206">
                  <c:v>27.0</c:v>
                </c:pt>
                <c:pt idx="207">
                  <c:v>28.0</c:v>
                </c:pt>
                <c:pt idx="208">
                  <c:v>28.0</c:v>
                </c:pt>
                <c:pt idx="209">
                  <c:v>28.0</c:v>
                </c:pt>
                <c:pt idx="210">
                  <c:v>28.0</c:v>
                </c:pt>
                <c:pt idx="211">
                  <c:v>28.0</c:v>
                </c:pt>
                <c:pt idx="212">
                  <c:v>28.0</c:v>
                </c:pt>
                <c:pt idx="213">
                  <c:v>29.0</c:v>
                </c:pt>
                <c:pt idx="214">
                  <c:v>29.0</c:v>
                </c:pt>
                <c:pt idx="215">
                  <c:v>29.0</c:v>
                </c:pt>
                <c:pt idx="216">
                  <c:v>29.0</c:v>
                </c:pt>
                <c:pt idx="217">
                  <c:v>29.0</c:v>
                </c:pt>
                <c:pt idx="218">
                  <c:v>29.0</c:v>
                </c:pt>
                <c:pt idx="219">
                  <c:v>29.0</c:v>
                </c:pt>
                <c:pt idx="220">
                  <c:v>30.0</c:v>
                </c:pt>
                <c:pt idx="221">
                  <c:v>30.0</c:v>
                </c:pt>
                <c:pt idx="222">
                  <c:v>30.0</c:v>
                </c:pt>
                <c:pt idx="223">
                  <c:v>30.0</c:v>
                </c:pt>
                <c:pt idx="224">
                  <c:v>30.0</c:v>
                </c:pt>
                <c:pt idx="225">
                  <c:v>30.0</c:v>
                </c:pt>
                <c:pt idx="226">
                  <c:v>31.0</c:v>
                </c:pt>
                <c:pt idx="227">
                  <c:v>31.0</c:v>
                </c:pt>
                <c:pt idx="228">
                  <c:v>31.0</c:v>
                </c:pt>
                <c:pt idx="229">
                  <c:v>31.0</c:v>
                </c:pt>
                <c:pt idx="230">
                  <c:v>32.0</c:v>
                </c:pt>
                <c:pt idx="231">
                  <c:v>32.0</c:v>
                </c:pt>
                <c:pt idx="232">
                  <c:v>32.0</c:v>
                </c:pt>
                <c:pt idx="233">
                  <c:v>32.0</c:v>
                </c:pt>
                <c:pt idx="234">
                  <c:v>32.0</c:v>
                </c:pt>
                <c:pt idx="235">
                  <c:v>32.0</c:v>
                </c:pt>
                <c:pt idx="236">
                  <c:v>33.0</c:v>
                </c:pt>
                <c:pt idx="237">
                  <c:v>33.0</c:v>
                </c:pt>
                <c:pt idx="238">
                  <c:v>33.0</c:v>
                </c:pt>
                <c:pt idx="239">
                  <c:v>33.0</c:v>
                </c:pt>
                <c:pt idx="240">
                  <c:v>33.0</c:v>
                </c:pt>
                <c:pt idx="241">
                  <c:v>33.0</c:v>
                </c:pt>
                <c:pt idx="242">
                  <c:v>34.0</c:v>
                </c:pt>
                <c:pt idx="243">
                  <c:v>34.0</c:v>
                </c:pt>
                <c:pt idx="244">
                  <c:v>34.0</c:v>
                </c:pt>
                <c:pt idx="245">
                  <c:v>34.0</c:v>
                </c:pt>
                <c:pt idx="246">
                  <c:v>34.0</c:v>
                </c:pt>
                <c:pt idx="247">
                  <c:v>34.0</c:v>
                </c:pt>
                <c:pt idx="248">
                  <c:v>35.0</c:v>
                </c:pt>
                <c:pt idx="249">
                  <c:v>35.0</c:v>
                </c:pt>
                <c:pt idx="250">
                  <c:v>35.0</c:v>
                </c:pt>
                <c:pt idx="251">
                  <c:v>35.0</c:v>
                </c:pt>
                <c:pt idx="252">
                  <c:v>35.0</c:v>
                </c:pt>
                <c:pt idx="253">
                  <c:v>36.0</c:v>
                </c:pt>
                <c:pt idx="254">
                  <c:v>36.0</c:v>
                </c:pt>
                <c:pt idx="255">
                  <c:v>36.0</c:v>
                </c:pt>
                <c:pt idx="256">
                  <c:v>36.0</c:v>
                </c:pt>
                <c:pt idx="257">
                  <c:v>36.0</c:v>
                </c:pt>
                <c:pt idx="258">
                  <c:v>37.0</c:v>
                </c:pt>
                <c:pt idx="259">
                  <c:v>37.0</c:v>
                </c:pt>
                <c:pt idx="260">
                  <c:v>37.0</c:v>
                </c:pt>
                <c:pt idx="261">
                  <c:v>37.0</c:v>
                </c:pt>
                <c:pt idx="262">
                  <c:v>37.0</c:v>
                </c:pt>
                <c:pt idx="263">
                  <c:v>37.0</c:v>
                </c:pt>
                <c:pt idx="264">
                  <c:v>38.0</c:v>
                </c:pt>
                <c:pt idx="265">
                  <c:v>38.0</c:v>
                </c:pt>
                <c:pt idx="266">
                  <c:v>38.0</c:v>
                </c:pt>
                <c:pt idx="267">
                  <c:v>38.0</c:v>
                </c:pt>
                <c:pt idx="268">
                  <c:v>38.0</c:v>
                </c:pt>
                <c:pt idx="269">
                  <c:v>38.0</c:v>
                </c:pt>
                <c:pt idx="270">
                  <c:v>39.0</c:v>
                </c:pt>
                <c:pt idx="271">
                  <c:v>39.0</c:v>
                </c:pt>
                <c:pt idx="272">
                  <c:v>39.0</c:v>
                </c:pt>
                <c:pt idx="273">
                  <c:v>39.0</c:v>
                </c:pt>
                <c:pt idx="274">
                  <c:v>39.0</c:v>
                </c:pt>
                <c:pt idx="275">
                  <c:v>40.0</c:v>
                </c:pt>
                <c:pt idx="276">
                  <c:v>40.0</c:v>
                </c:pt>
                <c:pt idx="277">
                  <c:v>40.0</c:v>
                </c:pt>
                <c:pt idx="278">
                  <c:v>40.0</c:v>
                </c:pt>
                <c:pt idx="279">
                  <c:v>40.0</c:v>
                </c:pt>
                <c:pt idx="280">
                  <c:v>40.0</c:v>
                </c:pt>
                <c:pt idx="281">
                  <c:v>41.0</c:v>
                </c:pt>
                <c:pt idx="282">
                  <c:v>41.0</c:v>
                </c:pt>
                <c:pt idx="283">
                  <c:v>41.0</c:v>
                </c:pt>
                <c:pt idx="284">
                  <c:v>41.0</c:v>
                </c:pt>
                <c:pt idx="285">
                  <c:v>41.0</c:v>
                </c:pt>
                <c:pt idx="286">
                  <c:v>41.0</c:v>
                </c:pt>
                <c:pt idx="287">
                  <c:v>42.0</c:v>
                </c:pt>
                <c:pt idx="288">
                  <c:v>42.0</c:v>
                </c:pt>
                <c:pt idx="289">
                  <c:v>42.0</c:v>
                </c:pt>
                <c:pt idx="290">
                  <c:v>42.0</c:v>
                </c:pt>
                <c:pt idx="291">
                  <c:v>42.0</c:v>
                </c:pt>
                <c:pt idx="292">
                  <c:v>42.0</c:v>
                </c:pt>
                <c:pt idx="293">
                  <c:v>43.0</c:v>
                </c:pt>
                <c:pt idx="294">
                  <c:v>43.0</c:v>
                </c:pt>
                <c:pt idx="295">
                  <c:v>43.0</c:v>
                </c:pt>
                <c:pt idx="296">
                  <c:v>43.0</c:v>
                </c:pt>
                <c:pt idx="297">
                  <c:v>43.0</c:v>
                </c:pt>
                <c:pt idx="298">
                  <c:v>43.0</c:v>
                </c:pt>
              </c:numCache>
            </c:numRef>
          </c:val>
          <c:smooth val="0"/>
        </c:ser>
        <c:ser>
          <c:idx val="4"/>
          <c:order val="4"/>
          <c:tx>
            <c:strRef>
              <c:f>Calculations!$M$1</c:f>
              <c:strCache>
                <c:ptCount val="1"/>
                <c:pt idx="0">
                  <c:v>Generator 5 Count</c:v>
                </c:pt>
              </c:strCache>
            </c:strRef>
          </c:tx>
          <c:spPr>
            <a:ln w="25400" cmpd="sng">
              <a:solidFill>
                <a:srgbClr val="990099"/>
              </a:solidFill>
            </a:ln>
          </c:spPr>
          <c:marker>
            <c:symbol val="none"/>
          </c:marker>
          <c:cat>
            <c:numRef>
              <c:f>Calculations!$A$2:$A$300</c:f>
              <c:numCache>
                <c:formatCode>0.00</c:formatCode>
                <c:ptCount val="299"/>
                <c:pt idx="0">
                  <c:v>0.0</c:v>
                </c:pt>
                <c:pt idx="1">
                  <c:v>0.0457045908183633</c:v>
                </c:pt>
                <c:pt idx="2">
                  <c:v>0.0701565469061876</c:v>
                </c:pt>
                <c:pt idx="3">
                  <c:v>0.0875989422488357</c:v>
                </c:pt>
                <c:pt idx="4">
                  <c:v>0.101596464511311</c:v>
                </c:pt>
                <c:pt idx="5">
                  <c:v>0.113578343567989</c:v>
                </c:pt>
                <c:pt idx="6">
                  <c:v>0.124262185726861</c:v>
                </c:pt>
                <c:pt idx="7">
                  <c:v>0.134060795249712</c:v>
                </c:pt>
                <c:pt idx="8">
                  <c:v>0.143234743415481</c:v>
                </c:pt>
                <c:pt idx="9">
                  <c:v>0.151960187448702</c:v>
                </c:pt>
                <c:pt idx="10">
                  <c:v>0.160362790052693</c:v>
                </c:pt>
                <c:pt idx="11">
                  <c:v>0.168536230767485</c:v>
                </c:pt>
                <c:pt idx="12">
                  <c:v>0.176553013868576</c:v>
                </c:pt>
                <c:pt idx="13">
                  <c:v>0.22952399498327</c:v>
                </c:pt>
                <c:pt idx="14">
                  <c:v>0.261231019677588</c:v>
                </c:pt>
                <c:pt idx="15">
                  <c:v>0.285876539042359</c:v>
                </c:pt>
                <c:pt idx="16">
                  <c:v>0.28798034857216</c:v>
                </c:pt>
                <c:pt idx="17">
                  <c:v>0.308956676828337</c:v>
                </c:pt>
                <c:pt idx="18">
                  <c:v>0.310735893659906</c:v>
                </c:pt>
                <c:pt idx="19">
                  <c:v>0.329882558938345</c:v>
                </c:pt>
                <c:pt idx="20">
                  <c:v>0.331456416727798</c:v>
                </c:pt>
                <c:pt idx="21">
                  <c:v>0.333118251329526</c:v>
                </c:pt>
                <c:pt idx="22">
                  <c:v>0.351134146380737</c:v>
                </c:pt>
                <c:pt idx="23">
                  <c:v>0.352652636968932</c:v>
                </c:pt>
                <c:pt idx="24">
                  <c:v>0.354259339858902</c:v>
                </c:pt>
                <c:pt idx="25">
                  <c:v>0.371790611726487</c:v>
                </c:pt>
                <c:pt idx="26">
                  <c:v>0.373292847586068</c:v>
                </c:pt>
                <c:pt idx="27">
                  <c:v>0.374884759302661</c:v>
                </c:pt>
                <c:pt idx="28">
                  <c:v>0.392357900689187</c:v>
                </c:pt>
                <c:pt idx="29">
                  <c:v>0.393872024419506</c:v>
                </c:pt>
                <c:pt idx="30">
                  <c:v>0.395478384713287</c:v>
                </c:pt>
                <c:pt idx="31">
                  <c:v>0.413208722357156</c:v>
                </c:pt>
                <c:pt idx="32">
                  <c:v>0.414756993026504</c:v>
                </c:pt>
                <c:pt idx="33">
                  <c:v>0.476916207857475</c:v>
                </c:pt>
                <c:pt idx="34">
                  <c:v>0.489963027180578</c:v>
                </c:pt>
                <c:pt idx="35">
                  <c:v>0.491059212477097</c:v>
                </c:pt>
                <c:pt idx="36">
                  <c:v>0.538068104715228</c:v>
                </c:pt>
                <c:pt idx="37">
                  <c:v>0.538986081862026</c:v>
                </c:pt>
                <c:pt idx="38">
                  <c:v>0.580974008743137</c:v>
                </c:pt>
                <c:pt idx="39">
                  <c:v>0.590035578989843</c:v>
                </c:pt>
                <c:pt idx="40">
                  <c:v>0.590812186244874</c:v>
                </c:pt>
                <c:pt idx="41">
                  <c:v>0.628689032980937</c:v>
                </c:pt>
                <c:pt idx="42">
                  <c:v>0.629398140294951</c:v>
                </c:pt>
                <c:pt idx="43">
                  <c:v>0.637934502068953</c:v>
                </c:pt>
                <c:pt idx="44">
                  <c:v>0.638667824790335</c:v>
                </c:pt>
                <c:pt idx="45">
                  <c:v>0.67430000557901</c:v>
                </c:pt>
                <c:pt idx="46">
                  <c:v>0.674987252399305</c:v>
                </c:pt>
                <c:pt idx="47">
                  <c:v>0.683300706826132</c:v>
                </c:pt>
                <c:pt idx="48">
                  <c:v>0.68401509641484</c:v>
                </c:pt>
                <c:pt idx="49">
                  <c:v>0.718592031037143</c:v>
                </c:pt>
                <c:pt idx="50">
                  <c:v>0.719274161252134</c:v>
                </c:pt>
                <c:pt idx="51">
                  <c:v>0.727564967594102</c:v>
                </c:pt>
                <c:pt idx="52">
                  <c:v>0.761943088009293</c:v>
                </c:pt>
                <c:pt idx="53">
                  <c:v>0.762588368791644</c:v>
                </c:pt>
                <c:pt idx="54">
                  <c:v>0.76327762449217</c:v>
                </c:pt>
                <c:pt idx="55">
                  <c:v>0.771694287672172</c:v>
                </c:pt>
                <c:pt idx="56">
                  <c:v>0.806383921698811</c:v>
                </c:pt>
                <c:pt idx="57">
                  <c:v>0.807044940754676</c:v>
                </c:pt>
                <c:pt idx="58">
                  <c:v>0.807751135892052</c:v>
                </c:pt>
                <c:pt idx="59">
                  <c:v>0.84387988293301</c:v>
                </c:pt>
                <c:pt idx="60">
                  <c:v>0.851877029271451</c:v>
                </c:pt>
                <c:pt idx="61">
                  <c:v>0.852561756757852</c:v>
                </c:pt>
                <c:pt idx="62">
                  <c:v>0.853293388528083</c:v>
                </c:pt>
                <c:pt idx="63">
                  <c:v>0.890568752402384</c:v>
                </c:pt>
                <c:pt idx="64">
                  <c:v>0.898953325357183</c:v>
                </c:pt>
                <c:pt idx="65">
                  <c:v>0.899669103384407</c:v>
                </c:pt>
                <c:pt idx="66">
                  <c:v>1.024346338602355</c:v>
                </c:pt>
                <c:pt idx="67">
                  <c:v>1.054803292460097</c:v>
                </c:pt>
                <c:pt idx="68">
                  <c:v>1.055372080634922</c:v>
                </c:pt>
                <c:pt idx="69">
                  <c:v>1.160036015061151</c:v>
                </c:pt>
                <c:pt idx="70">
                  <c:v>1.165882317784721</c:v>
                </c:pt>
                <c:pt idx="71">
                  <c:v>1.166382213887552</c:v>
                </c:pt>
                <c:pt idx="72">
                  <c:v>1.193417831800331</c:v>
                </c:pt>
                <c:pt idx="73">
                  <c:v>1.28665541992133</c:v>
                </c:pt>
                <c:pt idx="74">
                  <c:v>1.287096974373189</c:v>
                </c:pt>
                <c:pt idx="75">
                  <c:v>1.292591569895455</c:v>
                </c:pt>
                <c:pt idx="76">
                  <c:v>1.293060110657118</c:v>
                </c:pt>
                <c:pt idx="77">
                  <c:v>1.38295493449193</c:v>
                </c:pt>
                <c:pt idx="78">
                  <c:v>1.40513298017293</c:v>
                </c:pt>
                <c:pt idx="79">
                  <c:v>1.405560362659924</c:v>
                </c:pt>
                <c:pt idx="80">
                  <c:v>1.492164703415927</c:v>
                </c:pt>
                <c:pt idx="81">
                  <c:v>1.49694537612117</c:v>
                </c:pt>
                <c:pt idx="82">
                  <c:v>1.497351989039084</c:v>
                </c:pt>
                <c:pt idx="83">
                  <c:v>1.519161254019183</c:v>
                </c:pt>
                <c:pt idx="84">
                  <c:v>1.519585047887087</c:v>
                </c:pt>
                <c:pt idx="85">
                  <c:v>1.604350756171844</c:v>
                </c:pt>
                <c:pt idx="86">
                  <c:v>1.609180724710778</c:v>
                </c:pt>
                <c:pt idx="87">
                  <c:v>1.609589997318293</c:v>
                </c:pt>
                <c:pt idx="88">
                  <c:v>1.631449248137016</c:v>
                </c:pt>
                <c:pt idx="89">
                  <c:v>1.715963663586359</c:v>
                </c:pt>
                <c:pt idx="90">
                  <c:v>1.716356307368074</c:v>
                </c:pt>
                <c:pt idx="91">
                  <c:v>1.721309157081167</c:v>
                </c:pt>
                <c:pt idx="92">
                  <c:v>1.721727212155325</c:v>
                </c:pt>
                <c:pt idx="93">
                  <c:v>1.743960994324569</c:v>
                </c:pt>
                <c:pt idx="94">
                  <c:v>1.829376095695778</c:v>
                </c:pt>
                <c:pt idx="95">
                  <c:v>1.829781686489108</c:v>
                </c:pt>
                <c:pt idx="96">
                  <c:v>1.834920833295653</c:v>
                </c:pt>
                <c:pt idx="97">
                  <c:v>1.835352881776753</c:v>
                </c:pt>
                <c:pt idx="98">
                  <c:v>1.858233391678885</c:v>
                </c:pt>
                <c:pt idx="99">
                  <c:v>2.248807277135892</c:v>
                </c:pt>
                <c:pt idx="100">
                  <c:v>2.3096044245083</c:v>
                </c:pt>
                <c:pt idx="101">
                  <c:v>2.599578190991203</c:v>
                </c:pt>
                <c:pt idx="102">
                  <c:v>2.599811539913223</c:v>
                </c:pt>
                <c:pt idx="103">
                  <c:v>2.851731835777843</c:v>
                </c:pt>
                <c:pt idx="104">
                  <c:v>2.893168161450549</c:v>
                </c:pt>
                <c:pt idx="105">
                  <c:v>2.903606896369412</c:v>
                </c:pt>
                <c:pt idx="106">
                  <c:v>2.905944248387656</c:v>
                </c:pt>
                <c:pt idx="107">
                  <c:v>2.906140365846618</c:v>
                </c:pt>
                <c:pt idx="108">
                  <c:v>3.127768049573493</c:v>
                </c:pt>
                <c:pt idx="109">
                  <c:v>3.127946456310891</c:v>
                </c:pt>
                <c:pt idx="110">
                  <c:v>3.166224842698874</c:v>
                </c:pt>
                <c:pt idx="111">
                  <c:v>3.372126760631556</c:v>
                </c:pt>
                <c:pt idx="112">
                  <c:v>3.380661673797114</c:v>
                </c:pt>
                <c:pt idx="113">
                  <c:v>3.382593516806976</c:v>
                </c:pt>
                <c:pt idx="114">
                  <c:v>3.382754964894407</c:v>
                </c:pt>
                <c:pt idx="115">
                  <c:v>3.382927697439383</c:v>
                </c:pt>
                <c:pt idx="116">
                  <c:v>3.419506980402546</c:v>
                </c:pt>
                <c:pt idx="117">
                  <c:v>3.615263383241809</c:v>
                </c:pt>
                <c:pt idx="118">
                  <c:v>3.623684845699133</c:v>
                </c:pt>
                <c:pt idx="119">
                  <c:v>3.623845134063725</c:v>
                </c:pt>
                <c:pt idx="120">
                  <c:v>3.625769221989318</c:v>
                </c:pt>
                <c:pt idx="121">
                  <c:v>3.819728126269892</c:v>
                </c:pt>
                <c:pt idx="122">
                  <c:v>3.852000259290158</c:v>
                </c:pt>
                <c:pt idx="123">
                  <c:v>3.852152145314577</c:v>
                </c:pt>
                <c:pt idx="124">
                  <c:v>3.860614679689236</c:v>
                </c:pt>
                <c:pt idx="125">
                  <c:v>3.860776529867754</c:v>
                </c:pt>
                <c:pt idx="126">
                  <c:v>4.052562558289951</c:v>
                </c:pt>
                <c:pt idx="127">
                  <c:v>4.05434179532788</c:v>
                </c:pt>
                <c:pt idx="128">
                  <c:v>4.086887822660488</c:v>
                </c:pt>
                <c:pt idx="129">
                  <c:v>4.08704328840121</c:v>
                </c:pt>
                <c:pt idx="130">
                  <c:v>4.095668268210208</c:v>
                </c:pt>
                <c:pt idx="131">
                  <c:v>4.287803058343162</c:v>
                </c:pt>
                <c:pt idx="132">
                  <c:v>4.287955585327497</c:v>
                </c:pt>
                <c:pt idx="133">
                  <c:v>4.289802897415763</c:v>
                </c:pt>
                <c:pt idx="134">
                  <c:v>4.323009123033259</c:v>
                </c:pt>
                <c:pt idx="135">
                  <c:v>4.323170060320479</c:v>
                </c:pt>
                <c:pt idx="136">
                  <c:v>4.51844714995372</c:v>
                </c:pt>
                <c:pt idx="137">
                  <c:v>4.526689722180401</c:v>
                </c:pt>
                <c:pt idx="138">
                  <c:v>4.526848884447588</c:v>
                </c:pt>
                <c:pt idx="139">
                  <c:v>4.561074130405458</c:v>
                </c:pt>
                <c:pt idx="140">
                  <c:v>4.562987240627166</c:v>
                </c:pt>
                <c:pt idx="141">
                  <c:v>4.762585197556606</c:v>
                </c:pt>
                <c:pt idx="142">
                  <c:v>4.762742089786666</c:v>
                </c:pt>
                <c:pt idx="143">
                  <c:v>4.771371997083626</c:v>
                </c:pt>
                <c:pt idx="144">
                  <c:v>4.806901995950386</c:v>
                </c:pt>
                <c:pt idx="145">
                  <c:v>4.807067553765542</c:v>
                </c:pt>
                <c:pt idx="146">
                  <c:v>4.80909061228652</c:v>
                </c:pt>
                <c:pt idx="147">
                  <c:v>5.014664493118532</c:v>
                </c:pt>
                <c:pt idx="148">
                  <c:v>5.014830568882267</c:v>
                </c:pt>
                <c:pt idx="149">
                  <c:v>5.023926558244352</c:v>
                </c:pt>
                <c:pt idx="150">
                  <c:v>5.061054741638178</c:v>
                </c:pt>
                <c:pt idx="151">
                  <c:v>5.274291992337854</c:v>
                </c:pt>
                <c:pt idx="152">
                  <c:v>5.274457324166646</c:v>
                </c:pt>
                <c:pt idx="153">
                  <c:v>5.276486633930902</c:v>
                </c:pt>
                <c:pt idx="154">
                  <c:v>5.27666343687424</c:v>
                </c:pt>
                <c:pt idx="155">
                  <c:v>5.286305543491534</c:v>
                </c:pt>
                <c:pt idx="156">
                  <c:v>5.325324676501864</c:v>
                </c:pt>
                <c:pt idx="157">
                  <c:v>5.547597346621957</c:v>
                </c:pt>
                <c:pt idx="158">
                  <c:v>5.547774221170966</c:v>
                </c:pt>
                <c:pt idx="159">
                  <c:v>5.549954885269088</c:v>
                </c:pt>
                <c:pt idx="160">
                  <c:v>5.55014403895441</c:v>
                </c:pt>
                <c:pt idx="161">
                  <c:v>5.560415584779911</c:v>
                </c:pt>
                <c:pt idx="162">
                  <c:v>5.795306317167956</c:v>
                </c:pt>
                <c:pt idx="163">
                  <c:v>5.834416519377407</c:v>
                </c:pt>
                <c:pt idx="164">
                  <c:v>5.834606559864333</c:v>
                </c:pt>
                <c:pt idx="165">
                  <c:v>5.836959988097032</c:v>
                </c:pt>
                <c:pt idx="166">
                  <c:v>6.084417920652025</c:v>
                </c:pt>
                <c:pt idx="167">
                  <c:v>6.084611398682165</c:v>
                </c:pt>
                <c:pt idx="168">
                  <c:v>6.095072848547749</c:v>
                </c:pt>
                <c:pt idx="169">
                  <c:v>6.136684629600752</c:v>
                </c:pt>
                <c:pt idx="170">
                  <c:v>6.136889592420537</c:v>
                </c:pt>
                <c:pt idx="171">
                  <c:v>6.39809654420165</c:v>
                </c:pt>
                <c:pt idx="172">
                  <c:v>6.400530343159615</c:v>
                </c:pt>
                <c:pt idx="173">
                  <c:v>6.445040986333715</c:v>
                </c:pt>
                <c:pt idx="174">
                  <c:v>6.445248674532503</c:v>
                </c:pt>
                <c:pt idx="175">
                  <c:v>6.456430439087438</c:v>
                </c:pt>
                <c:pt idx="176">
                  <c:v>6.456652241527281</c:v>
                </c:pt>
                <c:pt idx="177">
                  <c:v>6.733172723551557</c:v>
                </c:pt>
                <c:pt idx="178">
                  <c:v>6.735824816758749</c:v>
                </c:pt>
                <c:pt idx="179">
                  <c:v>6.783485265196243</c:v>
                </c:pt>
                <c:pt idx="180">
                  <c:v>6.795569441141608</c:v>
                </c:pt>
                <c:pt idx="181">
                  <c:v>6.79579444722084</c:v>
                </c:pt>
                <c:pt idx="182">
                  <c:v>7.089417579205438</c:v>
                </c:pt>
                <c:pt idx="183">
                  <c:v>7.089648487716922</c:v>
                </c:pt>
                <c:pt idx="184">
                  <c:v>7.14084162329306</c:v>
                </c:pt>
                <c:pt idx="185">
                  <c:v>7.143719952749558</c:v>
                </c:pt>
                <c:pt idx="186">
                  <c:v>7.156814385072859</c:v>
                </c:pt>
                <c:pt idx="187">
                  <c:v>7.157059271516557</c:v>
                </c:pt>
                <c:pt idx="188">
                  <c:v>7.469675797864686</c:v>
                </c:pt>
                <c:pt idx="189">
                  <c:v>7.469927616978012</c:v>
                </c:pt>
                <c:pt idx="190">
                  <c:v>7.525030207806266</c:v>
                </c:pt>
                <c:pt idx="191">
                  <c:v>7.528184193166839</c:v>
                </c:pt>
                <c:pt idx="192">
                  <c:v>7.542408154156703</c:v>
                </c:pt>
                <c:pt idx="193">
                  <c:v>7.542675329197347</c:v>
                </c:pt>
                <c:pt idx="194">
                  <c:v>7.876327673300328</c:v>
                </c:pt>
                <c:pt idx="195">
                  <c:v>7.876602916725514</c:v>
                </c:pt>
                <c:pt idx="196">
                  <c:v>7.936047428270957</c:v>
                </c:pt>
                <c:pt idx="197">
                  <c:v>8.293623131249681</c:v>
                </c:pt>
                <c:pt idx="198">
                  <c:v>8.3085619419613</c:v>
                </c:pt>
                <c:pt idx="199">
                  <c:v>8.311897346220268</c:v>
                </c:pt>
                <c:pt idx="200">
                  <c:v>8.31217909759541</c:v>
                </c:pt>
                <c:pt idx="201">
                  <c:v>8.376441367225522</c:v>
                </c:pt>
                <c:pt idx="202">
                  <c:v>8.376741056880916</c:v>
                </c:pt>
                <c:pt idx="203">
                  <c:v>8.759967840641424</c:v>
                </c:pt>
                <c:pt idx="204">
                  <c:v>8.776289259049617</c:v>
                </c:pt>
                <c:pt idx="205">
                  <c:v>8.779965552181881</c:v>
                </c:pt>
                <c:pt idx="206">
                  <c:v>8.78027472646065</c:v>
                </c:pt>
                <c:pt idx="207">
                  <c:v>8.849874007946265</c:v>
                </c:pt>
                <c:pt idx="208">
                  <c:v>9.261366878683892</c:v>
                </c:pt>
                <c:pt idx="209">
                  <c:v>9.261685036490788</c:v>
                </c:pt>
                <c:pt idx="210">
                  <c:v>9.279547969829527</c:v>
                </c:pt>
                <c:pt idx="211">
                  <c:v>9.283607003487947</c:v>
                </c:pt>
                <c:pt idx="212">
                  <c:v>9.283946856450294</c:v>
                </c:pt>
                <c:pt idx="213">
                  <c:v>9.359456740647578</c:v>
                </c:pt>
                <c:pt idx="214">
                  <c:v>9.80204389040193</c:v>
                </c:pt>
                <c:pt idx="215">
                  <c:v>9.802394152969863</c:v>
                </c:pt>
                <c:pt idx="216">
                  <c:v>9.82197545829894</c:v>
                </c:pt>
                <c:pt idx="217">
                  <c:v>9.822349738612393</c:v>
                </c:pt>
                <c:pt idx="218">
                  <c:v>9.826838398436024</c:v>
                </c:pt>
                <c:pt idx="219">
                  <c:v>10.30612028724858</c:v>
                </c:pt>
                <c:pt idx="220">
                  <c:v>10.38567022564245</c:v>
                </c:pt>
                <c:pt idx="221">
                  <c:v>10.3860564027632</c:v>
                </c:pt>
                <c:pt idx="222">
                  <c:v>10.40755311979724</c:v>
                </c:pt>
                <c:pt idx="223">
                  <c:v>10.92467496185405</c:v>
                </c:pt>
                <c:pt idx="224">
                  <c:v>10.92507549868407</c:v>
                </c:pt>
                <c:pt idx="225">
                  <c:v>10.92990045227178</c:v>
                </c:pt>
                <c:pt idx="226">
                  <c:v>11.01656865645421</c:v>
                </c:pt>
                <c:pt idx="227">
                  <c:v>11.01699501442156</c:v>
                </c:pt>
                <c:pt idx="228">
                  <c:v>11.04062686011515</c:v>
                </c:pt>
                <c:pt idx="229">
                  <c:v>11.59916280507656</c:v>
                </c:pt>
                <c:pt idx="230">
                  <c:v>11.69373472707476</c:v>
                </c:pt>
                <c:pt idx="231">
                  <c:v>11.69417533762453</c:v>
                </c:pt>
                <c:pt idx="232">
                  <c:v>11.69950667599395</c:v>
                </c:pt>
                <c:pt idx="233">
                  <c:v>11.69997799561864</c:v>
                </c:pt>
                <c:pt idx="234">
                  <c:v>12.30472310417765</c:v>
                </c:pt>
                <c:pt idx="235">
                  <c:v>12.33002038354829</c:v>
                </c:pt>
                <c:pt idx="236">
                  <c:v>12.43331019077347</c:v>
                </c:pt>
                <c:pt idx="237">
                  <c:v>12.43379784022079</c:v>
                </c:pt>
                <c:pt idx="238">
                  <c:v>12.43972463231977</c:v>
                </c:pt>
                <c:pt idx="239">
                  <c:v>13.09449537764145</c:v>
                </c:pt>
                <c:pt idx="240">
                  <c:v>13.09500314796426</c:v>
                </c:pt>
                <c:pt idx="241">
                  <c:v>13.12290712231683</c:v>
                </c:pt>
                <c:pt idx="242">
                  <c:v>13.23584494490155</c:v>
                </c:pt>
                <c:pt idx="243">
                  <c:v>13.23638525470523</c:v>
                </c:pt>
                <c:pt idx="244">
                  <c:v>13.24298132667199</c:v>
                </c:pt>
                <c:pt idx="245">
                  <c:v>13.95268766412485</c:v>
                </c:pt>
                <c:pt idx="246">
                  <c:v>13.95325075522229</c:v>
                </c:pt>
                <c:pt idx="247">
                  <c:v>13.98406240743296</c:v>
                </c:pt>
                <c:pt idx="248">
                  <c:v>14.10767907132833</c:v>
                </c:pt>
                <c:pt idx="249">
                  <c:v>14.10827835109381</c:v>
                </c:pt>
                <c:pt idx="250">
                  <c:v>14.8785120600923</c:v>
                </c:pt>
                <c:pt idx="251">
                  <c:v>14.88567707033168</c:v>
                </c:pt>
                <c:pt idx="252">
                  <c:v>14.88630212565325</c:v>
                </c:pt>
                <c:pt idx="253">
                  <c:v>15.02188155372447</c:v>
                </c:pt>
                <c:pt idx="254">
                  <c:v>15.05579629649633</c:v>
                </c:pt>
                <c:pt idx="255">
                  <c:v>15.8923469177702</c:v>
                </c:pt>
                <c:pt idx="256">
                  <c:v>15.89299612422102</c:v>
                </c:pt>
                <c:pt idx="257">
                  <c:v>15.90099237993872</c:v>
                </c:pt>
                <c:pt idx="258">
                  <c:v>16.04967342755192</c:v>
                </c:pt>
                <c:pt idx="259">
                  <c:v>16.05036511570651</c:v>
                </c:pt>
                <c:pt idx="260">
                  <c:v>16.08789021066947</c:v>
                </c:pt>
                <c:pt idx="261">
                  <c:v>16.9972838219808</c:v>
                </c:pt>
                <c:pt idx="262">
                  <c:v>16.99800576284546</c:v>
                </c:pt>
                <c:pt idx="263">
                  <c:v>17.00693750118405</c:v>
                </c:pt>
                <c:pt idx="264">
                  <c:v>17.17012554272359</c:v>
                </c:pt>
                <c:pt idx="265">
                  <c:v>17.1708948189483</c:v>
                </c:pt>
                <c:pt idx="266">
                  <c:v>17.2124505856694</c:v>
                </c:pt>
                <c:pt idx="267">
                  <c:v>18.2018850707511</c:v>
                </c:pt>
                <c:pt idx="268">
                  <c:v>18.20268855693827</c:v>
                </c:pt>
                <c:pt idx="269">
                  <c:v>18.21267344699203</c:v>
                </c:pt>
                <c:pt idx="270">
                  <c:v>18.39193158057078</c:v>
                </c:pt>
                <c:pt idx="271">
                  <c:v>19.47037277408033</c:v>
                </c:pt>
                <c:pt idx="272">
                  <c:v>19.5154040726904</c:v>
                </c:pt>
                <c:pt idx="273">
                  <c:v>19.51624047878288</c:v>
                </c:pt>
                <c:pt idx="274">
                  <c:v>19.5171354178947</c:v>
                </c:pt>
                <c:pt idx="275">
                  <c:v>19.71424015768804</c:v>
                </c:pt>
                <c:pt idx="276">
                  <c:v>20.88967537546975</c:v>
                </c:pt>
                <c:pt idx="277">
                  <c:v>20.90056344829242</c:v>
                </c:pt>
                <c:pt idx="278">
                  <c:v>20.95054113425799</c:v>
                </c:pt>
                <c:pt idx="279">
                  <c:v>20.95147342682852</c:v>
                </c:pt>
                <c:pt idx="280">
                  <c:v>20.95247096315943</c:v>
                </c:pt>
                <c:pt idx="281">
                  <c:v>21.16931295451521</c:v>
                </c:pt>
                <c:pt idx="282">
                  <c:v>22.45113293277799</c:v>
                </c:pt>
                <c:pt idx="283">
                  <c:v>22.46333146122701</c:v>
                </c:pt>
                <c:pt idx="284">
                  <c:v>22.51883770394312</c:v>
                </c:pt>
                <c:pt idx="285">
                  <c:v>22.51987760189758</c:v>
                </c:pt>
                <c:pt idx="286">
                  <c:v>23.92362752643949</c:v>
                </c:pt>
                <c:pt idx="287">
                  <c:v>24.15741616305261</c:v>
                </c:pt>
                <c:pt idx="288">
                  <c:v>24.15850207855438</c:v>
                </c:pt>
                <c:pt idx="289">
                  <c:v>24.17217787172224</c:v>
                </c:pt>
                <c:pt idx="290">
                  <c:v>24.23386521377577</c:v>
                </c:pt>
                <c:pt idx="291">
                  <c:v>24.2350259064885</c:v>
                </c:pt>
                <c:pt idx="292">
                  <c:v>25.76776037873407</c:v>
                </c:pt>
                <c:pt idx="293">
                  <c:v>26.02544383661646</c:v>
                </c:pt>
                <c:pt idx="294">
                  <c:v>26.02665662487436</c:v>
                </c:pt>
                <c:pt idx="295">
                  <c:v>26.0952694579444</c:v>
                </c:pt>
                <c:pt idx="296">
                  <c:v>26.11059826081573</c:v>
                </c:pt>
                <c:pt idx="297">
                  <c:v>26.1118945966945</c:v>
                </c:pt>
                <c:pt idx="298">
                  <c:v>27.78652065603071</c:v>
                </c:pt>
              </c:numCache>
            </c:numRef>
          </c:cat>
          <c:val>
            <c:numRef>
              <c:f>Calculations!$M$2:$M$300</c:f>
              <c:numCache>
                <c:formatCode>0</c:formatCode>
                <c:ptCount val="299"/>
                <c:pt idx="0">
                  <c:v>0.0</c:v>
                </c:pt>
                <c:pt idx="1">
                  <c:v>0.0</c:v>
                </c:pt>
                <c:pt idx="2">
                  <c:v>0.0</c:v>
                </c:pt>
                <c:pt idx="3">
                  <c:v>0.0</c:v>
                </c:pt>
                <c:pt idx="4">
                  <c:v>0.0</c:v>
                </c:pt>
                <c:pt idx="5">
                  <c:v>0.0</c:v>
                </c:pt>
                <c:pt idx="6">
                  <c:v>0.0</c:v>
                </c:pt>
                <c:pt idx="7">
                  <c:v>0.0</c:v>
                </c:pt>
                <c:pt idx="8">
                  <c:v>0.0</c:v>
                </c:pt>
                <c:pt idx="9">
                  <c:v>0.0</c:v>
                </c:pt>
                <c:pt idx="10">
                  <c:v>0.0</c:v>
                </c:pt>
                <c:pt idx="11">
                  <c:v>0.0</c:v>
                </c:pt>
                <c:pt idx="12">
                  <c:v>0.0</c:v>
                </c:pt>
                <c:pt idx="13">
                  <c:v>0.0</c:v>
                </c:pt>
                <c:pt idx="14">
                  <c:v>0.0</c:v>
                </c:pt>
                <c:pt idx="15">
                  <c:v>0.0</c:v>
                </c:pt>
                <c:pt idx="16">
                  <c:v>0.0</c:v>
                </c:pt>
                <c:pt idx="17">
                  <c:v>0.0</c:v>
                </c:pt>
                <c:pt idx="18">
                  <c:v>0.0</c:v>
                </c:pt>
                <c:pt idx="19">
                  <c:v>0.0</c:v>
                </c:pt>
                <c:pt idx="20">
                  <c:v>0.0</c:v>
                </c:pt>
                <c:pt idx="21">
                  <c:v>0.0</c:v>
                </c:pt>
                <c:pt idx="22">
                  <c:v>0.0</c:v>
                </c:pt>
                <c:pt idx="23">
                  <c:v>0.0</c:v>
                </c:pt>
                <c:pt idx="24">
                  <c:v>0.0</c:v>
                </c:pt>
                <c:pt idx="25">
                  <c:v>0.0</c:v>
                </c:pt>
                <c:pt idx="26">
                  <c:v>0.0</c:v>
                </c:pt>
                <c:pt idx="27">
                  <c:v>0.0</c:v>
                </c:pt>
                <c:pt idx="28">
                  <c:v>0.0</c:v>
                </c:pt>
                <c:pt idx="29">
                  <c:v>0.0</c:v>
                </c:pt>
                <c:pt idx="30">
                  <c:v>0.0</c:v>
                </c:pt>
                <c:pt idx="31">
                  <c:v>0.0</c:v>
                </c:pt>
                <c:pt idx="32">
                  <c:v>0.0</c:v>
                </c:pt>
                <c:pt idx="33">
                  <c:v>0.0</c:v>
                </c:pt>
                <c:pt idx="34">
                  <c:v>0.0</c:v>
                </c:pt>
                <c:pt idx="35">
                  <c:v>0.0</c:v>
                </c:pt>
                <c:pt idx="36">
                  <c:v>0.0</c:v>
                </c:pt>
                <c:pt idx="37">
                  <c:v>0.0</c:v>
                </c:pt>
                <c:pt idx="38">
                  <c:v>0.0</c:v>
                </c:pt>
                <c:pt idx="39">
                  <c:v>0.0</c:v>
                </c:pt>
                <c:pt idx="40">
                  <c:v>0.0</c:v>
                </c:pt>
                <c:pt idx="41">
                  <c:v>0.0</c:v>
                </c:pt>
                <c:pt idx="42">
                  <c:v>0.0</c:v>
                </c:pt>
                <c:pt idx="43">
                  <c:v>0.0</c:v>
                </c:pt>
                <c:pt idx="44">
                  <c:v>0.0</c:v>
                </c:pt>
                <c:pt idx="45">
                  <c:v>0.0</c:v>
                </c:pt>
                <c:pt idx="46">
                  <c:v>0.0</c:v>
                </c:pt>
                <c:pt idx="47">
                  <c:v>0.0</c:v>
                </c:pt>
                <c:pt idx="48">
                  <c:v>0.0</c:v>
                </c:pt>
                <c:pt idx="49">
                  <c:v>0.0</c:v>
                </c:pt>
                <c:pt idx="50">
                  <c:v>0.0</c:v>
                </c:pt>
                <c:pt idx="51">
                  <c:v>0.0</c:v>
                </c:pt>
                <c:pt idx="52">
                  <c:v>0.0</c:v>
                </c:pt>
                <c:pt idx="53">
                  <c:v>0.0</c:v>
                </c:pt>
                <c:pt idx="54">
                  <c:v>0.0</c:v>
                </c:pt>
                <c:pt idx="55">
                  <c:v>0.0</c:v>
                </c:pt>
                <c:pt idx="56">
                  <c:v>0.0</c:v>
                </c:pt>
                <c:pt idx="57">
                  <c:v>0.0</c:v>
                </c:pt>
                <c:pt idx="58">
                  <c:v>0.0</c:v>
                </c:pt>
                <c:pt idx="59">
                  <c:v>0.0</c:v>
                </c:pt>
                <c:pt idx="60">
                  <c:v>0.0</c:v>
                </c:pt>
                <c:pt idx="61">
                  <c:v>0.0</c:v>
                </c:pt>
                <c:pt idx="62">
                  <c:v>0.0</c:v>
                </c:pt>
                <c:pt idx="63">
                  <c:v>0.0</c:v>
                </c:pt>
                <c:pt idx="64">
                  <c:v>0.0</c:v>
                </c:pt>
                <c:pt idx="65">
                  <c:v>0.0</c:v>
                </c:pt>
                <c:pt idx="66">
                  <c:v>0.0</c:v>
                </c:pt>
                <c:pt idx="67">
                  <c:v>0.0</c:v>
                </c:pt>
                <c:pt idx="68">
                  <c:v>0.0</c:v>
                </c:pt>
                <c:pt idx="69">
                  <c:v>0.0</c:v>
                </c:pt>
                <c:pt idx="70">
                  <c:v>0.0</c:v>
                </c:pt>
                <c:pt idx="71">
                  <c:v>0.0</c:v>
                </c:pt>
                <c:pt idx="72">
                  <c:v>0.0</c:v>
                </c:pt>
                <c:pt idx="73">
                  <c:v>0.0</c:v>
                </c:pt>
                <c:pt idx="74">
                  <c:v>0.0</c:v>
                </c:pt>
                <c:pt idx="75">
                  <c:v>0.0</c:v>
                </c:pt>
                <c:pt idx="76">
                  <c:v>0.0</c:v>
                </c:pt>
                <c:pt idx="77">
                  <c:v>0.0</c:v>
                </c:pt>
                <c:pt idx="78">
                  <c:v>0.0</c:v>
                </c:pt>
                <c:pt idx="79">
                  <c:v>0.0</c:v>
                </c:pt>
                <c:pt idx="80">
                  <c:v>0.0</c:v>
                </c:pt>
                <c:pt idx="81">
                  <c:v>0.0</c:v>
                </c:pt>
                <c:pt idx="82">
                  <c:v>0.0</c:v>
                </c:pt>
                <c:pt idx="83">
                  <c:v>0.0</c:v>
                </c:pt>
                <c:pt idx="84">
                  <c:v>0.0</c:v>
                </c:pt>
                <c:pt idx="85">
                  <c:v>0.0</c:v>
                </c:pt>
                <c:pt idx="86">
                  <c:v>0.0</c:v>
                </c:pt>
                <c:pt idx="87">
                  <c:v>0.0</c:v>
                </c:pt>
                <c:pt idx="88">
                  <c:v>0.0</c:v>
                </c:pt>
                <c:pt idx="89">
                  <c:v>0.0</c:v>
                </c:pt>
                <c:pt idx="90">
                  <c:v>0.0</c:v>
                </c:pt>
                <c:pt idx="91">
                  <c:v>0.0</c:v>
                </c:pt>
                <c:pt idx="92">
                  <c:v>0.0</c:v>
                </c:pt>
                <c:pt idx="93">
                  <c:v>0.0</c:v>
                </c:pt>
                <c:pt idx="94">
                  <c:v>0.0</c:v>
                </c:pt>
                <c:pt idx="95">
                  <c:v>0.0</c:v>
                </c:pt>
                <c:pt idx="96">
                  <c:v>0.0</c:v>
                </c:pt>
                <c:pt idx="97">
                  <c:v>0.0</c:v>
                </c:pt>
                <c:pt idx="98">
                  <c:v>0.0</c:v>
                </c:pt>
                <c:pt idx="99">
                  <c:v>1.0</c:v>
                </c:pt>
                <c:pt idx="100">
                  <c:v>1.0</c:v>
                </c:pt>
                <c:pt idx="101">
                  <c:v>2.0</c:v>
                </c:pt>
                <c:pt idx="102">
                  <c:v>2.0</c:v>
                </c:pt>
                <c:pt idx="103">
                  <c:v>3.0</c:v>
                </c:pt>
                <c:pt idx="104">
                  <c:v>3.0</c:v>
                </c:pt>
                <c:pt idx="105">
                  <c:v>3.0</c:v>
                </c:pt>
                <c:pt idx="106">
                  <c:v>3.0</c:v>
                </c:pt>
                <c:pt idx="107">
                  <c:v>3.0</c:v>
                </c:pt>
                <c:pt idx="108">
                  <c:v>4.0</c:v>
                </c:pt>
                <c:pt idx="109">
                  <c:v>4.0</c:v>
                </c:pt>
                <c:pt idx="110">
                  <c:v>4.0</c:v>
                </c:pt>
                <c:pt idx="111">
                  <c:v>5.0</c:v>
                </c:pt>
                <c:pt idx="112">
                  <c:v>5.0</c:v>
                </c:pt>
                <c:pt idx="113">
                  <c:v>5.0</c:v>
                </c:pt>
                <c:pt idx="114">
                  <c:v>5.0</c:v>
                </c:pt>
                <c:pt idx="115">
                  <c:v>5.0</c:v>
                </c:pt>
                <c:pt idx="116">
                  <c:v>5.0</c:v>
                </c:pt>
                <c:pt idx="117">
                  <c:v>6.0</c:v>
                </c:pt>
                <c:pt idx="118">
                  <c:v>6.0</c:v>
                </c:pt>
                <c:pt idx="119">
                  <c:v>6.0</c:v>
                </c:pt>
                <c:pt idx="120">
                  <c:v>6.0</c:v>
                </c:pt>
                <c:pt idx="121">
                  <c:v>7.0</c:v>
                </c:pt>
                <c:pt idx="122">
                  <c:v>7.0</c:v>
                </c:pt>
                <c:pt idx="123">
                  <c:v>7.0</c:v>
                </c:pt>
                <c:pt idx="124">
                  <c:v>7.0</c:v>
                </c:pt>
                <c:pt idx="125">
                  <c:v>7.0</c:v>
                </c:pt>
                <c:pt idx="126">
                  <c:v>8.0</c:v>
                </c:pt>
                <c:pt idx="127">
                  <c:v>8.0</c:v>
                </c:pt>
                <c:pt idx="128">
                  <c:v>8.0</c:v>
                </c:pt>
                <c:pt idx="129">
                  <c:v>8.0</c:v>
                </c:pt>
                <c:pt idx="130">
                  <c:v>8.0</c:v>
                </c:pt>
                <c:pt idx="131">
                  <c:v>9.0</c:v>
                </c:pt>
                <c:pt idx="132">
                  <c:v>9.0</c:v>
                </c:pt>
                <c:pt idx="133">
                  <c:v>9.0</c:v>
                </c:pt>
                <c:pt idx="134">
                  <c:v>9.0</c:v>
                </c:pt>
                <c:pt idx="135">
                  <c:v>9.0</c:v>
                </c:pt>
                <c:pt idx="136">
                  <c:v>10.0</c:v>
                </c:pt>
                <c:pt idx="137">
                  <c:v>10.0</c:v>
                </c:pt>
                <c:pt idx="138">
                  <c:v>10.0</c:v>
                </c:pt>
                <c:pt idx="139">
                  <c:v>10.0</c:v>
                </c:pt>
                <c:pt idx="140">
                  <c:v>10.0</c:v>
                </c:pt>
                <c:pt idx="141">
                  <c:v>11.0</c:v>
                </c:pt>
                <c:pt idx="142">
                  <c:v>11.0</c:v>
                </c:pt>
                <c:pt idx="143">
                  <c:v>11.0</c:v>
                </c:pt>
                <c:pt idx="144">
                  <c:v>11.0</c:v>
                </c:pt>
                <c:pt idx="145">
                  <c:v>11.0</c:v>
                </c:pt>
                <c:pt idx="146">
                  <c:v>11.0</c:v>
                </c:pt>
                <c:pt idx="147">
                  <c:v>12.0</c:v>
                </c:pt>
                <c:pt idx="148">
                  <c:v>12.0</c:v>
                </c:pt>
                <c:pt idx="149">
                  <c:v>12.0</c:v>
                </c:pt>
                <c:pt idx="150">
                  <c:v>12.0</c:v>
                </c:pt>
                <c:pt idx="151">
                  <c:v>13.0</c:v>
                </c:pt>
                <c:pt idx="152">
                  <c:v>13.0</c:v>
                </c:pt>
                <c:pt idx="153">
                  <c:v>13.0</c:v>
                </c:pt>
                <c:pt idx="154">
                  <c:v>13.0</c:v>
                </c:pt>
                <c:pt idx="155">
                  <c:v>13.0</c:v>
                </c:pt>
                <c:pt idx="156">
                  <c:v>13.0</c:v>
                </c:pt>
                <c:pt idx="157">
                  <c:v>14.0</c:v>
                </c:pt>
                <c:pt idx="158">
                  <c:v>14.0</c:v>
                </c:pt>
                <c:pt idx="159">
                  <c:v>14.0</c:v>
                </c:pt>
                <c:pt idx="160">
                  <c:v>14.0</c:v>
                </c:pt>
                <c:pt idx="161">
                  <c:v>14.0</c:v>
                </c:pt>
                <c:pt idx="162">
                  <c:v>15.0</c:v>
                </c:pt>
                <c:pt idx="163">
                  <c:v>15.0</c:v>
                </c:pt>
                <c:pt idx="164">
                  <c:v>15.0</c:v>
                </c:pt>
                <c:pt idx="165">
                  <c:v>15.0</c:v>
                </c:pt>
                <c:pt idx="166">
                  <c:v>16.0</c:v>
                </c:pt>
                <c:pt idx="167">
                  <c:v>16.0</c:v>
                </c:pt>
                <c:pt idx="168">
                  <c:v>16.0</c:v>
                </c:pt>
                <c:pt idx="169">
                  <c:v>16.0</c:v>
                </c:pt>
                <c:pt idx="170">
                  <c:v>16.0</c:v>
                </c:pt>
                <c:pt idx="171">
                  <c:v>17.0</c:v>
                </c:pt>
                <c:pt idx="172">
                  <c:v>17.0</c:v>
                </c:pt>
                <c:pt idx="173">
                  <c:v>17.0</c:v>
                </c:pt>
                <c:pt idx="174">
                  <c:v>17.0</c:v>
                </c:pt>
                <c:pt idx="175">
                  <c:v>17.0</c:v>
                </c:pt>
                <c:pt idx="176">
                  <c:v>17.0</c:v>
                </c:pt>
                <c:pt idx="177">
                  <c:v>18.0</c:v>
                </c:pt>
                <c:pt idx="178">
                  <c:v>18.0</c:v>
                </c:pt>
                <c:pt idx="179">
                  <c:v>18.0</c:v>
                </c:pt>
                <c:pt idx="180">
                  <c:v>18.0</c:v>
                </c:pt>
                <c:pt idx="181">
                  <c:v>18.0</c:v>
                </c:pt>
                <c:pt idx="182">
                  <c:v>19.0</c:v>
                </c:pt>
                <c:pt idx="183">
                  <c:v>19.0</c:v>
                </c:pt>
                <c:pt idx="184">
                  <c:v>19.0</c:v>
                </c:pt>
                <c:pt idx="185">
                  <c:v>19.0</c:v>
                </c:pt>
                <c:pt idx="186">
                  <c:v>19.0</c:v>
                </c:pt>
                <c:pt idx="187">
                  <c:v>19.0</c:v>
                </c:pt>
                <c:pt idx="188">
                  <c:v>20.0</c:v>
                </c:pt>
                <c:pt idx="189">
                  <c:v>20.0</c:v>
                </c:pt>
                <c:pt idx="190">
                  <c:v>20.0</c:v>
                </c:pt>
                <c:pt idx="191">
                  <c:v>20.0</c:v>
                </c:pt>
                <c:pt idx="192">
                  <c:v>20.0</c:v>
                </c:pt>
                <c:pt idx="193">
                  <c:v>20.0</c:v>
                </c:pt>
                <c:pt idx="194">
                  <c:v>21.0</c:v>
                </c:pt>
                <c:pt idx="195">
                  <c:v>21.0</c:v>
                </c:pt>
                <c:pt idx="196">
                  <c:v>21.0</c:v>
                </c:pt>
                <c:pt idx="197">
                  <c:v>22.0</c:v>
                </c:pt>
                <c:pt idx="198">
                  <c:v>22.0</c:v>
                </c:pt>
                <c:pt idx="199">
                  <c:v>22.0</c:v>
                </c:pt>
                <c:pt idx="200">
                  <c:v>22.0</c:v>
                </c:pt>
                <c:pt idx="201">
                  <c:v>22.0</c:v>
                </c:pt>
                <c:pt idx="202">
                  <c:v>22.0</c:v>
                </c:pt>
                <c:pt idx="203">
                  <c:v>23.0</c:v>
                </c:pt>
                <c:pt idx="204">
                  <c:v>23.0</c:v>
                </c:pt>
                <c:pt idx="205">
                  <c:v>23.0</c:v>
                </c:pt>
                <c:pt idx="206">
                  <c:v>23.0</c:v>
                </c:pt>
                <c:pt idx="207">
                  <c:v>23.0</c:v>
                </c:pt>
                <c:pt idx="208">
                  <c:v>24.0</c:v>
                </c:pt>
                <c:pt idx="209">
                  <c:v>24.0</c:v>
                </c:pt>
                <c:pt idx="210">
                  <c:v>24.0</c:v>
                </c:pt>
                <c:pt idx="211">
                  <c:v>24.0</c:v>
                </c:pt>
                <c:pt idx="212">
                  <c:v>24.0</c:v>
                </c:pt>
                <c:pt idx="213">
                  <c:v>24.0</c:v>
                </c:pt>
                <c:pt idx="214">
                  <c:v>25.0</c:v>
                </c:pt>
                <c:pt idx="215">
                  <c:v>25.0</c:v>
                </c:pt>
                <c:pt idx="216">
                  <c:v>25.0</c:v>
                </c:pt>
                <c:pt idx="217">
                  <c:v>25.0</c:v>
                </c:pt>
                <c:pt idx="218">
                  <c:v>25.0</c:v>
                </c:pt>
                <c:pt idx="219">
                  <c:v>26.0</c:v>
                </c:pt>
                <c:pt idx="220">
                  <c:v>26.0</c:v>
                </c:pt>
                <c:pt idx="221">
                  <c:v>26.0</c:v>
                </c:pt>
                <c:pt idx="222">
                  <c:v>26.0</c:v>
                </c:pt>
                <c:pt idx="223">
                  <c:v>27.0</c:v>
                </c:pt>
                <c:pt idx="224">
                  <c:v>27.0</c:v>
                </c:pt>
                <c:pt idx="225">
                  <c:v>27.0</c:v>
                </c:pt>
                <c:pt idx="226">
                  <c:v>27.0</c:v>
                </c:pt>
                <c:pt idx="227">
                  <c:v>27.0</c:v>
                </c:pt>
                <c:pt idx="228">
                  <c:v>27.0</c:v>
                </c:pt>
                <c:pt idx="229">
                  <c:v>28.0</c:v>
                </c:pt>
                <c:pt idx="230">
                  <c:v>28.0</c:v>
                </c:pt>
                <c:pt idx="231">
                  <c:v>28.0</c:v>
                </c:pt>
                <c:pt idx="232">
                  <c:v>28.0</c:v>
                </c:pt>
                <c:pt idx="233">
                  <c:v>28.0</c:v>
                </c:pt>
                <c:pt idx="234">
                  <c:v>29.0</c:v>
                </c:pt>
                <c:pt idx="235">
                  <c:v>29.0</c:v>
                </c:pt>
                <c:pt idx="236">
                  <c:v>29.0</c:v>
                </c:pt>
                <c:pt idx="237">
                  <c:v>29.0</c:v>
                </c:pt>
                <c:pt idx="238">
                  <c:v>29.0</c:v>
                </c:pt>
                <c:pt idx="239">
                  <c:v>30.0</c:v>
                </c:pt>
                <c:pt idx="240">
                  <c:v>30.0</c:v>
                </c:pt>
                <c:pt idx="241">
                  <c:v>30.0</c:v>
                </c:pt>
                <c:pt idx="242">
                  <c:v>30.0</c:v>
                </c:pt>
                <c:pt idx="243">
                  <c:v>30.0</c:v>
                </c:pt>
                <c:pt idx="244">
                  <c:v>30.0</c:v>
                </c:pt>
                <c:pt idx="245">
                  <c:v>31.0</c:v>
                </c:pt>
                <c:pt idx="246">
                  <c:v>31.0</c:v>
                </c:pt>
                <c:pt idx="247">
                  <c:v>31.0</c:v>
                </c:pt>
                <c:pt idx="248">
                  <c:v>31.0</c:v>
                </c:pt>
                <c:pt idx="249">
                  <c:v>31.0</c:v>
                </c:pt>
                <c:pt idx="250">
                  <c:v>32.0</c:v>
                </c:pt>
                <c:pt idx="251">
                  <c:v>32.0</c:v>
                </c:pt>
                <c:pt idx="252">
                  <c:v>32.0</c:v>
                </c:pt>
                <c:pt idx="253">
                  <c:v>32.0</c:v>
                </c:pt>
                <c:pt idx="254">
                  <c:v>32.0</c:v>
                </c:pt>
                <c:pt idx="255">
                  <c:v>33.0</c:v>
                </c:pt>
                <c:pt idx="256">
                  <c:v>33.0</c:v>
                </c:pt>
                <c:pt idx="257">
                  <c:v>33.0</c:v>
                </c:pt>
                <c:pt idx="258">
                  <c:v>33.0</c:v>
                </c:pt>
                <c:pt idx="259">
                  <c:v>33.0</c:v>
                </c:pt>
                <c:pt idx="260">
                  <c:v>33.0</c:v>
                </c:pt>
                <c:pt idx="261">
                  <c:v>34.0</c:v>
                </c:pt>
                <c:pt idx="262">
                  <c:v>34.0</c:v>
                </c:pt>
                <c:pt idx="263">
                  <c:v>34.0</c:v>
                </c:pt>
                <c:pt idx="264">
                  <c:v>34.0</c:v>
                </c:pt>
                <c:pt idx="265">
                  <c:v>34.0</c:v>
                </c:pt>
                <c:pt idx="266">
                  <c:v>34.0</c:v>
                </c:pt>
                <c:pt idx="267">
                  <c:v>35.0</c:v>
                </c:pt>
                <c:pt idx="268">
                  <c:v>35.0</c:v>
                </c:pt>
                <c:pt idx="269">
                  <c:v>35.0</c:v>
                </c:pt>
                <c:pt idx="270">
                  <c:v>35.0</c:v>
                </c:pt>
                <c:pt idx="271">
                  <c:v>36.0</c:v>
                </c:pt>
                <c:pt idx="272">
                  <c:v>36.0</c:v>
                </c:pt>
                <c:pt idx="273">
                  <c:v>36.0</c:v>
                </c:pt>
                <c:pt idx="274">
                  <c:v>36.0</c:v>
                </c:pt>
                <c:pt idx="275">
                  <c:v>36.0</c:v>
                </c:pt>
                <c:pt idx="276">
                  <c:v>37.0</c:v>
                </c:pt>
                <c:pt idx="277">
                  <c:v>37.0</c:v>
                </c:pt>
                <c:pt idx="278">
                  <c:v>37.0</c:v>
                </c:pt>
                <c:pt idx="279">
                  <c:v>37.0</c:v>
                </c:pt>
                <c:pt idx="280">
                  <c:v>37.0</c:v>
                </c:pt>
                <c:pt idx="281">
                  <c:v>37.0</c:v>
                </c:pt>
                <c:pt idx="282">
                  <c:v>38.0</c:v>
                </c:pt>
                <c:pt idx="283">
                  <c:v>38.0</c:v>
                </c:pt>
                <c:pt idx="284">
                  <c:v>38.0</c:v>
                </c:pt>
                <c:pt idx="285">
                  <c:v>38.0</c:v>
                </c:pt>
                <c:pt idx="286">
                  <c:v>39.0</c:v>
                </c:pt>
                <c:pt idx="287">
                  <c:v>39.0</c:v>
                </c:pt>
                <c:pt idx="288">
                  <c:v>39.0</c:v>
                </c:pt>
                <c:pt idx="289">
                  <c:v>39.0</c:v>
                </c:pt>
                <c:pt idx="290">
                  <c:v>39.0</c:v>
                </c:pt>
                <c:pt idx="291">
                  <c:v>39.0</c:v>
                </c:pt>
                <c:pt idx="292">
                  <c:v>40.0</c:v>
                </c:pt>
                <c:pt idx="293">
                  <c:v>40.0</c:v>
                </c:pt>
                <c:pt idx="294">
                  <c:v>40.0</c:v>
                </c:pt>
                <c:pt idx="295">
                  <c:v>40.0</c:v>
                </c:pt>
                <c:pt idx="296">
                  <c:v>40.0</c:v>
                </c:pt>
                <c:pt idx="297">
                  <c:v>40.0</c:v>
                </c:pt>
                <c:pt idx="298">
                  <c:v>41.0</c:v>
                </c:pt>
              </c:numCache>
            </c:numRef>
          </c:val>
          <c:smooth val="0"/>
        </c:ser>
        <c:dLbls>
          <c:showLegendKey val="0"/>
          <c:showVal val="0"/>
          <c:showCatName val="0"/>
          <c:showSerName val="0"/>
          <c:showPercent val="0"/>
          <c:showBubbleSize val="0"/>
        </c:dLbls>
        <c:marker val="1"/>
        <c:smooth val="0"/>
        <c:axId val="489853016"/>
        <c:axId val="671487928"/>
      </c:lineChart>
      <c:catAx>
        <c:axId val="489853016"/>
        <c:scaling>
          <c:orientation val="minMax"/>
        </c:scaling>
        <c:delete val="0"/>
        <c:axPos val="b"/>
        <c:title>
          <c:tx>
            <c:rich>
              <a:bodyPr/>
              <a:lstStyle/>
              <a:p>
                <a:pPr lvl="0">
                  <a:defRPr/>
                </a:pPr>
                <a:r>
                  <a:rPr lang="en-US"/>
                  <a:t>Minutes</a:t>
                </a:r>
              </a:p>
            </c:rich>
          </c:tx>
          <c:layout/>
          <c:overlay val="0"/>
        </c:title>
        <c:numFmt formatCode="0.00" sourceLinked="1"/>
        <c:majorTickMark val="cross"/>
        <c:minorTickMark val="cross"/>
        <c:tickLblPos val="nextTo"/>
        <c:txPr>
          <a:bodyPr/>
          <a:lstStyle/>
          <a:p>
            <a:pPr lvl="0">
              <a:defRPr/>
            </a:pPr>
            <a:endParaRPr lang="en-US"/>
          </a:p>
        </c:txPr>
        <c:crossAx val="671487928"/>
        <c:crosses val="autoZero"/>
        <c:auto val="1"/>
        <c:lblAlgn val="ctr"/>
        <c:lblOffset val="100"/>
        <c:tickLblSkip val="40"/>
        <c:tickMarkSkip val="40"/>
        <c:noMultiLvlLbl val="1"/>
      </c:catAx>
      <c:valAx>
        <c:axId val="671487928"/>
        <c:scaling>
          <c:orientation val="minMax"/>
        </c:scaling>
        <c:delete val="0"/>
        <c:axPos val="l"/>
        <c:majorGridlines>
          <c:spPr>
            <a:ln>
              <a:solidFill>
                <a:srgbClr val="B7B7B7"/>
              </a:solidFill>
            </a:ln>
          </c:spPr>
        </c:majorGridlines>
        <c:title>
          <c:tx>
            <c:rich>
              <a:bodyPr/>
              <a:lstStyle/>
              <a:p>
                <a:pPr lvl="0">
                  <a:defRPr/>
                </a:pPr>
                <a:r>
                  <a:rPr lang="en-US"/>
                  <a:t>Count</a:t>
                </a:r>
              </a:p>
            </c:rich>
          </c:tx>
          <c:layout/>
          <c:overlay val="0"/>
        </c:title>
        <c:numFmt formatCode="0" sourceLinked="1"/>
        <c:majorTickMark val="cross"/>
        <c:minorTickMark val="cross"/>
        <c:tickLblPos val="nextTo"/>
        <c:spPr>
          <a:ln w="47625">
            <a:noFill/>
          </a:ln>
        </c:spPr>
        <c:txPr>
          <a:bodyPr/>
          <a:lstStyle/>
          <a:p>
            <a:pPr lvl="0">
              <a:defRPr/>
            </a:pPr>
            <a:endParaRPr lang="en-US"/>
          </a:p>
        </c:txPr>
        <c:crossAx val="489853016"/>
        <c:crossesAt val="1.0"/>
        <c:crossBetween val="between"/>
      </c:valAx>
    </c:plotArea>
    <c:legend>
      <c:legendPos val="r"/>
      <c:layout/>
      <c:overlay val="0"/>
    </c:legend>
    <c:plotVisOnly val="1"/>
    <c:dispBlanksAs val="zero"/>
    <c:showDLblsOverMax val="1"/>
  </c:chart>
  <c:printSettings>
    <c:headerFooter/>
    <c:pageMargins b="1.0" l="0.75" r="0.75" t="1.0"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1"/>
  <c:style val="18"/>
  <c:chart>
    <c:title>
      <c:tx>
        <c:rich>
          <a:bodyPr/>
          <a:lstStyle/>
          <a:p>
            <a:pPr lvl="0">
              <a:defRPr sz="1600" b="1">
                <a:solidFill>
                  <a:srgbClr val="000000"/>
                </a:solidFill>
              </a:defRPr>
            </a:pPr>
            <a:r>
              <a:rPr lang="en-US"/>
              <a:t>Counts of Items Over Time</a:t>
            </a:r>
          </a:p>
        </c:rich>
      </c:tx>
      <c:layout/>
      <c:overlay val="0"/>
    </c:title>
    <c:autoTitleDeleted val="0"/>
    <c:plotArea>
      <c:layout/>
      <c:lineChart>
        <c:grouping val="standard"/>
        <c:varyColors val="1"/>
        <c:ser>
          <c:idx val="0"/>
          <c:order val="0"/>
          <c:tx>
            <c:strRef>
              <c:f>Calculations!$I$1</c:f>
              <c:strCache>
                <c:ptCount val="1"/>
                <c:pt idx="0">
                  <c:v>Generator 1 Count</c:v>
                </c:pt>
              </c:strCache>
            </c:strRef>
          </c:tx>
          <c:spPr>
            <a:ln w="25400" cmpd="sng">
              <a:solidFill>
                <a:srgbClr val="3366CC"/>
              </a:solidFill>
            </a:ln>
          </c:spPr>
          <c:marker>
            <c:symbol val="none"/>
          </c:marker>
          <c:cat>
            <c:numRef>
              <c:f>Calculations!$A$2:$A$120</c:f>
              <c:numCache>
                <c:formatCode>0.00</c:formatCode>
                <c:ptCount val="119"/>
                <c:pt idx="0">
                  <c:v>0.0</c:v>
                </c:pt>
                <c:pt idx="1">
                  <c:v>0.0457045908183633</c:v>
                </c:pt>
                <c:pt idx="2">
                  <c:v>0.0701565469061876</c:v>
                </c:pt>
                <c:pt idx="3">
                  <c:v>0.0875989422488357</c:v>
                </c:pt>
                <c:pt idx="4">
                  <c:v>0.101596464511311</c:v>
                </c:pt>
                <c:pt idx="5">
                  <c:v>0.113578343567989</c:v>
                </c:pt>
                <c:pt idx="6">
                  <c:v>0.124262185726861</c:v>
                </c:pt>
                <c:pt idx="7">
                  <c:v>0.134060795249712</c:v>
                </c:pt>
                <c:pt idx="8">
                  <c:v>0.143234743415481</c:v>
                </c:pt>
                <c:pt idx="9">
                  <c:v>0.151960187448702</c:v>
                </c:pt>
                <c:pt idx="10">
                  <c:v>0.160362790052693</c:v>
                </c:pt>
                <c:pt idx="11">
                  <c:v>0.168536230767485</c:v>
                </c:pt>
                <c:pt idx="12">
                  <c:v>0.176553013868576</c:v>
                </c:pt>
                <c:pt idx="13">
                  <c:v>0.22952399498327</c:v>
                </c:pt>
                <c:pt idx="14">
                  <c:v>0.261231019677588</c:v>
                </c:pt>
                <c:pt idx="15">
                  <c:v>0.285876539042359</c:v>
                </c:pt>
                <c:pt idx="16">
                  <c:v>0.28798034857216</c:v>
                </c:pt>
                <c:pt idx="17">
                  <c:v>0.308956676828337</c:v>
                </c:pt>
                <c:pt idx="18">
                  <c:v>0.310735893659906</c:v>
                </c:pt>
                <c:pt idx="19">
                  <c:v>0.329882558938345</c:v>
                </c:pt>
                <c:pt idx="20">
                  <c:v>0.331456416727798</c:v>
                </c:pt>
                <c:pt idx="21">
                  <c:v>0.333118251329526</c:v>
                </c:pt>
                <c:pt idx="22">
                  <c:v>0.351134146380737</c:v>
                </c:pt>
                <c:pt idx="23">
                  <c:v>0.352652636968932</c:v>
                </c:pt>
                <c:pt idx="24">
                  <c:v>0.354259339858902</c:v>
                </c:pt>
                <c:pt idx="25">
                  <c:v>0.371790611726487</c:v>
                </c:pt>
                <c:pt idx="26">
                  <c:v>0.373292847586068</c:v>
                </c:pt>
                <c:pt idx="27">
                  <c:v>0.374884759302661</c:v>
                </c:pt>
                <c:pt idx="28">
                  <c:v>0.392357900689187</c:v>
                </c:pt>
                <c:pt idx="29">
                  <c:v>0.393872024419506</c:v>
                </c:pt>
                <c:pt idx="30">
                  <c:v>0.395478384713287</c:v>
                </c:pt>
                <c:pt idx="31">
                  <c:v>0.413208722357156</c:v>
                </c:pt>
                <c:pt idx="32">
                  <c:v>0.414756993026504</c:v>
                </c:pt>
                <c:pt idx="33">
                  <c:v>0.476916207857475</c:v>
                </c:pt>
                <c:pt idx="34">
                  <c:v>0.489963027180578</c:v>
                </c:pt>
                <c:pt idx="35">
                  <c:v>0.491059212477097</c:v>
                </c:pt>
                <c:pt idx="36">
                  <c:v>0.538068104715228</c:v>
                </c:pt>
                <c:pt idx="37">
                  <c:v>0.538986081862026</c:v>
                </c:pt>
                <c:pt idx="38">
                  <c:v>0.580974008743137</c:v>
                </c:pt>
                <c:pt idx="39">
                  <c:v>0.590035578989843</c:v>
                </c:pt>
                <c:pt idx="40">
                  <c:v>0.590812186244874</c:v>
                </c:pt>
                <c:pt idx="41">
                  <c:v>0.628689032980937</c:v>
                </c:pt>
                <c:pt idx="42">
                  <c:v>0.629398140294951</c:v>
                </c:pt>
                <c:pt idx="43">
                  <c:v>0.637934502068953</c:v>
                </c:pt>
                <c:pt idx="44">
                  <c:v>0.638667824790335</c:v>
                </c:pt>
                <c:pt idx="45">
                  <c:v>0.67430000557901</c:v>
                </c:pt>
                <c:pt idx="46">
                  <c:v>0.674987252399305</c:v>
                </c:pt>
                <c:pt idx="47">
                  <c:v>0.683300706826132</c:v>
                </c:pt>
                <c:pt idx="48">
                  <c:v>0.68401509641484</c:v>
                </c:pt>
                <c:pt idx="49">
                  <c:v>0.718592031037143</c:v>
                </c:pt>
                <c:pt idx="50">
                  <c:v>0.719274161252134</c:v>
                </c:pt>
                <c:pt idx="51">
                  <c:v>0.727564967594102</c:v>
                </c:pt>
                <c:pt idx="52">
                  <c:v>0.761943088009293</c:v>
                </c:pt>
                <c:pt idx="53">
                  <c:v>0.762588368791644</c:v>
                </c:pt>
                <c:pt idx="54">
                  <c:v>0.76327762449217</c:v>
                </c:pt>
                <c:pt idx="55">
                  <c:v>0.771694287672172</c:v>
                </c:pt>
                <c:pt idx="56">
                  <c:v>0.806383921698811</c:v>
                </c:pt>
                <c:pt idx="57">
                  <c:v>0.807044940754676</c:v>
                </c:pt>
                <c:pt idx="58">
                  <c:v>0.807751135892052</c:v>
                </c:pt>
                <c:pt idx="59">
                  <c:v>0.84387988293301</c:v>
                </c:pt>
                <c:pt idx="60">
                  <c:v>0.851877029271451</c:v>
                </c:pt>
                <c:pt idx="61">
                  <c:v>0.852561756757852</c:v>
                </c:pt>
                <c:pt idx="62">
                  <c:v>0.853293388528083</c:v>
                </c:pt>
                <c:pt idx="63">
                  <c:v>0.890568752402384</c:v>
                </c:pt>
                <c:pt idx="64">
                  <c:v>0.898953325357183</c:v>
                </c:pt>
                <c:pt idx="65">
                  <c:v>0.899669103384407</c:v>
                </c:pt>
                <c:pt idx="66">
                  <c:v>1.024346338602355</c:v>
                </c:pt>
                <c:pt idx="67">
                  <c:v>1.054803292460097</c:v>
                </c:pt>
                <c:pt idx="68">
                  <c:v>1.055372080634922</c:v>
                </c:pt>
                <c:pt idx="69">
                  <c:v>1.160036015061151</c:v>
                </c:pt>
                <c:pt idx="70">
                  <c:v>1.165882317784721</c:v>
                </c:pt>
                <c:pt idx="71">
                  <c:v>1.166382213887552</c:v>
                </c:pt>
                <c:pt idx="72">
                  <c:v>1.193417831800331</c:v>
                </c:pt>
                <c:pt idx="73">
                  <c:v>1.28665541992133</c:v>
                </c:pt>
                <c:pt idx="74">
                  <c:v>1.287096974373189</c:v>
                </c:pt>
                <c:pt idx="75">
                  <c:v>1.292591569895455</c:v>
                </c:pt>
                <c:pt idx="76">
                  <c:v>1.293060110657118</c:v>
                </c:pt>
                <c:pt idx="77">
                  <c:v>1.38295493449193</c:v>
                </c:pt>
                <c:pt idx="78">
                  <c:v>1.40513298017293</c:v>
                </c:pt>
                <c:pt idx="79">
                  <c:v>1.405560362659924</c:v>
                </c:pt>
                <c:pt idx="80">
                  <c:v>1.492164703415927</c:v>
                </c:pt>
                <c:pt idx="81">
                  <c:v>1.49694537612117</c:v>
                </c:pt>
                <c:pt idx="82">
                  <c:v>1.497351989039084</c:v>
                </c:pt>
                <c:pt idx="83">
                  <c:v>1.519161254019183</c:v>
                </c:pt>
                <c:pt idx="84">
                  <c:v>1.519585047887087</c:v>
                </c:pt>
                <c:pt idx="85">
                  <c:v>1.604350756171844</c:v>
                </c:pt>
                <c:pt idx="86">
                  <c:v>1.609180724710778</c:v>
                </c:pt>
                <c:pt idx="87">
                  <c:v>1.609589997318293</c:v>
                </c:pt>
                <c:pt idx="88">
                  <c:v>1.631449248137016</c:v>
                </c:pt>
                <c:pt idx="89">
                  <c:v>1.715963663586359</c:v>
                </c:pt>
                <c:pt idx="90">
                  <c:v>1.716356307368074</c:v>
                </c:pt>
                <c:pt idx="91">
                  <c:v>1.721309157081167</c:v>
                </c:pt>
                <c:pt idx="92">
                  <c:v>1.721727212155325</c:v>
                </c:pt>
                <c:pt idx="93">
                  <c:v>1.743960994324569</c:v>
                </c:pt>
                <c:pt idx="94">
                  <c:v>1.829376095695778</c:v>
                </c:pt>
                <c:pt idx="95">
                  <c:v>1.829781686489108</c:v>
                </c:pt>
                <c:pt idx="96">
                  <c:v>1.834920833295653</c:v>
                </c:pt>
                <c:pt idx="97">
                  <c:v>1.835352881776753</c:v>
                </c:pt>
                <c:pt idx="98">
                  <c:v>1.858233391678885</c:v>
                </c:pt>
                <c:pt idx="99">
                  <c:v>2.248807277135892</c:v>
                </c:pt>
                <c:pt idx="100">
                  <c:v>2.3096044245083</c:v>
                </c:pt>
                <c:pt idx="101">
                  <c:v>2.599578190991203</c:v>
                </c:pt>
                <c:pt idx="102">
                  <c:v>2.599811539913223</c:v>
                </c:pt>
                <c:pt idx="103">
                  <c:v>2.851731835777843</c:v>
                </c:pt>
                <c:pt idx="104">
                  <c:v>2.893168161450549</c:v>
                </c:pt>
                <c:pt idx="105">
                  <c:v>2.903606896369412</c:v>
                </c:pt>
                <c:pt idx="106">
                  <c:v>2.905944248387656</c:v>
                </c:pt>
                <c:pt idx="107">
                  <c:v>2.906140365846618</c:v>
                </c:pt>
                <c:pt idx="108">
                  <c:v>3.127768049573493</c:v>
                </c:pt>
                <c:pt idx="109">
                  <c:v>3.127946456310891</c:v>
                </c:pt>
                <c:pt idx="110">
                  <c:v>3.166224842698874</c:v>
                </c:pt>
                <c:pt idx="111">
                  <c:v>3.372126760631556</c:v>
                </c:pt>
                <c:pt idx="112">
                  <c:v>3.380661673797114</c:v>
                </c:pt>
                <c:pt idx="113">
                  <c:v>3.382593516806976</c:v>
                </c:pt>
                <c:pt idx="114">
                  <c:v>3.382754964894407</c:v>
                </c:pt>
                <c:pt idx="115">
                  <c:v>3.382927697439383</c:v>
                </c:pt>
                <c:pt idx="116">
                  <c:v>3.419506980402546</c:v>
                </c:pt>
                <c:pt idx="117">
                  <c:v>3.615263383241809</c:v>
                </c:pt>
                <c:pt idx="118">
                  <c:v>3.623684845699133</c:v>
                </c:pt>
              </c:numCache>
            </c:numRef>
          </c:cat>
          <c:val>
            <c:numRef>
              <c:f>Calculations!$I$2:$I$120</c:f>
              <c:numCache>
                <c:formatCode>0</c:formatCode>
                <c:ptCount val="119"/>
                <c:pt idx="0">
                  <c:v>1.0</c:v>
                </c:pt>
                <c:pt idx="1">
                  <c:v>2.0</c:v>
                </c:pt>
                <c:pt idx="2">
                  <c:v>3.0</c:v>
                </c:pt>
                <c:pt idx="3">
                  <c:v>4.0</c:v>
                </c:pt>
                <c:pt idx="4">
                  <c:v>5.0</c:v>
                </c:pt>
                <c:pt idx="5">
                  <c:v>6.0</c:v>
                </c:pt>
                <c:pt idx="6">
                  <c:v>7.0</c:v>
                </c:pt>
                <c:pt idx="7">
                  <c:v>8.0</c:v>
                </c:pt>
                <c:pt idx="8">
                  <c:v>9.0</c:v>
                </c:pt>
                <c:pt idx="9">
                  <c:v>10.0</c:v>
                </c:pt>
                <c:pt idx="10">
                  <c:v>11.0</c:v>
                </c:pt>
                <c:pt idx="11">
                  <c:v>12.0</c:v>
                </c:pt>
                <c:pt idx="12">
                  <c:v>13.0</c:v>
                </c:pt>
                <c:pt idx="13">
                  <c:v>13.0</c:v>
                </c:pt>
                <c:pt idx="14">
                  <c:v>13.0</c:v>
                </c:pt>
                <c:pt idx="15">
                  <c:v>13.0</c:v>
                </c:pt>
                <c:pt idx="16">
                  <c:v>14.0</c:v>
                </c:pt>
                <c:pt idx="17">
                  <c:v>14.0</c:v>
                </c:pt>
                <c:pt idx="18">
                  <c:v>15.0</c:v>
                </c:pt>
                <c:pt idx="19">
                  <c:v>15.0</c:v>
                </c:pt>
                <c:pt idx="20">
                  <c:v>16.0</c:v>
                </c:pt>
                <c:pt idx="21">
                  <c:v>17.0</c:v>
                </c:pt>
                <c:pt idx="22">
                  <c:v>17.0</c:v>
                </c:pt>
                <c:pt idx="23">
                  <c:v>18.0</c:v>
                </c:pt>
                <c:pt idx="24">
                  <c:v>19.0</c:v>
                </c:pt>
                <c:pt idx="25">
                  <c:v>19.0</c:v>
                </c:pt>
                <c:pt idx="26">
                  <c:v>20.0</c:v>
                </c:pt>
                <c:pt idx="27">
                  <c:v>21.0</c:v>
                </c:pt>
                <c:pt idx="28">
                  <c:v>21.0</c:v>
                </c:pt>
                <c:pt idx="29">
                  <c:v>22.0</c:v>
                </c:pt>
                <c:pt idx="30">
                  <c:v>23.0</c:v>
                </c:pt>
                <c:pt idx="31">
                  <c:v>23.0</c:v>
                </c:pt>
                <c:pt idx="32">
                  <c:v>24.0</c:v>
                </c:pt>
                <c:pt idx="33">
                  <c:v>24.0</c:v>
                </c:pt>
                <c:pt idx="34">
                  <c:v>24.0</c:v>
                </c:pt>
                <c:pt idx="35">
                  <c:v>25.0</c:v>
                </c:pt>
                <c:pt idx="36">
                  <c:v>25.0</c:v>
                </c:pt>
                <c:pt idx="37">
                  <c:v>26.0</c:v>
                </c:pt>
                <c:pt idx="38">
                  <c:v>26.0</c:v>
                </c:pt>
                <c:pt idx="39">
                  <c:v>26.0</c:v>
                </c:pt>
                <c:pt idx="40">
                  <c:v>27.0</c:v>
                </c:pt>
                <c:pt idx="41">
                  <c:v>27.0</c:v>
                </c:pt>
                <c:pt idx="42">
                  <c:v>28.0</c:v>
                </c:pt>
                <c:pt idx="43">
                  <c:v>28.0</c:v>
                </c:pt>
                <c:pt idx="44">
                  <c:v>29.0</c:v>
                </c:pt>
                <c:pt idx="45">
                  <c:v>29.0</c:v>
                </c:pt>
                <c:pt idx="46">
                  <c:v>30.0</c:v>
                </c:pt>
                <c:pt idx="47">
                  <c:v>30.0</c:v>
                </c:pt>
                <c:pt idx="48">
                  <c:v>31.0</c:v>
                </c:pt>
                <c:pt idx="49">
                  <c:v>31.0</c:v>
                </c:pt>
                <c:pt idx="50">
                  <c:v>32.0</c:v>
                </c:pt>
                <c:pt idx="51">
                  <c:v>32.0</c:v>
                </c:pt>
                <c:pt idx="52">
                  <c:v>32.0</c:v>
                </c:pt>
                <c:pt idx="53">
                  <c:v>33.0</c:v>
                </c:pt>
                <c:pt idx="54">
                  <c:v>34.0</c:v>
                </c:pt>
                <c:pt idx="55">
                  <c:v>34.0</c:v>
                </c:pt>
                <c:pt idx="56">
                  <c:v>34.0</c:v>
                </c:pt>
                <c:pt idx="57">
                  <c:v>35.0</c:v>
                </c:pt>
                <c:pt idx="58">
                  <c:v>36.0</c:v>
                </c:pt>
                <c:pt idx="59">
                  <c:v>36.0</c:v>
                </c:pt>
                <c:pt idx="60">
                  <c:v>36.0</c:v>
                </c:pt>
                <c:pt idx="61">
                  <c:v>37.0</c:v>
                </c:pt>
                <c:pt idx="62">
                  <c:v>38.0</c:v>
                </c:pt>
                <c:pt idx="63">
                  <c:v>38.0</c:v>
                </c:pt>
                <c:pt idx="64">
                  <c:v>38.0</c:v>
                </c:pt>
                <c:pt idx="65">
                  <c:v>39.0</c:v>
                </c:pt>
                <c:pt idx="66">
                  <c:v>39.0</c:v>
                </c:pt>
                <c:pt idx="67">
                  <c:v>39.0</c:v>
                </c:pt>
                <c:pt idx="68">
                  <c:v>40.0</c:v>
                </c:pt>
                <c:pt idx="69">
                  <c:v>40.0</c:v>
                </c:pt>
                <c:pt idx="70">
                  <c:v>40.0</c:v>
                </c:pt>
                <c:pt idx="71">
                  <c:v>41.0</c:v>
                </c:pt>
                <c:pt idx="72">
                  <c:v>41.0</c:v>
                </c:pt>
                <c:pt idx="73">
                  <c:v>41.0</c:v>
                </c:pt>
                <c:pt idx="74">
                  <c:v>42.0</c:v>
                </c:pt>
                <c:pt idx="75">
                  <c:v>42.0</c:v>
                </c:pt>
                <c:pt idx="76">
                  <c:v>43.0</c:v>
                </c:pt>
                <c:pt idx="77">
                  <c:v>43.0</c:v>
                </c:pt>
                <c:pt idx="78">
                  <c:v>43.0</c:v>
                </c:pt>
                <c:pt idx="79">
                  <c:v>44.0</c:v>
                </c:pt>
                <c:pt idx="80">
                  <c:v>44.0</c:v>
                </c:pt>
                <c:pt idx="81">
                  <c:v>44.0</c:v>
                </c:pt>
                <c:pt idx="82">
                  <c:v>45.0</c:v>
                </c:pt>
                <c:pt idx="83">
                  <c:v>45.0</c:v>
                </c:pt>
                <c:pt idx="84">
                  <c:v>46.0</c:v>
                </c:pt>
                <c:pt idx="85">
                  <c:v>46.0</c:v>
                </c:pt>
                <c:pt idx="86">
                  <c:v>46.0</c:v>
                </c:pt>
                <c:pt idx="87">
                  <c:v>47.0</c:v>
                </c:pt>
                <c:pt idx="88">
                  <c:v>47.0</c:v>
                </c:pt>
                <c:pt idx="89">
                  <c:v>47.0</c:v>
                </c:pt>
                <c:pt idx="90">
                  <c:v>48.0</c:v>
                </c:pt>
                <c:pt idx="91">
                  <c:v>48.0</c:v>
                </c:pt>
                <c:pt idx="92">
                  <c:v>49.0</c:v>
                </c:pt>
                <c:pt idx="93">
                  <c:v>49.0</c:v>
                </c:pt>
                <c:pt idx="94">
                  <c:v>49.0</c:v>
                </c:pt>
                <c:pt idx="95">
                  <c:v>50.0</c:v>
                </c:pt>
                <c:pt idx="96">
                  <c:v>50.0</c:v>
                </c:pt>
                <c:pt idx="97">
                  <c:v>51.0</c:v>
                </c:pt>
                <c:pt idx="98">
                  <c:v>51.0</c:v>
                </c:pt>
                <c:pt idx="99">
                  <c:v>51.0</c:v>
                </c:pt>
                <c:pt idx="100">
                  <c:v>51.0</c:v>
                </c:pt>
                <c:pt idx="101">
                  <c:v>51.0</c:v>
                </c:pt>
                <c:pt idx="102">
                  <c:v>52.0</c:v>
                </c:pt>
                <c:pt idx="103">
                  <c:v>52.0</c:v>
                </c:pt>
                <c:pt idx="104">
                  <c:v>52.0</c:v>
                </c:pt>
                <c:pt idx="105">
                  <c:v>52.0</c:v>
                </c:pt>
                <c:pt idx="106">
                  <c:v>52.0</c:v>
                </c:pt>
                <c:pt idx="107">
                  <c:v>53.0</c:v>
                </c:pt>
                <c:pt idx="108">
                  <c:v>53.0</c:v>
                </c:pt>
                <c:pt idx="109">
                  <c:v>54.0</c:v>
                </c:pt>
                <c:pt idx="110">
                  <c:v>54.0</c:v>
                </c:pt>
                <c:pt idx="111">
                  <c:v>54.0</c:v>
                </c:pt>
                <c:pt idx="112">
                  <c:v>54.0</c:v>
                </c:pt>
                <c:pt idx="113">
                  <c:v>54.0</c:v>
                </c:pt>
                <c:pt idx="114">
                  <c:v>55.0</c:v>
                </c:pt>
                <c:pt idx="115">
                  <c:v>56.0</c:v>
                </c:pt>
                <c:pt idx="116">
                  <c:v>56.0</c:v>
                </c:pt>
                <c:pt idx="117">
                  <c:v>56.0</c:v>
                </c:pt>
                <c:pt idx="118">
                  <c:v>56.0</c:v>
                </c:pt>
              </c:numCache>
            </c:numRef>
          </c:val>
          <c:smooth val="0"/>
        </c:ser>
        <c:ser>
          <c:idx val="1"/>
          <c:order val="1"/>
          <c:tx>
            <c:strRef>
              <c:f>Calculations!$J$1</c:f>
              <c:strCache>
                <c:ptCount val="1"/>
                <c:pt idx="0">
                  <c:v>Generator 2 Count</c:v>
                </c:pt>
              </c:strCache>
            </c:strRef>
          </c:tx>
          <c:spPr>
            <a:ln w="25400" cmpd="sng">
              <a:solidFill>
                <a:srgbClr val="DC3912"/>
              </a:solidFill>
            </a:ln>
          </c:spPr>
          <c:marker>
            <c:symbol val="none"/>
          </c:marker>
          <c:cat>
            <c:numRef>
              <c:f>Calculations!$A$2:$A$120</c:f>
              <c:numCache>
                <c:formatCode>0.00</c:formatCode>
                <c:ptCount val="119"/>
                <c:pt idx="0">
                  <c:v>0.0</c:v>
                </c:pt>
                <c:pt idx="1">
                  <c:v>0.0457045908183633</c:v>
                </c:pt>
                <c:pt idx="2">
                  <c:v>0.0701565469061876</c:v>
                </c:pt>
                <c:pt idx="3">
                  <c:v>0.0875989422488357</c:v>
                </c:pt>
                <c:pt idx="4">
                  <c:v>0.101596464511311</c:v>
                </c:pt>
                <c:pt idx="5">
                  <c:v>0.113578343567989</c:v>
                </c:pt>
                <c:pt idx="6">
                  <c:v>0.124262185726861</c:v>
                </c:pt>
                <c:pt idx="7">
                  <c:v>0.134060795249712</c:v>
                </c:pt>
                <c:pt idx="8">
                  <c:v>0.143234743415481</c:v>
                </c:pt>
                <c:pt idx="9">
                  <c:v>0.151960187448702</c:v>
                </c:pt>
                <c:pt idx="10">
                  <c:v>0.160362790052693</c:v>
                </c:pt>
                <c:pt idx="11">
                  <c:v>0.168536230767485</c:v>
                </c:pt>
                <c:pt idx="12">
                  <c:v>0.176553013868576</c:v>
                </c:pt>
                <c:pt idx="13">
                  <c:v>0.22952399498327</c:v>
                </c:pt>
                <c:pt idx="14">
                  <c:v>0.261231019677588</c:v>
                </c:pt>
                <c:pt idx="15">
                  <c:v>0.285876539042359</c:v>
                </c:pt>
                <c:pt idx="16">
                  <c:v>0.28798034857216</c:v>
                </c:pt>
                <c:pt idx="17">
                  <c:v>0.308956676828337</c:v>
                </c:pt>
                <c:pt idx="18">
                  <c:v>0.310735893659906</c:v>
                </c:pt>
                <c:pt idx="19">
                  <c:v>0.329882558938345</c:v>
                </c:pt>
                <c:pt idx="20">
                  <c:v>0.331456416727798</c:v>
                </c:pt>
                <c:pt idx="21">
                  <c:v>0.333118251329526</c:v>
                </c:pt>
                <c:pt idx="22">
                  <c:v>0.351134146380737</c:v>
                </c:pt>
                <c:pt idx="23">
                  <c:v>0.352652636968932</c:v>
                </c:pt>
                <c:pt idx="24">
                  <c:v>0.354259339858902</c:v>
                </c:pt>
                <c:pt idx="25">
                  <c:v>0.371790611726487</c:v>
                </c:pt>
                <c:pt idx="26">
                  <c:v>0.373292847586068</c:v>
                </c:pt>
                <c:pt idx="27">
                  <c:v>0.374884759302661</c:v>
                </c:pt>
                <c:pt idx="28">
                  <c:v>0.392357900689187</c:v>
                </c:pt>
                <c:pt idx="29">
                  <c:v>0.393872024419506</c:v>
                </c:pt>
                <c:pt idx="30">
                  <c:v>0.395478384713287</c:v>
                </c:pt>
                <c:pt idx="31">
                  <c:v>0.413208722357156</c:v>
                </c:pt>
                <c:pt idx="32">
                  <c:v>0.414756993026504</c:v>
                </c:pt>
                <c:pt idx="33">
                  <c:v>0.476916207857475</c:v>
                </c:pt>
                <c:pt idx="34">
                  <c:v>0.489963027180578</c:v>
                </c:pt>
                <c:pt idx="35">
                  <c:v>0.491059212477097</c:v>
                </c:pt>
                <c:pt idx="36">
                  <c:v>0.538068104715228</c:v>
                </c:pt>
                <c:pt idx="37">
                  <c:v>0.538986081862026</c:v>
                </c:pt>
                <c:pt idx="38">
                  <c:v>0.580974008743137</c:v>
                </c:pt>
                <c:pt idx="39">
                  <c:v>0.590035578989843</c:v>
                </c:pt>
                <c:pt idx="40">
                  <c:v>0.590812186244874</c:v>
                </c:pt>
                <c:pt idx="41">
                  <c:v>0.628689032980937</c:v>
                </c:pt>
                <c:pt idx="42">
                  <c:v>0.629398140294951</c:v>
                </c:pt>
                <c:pt idx="43">
                  <c:v>0.637934502068953</c:v>
                </c:pt>
                <c:pt idx="44">
                  <c:v>0.638667824790335</c:v>
                </c:pt>
                <c:pt idx="45">
                  <c:v>0.67430000557901</c:v>
                </c:pt>
                <c:pt idx="46">
                  <c:v>0.674987252399305</c:v>
                </c:pt>
                <c:pt idx="47">
                  <c:v>0.683300706826132</c:v>
                </c:pt>
                <c:pt idx="48">
                  <c:v>0.68401509641484</c:v>
                </c:pt>
                <c:pt idx="49">
                  <c:v>0.718592031037143</c:v>
                </c:pt>
                <c:pt idx="50">
                  <c:v>0.719274161252134</c:v>
                </c:pt>
                <c:pt idx="51">
                  <c:v>0.727564967594102</c:v>
                </c:pt>
                <c:pt idx="52">
                  <c:v>0.761943088009293</c:v>
                </c:pt>
                <c:pt idx="53">
                  <c:v>0.762588368791644</c:v>
                </c:pt>
                <c:pt idx="54">
                  <c:v>0.76327762449217</c:v>
                </c:pt>
                <c:pt idx="55">
                  <c:v>0.771694287672172</c:v>
                </c:pt>
                <c:pt idx="56">
                  <c:v>0.806383921698811</c:v>
                </c:pt>
                <c:pt idx="57">
                  <c:v>0.807044940754676</c:v>
                </c:pt>
                <c:pt idx="58">
                  <c:v>0.807751135892052</c:v>
                </c:pt>
                <c:pt idx="59">
                  <c:v>0.84387988293301</c:v>
                </c:pt>
                <c:pt idx="60">
                  <c:v>0.851877029271451</c:v>
                </c:pt>
                <c:pt idx="61">
                  <c:v>0.852561756757852</c:v>
                </c:pt>
                <c:pt idx="62">
                  <c:v>0.853293388528083</c:v>
                </c:pt>
                <c:pt idx="63">
                  <c:v>0.890568752402384</c:v>
                </c:pt>
                <c:pt idx="64">
                  <c:v>0.898953325357183</c:v>
                </c:pt>
                <c:pt idx="65">
                  <c:v>0.899669103384407</c:v>
                </c:pt>
                <c:pt idx="66">
                  <c:v>1.024346338602355</c:v>
                </c:pt>
                <c:pt idx="67">
                  <c:v>1.054803292460097</c:v>
                </c:pt>
                <c:pt idx="68">
                  <c:v>1.055372080634922</c:v>
                </c:pt>
                <c:pt idx="69">
                  <c:v>1.160036015061151</c:v>
                </c:pt>
                <c:pt idx="70">
                  <c:v>1.165882317784721</c:v>
                </c:pt>
                <c:pt idx="71">
                  <c:v>1.166382213887552</c:v>
                </c:pt>
                <c:pt idx="72">
                  <c:v>1.193417831800331</c:v>
                </c:pt>
                <c:pt idx="73">
                  <c:v>1.28665541992133</c:v>
                </c:pt>
                <c:pt idx="74">
                  <c:v>1.287096974373189</c:v>
                </c:pt>
                <c:pt idx="75">
                  <c:v>1.292591569895455</c:v>
                </c:pt>
                <c:pt idx="76">
                  <c:v>1.293060110657118</c:v>
                </c:pt>
                <c:pt idx="77">
                  <c:v>1.38295493449193</c:v>
                </c:pt>
                <c:pt idx="78">
                  <c:v>1.40513298017293</c:v>
                </c:pt>
                <c:pt idx="79">
                  <c:v>1.405560362659924</c:v>
                </c:pt>
                <c:pt idx="80">
                  <c:v>1.492164703415927</c:v>
                </c:pt>
                <c:pt idx="81">
                  <c:v>1.49694537612117</c:v>
                </c:pt>
                <c:pt idx="82">
                  <c:v>1.497351989039084</c:v>
                </c:pt>
                <c:pt idx="83">
                  <c:v>1.519161254019183</c:v>
                </c:pt>
                <c:pt idx="84">
                  <c:v>1.519585047887087</c:v>
                </c:pt>
                <c:pt idx="85">
                  <c:v>1.604350756171844</c:v>
                </c:pt>
                <c:pt idx="86">
                  <c:v>1.609180724710778</c:v>
                </c:pt>
                <c:pt idx="87">
                  <c:v>1.609589997318293</c:v>
                </c:pt>
                <c:pt idx="88">
                  <c:v>1.631449248137016</c:v>
                </c:pt>
                <c:pt idx="89">
                  <c:v>1.715963663586359</c:v>
                </c:pt>
                <c:pt idx="90">
                  <c:v>1.716356307368074</c:v>
                </c:pt>
                <c:pt idx="91">
                  <c:v>1.721309157081167</c:v>
                </c:pt>
                <c:pt idx="92">
                  <c:v>1.721727212155325</c:v>
                </c:pt>
                <c:pt idx="93">
                  <c:v>1.743960994324569</c:v>
                </c:pt>
                <c:pt idx="94">
                  <c:v>1.829376095695778</c:v>
                </c:pt>
                <c:pt idx="95">
                  <c:v>1.829781686489108</c:v>
                </c:pt>
                <c:pt idx="96">
                  <c:v>1.834920833295653</c:v>
                </c:pt>
                <c:pt idx="97">
                  <c:v>1.835352881776753</c:v>
                </c:pt>
                <c:pt idx="98">
                  <c:v>1.858233391678885</c:v>
                </c:pt>
                <c:pt idx="99">
                  <c:v>2.248807277135892</c:v>
                </c:pt>
                <c:pt idx="100">
                  <c:v>2.3096044245083</c:v>
                </c:pt>
                <c:pt idx="101">
                  <c:v>2.599578190991203</c:v>
                </c:pt>
                <c:pt idx="102">
                  <c:v>2.599811539913223</c:v>
                </c:pt>
                <c:pt idx="103">
                  <c:v>2.851731835777843</c:v>
                </c:pt>
                <c:pt idx="104">
                  <c:v>2.893168161450549</c:v>
                </c:pt>
                <c:pt idx="105">
                  <c:v>2.903606896369412</c:v>
                </c:pt>
                <c:pt idx="106">
                  <c:v>2.905944248387656</c:v>
                </c:pt>
                <c:pt idx="107">
                  <c:v>2.906140365846618</c:v>
                </c:pt>
                <c:pt idx="108">
                  <c:v>3.127768049573493</c:v>
                </c:pt>
                <c:pt idx="109">
                  <c:v>3.127946456310891</c:v>
                </c:pt>
                <c:pt idx="110">
                  <c:v>3.166224842698874</c:v>
                </c:pt>
                <c:pt idx="111">
                  <c:v>3.372126760631556</c:v>
                </c:pt>
                <c:pt idx="112">
                  <c:v>3.380661673797114</c:v>
                </c:pt>
                <c:pt idx="113">
                  <c:v>3.382593516806976</c:v>
                </c:pt>
                <c:pt idx="114">
                  <c:v>3.382754964894407</c:v>
                </c:pt>
                <c:pt idx="115">
                  <c:v>3.382927697439383</c:v>
                </c:pt>
                <c:pt idx="116">
                  <c:v>3.419506980402546</c:v>
                </c:pt>
                <c:pt idx="117">
                  <c:v>3.615263383241809</c:v>
                </c:pt>
                <c:pt idx="118">
                  <c:v>3.623684845699133</c:v>
                </c:pt>
              </c:numCache>
            </c:numRef>
          </c:cat>
          <c:val>
            <c:numRef>
              <c:f>Calculations!$J$2:$J$120</c:f>
              <c:numCache>
                <c:formatCode>0</c:formatCode>
                <c:ptCount val="119"/>
                <c:pt idx="0">
                  <c:v>0.0</c:v>
                </c:pt>
                <c:pt idx="1">
                  <c:v>0.0</c:v>
                </c:pt>
                <c:pt idx="2">
                  <c:v>0.0</c:v>
                </c:pt>
                <c:pt idx="3">
                  <c:v>0.0</c:v>
                </c:pt>
                <c:pt idx="4">
                  <c:v>0.0</c:v>
                </c:pt>
                <c:pt idx="5">
                  <c:v>0.0</c:v>
                </c:pt>
                <c:pt idx="6">
                  <c:v>0.0</c:v>
                </c:pt>
                <c:pt idx="7">
                  <c:v>0.0</c:v>
                </c:pt>
                <c:pt idx="8">
                  <c:v>0.0</c:v>
                </c:pt>
                <c:pt idx="9">
                  <c:v>0.0</c:v>
                </c:pt>
                <c:pt idx="10">
                  <c:v>0.0</c:v>
                </c:pt>
                <c:pt idx="11">
                  <c:v>0.0</c:v>
                </c:pt>
                <c:pt idx="12">
                  <c:v>0.0</c:v>
                </c:pt>
                <c:pt idx="13">
                  <c:v>1.0</c:v>
                </c:pt>
                <c:pt idx="14">
                  <c:v>2.0</c:v>
                </c:pt>
                <c:pt idx="15">
                  <c:v>3.0</c:v>
                </c:pt>
                <c:pt idx="16">
                  <c:v>3.0</c:v>
                </c:pt>
                <c:pt idx="17">
                  <c:v>4.0</c:v>
                </c:pt>
                <c:pt idx="18">
                  <c:v>4.0</c:v>
                </c:pt>
                <c:pt idx="19">
                  <c:v>5.0</c:v>
                </c:pt>
                <c:pt idx="20">
                  <c:v>5.0</c:v>
                </c:pt>
                <c:pt idx="21">
                  <c:v>5.0</c:v>
                </c:pt>
                <c:pt idx="22">
                  <c:v>6.0</c:v>
                </c:pt>
                <c:pt idx="23">
                  <c:v>6.0</c:v>
                </c:pt>
                <c:pt idx="24">
                  <c:v>6.0</c:v>
                </c:pt>
                <c:pt idx="25">
                  <c:v>7.0</c:v>
                </c:pt>
                <c:pt idx="26">
                  <c:v>7.0</c:v>
                </c:pt>
                <c:pt idx="27">
                  <c:v>7.0</c:v>
                </c:pt>
                <c:pt idx="28">
                  <c:v>8.0</c:v>
                </c:pt>
                <c:pt idx="29">
                  <c:v>8.0</c:v>
                </c:pt>
                <c:pt idx="30">
                  <c:v>8.0</c:v>
                </c:pt>
                <c:pt idx="31">
                  <c:v>9.0</c:v>
                </c:pt>
                <c:pt idx="32">
                  <c:v>9.0</c:v>
                </c:pt>
                <c:pt idx="33">
                  <c:v>9.0</c:v>
                </c:pt>
                <c:pt idx="34">
                  <c:v>10.0</c:v>
                </c:pt>
                <c:pt idx="35">
                  <c:v>10.0</c:v>
                </c:pt>
                <c:pt idx="36">
                  <c:v>10.0</c:v>
                </c:pt>
                <c:pt idx="37">
                  <c:v>10.0</c:v>
                </c:pt>
                <c:pt idx="38">
                  <c:v>10.0</c:v>
                </c:pt>
                <c:pt idx="39">
                  <c:v>11.0</c:v>
                </c:pt>
                <c:pt idx="40">
                  <c:v>11.0</c:v>
                </c:pt>
                <c:pt idx="41">
                  <c:v>11.0</c:v>
                </c:pt>
                <c:pt idx="42">
                  <c:v>11.0</c:v>
                </c:pt>
                <c:pt idx="43">
                  <c:v>12.0</c:v>
                </c:pt>
                <c:pt idx="44">
                  <c:v>12.0</c:v>
                </c:pt>
                <c:pt idx="45">
                  <c:v>12.0</c:v>
                </c:pt>
                <c:pt idx="46">
                  <c:v>12.0</c:v>
                </c:pt>
                <c:pt idx="47">
                  <c:v>13.0</c:v>
                </c:pt>
                <c:pt idx="48">
                  <c:v>13.0</c:v>
                </c:pt>
                <c:pt idx="49">
                  <c:v>13.0</c:v>
                </c:pt>
                <c:pt idx="50">
                  <c:v>13.0</c:v>
                </c:pt>
                <c:pt idx="51">
                  <c:v>14.0</c:v>
                </c:pt>
                <c:pt idx="52">
                  <c:v>14.0</c:v>
                </c:pt>
                <c:pt idx="53">
                  <c:v>14.0</c:v>
                </c:pt>
                <c:pt idx="54">
                  <c:v>14.0</c:v>
                </c:pt>
                <c:pt idx="55">
                  <c:v>15.0</c:v>
                </c:pt>
                <c:pt idx="56">
                  <c:v>15.0</c:v>
                </c:pt>
                <c:pt idx="57">
                  <c:v>15.0</c:v>
                </c:pt>
                <c:pt idx="58">
                  <c:v>15.0</c:v>
                </c:pt>
                <c:pt idx="59">
                  <c:v>15.0</c:v>
                </c:pt>
                <c:pt idx="60">
                  <c:v>16.0</c:v>
                </c:pt>
                <c:pt idx="61">
                  <c:v>16.0</c:v>
                </c:pt>
                <c:pt idx="62">
                  <c:v>16.0</c:v>
                </c:pt>
                <c:pt idx="63">
                  <c:v>16.0</c:v>
                </c:pt>
                <c:pt idx="64">
                  <c:v>17.0</c:v>
                </c:pt>
                <c:pt idx="65">
                  <c:v>17.0</c:v>
                </c:pt>
                <c:pt idx="66">
                  <c:v>17.0</c:v>
                </c:pt>
                <c:pt idx="67">
                  <c:v>17.0</c:v>
                </c:pt>
                <c:pt idx="68">
                  <c:v>17.0</c:v>
                </c:pt>
                <c:pt idx="69">
                  <c:v>17.0</c:v>
                </c:pt>
                <c:pt idx="70">
                  <c:v>18.0</c:v>
                </c:pt>
                <c:pt idx="71">
                  <c:v>18.0</c:v>
                </c:pt>
                <c:pt idx="72">
                  <c:v>18.0</c:v>
                </c:pt>
                <c:pt idx="73">
                  <c:v>18.0</c:v>
                </c:pt>
                <c:pt idx="74">
                  <c:v>18.0</c:v>
                </c:pt>
                <c:pt idx="75">
                  <c:v>19.0</c:v>
                </c:pt>
                <c:pt idx="76">
                  <c:v>19.0</c:v>
                </c:pt>
                <c:pt idx="77">
                  <c:v>19.0</c:v>
                </c:pt>
                <c:pt idx="78">
                  <c:v>19.0</c:v>
                </c:pt>
                <c:pt idx="79">
                  <c:v>19.0</c:v>
                </c:pt>
                <c:pt idx="80">
                  <c:v>19.0</c:v>
                </c:pt>
                <c:pt idx="81">
                  <c:v>20.0</c:v>
                </c:pt>
                <c:pt idx="82">
                  <c:v>20.0</c:v>
                </c:pt>
                <c:pt idx="83">
                  <c:v>20.0</c:v>
                </c:pt>
                <c:pt idx="84">
                  <c:v>20.0</c:v>
                </c:pt>
                <c:pt idx="85">
                  <c:v>20.0</c:v>
                </c:pt>
                <c:pt idx="86">
                  <c:v>21.0</c:v>
                </c:pt>
                <c:pt idx="87">
                  <c:v>21.0</c:v>
                </c:pt>
                <c:pt idx="88">
                  <c:v>21.0</c:v>
                </c:pt>
                <c:pt idx="89">
                  <c:v>21.0</c:v>
                </c:pt>
                <c:pt idx="90">
                  <c:v>21.0</c:v>
                </c:pt>
                <c:pt idx="91">
                  <c:v>22.0</c:v>
                </c:pt>
                <c:pt idx="92">
                  <c:v>22.0</c:v>
                </c:pt>
                <c:pt idx="93">
                  <c:v>22.0</c:v>
                </c:pt>
                <c:pt idx="94">
                  <c:v>22.0</c:v>
                </c:pt>
                <c:pt idx="95">
                  <c:v>22.0</c:v>
                </c:pt>
                <c:pt idx="96">
                  <c:v>23.0</c:v>
                </c:pt>
                <c:pt idx="97">
                  <c:v>23.0</c:v>
                </c:pt>
                <c:pt idx="98">
                  <c:v>23.0</c:v>
                </c:pt>
                <c:pt idx="99">
                  <c:v>23.0</c:v>
                </c:pt>
                <c:pt idx="100">
                  <c:v>23.0</c:v>
                </c:pt>
                <c:pt idx="101">
                  <c:v>23.0</c:v>
                </c:pt>
                <c:pt idx="102">
                  <c:v>23.0</c:v>
                </c:pt>
                <c:pt idx="103">
                  <c:v>23.0</c:v>
                </c:pt>
                <c:pt idx="104">
                  <c:v>23.0</c:v>
                </c:pt>
                <c:pt idx="105">
                  <c:v>23.0</c:v>
                </c:pt>
                <c:pt idx="106">
                  <c:v>24.0</c:v>
                </c:pt>
                <c:pt idx="107">
                  <c:v>24.0</c:v>
                </c:pt>
                <c:pt idx="108">
                  <c:v>24.0</c:v>
                </c:pt>
                <c:pt idx="109">
                  <c:v>24.0</c:v>
                </c:pt>
                <c:pt idx="110">
                  <c:v>24.0</c:v>
                </c:pt>
                <c:pt idx="111">
                  <c:v>24.0</c:v>
                </c:pt>
                <c:pt idx="112">
                  <c:v>24.0</c:v>
                </c:pt>
                <c:pt idx="113">
                  <c:v>25.0</c:v>
                </c:pt>
                <c:pt idx="114">
                  <c:v>25.0</c:v>
                </c:pt>
                <c:pt idx="115">
                  <c:v>25.0</c:v>
                </c:pt>
                <c:pt idx="116">
                  <c:v>25.0</c:v>
                </c:pt>
                <c:pt idx="117">
                  <c:v>25.0</c:v>
                </c:pt>
                <c:pt idx="118">
                  <c:v>25.0</c:v>
                </c:pt>
              </c:numCache>
            </c:numRef>
          </c:val>
          <c:smooth val="0"/>
        </c:ser>
        <c:ser>
          <c:idx val="2"/>
          <c:order val="2"/>
          <c:tx>
            <c:strRef>
              <c:f>Calculations!$K$1</c:f>
              <c:strCache>
                <c:ptCount val="1"/>
                <c:pt idx="0">
                  <c:v>Generator 3 Count</c:v>
                </c:pt>
              </c:strCache>
            </c:strRef>
          </c:tx>
          <c:spPr>
            <a:ln w="25400" cmpd="sng">
              <a:solidFill>
                <a:srgbClr val="FF9900"/>
              </a:solidFill>
            </a:ln>
          </c:spPr>
          <c:marker>
            <c:symbol val="none"/>
          </c:marker>
          <c:cat>
            <c:numRef>
              <c:f>Calculations!$A$2:$A$120</c:f>
              <c:numCache>
                <c:formatCode>0.00</c:formatCode>
                <c:ptCount val="119"/>
                <c:pt idx="0">
                  <c:v>0.0</c:v>
                </c:pt>
                <c:pt idx="1">
                  <c:v>0.0457045908183633</c:v>
                </c:pt>
                <c:pt idx="2">
                  <c:v>0.0701565469061876</c:v>
                </c:pt>
                <c:pt idx="3">
                  <c:v>0.0875989422488357</c:v>
                </c:pt>
                <c:pt idx="4">
                  <c:v>0.101596464511311</c:v>
                </c:pt>
                <c:pt idx="5">
                  <c:v>0.113578343567989</c:v>
                </c:pt>
                <c:pt idx="6">
                  <c:v>0.124262185726861</c:v>
                </c:pt>
                <c:pt idx="7">
                  <c:v>0.134060795249712</c:v>
                </c:pt>
                <c:pt idx="8">
                  <c:v>0.143234743415481</c:v>
                </c:pt>
                <c:pt idx="9">
                  <c:v>0.151960187448702</c:v>
                </c:pt>
                <c:pt idx="10">
                  <c:v>0.160362790052693</c:v>
                </c:pt>
                <c:pt idx="11">
                  <c:v>0.168536230767485</c:v>
                </c:pt>
                <c:pt idx="12">
                  <c:v>0.176553013868576</c:v>
                </c:pt>
                <c:pt idx="13">
                  <c:v>0.22952399498327</c:v>
                </c:pt>
                <c:pt idx="14">
                  <c:v>0.261231019677588</c:v>
                </c:pt>
                <c:pt idx="15">
                  <c:v>0.285876539042359</c:v>
                </c:pt>
                <c:pt idx="16">
                  <c:v>0.28798034857216</c:v>
                </c:pt>
                <c:pt idx="17">
                  <c:v>0.308956676828337</c:v>
                </c:pt>
                <c:pt idx="18">
                  <c:v>0.310735893659906</c:v>
                </c:pt>
                <c:pt idx="19">
                  <c:v>0.329882558938345</c:v>
                </c:pt>
                <c:pt idx="20">
                  <c:v>0.331456416727798</c:v>
                </c:pt>
                <c:pt idx="21">
                  <c:v>0.333118251329526</c:v>
                </c:pt>
                <c:pt idx="22">
                  <c:v>0.351134146380737</c:v>
                </c:pt>
                <c:pt idx="23">
                  <c:v>0.352652636968932</c:v>
                </c:pt>
                <c:pt idx="24">
                  <c:v>0.354259339858902</c:v>
                </c:pt>
                <c:pt idx="25">
                  <c:v>0.371790611726487</c:v>
                </c:pt>
                <c:pt idx="26">
                  <c:v>0.373292847586068</c:v>
                </c:pt>
                <c:pt idx="27">
                  <c:v>0.374884759302661</c:v>
                </c:pt>
                <c:pt idx="28">
                  <c:v>0.392357900689187</c:v>
                </c:pt>
                <c:pt idx="29">
                  <c:v>0.393872024419506</c:v>
                </c:pt>
                <c:pt idx="30">
                  <c:v>0.395478384713287</c:v>
                </c:pt>
                <c:pt idx="31">
                  <c:v>0.413208722357156</c:v>
                </c:pt>
                <c:pt idx="32">
                  <c:v>0.414756993026504</c:v>
                </c:pt>
                <c:pt idx="33">
                  <c:v>0.476916207857475</c:v>
                </c:pt>
                <c:pt idx="34">
                  <c:v>0.489963027180578</c:v>
                </c:pt>
                <c:pt idx="35">
                  <c:v>0.491059212477097</c:v>
                </c:pt>
                <c:pt idx="36">
                  <c:v>0.538068104715228</c:v>
                </c:pt>
                <c:pt idx="37">
                  <c:v>0.538986081862026</c:v>
                </c:pt>
                <c:pt idx="38">
                  <c:v>0.580974008743137</c:v>
                </c:pt>
                <c:pt idx="39">
                  <c:v>0.590035578989843</c:v>
                </c:pt>
                <c:pt idx="40">
                  <c:v>0.590812186244874</c:v>
                </c:pt>
                <c:pt idx="41">
                  <c:v>0.628689032980937</c:v>
                </c:pt>
                <c:pt idx="42">
                  <c:v>0.629398140294951</c:v>
                </c:pt>
                <c:pt idx="43">
                  <c:v>0.637934502068953</c:v>
                </c:pt>
                <c:pt idx="44">
                  <c:v>0.638667824790335</c:v>
                </c:pt>
                <c:pt idx="45">
                  <c:v>0.67430000557901</c:v>
                </c:pt>
                <c:pt idx="46">
                  <c:v>0.674987252399305</c:v>
                </c:pt>
                <c:pt idx="47">
                  <c:v>0.683300706826132</c:v>
                </c:pt>
                <c:pt idx="48">
                  <c:v>0.68401509641484</c:v>
                </c:pt>
                <c:pt idx="49">
                  <c:v>0.718592031037143</c:v>
                </c:pt>
                <c:pt idx="50">
                  <c:v>0.719274161252134</c:v>
                </c:pt>
                <c:pt idx="51">
                  <c:v>0.727564967594102</c:v>
                </c:pt>
                <c:pt idx="52">
                  <c:v>0.761943088009293</c:v>
                </c:pt>
                <c:pt idx="53">
                  <c:v>0.762588368791644</c:v>
                </c:pt>
                <c:pt idx="54">
                  <c:v>0.76327762449217</c:v>
                </c:pt>
                <c:pt idx="55">
                  <c:v>0.771694287672172</c:v>
                </c:pt>
                <c:pt idx="56">
                  <c:v>0.806383921698811</c:v>
                </c:pt>
                <c:pt idx="57">
                  <c:v>0.807044940754676</c:v>
                </c:pt>
                <c:pt idx="58">
                  <c:v>0.807751135892052</c:v>
                </c:pt>
                <c:pt idx="59">
                  <c:v>0.84387988293301</c:v>
                </c:pt>
                <c:pt idx="60">
                  <c:v>0.851877029271451</c:v>
                </c:pt>
                <c:pt idx="61">
                  <c:v>0.852561756757852</c:v>
                </c:pt>
                <c:pt idx="62">
                  <c:v>0.853293388528083</c:v>
                </c:pt>
                <c:pt idx="63">
                  <c:v>0.890568752402384</c:v>
                </c:pt>
                <c:pt idx="64">
                  <c:v>0.898953325357183</c:v>
                </c:pt>
                <c:pt idx="65">
                  <c:v>0.899669103384407</c:v>
                </c:pt>
                <c:pt idx="66">
                  <c:v>1.024346338602355</c:v>
                </c:pt>
                <c:pt idx="67">
                  <c:v>1.054803292460097</c:v>
                </c:pt>
                <c:pt idx="68">
                  <c:v>1.055372080634922</c:v>
                </c:pt>
                <c:pt idx="69">
                  <c:v>1.160036015061151</c:v>
                </c:pt>
                <c:pt idx="70">
                  <c:v>1.165882317784721</c:v>
                </c:pt>
                <c:pt idx="71">
                  <c:v>1.166382213887552</c:v>
                </c:pt>
                <c:pt idx="72">
                  <c:v>1.193417831800331</c:v>
                </c:pt>
                <c:pt idx="73">
                  <c:v>1.28665541992133</c:v>
                </c:pt>
                <c:pt idx="74">
                  <c:v>1.287096974373189</c:v>
                </c:pt>
                <c:pt idx="75">
                  <c:v>1.292591569895455</c:v>
                </c:pt>
                <c:pt idx="76">
                  <c:v>1.293060110657118</c:v>
                </c:pt>
                <c:pt idx="77">
                  <c:v>1.38295493449193</c:v>
                </c:pt>
                <c:pt idx="78">
                  <c:v>1.40513298017293</c:v>
                </c:pt>
                <c:pt idx="79">
                  <c:v>1.405560362659924</c:v>
                </c:pt>
                <c:pt idx="80">
                  <c:v>1.492164703415927</c:v>
                </c:pt>
                <c:pt idx="81">
                  <c:v>1.49694537612117</c:v>
                </c:pt>
                <c:pt idx="82">
                  <c:v>1.497351989039084</c:v>
                </c:pt>
                <c:pt idx="83">
                  <c:v>1.519161254019183</c:v>
                </c:pt>
                <c:pt idx="84">
                  <c:v>1.519585047887087</c:v>
                </c:pt>
                <c:pt idx="85">
                  <c:v>1.604350756171844</c:v>
                </c:pt>
                <c:pt idx="86">
                  <c:v>1.609180724710778</c:v>
                </c:pt>
                <c:pt idx="87">
                  <c:v>1.609589997318293</c:v>
                </c:pt>
                <c:pt idx="88">
                  <c:v>1.631449248137016</c:v>
                </c:pt>
                <c:pt idx="89">
                  <c:v>1.715963663586359</c:v>
                </c:pt>
                <c:pt idx="90">
                  <c:v>1.716356307368074</c:v>
                </c:pt>
                <c:pt idx="91">
                  <c:v>1.721309157081167</c:v>
                </c:pt>
                <c:pt idx="92">
                  <c:v>1.721727212155325</c:v>
                </c:pt>
                <c:pt idx="93">
                  <c:v>1.743960994324569</c:v>
                </c:pt>
                <c:pt idx="94">
                  <c:v>1.829376095695778</c:v>
                </c:pt>
                <c:pt idx="95">
                  <c:v>1.829781686489108</c:v>
                </c:pt>
                <c:pt idx="96">
                  <c:v>1.834920833295653</c:v>
                </c:pt>
                <c:pt idx="97">
                  <c:v>1.835352881776753</c:v>
                </c:pt>
                <c:pt idx="98">
                  <c:v>1.858233391678885</c:v>
                </c:pt>
                <c:pt idx="99">
                  <c:v>2.248807277135892</c:v>
                </c:pt>
                <c:pt idx="100">
                  <c:v>2.3096044245083</c:v>
                </c:pt>
                <c:pt idx="101">
                  <c:v>2.599578190991203</c:v>
                </c:pt>
                <c:pt idx="102">
                  <c:v>2.599811539913223</c:v>
                </c:pt>
                <c:pt idx="103">
                  <c:v>2.851731835777843</c:v>
                </c:pt>
                <c:pt idx="104">
                  <c:v>2.893168161450549</c:v>
                </c:pt>
                <c:pt idx="105">
                  <c:v>2.903606896369412</c:v>
                </c:pt>
                <c:pt idx="106">
                  <c:v>2.905944248387656</c:v>
                </c:pt>
                <c:pt idx="107">
                  <c:v>2.906140365846618</c:v>
                </c:pt>
                <c:pt idx="108">
                  <c:v>3.127768049573493</c:v>
                </c:pt>
                <c:pt idx="109">
                  <c:v>3.127946456310891</c:v>
                </c:pt>
                <c:pt idx="110">
                  <c:v>3.166224842698874</c:v>
                </c:pt>
                <c:pt idx="111">
                  <c:v>3.372126760631556</c:v>
                </c:pt>
                <c:pt idx="112">
                  <c:v>3.380661673797114</c:v>
                </c:pt>
                <c:pt idx="113">
                  <c:v>3.382593516806976</c:v>
                </c:pt>
                <c:pt idx="114">
                  <c:v>3.382754964894407</c:v>
                </c:pt>
                <c:pt idx="115">
                  <c:v>3.382927697439383</c:v>
                </c:pt>
                <c:pt idx="116">
                  <c:v>3.419506980402546</c:v>
                </c:pt>
                <c:pt idx="117">
                  <c:v>3.615263383241809</c:v>
                </c:pt>
                <c:pt idx="118">
                  <c:v>3.623684845699133</c:v>
                </c:pt>
              </c:numCache>
            </c:numRef>
          </c:cat>
          <c:val>
            <c:numRef>
              <c:f>Calculations!$K$2:$K$120</c:f>
              <c:numCache>
                <c:formatCode>0</c:formatCode>
                <c:ptCount val="119"/>
                <c:pt idx="0">
                  <c:v>0.0</c:v>
                </c:pt>
                <c:pt idx="1">
                  <c:v>0.0</c:v>
                </c:pt>
                <c:pt idx="2">
                  <c:v>0.0</c:v>
                </c:pt>
                <c:pt idx="3">
                  <c:v>0.0</c:v>
                </c:pt>
                <c:pt idx="4">
                  <c:v>0.0</c:v>
                </c:pt>
                <c:pt idx="5">
                  <c:v>0.0</c:v>
                </c:pt>
                <c:pt idx="6">
                  <c:v>0.0</c:v>
                </c:pt>
                <c:pt idx="7">
                  <c:v>0.0</c:v>
                </c:pt>
                <c:pt idx="8">
                  <c:v>0.0</c:v>
                </c:pt>
                <c:pt idx="9">
                  <c:v>0.0</c:v>
                </c:pt>
                <c:pt idx="10">
                  <c:v>0.0</c:v>
                </c:pt>
                <c:pt idx="11">
                  <c:v>0.0</c:v>
                </c:pt>
                <c:pt idx="12">
                  <c:v>0.0</c:v>
                </c:pt>
                <c:pt idx="13">
                  <c:v>0.0</c:v>
                </c:pt>
                <c:pt idx="14">
                  <c:v>0.0</c:v>
                </c:pt>
                <c:pt idx="15">
                  <c:v>0.0</c:v>
                </c:pt>
                <c:pt idx="16">
                  <c:v>0.0</c:v>
                </c:pt>
                <c:pt idx="17">
                  <c:v>0.0</c:v>
                </c:pt>
                <c:pt idx="18">
                  <c:v>0.0</c:v>
                </c:pt>
                <c:pt idx="19">
                  <c:v>0.0</c:v>
                </c:pt>
                <c:pt idx="20">
                  <c:v>0.0</c:v>
                </c:pt>
                <c:pt idx="21">
                  <c:v>0.0</c:v>
                </c:pt>
                <c:pt idx="22">
                  <c:v>0.0</c:v>
                </c:pt>
                <c:pt idx="23">
                  <c:v>0.0</c:v>
                </c:pt>
                <c:pt idx="24">
                  <c:v>0.0</c:v>
                </c:pt>
                <c:pt idx="25">
                  <c:v>0.0</c:v>
                </c:pt>
                <c:pt idx="26">
                  <c:v>0.0</c:v>
                </c:pt>
                <c:pt idx="27">
                  <c:v>0.0</c:v>
                </c:pt>
                <c:pt idx="28">
                  <c:v>0.0</c:v>
                </c:pt>
                <c:pt idx="29">
                  <c:v>0.0</c:v>
                </c:pt>
                <c:pt idx="30">
                  <c:v>0.0</c:v>
                </c:pt>
                <c:pt idx="31">
                  <c:v>0.0</c:v>
                </c:pt>
                <c:pt idx="32">
                  <c:v>0.0</c:v>
                </c:pt>
                <c:pt idx="33">
                  <c:v>1.0</c:v>
                </c:pt>
                <c:pt idx="34">
                  <c:v>1.0</c:v>
                </c:pt>
                <c:pt idx="35">
                  <c:v>1.0</c:v>
                </c:pt>
                <c:pt idx="36">
                  <c:v>2.0</c:v>
                </c:pt>
                <c:pt idx="37">
                  <c:v>2.0</c:v>
                </c:pt>
                <c:pt idx="38">
                  <c:v>3.0</c:v>
                </c:pt>
                <c:pt idx="39">
                  <c:v>3.0</c:v>
                </c:pt>
                <c:pt idx="40">
                  <c:v>3.0</c:v>
                </c:pt>
                <c:pt idx="41">
                  <c:v>4.0</c:v>
                </c:pt>
                <c:pt idx="42">
                  <c:v>4.0</c:v>
                </c:pt>
                <c:pt idx="43">
                  <c:v>4.0</c:v>
                </c:pt>
                <c:pt idx="44">
                  <c:v>4.0</c:v>
                </c:pt>
                <c:pt idx="45">
                  <c:v>5.0</c:v>
                </c:pt>
                <c:pt idx="46">
                  <c:v>5.0</c:v>
                </c:pt>
                <c:pt idx="47">
                  <c:v>5.0</c:v>
                </c:pt>
                <c:pt idx="48">
                  <c:v>5.0</c:v>
                </c:pt>
                <c:pt idx="49">
                  <c:v>6.0</c:v>
                </c:pt>
                <c:pt idx="50">
                  <c:v>6.0</c:v>
                </c:pt>
                <c:pt idx="51">
                  <c:v>6.0</c:v>
                </c:pt>
                <c:pt idx="52">
                  <c:v>7.0</c:v>
                </c:pt>
                <c:pt idx="53">
                  <c:v>7.0</c:v>
                </c:pt>
                <c:pt idx="54">
                  <c:v>7.0</c:v>
                </c:pt>
                <c:pt idx="55">
                  <c:v>7.0</c:v>
                </c:pt>
                <c:pt idx="56">
                  <c:v>8.0</c:v>
                </c:pt>
                <c:pt idx="57">
                  <c:v>8.0</c:v>
                </c:pt>
                <c:pt idx="58">
                  <c:v>8.0</c:v>
                </c:pt>
                <c:pt idx="59">
                  <c:v>9.0</c:v>
                </c:pt>
                <c:pt idx="60">
                  <c:v>9.0</c:v>
                </c:pt>
                <c:pt idx="61">
                  <c:v>9.0</c:v>
                </c:pt>
                <c:pt idx="62">
                  <c:v>9.0</c:v>
                </c:pt>
                <c:pt idx="63">
                  <c:v>10.0</c:v>
                </c:pt>
                <c:pt idx="64">
                  <c:v>10.0</c:v>
                </c:pt>
                <c:pt idx="65">
                  <c:v>10.0</c:v>
                </c:pt>
                <c:pt idx="66">
                  <c:v>10.0</c:v>
                </c:pt>
                <c:pt idx="67">
                  <c:v>11.0</c:v>
                </c:pt>
                <c:pt idx="68">
                  <c:v>11.0</c:v>
                </c:pt>
                <c:pt idx="69">
                  <c:v>11.0</c:v>
                </c:pt>
                <c:pt idx="70">
                  <c:v>11.0</c:v>
                </c:pt>
                <c:pt idx="71">
                  <c:v>11.0</c:v>
                </c:pt>
                <c:pt idx="72">
                  <c:v>12.0</c:v>
                </c:pt>
                <c:pt idx="73">
                  <c:v>12.0</c:v>
                </c:pt>
                <c:pt idx="74">
                  <c:v>12.0</c:v>
                </c:pt>
                <c:pt idx="75">
                  <c:v>12.0</c:v>
                </c:pt>
                <c:pt idx="76">
                  <c:v>12.0</c:v>
                </c:pt>
                <c:pt idx="77">
                  <c:v>12.0</c:v>
                </c:pt>
                <c:pt idx="78">
                  <c:v>13.0</c:v>
                </c:pt>
                <c:pt idx="79">
                  <c:v>13.0</c:v>
                </c:pt>
                <c:pt idx="80">
                  <c:v>13.0</c:v>
                </c:pt>
                <c:pt idx="81">
                  <c:v>13.0</c:v>
                </c:pt>
                <c:pt idx="82">
                  <c:v>13.0</c:v>
                </c:pt>
                <c:pt idx="83">
                  <c:v>14.0</c:v>
                </c:pt>
                <c:pt idx="84">
                  <c:v>14.0</c:v>
                </c:pt>
                <c:pt idx="85">
                  <c:v>14.0</c:v>
                </c:pt>
                <c:pt idx="86">
                  <c:v>14.0</c:v>
                </c:pt>
                <c:pt idx="87">
                  <c:v>14.0</c:v>
                </c:pt>
                <c:pt idx="88">
                  <c:v>15.0</c:v>
                </c:pt>
                <c:pt idx="89">
                  <c:v>15.0</c:v>
                </c:pt>
                <c:pt idx="90">
                  <c:v>15.0</c:v>
                </c:pt>
                <c:pt idx="91">
                  <c:v>15.0</c:v>
                </c:pt>
                <c:pt idx="92">
                  <c:v>15.0</c:v>
                </c:pt>
                <c:pt idx="93">
                  <c:v>16.0</c:v>
                </c:pt>
                <c:pt idx="94">
                  <c:v>16.0</c:v>
                </c:pt>
                <c:pt idx="95">
                  <c:v>16.0</c:v>
                </c:pt>
                <c:pt idx="96">
                  <c:v>16.0</c:v>
                </c:pt>
                <c:pt idx="97">
                  <c:v>16.0</c:v>
                </c:pt>
                <c:pt idx="98">
                  <c:v>17.0</c:v>
                </c:pt>
                <c:pt idx="99">
                  <c:v>17.0</c:v>
                </c:pt>
                <c:pt idx="100">
                  <c:v>17.0</c:v>
                </c:pt>
                <c:pt idx="101">
                  <c:v>17.0</c:v>
                </c:pt>
                <c:pt idx="102">
                  <c:v>17.0</c:v>
                </c:pt>
                <c:pt idx="103">
                  <c:v>17.0</c:v>
                </c:pt>
                <c:pt idx="104">
                  <c:v>17.0</c:v>
                </c:pt>
                <c:pt idx="105">
                  <c:v>18.0</c:v>
                </c:pt>
                <c:pt idx="106">
                  <c:v>18.0</c:v>
                </c:pt>
                <c:pt idx="107">
                  <c:v>18.0</c:v>
                </c:pt>
                <c:pt idx="108">
                  <c:v>18.0</c:v>
                </c:pt>
                <c:pt idx="109">
                  <c:v>18.0</c:v>
                </c:pt>
                <c:pt idx="110">
                  <c:v>18.0</c:v>
                </c:pt>
                <c:pt idx="111">
                  <c:v>18.0</c:v>
                </c:pt>
                <c:pt idx="112">
                  <c:v>19.0</c:v>
                </c:pt>
                <c:pt idx="113">
                  <c:v>19.0</c:v>
                </c:pt>
                <c:pt idx="114">
                  <c:v>19.0</c:v>
                </c:pt>
                <c:pt idx="115">
                  <c:v>19.0</c:v>
                </c:pt>
                <c:pt idx="116">
                  <c:v>19.0</c:v>
                </c:pt>
                <c:pt idx="117">
                  <c:v>19.0</c:v>
                </c:pt>
                <c:pt idx="118">
                  <c:v>20.0</c:v>
                </c:pt>
              </c:numCache>
            </c:numRef>
          </c:val>
          <c:smooth val="0"/>
        </c:ser>
        <c:ser>
          <c:idx val="3"/>
          <c:order val="3"/>
          <c:tx>
            <c:strRef>
              <c:f>Calculations!$L$1</c:f>
              <c:strCache>
                <c:ptCount val="1"/>
                <c:pt idx="0">
                  <c:v>Generator 4 Count</c:v>
                </c:pt>
              </c:strCache>
            </c:strRef>
          </c:tx>
          <c:spPr>
            <a:ln w="25400" cmpd="sng">
              <a:solidFill>
                <a:srgbClr val="109618"/>
              </a:solidFill>
            </a:ln>
          </c:spPr>
          <c:marker>
            <c:symbol val="none"/>
          </c:marker>
          <c:cat>
            <c:numRef>
              <c:f>Calculations!$A$2:$A$120</c:f>
              <c:numCache>
                <c:formatCode>0.00</c:formatCode>
                <c:ptCount val="119"/>
                <c:pt idx="0">
                  <c:v>0.0</c:v>
                </c:pt>
                <c:pt idx="1">
                  <c:v>0.0457045908183633</c:v>
                </c:pt>
                <c:pt idx="2">
                  <c:v>0.0701565469061876</c:v>
                </c:pt>
                <c:pt idx="3">
                  <c:v>0.0875989422488357</c:v>
                </c:pt>
                <c:pt idx="4">
                  <c:v>0.101596464511311</c:v>
                </c:pt>
                <c:pt idx="5">
                  <c:v>0.113578343567989</c:v>
                </c:pt>
                <c:pt idx="6">
                  <c:v>0.124262185726861</c:v>
                </c:pt>
                <c:pt idx="7">
                  <c:v>0.134060795249712</c:v>
                </c:pt>
                <c:pt idx="8">
                  <c:v>0.143234743415481</c:v>
                </c:pt>
                <c:pt idx="9">
                  <c:v>0.151960187448702</c:v>
                </c:pt>
                <c:pt idx="10">
                  <c:v>0.160362790052693</c:v>
                </c:pt>
                <c:pt idx="11">
                  <c:v>0.168536230767485</c:v>
                </c:pt>
                <c:pt idx="12">
                  <c:v>0.176553013868576</c:v>
                </c:pt>
                <c:pt idx="13">
                  <c:v>0.22952399498327</c:v>
                </c:pt>
                <c:pt idx="14">
                  <c:v>0.261231019677588</c:v>
                </c:pt>
                <c:pt idx="15">
                  <c:v>0.285876539042359</c:v>
                </c:pt>
                <c:pt idx="16">
                  <c:v>0.28798034857216</c:v>
                </c:pt>
                <c:pt idx="17">
                  <c:v>0.308956676828337</c:v>
                </c:pt>
                <c:pt idx="18">
                  <c:v>0.310735893659906</c:v>
                </c:pt>
                <c:pt idx="19">
                  <c:v>0.329882558938345</c:v>
                </c:pt>
                <c:pt idx="20">
                  <c:v>0.331456416727798</c:v>
                </c:pt>
                <c:pt idx="21">
                  <c:v>0.333118251329526</c:v>
                </c:pt>
                <c:pt idx="22">
                  <c:v>0.351134146380737</c:v>
                </c:pt>
                <c:pt idx="23">
                  <c:v>0.352652636968932</c:v>
                </c:pt>
                <c:pt idx="24">
                  <c:v>0.354259339858902</c:v>
                </c:pt>
                <c:pt idx="25">
                  <c:v>0.371790611726487</c:v>
                </c:pt>
                <c:pt idx="26">
                  <c:v>0.373292847586068</c:v>
                </c:pt>
                <c:pt idx="27">
                  <c:v>0.374884759302661</c:v>
                </c:pt>
                <c:pt idx="28">
                  <c:v>0.392357900689187</c:v>
                </c:pt>
                <c:pt idx="29">
                  <c:v>0.393872024419506</c:v>
                </c:pt>
                <c:pt idx="30">
                  <c:v>0.395478384713287</c:v>
                </c:pt>
                <c:pt idx="31">
                  <c:v>0.413208722357156</c:v>
                </c:pt>
                <c:pt idx="32">
                  <c:v>0.414756993026504</c:v>
                </c:pt>
                <c:pt idx="33">
                  <c:v>0.476916207857475</c:v>
                </c:pt>
                <c:pt idx="34">
                  <c:v>0.489963027180578</c:v>
                </c:pt>
                <c:pt idx="35">
                  <c:v>0.491059212477097</c:v>
                </c:pt>
                <c:pt idx="36">
                  <c:v>0.538068104715228</c:v>
                </c:pt>
                <c:pt idx="37">
                  <c:v>0.538986081862026</c:v>
                </c:pt>
                <c:pt idx="38">
                  <c:v>0.580974008743137</c:v>
                </c:pt>
                <c:pt idx="39">
                  <c:v>0.590035578989843</c:v>
                </c:pt>
                <c:pt idx="40">
                  <c:v>0.590812186244874</c:v>
                </c:pt>
                <c:pt idx="41">
                  <c:v>0.628689032980937</c:v>
                </c:pt>
                <c:pt idx="42">
                  <c:v>0.629398140294951</c:v>
                </c:pt>
                <c:pt idx="43">
                  <c:v>0.637934502068953</c:v>
                </c:pt>
                <c:pt idx="44">
                  <c:v>0.638667824790335</c:v>
                </c:pt>
                <c:pt idx="45">
                  <c:v>0.67430000557901</c:v>
                </c:pt>
                <c:pt idx="46">
                  <c:v>0.674987252399305</c:v>
                </c:pt>
                <c:pt idx="47">
                  <c:v>0.683300706826132</c:v>
                </c:pt>
                <c:pt idx="48">
                  <c:v>0.68401509641484</c:v>
                </c:pt>
                <c:pt idx="49">
                  <c:v>0.718592031037143</c:v>
                </c:pt>
                <c:pt idx="50">
                  <c:v>0.719274161252134</c:v>
                </c:pt>
                <c:pt idx="51">
                  <c:v>0.727564967594102</c:v>
                </c:pt>
                <c:pt idx="52">
                  <c:v>0.761943088009293</c:v>
                </c:pt>
                <c:pt idx="53">
                  <c:v>0.762588368791644</c:v>
                </c:pt>
                <c:pt idx="54">
                  <c:v>0.76327762449217</c:v>
                </c:pt>
                <c:pt idx="55">
                  <c:v>0.771694287672172</c:v>
                </c:pt>
                <c:pt idx="56">
                  <c:v>0.806383921698811</c:v>
                </c:pt>
                <c:pt idx="57">
                  <c:v>0.807044940754676</c:v>
                </c:pt>
                <c:pt idx="58">
                  <c:v>0.807751135892052</c:v>
                </c:pt>
                <c:pt idx="59">
                  <c:v>0.84387988293301</c:v>
                </c:pt>
                <c:pt idx="60">
                  <c:v>0.851877029271451</c:v>
                </c:pt>
                <c:pt idx="61">
                  <c:v>0.852561756757852</c:v>
                </c:pt>
                <c:pt idx="62">
                  <c:v>0.853293388528083</c:v>
                </c:pt>
                <c:pt idx="63">
                  <c:v>0.890568752402384</c:v>
                </c:pt>
                <c:pt idx="64">
                  <c:v>0.898953325357183</c:v>
                </c:pt>
                <c:pt idx="65">
                  <c:v>0.899669103384407</c:v>
                </c:pt>
                <c:pt idx="66">
                  <c:v>1.024346338602355</c:v>
                </c:pt>
                <c:pt idx="67">
                  <c:v>1.054803292460097</c:v>
                </c:pt>
                <c:pt idx="68">
                  <c:v>1.055372080634922</c:v>
                </c:pt>
                <c:pt idx="69">
                  <c:v>1.160036015061151</c:v>
                </c:pt>
                <c:pt idx="70">
                  <c:v>1.165882317784721</c:v>
                </c:pt>
                <c:pt idx="71">
                  <c:v>1.166382213887552</c:v>
                </c:pt>
                <c:pt idx="72">
                  <c:v>1.193417831800331</c:v>
                </c:pt>
                <c:pt idx="73">
                  <c:v>1.28665541992133</c:v>
                </c:pt>
                <c:pt idx="74">
                  <c:v>1.287096974373189</c:v>
                </c:pt>
                <c:pt idx="75">
                  <c:v>1.292591569895455</c:v>
                </c:pt>
                <c:pt idx="76">
                  <c:v>1.293060110657118</c:v>
                </c:pt>
                <c:pt idx="77">
                  <c:v>1.38295493449193</c:v>
                </c:pt>
                <c:pt idx="78">
                  <c:v>1.40513298017293</c:v>
                </c:pt>
                <c:pt idx="79">
                  <c:v>1.405560362659924</c:v>
                </c:pt>
                <c:pt idx="80">
                  <c:v>1.492164703415927</c:v>
                </c:pt>
                <c:pt idx="81">
                  <c:v>1.49694537612117</c:v>
                </c:pt>
                <c:pt idx="82">
                  <c:v>1.497351989039084</c:v>
                </c:pt>
                <c:pt idx="83">
                  <c:v>1.519161254019183</c:v>
                </c:pt>
                <c:pt idx="84">
                  <c:v>1.519585047887087</c:v>
                </c:pt>
                <c:pt idx="85">
                  <c:v>1.604350756171844</c:v>
                </c:pt>
                <c:pt idx="86">
                  <c:v>1.609180724710778</c:v>
                </c:pt>
                <c:pt idx="87">
                  <c:v>1.609589997318293</c:v>
                </c:pt>
                <c:pt idx="88">
                  <c:v>1.631449248137016</c:v>
                </c:pt>
                <c:pt idx="89">
                  <c:v>1.715963663586359</c:v>
                </c:pt>
                <c:pt idx="90">
                  <c:v>1.716356307368074</c:v>
                </c:pt>
                <c:pt idx="91">
                  <c:v>1.721309157081167</c:v>
                </c:pt>
                <c:pt idx="92">
                  <c:v>1.721727212155325</c:v>
                </c:pt>
                <c:pt idx="93">
                  <c:v>1.743960994324569</c:v>
                </c:pt>
                <c:pt idx="94">
                  <c:v>1.829376095695778</c:v>
                </c:pt>
                <c:pt idx="95">
                  <c:v>1.829781686489108</c:v>
                </c:pt>
                <c:pt idx="96">
                  <c:v>1.834920833295653</c:v>
                </c:pt>
                <c:pt idx="97">
                  <c:v>1.835352881776753</c:v>
                </c:pt>
                <c:pt idx="98">
                  <c:v>1.858233391678885</c:v>
                </c:pt>
                <c:pt idx="99">
                  <c:v>2.248807277135892</c:v>
                </c:pt>
                <c:pt idx="100">
                  <c:v>2.3096044245083</c:v>
                </c:pt>
                <c:pt idx="101">
                  <c:v>2.599578190991203</c:v>
                </c:pt>
                <c:pt idx="102">
                  <c:v>2.599811539913223</c:v>
                </c:pt>
                <c:pt idx="103">
                  <c:v>2.851731835777843</c:v>
                </c:pt>
                <c:pt idx="104">
                  <c:v>2.893168161450549</c:v>
                </c:pt>
                <c:pt idx="105">
                  <c:v>2.903606896369412</c:v>
                </c:pt>
                <c:pt idx="106">
                  <c:v>2.905944248387656</c:v>
                </c:pt>
                <c:pt idx="107">
                  <c:v>2.906140365846618</c:v>
                </c:pt>
                <c:pt idx="108">
                  <c:v>3.127768049573493</c:v>
                </c:pt>
                <c:pt idx="109">
                  <c:v>3.127946456310891</c:v>
                </c:pt>
                <c:pt idx="110">
                  <c:v>3.166224842698874</c:v>
                </c:pt>
                <c:pt idx="111">
                  <c:v>3.372126760631556</c:v>
                </c:pt>
                <c:pt idx="112">
                  <c:v>3.380661673797114</c:v>
                </c:pt>
                <c:pt idx="113">
                  <c:v>3.382593516806976</c:v>
                </c:pt>
                <c:pt idx="114">
                  <c:v>3.382754964894407</c:v>
                </c:pt>
                <c:pt idx="115">
                  <c:v>3.382927697439383</c:v>
                </c:pt>
                <c:pt idx="116">
                  <c:v>3.419506980402546</c:v>
                </c:pt>
                <c:pt idx="117">
                  <c:v>3.615263383241809</c:v>
                </c:pt>
                <c:pt idx="118">
                  <c:v>3.623684845699133</c:v>
                </c:pt>
              </c:numCache>
            </c:numRef>
          </c:cat>
          <c:val>
            <c:numRef>
              <c:f>Calculations!$L$2:$L$120</c:f>
              <c:numCache>
                <c:formatCode>0</c:formatCode>
                <c:ptCount val="119"/>
                <c:pt idx="0">
                  <c:v>0.0</c:v>
                </c:pt>
                <c:pt idx="1">
                  <c:v>0.0</c:v>
                </c:pt>
                <c:pt idx="2">
                  <c:v>0.0</c:v>
                </c:pt>
                <c:pt idx="3">
                  <c:v>0.0</c:v>
                </c:pt>
                <c:pt idx="4">
                  <c:v>0.0</c:v>
                </c:pt>
                <c:pt idx="5">
                  <c:v>0.0</c:v>
                </c:pt>
                <c:pt idx="6">
                  <c:v>0.0</c:v>
                </c:pt>
                <c:pt idx="7">
                  <c:v>0.0</c:v>
                </c:pt>
                <c:pt idx="8">
                  <c:v>0.0</c:v>
                </c:pt>
                <c:pt idx="9">
                  <c:v>0.0</c:v>
                </c:pt>
                <c:pt idx="10">
                  <c:v>0.0</c:v>
                </c:pt>
                <c:pt idx="11">
                  <c:v>0.0</c:v>
                </c:pt>
                <c:pt idx="12">
                  <c:v>0.0</c:v>
                </c:pt>
                <c:pt idx="13">
                  <c:v>0.0</c:v>
                </c:pt>
                <c:pt idx="14">
                  <c:v>0.0</c:v>
                </c:pt>
                <c:pt idx="15">
                  <c:v>0.0</c:v>
                </c:pt>
                <c:pt idx="16">
                  <c:v>0.0</c:v>
                </c:pt>
                <c:pt idx="17">
                  <c:v>0.0</c:v>
                </c:pt>
                <c:pt idx="18">
                  <c:v>0.0</c:v>
                </c:pt>
                <c:pt idx="19">
                  <c:v>0.0</c:v>
                </c:pt>
                <c:pt idx="20">
                  <c:v>0.0</c:v>
                </c:pt>
                <c:pt idx="21">
                  <c:v>0.0</c:v>
                </c:pt>
                <c:pt idx="22">
                  <c:v>0.0</c:v>
                </c:pt>
                <c:pt idx="23">
                  <c:v>0.0</c:v>
                </c:pt>
                <c:pt idx="24">
                  <c:v>0.0</c:v>
                </c:pt>
                <c:pt idx="25">
                  <c:v>0.0</c:v>
                </c:pt>
                <c:pt idx="26">
                  <c:v>0.0</c:v>
                </c:pt>
                <c:pt idx="27">
                  <c:v>0.0</c:v>
                </c:pt>
                <c:pt idx="28">
                  <c:v>0.0</c:v>
                </c:pt>
                <c:pt idx="29">
                  <c:v>0.0</c:v>
                </c:pt>
                <c:pt idx="30">
                  <c:v>0.0</c:v>
                </c:pt>
                <c:pt idx="31">
                  <c:v>0.0</c:v>
                </c:pt>
                <c:pt idx="32">
                  <c:v>0.0</c:v>
                </c:pt>
                <c:pt idx="33">
                  <c:v>0.0</c:v>
                </c:pt>
                <c:pt idx="34">
                  <c:v>0.0</c:v>
                </c:pt>
                <c:pt idx="35">
                  <c:v>0.0</c:v>
                </c:pt>
                <c:pt idx="36">
                  <c:v>0.0</c:v>
                </c:pt>
                <c:pt idx="37">
                  <c:v>0.0</c:v>
                </c:pt>
                <c:pt idx="38">
                  <c:v>0.0</c:v>
                </c:pt>
                <c:pt idx="39">
                  <c:v>0.0</c:v>
                </c:pt>
                <c:pt idx="40">
                  <c:v>0.0</c:v>
                </c:pt>
                <c:pt idx="41">
                  <c:v>0.0</c:v>
                </c:pt>
                <c:pt idx="42">
                  <c:v>0.0</c:v>
                </c:pt>
                <c:pt idx="43">
                  <c:v>0.0</c:v>
                </c:pt>
                <c:pt idx="44">
                  <c:v>0.0</c:v>
                </c:pt>
                <c:pt idx="45">
                  <c:v>0.0</c:v>
                </c:pt>
                <c:pt idx="46">
                  <c:v>0.0</c:v>
                </c:pt>
                <c:pt idx="47">
                  <c:v>0.0</c:v>
                </c:pt>
                <c:pt idx="48">
                  <c:v>0.0</c:v>
                </c:pt>
                <c:pt idx="49">
                  <c:v>0.0</c:v>
                </c:pt>
                <c:pt idx="50">
                  <c:v>0.0</c:v>
                </c:pt>
                <c:pt idx="51">
                  <c:v>0.0</c:v>
                </c:pt>
                <c:pt idx="52">
                  <c:v>0.0</c:v>
                </c:pt>
                <c:pt idx="53">
                  <c:v>0.0</c:v>
                </c:pt>
                <c:pt idx="54">
                  <c:v>0.0</c:v>
                </c:pt>
                <c:pt idx="55">
                  <c:v>0.0</c:v>
                </c:pt>
                <c:pt idx="56">
                  <c:v>0.0</c:v>
                </c:pt>
                <c:pt idx="57">
                  <c:v>0.0</c:v>
                </c:pt>
                <c:pt idx="58">
                  <c:v>0.0</c:v>
                </c:pt>
                <c:pt idx="59">
                  <c:v>0.0</c:v>
                </c:pt>
                <c:pt idx="60">
                  <c:v>0.0</c:v>
                </c:pt>
                <c:pt idx="61">
                  <c:v>0.0</c:v>
                </c:pt>
                <c:pt idx="62">
                  <c:v>0.0</c:v>
                </c:pt>
                <c:pt idx="63">
                  <c:v>0.0</c:v>
                </c:pt>
                <c:pt idx="64">
                  <c:v>0.0</c:v>
                </c:pt>
                <c:pt idx="65">
                  <c:v>0.0</c:v>
                </c:pt>
                <c:pt idx="66">
                  <c:v>1.0</c:v>
                </c:pt>
                <c:pt idx="67">
                  <c:v>1.0</c:v>
                </c:pt>
                <c:pt idx="68">
                  <c:v>1.0</c:v>
                </c:pt>
                <c:pt idx="69">
                  <c:v>2.0</c:v>
                </c:pt>
                <c:pt idx="70">
                  <c:v>2.0</c:v>
                </c:pt>
                <c:pt idx="71">
                  <c:v>2.0</c:v>
                </c:pt>
                <c:pt idx="72">
                  <c:v>2.0</c:v>
                </c:pt>
                <c:pt idx="73">
                  <c:v>3.0</c:v>
                </c:pt>
                <c:pt idx="74">
                  <c:v>3.0</c:v>
                </c:pt>
                <c:pt idx="75">
                  <c:v>3.0</c:v>
                </c:pt>
                <c:pt idx="76">
                  <c:v>3.0</c:v>
                </c:pt>
                <c:pt idx="77">
                  <c:v>4.0</c:v>
                </c:pt>
                <c:pt idx="78">
                  <c:v>4.0</c:v>
                </c:pt>
                <c:pt idx="79">
                  <c:v>4.0</c:v>
                </c:pt>
                <c:pt idx="80">
                  <c:v>5.0</c:v>
                </c:pt>
                <c:pt idx="81">
                  <c:v>5.0</c:v>
                </c:pt>
                <c:pt idx="82">
                  <c:v>5.0</c:v>
                </c:pt>
                <c:pt idx="83">
                  <c:v>5.0</c:v>
                </c:pt>
                <c:pt idx="84">
                  <c:v>5.0</c:v>
                </c:pt>
                <c:pt idx="85">
                  <c:v>6.0</c:v>
                </c:pt>
                <c:pt idx="86">
                  <c:v>6.0</c:v>
                </c:pt>
                <c:pt idx="87">
                  <c:v>6.0</c:v>
                </c:pt>
                <c:pt idx="88">
                  <c:v>6.0</c:v>
                </c:pt>
                <c:pt idx="89">
                  <c:v>7.0</c:v>
                </c:pt>
                <c:pt idx="90">
                  <c:v>7.0</c:v>
                </c:pt>
                <c:pt idx="91">
                  <c:v>7.0</c:v>
                </c:pt>
                <c:pt idx="92">
                  <c:v>7.0</c:v>
                </c:pt>
                <c:pt idx="93">
                  <c:v>7.0</c:v>
                </c:pt>
                <c:pt idx="94">
                  <c:v>8.0</c:v>
                </c:pt>
                <c:pt idx="95">
                  <c:v>8.0</c:v>
                </c:pt>
                <c:pt idx="96">
                  <c:v>8.0</c:v>
                </c:pt>
                <c:pt idx="97">
                  <c:v>8.0</c:v>
                </c:pt>
                <c:pt idx="98">
                  <c:v>8.0</c:v>
                </c:pt>
                <c:pt idx="99">
                  <c:v>8.0</c:v>
                </c:pt>
                <c:pt idx="100">
                  <c:v>9.0</c:v>
                </c:pt>
                <c:pt idx="101">
                  <c:v>9.0</c:v>
                </c:pt>
                <c:pt idx="102">
                  <c:v>9.0</c:v>
                </c:pt>
                <c:pt idx="103">
                  <c:v>9.0</c:v>
                </c:pt>
                <c:pt idx="104">
                  <c:v>10.0</c:v>
                </c:pt>
                <c:pt idx="105">
                  <c:v>10.0</c:v>
                </c:pt>
                <c:pt idx="106">
                  <c:v>10.0</c:v>
                </c:pt>
                <c:pt idx="107">
                  <c:v>10.0</c:v>
                </c:pt>
                <c:pt idx="108">
                  <c:v>10.0</c:v>
                </c:pt>
                <c:pt idx="109">
                  <c:v>10.0</c:v>
                </c:pt>
                <c:pt idx="110">
                  <c:v>11.0</c:v>
                </c:pt>
                <c:pt idx="111">
                  <c:v>11.0</c:v>
                </c:pt>
                <c:pt idx="112">
                  <c:v>11.0</c:v>
                </c:pt>
                <c:pt idx="113">
                  <c:v>11.0</c:v>
                </c:pt>
                <c:pt idx="114">
                  <c:v>11.0</c:v>
                </c:pt>
                <c:pt idx="115">
                  <c:v>11.0</c:v>
                </c:pt>
                <c:pt idx="116">
                  <c:v>12.0</c:v>
                </c:pt>
                <c:pt idx="117">
                  <c:v>12.0</c:v>
                </c:pt>
                <c:pt idx="118">
                  <c:v>12.0</c:v>
                </c:pt>
              </c:numCache>
            </c:numRef>
          </c:val>
          <c:smooth val="0"/>
        </c:ser>
        <c:ser>
          <c:idx val="4"/>
          <c:order val="4"/>
          <c:tx>
            <c:strRef>
              <c:f>Calculations!$M$1</c:f>
              <c:strCache>
                <c:ptCount val="1"/>
                <c:pt idx="0">
                  <c:v>Generator 5 Count</c:v>
                </c:pt>
              </c:strCache>
            </c:strRef>
          </c:tx>
          <c:spPr>
            <a:ln w="25400" cmpd="sng">
              <a:solidFill>
                <a:srgbClr val="990099"/>
              </a:solidFill>
            </a:ln>
          </c:spPr>
          <c:marker>
            <c:symbol val="none"/>
          </c:marker>
          <c:cat>
            <c:numRef>
              <c:f>Calculations!$A$2:$A$120</c:f>
              <c:numCache>
                <c:formatCode>0.00</c:formatCode>
                <c:ptCount val="119"/>
                <c:pt idx="0">
                  <c:v>0.0</c:v>
                </c:pt>
                <c:pt idx="1">
                  <c:v>0.0457045908183633</c:v>
                </c:pt>
                <c:pt idx="2">
                  <c:v>0.0701565469061876</c:v>
                </c:pt>
                <c:pt idx="3">
                  <c:v>0.0875989422488357</c:v>
                </c:pt>
                <c:pt idx="4">
                  <c:v>0.101596464511311</c:v>
                </c:pt>
                <c:pt idx="5">
                  <c:v>0.113578343567989</c:v>
                </c:pt>
                <c:pt idx="6">
                  <c:v>0.124262185726861</c:v>
                </c:pt>
                <c:pt idx="7">
                  <c:v>0.134060795249712</c:v>
                </c:pt>
                <c:pt idx="8">
                  <c:v>0.143234743415481</c:v>
                </c:pt>
                <c:pt idx="9">
                  <c:v>0.151960187448702</c:v>
                </c:pt>
                <c:pt idx="10">
                  <c:v>0.160362790052693</c:v>
                </c:pt>
                <c:pt idx="11">
                  <c:v>0.168536230767485</c:v>
                </c:pt>
                <c:pt idx="12">
                  <c:v>0.176553013868576</c:v>
                </c:pt>
                <c:pt idx="13">
                  <c:v>0.22952399498327</c:v>
                </c:pt>
                <c:pt idx="14">
                  <c:v>0.261231019677588</c:v>
                </c:pt>
                <c:pt idx="15">
                  <c:v>0.285876539042359</c:v>
                </c:pt>
                <c:pt idx="16">
                  <c:v>0.28798034857216</c:v>
                </c:pt>
                <c:pt idx="17">
                  <c:v>0.308956676828337</c:v>
                </c:pt>
                <c:pt idx="18">
                  <c:v>0.310735893659906</c:v>
                </c:pt>
                <c:pt idx="19">
                  <c:v>0.329882558938345</c:v>
                </c:pt>
                <c:pt idx="20">
                  <c:v>0.331456416727798</c:v>
                </c:pt>
                <c:pt idx="21">
                  <c:v>0.333118251329526</c:v>
                </c:pt>
                <c:pt idx="22">
                  <c:v>0.351134146380737</c:v>
                </c:pt>
                <c:pt idx="23">
                  <c:v>0.352652636968932</c:v>
                </c:pt>
                <c:pt idx="24">
                  <c:v>0.354259339858902</c:v>
                </c:pt>
                <c:pt idx="25">
                  <c:v>0.371790611726487</c:v>
                </c:pt>
                <c:pt idx="26">
                  <c:v>0.373292847586068</c:v>
                </c:pt>
                <c:pt idx="27">
                  <c:v>0.374884759302661</c:v>
                </c:pt>
                <c:pt idx="28">
                  <c:v>0.392357900689187</c:v>
                </c:pt>
                <c:pt idx="29">
                  <c:v>0.393872024419506</c:v>
                </c:pt>
                <c:pt idx="30">
                  <c:v>0.395478384713287</c:v>
                </c:pt>
                <c:pt idx="31">
                  <c:v>0.413208722357156</c:v>
                </c:pt>
                <c:pt idx="32">
                  <c:v>0.414756993026504</c:v>
                </c:pt>
                <c:pt idx="33">
                  <c:v>0.476916207857475</c:v>
                </c:pt>
                <c:pt idx="34">
                  <c:v>0.489963027180578</c:v>
                </c:pt>
                <c:pt idx="35">
                  <c:v>0.491059212477097</c:v>
                </c:pt>
                <c:pt idx="36">
                  <c:v>0.538068104715228</c:v>
                </c:pt>
                <c:pt idx="37">
                  <c:v>0.538986081862026</c:v>
                </c:pt>
                <c:pt idx="38">
                  <c:v>0.580974008743137</c:v>
                </c:pt>
                <c:pt idx="39">
                  <c:v>0.590035578989843</c:v>
                </c:pt>
                <c:pt idx="40">
                  <c:v>0.590812186244874</c:v>
                </c:pt>
                <c:pt idx="41">
                  <c:v>0.628689032980937</c:v>
                </c:pt>
                <c:pt idx="42">
                  <c:v>0.629398140294951</c:v>
                </c:pt>
                <c:pt idx="43">
                  <c:v>0.637934502068953</c:v>
                </c:pt>
                <c:pt idx="44">
                  <c:v>0.638667824790335</c:v>
                </c:pt>
                <c:pt idx="45">
                  <c:v>0.67430000557901</c:v>
                </c:pt>
                <c:pt idx="46">
                  <c:v>0.674987252399305</c:v>
                </c:pt>
                <c:pt idx="47">
                  <c:v>0.683300706826132</c:v>
                </c:pt>
                <c:pt idx="48">
                  <c:v>0.68401509641484</c:v>
                </c:pt>
                <c:pt idx="49">
                  <c:v>0.718592031037143</c:v>
                </c:pt>
                <c:pt idx="50">
                  <c:v>0.719274161252134</c:v>
                </c:pt>
                <c:pt idx="51">
                  <c:v>0.727564967594102</c:v>
                </c:pt>
                <c:pt idx="52">
                  <c:v>0.761943088009293</c:v>
                </c:pt>
                <c:pt idx="53">
                  <c:v>0.762588368791644</c:v>
                </c:pt>
                <c:pt idx="54">
                  <c:v>0.76327762449217</c:v>
                </c:pt>
                <c:pt idx="55">
                  <c:v>0.771694287672172</c:v>
                </c:pt>
                <c:pt idx="56">
                  <c:v>0.806383921698811</c:v>
                </c:pt>
                <c:pt idx="57">
                  <c:v>0.807044940754676</c:v>
                </c:pt>
                <c:pt idx="58">
                  <c:v>0.807751135892052</c:v>
                </c:pt>
                <c:pt idx="59">
                  <c:v>0.84387988293301</c:v>
                </c:pt>
                <c:pt idx="60">
                  <c:v>0.851877029271451</c:v>
                </c:pt>
                <c:pt idx="61">
                  <c:v>0.852561756757852</c:v>
                </c:pt>
                <c:pt idx="62">
                  <c:v>0.853293388528083</c:v>
                </c:pt>
                <c:pt idx="63">
                  <c:v>0.890568752402384</c:v>
                </c:pt>
                <c:pt idx="64">
                  <c:v>0.898953325357183</c:v>
                </c:pt>
                <c:pt idx="65">
                  <c:v>0.899669103384407</c:v>
                </c:pt>
                <c:pt idx="66">
                  <c:v>1.024346338602355</c:v>
                </c:pt>
                <c:pt idx="67">
                  <c:v>1.054803292460097</c:v>
                </c:pt>
                <c:pt idx="68">
                  <c:v>1.055372080634922</c:v>
                </c:pt>
                <c:pt idx="69">
                  <c:v>1.160036015061151</c:v>
                </c:pt>
                <c:pt idx="70">
                  <c:v>1.165882317784721</c:v>
                </c:pt>
                <c:pt idx="71">
                  <c:v>1.166382213887552</c:v>
                </c:pt>
                <c:pt idx="72">
                  <c:v>1.193417831800331</c:v>
                </c:pt>
                <c:pt idx="73">
                  <c:v>1.28665541992133</c:v>
                </c:pt>
                <c:pt idx="74">
                  <c:v>1.287096974373189</c:v>
                </c:pt>
                <c:pt idx="75">
                  <c:v>1.292591569895455</c:v>
                </c:pt>
                <c:pt idx="76">
                  <c:v>1.293060110657118</c:v>
                </c:pt>
                <c:pt idx="77">
                  <c:v>1.38295493449193</c:v>
                </c:pt>
                <c:pt idx="78">
                  <c:v>1.40513298017293</c:v>
                </c:pt>
                <c:pt idx="79">
                  <c:v>1.405560362659924</c:v>
                </c:pt>
                <c:pt idx="80">
                  <c:v>1.492164703415927</c:v>
                </c:pt>
                <c:pt idx="81">
                  <c:v>1.49694537612117</c:v>
                </c:pt>
                <c:pt idx="82">
                  <c:v>1.497351989039084</c:v>
                </c:pt>
                <c:pt idx="83">
                  <c:v>1.519161254019183</c:v>
                </c:pt>
                <c:pt idx="84">
                  <c:v>1.519585047887087</c:v>
                </c:pt>
                <c:pt idx="85">
                  <c:v>1.604350756171844</c:v>
                </c:pt>
                <c:pt idx="86">
                  <c:v>1.609180724710778</c:v>
                </c:pt>
                <c:pt idx="87">
                  <c:v>1.609589997318293</c:v>
                </c:pt>
                <c:pt idx="88">
                  <c:v>1.631449248137016</c:v>
                </c:pt>
                <c:pt idx="89">
                  <c:v>1.715963663586359</c:v>
                </c:pt>
                <c:pt idx="90">
                  <c:v>1.716356307368074</c:v>
                </c:pt>
                <c:pt idx="91">
                  <c:v>1.721309157081167</c:v>
                </c:pt>
                <c:pt idx="92">
                  <c:v>1.721727212155325</c:v>
                </c:pt>
                <c:pt idx="93">
                  <c:v>1.743960994324569</c:v>
                </c:pt>
                <c:pt idx="94">
                  <c:v>1.829376095695778</c:v>
                </c:pt>
                <c:pt idx="95">
                  <c:v>1.829781686489108</c:v>
                </c:pt>
                <c:pt idx="96">
                  <c:v>1.834920833295653</c:v>
                </c:pt>
                <c:pt idx="97">
                  <c:v>1.835352881776753</c:v>
                </c:pt>
                <c:pt idx="98">
                  <c:v>1.858233391678885</c:v>
                </c:pt>
                <c:pt idx="99">
                  <c:v>2.248807277135892</c:v>
                </c:pt>
                <c:pt idx="100">
                  <c:v>2.3096044245083</c:v>
                </c:pt>
                <c:pt idx="101">
                  <c:v>2.599578190991203</c:v>
                </c:pt>
                <c:pt idx="102">
                  <c:v>2.599811539913223</c:v>
                </c:pt>
                <c:pt idx="103">
                  <c:v>2.851731835777843</c:v>
                </c:pt>
                <c:pt idx="104">
                  <c:v>2.893168161450549</c:v>
                </c:pt>
                <c:pt idx="105">
                  <c:v>2.903606896369412</c:v>
                </c:pt>
                <c:pt idx="106">
                  <c:v>2.905944248387656</c:v>
                </c:pt>
                <c:pt idx="107">
                  <c:v>2.906140365846618</c:v>
                </c:pt>
                <c:pt idx="108">
                  <c:v>3.127768049573493</c:v>
                </c:pt>
                <c:pt idx="109">
                  <c:v>3.127946456310891</c:v>
                </c:pt>
                <c:pt idx="110">
                  <c:v>3.166224842698874</c:v>
                </c:pt>
                <c:pt idx="111">
                  <c:v>3.372126760631556</c:v>
                </c:pt>
                <c:pt idx="112">
                  <c:v>3.380661673797114</c:v>
                </c:pt>
                <c:pt idx="113">
                  <c:v>3.382593516806976</c:v>
                </c:pt>
                <c:pt idx="114">
                  <c:v>3.382754964894407</c:v>
                </c:pt>
                <c:pt idx="115">
                  <c:v>3.382927697439383</c:v>
                </c:pt>
                <c:pt idx="116">
                  <c:v>3.419506980402546</c:v>
                </c:pt>
                <c:pt idx="117">
                  <c:v>3.615263383241809</c:v>
                </c:pt>
                <c:pt idx="118">
                  <c:v>3.623684845699133</c:v>
                </c:pt>
              </c:numCache>
            </c:numRef>
          </c:cat>
          <c:val>
            <c:numRef>
              <c:f>Calculations!$M$2:$M$120</c:f>
              <c:numCache>
                <c:formatCode>0</c:formatCode>
                <c:ptCount val="119"/>
                <c:pt idx="0">
                  <c:v>0.0</c:v>
                </c:pt>
                <c:pt idx="1">
                  <c:v>0.0</c:v>
                </c:pt>
                <c:pt idx="2">
                  <c:v>0.0</c:v>
                </c:pt>
                <c:pt idx="3">
                  <c:v>0.0</c:v>
                </c:pt>
                <c:pt idx="4">
                  <c:v>0.0</c:v>
                </c:pt>
                <c:pt idx="5">
                  <c:v>0.0</c:v>
                </c:pt>
                <c:pt idx="6">
                  <c:v>0.0</c:v>
                </c:pt>
                <c:pt idx="7">
                  <c:v>0.0</c:v>
                </c:pt>
                <c:pt idx="8">
                  <c:v>0.0</c:v>
                </c:pt>
                <c:pt idx="9">
                  <c:v>0.0</c:v>
                </c:pt>
                <c:pt idx="10">
                  <c:v>0.0</c:v>
                </c:pt>
                <c:pt idx="11">
                  <c:v>0.0</c:v>
                </c:pt>
                <c:pt idx="12">
                  <c:v>0.0</c:v>
                </c:pt>
                <c:pt idx="13">
                  <c:v>0.0</c:v>
                </c:pt>
                <c:pt idx="14">
                  <c:v>0.0</c:v>
                </c:pt>
                <c:pt idx="15">
                  <c:v>0.0</c:v>
                </c:pt>
                <c:pt idx="16">
                  <c:v>0.0</c:v>
                </c:pt>
                <c:pt idx="17">
                  <c:v>0.0</c:v>
                </c:pt>
                <c:pt idx="18">
                  <c:v>0.0</c:v>
                </c:pt>
                <c:pt idx="19">
                  <c:v>0.0</c:v>
                </c:pt>
                <c:pt idx="20">
                  <c:v>0.0</c:v>
                </c:pt>
                <c:pt idx="21">
                  <c:v>0.0</c:v>
                </c:pt>
                <c:pt idx="22">
                  <c:v>0.0</c:v>
                </c:pt>
                <c:pt idx="23">
                  <c:v>0.0</c:v>
                </c:pt>
                <c:pt idx="24">
                  <c:v>0.0</c:v>
                </c:pt>
                <c:pt idx="25">
                  <c:v>0.0</c:v>
                </c:pt>
                <c:pt idx="26">
                  <c:v>0.0</c:v>
                </c:pt>
                <c:pt idx="27">
                  <c:v>0.0</c:v>
                </c:pt>
                <c:pt idx="28">
                  <c:v>0.0</c:v>
                </c:pt>
                <c:pt idx="29">
                  <c:v>0.0</c:v>
                </c:pt>
                <c:pt idx="30">
                  <c:v>0.0</c:v>
                </c:pt>
                <c:pt idx="31">
                  <c:v>0.0</c:v>
                </c:pt>
                <c:pt idx="32">
                  <c:v>0.0</c:v>
                </c:pt>
                <c:pt idx="33">
                  <c:v>0.0</c:v>
                </c:pt>
                <c:pt idx="34">
                  <c:v>0.0</c:v>
                </c:pt>
                <c:pt idx="35">
                  <c:v>0.0</c:v>
                </c:pt>
                <c:pt idx="36">
                  <c:v>0.0</c:v>
                </c:pt>
                <c:pt idx="37">
                  <c:v>0.0</c:v>
                </c:pt>
                <c:pt idx="38">
                  <c:v>0.0</c:v>
                </c:pt>
                <c:pt idx="39">
                  <c:v>0.0</c:v>
                </c:pt>
                <c:pt idx="40">
                  <c:v>0.0</c:v>
                </c:pt>
                <c:pt idx="41">
                  <c:v>0.0</c:v>
                </c:pt>
                <c:pt idx="42">
                  <c:v>0.0</c:v>
                </c:pt>
                <c:pt idx="43">
                  <c:v>0.0</c:v>
                </c:pt>
                <c:pt idx="44">
                  <c:v>0.0</c:v>
                </c:pt>
                <c:pt idx="45">
                  <c:v>0.0</c:v>
                </c:pt>
                <c:pt idx="46">
                  <c:v>0.0</c:v>
                </c:pt>
                <c:pt idx="47">
                  <c:v>0.0</c:v>
                </c:pt>
                <c:pt idx="48">
                  <c:v>0.0</c:v>
                </c:pt>
                <c:pt idx="49">
                  <c:v>0.0</c:v>
                </c:pt>
                <c:pt idx="50">
                  <c:v>0.0</c:v>
                </c:pt>
                <c:pt idx="51">
                  <c:v>0.0</c:v>
                </c:pt>
                <c:pt idx="52">
                  <c:v>0.0</c:v>
                </c:pt>
                <c:pt idx="53">
                  <c:v>0.0</c:v>
                </c:pt>
                <c:pt idx="54">
                  <c:v>0.0</c:v>
                </c:pt>
                <c:pt idx="55">
                  <c:v>0.0</c:v>
                </c:pt>
                <c:pt idx="56">
                  <c:v>0.0</c:v>
                </c:pt>
                <c:pt idx="57">
                  <c:v>0.0</c:v>
                </c:pt>
                <c:pt idx="58">
                  <c:v>0.0</c:v>
                </c:pt>
                <c:pt idx="59">
                  <c:v>0.0</c:v>
                </c:pt>
                <c:pt idx="60">
                  <c:v>0.0</c:v>
                </c:pt>
                <c:pt idx="61">
                  <c:v>0.0</c:v>
                </c:pt>
                <c:pt idx="62">
                  <c:v>0.0</c:v>
                </c:pt>
                <c:pt idx="63">
                  <c:v>0.0</c:v>
                </c:pt>
                <c:pt idx="64">
                  <c:v>0.0</c:v>
                </c:pt>
                <c:pt idx="65">
                  <c:v>0.0</c:v>
                </c:pt>
                <c:pt idx="66">
                  <c:v>0.0</c:v>
                </c:pt>
                <c:pt idx="67">
                  <c:v>0.0</c:v>
                </c:pt>
                <c:pt idx="68">
                  <c:v>0.0</c:v>
                </c:pt>
                <c:pt idx="69">
                  <c:v>0.0</c:v>
                </c:pt>
                <c:pt idx="70">
                  <c:v>0.0</c:v>
                </c:pt>
                <c:pt idx="71">
                  <c:v>0.0</c:v>
                </c:pt>
                <c:pt idx="72">
                  <c:v>0.0</c:v>
                </c:pt>
                <c:pt idx="73">
                  <c:v>0.0</c:v>
                </c:pt>
                <c:pt idx="74">
                  <c:v>0.0</c:v>
                </c:pt>
                <c:pt idx="75">
                  <c:v>0.0</c:v>
                </c:pt>
                <c:pt idx="76">
                  <c:v>0.0</c:v>
                </c:pt>
                <c:pt idx="77">
                  <c:v>0.0</c:v>
                </c:pt>
                <c:pt idx="78">
                  <c:v>0.0</c:v>
                </c:pt>
                <c:pt idx="79">
                  <c:v>0.0</c:v>
                </c:pt>
                <c:pt idx="80">
                  <c:v>0.0</c:v>
                </c:pt>
                <c:pt idx="81">
                  <c:v>0.0</c:v>
                </c:pt>
                <c:pt idx="82">
                  <c:v>0.0</c:v>
                </c:pt>
                <c:pt idx="83">
                  <c:v>0.0</c:v>
                </c:pt>
                <c:pt idx="84">
                  <c:v>0.0</c:v>
                </c:pt>
                <c:pt idx="85">
                  <c:v>0.0</c:v>
                </c:pt>
                <c:pt idx="86">
                  <c:v>0.0</c:v>
                </c:pt>
                <c:pt idx="87">
                  <c:v>0.0</c:v>
                </c:pt>
                <c:pt idx="88">
                  <c:v>0.0</c:v>
                </c:pt>
                <c:pt idx="89">
                  <c:v>0.0</c:v>
                </c:pt>
                <c:pt idx="90">
                  <c:v>0.0</c:v>
                </c:pt>
                <c:pt idx="91">
                  <c:v>0.0</c:v>
                </c:pt>
                <c:pt idx="92">
                  <c:v>0.0</c:v>
                </c:pt>
                <c:pt idx="93">
                  <c:v>0.0</c:v>
                </c:pt>
                <c:pt idx="94">
                  <c:v>0.0</c:v>
                </c:pt>
                <c:pt idx="95">
                  <c:v>0.0</c:v>
                </c:pt>
                <c:pt idx="96">
                  <c:v>0.0</c:v>
                </c:pt>
                <c:pt idx="97">
                  <c:v>0.0</c:v>
                </c:pt>
                <c:pt idx="98">
                  <c:v>0.0</c:v>
                </c:pt>
                <c:pt idx="99">
                  <c:v>1.0</c:v>
                </c:pt>
                <c:pt idx="100">
                  <c:v>1.0</c:v>
                </c:pt>
                <c:pt idx="101">
                  <c:v>2.0</c:v>
                </c:pt>
                <c:pt idx="102">
                  <c:v>2.0</c:v>
                </c:pt>
                <c:pt idx="103">
                  <c:v>3.0</c:v>
                </c:pt>
                <c:pt idx="104">
                  <c:v>3.0</c:v>
                </c:pt>
                <c:pt idx="105">
                  <c:v>3.0</c:v>
                </c:pt>
                <c:pt idx="106">
                  <c:v>3.0</c:v>
                </c:pt>
                <c:pt idx="107">
                  <c:v>3.0</c:v>
                </c:pt>
                <c:pt idx="108">
                  <c:v>4.0</c:v>
                </c:pt>
                <c:pt idx="109">
                  <c:v>4.0</c:v>
                </c:pt>
                <c:pt idx="110">
                  <c:v>4.0</c:v>
                </c:pt>
                <c:pt idx="111">
                  <c:v>5.0</c:v>
                </c:pt>
                <c:pt idx="112">
                  <c:v>5.0</c:v>
                </c:pt>
                <c:pt idx="113">
                  <c:v>5.0</c:v>
                </c:pt>
                <c:pt idx="114">
                  <c:v>5.0</c:v>
                </c:pt>
                <c:pt idx="115">
                  <c:v>5.0</c:v>
                </c:pt>
                <c:pt idx="116">
                  <c:v>5.0</c:v>
                </c:pt>
                <c:pt idx="117">
                  <c:v>6.0</c:v>
                </c:pt>
                <c:pt idx="118">
                  <c:v>6.0</c:v>
                </c:pt>
              </c:numCache>
            </c:numRef>
          </c:val>
          <c:smooth val="0"/>
        </c:ser>
        <c:dLbls>
          <c:showLegendKey val="0"/>
          <c:showVal val="0"/>
          <c:showCatName val="0"/>
          <c:showSerName val="0"/>
          <c:showPercent val="0"/>
          <c:showBubbleSize val="0"/>
        </c:dLbls>
        <c:marker val="1"/>
        <c:smooth val="0"/>
        <c:axId val="688015944"/>
        <c:axId val="688021528"/>
      </c:lineChart>
      <c:catAx>
        <c:axId val="688015944"/>
        <c:scaling>
          <c:orientation val="minMax"/>
        </c:scaling>
        <c:delete val="0"/>
        <c:axPos val="b"/>
        <c:title>
          <c:tx>
            <c:rich>
              <a:bodyPr/>
              <a:lstStyle/>
              <a:p>
                <a:pPr lvl="0">
                  <a:defRPr/>
                </a:pPr>
                <a:r>
                  <a:rPr lang="en-US"/>
                  <a:t>Minutes</a:t>
                </a:r>
              </a:p>
            </c:rich>
          </c:tx>
          <c:layout/>
          <c:overlay val="0"/>
        </c:title>
        <c:numFmt formatCode="0.00" sourceLinked="1"/>
        <c:majorTickMark val="cross"/>
        <c:minorTickMark val="cross"/>
        <c:tickLblPos val="nextTo"/>
        <c:txPr>
          <a:bodyPr/>
          <a:lstStyle/>
          <a:p>
            <a:pPr lvl="0">
              <a:defRPr/>
            </a:pPr>
            <a:endParaRPr lang="en-US"/>
          </a:p>
        </c:txPr>
        <c:crossAx val="688021528"/>
        <c:crosses val="autoZero"/>
        <c:auto val="1"/>
        <c:lblAlgn val="ctr"/>
        <c:lblOffset val="100"/>
        <c:tickLblSkip val="20"/>
        <c:tickMarkSkip val="20"/>
        <c:noMultiLvlLbl val="1"/>
      </c:catAx>
      <c:valAx>
        <c:axId val="688021528"/>
        <c:scaling>
          <c:orientation val="minMax"/>
        </c:scaling>
        <c:delete val="0"/>
        <c:axPos val="l"/>
        <c:majorGridlines>
          <c:spPr>
            <a:ln>
              <a:solidFill>
                <a:srgbClr val="B7B7B7"/>
              </a:solidFill>
            </a:ln>
          </c:spPr>
        </c:majorGridlines>
        <c:title>
          <c:tx>
            <c:rich>
              <a:bodyPr/>
              <a:lstStyle/>
              <a:p>
                <a:pPr lvl="0">
                  <a:defRPr/>
                </a:pPr>
                <a:r>
                  <a:rPr lang="en-US"/>
                  <a:t>Count</a:t>
                </a:r>
              </a:p>
            </c:rich>
          </c:tx>
          <c:layout/>
          <c:overlay val="0"/>
        </c:title>
        <c:numFmt formatCode="0" sourceLinked="1"/>
        <c:majorTickMark val="cross"/>
        <c:minorTickMark val="cross"/>
        <c:tickLblPos val="nextTo"/>
        <c:spPr>
          <a:ln w="47625">
            <a:noFill/>
          </a:ln>
        </c:spPr>
        <c:txPr>
          <a:bodyPr/>
          <a:lstStyle/>
          <a:p>
            <a:pPr lvl="0">
              <a:defRPr/>
            </a:pPr>
            <a:endParaRPr lang="en-US"/>
          </a:p>
        </c:txPr>
        <c:crossAx val="688015944"/>
        <c:crosses val="autoZero"/>
        <c:crossBetween val="between"/>
      </c:valAx>
    </c:plotArea>
    <c:legend>
      <c:legendPos val="r"/>
      <c:layout/>
      <c:overlay val="0"/>
    </c:legend>
    <c:plotVisOnly val="1"/>
    <c:dispBlanksAs val="zero"/>
    <c:showDLblsOverMax val="1"/>
  </c:chart>
  <c:printSettings>
    <c:headerFooter/>
    <c:pageMargins b="1.0" l="0.75" r="0.75" t="1.0" header="0.5" footer="0.5"/>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4" Type="http://schemas.openxmlformats.org/officeDocument/2006/relationships/chart" Target="../charts/chart4.xml"/><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942975</xdr:colOff>
      <xdr:row>2</xdr:row>
      <xdr:rowOff>9525</xdr:rowOff>
    </xdr:from>
    <xdr:to>
      <xdr:col>9</xdr:col>
      <xdr:colOff>885825</xdr:colOff>
      <xdr:row>19</xdr:row>
      <xdr:rowOff>142875</xdr:rowOff>
    </xdr:to>
    <xdr:graphicFrame macro="">
      <xdr:nvGraphicFramePr>
        <xdr:cNvPr id="2" name="Chart 1" titl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10</xdr:col>
      <xdr:colOff>171450</xdr:colOff>
      <xdr:row>2</xdr:row>
      <xdr:rowOff>0</xdr:rowOff>
    </xdr:from>
    <xdr:to>
      <xdr:col>16</xdr:col>
      <xdr:colOff>114300</xdr:colOff>
      <xdr:row>19</xdr:row>
      <xdr:rowOff>133350</xdr:rowOff>
    </xdr:to>
    <xdr:graphicFrame macro="">
      <xdr:nvGraphicFramePr>
        <xdr:cNvPr id="3" name="Chart 2" titl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twoCellAnchor>
  <xdr:twoCellAnchor>
    <xdr:from>
      <xdr:col>10</xdr:col>
      <xdr:colOff>228600</xdr:colOff>
      <xdr:row>20</xdr:row>
      <xdr:rowOff>38100</xdr:rowOff>
    </xdr:from>
    <xdr:to>
      <xdr:col>16</xdr:col>
      <xdr:colOff>171450</xdr:colOff>
      <xdr:row>37</xdr:row>
      <xdr:rowOff>171450</xdr:rowOff>
    </xdr:to>
    <xdr:graphicFrame macro="">
      <xdr:nvGraphicFramePr>
        <xdr:cNvPr id="4" name="Chart 3" titl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twoCellAnchor>
  <xdr:twoCellAnchor>
    <xdr:from>
      <xdr:col>3</xdr:col>
      <xdr:colOff>952500</xdr:colOff>
      <xdr:row>20</xdr:row>
      <xdr:rowOff>0</xdr:rowOff>
    </xdr:from>
    <xdr:to>
      <xdr:col>9</xdr:col>
      <xdr:colOff>895350</xdr:colOff>
      <xdr:row>37</xdr:row>
      <xdr:rowOff>133350</xdr:rowOff>
    </xdr:to>
    <xdr:graphicFrame macro="">
      <xdr:nvGraphicFramePr>
        <xdr:cNvPr id="5" name="Chart 4" titl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twoCellAnchor>
  <xdr:twoCellAnchor>
    <xdr:from>
      <xdr:col>0</xdr:col>
      <xdr:colOff>0</xdr:colOff>
      <xdr:row>0</xdr:row>
      <xdr:rowOff>0</xdr:rowOff>
    </xdr:from>
    <xdr:to>
      <xdr:col>11</xdr:col>
      <xdr:colOff>469900</xdr:colOff>
      <xdr:row>66</xdr:row>
      <xdr:rowOff>127000</xdr:rowOff>
    </xdr:to>
    <xdr:sp macro="" textlink="">
      <xdr:nvSpPr>
        <xdr:cNvPr id="1028" name="Rectangle 4" hidden="1"/>
        <xdr:cNvSpPr>
          <a:spLocks noSelect="1" noChangeArrowheads="1"/>
        </xdr:cNvSpPr>
      </xdr:nvSpPr>
      <xdr:spPr bwMode="auto">
        <a:xfrm>
          <a:off x="0" y="0"/>
          <a:ext cx="12700000" cy="12700000"/>
        </a:xfrm>
        <a:prstGeom prst="rect">
          <a:avLst/>
        </a:prstGeom>
        <a:solidFill>
          <a:srgbClr val="FFFFFF"/>
        </a:solidFill>
        <a:ln w="9525">
          <a:solidFill>
            <a:srgbClr val="000000"/>
          </a:solidFill>
          <a:round/>
          <a:headEnd/>
          <a:tailEnd/>
        </a:ln>
      </xdr:spPr>
      <xdr:txBody>
        <a:bodyPr rtlCol="0"/>
        <a:lstStyle/>
        <a:p>
          <a:pPr algn="ctr"/>
          <a:endParaRPr lang="en-US"/>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2" Type="http://schemas.openxmlformats.org/officeDocument/2006/relationships/vmlDrawing" Target="../drawings/vmlDrawing1.vml"/><Relationship Id="rId3"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30"/>
  <sheetViews>
    <sheetView tabSelected="1" workbookViewId="0">
      <selection activeCell="J24" sqref="J24"/>
    </sheetView>
  </sheetViews>
  <sheetFormatPr baseColWidth="10" defaultColWidth="14.5" defaultRowHeight="15.75" customHeight="1" x14ac:dyDescent="0"/>
  <cols>
    <col min="1" max="1" width="15.5" customWidth="1"/>
  </cols>
  <sheetData>
    <row r="1" spans="1:8" ht="77" customHeight="1">
      <c r="A1" s="15" t="s">
        <v>17</v>
      </c>
      <c r="B1" s="16"/>
      <c r="C1" s="16"/>
      <c r="D1" s="16"/>
      <c r="E1" s="16"/>
      <c r="F1" s="16"/>
      <c r="G1" s="16"/>
      <c r="H1" s="16"/>
    </row>
    <row r="5" spans="1:8" ht="15.75" customHeight="1">
      <c r="A5" s="2" t="s">
        <v>18</v>
      </c>
    </row>
    <row r="6" spans="1:8" ht="15.75" customHeight="1">
      <c r="A6" s="12" t="s">
        <v>19</v>
      </c>
      <c r="B6" s="13">
        <v>1.67</v>
      </c>
    </row>
    <row r="7" spans="1:8" ht="15.75" customHeight="1">
      <c r="A7" s="12" t="s">
        <v>20</v>
      </c>
      <c r="B7" s="13">
        <v>4</v>
      </c>
    </row>
    <row r="8" spans="1:8" ht="15.75" customHeight="1">
      <c r="A8" s="12" t="s">
        <v>21</v>
      </c>
      <c r="B8" s="13">
        <v>1.07</v>
      </c>
    </row>
    <row r="10" spans="1:8" ht="15.75" customHeight="1">
      <c r="A10" s="2" t="s">
        <v>22</v>
      </c>
    </row>
    <row r="11" spans="1:8" ht="15.75" customHeight="1">
      <c r="A11" s="14" t="s">
        <v>19</v>
      </c>
      <c r="B11" s="13">
        <v>20</v>
      </c>
    </row>
    <row r="12" spans="1:8" ht="15.75" customHeight="1">
      <c r="A12" s="14" t="s">
        <v>20</v>
      </c>
      <c r="B12" s="13">
        <v>60</v>
      </c>
    </row>
    <row r="13" spans="1:8" ht="15.75" customHeight="1">
      <c r="A13" s="14" t="s">
        <v>21</v>
      </c>
      <c r="B13" s="13">
        <v>1.1499999999999999</v>
      </c>
      <c r="D13" s="7" t="s">
        <v>23</v>
      </c>
    </row>
    <row r="15" spans="1:8" ht="15.75" customHeight="1">
      <c r="A15" s="2" t="s">
        <v>24</v>
      </c>
    </row>
    <row r="16" spans="1:8" ht="15.75" customHeight="1">
      <c r="A16" s="14" t="s">
        <v>19</v>
      </c>
      <c r="B16" s="13">
        <v>90</v>
      </c>
    </row>
    <row r="17" spans="1:3" ht="15.75" customHeight="1">
      <c r="A17" s="14" t="s">
        <v>20</v>
      </c>
      <c r="B17" s="13">
        <v>720</v>
      </c>
    </row>
    <row r="18" spans="1:3" ht="15.75" customHeight="1">
      <c r="A18" s="14" t="s">
        <v>21</v>
      </c>
      <c r="B18" s="13">
        <v>1.1399999999999999</v>
      </c>
    </row>
    <row r="20" spans="1:3" ht="15.75" customHeight="1">
      <c r="A20" s="2" t="s">
        <v>25</v>
      </c>
    </row>
    <row r="21" spans="1:3" ht="15.75" customHeight="1">
      <c r="A21" s="14" t="s">
        <v>19</v>
      </c>
      <c r="B21" s="13">
        <v>360</v>
      </c>
    </row>
    <row r="22" spans="1:3" ht="15.75" customHeight="1">
      <c r="A22" s="14" t="s">
        <v>20</v>
      </c>
      <c r="B22" s="13">
        <v>8640</v>
      </c>
    </row>
    <row r="23" spans="1:3" ht="15.75" customHeight="1">
      <c r="A23" s="14" t="s">
        <v>21</v>
      </c>
      <c r="B23" s="13">
        <v>1.1299999999999999</v>
      </c>
    </row>
    <row r="25" spans="1:3" ht="15.75" customHeight="1">
      <c r="A25" s="2" t="s">
        <v>26</v>
      </c>
    </row>
    <row r="26" spans="1:3" ht="15.75" customHeight="1">
      <c r="A26" s="14" t="s">
        <v>19</v>
      </c>
      <c r="B26" s="13">
        <v>2160</v>
      </c>
    </row>
    <row r="27" spans="1:3" ht="15.75" customHeight="1">
      <c r="A27" s="14" t="s">
        <v>20</v>
      </c>
      <c r="B27" s="13">
        <v>103680</v>
      </c>
    </row>
    <row r="28" spans="1:3" ht="15.75" customHeight="1">
      <c r="A28" s="14" t="s">
        <v>21</v>
      </c>
      <c r="B28" s="13">
        <v>1.1200000000000001</v>
      </c>
    </row>
    <row r="30" spans="1:3" ht="15.75" customHeight="1">
      <c r="A30" s="12" t="s">
        <v>27</v>
      </c>
      <c r="B30" s="13">
        <v>1</v>
      </c>
      <c r="C30" s="7"/>
    </row>
  </sheetData>
  <mergeCells count="1">
    <mergeCell ref="A1:H1"/>
  </mergeCells>
  <pageMargins left="0.75" right="0.75" top="1" bottom="1" header="0.5" footer="0.5"/>
  <drawing r:id="rId1"/>
  <legacyDrawing r:id="rId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pane ySplit="1" topLeftCell="A2" activePane="bottomLeft" state="frozen"/>
      <selection pane="bottomLeft" activeCell="B3" sqref="B3"/>
    </sheetView>
  </sheetViews>
  <sheetFormatPr baseColWidth="10" defaultColWidth="14.5" defaultRowHeight="15.75" customHeight="1" x14ac:dyDescent="0"/>
  <sheetData>
    <row r="1" spans="1:26" ht="15.75" customHeight="1">
      <c r="A1" s="1" t="s">
        <v>0</v>
      </c>
      <c r="B1" s="2" t="s">
        <v>1</v>
      </c>
      <c r="C1" s="1" t="s">
        <v>2</v>
      </c>
      <c r="D1" s="1" t="s">
        <v>3</v>
      </c>
      <c r="E1" s="1" t="s">
        <v>4</v>
      </c>
      <c r="F1" s="1" t="s">
        <v>5</v>
      </c>
      <c r="G1" s="1" t="s">
        <v>6</v>
      </c>
      <c r="H1" s="3"/>
      <c r="I1" s="4" t="s">
        <v>7</v>
      </c>
      <c r="J1" s="4" t="s">
        <v>8</v>
      </c>
      <c r="K1" s="4" t="s">
        <v>9</v>
      </c>
      <c r="L1" s="4" t="s">
        <v>10</v>
      </c>
      <c r="M1" s="4" t="s">
        <v>11</v>
      </c>
      <c r="N1" s="3"/>
      <c r="O1" s="5" t="s">
        <v>12</v>
      </c>
      <c r="P1" s="5" t="s">
        <v>13</v>
      </c>
      <c r="Q1" s="5" t="s">
        <v>14</v>
      </c>
      <c r="R1" s="5" t="s">
        <v>15</v>
      </c>
      <c r="S1" s="5" t="s">
        <v>16</v>
      </c>
      <c r="T1" s="3"/>
      <c r="U1" s="3"/>
      <c r="V1" s="3"/>
      <c r="W1" s="3"/>
      <c r="X1" s="3"/>
      <c r="Y1" s="3"/>
      <c r="Z1" s="3"/>
    </row>
    <row r="2" spans="1:26" ht="15.75" customHeight="1">
      <c r="A2" s="6">
        <v>0</v>
      </c>
      <c r="B2" s="7">
        <f>(I2*'Optimal Choice'!$B$6+J2*'Optimal Choice'!$B$11+K2*'Optimal Choice'!$B$16+L2*'Optimal Choice'!$B$21+M2*'Optimal Choice'!$B$26)*'Optimal Choice'!$B$30</f>
        <v>1.67</v>
      </c>
      <c r="C2" s="8">
        <f>(O2/$B2)+(O2/'Optimal Choice'!$B$6)</f>
        <v>5.4845508982035929</v>
      </c>
      <c r="D2" s="8">
        <f>(P2/$B2)+(P2/'Optimal Choice'!$B$11)</f>
        <v>44.767365269461081</v>
      </c>
      <c r="E2" s="8">
        <f>(Q2/$B2)+(Q2/'Optimal Choice'!$B$16)</f>
        <v>500.61700598802395</v>
      </c>
      <c r="F2" s="8">
        <f>(R2/$B2)+(R2/'Optimal Choice'!$B$21)</f>
        <v>5873.3475449101788</v>
      </c>
      <c r="G2" s="8">
        <f>(S2/$B2)+(S2/'Optimal Choice'!$B$26)</f>
        <v>69587.652215568858</v>
      </c>
      <c r="I2" s="9">
        <v>1</v>
      </c>
      <c r="J2" s="9">
        <v>0</v>
      </c>
      <c r="K2" s="9">
        <v>0</v>
      </c>
      <c r="L2" s="9">
        <v>0</v>
      </c>
      <c r="M2" s="9">
        <v>0</v>
      </c>
      <c r="O2" s="10">
        <f>'Optimal Choice'!$B$7*'Optimal Choice'!$B$8^(I2+1)</f>
        <v>4.5796000000000001</v>
      </c>
      <c r="P2" s="10">
        <f>'Optimal Choice'!$B$12*'Optimal Choice'!$B$13^(J2+1)</f>
        <v>69</v>
      </c>
      <c r="Q2" s="10">
        <f>'Optimal Choice'!$B$17*'Optimal Choice'!$B$18^(K2+1)</f>
        <v>820.8</v>
      </c>
      <c r="R2" s="10">
        <f>'Optimal Choice'!$B$22*'Optimal Choice'!$B$23^(L2+1)</f>
        <v>9763.1999999999989</v>
      </c>
      <c r="S2" s="10">
        <f>'Optimal Choice'!$B$27*'Optimal Choice'!$B$28^(M2+1)</f>
        <v>116121.60000000001</v>
      </c>
    </row>
    <row r="3" spans="1:26" ht="15.75" customHeight="1">
      <c r="A3" s="8">
        <f t="shared" ref="A3:A750" si="0">A2+(INDEX(O2:S2,1,MATCH(MIN(C2:G2),C2:G2,0))/B2)/60</f>
        <v>4.5704590818363276E-2</v>
      </c>
      <c r="B3" s="7">
        <f>(I3*'Optimal Choice'!$B$6+J3*'Optimal Choice'!$B$11+K3*'Optimal Choice'!$B$16+L3*'Optimal Choice'!$B$21+M3*'Optimal Choice'!$B$26)*'Optimal Choice'!$B$30</f>
        <v>3.34</v>
      </c>
      <c r="C3" s="8">
        <f>(O3/$B3)+(O3/'Optimal Choice'!$B$6)</f>
        <v>4.4013520958083845</v>
      </c>
      <c r="D3" s="8">
        <f>(P3/$B3)+(P3/'Optimal Choice'!$B$11)</f>
        <v>24.108682634730538</v>
      </c>
      <c r="E3" s="8">
        <f>(Q3/$B3)+(Q3/'Optimal Choice'!$B$16)</f>
        <v>254.86850299401198</v>
      </c>
      <c r="F3" s="8">
        <f>(R3/$B3)+(R3/'Optimal Choice'!$B$21)</f>
        <v>2950.2337724550894</v>
      </c>
      <c r="G3" s="8">
        <f>(S3/$B3)+(S3/'Optimal Choice'!$B$26)</f>
        <v>34820.706107784434</v>
      </c>
      <c r="I3" s="11">
        <f t="shared" ref="I3:M3" si="1">IF(MIN($C2:$G2)=C2,I2+1,I2)</f>
        <v>2</v>
      </c>
      <c r="J3" s="11">
        <f t="shared" si="1"/>
        <v>0</v>
      </c>
      <c r="K3" s="11">
        <f t="shared" si="1"/>
        <v>0</v>
      </c>
      <c r="L3" s="11">
        <f t="shared" si="1"/>
        <v>0</v>
      </c>
      <c r="M3" s="11">
        <f t="shared" si="1"/>
        <v>0</v>
      </c>
      <c r="O3" s="10">
        <f>'Optimal Choice'!$B$7*'Optimal Choice'!$B$8^(I3+1)</f>
        <v>4.9001720000000004</v>
      </c>
      <c r="P3" s="10">
        <f>'Optimal Choice'!$B$12*'Optimal Choice'!$B$13^(J3+1)</f>
        <v>69</v>
      </c>
      <c r="Q3" s="10">
        <f>'Optimal Choice'!$B$17*'Optimal Choice'!$B$18^(K3+1)</f>
        <v>820.8</v>
      </c>
      <c r="R3" s="10">
        <f>'Optimal Choice'!$B$22*'Optimal Choice'!$B$23^(L3+1)</f>
        <v>9763.1999999999989</v>
      </c>
      <c r="S3" s="10">
        <f>'Optimal Choice'!$B$27*'Optimal Choice'!$B$28^(M3+1)</f>
        <v>116121.60000000001</v>
      </c>
    </row>
    <row r="4" spans="1:26" ht="15.75" customHeight="1">
      <c r="A4" s="8">
        <f t="shared" si="0"/>
        <v>7.0156546906187639E-2</v>
      </c>
      <c r="B4" s="7">
        <f>(I4*'Optimal Choice'!$B$6+J4*'Optimal Choice'!$B$11+K4*'Optimal Choice'!$B$16+L4*'Optimal Choice'!$B$21+M4*'Optimal Choice'!$B$26)*'Optimal Choice'!$B$30</f>
        <v>5.01</v>
      </c>
      <c r="C4" s="8">
        <f>(O4/$B4)+(O4/'Optimal Choice'!$B$6)</f>
        <v>4.1861748822355294</v>
      </c>
      <c r="D4" s="8">
        <f>(P4/$B4)+(P4/'Optimal Choice'!$B$11)</f>
        <v>17.222455089820361</v>
      </c>
      <c r="E4" s="8">
        <f>(Q4/$B4)+(Q4/'Optimal Choice'!$B$16)</f>
        <v>172.95233532934131</v>
      </c>
      <c r="F4" s="8">
        <f>(R4/$B4)+(R4/'Optimal Choice'!$B$21)</f>
        <v>1975.8625149700597</v>
      </c>
      <c r="G4" s="8">
        <f>(S4/$B4)+(S4/'Optimal Choice'!$B$26)</f>
        <v>23231.724071856286</v>
      </c>
      <c r="I4" s="11">
        <f t="shared" ref="I4:M4" si="2">IF(MIN($C3:$G3)=C3,I3+1,I3)</f>
        <v>3</v>
      </c>
      <c r="J4" s="11">
        <f t="shared" si="2"/>
        <v>0</v>
      </c>
      <c r="K4" s="11">
        <f t="shared" si="2"/>
        <v>0</v>
      </c>
      <c r="L4" s="11">
        <f t="shared" si="2"/>
        <v>0</v>
      </c>
      <c r="M4" s="11">
        <f t="shared" si="2"/>
        <v>0</v>
      </c>
      <c r="O4" s="10">
        <f>'Optimal Choice'!$B$7*'Optimal Choice'!$B$8^(I4+1)</f>
        <v>5.24318404</v>
      </c>
      <c r="P4" s="10">
        <f>'Optimal Choice'!$B$12*'Optimal Choice'!$B$13^(J4+1)</f>
        <v>69</v>
      </c>
      <c r="Q4" s="10">
        <f>'Optimal Choice'!$B$17*'Optimal Choice'!$B$18^(K4+1)</f>
        <v>820.8</v>
      </c>
      <c r="R4" s="10">
        <f>'Optimal Choice'!$B$22*'Optimal Choice'!$B$23^(L4+1)</f>
        <v>9763.1999999999989</v>
      </c>
      <c r="S4" s="10">
        <f>'Optimal Choice'!$B$27*'Optimal Choice'!$B$28^(M4+1)</f>
        <v>116121.60000000001</v>
      </c>
    </row>
    <row r="5" spans="1:26" ht="15.75" customHeight="1">
      <c r="A5" s="8">
        <f t="shared" si="0"/>
        <v>8.7598942248835673E-2</v>
      </c>
      <c r="B5" s="7">
        <f>(I5*'Optimal Choice'!$B$6+J5*'Optimal Choice'!$B$11+K5*'Optimal Choice'!$B$16+L5*'Optimal Choice'!$B$21+M5*'Optimal Choice'!$B$26)*'Optimal Choice'!$B$30</f>
        <v>6.68</v>
      </c>
      <c r="C5" s="8">
        <f>(O5/$B5)+(O5/'Optimal Choice'!$B$6)</f>
        <v>4.1992566787425156</v>
      </c>
      <c r="D5" s="8">
        <f>(P5/$B5)+(P5/'Optimal Choice'!$B$11)</f>
        <v>13.779341317365269</v>
      </c>
      <c r="E5" s="8">
        <f>(Q5/$B5)+(Q5/'Optimal Choice'!$B$16)</f>
        <v>131.99425149700599</v>
      </c>
      <c r="F5" s="8">
        <f>(R5/$B5)+(R5/'Optimal Choice'!$B$21)</f>
        <v>1488.6768862275446</v>
      </c>
      <c r="G5" s="8">
        <f>(S5/$B5)+(S5/'Optimal Choice'!$B$26)</f>
        <v>17437.233053892214</v>
      </c>
      <c r="I5" s="11">
        <f t="shared" ref="I5:M5" si="3">IF(MIN($C4:$G4)=C4,I4+1,I4)</f>
        <v>4</v>
      </c>
      <c r="J5" s="11">
        <f t="shared" si="3"/>
        <v>0</v>
      </c>
      <c r="K5" s="11">
        <f t="shared" si="3"/>
        <v>0</v>
      </c>
      <c r="L5" s="11">
        <f t="shared" si="3"/>
        <v>0</v>
      </c>
      <c r="M5" s="11">
        <f t="shared" si="3"/>
        <v>0</v>
      </c>
      <c r="O5" s="10">
        <f>'Optimal Choice'!$B$7*'Optimal Choice'!$B$8^(I5+1)</f>
        <v>5.6102069228000007</v>
      </c>
      <c r="P5" s="10">
        <f>'Optimal Choice'!$B$12*'Optimal Choice'!$B$13^(J5+1)</f>
        <v>69</v>
      </c>
      <c r="Q5" s="10">
        <f>'Optimal Choice'!$B$17*'Optimal Choice'!$B$18^(K5+1)</f>
        <v>820.8</v>
      </c>
      <c r="R5" s="10">
        <f>'Optimal Choice'!$B$22*'Optimal Choice'!$B$23^(L5+1)</f>
        <v>9763.1999999999989</v>
      </c>
      <c r="S5" s="10">
        <f>'Optimal Choice'!$B$27*'Optimal Choice'!$B$28^(M5+1)</f>
        <v>116121.60000000001</v>
      </c>
    </row>
    <row r="6" spans="1:26" ht="15.75" customHeight="1">
      <c r="A6" s="8">
        <f t="shared" si="0"/>
        <v>0.10159646451131073</v>
      </c>
      <c r="B6" s="7">
        <f>(I6*'Optimal Choice'!$B$6+J6*'Optimal Choice'!$B$11+K6*'Optimal Choice'!$B$16+L6*'Optimal Choice'!$B$21+M6*'Optimal Choice'!$B$26)*'Optimal Choice'!$B$30</f>
        <v>8.35</v>
      </c>
      <c r="C6" s="8">
        <f>(O6/$B6)+(O6/'Optimal Choice'!$B$6)</f>
        <v>4.3134764604043117</v>
      </c>
      <c r="D6" s="8">
        <f>(P6/$B6)+(P6/'Optimal Choice'!$B$11)</f>
        <v>11.713473053892216</v>
      </c>
      <c r="E6" s="8">
        <f>(Q6/$B6)+(Q6/'Optimal Choice'!$B$16)</f>
        <v>107.4194011976048</v>
      </c>
      <c r="F6" s="8">
        <f>(R6/$B6)+(R6/'Optimal Choice'!$B$21)</f>
        <v>1196.3655089820356</v>
      </c>
      <c r="G6" s="8">
        <f>(S6/$B6)+(S6/'Optimal Choice'!$B$26)</f>
        <v>13960.538443113774</v>
      </c>
      <c r="I6" s="11">
        <f t="shared" ref="I6:M6" si="4">IF(MIN($C5:$G5)=C5,I5+1,I5)</f>
        <v>5</v>
      </c>
      <c r="J6" s="11">
        <f t="shared" si="4"/>
        <v>0</v>
      </c>
      <c r="K6" s="11">
        <f t="shared" si="4"/>
        <v>0</v>
      </c>
      <c r="L6" s="11">
        <f t="shared" si="4"/>
        <v>0</v>
      </c>
      <c r="M6" s="11">
        <f t="shared" si="4"/>
        <v>0</v>
      </c>
      <c r="O6" s="10">
        <f>'Optimal Choice'!$B$7*'Optimal Choice'!$B$8^(I6+1)</f>
        <v>6.0029214073960002</v>
      </c>
      <c r="P6" s="10">
        <f>'Optimal Choice'!$B$12*'Optimal Choice'!$B$13^(J6+1)</f>
        <v>69</v>
      </c>
      <c r="Q6" s="10">
        <f>'Optimal Choice'!$B$17*'Optimal Choice'!$B$18^(K6+1)</f>
        <v>820.8</v>
      </c>
      <c r="R6" s="10">
        <f>'Optimal Choice'!$B$22*'Optimal Choice'!$B$23^(L6+1)</f>
        <v>9763.1999999999989</v>
      </c>
      <c r="S6" s="10">
        <f>'Optimal Choice'!$B$27*'Optimal Choice'!$B$28^(M6+1)</f>
        <v>116121.60000000001</v>
      </c>
    </row>
    <row r="7" spans="1:26" ht="15.75" customHeight="1">
      <c r="A7" s="8">
        <f t="shared" si="0"/>
        <v>0.11357834356798938</v>
      </c>
      <c r="B7" s="7">
        <f>(I7*'Optimal Choice'!$B$6+J7*'Optimal Choice'!$B$11+K7*'Optimal Choice'!$B$16+L7*'Optimal Choice'!$B$21+M7*'Optimal Choice'!$B$26)*'Optimal Choice'!$B$30</f>
        <v>10.02</v>
      </c>
      <c r="C7" s="8">
        <f>(O7/$B7)+(O7/'Optimal Choice'!$B$6)</f>
        <v>4.4872137067261519</v>
      </c>
      <c r="D7" s="8">
        <f>(P7/$B7)+(P7/'Optimal Choice'!$B$11)</f>
        <v>10.33622754491018</v>
      </c>
      <c r="E7" s="8">
        <f>(Q7/$B7)+(Q7/'Optimal Choice'!$B$16)</f>
        <v>91.036167664670657</v>
      </c>
      <c r="F7" s="8">
        <f>(R7/$B7)+(R7/'Optimal Choice'!$B$21)</f>
        <v>1001.4912574850299</v>
      </c>
      <c r="G7" s="8">
        <f>(S7/$B7)+(S7/'Optimal Choice'!$B$26)</f>
        <v>11642.742035928144</v>
      </c>
      <c r="I7" s="11">
        <f t="shared" ref="I7:M7" si="5">IF(MIN($C6:$G6)=C6,I6+1,I6)</f>
        <v>6</v>
      </c>
      <c r="J7" s="11">
        <f t="shared" si="5"/>
        <v>0</v>
      </c>
      <c r="K7" s="11">
        <f t="shared" si="5"/>
        <v>0</v>
      </c>
      <c r="L7" s="11">
        <f t="shared" si="5"/>
        <v>0</v>
      </c>
      <c r="M7" s="11">
        <f t="shared" si="5"/>
        <v>0</v>
      </c>
      <c r="O7" s="10">
        <f>'Optimal Choice'!$B$7*'Optimal Choice'!$B$8^(I7+1)</f>
        <v>6.4231259059137207</v>
      </c>
      <c r="P7" s="10">
        <f>'Optimal Choice'!$B$12*'Optimal Choice'!$B$13^(J7+1)</f>
        <v>69</v>
      </c>
      <c r="Q7" s="10">
        <f>'Optimal Choice'!$B$17*'Optimal Choice'!$B$18^(K7+1)</f>
        <v>820.8</v>
      </c>
      <c r="R7" s="10">
        <f>'Optimal Choice'!$B$22*'Optimal Choice'!$B$23^(L7+1)</f>
        <v>9763.1999999999989</v>
      </c>
      <c r="S7" s="10">
        <f>'Optimal Choice'!$B$27*'Optimal Choice'!$B$28^(M7+1)</f>
        <v>116121.60000000001</v>
      </c>
    </row>
    <row r="8" spans="1:26" ht="15.75" customHeight="1">
      <c r="A8" s="8">
        <f t="shared" si="0"/>
        <v>0.12426218572686117</v>
      </c>
      <c r="B8" s="7">
        <f>(I8*'Optimal Choice'!$B$6+J8*'Optimal Choice'!$B$11+K8*'Optimal Choice'!$B$16+L8*'Optimal Choice'!$B$21+M8*'Optimal Choice'!$B$26)*'Optimal Choice'!$B$30</f>
        <v>11.69</v>
      </c>
      <c r="C8" s="8">
        <f>(O8/$B8)+(O8/'Optimal Choice'!$B$6)</f>
        <v>4.703332570968473</v>
      </c>
      <c r="D8" s="8">
        <f>(P8/$B8)+(P8/'Optimal Choice'!$B$11)</f>
        <v>9.3524807527801546</v>
      </c>
      <c r="E8" s="8">
        <f>(Q8/$B8)+(Q8/'Optimal Choice'!$B$16)</f>
        <v>79.333857998289133</v>
      </c>
      <c r="F8" s="8">
        <f>(R8/$B8)+(R8/'Optimal Choice'!$B$21)</f>
        <v>862.29536355859705</v>
      </c>
      <c r="G8" s="8">
        <f>(S8/$B8)+(S8/'Optimal Choice'!$B$26)</f>
        <v>9987.1731736526963</v>
      </c>
      <c r="I8" s="11">
        <f t="shared" ref="I8:M8" si="6">IF(MIN($C7:$G7)=C7,I7+1,I7)</f>
        <v>7</v>
      </c>
      <c r="J8" s="11">
        <f t="shared" si="6"/>
        <v>0</v>
      </c>
      <c r="K8" s="11">
        <f t="shared" si="6"/>
        <v>0</v>
      </c>
      <c r="L8" s="11">
        <f t="shared" si="6"/>
        <v>0</v>
      </c>
      <c r="M8" s="11">
        <f t="shared" si="6"/>
        <v>0</v>
      </c>
      <c r="O8" s="10">
        <f>'Optimal Choice'!$B$7*'Optimal Choice'!$B$8^(I8+1)</f>
        <v>6.8727447193276809</v>
      </c>
      <c r="P8" s="10">
        <f>'Optimal Choice'!$B$12*'Optimal Choice'!$B$13^(J8+1)</f>
        <v>69</v>
      </c>
      <c r="Q8" s="10">
        <f>'Optimal Choice'!$B$17*'Optimal Choice'!$B$18^(K8+1)</f>
        <v>820.8</v>
      </c>
      <c r="R8" s="10">
        <f>'Optimal Choice'!$B$22*'Optimal Choice'!$B$23^(L8+1)</f>
        <v>9763.1999999999989</v>
      </c>
      <c r="S8" s="10">
        <f>'Optimal Choice'!$B$27*'Optimal Choice'!$B$28^(M8+1)</f>
        <v>116121.60000000001</v>
      </c>
    </row>
    <row r="9" spans="1:26" ht="15.75" customHeight="1">
      <c r="A9" s="8">
        <f t="shared" si="0"/>
        <v>0.13406079524971215</v>
      </c>
      <c r="B9" s="7">
        <f>(I9*'Optimal Choice'!$B$6+J9*'Optimal Choice'!$B$11+K9*'Optimal Choice'!$B$16+L9*'Optimal Choice'!$B$21+M9*'Optimal Choice'!$B$26)*'Optimal Choice'!$B$30</f>
        <v>13.36</v>
      </c>
      <c r="C9" s="8">
        <f>(O9/$B9)+(O9/'Optimal Choice'!$B$6)</f>
        <v>4.9539320095153876</v>
      </c>
      <c r="D9" s="8">
        <f>(P9/$B9)+(P9/'Optimal Choice'!$B$11)</f>
        <v>8.614670658682634</v>
      </c>
      <c r="E9" s="8">
        <f>(Q9/$B9)+(Q9/'Optimal Choice'!$B$16)</f>
        <v>70.557125748502997</v>
      </c>
      <c r="F9" s="8">
        <f>(R9/$B9)+(R9/'Optimal Choice'!$B$21)</f>
        <v>757.89844311377237</v>
      </c>
      <c r="G9" s="8">
        <f>(S9/$B9)+(S9/'Optimal Choice'!$B$26)</f>
        <v>8745.4965269461081</v>
      </c>
      <c r="I9" s="11">
        <f t="shared" ref="I9:M9" si="7">IF(MIN($C8:$G8)=C8,I8+1,I8)</f>
        <v>8</v>
      </c>
      <c r="J9" s="11">
        <f t="shared" si="7"/>
        <v>0</v>
      </c>
      <c r="K9" s="11">
        <f t="shared" si="7"/>
        <v>0</v>
      </c>
      <c r="L9" s="11">
        <f t="shared" si="7"/>
        <v>0</v>
      </c>
      <c r="M9" s="11">
        <f t="shared" si="7"/>
        <v>0</v>
      </c>
      <c r="O9" s="10">
        <f>'Optimal Choice'!$B$7*'Optimal Choice'!$B$8^(I9+1)</f>
        <v>7.3538368496806195</v>
      </c>
      <c r="P9" s="10">
        <f>'Optimal Choice'!$B$12*'Optimal Choice'!$B$13^(J9+1)</f>
        <v>69</v>
      </c>
      <c r="Q9" s="10">
        <f>'Optimal Choice'!$B$17*'Optimal Choice'!$B$18^(K9+1)</f>
        <v>820.8</v>
      </c>
      <c r="R9" s="10">
        <f>'Optimal Choice'!$B$22*'Optimal Choice'!$B$23^(L9+1)</f>
        <v>9763.1999999999989</v>
      </c>
      <c r="S9" s="10">
        <f>'Optimal Choice'!$B$27*'Optimal Choice'!$B$28^(M9+1)</f>
        <v>116121.60000000001</v>
      </c>
    </row>
    <row r="10" spans="1:26" ht="15.75" customHeight="1">
      <c r="A10" s="8">
        <f t="shared" si="0"/>
        <v>0.1432347434154814</v>
      </c>
      <c r="B10" s="7">
        <f>(I10*'Optimal Choice'!$B$6+J10*'Optimal Choice'!$B$11+K10*'Optimal Choice'!$B$16+L10*'Optimal Choice'!$B$21+M10*'Optimal Choice'!$B$26)*'Optimal Choice'!$B$30</f>
        <v>15.03</v>
      </c>
      <c r="C10" s="8">
        <f>(O10/$B10)+(O10/'Optimal Choice'!$B$6)</f>
        <v>5.2352664199323105</v>
      </c>
      <c r="D10" s="8">
        <f>(P10/$B10)+(P10/'Optimal Choice'!$B$11)</f>
        <v>8.0408183632734538</v>
      </c>
      <c r="E10" s="8">
        <f>(Q10/$B10)+(Q10/'Optimal Choice'!$B$16)</f>
        <v>63.73077844311377</v>
      </c>
      <c r="F10" s="8">
        <f>(R10/$B10)+(R10/'Optimal Choice'!$B$21)</f>
        <v>676.70083832335331</v>
      </c>
      <c r="G10" s="8">
        <f>(S10/$B10)+(S10/'Optimal Choice'!$B$26)</f>
        <v>7779.7480239520964</v>
      </c>
      <c r="I10" s="11">
        <f t="shared" ref="I10:M10" si="8">IF(MIN($C9:$G9)=C9,I9+1,I9)</f>
        <v>9</v>
      </c>
      <c r="J10" s="11">
        <f t="shared" si="8"/>
        <v>0</v>
      </c>
      <c r="K10" s="11">
        <f t="shared" si="8"/>
        <v>0</v>
      </c>
      <c r="L10" s="11">
        <f t="shared" si="8"/>
        <v>0</v>
      </c>
      <c r="M10" s="11">
        <f t="shared" si="8"/>
        <v>0</v>
      </c>
      <c r="O10" s="10">
        <f>'Optimal Choice'!$B$7*'Optimal Choice'!$B$8^(I10+1)</f>
        <v>7.8686054291582623</v>
      </c>
      <c r="P10" s="10">
        <f>'Optimal Choice'!$B$12*'Optimal Choice'!$B$13^(J10+1)</f>
        <v>69</v>
      </c>
      <c r="Q10" s="10">
        <f>'Optimal Choice'!$B$17*'Optimal Choice'!$B$18^(K10+1)</f>
        <v>820.8</v>
      </c>
      <c r="R10" s="10">
        <f>'Optimal Choice'!$B$22*'Optimal Choice'!$B$23^(L10+1)</f>
        <v>9763.1999999999989</v>
      </c>
      <c r="S10" s="10">
        <f>'Optimal Choice'!$B$27*'Optimal Choice'!$B$28^(M10+1)</f>
        <v>116121.60000000001</v>
      </c>
    </row>
    <row r="11" spans="1:26" ht="15.75" customHeight="1">
      <c r="A11" s="8">
        <f t="shared" si="0"/>
        <v>0.15196018744870191</v>
      </c>
      <c r="B11" s="7">
        <f>(I11*'Optimal Choice'!$B$6+J11*'Optimal Choice'!$B$11+K11*'Optimal Choice'!$B$16+L11*'Optimal Choice'!$B$21+M11*'Optimal Choice'!$B$26)*'Optimal Choice'!$B$30</f>
        <v>16.7</v>
      </c>
      <c r="C11" s="8">
        <f>(O11/$B11)+(O11/'Optimal Choice'!$B$6)</f>
        <v>5.5457177186342976</v>
      </c>
      <c r="D11" s="8">
        <f>(P11/$B11)+(P11/'Optimal Choice'!$B$11)</f>
        <v>7.5817365269461083</v>
      </c>
      <c r="E11" s="8">
        <f>(Q11/$B11)+(Q11/'Optimal Choice'!$B$16)</f>
        <v>58.269700598802395</v>
      </c>
      <c r="F11" s="8">
        <f>(R11/$B11)+(R11/'Optimal Choice'!$B$21)</f>
        <v>611.74275449101788</v>
      </c>
      <c r="G11" s="8">
        <f>(S11/$B11)+(S11/'Optimal Choice'!$B$26)</f>
        <v>7007.1492215568869</v>
      </c>
      <c r="I11" s="11">
        <f t="shared" ref="I11:M11" si="9">IF(MIN($C10:$G10)=C10,I10+1,I10)</f>
        <v>10</v>
      </c>
      <c r="J11" s="11">
        <f t="shared" si="9"/>
        <v>0</v>
      </c>
      <c r="K11" s="11">
        <f t="shared" si="9"/>
        <v>0</v>
      </c>
      <c r="L11" s="11">
        <f t="shared" si="9"/>
        <v>0</v>
      </c>
      <c r="M11" s="11">
        <f t="shared" si="9"/>
        <v>0</v>
      </c>
      <c r="O11" s="10">
        <f>'Optimal Choice'!$B$7*'Optimal Choice'!$B$8^(I11+1)</f>
        <v>8.4194078091993418</v>
      </c>
      <c r="P11" s="10">
        <f>'Optimal Choice'!$B$12*'Optimal Choice'!$B$13^(J11+1)</f>
        <v>69</v>
      </c>
      <c r="Q11" s="10">
        <f>'Optimal Choice'!$B$17*'Optimal Choice'!$B$18^(K11+1)</f>
        <v>820.8</v>
      </c>
      <c r="R11" s="10">
        <f>'Optimal Choice'!$B$22*'Optimal Choice'!$B$23^(L11+1)</f>
        <v>9763.1999999999989</v>
      </c>
      <c r="S11" s="10">
        <f>'Optimal Choice'!$B$27*'Optimal Choice'!$B$28^(M11+1)</f>
        <v>116121.60000000001</v>
      </c>
    </row>
    <row r="12" spans="1:26" ht="15.75" customHeight="1">
      <c r="A12" s="8">
        <f t="shared" si="0"/>
        <v>0.16036279005269327</v>
      </c>
      <c r="B12" s="7">
        <f>(I12*'Optimal Choice'!$B$6+J12*'Optimal Choice'!$B$11+K12*'Optimal Choice'!$B$16+L12*'Optimal Choice'!$B$21+M12*'Optimal Choice'!$B$26)*'Optimal Choice'!$B$30</f>
        <v>18.369999999999997</v>
      </c>
      <c r="C12" s="8">
        <f>(O12/$B12)+(O12/'Optimal Choice'!$B$6)</f>
        <v>5.8848773146499473</v>
      </c>
      <c r="D12" s="8">
        <f>(P12/$B12)+(P12/'Optimal Choice'!$B$11)</f>
        <v>7.2061241154055526</v>
      </c>
      <c r="E12" s="8">
        <f>(Q12/$B12)+(Q12/'Optimal Choice'!$B$16)</f>
        <v>53.801545998911273</v>
      </c>
      <c r="F12" s="8">
        <f>(R12/$B12)+(R12/'Optimal Choice'!$B$21)</f>
        <v>558.5952313554709</v>
      </c>
      <c r="G12" s="8">
        <f>(S12/$B12)+(S12/'Optimal Choice'!$B$26)</f>
        <v>6375.0229286880794</v>
      </c>
      <c r="I12" s="11">
        <f t="shared" ref="I12:M12" si="10">IF(MIN($C11:$G11)=C11,I11+1,I11)</f>
        <v>11</v>
      </c>
      <c r="J12" s="11">
        <f t="shared" si="10"/>
        <v>0</v>
      </c>
      <c r="K12" s="11">
        <f t="shared" si="10"/>
        <v>0</v>
      </c>
      <c r="L12" s="11">
        <f t="shared" si="10"/>
        <v>0</v>
      </c>
      <c r="M12" s="11">
        <f t="shared" si="10"/>
        <v>0</v>
      </c>
      <c r="O12" s="10">
        <f>'Optimal Choice'!$B$7*'Optimal Choice'!$B$8^(I12+1)</f>
        <v>9.008766355843294</v>
      </c>
      <c r="P12" s="10">
        <f>'Optimal Choice'!$B$12*'Optimal Choice'!$B$13^(J12+1)</f>
        <v>69</v>
      </c>
      <c r="Q12" s="10">
        <f>'Optimal Choice'!$B$17*'Optimal Choice'!$B$18^(K12+1)</f>
        <v>820.8</v>
      </c>
      <c r="R12" s="10">
        <f>'Optimal Choice'!$B$22*'Optimal Choice'!$B$23^(L12+1)</f>
        <v>9763.1999999999989</v>
      </c>
      <c r="S12" s="10">
        <f>'Optimal Choice'!$B$27*'Optimal Choice'!$B$28^(M12+1)</f>
        <v>116121.60000000001</v>
      </c>
    </row>
    <row r="13" spans="1:26" ht="15.75" customHeight="1">
      <c r="A13" s="8">
        <f t="shared" si="0"/>
        <v>0.16853623076748486</v>
      </c>
      <c r="B13" s="7">
        <f>(I13*'Optimal Choice'!$B$6+J13*'Optimal Choice'!$B$11+K13*'Optimal Choice'!$B$16+L13*'Optimal Choice'!$B$21+M13*'Optimal Choice'!$B$26)*'Optimal Choice'!$B$30</f>
        <v>20.04</v>
      </c>
      <c r="C13" s="8">
        <f>(O13/$B13)+(O13/'Optimal Choice'!$B$6)</f>
        <v>6.2530908188513088</v>
      </c>
      <c r="D13" s="8">
        <f>(P13/$B13)+(P13/'Optimal Choice'!$B$11)</f>
        <v>6.8931137724550897</v>
      </c>
      <c r="E13" s="8">
        <f>(Q13/$B13)+(Q13/'Optimal Choice'!$B$16)</f>
        <v>50.078083832335324</v>
      </c>
      <c r="F13" s="8">
        <f>(R13/$B13)+(R13/'Optimal Choice'!$B$21)</f>
        <v>514.30562874251495</v>
      </c>
      <c r="G13" s="8">
        <f>(S13/$B13)+(S13/'Optimal Choice'!$B$26)</f>
        <v>5848.2510179640722</v>
      </c>
      <c r="I13" s="11">
        <f t="shared" ref="I13:M13" si="11">IF(MIN($C12:$G12)=C12,I12+1,I12)</f>
        <v>12</v>
      </c>
      <c r="J13" s="11">
        <f t="shared" si="11"/>
        <v>0</v>
      </c>
      <c r="K13" s="11">
        <f t="shared" si="11"/>
        <v>0</v>
      </c>
      <c r="L13" s="11">
        <f t="shared" si="11"/>
        <v>0</v>
      </c>
      <c r="M13" s="11">
        <f t="shared" si="11"/>
        <v>0</v>
      </c>
      <c r="O13" s="10">
        <f>'Optimal Choice'!$B$7*'Optimal Choice'!$B$8^(I13+1)</f>
        <v>9.6393800007523254</v>
      </c>
      <c r="P13" s="10">
        <f>'Optimal Choice'!$B$12*'Optimal Choice'!$B$13^(J13+1)</f>
        <v>69</v>
      </c>
      <c r="Q13" s="10">
        <f>'Optimal Choice'!$B$17*'Optimal Choice'!$B$18^(K13+1)</f>
        <v>820.8</v>
      </c>
      <c r="R13" s="10">
        <f>'Optimal Choice'!$B$22*'Optimal Choice'!$B$23^(L13+1)</f>
        <v>9763.1999999999989</v>
      </c>
      <c r="S13" s="10">
        <f>'Optimal Choice'!$B$27*'Optimal Choice'!$B$28^(M13+1)</f>
        <v>116121.60000000001</v>
      </c>
    </row>
    <row r="14" spans="1:26" ht="15.75" customHeight="1">
      <c r="A14" s="8">
        <f t="shared" si="0"/>
        <v>0.17655301386857628</v>
      </c>
      <c r="B14" s="7">
        <f>(I14*'Optimal Choice'!$B$6+J14*'Optimal Choice'!$B$11+K14*'Optimal Choice'!$B$16+L14*'Optimal Choice'!$B$21+M14*'Optimal Choice'!$B$26)*'Optimal Choice'!$B$30</f>
        <v>21.71</v>
      </c>
      <c r="C14" s="8">
        <f>(O14/$B14)+(O14/'Optimal Choice'!$B$6)</f>
        <v>6.6512166011639717</v>
      </c>
      <c r="D14" s="8">
        <f>(P14/$B14)+(P14/'Optimal Choice'!$B$11)</f>
        <v>6.6282588668816214</v>
      </c>
      <c r="E14" s="8">
        <f>(Q14/$B14)+(Q14/'Optimal Choice'!$B$16)</f>
        <v>46.927461999078758</v>
      </c>
      <c r="F14" s="8">
        <f>(R14/$B14)+(R14/'Optimal Choice'!$B$21)</f>
        <v>476.82981114693683</v>
      </c>
      <c r="G14" s="8">
        <f>(S14/$B14)+(S14/'Optimal Choice'!$B$26)</f>
        <v>5402.5209396591436</v>
      </c>
      <c r="I14" s="11">
        <f t="shared" ref="I14:M14" si="12">IF(MIN($C13:$G13)=C13,I13+1,I13)</f>
        <v>13</v>
      </c>
      <c r="J14" s="11">
        <f t="shared" si="12"/>
        <v>0</v>
      </c>
      <c r="K14" s="11">
        <f t="shared" si="12"/>
        <v>0</v>
      </c>
      <c r="L14" s="11">
        <f t="shared" si="12"/>
        <v>0</v>
      </c>
      <c r="M14" s="11">
        <f t="shared" si="12"/>
        <v>0</v>
      </c>
      <c r="O14" s="10">
        <f>'Optimal Choice'!$B$7*'Optimal Choice'!$B$8^(I14+1)</f>
        <v>10.314136600804988</v>
      </c>
      <c r="P14" s="10">
        <f>'Optimal Choice'!$B$12*'Optimal Choice'!$B$13^(J14+1)</f>
        <v>69</v>
      </c>
      <c r="Q14" s="10">
        <f>'Optimal Choice'!$B$17*'Optimal Choice'!$B$18^(K14+1)</f>
        <v>820.8</v>
      </c>
      <c r="R14" s="10">
        <f>'Optimal Choice'!$B$22*'Optimal Choice'!$B$23^(L14+1)</f>
        <v>9763.1999999999989</v>
      </c>
      <c r="S14" s="10">
        <f>'Optimal Choice'!$B$27*'Optimal Choice'!$B$28^(M14+1)</f>
        <v>116121.60000000001</v>
      </c>
    </row>
    <row r="15" spans="1:26" ht="15.75" customHeight="1">
      <c r="A15" s="8">
        <f t="shared" si="0"/>
        <v>0.22952399498326997</v>
      </c>
      <c r="B15" s="7">
        <f>(I15*'Optimal Choice'!$B$6+J15*'Optimal Choice'!$B$11+K15*'Optimal Choice'!$B$16+L15*'Optimal Choice'!$B$21+M15*'Optimal Choice'!$B$26)*'Optimal Choice'!$B$30</f>
        <v>41.71</v>
      </c>
      <c r="C15" s="8">
        <f>(O15/$B15)+(O15/'Optimal Choice'!$B$6)</f>
        <v>6.42341180611092</v>
      </c>
      <c r="D15" s="8">
        <f>(P15/$B15)+(P15/'Optimal Choice'!$B$11)</f>
        <v>5.8699214816590741</v>
      </c>
      <c r="E15" s="8">
        <f>(Q15/$B15)+(Q15/'Optimal Choice'!$B$16)</f>
        <v>28.798734116518816</v>
      </c>
      <c r="F15" s="8">
        <f>(R15/$B15)+(R15/'Optimal Choice'!$B$21)</f>
        <v>261.19336370175012</v>
      </c>
      <c r="G15" s="8">
        <f>(S15/$B15)+(S15/'Optimal Choice'!$B$26)</f>
        <v>2837.7830160632943</v>
      </c>
      <c r="I15" s="11">
        <f t="shared" ref="I15:M15" si="13">IF(MIN($C14:$G14)=C14,I14+1,I14)</f>
        <v>13</v>
      </c>
      <c r="J15" s="11">
        <f t="shared" si="13"/>
        <v>1</v>
      </c>
      <c r="K15" s="11">
        <f t="shared" si="13"/>
        <v>0</v>
      </c>
      <c r="L15" s="11">
        <f t="shared" si="13"/>
        <v>0</v>
      </c>
      <c r="M15" s="11">
        <f t="shared" si="13"/>
        <v>0</v>
      </c>
      <c r="O15" s="10">
        <f>'Optimal Choice'!$B$7*'Optimal Choice'!$B$8^(I15+1)</f>
        <v>10.314136600804988</v>
      </c>
      <c r="P15" s="10">
        <f>'Optimal Choice'!$B$12*'Optimal Choice'!$B$13^(J15+1)</f>
        <v>79.349999999999994</v>
      </c>
      <c r="Q15" s="10">
        <f>'Optimal Choice'!$B$17*'Optimal Choice'!$B$18^(K15+1)</f>
        <v>820.8</v>
      </c>
      <c r="R15" s="10">
        <f>'Optimal Choice'!$B$22*'Optimal Choice'!$B$23^(L15+1)</f>
        <v>9763.1999999999989</v>
      </c>
      <c r="S15" s="10">
        <f>'Optimal Choice'!$B$27*'Optimal Choice'!$B$28^(M15+1)</f>
        <v>116121.60000000001</v>
      </c>
    </row>
    <row r="16" spans="1:26" ht="15.75" customHeight="1">
      <c r="A16" s="8">
        <f t="shared" si="0"/>
        <v>0.26123101967758788</v>
      </c>
      <c r="B16" s="7">
        <f>(I16*'Optimal Choice'!$B$6+J16*'Optimal Choice'!$B$11+K16*'Optimal Choice'!$B$16+L16*'Optimal Choice'!$B$21+M16*'Optimal Choice'!$B$26)*'Optimal Choice'!$B$30</f>
        <v>61.71</v>
      </c>
      <c r="C16" s="8">
        <f>(O16/$B16)+(O16/'Optimal Choice'!$B$6)</f>
        <v>6.3432685213823214</v>
      </c>
      <c r="D16" s="8">
        <f>(P16/$B16)+(P16/'Optimal Choice'!$B$11)</f>
        <v>6.0413561618862399</v>
      </c>
      <c r="E16" s="8">
        <f>(Q16/$B16)+(Q16/'Optimal Choice'!$B$16)</f>
        <v>22.420923675255224</v>
      </c>
      <c r="F16" s="8">
        <f>(R16/$B16)+(R16/'Optimal Choice'!$B$21)</f>
        <v>185.33098687408847</v>
      </c>
      <c r="G16" s="8">
        <f>(S16/$B16)+(S16/'Optimal Choice'!$B$26)</f>
        <v>1935.490675741371</v>
      </c>
      <c r="I16" s="11">
        <f t="shared" ref="I16:M16" si="14">IF(MIN($C15:$G15)=C15,I15+1,I15)</f>
        <v>13</v>
      </c>
      <c r="J16" s="11">
        <f t="shared" si="14"/>
        <v>2</v>
      </c>
      <c r="K16" s="11">
        <f t="shared" si="14"/>
        <v>0</v>
      </c>
      <c r="L16" s="11">
        <f t="shared" si="14"/>
        <v>0</v>
      </c>
      <c r="M16" s="11">
        <f t="shared" si="14"/>
        <v>0</v>
      </c>
      <c r="O16" s="10">
        <f>'Optimal Choice'!$B$7*'Optimal Choice'!$B$8^(I16+1)</f>
        <v>10.314136600804988</v>
      </c>
      <c r="P16" s="10">
        <f>'Optimal Choice'!$B$12*'Optimal Choice'!$B$13^(J16+1)</f>
        <v>91.252499999999969</v>
      </c>
      <c r="Q16" s="10">
        <f>'Optimal Choice'!$B$17*'Optimal Choice'!$B$18^(K16+1)</f>
        <v>820.8</v>
      </c>
      <c r="R16" s="10">
        <f>'Optimal Choice'!$B$22*'Optimal Choice'!$B$23^(L16+1)</f>
        <v>9763.1999999999989</v>
      </c>
      <c r="S16" s="10">
        <f>'Optimal Choice'!$B$27*'Optimal Choice'!$B$28^(M16+1)</f>
        <v>116121.60000000001</v>
      </c>
    </row>
    <row r="17" spans="1:19" ht="15.75" customHeight="1">
      <c r="A17" s="8">
        <f t="shared" si="0"/>
        <v>0.2858765390423586</v>
      </c>
      <c r="B17" s="7">
        <f>(I17*'Optimal Choice'!$B$6+J17*'Optimal Choice'!$B$11+K17*'Optimal Choice'!$B$16+L17*'Optimal Choice'!$B$21+M17*'Optimal Choice'!$B$26)*'Optimal Choice'!$B$30</f>
        <v>81.710000000000008</v>
      </c>
      <c r="C17" s="8">
        <f>(O17/$B17)+(O17/'Optimal Choice'!$B$6)</f>
        <v>6.3023582728689229</v>
      </c>
      <c r="D17" s="8">
        <f>(P17/$B17)+(P17/'Optimal Choice'!$B$11)</f>
        <v>6.5313214669257098</v>
      </c>
      <c r="E17" s="8">
        <f>(Q17/$B17)+(Q17/'Optimal Choice'!$B$16)</f>
        <v>19.165282095214781</v>
      </c>
      <c r="F17" s="8">
        <f>(R17/$B17)+(R17/'Optimal Choice'!$B$21)</f>
        <v>146.6059870272916</v>
      </c>
      <c r="G17" s="8">
        <f>(S17/$B17)+(S17/'Optimal Choice'!$B$26)</f>
        <v>1474.9030669440704</v>
      </c>
      <c r="I17" s="11">
        <f t="shared" ref="I17:M17" si="15">IF(MIN($C16:$G16)=C16,I16+1,I16)</f>
        <v>13</v>
      </c>
      <c r="J17" s="11">
        <f t="shared" si="15"/>
        <v>3</v>
      </c>
      <c r="K17" s="11">
        <f t="shared" si="15"/>
        <v>0</v>
      </c>
      <c r="L17" s="11">
        <f t="shared" si="15"/>
        <v>0</v>
      </c>
      <c r="M17" s="11">
        <f t="shared" si="15"/>
        <v>0</v>
      </c>
      <c r="O17" s="10">
        <f>'Optimal Choice'!$B$7*'Optimal Choice'!$B$8^(I17+1)</f>
        <v>10.314136600804988</v>
      </c>
      <c r="P17" s="10">
        <f>'Optimal Choice'!$B$12*'Optimal Choice'!$B$13^(J17+1)</f>
        <v>104.94037499999996</v>
      </c>
      <c r="Q17" s="10">
        <f>'Optimal Choice'!$B$17*'Optimal Choice'!$B$18^(K17+1)</f>
        <v>820.8</v>
      </c>
      <c r="R17" s="10">
        <f>'Optimal Choice'!$B$22*'Optimal Choice'!$B$23^(L17+1)</f>
        <v>9763.1999999999989</v>
      </c>
      <c r="S17" s="10">
        <f>'Optimal Choice'!$B$27*'Optimal Choice'!$B$28^(M17+1)</f>
        <v>116121.60000000001</v>
      </c>
    </row>
    <row r="18" spans="1:19" ht="15.75" customHeight="1">
      <c r="A18" s="8">
        <f t="shared" si="0"/>
        <v>0.28798034857216015</v>
      </c>
      <c r="B18" s="7">
        <f>(I18*'Optimal Choice'!$B$6+J18*'Optimal Choice'!$B$11+K18*'Optimal Choice'!$B$16+L18*'Optimal Choice'!$B$21+M18*'Optimal Choice'!$B$26)*'Optimal Choice'!$B$30</f>
        <v>83.38</v>
      </c>
      <c r="C18" s="8">
        <f>(O18/$B18)+(O18/'Optimal Choice'!$B$6)</f>
        <v>6.7408181728509176</v>
      </c>
      <c r="D18" s="8">
        <f>(P18/$B18)+(P18/'Optimal Choice'!$B$11)</f>
        <v>6.5055984453705902</v>
      </c>
      <c r="E18" s="8">
        <f>(Q18/$B18)+(Q18/'Optimal Choice'!$B$16)</f>
        <v>18.964087311105779</v>
      </c>
      <c r="F18" s="8">
        <f>(R18/$B18)+(R18/'Optimal Choice'!$B$21)</f>
        <v>144.21282801631085</v>
      </c>
      <c r="G18" s="8">
        <f>(S18/$B18)+(S18/'Optimal Choice'!$B$26)</f>
        <v>1446.4392995922285</v>
      </c>
      <c r="I18" s="11">
        <f t="shared" ref="I18:M18" si="16">IF(MIN($C17:$G17)=C17,I17+1,I17)</f>
        <v>14</v>
      </c>
      <c r="J18" s="11">
        <f t="shared" si="16"/>
        <v>3</v>
      </c>
      <c r="K18" s="11">
        <f t="shared" si="16"/>
        <v>0</v>
      </c>
      <c r="L18" s="11">
        <f t="shared" si="16"/>
        <v>0</v>
      </c>
      <c r="M18" s="11">
        <f t="shared" si="16"/>
        <v>0</v>
      </c>
      <c r="O18" s="10">
        <f>'Optimal Choice'!$B$7*'Optimal Choice'!$B$8^(I18+1)</f>
        <v>11.036126162861338</v>
      </c>
      <c r="P18" s="10">
        <f>'Optimal Choice'!$B$12*'Optimal Choice'!$B$13^(J18+1)</f>
        <v>104.94037499999996</v>
      </c>
      <c r="Q18" s="10">
        <f>'Optimal Choice'!$B$17*'Optimal Choice'!$B$18^(K18+1)</f>
        <v>820.8</v>
      </c>
      <c r="R18" s="10">
        <f>'Optimal Choice'!$B$22*'Optimal Choice'!$B$23^(L18+1)</f>
        <v>9763.1999999999989</v>
      </c>
      <c r="S18" s="10">
        <f>'Optimal Choice'!$B$27*'Optimal Choice'!$B$28^(M18+1)</f>
        <v>116121.60000000001</v>
      </c>
    </row>
    <row r="19" spans="1:19" ht="15.75" customHeight="1">
      <c r="A19" s="8">
        <f t="shared" si="0"/>
        <v>0.30895667682833666</v>
      </c>
      <c r="B19" s="7">
        <f>(I19*'Optimal Choice'!$B$6+J19*'Optimal Choice'!$B$11+K19*'Optimal Choice'!$B$16+L19*'Optimal Choice'!$B$21+M19*'Optimal Choice'!$B$26)*'Optimal Choice'!$B$30</f>
        <v>103.38</v>
      </c>
      <c r="C19" s="8">
        <f>(O19/$B19)+(O19/'Optimal Choice'!$B$6)</f>
        <v>6.71521179005068</v>
      </c>
      <c r="D19" s="8">
        <f>(P19/$B19)+(P19/'Optimal Choice'!$B$11)</f>
        <v>7.2014291872823541</v>
      </c>
      <c r="E19" s="8">
        <f>(Q19/$B19)+(Q19/'Optimal Choice'!$B$16)</f>
        <v>17.059640162507254</v>
      </c>
      <c r="F19" s="8">
        <f>(R19/$B19)+(R19/'Optimal Choice'!$B$21)</f>
        <v>121.55993035403364</v>
      </c>
      <c r="G19" s="8">
        <f>(S19/$B19)+(S19/'Optimal Choice'!$B$26)</f>
        <v>1177.0101450957634</v>
      </c>
      <c r="I19" s="11">
        <f t="shared" ref="I19:M19" si="17">IF(MIN($C18:$G18)=C18,I18+1,I18)</f>
        <v>14</v>
      </c>
      <c r="J19" s="11">
        <f t="shared" si="17"/>
        <v>4</v>
      </c>
      <c r="K19" s="11">
        <f t="shared" si="17"/>
        <v>0</v>
      </c>
      <c r="L19" s="11">
        <f t="shared" si="17"/>
        <v>0</v>
      </c>
      <c r="M19" s="11">
        <f t="shared" si="17"/>
        <v>0</v>
      </c>
      <c r="O19" s="10">
        <f>'Optimal Choice'!$B$7*'Optimal Choice'!$B$8^(I19+1)</f>
        <v>11.036126162861338</v>
      </c>
      <c r="P19" s="10">
        <f>'Optimal Choice'!$B$12*'Optimal Choice'!$B$13^(J19+1)</f>
        <v>120.68143124999996</v>
      </c>
      <c r="Q19" s="10">
        <f>'Optimal Choice'!$B$17*'Optimal Choice'!$B$18^(K19+1)</f>
        <v>820.8</v>
      </c>
      <c r="R19" s="10">
        <f>'Optimal Choice'!$B$22*'Optimal Choice'!$B$23^(L19+1)</f>
        <v>9763.1999999999989</v>
      </c>
      <c r="S19" s="10">
        <f>'Optimal Choice'!$B$27*'Optimal Choice'!$B$28^(M19+1)</f>
        <v>116121.60000000001</v>
      </c>
    </row>
    <row r="20" spans="1:19" ht="15.75" customHeight="1">
      <c r="A20" s="8">
        <f t="shared" si="0"/>
        <v>0.3107358936599065</v>
      </c>
      <c r="B20" s="7">
        <f>(I20*'Optimal Choice'!$B$6+J20*'Optimal Choice'!$B$11+K20*'Optimal Choice'!$B$16+L20*'Optimal Choice'!$B$21+M20*'Optimal Choice'!$B$26)*'Optimal Choice'!$B$30</f>
        <v>105.05</v>
      </c>
      <c r="C20" s="8">
        <f>(O20/$B20)+(O20/'Optimal Choice'!$B$6)</f>
        <v>7.1834607471640322</v>
      </c>
      <c r="D20" s="8">
        <f>(P20/$B20)+(P20/'Optimal Choice'!$B$11)</f>
        <v>7.1828714792063275</v>
      </c>
      <c r="E20" s="8">
        <f>(Q20/$B20)+(Q20/'Optimal Choice'!$B$16)</f>
        <v>16.933422179914324</v>
      </c>
      <c r="F20" s="8">
        <f>(R20/$B20)+(R20/'Optimal Choice'!$B$21)</f>
        <v>120.05860066634935</v>
      </c>
      <c r="G20" s="8">
        <f>(S20/$B20)+(S20/'Optimal Choice'!$B$26)</f>
        <v>1159.1536220847217</v>
      </c>
      <c r="I20" s="11">
        <f t="shared" ref="I20:M20" si="18">IF(MIN($C19:$G19)=C19,I19+1,I19)</f>
        <v>15</v>
      </c>
      <c r="J20" s="11">
        <f t="shared" si="18"/>
        <v>4</v>
      </c>
      <c r="K20" s="11">
        <f t="shared" si="18"/>
        <v>0</v>
      </c>
      <c r="L20" s="11">
        <f t="shared" si="18"/>
        <v>0</v>
      </c>
      <c r="M20" s="11">
        <f t="shared" si="18"/>
        <v>0</v>
      </c>
      <c r="O20" s="10">
        <f>'Optimal Choice'!$B$7*'Optimal Choice'!$B$8^(I20+1)</f>
        <v>11.80865499426163</v>
      </c>
      <c r="P20" s="10">
        <f>'Optimal Choice'!$B$12*'Optimal Choice'!$B$13^(J20+1)</f>
        <v>120.68143124999996</v>
      </c>
      <c r="Q20" s="10">
        <f>'Optimal Choice'!$B$17*'Optimal Choice'!$B$18^(K20+1)</f>
        <v>820.8</v>
      </c>
      <c r="R20" s="10">
        <f>'Optimal Choice'!$B$22*'Optimal Choice'!$B$23^(L20+1)</f>
        <v>9763.1999999999989</v>
      </c>
      <c r="S20" s="10">
        <f>'Optimal Choice'!$B$27*'Optimal Choice'!$B$28^(M20+1)</f>
        <v>116121.60000000001</v>
      </c>
    </row>
    <row r="21" spans="1:19" ht="15.75" customHeight="1">
      <c r="A21" s="8">
        <f t="shared" si="0"/>
        <v>0.32988255893834534</v>
      </c>
      <c r="B21" s="7">
        <f>(I21*'Optimal Choice'!$B$6+J21*'Optimal Choice'!$B$11+K21*'Optimal Choice'!$B$16+L21*'Optimal Choice'!$B$21+M21*'Optimal Choice'!$B$26)*'Optimal Choice'!$B$30</f>
        <v>125.05</v>
      </c>
      <c r="C21" s="8">
        <f>(O21/$B21)+(O21/'Optimal Choice'!$B$6)</f>
        <v>7.1654823621345898</v>
      </c>
      <c r="D21" s="8">
        <f>(P21/$B21)+(P21/'Optimal Choice'!$B$11)</f>
        <v>8.0490075342800367</v>
      </c>
      <c r="E21" s="8">
        <f>(Q21/$B21)+(Q21/'Optimal Choice'!$B$16)</f>
        <v>15.683774490203916</v>
      </c>
      <c r="F21" s="8">
        <f>(R21/$B21)+(R21/'Optimal Choice'!$B$21)</f>
        <v>105.19437025189924</v>
      </c>
      <c r="G21" s="8">
        <f>(S21/$B21)+(S21/'Optimal Choice'!$B$26)</f>
        <v>982.36135945621754</v>
      </c>
      <c r="I21" s="11">
        <f t="shared" ref="I21:M21" si="19">IF(MIN($C20:$G20)=C20,I20+1,I20)</f>
        <v>15</v>
      </c>
      <c r="J21" s="11">
        <f t="shared" si="19"/>
        <v>5</v>
      </c>
      <c r="K21" s="11">
        <f t="shared" si="19"/>
        <v>0</v>
      </c>
      <c r="L21" s="11">
        <f t="shared" si="19"/>
        <v>0</v>
      </c>
      <c r="M21" s="11">
        <f t="shared" si="19"/>
        <v>0</v>
      </c>
      <c r="O21" s="10">
        <f>'Optimal Choice'!$B$7*'Optimal Choice'!$B$8^(I21+1)</f>
        <v>11.80865499426163</v>
      </c>
      <c r="P21" s="10">
        <f>'Optimal Choice'!$B$12*'Optimal Choice'!$B$13^(J21+1)</f>
        <v>138.78364593749995</v>
      </c>
      <c r="Q21" s="10">
        <f>'Optimal Choice'!$B$17*'Optimal Choice'!$B$18^(K21+1)</f>
        <v>820.8</v>
      </c>
      <c r="R21" s="10">
        <f>'Optimal Choice'!$B$22*'Optimal Choice'!$B$23^(L21+1)</f>
        <v>9763.1999999999989</v>
      </c>
      <c r="S21" s="10">
        <f>'Optimal Choice'!$B$27*'Optimal Choice'!$B$28^(M21+1)</f>
        <v>116121.60000000001</v>
      </c>
    </row>
    <row r="22" spans="1:19" ht="15.75" customHeight="1">
      <c r="A22" s="8">
        <f t="shared" si="0"/>
        <v>0.3314564167277978</v>
      </c>
      <c r="B22" s="7">
        <f>(I22*'Optimal Choice'!$B$6+J22*'Optimal Choice'!$B$11+K22*'Optimal Choice'!$B$16+L22*'Optimal Choice'!$B$21+M22*'Optimal Choice'!$B$26)*'Optimal Choice'!$B$30</f>
        <v>126.72</v>
      </c>
      <c r="C22" s="8">
        <f>(O22/$B22)+(O22/'Optimal Choice'!$B$6)</f>
        <v>7.6657345335048577</v>
      </c>
      <c r="D22" s="8">
        <f>(P22/$B22)+(P22/'Optimal Choice'!$B$11)</f>
        <v>8.0343815230231979</v>
      </c>
      <c r="E22" s="8">
        <f>(Q22/$B22)+(Q22/'Optimal Choice'!$B$16)</f>
        <v>15.597272727272726</v>
      </c>
      <c r="F22" s="8">
        <f>(R22/$B22)+(R22/'Optimal Choice'!$B$21)</f>
        <v>104.16545454545454</v>
      </c>
      <c r="G22" s="8">
        <f>(S22/$B22)+(S22/'Optimal Choice'!$B$26)</f>
        <v>970.12363636363636</v>
      </c>
      <c r="I22" s="11">
        <f t="shared" ref="I22:M22" si="20">IF(MIN($C21:$G21)=C21,I21+1,I21)</f>
        <v>16</v>
      </c>
      <c r="J22" s="11">
        <f t="shared" si="20"/>
        <v>5</v>
      </c>
      <c r="K22" s="11">
        <f t="shared" si="20"/>
        <v>0</v>
      </c>
      <c r="L22" s="11">
        <f t="shared" si="20"/>
        <v>0</v>
      </c>
      <c r="M22" s="11">
        <f t="shared" si="20"/>
        <v>0</v>
      </c>
      <c r="O22" s="10">
        <f>'Optimal Choice'!$B$7*'Optimal Choice'!$B$8^(I22+1)</f>
        <v>12.635260843859944</v>
      </c>
      <c r="P22" s="10">
        <f>'Optimal Choice'!$B$12*'Optimal Choice'!$B$13^(J22+1)</f>
        <v>138.78364593749995</v>
      </c>
      <c r="Q22" s="10">
        <f>'Optimal Choice'!$B$17*'Optimal Choice'!$B$18^(K22+1)</f>
        <v>820.8</v>
      </c>
      <c r="R22" s="10">
        <f>'Optimal Choice'!$B$22*'Optimal Choice'!$B$23^(L22+1)</f>
        <v>9763.1999999999989</v>
      </c>
      <c r="S22" s="10">
        <f>'Optimal Choice'!$B$27*'Optimal Choice'!$B$28^(M22+1)</f>
        <v>116121.60000000001</v>
      </c>
    </row>
    <row r="23" spans="1:19" ht="15.75" customHeight="1">
      <c r="A23" s="8">
        <f t="shared" si="0"/>
        <v>0.33311825132952599</v>
      </c>
      <c r="B23" s="7">
        <f>(I23*'Optimal Choice'!$B$6+J23*'Optimal Choice'!$B$11+K23*'Optimal Choice'!$B$16+L23*'Optimal Choice'!$B$21+M23*'Optimal Choice'!$B$26)*'Optimal Choice'!$B$30</f>
        <v>128.38999999999999</v>
      </c>
      <c r="C23" s="8">
        <f>(O23/$B23)+(O23/'Optimal Choice'!$B$6)</f>
        <v>8.2009482108783178</v>
      </c>
      <c r="D23" s="8">
        <f>(P23/$B23)+(P23/'Optimal Choice'!$B$11)</f>
        <v>8.0201359999476676</v>
      </c>
      <c r="E23" s="8">
        <f>(Q23/$B23)+(Q23/'Optimal Choice'!$B$16)</f>
        <v>15.513021263338267</v>
      </c>
      <c r="F23" s="8">
        <f>(R23/$B23)+(R23/'Optimal Choice'!$B$21)</f>
        <v>103.16330555339201</v>
      </c>
      <c r="G23" s="8">
        <f>(S23/$B23)+(S23/'Optimal Choice'!$B$26)</f>
        <v>958.20427136069804</v>
      </c>
      <c r="I23" s="11">
        <f t="shared" ref="I23:M23" si="21">IF(MIN($C22:$G22)=C22,I22+1,I22)</f>
        <v>17</v>
      </c>
      <c r="J23" s="11">
        <f t="shared" si="21"/>
        <v>5</v>
      </c>
      <c r="K23" s="11">
        <f t="shared" si="21"/>
        <v>0</v>
      </c>
      <c r="L23" s="11">
        <f t="shared" si="21"/>
        <v>0</v>
      </c>
      <c r="M23" s="11">
        <f t="shared" si="21"/>
        <v>0</v>
      </c>
      <c r="O23" s="10">
        <f>'Optimal Choice'!$B$7*'Optimal Choice'!$B$8^(I23+1)</f>
        <v>13.519729102930141</v>
      </c>
      <c r="P23" s="10">
        <f>'Optimal Choice'!$B$12*'Optimal Choice'!$B$13^(J23+1)</f>
        <v>138.78364593749995</v>
      </c>
      <c r="Q23" s="10">
        <f>'Optimal Choice'!$B$17*'Optimal Choice'!$B$18^(K23+1)</f>
        <v>820.8</v>
      </c>
      <c r="R23" s="10">
        <f>'Optimal Choice'!$B$22*'Optimal Choice'!$B$23^(L23+1)</f>
        <v>9763.1999999999989</v>
      </c>
      <c r="S23" s="10">
        <f>'Optimal Choice'!$B$27*'Optimal Choice'!$B$28^(M23+1)</f>
        <v>116121.60000000001</v>
      </c>
    </row>
    <row r="24" spans="1:19" ht="15.75" customHeight="1">
      <c r="A24" s="8">
        <f t="shared" si="0"/>
        <v>0.35113414638073714</v>
      </c>
      <c r="B24" s="7">
        <f>(I24*'Optimal Choice'!$B$6+J24*'Optimal Choice'!$B$11+K24*'Optimal Choice'!$B$16+L24*'Optimal Choice'!$B$21+M24*'Optimal Choice'!$B$26)*'Optimal Choice'!$B$30</f>
        <v>148.38999999999999</v>
      </c>
      <c r="C24" s="8">
        <f>(O24/$B24)+(O24/'Optimal Choice'!$B$6)</f>
        <v>8.1867556047109122</v>
      </c>
      <c r="D24" s="8">
        <f>(P24/$B24)+(P24/'Optimal Choice'!$B$11)</f>
        <v>9.0556118540090154</v>
      </c>
      <c r="E24" s="8">
        <f>(Q24/$B24)+(Q24/'Optimal Choice'!$B$16)</f>
        <v>14.651370038412292</v>
      </c>
      <c r="F24" s="8">
        <f>(R24/$B24)+(R24/'Optimal Choice'!$B$21)</f>
        <v>92.914190983219896</v>
      </c>
      <c r="G24" s="8">
        <f>(S24/$B24)+(S24/'Optimal Choice'!$B$26)</f>
        <v>836.30329806590748</v>
      </c>
      <c r="I24" s="11">
        <f t="shared" ref="I24:M24" si="22">IF(MIN($C23:$G23)=C23,I23+1,I23)</f>
        <v>17</v>
      </c>
      <c r="J24" s="11">
        <f t="shared" si="22"/>
        <v>6</v>
      </c>
      <c r="K24" s="11">
        <f t="shared" si="22"/>
        <v>0</v>
      </c>
      <c r="L24" s="11">
        <f t="shared" si="22"/>
        <v>0</v>
      </c>
      <c r="M24" s="11">
        <f t="shared" si="22"/>
        <v>0</v>
      </c>
      <c r="O24" s="10">
        <f>'Optimal Choice'!$B$7*'Optimal Choice'!$B$8^(I24+1)</f>
        <v>13.519729102930141</v>
      </c>
      <c r="P24" s="10">
        <f>'Optimal Choice'!$B$12*'Optimal Choice'!$B$13^(J24+1)</f>
        <v>159.60119282812491</v>
      </c>
      <c r="Q24" s="10">
        <f>'Optimal Choice'!$B$17*'Optimal Choice'!$B$18^(K24+1)</f>
        <v>820.8</v>
      </c>
      <c r="R24" s="10">
        <f>'Optimal Choice'!$B$22*'Optimal Choice'!$B$23^(L24+1)</f>
        <v>9763.1999999999989</v>
      </c>
      <c r="S24" s="10">
        <f>'Optimal Choice'!$B$27*'Optimal Choice'!$B$28^(M24+1)</f>
        <v>116121.60000000001</v>
      </c>
    </row>
    <row r="25" spans="1:19" ht="15.75" customHeight="1">
      <c r="A25" s="8">
        <f t="shared" si="0"/>
        <v>0.35265263696893157</v>
      </c>
      <c r="B25" s="7">
        <f>(I25*'Optimal Choice'!$B$6+J25*'Optimal Choice'!$B$11+K25*'Optimal Choice'!$B$16+L25*'Optimal Choice'!$B$21+M25*'Optimal Choice'!$B$26)*'Optimal Choice'!$B$30</f>
        <v>150.06</v>
      </c>
      <c r="C25" s="8">
        <f>(O25/$B25)+(O25/'Optimal Choice'!$B$6)</f>
        <v>8.758743574676803</v>
      </c>
      <c r="D25" s="8">
        <f>(P25/$B25)+(P25/'Optimal Choice'!$B$11)</f>
        <v>9.0436421605860726</v>
      </c>
      <c r="E25" s="8">
        <f>(Q25/$B25)+(Q25/'Optimal Choice'!$B$16)</f>
        <v>14.589812075169931</v>
      </c>
      <c r="F25" s="8">
        <f>(R25/$B25)+(R25/'Optimal Choice'!$B$21)</f>
        <v>92.181975209916033</v>
      </c>
      <c r="G25" s="8">
        <f>(S25/$B25)+(S25/'Optimal Choice'!$B$26)</f>
        <v>827.59446621351458</v>
      </c>
      <c r="I25" s="11">
        <f t="shared" ref="I25:M25" si="23">IF(MIN($C24:$G24)=C24,I24+1,I24)</f>
        <v>18</v>
      </c>
      <c r="J25" s="11">
        <f t="shared" si="23"/>
        <v>6</v>
      </c>
      <c r="K25" s="11">
        <f t="shared" si="23"/>
        <v>0</v>
      </c>
      <c r="L25" s="11">
        <f t="shared" si="23"/>
        <v>0</v>
      </c>
      <c r="M25" s="11">
        <f t="shared" si="23"/>
        <v>0</v>
      </c>
      <c r="O25" s="10">
        <f>'Optimal Choice'!$B$7*'Optimal Choice'!$B$8^(I25+1)</f>
        <v>14.466110140135251</v>
      </c>
      <c r="P25" s="10">
        <f>'Optimal Choice'!$B$12*'Optimal Choice'!$B$13^(J25+1)</f>
        <v>159.60119282812491</v>
      </c>
      <c r="Q25" s="10">
        <f>'Optimal Choice'!$B$17*'Optimal Choice'!$B$18^(K25+1)</f>
        <v>820.8</v>
      </c>
      <c r="R25" s="10">
        <f>'Optimal Choice'!$B$22*'Optimal Choice'!$B$23^(L25+1)</f>
        <v>9763.1999999999989</v>
      </c>
      <c r="S25" s="10">
        <f>'Optimal Choice'!$B$27*'Optimal Choice'!$B$28^(M25+1)</f>
        <v>116121.60000000001</v>
      </c>
    </row>
    <row r="26" spans="1:19" ht="15.75" customHeight="1">
      <c r="A26" s="8">
        <f t="shared" si="0"/>
        <v>0.35425933985890173</v>
      </c>
      <c r="B26" s="7">
        <f>(I26*'Optimal Choice'!$B$6+J26*'Optimal Choice'!$B$11+K26*'Optimal Choice'!$B$16+L26*'Optimal Choice'!$B$21+M26*'Optimal Choice'!$B$26)*'Optimal Choice'!$B$30</f>
        <v>151.72999999999999</v>
      </c>
      <c r="C26" s="8">
        <f>(O26/$B26)+(O26/'Optimal Choice'!$B$6)</f>
        <v>9.3707203118899738</v>
      </c>
      <c r="D26" s="8">
        <f>(P26/$B26)+(P26/'Optimal Choice'!$B$11)</f>
        <v>9.0319359534613746</v>
      </c>
      <c r="E26" s="8">
        <f>(Q26/$B26)+(Q26/'Optimal Choice'!$B$16)</f>
        <v>14.529609174190997</v>
      </c>
      <c r="F26" s="8">
        <f>(R26/$B26)+(R26/'Optimal Choice'!$B$21)</f>
        <v>91.465877545640268</v>
      </c>
      <c r="G26" s="8">
        <f>(S26/$B26)+(S26/'Optimal Choice'!$B$26)</f>
        <v>819.07734001186327</v>
      </c>
      <c r="I26" s="11">
        <f t="shared" ref="I26:M26" si="24">IF(MIN($C25:$G25)=C25,I25+1,I25)</f>
        <v>19</v>
      </c>
      <c r="J26" s="11">
        <f t="shared" si="24"/>
        <v>6</v>
      </c>
      <c r="K26" s="11">
        <f t="shared" si="24"/>
        <v>0</v>
      </c>
      <c r="L26" s="11">
        <f t="shared" si="24"/>
        <v>0</v>
      </c>
      <c r="M26" s="11">
        <f t="shared" si="24"/>
        <v>0</v>
      </c>
      <c r="O26" s="10">
        <f>'Optimal Choice'!$B$7*'Optimal Choice'!$B$8^(I26+1)</f>
        <v>15.478737849944718</v>
      </c>
      <c r="P26" s="10">
        <f>'Optimal Choice'!$B$12*'Optimal Choice'!$B$13^(J26+1)</f>
        <v>159.60119282812491</v>
      </c>
      <c r="Q26" s="10">
        <f>'Optimal Choice'!$B$17*'Optimal Choice'!$B$18^(K26+1)</f>
        <v>820.8</v>
      </c>
      <c r="R26" s="10">
        <f>'Optimal Choice'!$B$22*'Optimal Choice'!$B$23^(L26+1)</f>
        <v>9763.1999999999989</v>
      </c>
      <c r="S26" s="10">
        <f>'Optimal Choice'!$B$27*'Optimal Choice'!$B$28^(M26+1)</f>
        <v>116121.60000000001</v>
      </c>
    </row>
    <row r="27" spans="1:19" ht="15.75" customHeight="1">
      <c r="A27" s="8">
        <f t="shared" si="0"/>
        <v>0.37179061172648725</v>
      </c>
      <c r="B27" s="7">
        <f>(I27*'Optimal Choice'!$B$6+J27*'Optimal Choice'!$B$11+K27*'Optimal Choice'!$B$16+L27*'Optimal Choice'!$B$21+M27*'Optimal Choice'!$B$26)*'Optimal Choice'!$B$30</f>
        <v>171.73</v>
      </c>
      <c r="C27" s="8">
        <f>(O27/$B27)+(O27/'Optimal Choice'!$B$6)</f>
        <v>9.35883945094292</v>
      </c>
      <c r="D27" s="8">
        <f>(P27/$B27)+(P27/'Optimal Choice'!$B$11)</f>
        <v>10.245847320234335</v>
      </c>
      <c r="E27" s="8">
        <f>(Q27/$B27)+(Q27/'Optimal Choice'!$B$16)</f>
        <v>13.899595877249169</v>
      </c>
      <c r="F27" s="8">
        <f>(R27/$B27)+(R27/'Optimal Choice'!$B$21)</f>
        <v>83.97203517149012</v>
      </c>
      <c r="G27" s="8">
        <f>(S27/$B27)+(S27/'Optimal Choice'!$B$26)</f>
        <v>729.94703779188262</v>
      </c>
      <c r="I27" s="11">
        <f t="shared" ref="I27:M27" si="25">IF(MIN($C26:$G26)=C26,I26+1,I26)</f>
        <v>19</v>
      </c>
      <c r="J27" s="11">
        <f t="shared" si="25"/>
        <v>7</v>
      </c>
      <c r="K27" s="11">
        <f t="shared" si="25"/>
        <v>0</v>
      </c>
      <c r="L27" s="11">
        <f t="shared" si="25"/>
        <v>0</v>
      </c>
      <c r="M27" s="11">
        <f t="shared" si="25"/>
        <v>0</v>
      </c>
      <c r="O27" s="10">
        <f>'Optimal Choice'!$B$7*'Optimal Choice'!$B$8^(I27+1)</f>
        <v>15.478737849944718</v>
      </c>
      <c r="P27" s="10">
        <f>'Optimal Choice'!$B$12*'Optimal Choice'!$B$13^(J27+1)</f>
        <v>183.54137175234362</v>
      </c>
      <c r="Q27" s="10">
        <f>'Optimal Choice'!$B$17*'Optimal Choice'!$B$18^(K27+1)</f>
        <v>820.8</v>
      </c>
      <c r="R27" s="10">
        <f>'Optimal Choice'!$B$22*'Optimal Choice'!$B$23^(L27+1)</f>
        <v>9763.1999999999989</v>
      </c>
      <c r="S27" s="10">
        <f>'Optimal Choice'!$B$27*'Optimal Choice'!$B$28^(M27+1)</f>
        <v>116121.60000000001</v>
      </c>
    </row>
    <row r="28" spans="1:19" ht="15.75" customHeight="1">
      <c r="A28" s="8">
        <f t="shared" si="0"/>
        <v>0.37329284758606768</v>
      </c>
      <c r="B28" s="7">
        <f>(I28*'Optimal Choice'!$B$6+J28*'Optimal Choice'!$B$11+K28*'Optimal Choice'!$B$16+L28*'Optimal Choice'!$B$21+M28*'Optimal Choice'!$B$26)*'Optimal Choice'!$B$30</f>
        <v>173.4</v>
      </c>
      <c r="C28" s="8">
        <f>(O28/$B28)+(O28/'Optimal Choice'!$B$6)</f>
        <v>10.013029373319485</v>
      </c>
      <c r="D28" s="8">
        <f>(P28/$B28)+(P28/'Optimal Choice'!$B$11)</f>
        <v>10.23555400718087</v>
      </c>
      <c r="E28" s="8">
        <f>(Q28/$B28)+(Q28/'Optimal Choice'!$B$16)</f>
        <v>13.853564013840829</v>
      </c>
      <c r="F28" s="8">
        <f>(R28/$B28)+(R28/'Optimal Choice'!$B$21)</f>
        <v>83.424498269896191</v>
      </c>
      <c r="G28" s="8">
        <f>(S28/$B28)+(S28/'Optimal Choice'!$B$26)</f>
        <v>723.43474048442908</v>
      </c>
      <c r="I28" s="11">
        <f t="shared" ref="I28:M28" si="26">IF(MIN($C27:$G27)=C27,I27+1,I27)</f>
        <v>20</v>
      </c>
      <c r="J28" s="11">
        <f t="shared" si="26"/>
        <v>7</v>
      </c>
      <c r="K28" s="11">
        <f t="shared" si="26"/>
        <v>0</v>
      </c>
      <c r="L28" s="11">
        <f t="shared" si="26"/>
        <v>0</v>
      </c>
      <c r="M28" s="11">
        <f t="shared" si="26"/>
        <v>0</v>
      </c>
      <c r="O28" s="10">
        <f>'Optimal Choice'!$B$7*'Optimal Choice'!$B$8^(I28+1)</f>
        <v>16.562249499440849</v>
      </c>
      <c r="P28" s="10">
        <f>'Optimal Choice'!$B$12*'Optimal Choice'!$B$13^(J28+1)</f>
        <v>183.54137175234362</v>
      </c>
      <c r="Q28" s="10">
        <f>'Optimal Choice'!$B$17*'Optimal Choice'!$B$18^(K28+1)</f>
        <v>820.8</v>
      </c>
      <c r="R28" s="10">
        <f>'Optimal Choice'!$B$22*'Optimal Choice'!$B$23^(L28+1)</f>
        <v>9763.1999999999989</v>
      </c>
      <c r="S28" s="10">
        <f>'Optimal Choice'!$B$27*'Optimal Choice'!$B$28^(M28+1)</f>
        <v>116121.60000000001</v>
      </c>
    </row>
    <row r="29" spans="1:19" ht="15.75" customHeight="1">
      <c r="A29" s="8">
        <f t="shared" si="0"/>
        <v>0.37488475930266135</v>
      </c>
      <c r="B29" s="7">
        <f>(I29*'Optimal Choice'!$B$6+J29*'Optimal Choice'!$B$11+K29*'Optimal Choice'!$B$16+L29*'Optimal Choice'!$B$21+M29*'Optimal Choice'!$B$26)*'Optimal Choice'!$B$30</f>
        <v>175.07</v>
      </c>
      <c r="C29" s="8">
        <f>(O29/$B29)+(O29/'Optimal Choice'!$B$6)</f>
        <v>10.712966532423328</v>
      </c>
      <c r="D29" s="8">
        <f>(P29/$B29)+(P29/'Optimal Choice'!$B$11)</f>
        <v>10.225457070808726</v>
      </c>
      <c r="E29" s="8">
        <f>(Q29/$B29)+(Q29/'Optimal Choice'!$B$16)</f>
        <v>13.808410350145655</v>
      </c>
      <c r="F29" s="8">
        <f>(R29/$B29)+(R29/'Optimal Choice'!$B$21)</f>
        <v>82.887407322785165</v>
      </c>
      <c r="G29" s="8">
        <f>(S29/$B29)+(S29/'Optimal Choice'!$B$26)</f>
        <v>717.0466853258697</v>
      </c>
      <c r="I29" s="11">
        <f t="shared" ref="I29:M29" si="27">IF(MIN($C28:$G28)=C28,I28+1,I28)</f>
        <v>21</v>
      </c>
      <c r="J29" s="11">
        <f t="shared" si="27"/>
        <v>7</v>
      </c>
      <c r="K29" s="11">
        <f t="shared" si="27"/>
        <v>0</v>
      </c>
      <c r="L29" s="11">
        <f t="shared" si="27"/>
        <v>0</v>
      </c>
      <c r="M29" s="11">
        <f t="shared" si="27"/>
        <v>0</v>
      </c>
      <c r="O29" s="10">
        <f>'Optimal Choice'!$B$7*'Optimal Choice'!$B$8^(I29+1)</f>
        <v>17.721606964401708</v>
      </c>
      <c r="P29" s="10">
        <f>'Optimal Choice'!$B$12*'Optimal Choice'!$B$13^(J29+1)</f>
        <v>183.54137175234362</v>
      </c>
      <c r="Q29" s="10">
        <f>'Optimal Choice'!$B$17*'Optimal Choice'!$B$18^(K29+1)</f>
        <v>820.8</v>
      </c>
      <c r="R29" s="10">
        <f>'Optimal Choice'!$B$22*'Optimal Choice'!$B$23^(L29+1)</f>
        <v>9763.1999999999989</v>
      </c>
      <c r="S29" s="10">
        <f>'Optimal Choice'!$B$27*'Optimal Choice'!$B$28^(M29+1)</f>
        <v>116121.60000000001</v>
      </c>
    </row>
    <row r="30" spans="1:19" ht="15.75" customHeight="1">
      <c r="A30" s="8">
        <f t="shared" si="0"/>
        <v>0.39235790068918708</v>
      </c>
      <c r="B30" s="7">
        <f>(I30*'Optimal Choice'!$B$6+J30*'Optimal Choice'!$B$11+K30*'Optimal Choice'!$B$16+L30*'Optimal Choice'!$B$21+M30*'Optimal Choice'!$B$26)*'Optimal Choice'!$B$30</f>
        <v>195.07</v>
      </c>
      <c r="C30" s="8">
        <f>(O30/$B30)+(O30/'Optimal Choice'!$B$6)</f>
        <v>10.702588121065682</v>
      </c>
      <c r="D30" s="8">
        <f>(P30/$B30)+(P30/'Optimal Choice'!$B$11)</f>
        <v>11.635663927357621</v>
      </c>
      <c r="E30" s="8">
        <f>(Q30/$B30)+(Q30/'Optimal Choice'!$B$16)</f>
        <v>13.327720305531347</v>
      </c>
      <c r="F30" s="8">
        <f>(R30/$B30)+(R30/'Optimal Choice'!$B$21)</f>
        <v>77.169725739478139</v>
      </c>
      <c r="G30" s="8">
        <f>(S30/$B30)+(S30/'Optimal Choice'!$B$26)</f>
        <v>649.04169375096126</v>
      </c>
      <c r="I30" s="11">
        <f t="shared" ref="I30:M30" si="28">IF(MIN($C29:$G29)=C29,I29+1,I29)</f>
        <v>21</v>
      </c>
      <c r="J30" s="11">
        <f t="shared" si="28"/>
        <v>8</v>
      </c>
      <c r="K30" s="11">
        <f t="shared" si="28"/>
        <v>0</v>
      </c>
      <c r="L30" s="11">
        <f t="shared" si="28"/>
        <v>0</v>
      </c>
      <c r="M30" s="11">
        <f t="shared" si="28"/>
        <v>0</v>
      </c>
      <c r="O30" s="10">
        <f>'Optimal Choice'!$B$7*'Optimal Choice'!$B$8^(I30+1)</f>
        <v>17.721606964401708</v>
      </c>
      <c r="P30" s="10">
        <f>'Optimal Choice'!$B$12*'Optimal Choice'!$B$13^(J30+1)</f>
        <v>211.07257751519515</v>
      </c>
      <c r="Q30" s="10">
        <f>'Optimal Choice'!$B$17*'Optimal Choice'!$B$18^(K30+1)</f>
        <v>820.8</v>
      </c>
      <c r="R30" s="10">
        <f>'Optimal Choice'!$B$22*'Optimal Choice'!$B$23^(L30+1)</f>
        <v>9763.1999999999989</v>
      </c>
      <c r="S30" s="10">
        <f>'Optimal Choice'!$B$27*'Optimal Choice'!$B$28^(M30+1)</f>
        <v>116121.60000000001</v>
      </c>
    </row>
    <row r="31" spans="1:19" ht="15.75" customHeight="1">
      <c r="A31" s="8">
        <f t="shared" si="0"/>
        <v>0.39387202441950625</v>
      </c>
      <c r="B31" s="7">
        <f>(I31*'Optimal Choice'!$B$6+J31*'Optimal Choice'!$B$11+K31*'Optimal Choice'!$B$16+L31*'Optimal Choice'!$B$21+M31*'Optimal Choice'!$B$26)*'Optimal Choice'!$B$30</f>
        <v>196.74</v>
      </c>
      <c r="C31" s="8">
        <f>(O31/$B31)+(O31/'Optimal Choice'!$B$6)</f>
        <v>11.450944163680658</v>
      </c>
      <c r="D31" s="8">
        <f>(P31/$B31)+(P31/'Optimal Choice'!$B$11)</f>
        <v>11.626479224012249</v>
      </c>
      <c r="E31" s="8">
        <f>(Q31/$B31)+(Q31/'Optimal Choice'!$B$16)</f>
        <v>13.292003659652332</v>
      </c>
      <c r="F31" s="8">
        <f>(R31/$B31)+(R31/'Optimal Choice'!$B$21)</f>
        <v>76.744885635864591</v>
      </c>
      <c r="G31" s="8">
        <f>(S31/$B31)+(S31/'Optimal Choice'!$B$26)</f>
        <v>643.98872827081425</v>
      </c>
      <c r="I31" s="11">
        <f t="shared" ref="I31:M31" si="29">IF(MIN($C30:$G30)=C30,I30+1,I30)</f>
        <v>22</v>
      </c>
      <c r="J31" s="11">
        <f t="shared" si="29"/>
        <v>8</v>
      </c>
      <c r="K31" s="11">
        <f t="shared" si="29"/>
        <v>0</v>
      </c>
      <c r="L31" s="11">
        <f t="shared" si="29"/>
        <v>0</v>
      </c>
      <c r="M31" s="11">
        <f t="shared" si="29"/>
        <v>0</v>
      </c>
      <c r="O31" s="10">
        <f>'Optimal Choice'!$B$7*'Optimal Choice'!$B$8^(I31+1)</f>
        <v>18.962119451909828</v>
      </c>
      <c r="P31" s="10">
        <f>'Optimal Choice'!$B$12*'Optimal Choice'!$B$13^(J31+1)</f>
        <v>211.07257751519515</v>
      </c>
      <c r="Q31" s="10">
        <f>'Optimal Choice'!$B$17*'Optimal Choice'!$B$18^(K31+1)</f>
        <v>820.8</v>
      </c>
      <c r="R31" s="10">
        <f>'Optimal Choice'!$B$22*'Optimal Choice'!$B$23^(L31+1)</f>
        <v>9763.1999999999989</v>
      </c>
      <c r="S31" s="10">
        <f>'Optimal Choice'!$B$27*'Optimal Choice'!$B$28^(M31+1)</f>
        <v>116121.60000000001</v>
      </c>
    </row>
    <row r="32" spans="1:19" ht="15.75" customHeight="1">
      <c r="A32" s="8">
        <f t="shared" si="0"/>
        <v>0.39547838471328739</v>
      </c>
      <c r="B32" s="7">
        <f>(I32*'Optimal Choice'!$B$6+J32*'Optimal Choice'!$B$11+K32*'Optimal Choice'!$B$16+L32*'Optimal Choice'!$B$21+M32*'Optimal Choice'!$B$26)*'Optimal Choice'!$B$30</f>
        <v>198.41</v>
      </c>
      <c r="C32" s="8">
        <f>(O32/$B32)+(O32/'Optimal Choice'!$B$6)</f>
        <v>12.251642232798011</v>
      </c>
      <c r="D32" s="8">
        <f>(P32/$B32)+(P32/'Optimal Choice'!$B$11)</f>
        <v>11.617449134391858</v>
      </c>
      <c r="E32" s="8">
        <f>(Q32/$B32)+(Q32/'Optimal Choice'!$B$16)</f>
        <v>13.256888261680359</v>
      </c>
      <c r="F32" s="8">
        <f>(R32/$B32)+(R32/'Optimal Choice'!$B$21)</f>
        <v>76.327197217882158</v>
      </c>
      <c r="G32" s="8">
        <f>(S32/$B32)+(S32/'Optimal Choice'!$B$26)</f>
        <v>639.02082354720028</v>
      </c>
      <c r="I32" s="11">
        <f t="shared" ref="I32:M32" si="30">IF(MIN($C31:$G31)=C31,I31+1,I31)</f>
        <v>23</v>
      </c>
      <c r="J32" s="11">
        <f t="shared" si="30"/>
        <v>8</v>
      </c>
      <c r="K32" s="11">
        <f t="shared" si="30"/>
        <v>0</v>
      </c>
      <c r="L32" s="11">
        <f t="shared" si="30"/>
        <v>0</v>
      </c>
      <c r="M32" s="11">
        <f t="shared" si="30"/>
        <v>0</v>
      </c>
      <c r="O32" s="10">
        <f>'Optimal Choice'!$B$7*'Optimal Choice'!$B$8^(I32+1)</f>
        <v>20.289467813543517</v>
      </c>
      <c r="P32" s="10">
        <f>'Optimal Choice'!$B$12*'Optimal Choice'!$B$13^(J32+1)</f>
        <v>211.07257751519515</v>
      </c>
      <c r="Q32" s="10">
        <f>'Optimal Choice'!$B$17*'Optimal Choice'!$B$18^(K32+1)</f>
        <v>820.8</v>
      </c>
      <c r="R32" s="10">
        <f>'Optimal Choice'!$B$22*'Optimal Choice'!$B$23^(L32+1)</f>
        <v>9763.1999999999989</v>
      </c>
      <c r="S32" s="10">
        <f>'Optimal Choice'!$B$27*'Optimal Choice'!$B$28^(M32+1)</f>
        <v>116121.60000000001</v>
      </c>
    </row>
    <row r="33" spans="1:19" ht="15.75" customHeight="1">
      <c r="A33" s="8">
        <f t="shared" si="0"/>
        <v>0.41320872235715572</v>
      </c>
      <c r="B33" s="7">
        <f>(I33*'Optimal Choice'!$B$6+J33*'Optimal Choice'!$B$11+K33*'Optimal Choice'!$B$16+L33*'Optimal Choice'!$B$21+M33*'Optimal Choice'!$B$26)*'Optimal Choice'!$B$30</f>
        <v>218.41</v>
      </c>
      <c r="C33" s="8">
        <f>(O33/$B33)+(O33/'Optimal Choice'!$B$6)</f>
        <v>12.242278164438462</v>
      </c>
      <c r="D33" s="8">
        <f>(P33/$B33)+(P33/'Optimal Choice'!$B$11)</f>
        <v>13.24803928075805</v>
      </c>
      <c r="E33" s="8">
        <f>(Q33/$B33)+(Q33/'Optimal Choice'!$B$16)</f>
        <v>12.878069685453962</v>
      </c>
      <c r="F33" s="8">
        <f>(R33/$B33)+(R33/'Optimal Choice'!$B$21)</f>
        <v>71.821249942768191</v>
      </c>
      <c r="G33" s="8">
        <f>(S33/$B33)+(S33/'Optimal Choice'!$B$26)</f>
        <v>585.42796392106595</v>
      </c>
      <c r="I33" s="11">
        <f t="shared" ref="I33:M33" si="31">IF(MIN($C32:$G32)=C32,I32+1,I32)</f>
        <v>23</v>
      </c>
      <c r="J33" s="11">
        <f t="shared" si="31"/>
        <v>9</v>
      </c>
      <c r="K33" s="11">
        <f t="shared" si="31"/>
        <v>0</v>
      </c>
      <c r="L33" s="11">
        <f t="shared" si="31"/>
        <v>0</v>
      </c>
      <c r="M33" s="11">
        <f t="shared" si="31"/>
        <v>0</v>
      </c>
      <c r="O33" s="10">
        <f>'Optimal Choice'!$B$7*'Optimal Choice'!$B$8^(I33+1)</f>
        <v>20.289467813543517</v>
      </c>
      <c r="P33" s="10">
        <f>'Optimal Choice'!$B$12*'Optimal Choice'!$B$13^(J33+1)</f>
        <v>242.73346414247439</v>
      </c>
      <c r="Q33" s="10">
        <f>'Optimal Choice'!$B$17*'Optimal Choice'!$B$18^(K33+1)</f>
        <v>820.8</v>
      </c>
      <c r="R33" s="10">
        <f>'Optimal Choice'!$B$22*'Optimal Choice'!$B$23^(L33+1)</f>
        <v>9763.1999999999989</v>
      </c>
      <c r="S33" s="10">
        <f>'Optimal Choice'!$B$27*'Optimal Choice'!$B$28^(M33+1)</f>
        <v>116121.60000000001</v>
      </c>
    </row>
    <row r="34" spans="1:19" ht="15.75" customHeight="1">
      <c r="A34" s="8">
        <f t="shared" si="0"/>
        <v>0.41475699302650415</v>
      </c>
      <c r="B34" s="7">
        <f>(I34*'Optimal Choice'!$B$6+J34*'Optimal Choice'!$B$11+K34*'Optimal Choice'!$B$16+L34*'Optimal Choice'!$B$21+M34*'Optimal Choice'!$B$26)*'Optimal Choice'!$B$30</f>
        <v>220.07999999999998</v>
      </c>
      <c r="C34" s="8">
        <f>(O34/$B34)+(O34/'Optimal Choice'!$B$6)</f>
        <v>13.098483381625529</v>
      </c>
      <c r="D34" s="8">
        <f>(P34/$B34)+(P34/'Optimal Choice'!$B$11)</f>
        <v>13.239606068548994</v>
      </c>
      <c r="E34" s="8">
        <f>(Q34/$B34)+(Q34/'Optimal Choice'!$B$16)</f>
        <v>12.849552889858233</v>
      </c>
      <c r="F34" s="8">
        <f>(R34/$B34)+(R34/'Optimal Choice'!$B$21)</f>
        <v>71.482050163576872</v>
      </c>
      <c r="G34" s="8">
        <f>(S34/$B34)+(S34/'Optimal Choice'!$B$26)</f>
        <v>581.39358778625956</v>
      </c>
      <c r="I34" s="11">
        <f t="shared" ref="I34:M34" si="32">IF(MIN($C33:$G33)=C33,I33+1,I33)</f>
        <v>24</v>
      </c>
      <c r="J34" s="11">
        <f t="shared" si="32"/>
        <v>9</v>
      </c>
      <c r="K34" s="11">
        <f t="shared" si="32"/>
        <v>0</v>
      </c>
      <c r="L34" s="11">
        <f t="shared" si="32"/>
        <v>0</v>
      </c>
      <c r="M34" s="11">
        <f t="shared" si="32"/>
        <v>0</v>
      </c>
      <c r="O34" s="10">
        <f>'Optimal Choice'!$B$7*'Optimal Choice'!$B$8^(I34+1)</f>
        <v>21.709730560491565</v>
      </c>
      <c r="P34" s="10">
        <f>'Optimal Choice'!$B$12*'Optimal Choice'!$B$13^(J34+1)</f>
        <v>242.73346414247439</v>
      </c>
      <c r="Q34" s="10">
        <f>'Optimal Choice'!$B$17*'Optimal Choice'!$B$18^(K34+1)</f>
        <v>820.8</v>
      </c>
      <c r="R34" s="10">
        <f>'Optimal Choice'!$B$22*'Optimal Choice'!$B$23^(L34+1)</f>
        <v>9763.1999999999989</v>
      </c>
      <c r="S34" s="10">
        <f>'Optimal Choice'!$B$27*'Optimal Choice'!$B$28^(M34+1)</f>
        <v>116121.60000000001</v>
      </c>
    </row>
    <row r="35" spans="1:19" ht="15.75" customHeight="1">
      <c r="A35" s="8">
        <f t="shared" si="0"/>
        <v>0.47691620785747468</v>
      </c>
      <c r="B35" s="7">
        <f>(I35*'Optimal Choice'!$B$6+J35*'Optimal Choice'!$B$11+K35*'Optimal Choice'!$B$16+L35*'Optimal Choice'!$B$21+M35*'Optimal Choice'!$B$26)*'Optimal Choice'!$B$30</f>
        <v>310.08</v>
      </c>
      <c r="C35" s="8">
        <f>(O35/$B35)+(O35/'Optimal Choice'!$B$6)</f>
        <v>13.069851979928004</v>
      </c>
      <c r="D35" s="8">
        <f>(P35/$B35)+(P35/'Optimal Choice'!$B$11)</f>
        <v>12.919482366509923</v>
      </c>
      <c r="E35" s="8">
        <f>(Q35/$B35)+(Q35/'Optimal Choice'!$B$16)</f>
        <v>13.414447058823528</v>
      </c>
      <c r="F35" s="8">
        <f>(R35/$B35)+(R35/'Optimal Choice'!$B$21)</f>
        <v>58.606068111455102</v>
      </c>
      <c r="G35" s="8">
        <f>(S35/$B35)+(S35/'Optimal Choice'!$B$26)</f>
        <v>428.24916408668736</v>
      </c>
      <c r="I35" s="11">
        <f t="shared" ref="I35:M35" si="33">IF(MIN($C34:$G34)=C34,I34+1,I34)</f>
        <v>24</v>
      </c>
      <c r="J35" s="11">
        <f t="shared" si="33"/>
        <v>9</v>
      </c>
      <c r="K35" s="11">
        <f t="shared" si="33"/>
        <v>1</v>
      </c>
      <c r="L35" s="11">
        <f t="shared" si="33"/>
        <v>0</v>
      </c>
      <c r="M35" s="11">
        <f t="shared" si="33"/>
        <v>0</v>
      </c>
      <c r="O35" s="10">
        <f>'Optimal Choice'!$B$7*'Optimal Choice'!$B$8^(I35+1)</f>
        <v>21.709730560491565</v>
      </c>
      <c r="P35" s="10">
        <f>'Optimal Choice'!$B$12*'Optimal Choice'!$B$13^(J35+1)</f>
        <v>242.73346414247439</v>
      </c>
      <c r="Q35" s="10">
        <f>'Optimal Choice'!$B$17*'Optimal Choice'!$B$18^(K35+1)</f>
        <v>935.71199999999988</v>
      </c>
      <c r="R35" s="10">
        <f>'Optimal Choice'!$B$22*'Optimal Choice'!$B$23^(L35+1)</f>
        <v>9763.1999999999989</v>
      </c>
      <c r="S35" s="10">
        <f>'Optimal Choice'!$B$27*'Optimal Choice'!$B$28^(M35+1)</f>
        <v>116121.60000000001</v>
      </c>
    </row>
    <row r="36" spans="1:19" ht="15.75" customHeight="1">
      <c r="A36" s="8">
        <f t="shared" si="0"/>
        <v>0.4899630271805781</v>
      </c>
      <c r="B36" s="7">
        <f>(I36*'Optimal Choice'!$B$6+J36*'Optimal Choice'!$B$11+K36*'Optimal Choice'!$B$16+L36*'Optimal Choice'!$B$21+M36*'Optimal Choice'!$B$26)*'Optimal Choice'!$B$30</f>
        <v>330.08</v>
      </c>
      <c r="C36" s="8">
        <f>(O36/$B36)+(O36/'Optimal Choice'!$B$6)</f>
        <v>13.065609776768101</v>
      </c>
      <c r="D36" s="8">
        <f>(P36/$B36)+(P36/'Optimal Choice'!$B$11)</f>
        <v>14.802858518548087</v>
      </c>
      <c r="E36" s="8">
        <f>(Q36/$B36)+(Q36/'Optimal Choice'!$B$16)</f>
        <v>13.231603683955404</v>
      </c>
      <c r="F36" s="8">
        <f>(R36/$B36)+(R36/'Optimal Choice'!$B$21)</f>
        <v>56.698284052350942</v>
      </c>
      <c r="G36" s="8">
        <f>(S36/$B36)+(S36/'Optimal Choice'!$B$26)</f>
        <v>405.55835191468736</v>
      </c>
      <c r="I36" s="11">
        <f t="shared" ref="I36:M36" si="34">IF(MIN($C35:$G35)=C35,I35+1,I35)</f>
        <v>24</v>
      </c>
      <c r="J36" s="11">
        <f t="shared" si="34"/>
        <v>10</v>
      </c>
      <c r="K36" s="11">
        <f t="shared" si="34"/>
        <v>1</v>
      </c>
      <c r="L36" s="11">
        <f t="shared" si="34"/>
        <v>0</v>
      </c>
      <c r="M36" s="11">
        <f t="shared" si="34"/>
        <v>0</v>
      </c>
      <c r="O36" s="10">
        <f>'Optimal Choice'!$B$7*'Optimal Choice'!$B$8^(I36+1)</f>
        <v>21.709730560491565</v>
      </c>
      <c r="P36" s="10">
        <f>'Optimal Choice'!$B$12*'Optimal Choice'!$B$13^(J36+1)</f>
        <v>279.14348376384555</v>
      </c>
      <c r="Q36" s="10">
        <f>'Optimal Choice'!$B$17*'Optimal Choice'!$B$18^(K36+1)</f>
        <v>935.71199999999988</v>
      </c>
      <c r="R36" s="10">
        <f>'Optimal Choice'!$B$22*'Optimal Choice'!$B$23^(L36+1)</f>
        <v>9763.1999999999989</v>
      </c>
      <c r="S36" s="10">
        <f>'Optimal Choice'!$B$27*'Optimal Choice'!$B$28^(M36+1)</f>
        <v>116121.60000000001</v>
      </c>
    </row>
    <row r="37" spans="1:19" ht="15.75" customHeight="1">
      <c r="A37" s="8">
        <f t="shared" si="0"/>
        <v>0.49105921247709672</v>
      </c>
      <c r="B37" s="7">
        <f>(I37*'Optimal Choice'!$B$6+J37*'Optimal Choice'!$B$11+K37*'Optimal Choice'!$B$16+L37*'Optimal Choice'!$B$21+M37*'Optimal Choice'!$B$26)*'Optimal Choice'!$B$30</f>
        <v>331.75</v>
      </c>
      <c r="C37" s="8">
        <f>(O37/$B37)+(O37/'Optimal Choice'!$B$6)</f>
        <v>13.979848199166341</v>
      </c>
      <c r="D37" s="8">
        <f>(P37/$B37)+(P37/'Optimal Choice'!$B$11)</f>
        <v>14.798601418829341</v>
      </c>
      <c r="E37" s="8">
        <f>(Q37/$B37)+(Q37/'Optimal Choice'!$B$16)</f>
        <v>13.217333534287866</v>
      </c>
      <c r="F37" s="8">
        <f>(R37/$B37)+(R37/'Optimal Choice'!$B$21)</f>
        <v>56.549389600602858</v>
      </c>
      <c r="G37" s="8">
        <f>(S37/$B37)+(S37/'Optimal Choice'!$B$26)</f>
        <v>403.78743029389602</v>
      </c>
      <c r="I37" s="11">
        <f t="shared" ref="I37:M37" si="35">IF(MIN($C36:$G36)=C36,I36+1,I36)</f>
        <v>25</v>
      </c>
      <c r="J37" s="11">
        <f t="shared" si="35"/>
        <v>10</v>
      </c>
      <c r="K37" s="11">
        <f t="shared" si="35"/>
        <v>1</v>
      </c>
      <c r="L37" s="11">
        <f t="shared" si="35"/>
        <v>0</v>
      </c>
      <c r="M37" s="11">
        <f t="shared" si="35"/>
        <v>0</v>
      </c>
      <c r="O37" s="10">
        <f>'Optimal Choice'!$B$7*'Optimal Choice'!$B$8^(I37+1)</f>
        <v>23.229411699725972</v>
      </c>
      <c r="P37" s="10">
        <f>'Optimal Choice'!$B$12*'Optimal Choice'!$B$13^(J37+1)</f>
        <v>279.14348376384555</v>
      </c>
      <c r="Q37" s="10">
        <f>'Optimal Choice'!$B$17*'Optimal Choice'!$B$18^(K37+1)</f>
        <v>935.71199999999988</v>
      </c>
      <c r="R37" s="10">
        <f>'Optimal Choice'!$B$22*'Optimal Choice'!$B$23^(L37+1)</f>
        <v>9763.1999999999989</v>
      </c>
      <c r="S37" s="10">
        <f>'Optimal Choice'!$B$27*'Optimal Choice'!$B$28^(M37+1)</f>
        <v>116121.60000000001</v>
      </c>
    </row>
    <row r="38" spans="1:19" ht="15.75" customHeight="1">
      <c r="A38" s="8">
        <f t="shared" si="0"/>
        <v>0.53806810471522781</v>
      </c>
      <c r="B38" s="7">
        <f>(I38*'Optimal Choice'!$B$6+J38*'Optimal Choice'!$B$11+K38*'Optimal Choice'!$B$16+L38*'Optimal Choice'!$B$21+M38*'Optimal Choice'!$B$26)*'Optimal Choice'!$B$30</f>
        <v>421.75</v>
      </c>
      <c r="C38" s="8">
        <f>(O38/$B38)+(O38/'Optimal Choice'!$B$6)</f>
        <v>13.964905993913259</v>
      </c>
      <c r="D38" s="8">
        <f>(P38/$B38)+(P38/'Optimal Choice'!$B$11)</f>
        <v>14.619043740685095</v>
      </c>
      <c r="E38" s="8">
        <f>(Q38/$B38)+(Q38/'Optimal Choice'!$B$16)</f>
        <v>14.381603167753406</v>
      </c>
      <c r="F38" s="8">
        <f>(R38/$B38)+(R38/'Optimal Choice'!$B$21)</f>
        <v>50.269259039715465</v>
      </c>
      <c r="G38" s="8">
        <f>(S38/$B38)+(S38/'Optimal Choice'!$B$26)</f>
        <v>329.09278008298753</v>
      </c>
      <c r="I38" s="11">
        <f t="shared" ref="I38:M38" si="36">IF(MIN($C37:$G37)=C37,I37+1,I37)</f>
        <v>25</v>
      </c>
      <c r="J38" s="11">
        <f t="shared" si="36"/>
        <v>10</v>
      </c>
      <c r="K38" s="11">
        <f t="shared" si="36"/>
        <v>2</v>
      </c>
      <c r="L38" s="11">
        <f t="shared" si="36"/>
        <v>0</v>
      </c>
      <c r="M38" s="11">
        <f t="shared" si="36"/>
        <v>0</v>
      </c>
      <c r="O38" s="10">
        <f>'Optimal Choice'!$B$7*'Optimal Choice'!$B$8^(I38+1)</f>
        <v>23.229411699725972</v>
      </c>
      <c r="P38" s="10">
        <f>'Optimal Choice'!$B$12*'Optimal Choice'!$B$13^(J38+1)</f>
        <v>279.14348376384555</v>
      </c>
      <c r="Q38" s="10">
        <f>'Optimal Choice'!$B$17*'Optimal Choice'!$B$18^(K38+1)</f>
        <v>1066.7116799999999</v>
      </c>
      <c r="R38" s="10">
        <f>'Optimal Choice'!$B$22*'Optimal Choice'!$B$23^(L38+1)</f>
        <v>9763.1999999999989</v>
      </c>
      <c r="S38" s="10">
        <f>'Optimal Choice'!$B$27*'Optimal Choice'!$B$28^(M38+1)</f>
        <v>116121.60000000001</v>
      </c>
    </row>
    <row r="39" spans="1:19" ht="15.75" customHeight="1">
      <c r="A39" s="8">
        <f t="shared" si="0"/>
        <v>0.5389860818620259</v>
      </c>
      <c r="B39" s="7">
        <f>(I39*'Optimal Choice'!$B$6+J39*'Optimal Choice'!$B$11+K39*'Optimal Choice'!$B$16+L39*'Optimal Choice'!$B$21+M39*'Optimal Choice'!$B$26)*'Optimal Choice'!$B$30</f>
        <v>423.42</v>
      </c>
      <c r="C39" s="8">
        <f>(O39/$B39)+(O39/'Optimal Choice'!$B$6)</f>
        <v>14.942216972880189</v>
      </c>
      <c r="D39" s="8">
        <f>(P39/$B39)+(P39/'Optimal Choice'!$B$11)</f>
        <v>14.616433277899532</v>
      </c>
      <c r="E39" s="8">
        <f>(Q39/$B39)+(Q39/'Optimal Choice'!$B$16)</f>
        <v>14.371627612866655</v>
      </c>
      <c r="F39" s="8">
        <f>(R39/$B39)+(R39/'Optimal Choice'!$B$21)</f>
        <v>50.177956638798349</v>
      </c>
      <c r="G39" s="8">
        <f>(S39/$B39)+(S39/'Optimal Choice'!$B$26)</f>
        <v>328.00684710216808</v>
      </c>
      <c r="I39" s="11">
        <f t="shared" ref="I39:M39" si="37">IF(MIN($C38:$G38)=C38,I38+1,I38)</f>
        <v>26</v>
      </c>
      <c r="J39" s="11">
        <f t="shared" si="37"/>
        <v>10</v>
      </c>
      <c r="K39" s="11">
        <f t="shared" si="37"/>
        <v>2</v>
      </c>
      <c r="L39" s="11">
        <f t="shared" si="37"/>
        <v>0</v>
      </c>
      <c r="M39" s="11">
        <f t="shared" si="37"/>
        <v>0</v>
      </c>
      <c r="O39" s="10">
        <f>'Optimal Choice'!$B$7*'Optimal Choice'!$B$8^(I39+1)</f>
        <v>24.855470518706795</v>
      </c>
      <c r="P39" s="10">
        <f>'Optimal Choice'!$B$12*'Optimal Choice'!$B$13^(J39+1)</f>
        <v>279.14348376384555</v>
      </c>
      <c r="Q39" s="10">
        <f>'Optimal Choice'!$B$17*'Optimal Choice'!$B$18^(K39+1)</f>
        <v>1066.7116799999999</v>
      </c>
      <c r="R39" s="10">
        <f>'Optimal Choice'!$B$22*'Optimal Choice'!$B$23^(L39+1)</f>
        <v>9763.1999999999989</v>
      </c>
      <c r="S39" s="10">
        <f>'Optimal Choice'!$B$27*'Optimal Choice'!$B$28^(M39+1)</f>
        <v>116121.60000000001</v>
      </c>
    </row>
    <row r="40" spans="1:19" ht="15.75" customHeight="1">
      <c r="A40" s="8">
        <f t="shared" si="0"/>
        <v>0.58097400874313687</v>
      </c>
      <c r="B40" s="7">
        <f>(I40*'Optimal Choice'!$B$6+J40*'Optimal Choice'!$B$11+K40*'Optimal Choice'!$B$16+L40*'Optimal Choice'!$B$21+M40*'Optimal Choice'!$B$26)*'Optimal Choice'!$B$30</f>
        <v>513.42000000000007</v>
      </c>
      <c r="C40" s="8">
        <f>(O40/$B40)+(O40/'Optimal Choice'!$B$6)</f>
        <v>14.931926855043779</v>
      </c>
      <c r="D40" s="8">
        <f>(P40/$B40)+(P40/'Optimal Choice'!$B$11)</f>
        <v>14.500868402994673</v>
      </c>
      <c r="E40" s="8">
        <f>(Q40/$B40)+(Q40/'Optimal Choice'!$B$16)</f>
        <v>15.880212531606869</v>
      </c>
      <c r="F40" s="8">
        <f>(R40/$B40)+(R40/'Optimal Choice'!$B$21)</f>
        <v>46.136010283978024</v>
      </c>
      <c r="G40" s="8">
        <f>(S40/$B40)+(S40/'Optimal Choice'!$B$26)</f>
        <v>279.93272408554401</v>
      </c>
      <c r="I40" s="11">
        <f t="shared" ref="I40:M40" si="38">IF(MIN($C39:$G39)=C39,I39+1,I39)</f>
        <v>26</v>
      </c>
      <c r="J40" s="11">
        <f t="shared" si="38"/>
        <v>10</v>
      </c>
      <c r="K40" s="11">
        <f t="shared" si="38"/>
        <v>3</v>
      </c>
      <c r="L40" s="11">
        <f t="shared" si="38"/>
        <v>0</v>
      </c>
      <c r="M40" s="11">
        <f t="shared" si="38"/>
        <v>0</v>
      </c>
      <c r="O40" s="10">
        <f>'Optimal Choice'!$B$7*'Optimal Choice'!$B$8^(I40+1)</f>
        <v>24.855470518706795</v>
      </c>
      <c r="P40" s="10">
        <f>'Optimal Choice'!$B$12*'Optimal Choice'!$B$13^(J40+1)</f>
        <v>279.14348376384555</v>
      </c>
      <c r="Q40" s="10">
        <f>'Optimal Choice'!$B$17*'Optimal Choice'!$B$18^(K40+1)</f>
        <v>1216.0513151999999</v>
      </c>
      <c r="R40" s="10">
        <f>'Optimal Choice'!$B$22*'Optimal Choice'!$B$23^(L40+1)</f>
        <v>9763.1999999999989</v>
      </c>
      <c r="S40" s="10">
        <f>'Optimal Choice'!$B$27*'Optimal Choice'!$B$28^(M40+1)</f>
        <v>116121.60000000001</v>
      </c>
    </row>
    <row r="41" spans="1:19" ht="15.75" customHeight="1">
      <c r="A41" s="8">
        <f t="shared" si="0"/>
        <v>0.59003557898984349</v>
      </c>
      <c r="B41" s="7">
        <f>(I41*'Optimal Choice'!$B$6+J41*'Optimal Choice'!$B$11+K41*'Optimal Choice'!$B$16+L41*'Optimal Choice'!$B$21+M41*'Optimal Choice'!$B$26)*'Optimal Choice'!$B$30</f>
        <v>533.42000000000007</v>
      </c>
      <c r="C41" s="8">
        <f>(O41/$B41)+(O41/'Optimal Choice'!$B$6)</f>
        <v>14.930111715964591</v>
      </c>
      <c r="D41" s="8">
        <f>(P41/$B41)+(P41/'Optimal Choice'!$B$11)</f>
        <v>16.65255565991859</v>
      </c>
      <c r="E41" s="8">
        <f>(Q41/$B41)+(Q41/'Optimal Choice'!$B$16)</f>
        <v>15.791407040563906</v>
      </c>
      <c r="F41" s="8">
        <f>(R41/$B41)+(R41/'Optimal Choice'!$B$21)</f>
        <v>45.423025758314267</v>
      </c>
      <c r="G41" s="8">
        <f>(S41/$B41)+(S41/'Optimal Choice'!$B$26)</f>
        <v>271.45262494844587</v>
      </c>
      <c r="I41" s="11">
        <f t="shared" ref="I41:M41" si="39">IF(MIN($C40:$G40)=C40,I40+1,I40)</f>
        <v>26</v>
      </c>
      <c r="J41" s="11">
        <f t="shared" si="39"/>
        <v>11</v>
      </c>
      <c r="K41" s="11">
        <f t="shared" si="39"/>
        <v>3</v>
      </c>
      <c r="L41" s="11">
        <f t="shared" si="39"/>
        <v>0</v>
      </c>
      <c r="M41" s="11">
        <f t="shared" si="39"/>
        <v>0</v>
      </c>
      <c r="O41" s="10">
        <f>'Optimal Choice'!$B$7*'Optimal Choice'!$B$8^(I41+1)</f>
        <v>24.855470518706795</v>
      </c>
      <c r="P41" s="10">
        <f>'Optimal Choice'!$B$12*'Optimal Choice'!$B$13^(J41+1)</f>
        <v>321.01500632842232</v>
      </c>
      <c r="Q41" s="10">
        <f>'Optimal Choice'!$B$17*'Optimal Choice'!$B$18^(K41+1)</f>
        <v>1216.0513151999999</v>
      </c>
      <c r="R41" s="10">
        <f>'Optimal Choice'!$B$22*'Optimal Choice'!$B$23^(L41+1)</f>
        <v>9763.1999999999989</v>
      </c>
      <c r="S41" s="10">
        <f>'Optimal Choice'!$B$27*'Optimal Choice'!$B$28^(M41+1)</f>
        <v>116121.60000000001</v>
      </c>
    </row>
    <row r="42" spans="1:19" ht="15.75" customHeight="1">
      <c r="A42" s="8">
        <f t="shared" si="0"/>
        <v>0.59081218624487408</v>
      </c>
      <c r="B42" s="7">
        <f>(I42*'Optimal Choice'!$B$6+J42*'Optimal Choice'!$B$11+K42*'Optimal Choice'!$B$16+L42*'Optimal Choice'!$B$21+M42*'Optimal Choice'!$B$26)*'Optimal Choice'!$B$30</f>
        <v>535.08999999999992</v>
      </c>
      <c r="C42" s="8">
        <f>(O42/$B42)+(O42/'Optimal Choice'!$B$6)</f>
        <v>15.975063930164898</v>
      </c>
      <c r="D42" s="8">
        <f>(P42/$B42)+(P42/'Optimal Choice'!$B$11)</f>
        <v>16.650677443312709</v>
      </c>
      <c r="E42" s="8">
        <f>(Q42/$B42)+(Q42/'Optimal Choice'!$B$16)</f>
        <v>15.784292084163784</v>
      </c>
      <c r="F42" s="8">
        <f>(R42/$B42)+(R42/'Optimal Choice'!$B$21)</f>
        <v>45.365902558448113</v>
      </c>
      <c r="G42" s="8">
        <f>(S42/$B42)+(S42/'Optimal Choice'!$B$26)</f>
        <v>270.77321273056873</v>
      </c>
      <c r="I42" s="11">
        <f t="shared" ref="I42:M42" si="40">IF(MIN($C41:$G41)=C41,I41+1,I41)</f>
        <v>27</v>
      </c>
      <c r="J42" s="11">
        <f t="shared" si="40"/>
        <v>11</v>
      </c>
      <c r="K42" s="11">
        <f t="shared" si="40"/>
        <v>3</v>
      </c>
      <c r="L42" s="11">
        <f t="shared" si="40"/>
        <v>0</v>
      </c>
      <c r="M42" s="11">
        <f t="shared" si="40"/>
        <v>0</v>
      </c>
      <c r="O42" s="10">
        <f>'Optimal Choice'!$B$7*'Optimal Choice'!$B$8^(I42+1)</f>
        <v>26.595353455016266</v>
      </c>
      <c r="P42" s="10">
        <f>'Optimal Choice'!$B$12*'Optimal Choice'!$B$13^(J42+1)</f>
        <v>321.01500632842232</v>
      </c>
      <c r="Q42" s="10">
        <f>'Optimal Choice'!$B$17*'Optimal Choice'!$B$18^(K42+1)</f>
        <v>1216.0513151999999</v>
      </c>
      <c r="R42" s="10">
        <f>'Optimal Choice'!$B$22*'Optimal Choice'!$B$23^(L42+1)</f>
        <v>9763.1999999999989</v>
      </c>
      <c r="S42" s="10">
        <f>'Optimal Choice'!$B$27*'Optimal Choice'!$B$28^(M42+1)</f>
        <v>116121.60000000001</v>
      </c>
    </row>
    <row r="43" spans="1:19" ht="15.75" customHeight="1">
      <c r="A43" s="8">
        <f t="shared" si="0"/>
        <v>0.62868903298093715</v>
      </c>
      <c r="B43" s="7">
        <f>(I43*'Optimal Choice'!$B$6+J43*'Optimal Choice'!$B$11+K43*'Optimal Choice'!$B$16+L43*'Optimal Choice'!$B$21+M43*'Optimal Choice'!$B$26)*'Optimal Choice'!$B$30</f>
        <v>625.08999999999992</v>
      </c>
      <c r="C43" s="8">
        <f>(O43/$B43)+(O43/'Optimal Choice'!$B$6)</f>
        <v>15.967907789149976</v>
      </c>
      <c r="D43" s="8">
        <f>(P43/$B43)+(P43/'Optimal Choice'!$B$11)</f>
        <v>16.564300375338107</v>
      </c>
      <c r="E43" s="8">
        <f>(Q43/$B43)+(Q43/'Optimal Choice'!$B$16)</f>
        <v>17.621074900937984</v>
      </c>
      <c r="F43" s="8">
        <f>(R43/$B43)+(R43/'Optimal Choice'!$B$21)</f>
        <v>42.738870882592906</v>
      </c>
      <c r="G43" s="8">
        <f>(S43/$B43)+(S43/'Optimal Choice'!$B$26)</f>
        <v>239.52780943544133</v>
      </c>
      <c r="I43" s="11">
        <f t="shared" ref="I43:M43" si="41">IF(MIN($C42:$G42)=C42,I42+1,I42)</f>
        <v>27</v>
      </c>
      <c r="J43" s="11">
        <f t="shared" si="41"/>
        <v>11</v>
      </c>
      <c r="K43" s="11">
        <f t="shared" si="41"/>
        <v>4</v>
      </c>
      <c r="L43" s="11">
        <f t="shared" si="41"/>
        <v>0</v>
      </c>
      <c r="M43" s="11">
        <f t="shared" si="41"/>
        <v>0</v>
      </c>
      <c r="O43" s="10">
        <f>'Optimal Choice'!$B$7*'Optimal Choice'!$B$8^(I43+1)</f>
        <v>26.595353455016266</v>
      </c>
      <c r="P43" s="10">
        <f>'Optimal Choice'!$B$12*'Optimal Choice'!$B$13^(J43+1)</f>
        <v>321.01500632842232</v>
      </c>
      <c r="Q43" s="10">
        <f>'Optimal Choice'!$B$17*'Optimal Choice'!$B$18^(K43+1)</f>
        <v>1386.2984993279997</v>
      </c>
      <c r="R43" s="10">
        <f>'Optimal Choice'!$B$22*'Optimal Choice'!$B$23^(L43+1)</f>
        <v>9763.1999999999989</v>
      </c>
      <c r="S43" s="10">
        <f>'Optimal Choice'!$B$27*'Optimal Choice'!$B$28^(M43+1)</f>
        <v>116121.60000000001</v>
      </c>
    </row>
    <row r="44" spans="1:19" ht="15.75" customHeight="1">
      <c r="A44" s="8">
        <f t="shared" si="0"/>
        <v>0.629398140294951</v>
      </c>
      <c r="B44" s="7">
        <f>(I44*'Optimal Choice'!$B$6+J44*'Optimal Choice'!$B$11+K44*'Optimal Choice'!$B$16+L44*'Optimal Choice'!$B$21+M44*'Optimal Choice'!$B$26)*'Optimal Choice'!$B$30</f>
        <v>626.76</v>
      </c>
      <c r="C44" s="8">
        <f>(O44/$B44)+(O44/'Optimal Choice'!$B$6)</f>
        <v>17.085540034001863</v>
      </c>
      <c r="D44" s="8">
        <f>(P44/$B44)+(P44/'Optimal Choice'!$B$11)</f>
        <v>16.562932022861258</v>
      </c>
      <c r="E44" s="8">
        <f>(Q44/$B44)+(Q44/'Optimal Choice'!$B$16)</f>
        <v>17.615165691250542</v>
      </c>
      <c r="F44" s="8">
        <f>(R44/$B44)+(R44/'Optimal Choice'!$B$21)</f>
        <v>42.697254451464673</v>
      </c>
      <c r="G44" s="8">
        <f>(S44/$B44)+(S44/'Optimal Choice'!$B$26)</f>
        <v>239.03283170591618</v>
      </c>
      <c r="I44" s="11">
        <f t="shared" ref="I44:M44" si="42">IF(MIN($C43:$G43)=C43,I43+1,I43)</f>
        <v>28</v>
      </c>
      <c r="J44" s="11">
        <f t="shared" si="42"/>
        <v>11</v>
      </c>
      <c r="K44" s="11">
        <f t="shared" si="42"/>
        <v>4</v>
      </c>
      <c r="L44" s="11">
        <f t="shared" si="42"/>
        <v>0</v>
      </c>
      <c r="M44" s="11">
        <f t="shared" si="42"/>
        <v>0</v>
      </c>
      <c r="O44" s="10">
        <f>'Optimal Choice'!$B$7*'Optimal Choice'!$B$8^(I44+1)</f>
        <v>28.457028196867405</v>
      </c>
      <c r="P44" s="10">
        <f>'Optimal Choice'!$B$12*'Optimal Choice'!$B$13^(J44+1)</f>
        <v>321.01500632842232</v>
      </c>
      <c r="Q44" s="10">
        <f>'Optimal Choice'!$B$17*'Optimal Choice'!$B$18^(K44+1)</f>
        <v>1386.2984993279997</v>
      </c>
      <c r="R44" s="10">
        <f>'Optimal Choice'!$B$22*'Optimal Choice'!$B$23^(L44+1)</f>
        <v>9763.1999999999989</v>
      </c>
      <c r="S44" s="10">
        <f>'Optimal Choice'!$B$27*'Optimal Choice'!$B$28^(M44+1)</f>
        <v>116121.60000000001</v>
      </c>
    </row>
    <row r="45" spans="1:19" ht="15.75" customHeight="1">
      <c r="A45" s="8">
        <f t="shared" si="0"/>
        <v>0.6379345020689533</v>
      </c>
      <c r="B45" s="7">
        <f>(I45*'Optimal Choice'!$B$6+J45*'Optimal Choice'!$B$11+K45*'Optimal Choice'!$B$16+L45*'Optimal Choice'!$B$21+M45*'Optimal Choice'!$B$26)*'Optimal Choice'!$B$30</f>
        <v>646.76</v>
      </c>
      <c r="C45" s="8">
        <f>(O45/$B45)+(O45/'Optimal Choice'!$B$6)</f>
        <v>17.08413600811371</v>
      </c>
      <c r="D45" s="8">
        <f>(P45/$B45)+(P45/'Optimal Choice'!$B$11)</f>
        <v>19.029157683102671</v>
      </c>
      <c r="E45" s="8">
        <f>(Q45/$B45)+(Q45/'Optimal Choice'!$B$16)</f>
        <v>17.546767861080138</v>
      </c>
      <c r="F45" s="8">
        <f>(R45/$B45)+(R45/'Optimal Choice'!$B$21)</f>
        <v>42.215553219123009</v>
      </c>
      <c r="G45" s="8">
        <f>(S45/$B45)+(S45/'Optimal Choice'!$B$26)</f>
        <v>233.30357103098521</v>
      </c>
      <c r="I45" s="11">
        <f t="shared" ref="I45:M45" si="43">IF(MIN($C44:$G44)=C44,I44+1,I44)</f>
        <v>28</v>
      </c>
      <c r="J45" s="11">
        <f t="shared" si="43"/>
        <v>12</v>
      </c>
      <c r="K45" s="11">
        <f t="shared" si="43"/>
        <v>4</v>
      </c>
      <c r="L45" s="11">
        <f t="shared" si="43"/>
        <v>0</v>
      </c>
      <c r="M45" s="11">
        <f t="shared" si="43"/>
        <v>0</v>
      </c>
      <c r="O45" s="10">
        <f>'Optimal Choice'!$B$7*'Optimal Choice'!$B$8^(I45+1)</f>
        <v>28.457028196867405</v>
      </c>
      <c r="P45" s="10">
        <f>'Optimal Choice'!$B$12*'Optimal Choice'!$B$13^(J45+1)</f>
        <v>369.16725727768568</v>
      </c>
      <c r="Q45" s="10">
        <f>'Optimal Choice'!$B$17*'Optimal Choice'!$B$18^(K45+1)</f>
        <v>1386.2984993279997</v>
      </c>
      <c r="R45" s="10">
        <f>'Optimal Choice'!$B$22*'Optimal Choice'!$B$23^(L45+1)</f>
        <v>9763.1999999999989</v>
      </c>
      <c r="S45" s="10">
        <f>'Optimal Choice'!$B$27*'Optimal Choice'!$B$28^(M45+1)</f>
        <v>116121.60000000001</v>
      </c>
    </row>
    <row r="46" spans="1:19" ht="15.75" customHeight="1">
      <c r="A46" s="8">
        <f t="shared" si="0"/>
        <v>0.63866782479033546</v>
      </c>
      <c r="B46" s="7">
        <f>(I46*'Optimal Choice'!$B$6+J46*'Optimal Choice'!$B$11+K46*'Optimal Choice'!$B$16+L46*'Optimal Choice'!$B$21+M46*'Optimal Choice'!$B$26)*'Optimal Choice'!$B$30</f>
        <v>648.43000000000006</v>
      </c>
      <c r="C46" s="8">
        <f>(O46/$B46)+(O46/'Optimal Choice'!$B$6)</f>
        <v>18.279904278180844</v>
      </c>
      <c r="D46" s="8">
        <f>(P46/$B46)+(P46/'Optimal Choice'!$B$11)</f>
        <v>19.027687628743536</v>
      </c>
      <c r="E46" s="8">
        <f>(Q46/$B46)+(Q46/'Optimal Choice'!$B$16)</f>
        <v>17.541247506520445</v>
      </c>
      <c r="F46" s="8">
        <f>(R46/$B46)+(R46/'Optimal Choice'!$B$21)</f>
        <v>42.176675354317346</v>
      </c>
      <c r="G46" s="8">
        <f>(S46/$B46)+(S46/'Optimal Choice'!$B$26)</f>
        <v>232.84116527612849</v>
      </c>
      <c r="I46" s="11">
        <f t="shared" ref="I46:M46" si="44">IF(MIN($C45:$G45)=C45,I45+1,I45)</f>
        <v>29</v>
      </c>
      <c r="J46" s="11">
        <f t="shared" si="44"/>
        <v>12</v>
      </c>
      <c r="K46" s="11">
        <f t="shared" si="44"/>
        <v>4</v>
      </c>
      <c r="L46" s="11">
        <f t="shared" si="44"/>
        <v>0</v>
      </c>
      <c r="M46" s="11">
        <f t="shared" si="44"/>
        <v>0</v>
      </c>
      <c r="O46" s="10">
        <f>'Optimal Choice'!$B$7*'Optimal Choice'!$B$8^(I46+1)</f>
        <v>30.449020170648122</v>
      </c>
      <c r="P46" s="10">
        <f>'Optimal Choice'!$B$12*'Optimal Choice'!$B$13^(J46+1)</f>
        <v>369.16725727768568</v>
      </c>
      <c r="Q46" s="10">
        <f>'Optimal Choice'!$B$17*'Optimal Choice'!$B$18^(K46+1)</f>
        <v>1386.2984993279997</v>
      </c>
      <c r="R46" s="10">
        <f>'Optimal Choice'!$B$22*'Optimal Choice'!$B$23^(L46+1)</f>
        <v>9763.1999999999989</v>
      </c>
      <c r="S46" s="10">
        <f>'Optimal Choice'!$B$27*'Optimal Choice'!$B$28^(M46+1)</f>
        <v>116121.60000000001</v>
      </c>
    </row>
    <row r="47" spans="1:19" ht="15.75" customHeight="1">
      <c r="A47" s="8">
        <f t="shared" si="0"/>
        <v>0.6743000055790096</v>
      </c>
      <c r="B47" s="7">
        <f>(I47*'Optimal Choice'!$B$6+J47*'Optimal Choice'!$B$11+K47*'Optimal Choice'!$B$16+L47*'Optimal Choice'!$B$21+M47*'Optimal Choice'!$B$26)*'Optimal Choice'!$B$30</f>
        <v>738.43000000000006</v>
      </c>
      <c r="C47" s="8">
        <f>(O47/$B47)+(O47/'Optimal Choice'!$B$6)</f>
        <v>18.274181019186667</v>
      </c>
      <c r="D47" s="8">
        <f>(P47/$B47)+(P47/'Optimal Choice'!$B$11)</f>
        <v>18.958298209519867</v>
      </c>
      <c r="E47" s="8">
        <f>(Q47/$B47)+(Q47/'Optimal Choice'!$B$16)</f>
        <v>19.69997070376122</v>
      </c>
      <c r="F47" s="8">
        <f>(R47/$B47)+(R47/'Optimal Choice'!$B$21)</f>
        <v>40.341564670991154</v>
      </c>
      <c r="G47" s="8">
        <f>(S47/$B47)+(S47/'Optimal Choice'!$B$26)</f>
        <v>211.01471608683289</v>
      </c>
      <c r="I47" s="11">
        <f t="shared" ref="I47:M47" si="45">IF(MIN($C46:$G46)=C46,I46+1,I46)</f>
        <v>29</v>
      </c>
      <c r="J47" s="11">
        <f t="shared" si="45"/>
        <v>12</v>
      </c>
      <c r="K47" s="11">
        <f t="shared" si="45"/>
        <v>5</v>
      </c>
      <c r="L47" s="11">
        <f t="shared" si="45"/>
        <v>0</v>
      </c>
      <c r="M47" s="11">
        <f t="shared" si="45"/>
        <v>0</v>
      </c>
      <c r="O47" s="10">
        <f>'Optimal Choice'!$B$7*'Optimal Choice'!$B$8^(I47+1)</f>
        <v>30.449020170648122</v>
      </c>
      <c r="P47" s="10">
        <f>'Optimal Choice'!$B$12*'Optimal Choice'!$B$13^(J47+1)</f>
        <v>369.16725727768568</v>
      </c>
      <c r="Q47" s="10">
        <f>'Optimal Choice'!$B$17*'Optimal Choice'!$B$18^(K47+1)</f>
        <v>1580.3802892339195</v>
      </c>
      <c r="R47" s="10">
        <f>'Optimal Choice'!$B$22*'Optimal Choice'!$B$23^(L47+1)</f>
        <v>9763.1999999999989</v>
      </c>
      <c r="S47" s="10">
        <f>'Optimal Choice'!$B$27*'Optimal Choice'!$B$28^(M47+1)</f>
        <v>116121.60000000001</v>
      </c>
    </row>
    <row r="48" spans="1:19" ht="15.75" customHeight="1">
      <c r="A48" s="8">
        <f t="shared" si="0"/>
        <v>0.67498725239930513</v>
      </c>
      <c r="B48" s="7">
        <f>(I48*'Optimal Choice'!$B$6+J48*'Optimal Choice'!$B$11+K48*'Optimal Choice'!$B$16+L48*'Optimal Choice'!$B$21+M48*'Optimal Choice'!$B$26)*'Optimal Choice'!$B$30</f>
        <v>740.1</v>
      </c>
      <c r="C48" s="8">
        <f>(O48/$B48)+(O48/'Optimal Choice'!$B$6)</f>
        <v>19.553274133063727</v>
      </c>
      <c r="D48" s="8">
        <f>(P48/$B48)+(P48/'Optimal Choice'!$B$11)</f>
        <v>18.95717012949391</v>
      </c>
      <c r="E48" s="8">
        <f>(Q48/$B48)+(Q48/'Optimal Choice'!$B$16)</f>
        <v>19.695141468766632</v>
      </c>
      <c r="F48" s="8">
        <f>(R48/$B48)+(R48/'Optimal Choice'!$B$21)</f>
        <v>40.311730847182808</v>
      </c>
      <c r="G48" s="8">
        <f>(S48/$B48)+(S48/'Optimal Choice'!$B$26)</f>
        <v>210.65987839481153</v>
      </c>
      <c r="I48" s="11">
        <f t="shared" ref="I48:M48" si="46">IF(MIN($C47:$G47)=C47,I47+1,I47)</f>
        <v>30</v>
      </c>
      <c r="J48" s="11">
        <f t="shared" si="46"/>
        <v>12</v>
      </c>
      <c r="K48" s="11">
        <f t="shared" si="46"/>
        <v>5</v>
      </c>
      <c r="L48" s="11">
        <f t="shared" si="46"/>
        <v>0</v>
      </c>
      <c r="M48" s="11">
        <f t="shared" si="46"/>
        <v>0</v>
      </c>
      <c r="O48" s="10">
        <f>'Optimal Choice'!$B$7*'Optimal Choice'!$B$8^(I48+1)</f>
        <v>32.580451582593497</v>
      </c>
      <c r="P48" s="10">
        <f>'Optimal Choice'!$B$12*'Optimal Choice'!$B$13^(J48+1)</f>
        <v>369.16725727768568</v>
      </c>
      <c r="Q48" s="10">
        <f>'Optimal Choice'!$B$17*'Optimal Choice'!$B$18^(K48+1)</f>
        <v>1580.3802892339195</v>
      </c>
      <c r="R48" s="10">
        <f>'Optimal Choice'!$B$22*'Optimal Choice'!$B$23^(L48+1)</f>
        <v>9763.1999999999989</v>
      </c>
      <c r="S48" s="10">
        <f>'Optimal Choice'!$B$27*'Optimal Choice'!$B$28^(M48+1)</f>
        <v>116121.60000000001</v>
      </c>
    </row>
    <row r="49" spans="1:19" ht="15.75" customHeight="1">
      <c r="A49" s="8">
        <f t="shared" si="0"/>
        <v>0.68330070682613231</v>
      </c>
      <c r="B49" s="7">
        <f>(I49*'Optimal Choice'!$B$6+J49*'Optimal Choice'!$B$11+K49*'Optimal Choice'!$B$16+L49*'Optimal Choice'!$B$21+M49*'Optimal Choice'!$B$26)*'Optimal Choice'!$B$30</f>
        <v>760.1</v>
      </c>
      <c r="C49" s="8">
        <f>(O49/$B49)+(O49/'Optimal Choice'!$B$6)</f>
        <v>19.552115819989211</v>
      </c>
      <c r="D49" s="8">
        <f>(P49/$B49)+(P49/'Optimal Choice'!$B$11)</f>
        <v>21.785652151866266</v>
      </c>
      <c r="E49" s="8">
        <f>(Q49/$B49)+(Q49/'Optimal Choice'!$B$16)</f>
        <v>19.638955164930856</v>
      </c>
      <c r="F49" s="8">
        <f>(R49/$B49)+(R49/'Optimal Choice'!$B$21)</f>
        <v>39.964625707143796</v>
      </c>
      <c r="G49" s="8">
        <f>(S49/$B49)+(S49/'Optimal Choice'!$B$26)</f>
        <v>206.53147743717932</v>
      </c>
      <c r="I49" s="11">
        <f t="shared" ref="I49:M49" si="47">IF(MIN($C48:$G48)=C48,I48+1,I48)</f>
        <v>30</v>
      </c>
      <c r="J49" s="11">
        <f t="shared" si="47"/>
        <v>13</v>
      </c>
      <c r="K49" s="11">
        <f t="shared" si="47"/>
        <v>5</v>
      </c>
      <c r="L49" s="11">
        <f t="shared" si="47"/>
        <v>0</v>
      </c>
      <c r="M49" s="11">
        <f t="shared" si="47"/>
        <v>0</v>
      </c>
      <c r="O49" s="10">
        <f>'Optimal Choice'!$B$7*'Optimal Choice'!$B$8^(I49+1)</f>
        <v>32.580451582593497</v>
      </c>
      <c r="P49" s="10">
        <f>'Optimal Choice'!$B$12*'Optimal Choice'!$B$13^(J49+1)</f>
        <v>424.54234586933853</v>
      </c>
      <c r="Q49" s="10">
        <f>'Optimal Choice'!$B$17*'Optimal Choice'!$B$18^(K49+1)</f>
        <v>1580.3802892339195</v>
      </c>
      <c r="R49" s="10">
        <f>'Optimal Choice'!$B$22*'Optimal Choice'!$B$23^(L49+1)</f>
        <v>9763.1999999999989</v>
      </c>
      <c r="S49" s="10">
        <f>'Optimal Choice'!$B$27*'Optimal Choice'!$B$28^(M49+1)</f>
        <v>116121.60000000001</v>
      </c>
    </row>
    <row r="50" spans="1:19" ht="15.75" customHeight="1">
      <c r="A50" s="8">
        <f t="shared" si="0"/>
        <v>0.68401509641483982</v>
      </c>
      <c r="B50" s="7">
        <f>(I50*'Optimal Choice'!$B$6+J50*'Optimal Choice'!$B$11+K50*'Optimal Choice'!$B$16+L50*'Optimal Choice'!$B$21+M50*'Optimal Choice'!$B$26)*'Optimal Choice'!$B$30</f>
        <v>761.77</v>
      </c>
      <c r="C50" s="8">
        <f>(O50/$B50)+(O50/'Optimal Choice'!$B$6)</f>
        <v>20.920663381862429</v>
      </c>
      <c r="D50" s="8">
        <f>(P50/$B50)+(P50/'Optimal Choice'!$B$11)</f>
        <v>21.784427696698003</v>
      </c>
      <c r="E50" s="8">
        <f>(Q50/$B50)+(Q50/'Optimal Choice'!$B$16)</f>
        <v>19.634397068826193</v>
      </c>
      <c r="F50" s="8">
        <f>(R50/$B50)+(R50/'Optimal Choice'!$B$21)</f>
        <v>39.936466912585161</v>
      </c>
      <c r="G50" s="8">
        <f>(S50/$B50)+(S50/'Optimal Choice'!$B$26)</f>
        <v>206.19656221694214</v>
      </c>
      <c r="I50" s="11">
        <f t="shared" ref="I50:M50" si="48">IF(MIN($C49:$G49)=C49,I49+1,I49)</f>
        <v>31</v>
      </c>
      <c r="J50" s="11">
        <f t="shared" si="48"/>
        <v>13</v>
      </c>
      <c r="K50" s="11">
        <f t="shared" si="48"/>
        <v>5</v>
      </c>
      <c r="L50" s="11">
        <f t="shared" si="48"/>
        <v>0</v>
      </c>
      <c r="M50" s="11">
        <f t="shared" si="48"/>
        <v>0</v>
      </c>
      <c r="O50" s="10">
        <f>'Optimal Choice'!$B$7*'Optimal Choice'!$B$8^(I50+1)</f>
        <v>34.861083193375038</v>
      </c>
      <c r="P50" s="10">
        <f>'Optimal Choice'!$B$12*'Optimal Choice'!$B$13^(J50+1)</f>
        <v>424.54234586933853</v>
      </c>
      <c r="Q50" s="10">
        <f>'Optimal Choice'!$B$17*'Optimal Choice'!$B$18^(K50+1)</f>
        <v>1580.3802892339195</v>
      </c>
      <c r="R50" s="10">
        <f>'Optimal Choice'!$B$22*'Optimal Choice'!$B$23^(L50+1)</f>
        <v>9763.1999999999989</v>
      </c>
      <c r="S50" s="10">
        <f>'Optimal Choice'!$B$27*'Optimal Choice'!$B$28^(M50+1)</f>
        <v>116121.60000000001</v>
      </c>
    </row>
    <row r="51" spans="1:19" ht="15.75" customHeight="1">
      <c r="A51" s="8">
        <f t="shared" si="0"/>
        <v>0.71859203103714309</v>
      </c>
      <c r="B51" s="7">
        <f>(I51*'Optimal Choice'!$B$6+J51*'Optimal Choice'!$B$11+K51*'Optimal Choice'!$B$16+L51*'Optimal Choice'!$B$21+M51*'Optimal Choice'!$B$26)*'Optimal Choice'!$B$30</f>
        <v>851.77</v>
      </c>
      <c r="C51" s="8">
        <f>(O51/$B51)+(O51/'Optimal Choice'!$B$6)</f>
        <v>20.915827928692899</v>
      </c>
      <c r="D51" s="8">
        <f>(P51/$B51)+(P51/'Optimal Choice'!$B$11)</f>
        <v>21.725540982807168</v>
      </c>
      <c r="E51" s="8">
        <f>(Q51/$B51)+(Q51/'Optimal Choice'!$B$16)</f>
        <v>22.133314670114181</v>
      </c>
      <c r="F51" s="8">
        <f>(R51/$B51)+(R51/'Optimal Choice'!$B$21)</f>
        <v>38.582249198727354</v>
      </c>
      <c r="G51" s="8">
        <f>(S51/$B51)+(S51/'Optimal Choice'!$B$26)</f>
        <v>190.08976038132363</v>
      </c>
      <c r="I51" s="11">
        <f t="shared" ref="I51:M51" si="49">IF(MIN($C50:$G50)=C50,I50+1,I50)</f>
        <v>31</v>
      </c>
      <c r="J51" s="11">
        <f t="shared" si="49"/>
        <v>13</v>
      </c>
      <c r="K51" s="11">
        <f t="shared" si="49"/>
        <v>6</v>
      </c>
      <c r="L51" s="11">
        <f t="shared" si="49"/>
        <v>0</v>
      </c>
      <c r="M51" s="11">
        <f t="shared" si="49"/>
        <v>0</v>
      </c>
      <c r="O51" s="10">
        <f>'Optimal Choice'!$B$7*'Optimal Choice'!$B$8^(I51+1)</f>
        <v>34.861083193375038</v>
      </c>
      <c r="P51" s="10">
        <f>'Optimal Choice'!$B$12*'Optimal Choice'!$B$13^(J51+1)</f>
        <v>424.54234586933853</v>
      </c>
      <c r="Q51" s="10">
        <f>'Optimal Choice'!$B$17*'Optimal Choice'!$B$18^(K51+1)</f>
        <v>1801.633529726668</v>
      </c>
      <c r="R51" s="10">
        <f>'Optimal Choice'!$B$22*'Optimal Choice'!$B$23^(L51+1)</f>
        <v>9763.1999999999989</v>
      </c>
      <c r="S51" s="10">
        <f>'Optimal Choice'!$B$27*'Optimal Choice'!$B$28^(M51+1)</f>
        <v>116121.60000000001</v>
      </c>
    </row>
    <row r="52" spans="1:19" ht="15.75" customHeight="1">
      <c r="A52" s="8">
        <f t="shared" si="0"/>
        <v>0.71927416125213417</v>
      </c>
      <c r="B52" s="7">
        <f>(I52*'Optimal Choice'!$B$6+J52*'Optimal Choice'!$B$11+K52*'Optimal Choice'!$B$16+L52*'Optimal Choice'!$B$21+M52*'Optimal Choice'!$B$26)*'Optimal Choice'!$B$30</f>
        <v>853.44</v>
      </c>
      <c r="C52" s="8">
        <f>(O52/$B52)+(O52/'Optimal Choice'!$B$6)</f>
        <v>22.379850190613581</v>
      </c>
      <c r="D52" s="8">
        <f>(P52/$B52)+(P52/'Optimal Choice'!$B$11)</f>
        <v>21.724565673984991</v>
      </c>
      <c r="E52" s="8">
        <f>(Q52/$B52)+(Q52/'Optimal Choice'!$B$16)</f>
        <v>22.129175744767942</v>
      </c>
      <c r="F52" s="8">
        <f>(R52/$B52)+(R52/'Optimal Choice'!$B$21)</f>
        <v>38.559820022497185</v>
      </c>
      <c r="G52" s="8">
        <f>(S52/$B52)+(S52/'Optimal Choice'!$B$26)</f>
        <v>189.82299212598423</v>
      </c>
      <c r="I52" s="11">
        <f t="shared" ref="I52:M52" si="50">IF(MIN($C51:$G51)=C51,I51+1,I51)</f>
        <v>32</v>
      </c>
      <c r="J52" s="11">
        <f t="shared" si="50"/>
        <v>13</v>
      </c>
      <c r="K52" s="11">
        <f t="shared" si="50"/>
        <v>6</v>
      </c>
      <c r="L52" s="11">
        <f t="shared" si="50"/>
        <v>0</v>
      </c>
      <c r="M52" s="11">
        <f t="shared" si="50"/>
        <v>0</v>
      </c>
      <c r="O52" s="10">
        <f>'Optimal Choice'!$B$7*'Optimal Choice'!$B$8^(I52+1)</f>
        <v>37.301359016911292</v>
      </c>
      <c r="P52" s="10">
        <f>'Optimal Choice'!$B$12*'Optimal Choice'!$B$13^(J52+1)</f>
        <v>424.54234586933853</v>
      </c>
      <c r="Q52" s="10">
        <f>'Optimal Choice'!$B$17*'Optimal Choice'!$B$18^(K52+1)</f>
        <v>1801.633529726668</v>
      </c>
      <c r="R52" s="10">
        <f>'Optimal Choice'!$B$22*'Optimal Choice'!$B$23^(L52+1)</f>
        <v>9763.1999999999989</v>
      </c>
      <c r="S52" s="10">
        <f>'Optimal Choice'!$B$27*'Optimal Choice'!$B$28^(M52+1)</f>
        <v>116121.60000000001</v>
      </c>
    </row>
    <row r="53" spans="1:19" ht="15.75" customHeight="1">
      <c r="A53" s="8">
        <f t="shared" si="0"/>
        <v>0.72756496759410194</v>
      </c>
      <c r="B53" s="7">
        <f>(I53*'Optimal Choice'!$B$6+J53*'Optimal Choice'!$B$11+K53*'Optimal Choice'!$B$16+L53*'Optimal Choice'!$B$21+M53*'Optimal Choice'!$B$26)*'Optimal Choice'!$B$30</f>
        <v>873.44</v>
      </c>
      <c r="C53" s="8">
        <f>(O53/$B53)+(O53/'Optimal Choice'!$B$6)</f>
        <v>22.37884938765712</v>
      </c>
      <c r="D53" s="8">
        <f>(P53/$B53)+(P53/'Optimal Choice'!$B$11)</f>
        <v>24.970151385185417</v>
      </c>
      <c r="E53" s="8">
        <f>(Q53/$B53)+(Q53/'Optimal Choice'!$B$16)</f>
        <v>22.080837555207776</v>
      </c>
      <c r="F53" s="8">
        <f>(R53/$B53)+(R53/'Optimal Choice'!$B$21)</f>
        <v>38.297871405019229</v>
      </c>
      <c r="G53" s="8">
        <f>(S53/$B53)+(S53/'Optimal Choice'!$B$26)</f>
        <v>186.70742626854735</v>
      </c>
      <c r="I53" s="11">
        <f t="shared" ref="I53:M53" si="51">IF(MIN($C52:$G52)=C52,I52+1,I52)</f>
        <v>32</v>
      </c>
      <c r="J53" s="11">
        <f t="shared" si="51"/>
        <v>14</v>
      </c>
      <c r="K53" s="11">
        <f t="shared" si="51"/>
        <v>6</v>
      </c>
      <c r="L53" s="11">
        <f t="shared" si="51"/>
        <v>0</v>
      </c>
      <c r="M53" s="11">
        <f t="shared" si="51"/>
        <v>0</v>
      </c>
      <c r="O53" s="10">
        <f>'Optimal Choice'!$B$7*'Optimal Choice'!$B$8^(I53+1)</f>
        <v>37.301359016911292</v>
      </c>
      <c r="P53" s="10">
        <f>'Optimal Choice'!$B$12*'Optimal Choice'!$B$13^(J53+1)</f>
        <v>488.22369774973919</v>
      </c>
      <c r="Q53" s="10">
        <f>'Optimal Choice'!$B$17*'Optimal Choice'!$B$18^(K53+1)</f>
        <v>1801.633529726668</v>
      </c>
      <c r="R53" s="10">
        <f>'Optimal Choice'!$B$22*'Optimal Choice'!$B$23^(L53+1)</f>
        <v>9763.1999999999989</v>
      </c>
      <c r="S53" s="10">
        <f>'Optimal Choice'!$B$27*'Optimal Choice'!$B$28^(M53+1)</f>
        <v>116121.60000000001</v>
      </c>
    </row>
    <row r="54" spans="1:19" ht="15.75" customHeight="1">
      <c r="A54" s="8">
        <f t="shared" si="0"/>
        <v>0.761943088009293</v>
      </c>
      <c r="B54" s="7">
        <f>(I54*'Optimal Choice'!$B$6+J54*'Optimal Choice'!$B$11+K54*'Optimal Choice'!$B$16+L54*'Optimal Choice'!$B$21+M54*'Optimal Choice'!$B$26)*'Optimal Choice'!$B$30</f>
        <v>963.44</v>
      </c>
      <c r="C54" s="8">
        <f>(O54/$B54)+(O54/'Optimal Choice'!$B$6)</f>
        <v>22.374859970840056</v>
      </c>
      <c r="D54" s="8">
        <f>(P54/$B54)+(P54/'Optimal Choice'!$B$11)</f>
        <v>24.917935383366039</v>
      </c>
      <c r="E54" s="8">
        <f>(Q54/$B54)+(Q54/'Optimal Choice'!$B$16)</f>
        <v>24.952492239994164</v>
      </c>
      <c r="F54" s="8">
        <f>(R54/$B54)+(R54/'Optimal Choice'!$B$21)</f>
        <v>37.253687619363944</v>
      </c>
      <c r="G54" s="8">
        <f>(S54/$B54)+(S54/'Optimal Choice'!$B$26)</f>
        <v>174.2881076143818</v>
      </c>
      <c r="I54" s="11">
        <f t="shared" ref="I54:M54" si="52">IF(MIN($C53:$G53)=C53,I53+1,I53)</f>
        <v>32</v>
      </c>
      <c r="J54" s="11">
        <f t="shared" si="52"/>
        <v>14</v>
      </c>
      <c r="K54" s="11">
        <f t="shared" si="52"/>
        <v>7</v>
      </c>
      <c r="L54" s="11">
        <f t="shared" si="52"/>
        <v>0</v>
      </c>
      <c r="M54" s="11">
        <f t="shared" si="52"/>
        <v>0</v>
      </c>
      <c r="O54" s="10">
        <f>'Optimal Choice'!$B$7*'Optimal Choice'!$B$8^(I54+1)</f>
        <v>37.301359016911292</v>
      </c>
      <c r="P54" s="10">
        <f>'Optimal Choice'!$B$12*'Optimal Choice'!$B$13^(J54+1)</f>
        <v>488.22369774973919</v>
      </c>
      <c r="Q54" s="10">
        <f>'Optimal Choice'!$B$17*'Optimal Choice'!$B$18^(K54+1)</f>
        <v>2053.8622238884018</v>
      </c>
      <c r="R54" s="10">
        <f>'Optimal Choice'!$B$22*'Optimal Choice'!$B$23^(L54+1)</f>
        <v>9763.1999999999989</v>
      </c>
      <c r="S54" s="10">
        <f>'Optimal Choice'!$B$27*'Optimal Choice'!$B$28^(M54+1)</f>
        <v>116121.60000000001</v>
      </c>
    </row>
    <row r="55" spans="1:19" ht="15.75" customHeight="1">
      <c r="A55" s="8">
        <f t="shared" si="0"/>
        <v>0.76258836879164427</v>
      </c>
      <c r="B55" s="7">
        <f>(I55*'Optimal Choice'!$B$6+J55*'Optimal Choice'!$B$11+K55*'Optimal Choice'!$B$16+L55*'Optimal Choice'!$B$21+M55*'Optimal Choice'!$B$26)*'Optimal Choice'!$B$30</f>
        <v>965.11</v>
      </c>
      <c r="C55" s="8">
        <f>(O55/$B55)+(O55/'Optimal Choice'!$B$6)</f>
        <v>23.941028484603482</v>
      </c>
      <c r="D55" s="8">
        <f>(P55/$B55)+(P55/'Optimal Choice'!$B$11)</f>
        <v>24.917058516140418</v>
      </c>
      <c r="E55" s="8">
        <f>(Q55/$B55)+(Q55/'Optimal Choice'!$B$16)</f>
        <v>24.948803429970464</v>
      </c>
      <c r="F55" s="8">
        <f>(R55/$B55)+(R55/'Optimal Choice'!$B$21)</f>
        <v>37.236152562920282</v>
      </c>
      <c r="G55" s="8">
        <f>(S55/$B55)+(S55/'Optimal Choice'!$B$26)</f>
        <v>174.07954906694573</v>
      </c>
      <c r="I55" s="11">
        <f t="shared" ref="I55:M55" si="53">IF(MIN($C54:$G54)=C54,I54+1,I54)</f>
        <v>33</v>
      </c>
      <c r="J55" s="11">
        <f t="shared" si="53"/>
        <v>14</v>
      </c>
      <c r="K55" s="11">
        <f t="shared" si="53"/>
        <v>7</v>
      </c>
      <c r="L55" s="11">
        <f t="shared" si="53"/>
        <v>0</v>
      </c>
      <c r="M55" s="11">
        <f t="shared" si="53"/>
        <v>0</v>
      </c>
      <c r="O55" s="10">
        <f>'Optimal Choice'!$B$7*'Optimal Choice'!$B$8^(I55+1)</f>
        <v>39.91245414809508</v>
      </c>
      <c r="P55" s="10">
        <f>'Optimal Choice'!$B$12*'Optimal Choice'!$B$13^(J55+1)</f>
        <v>488.22369774973919</v>
      </c>
      <c r="Q55" s="10">
        <f>'Optimal Choice'!$B$17*'Optimal Choice'!$B$18^(K55+1)</f>
        <v>2053.8622238884018</v>
      </c>
      <c r="R55" s="10">
        <f>'Optimal Choice'!$B$22*'Optimal Choice'!$B$23^(L55+1)</f>
        <v>9763.1999999999989</v>
      </c>
      <c r="S55" s="10">
        <f>'Optimal Choice'!$B$27*'Optimal Choice'!$B$28^(M55+1)</f>
        <v>116121.60000000001</v>
      </c>
    </row>
    <row r="56" spans="1:19" ht="15.75" customHeight="1">
      <c r="A56" s="8">
        <f t="shared" si="0"/>
        <v>0.76327762449217051</v>
      </c>
      <c r="B56" s="7">
        <f>(I56*'Optimal Choice'!$B$6+J56*'Optimal Choice'!$B$11+K56*'Optimal Choice'!$B$16+L56*'Optimal Choice'!$B$21+M56*'Optimal Choice'!$B$26)*'Optimal Choice'!$B$30</f>
        <v>966.78</v>
      </c>
      <c r="C56" s="8">
        <f>(O56/$B56)+(O56/'Optimal Choice'!$B$6)</f>
        <v>25.61682404142455</v>
      </c>
      <c r="D56" s="8">
        <f>(P56/$B56)+(P56/'Optimal Choice'!$B$11)</f>
        <v>24.916184678287081</v>
      </c>
      <c r="E56" s="8">
        <f>(Q56/$B56)+(Q56/'Optimal Choice'!$B$16)</f>
        <v>24.945127363927277</v>
      </c>
      <c r="F56" s="8">
        <f>(R56/$B56)+(R56/'Optimal Choice'!$B$21)</f>
        <v>37.218678086017498</v>
      </c>
      <c r="G56" s="8">
        <f>(S56/$B56)+(S56/'Optimal Choice'!$B$26)</f>
        <v>173.87171104077453</v>
      </c>
      <c r="I56" s="11">
        <f t="shared" ref="I56:M56" si="54">IF(MIN($C55:$G55)=C55,I55+1,I55)</f>
        <v>34</v>
      </c>
      <c r="J56" s="11">
        <f t="shared" si="54"/>
        <v>14</v>
      </c>
      <c r="K56" s="11">
        <f t="shared" si="54"/>
        <v>7</v>
      </c>
      <c r="L56" s="11">
        <f t="shared" si="54"/>
        <v>0</v>
      </c>
      <c r="M56" s="11">
        <f t="shared" si="54"/>
        <v>0</v>
      </c>
      <c r="O56" s="10">
        <f>'Optimal Choice'!$B$7*'Optimal Choice'!$B$8^(I56+1)</f>
        <v>42.706325938461738</v>
      </c>
      <c r="P56" s="10">
        <f>'Optimal Choice'!$B$12*'Optimal Choice'!$B$13^(J56+1)</f>
        <v>488.22369774973919</v>
      </c>
      <c r="Q56" s="10">
        <f>'Optimal Choice'!$B$17*'Optimal Choice'!$B$18^(K56+1)</f>
        <v>2053.8622238884018</v>
      </c>
      <c r="R56" s="10">
        <f>'Optimal Choice'!$B$22*'Optimal Choice'!$B$23^(L56+1)</f>
        <v>9763.1999999999989</v>
      </c>
      <c r="S56" s="10">
        <f>'Optimal Choice'!$B$27*'Optimal Choice'!$B$28^(M56+1)</f>
        <v>116121.60000000001</v>
      </c>
    </row>
    <row r="57" spans="1:19" ht="15.75" customHeight="1">
      <c r="A57" s="8">
        <f t="shared" si="0"/>
        <v>0.77169428767217252</v>
      </c>
      <c r="B57" s="7">
        <f>(I57*'Optimal Choice'!$B$6+J57*'Optimal Choice'!$B$11+K57*'Optimal Choice'!$B$16+L57*'Optimal Choice'!$B$21+M57*'Optimal Choice'!$B$26)*'Optimal Choice'!$B$30</f>
        <v>986.78</v>
      </c>
      <c r="C57" s="8">
        <f>(O57/$B57)+(O57/'Optimal Choice'!$B$6)</f>
        <v>25.615928729827786</v>
      </c>
      <c r="D57" s="8">
        <f>(P57/$B57)+(P57/'Optimal Choice'!$B$11)</f>
        <v>28.641841777475967</v>
      </c>
      <c r="E57" s="8">
        <f>(Q57/$B57)+(Q57/'Optimal Choice'!$B$16)</f>
        <v>24.902069418136129</v>
      </c>
      <c r="F57" s="8">
        <f>(R57/$B57)+(R57/'Optimal Choice'!$B$21)</f>
        <v>37.013998662315814</v>
      </c>
      <c r="G57" s="8">
        <f>(S57/$B57)+(S57/'Optimal Choice'!$B$26)</f>
        <v>171.43729382435802</v>
      </c>
      <c r="I57" s="11">
        <f t="shared" ref="I57:M57" si="55">IF(MIN($C56:$G56)=C56,I56+1,I56)</f>
        <v>34</v>
      </c>
      <c r="J57" s="11">
        <f t="shared" si="55"/>
        <v>15</v>
      </c>
      <c r="K57" s="11">
        <f t="shared" si="55"/>
        <v>7</v>
      </c>
      <c r="L57" s="11">
        <f t="shared" si="55"/>
        <v>0</v>
      </c>
      <c r="M57" s="11">
        <f t="shared" si="55"/>
        <v>0</v>
      </c>
      <c r="O57" s="10">
        <f>'Optimal Choice'!$B$7*'Optimal Choice'!$B$8^(I57+1)</f>
        <v>42.706325938461738</v>
      </c>
      <c r="P57" s="10">
        <f>'Optimal Choice'!$B$12*'Optimal Choice'!$B$13^(J57+1)</f>
        <v>561.45725241219998</v>
      </c>
      <c r="Q57" s="10">
        <f>'Optimal Choice'!$B$17*'Optimal Choice'!$B$18^(K57+1)</f>
        <v>2053.8622238884018</v>
      </c>
      <c r="R57" s="10">
        <f>'Optimal Choice'!$B$22*'Optimal Choice'!$B$23^(L57+1)</f>
        <v>9763.1999999999989</v>
      </c>
      <c r="S57" s="10">
        <f>'Optimal Choice'!$B$27*'Optimal Choice'!$B$28^(M57+1)</f>
        <v>116121.60000000001</v>
      </c>
    </row>
    <row r="58" spans="1:19" ht="15.75" customHeight="1">
      <c r="A58" s="8">
        <f t="shared" si="0"/>
        <v>0.80638392169881135</v>
      </c>
      <c r="B58" s="7">
        <f>(I58*'Optimal Choice'!$B$6+J58*'Optimal Choice'!$B$11+K58*'Optimal Choice'!$B$16+L58*'Optimal Choice'!$B$21+M58*'Optimal Choice'!$B$26)*'Optimal Choice'!$B$30</f>
        <v>1076.78</v>
      </c>
      <c r="C58" s="8">
        <f>(O58/$B58)+(O58/'Optimal Choice'!$B$6)</f>
        <v>25.612311405903842</v>
      </c>
      <c r="D58" s="8">
        <f>(P58/$B58)+(P58/'Optimal Choice'!$B$11)</f>
        <v>28.594285058259473</v>
      </c>
      <c r="E58" s="8">
        <f>(Q58/$B58)+(Q58/'Optimal Choice'!$B$16)</f>
        <v>28.190036928733001</v>
      </c>
      <c r="F58" s="8">
        <f>(R58/$B58)+(R58/'Optimal Choice'!$B$21)</f>
        <v>36.187033191552587</v>
      </c>
      <c r="G58" s="8">
        <f>(S58/$B58)+(S58/'Optimal Choice'!$B$26)</f>
        <v>161.60152751722728</v>
      </c>
      <c r="I58" s="11">
        <f t="shared" ref="I58:M58" si="56">IF(MIN($C57:$G57)=C57,I57+1,I57)</f>
        <v>34</v>
      </c>
      <c r="J58" s="11">
        <f t="shared" si="56"/>
        <v>15</v>
      </c>
      <c r="K58" s="11">
        <f t="shared" si="56"/>
        <v>8</v>
      </c>
      <c r="L58" s="11">
        <f t="shared" si="56"/>
        <v>0</v>
      </c>
      <c r="M58" s="11">
        <f t="shared" si="56"/>
        <v>0</v>
      </c>
      <c r="O58" s="10">
        <f>'Optimal Choice'!$B$7*'Optimal Choice'!$B$8^(I58+1)</f>
        <v>42.706325938461738</v>
      </c>
      <c r="P58" s="10">
        <f>'Optimal Choice'!$B$12*'Optimal Choice'!$B$13^(J58+1)</f>
        <v>561.45725241219998</v>
      </c>
      <c r="Q58" s="10">
        <f>'Optimal Choice'!$B$17*'Optimal Choice'!$B$18^(K58+1)</f>
        <v>2341.402935232778</v>
      </c>
      <c r="R58" s="10">
        <f>'Optimal Choice'!$B$22*'Optimal Choice'!$B$23^(L58+1)</f>
        <v>9763.1999999999989</v>
      </c>
      <c r="S58" s="10">
        <f>'Optimal Choice'!$B$27*'Optimal Choice'!$B$28^(M58+1)</f>
        <v>116121.60000000001</v>
      </c>
    </row>
    <row r="59" spans="1:19" ht="15.75" customHeight="1">
      <c r="A59" s="8">
        <f t="shared" si="0"/>
        <v>0.80704494075467637</v>
      </c>
      <c r="B59" s="7">
        <f>(I59*'Optimal Choice'!$B$6+J59*'Optimal Choice'!$B$11+K59*'Optimal Choice'!$B$16+L59*'Optimal Choice'!$B$21+M59*'Optimal Choice'!$B$26)*'Optimal Choice'!$B$30</f>
        <v>1078.45</v>
      </c>
      <c r="C59" s="8">
        <f>(O59/$B59)+(O59/'Optimal Choice'!$B$6)</f>
        <v>27.405107489173101</v>
      </c>
      <c r="D59" s="8">
        <f>(P59/$B59)+(P59/'Optimal Choice'!$B$11)</f>
        <v>28.593477625860313</v>
      </c>
      <c r="E59" s="8">
        <f>(Q59/$B59)+(Q59/'Optimal Choice'!$B$16)</f>
        <v>28.186669754150653</v>
      </c>
      <c r="F59" s="8">
        <f>(R59/$B59)+(R59/'Optimal Choice'!$B$21)</f>
        <v>36.172992721034817</v>
      </c>
      <c r="G59" s="8">
        <f>(S59/$B59)+(S59/'Optimal Choice'!$B$26)</f>
        <v>161.43453289443181</v>
      </c>
      <c r="I59" s="11">
        <f t="shared" ref="I59:M59" si="57">IF(MIN($C58:$G58)=C58,I58+1,I58)</f>
        <v>35</v>
      </c>
      <c r="J59" s="11">
        <f t="shared" si="57"/>
        <v>15</v>
      </c>
      <c r="K59" s="11">
        <f t="shared" si="57"/>
        <v>8</v>
      </c>
      <c r="L59" s="11">
        <f t="shared" si="57"/>
        <v>0</v>
      </c>
      <c r="M59" s="11">
        <f t="shared" si="57"/>
        <v>0</v>
      </c>
      <c r="O59" s="10">
        <f>'Optimal Choice'!$B$7*'Optimal Choice'!$B$8^(I59+1)</f>
        <v>45.695768754154059</v>
      </c>
      <c r="P59" s="10">
        <f>'Optimal Choice'!$B$12*'Optimal Choice'!$B$13^(J59+1)</f>
        <v>561.45725241219998</v>
      </c>
      <c r="Q59" s="10">
        <f>'Optimal Choice'!$B$17*'Optimal Choice'!$B$18^(K59+1)</f>
        <v>2341.402935232778</v>
      </c>
      <c r="R59" s="10">
        <f>'Optimal Choice'!$B$22*'Optimal Choice'!$B$23^(L59+1)</f>
        <v>9763.1999999999989</v>
      </c>
      <c r="S59" s="10">
        <f>'Optimal Choice'!$B$27*'Optimal Choice'!$B$28^(M59+1)</f>
        <v>116121.60000000001</v>
      </c>
    </row>
    <row r="60" spans="1:19" ht="15.75" customHeight="1">
      <c r="A60" s="8">
        <f t="shared" si="0"/>
        <v>0.80775113589205183</v>
      </c>
      <c r="B60" s="7">
        <f>(I60*'Optimal Choice'!$B$6+J60*'Optimal Choice'!$B$11+K60*'Optimal Choice'!$B$16+L60*'Optimal Choice'!$B$21+M60*'Optimal Choice'!$B$26)*'Optimal Choice'!$B$30</f>
        <v>1080.1199999999999</v>
      </c>
      <c r="C60" s="8">
        <f>(O60/$B60)+(O60/'Optimal Choice'!$B$6)</f>
        <v>29.323394915643256</v>
      </c>
      <c r="D60" s="8">
        <f>(P60/$B60)+(P60/'Optimal Choice'!$B$11)</f>
        <v>28.592672690243187</v>
      </c>
      <c r="E60" s="8">
        <f>(Q60/$B60)+(Q60/'Optimal Choice'!$B$16)</f>
        <v>28.183312991710572</v>
      </c>
      <c r="F60" s="8">
        <f>(R60/$B60)+(R60/'Optimal Choice'!$B$21)</f>
        <v>36.158995667148091</v>
      </c>
      <c r="G60" s="8">
        <f>(S60/$B60)+(S60/'Optimal Choice'!$B$26)</f>
        <v>161.26805466059329</v>
      </c>
      <c r="I60" s="11">
        <f t="shared" ref="I60:M60" si="58">IF(MIN($C59:$G59)=C59,I59+1,I59)</f>
        <v>36</v>
      </c>
      <c r="J60" s="11">
        <f t="shared" si="58"/>
        <v>15</v>
      </c>
      <c r="K60" s="11">
        <f t="shared" si="58"/>
        <v>8</v>
      </c>
      <c r="L60" s="11">
        <f t="shared" si="58"/>
        <v>0</v>
      </c>
      <c r="M60" s="11">
        <f t="shared" si="58"/>
        <v>0</v>
      </c>
      <c r="O60" s="10">
        <f>'Optimal Choice'!$B$7*'Optimal Choice'!$B$8^(I60+1)</f>
        <v>48.894472566944849</v>
      </c>
      <c r="P60" s="10">
        <f>'Optimal Choice'!$B$12*'Optimal Choice'!$B$13^(J60+1)</f>
        <v>561.45725241219998</v>
      </c>
      <c r="Q60" s="10">
        <f>'Optimal Choice'!$B$17*'Optimal Choice'!$B$18^(K60+1)</f>
        <v>2341.402935232778</v>
      </c>
      <c r="R60" s="10">
        <f>'Optimal Choice'!$B$22*'Optimal Choice'!$B$23^(L60+1)</f>
        <v>9763.1999999999989</v>
      </c>
      <c r="S60" s="10">
        <f>'Optimal Choice'!$B$27*'Optimal Choice'!$B$28^(M60+1)</f>
        <v>116121.60000000001</v>
      </c>
    </row>
    <row r="61" spans="1:19" ht="15.75" customHeight="1">
      <c r="A61" s="8">
        <f t="shared" si="0"/>
        <v>0.84387988293300986</v>
      </c>
      <c r="B61" s="7">
        <f>(I61*'Optimal Choice'!$B$6+J61*'Optimal Choice'!$B$11+K61*'Optimal Choice'!$B$16+L61*'Optimal Choice'!$B$21+M61*'Optimal Choice'!$B$26)*'Optimal Choice'!$B$30</f>
        <v>1170.1199999999999</v>
      </c>
      <c r="C61" s="8">
        <f>(O61/$B61)+(O61/'Optimal Choice'!$B$6)</f>
        <v>29.319913147359422</v>
      </c>
      <c r="D61" s="8">
        <f>(P61/$B61)+(P61/'Optimal Choice'!$B$11)</f>
        <v>28.552691400916466</v>
      </c>
      <c r="E61" s="8">
        <f>(Q61/$B61)+(Q61/'Optimal Choice'!$B$16)</f>
        <v>31.938903513124028</v>
      </c>
      <c r="F61" s="8">
        <f>(R61/$B61)+(R61/'Optimal Choice'!$B$21)</f>
        <v>35.463759614398519</v>
      </c>
      <c r="G61" s="8">
        <f>(S61/$B61)+(S61/'Optimal Choice'!$B$26)</f>
        <v>152.99905240488158</v>
      </c>
      <c r="I61" s="11">
        <f t="shared" ref="I61:M61" si="59">IF(MIN($C60:$G60)=C60,I60+1,I60)</f>
        <v>36</v>
      </c>
      <c r="J61" s="11">
        <f t="shared" si="59"/>
        <v>15</v>
      </c>
      <c r="K61" s="11">
        <f t="shared" si="59"/>
        <v>9</v>
      </c>
      <c r="L61" s="11">
        <f t="shared" si="59"/>
        <v>0</v>
      </c>
      <c r="M61" s="11">
        <f t="shared" si="59"/>
        <v>0</v>
      </c>
      <c r="O61" s="10">
        <f>'Optimal Choice'!$B$7*'Optimal Choice'!$B$8^(I61+1)</f>
        <v>48.894472566944849</v>
      </c>
      <c r="P61" s="10">
        <f>'Optimal Choice'!$B$12*'Optimal Choice'!$B$13^(J61+1)</f>
        <v>561.45725241219998</v>
      </c>
      <c r="Q61" s="10">
        <f>'Optimal Choice'!$B$17*'Optimal Choice'!$B$18^(K61+1)</f>
        <v>2669.1993461653669</v>
      </c>
      <c r="R61" s="10">
        <f>'Optimal Choice'!$B$22*'Optimal Choice'!$B$23^(L61+1)</f>
        <v>9763.1999999999989</v>
      </c>
      <c r="S61" s="10">
        <f>'Optimal Choice'!$B$27*'Optimal Choice'!$B$28^(M61+1)</f>
        <v>116121.60000000001</v>
      </c>
    </row>
    <row r="62" spans="1:19" ht="15.75" customHeight="1">
      <c r="A62" s="8">
        <f t="shared" si="0"/>
        <v>0.85187702927145093</v>
      </c>
      <c r="B62" s="7">
        <f>(I62*'Optimal Choice'!$B$6+J62*'Optimal Choice'!$B$11+K62*'Optimal Choice'!$B$16+L62*'Optimal Choice'!$B$21+M62*'Optimal Choice'!$B$26)*'Optimal Choice'!$B$30</f>
        <v>1190.1199999999999</v>
      </c>
      <c r="C62" s="8">
        <f>(O62/$B62)+(O62/'Optimal Choice'!$B$6)</f>
        <v>29.31921093477979</v>
      </c>
      <c r="D62" s="8">
        <f>(P62/$B62)+(P62/'Optimal Choice'!$B$11)</f>
        <v>32.826322044516907</v>
      </c>
      <c r="E62" s="8">
        <f>(Q62/$B62)+(Q62/'Optimal Choice'!$B$16)</f>
        <v>31.900569009037458</v>
      </c>
      <c r="F62" s="8">
        <f>(R62/$B62)+(R62/'Optimal Choice'!$B$21)</f>
        <v>35.323542499915973</v>
      </c>
      <c r="G62" s="8">
        <f>(S62/$B62)+(S62/'Optimal Choice'!$B$26)</f>
        <v>151.33133734413337</v>
      </c>
      <c r="I62" s="11">
        <f t="shared" ref="I62:M62" si="60">IF(MIN($C61:$G61)=C61,I61+1,I61)</f>
        <v>36</v>
      </c>
      <c r="J62" s="11">
        <f t="shared" si="60"/>
        <v>16</v>
      </c>
      <c r="K62" s="11">
        <f t="shared" si="60"/>
        <v>9</v>
      </c>
      <c r="L62" s="11">
        <f t="shared" si="60"/>
        <v>0</v>
      </c>
      <c r="M62" s="11">
        <f t="shared" si="60"/>
        <v>0</v>
      </c>
      <c r="O62" s="10">
        <f>'Optimal Choice'!$B$7*'Optimal Choice'!$B$8^(I62+1)</f>
        <v>48.894472566944849</v>
      </c>
      <c r="P62" s="10">
        <f>'Optimal Choice'!$B$12*'Optimal Choice'!$B$13^(J62+1)</f>
        <v>645.67584027402995</v>
      </c>
      <c r="Q62" s="10">
        <f>'Optimal Choice'!$B$17*'Optimal Choice'!$B$18^(K62+1)</f>
        <v>2669.1993461653669</v>
      </c>
      <c r="R62" s="10">
        <f>'Optimal Choice'!$B$22*'Optimal Choice'!$B$23^(L62+1)</f>
        <v>9763.1999999999989</v>
      </c>
      <c r="S62" s="10">
        <f>'Optimal Choice'!$B$27*'Optimal Choice'!$B$28^(M62+1)</f>
        <v>116121.60000000001</v>
      </c>
    </row>
    <row r="63" spans="1:19" ht="15.75" customHeight="1">
      <c r="A63" s="8">
        <f t="shared" si="0"/>
        <v>0.85256175675785206</v>
      </c>
      <c r="B63" s="7">
        <f>(I63*'Optimal Choice'!$B$6+J63*'Optimal Choice'!$B$11+K63*'Optimal Choice'!$B$16+L63*'Optimal Choice'!$B$21+M63*'Optimal Choice'!$B$26)*'Optimal Choice'!$B$30</f>
        <v>1191.79</v>
      </c>
      <c r="C63" s="8">
        <f>(O63/$B63)+(O63/'Optimal Choice'!$B$6)</f>
        <v>31.371494101801289</v>
      </c>
      <c r="D63" s="8">
        <f>(P63/$B63)+(P63/'Optimal Choice'!$B$11)</f>
        <v>32.825561822370837</v>
      </c>
      <c r="E63" s="8">
        <f>(Q63/$B63)+(Q63/'Optimal Choice'!$B$16)</f>
        <v>31.897426279623325</v>
      </c>
      <c r="F63" s="8">
        <f>(R63/$B63)+(R63/'Optimal Choice'!$B$21)</f>
        <v>35.31204725664756</v>
      </c>
      <c r="G63" s="8">
        <f>(S63/$B63)+(S63/'Optimal Choice'!$B$26)</f>
        <v>151.19461515871086</v>
      </c>
      <c r="I63" s="11">
        <f t="shared" ref="I63:M63" si="61">IF(MIN($C62:$G62)=C62,I62+1,I62)</f>
        <v>37</v>
      </c>
      <c r="J63" s="11">
        <f t="shared" si="61"/>
        <v>16</v>
      </c>
      <c r="K63" s="11">
        <f t="shared" si="61"/>
        <v>9</v>
      </c>
      <c r="L63" s="11">
        <f t="shared" si="61"/>
        <v>0</v>
      </c>
      <c r="M63" s="11">
        <f t="shared" si="61"/>
        <v>0</v>
      </c>
      <c r="O63" s="10">
        <f>'Optimal Choice'!$B$7*'Optimal Choice'!$B$8^(I63+1)</f>
        <v>52.317085646630986</v>
      </c>
      <c r="P63" s="10">
        <f>'Optimal Choice'!$B$12*'Optimal Choice'!$B$13^(J63+1)</f>
        <v>645.67584027402995</v>
      </c>
      <c r="Q63" s="10">
        <f>'Optimal Choice'!$B$17*'Optimal Choice'!$B$18^(K63+1)</f>
        <v>2669.1993461653669</v>
      </c>
      <c r="R63" s="10">
        <f>'Optimal Choice'!$B$22*'Optimal Choice'!$B$23^(L63+1)</f>
        <v>9763.1999999999989</v>
      </c>
      <c r="S63" s="10">
        <f>'Optimal Choice'!$B$27*'Optimal Choice'!$B$28^(M63+1)</f>
        <v>116121.60000000001</v>
      </c>
    </row>
    <row r="64" spans="1:19" ht="15.75" customHeight="1">
      <c r="A64" s="8">
        <f t="shared" si="0"/>
        <v>0.85329338852808323</v>
      </c>
      <c r="B64" s="7">
        <f>(I64*'Optimal Choice'!$B$6+J64*'Optimal Choice'!$B$11+K64*'Optimal Choice'!$B$16+L64*'Optimal Choice'!$B$21+M64*'Optimal Choice'!$B$26)*'Optimal Choice'!$B$30</f>
        <v>1193.46</v>
      </c>
      <c r="C64" s="8">
        <f>(O64/$B64)+(O64/'Optimal Choice'!$B$6)</f>
        <v>33.567432963081004</v>
      </c>
      <c r="D64" s="8">
        <f>(P64/$B64)+(P64/'Optimal Choice'!$B$11)</f>
        <v>32.824803727771538</v>
      </c>
      <c r="E64" s="8">
        <f>(Q64/$B64)+(Q64/'Optimal Choice'!$B$16)</f>
        <v>31.894292345406555</v>
      </c>
      <c r="F64" s="8">
        <f>(R64/$B64)+(R64/'Optimal Choice'!$B$21)</f>
        <v>35.300584183801718</v>
      </c>
      <c r="G64" s="8">
        <f>(S64/$B64)+(S64/'Optimal Choice'!$B$26)</f>
        <v>151.05827560203107</v>
      </c>
      <c r="I64" s="11">
        <f t="shared" ref="I64:M64" si="62">IF(MIN($C63:$G63)=C63,I63+1,I63)</f>
        <v>38</v>
      </c>
      <c r="J64" s="11">
        <f t="shared" si="62"/>
        <v>16</v>
      </c>
      <c r="K64" s="11">
        <f t="shared" si="62"/>
        <v>9</v>
      </c>
      <c r="L64" s="11">
        <f t="shared" si="62"/>
        <v>0</v>
      </c>
      <c r="M64" s="11">
        <f t="shared" si="62"/>
        <v>0</v>
      </c>
      <c r="O64" s="10">
        <f>'Optimal Choice'!$B$7*'Optimal Choice'!$B$8^(I64+1)</f>
        <v>55.979281641895156</v>
      </c>
      <c r="P64" s="10">
        <f>'Optimal Choice'!$B$12*'Optimal Choice'!$B$13^(J64+1)</f>
        <v>645.67584027402995</v>
      </c>
      <c r="Q64" s="10">
        <f>'Optimal Choice'!$B$17*'Optimal Choice'!$B$18^(K64+1)</f>
        <v>2669.1993461653669</v>
      </c>
      <c r="R64" s="10">
        <f>'Optimal Choice'!$B$22*'Optimal Choice'!$B$23^(L64+1)</f>
        <v>9763.1999999999989</v>
      </c>
      <c r="S64" s="10">
        <f>'Optimal Choice'!$B$27*'Optimal Choice'!$B$28^(M64+1)</f>
        <v>116121.60000000001</v>
      </c>
    </row>
    <row r="65" spans="1:19" ht="15.75" customHeight="1">
      <c r="A65" s="8">
        <f t="shared" si="0"/>
        <v>0.89056875240238387</v>
      </c>
      <c r="B65" s="7">
        <f>(I65*'Optimal Choice'!$B$6+J65*'Optimal Choice'!$B$11+K65*'Optimal Choice'!$B$16+L65*'Optimal Choice'!$B$21+M65*'Optimal Choice'!$B$26)*'Optimal Choice'!$B$30</f>
        <v>1283.46</v>
      </c>
      <c r="C65" s="8">
        <f>(O65/$B65)+(O65/'Optimal Choice'!$B$6)</f>
        <v>33.564143843792344</v>
      </c>
      <c r="D65" s="8">
        <f>(P65/$B65)+(P65/'Optimal Choice'!$B$11)</f>
        <v>32.786866390989481</v>
      </c>
      <c r="E65" s="8">
        <f>(Q65/$B65)+(Q65/'Optimal Choice'!$B$16)</f>
        <v>36.180705356718768</v>
      </c>
      <c r="F65" s="8">
        <f>(R65/$B65)+(R65/'Optimal Choice'!$B$21)</f>
        <v>34.726937497078204</v>
      </c>
      <c r="G65" s="8">
        <f>(S65/$B65)+(S65/'Optimal Choice'!$B$26)</f>
        <v>144.23543359356739</v>
      </c>
      <c r="I65" s="11">
        <f t="shared" ref="I65:M65" si="63">IF(MIN($C64:$G64)=C64,I64+1,I64)</f>
        <v>38</v>
      </c>
      <c r="J65" s="11">
        <f t="shared" si="63"/>
        <v>16</v>
      </c>
      <c r="K65" s="11">
        <f t="shared" si="63"/>
        <v>10</v>
      </c>
      <c r="L65" s="11">
        <f t="shared" si="63"/>
        <v>0</v>
      </c>
      <c r="M65" s="11">
        <f t="shared" si="63"/>
        <v>0</v>
      </c>
      <c r="O65" s="10">
        <f>'Optimal Choice'!$B$7*'Optimal Choice'!$B$8^(I65+1)</f>
        <v>55.979281641895156</v>
      </c>
      <c r="P65" s="10">
        <f>'Optimal Choice'!$B$12*'Optimal Choice'!$B$13^(J65+1)</f>
        <v>645.67584027402995</v>
      </c>
      <c r="Q65" s="10">
        <f>'Optimal Choice'!$B$17*'Optimal Choice'!$B$18^(K65+1)</f>
        <v>3042.8872546285183</v>
      </c>
      <c r="R65" s="10">
        <f>'Optimal Choice'!$B$22*'Optimal Choice'!$B$23^(L65+1)</f>
        <v>9763.1999999999989</v>
      </c>
      <c r="S65" s="10">
        <f>'Optimal Choice'!$B$27*'Optimal Choice'!$B$28^(M65+1)</f>
        <v>116121.60000000001</v>
      </c>
    </row>
    <row r="66" spans="1:19" ht="15.75" customHeight="1">
      <c r="A66" s="8">
        <f t="shared" si="0"/>
        <v>0.89895332535718353</v>
      </c>
      <c r="B66" s="7">
        <f>(I66*'Optimal Choice'!$B$6+J66*'Optimal Choice'!$B$11+K66*'Optimal Choice'!$B$16+L66*'Optimal Choice'!$B$21+M66*'Optimal Choice'!$B$26)*'Optimal Choice'!$B$30</f>
        <v>1303.46</v>
      </c>
      <c r="C66" s="8">
        <f>(O66/$B66)+(O66/'Optimal Choice'!$B$6)</f>
        <v>33.563474610911953</v>
      </c>
      <c r="D66" s="8">
        <f>(P66/$B66)+(P66/'Optimal Choice'!$B$11)</f>
        <v>37.696019429227881</v>
      </c>
      <c r="E66" s="8">
        <f>(Q66/$B66)+(Q66/'Optimal Choice'!$B$16)</f>
        <v>36.144327608694937</v>
      </c>
      <c r="F66" s="8">
        <f>(R66/$B66)+(R66/'Optimal Choice'!$B$21)</f>
        <v>34.610218341951416</v>
      </c>
      <c r="G66" s="8">
        <f>(S66/$B66)+(S66/'Optimal Choice'!$B$26)</f>
        <v>142.84719868657265</v>
      </c>
      <c r="I66" s="11">
        <f t="shared" ref="I66:M66" si="64">IF(MIN($C65:$G65)=C65,I65+1,I65)</f>
        <v>38</v>
      </c>
      <c r="J66" s="11">
        <f t="shared" si="64"/>
        <v>17</v>
      </c>
      <c r="K66" s="11">
        <f t="shared" si="64"/>
        <v>10</v>
      </c>
      <c r="L66" s="11">
        <f t="shared" si="64"/>
        <v>0</v>
      </c>
      <c r="M66" s="11">
        <f t="shared" si="64"/>
        <v>0</v>
      </c>
      <c r="O66" s="10">
        <f>'Optimal Choice'!$B$7*'Optimal Choice'!$B$8^(I66+1)</f>
        <v>55.979281641895156</v>
      </c>
      <c r="P66" s="10">
        <f>'Optimal Choice'!$B$12*'Optimal Choice'!$B$13^(J66+1)</f>
        <v>742.5272163151343</v>
      </c>
      <c r="Q66" s="10">
        <f>'Optimal Choice'!$B$17*'Optimal Choice'!$B$18^(K66+1)</f>
        <v>3042.8872546285183</v>
      </c>
      <c r="R66" s="10">
        <f>'Optimal Choice'!$B$22*'Optimal Choice'!$B$23^(L66+1)</f>
        <v>9763.1999999999989</v>
      </c>
      <c r="S66" s="10">
        <f>'Optimal Choice'!$B$27*'Optimal Choice'!$B$28^(M66+1)</f>
        <v>116121.60000000001</v>
      </c>
    </row>
    <row r="67" spans="1:19" ht="15.75" customHeight="1">
      <c r="A67" s="8">
        <f t="shared" si="0"/>
        <v>0.8996691033844072</v>
      </c>
      <c r="B67" s="7">
        <f>(I67*'Optimal Choice'!$B$6+J67*'Optimal Choice'!$B$11+K67*'Optimal Choice'!$B$16+L67*'Optimal Choice'!$B$21+M67*'Optimal Choice'!$B$26)*'Optimal Choice'!$B$30</f>
        <v>1305.1300000000001</v>
      </c>
      <c r="C67" s="8">
        <f>(O67/$B67)+(O67/'Optimal Choice'!$B$6)</f>
        <v>35.912859033843276</v>
      </c>
      <c r="D67" s="8">
        <f>(P67/$B67)+(P67/'Optimal Choice'!$B$11)</f>
        <v>37.695290513422947</v>
      </c>
      <c r="E67" s="8">
        <f>(Q67/$B67)+(Q67/'Optimal Choice'!$B$16)</f>
        <v>36.141340501200688</v>
      </c>
      <c r="F67" s="8">
        <f>(R67/$B67)+(R67/'Optimal Choice'!$B$21)</f>
        <v>34.60063411307685</v>
      </c>
      <c r="G67" s="8">
        <f>(S67/$B67)+(S67/'Optimal Choice'!$B$26)</f>
        <v>142.73320573429467</v>
      </c>
      <c r="I67" s="11">
        <f t="shared" ref="I67:M67" si="65">IF(MIN($C66:$G66)=C66,I66+1,I66)</f>
        <v>39</v>
      </c>
      <c r="J67" s="11">
        <f t="shared" si="65"/>
        <v>17</v>
      </c>
      <c r="K67" s="11">
        <f t="shared" si="65"/>
        <v>10</v>
      </c>
      <c r="L67" s="11">
        <f t="shared" si="65"/>
        <v>0</v>
      </c>
      <c r="M67" s="11">
        <f t="shared" si="65"/>
        <v>0</v>
      </c>
      <c r="O67" s="10">
        <f>'Optimal Choice'!$B$7*'Optimal Choice'!$B$8^(I67+1)</f>
        <v>59.897831356827815</v>
      </c>
      <c r="P67" s="10">
        <f>'Optimal Choice'!$B$12*'Optimal Choice'!$B$13^(J67+1)</f>
        <v>742.5272163151343</v>
      </c>
      <c r="Q67" s="10">
        <f>'Optimal Choice'!$B$17*'Optimal Choice'!$B$18^(K67+1)</f>
        <v>3042.8872546285183</v>
      </c>
      <c r="R67" s="10">
        <f>'Optimal Choice'!$B$22*'Optimal Choice'!$B$23^(L67+1)</f>
        <v>9763.1999999999989</v>
      </c>
      <c r="S67" s="10">
        <f>'Optimal Choice'!$B$27*'Optimal Choice'!$B$28^(M67+1)</f>
        <v>116121.60000000001</v>
      </c>
    </row>
    <row r="68" spans="1:19" ht="15.75" customHeight="1">
      <c r="A68" s="8">
        <f t="shared" si="0"/>
        <v>1.0243463386023548</v>
      </c>
      <c r="B68" s="7">
        <f>(I68*'Optimal Choice'!$B$6+J68*'Optimal Choice'!$B$11+K68*'Optimal Choice'!$B$16+L68*'Optimal Choice'!$B$21+M68*'Optimal Choice'!$B$26)*'Optimal Choice'!$B$30</f>
        <v>1665.13</v>
      </c>
      <c r="C68" s="8">
        <f>(O68/$B68)+(O68/'Optimal Choice'!$B$6)</f>
        <v>35.902936749201544</v>
      </c>
      <c r="D68" s="8">
        <f>(P68/$B68)+(P68/'Optimal Choice'!$B$11)</f>
        <v>37.572288290677669</v>
      </c>
      <c r="E68" s="8">
        <f>(Q68/$B68)+(Q68/'Optimal Choice'!$B$16)</f>
        <v>35.637275616225836</v>
      </c>
      <c r="F68" s="8">
        <f>(R68/$B68)+(R68/'Optimal Choice'!$B$21)</f>
        <v>37.271158364812351</v>
      </c>
      <c r="G68" s="8">
        <f>(S68/$B68)+(S68/'Optimal Choice'!$B$26)</f>
        <v>123.49725775164703</v>
      </c>
      <c r="I68" s="11">
        <f t="shared" ref="I68:M68" si="66">IF(MIN($C67:$G67)=C67,I67+1,I67)</f>
        <v>39</v>
      </c>
      <c r="J68" s="11">
        <f t="shared" si="66"/>
        <v>17</v>
      </c>
      <c r="K68" s="11">
        <f t="shared" si="66"/>
        <v>10</v>
      </c>
      <c r="L68" s="11">
        <f t="shared" si="66"/>
        <v>1</v>
      </c>
      <c r="M68" s="11">
        <f t="shared" si="66"/>
        <v>0</v>
      </c>
      <c r="O68" s="10">
        <f>'Optimal Choice'!$B$7*'Optimal Choice'!$B$8^(I68+1)</f>
        <v>59.897831356827815</v>
      </c>
      <c r="P68" s="10">
        <f>'Optimal Choice'!$B$12*'Optimal Choice'!$B$13^(J68+1)</f>
        <v>742.5272163151343</v>
      </c>
      <c r="Q68" s="10">
        <f>'Optimal Choice'!$B$17*'Optimal Choice'!$B$18^(K68+1)</f>
        <v>3042.8872546285183</v>
      </c>
      <c r="R68" s="10">
        <f>'Optimal Choice'!$B$22*'Optimal Choice'!$B$23^(L68+1)</f>
        <v>11032.415999999997</v>
      </c>
      <c r="S68" s="10">
        <f>'Optimal Choice'!$B$27*'Optimal Choice'!$B$28^(M68+1)</f>
        <v>116121.60000000001</v>
      </c>
    </row>
    <row r="69" spans="1:19" ht="15.75" customHeight="1">
      <c r="A69" s="8">
        <f t="shared" si="0"/>
        <v>1.0548032924600967</v>
      </c>
      <c r="B69" s="7">
        <f>(I69*'Optimal Choice'!$B$6+J69*'Optimal Choice'!$B$11+K69*'Optimal Choice'!$B$16+L69*'Optimal Choice'!$B$21+M69*'Optimal Choice'!$B$26)*'Optimal Choice'!$B$30</f>
        <v>1755.13</v>
      </c>
      <c r="C69" s="8">
        <f>(O69/$B69)+(O69/'Optimal Choice'!$B$6)</f>
        <v>35.901092174817528</v>
      </c>
      <c r="D69" s="8">
        <f>(P69/$B69)+(P69/'Optimal Choice'!$B$11)</f>
        <v>37.54942190884676</v>
      </c>
      <c r="E69" s="8">
        <f>(Q69/$B69)+(Q69/'Optimal Choice'!$B$16)</f>
        <v>40.519668492750441</v>
      </c>
      <c r="F69" s="8">
        <f>(R69/$B69)+(R69/'Optimal Choice'!$B$21)</f>
        <v>36.931411307424511</v>
      </c>
      <c r="G69" s="8">
        <f>(S69/$B69)+(S69/'Optimal Choice'!$B$26)</f>
        <v>119.92125301259736</v>
      </c>
      <c r="I69" s="11">
        <f t="shared" ref="I69:M69" si="67">IF(MIN($C68:$G68)=C68,I68+1,I68)</f>
        <v>39</v>
      </c>
      <c r="J69" s="11">
        <f t="shared" si="67"/>
        <v>17</v>
      </c>
      <c r="K69" s="11">
        <f t="shared" si="67"/>
        <v>11</v>
      </c>
      <c r="L69" s="11">
        <f t="shared" si="67"/>
        <v>1</v>
      </c>
      <c r="M69" s="11">
        <f t="shared" si="67"/>
        <v>0</v>
      </c>
      <c r="O69" s="10">
        <f>'Optimal Choice'!$B$7*'Optimal Choice'!$B$8^(I69+1)</f>
        <v>59.897831356827815</v>
      </c>
      <c r="P69" s="10">
        <f>'Optimal Choice'!$B$12*'Optimal Choice'!$B$13^(J69+1)</f>
        <v>742.5272163151343</v>
      </c>
      <c r="Q69" s="10">
        <f>'Optimal Choice'!$B$17*'Optimal Choice'!$B$18^(K69+1)</f>
        <v>3468.8914702765101</v>
      </c>
      <c r="R69" s="10">
        <f>'Optimal Choice'!$B$22*'Optimal Choice'!$B$23^(L69+1)</f>
        <v>11032.415999999997</v>
      </c>
      <c r="S69" s="10">
        <f>'Optimal Choice'!$B$27*'Optimal Choice'!$B$28^(M69+1)</f>
        <v>116121.60000000001</v>
      </c>
    </row>
    <row r="70" spans="1:19" ht="15.75" customHeight="1">
      <c r="A70" s="8">
        <f t="shared" si="0"/>
        <v>1.0553720806349216</v>
      </c>
      <c r="B70" s="7">
        <f>(I70*'Optimal Choice'!$B$6+J70*'Optimal Choice'!$B$11+K70*'Optimal Choice'!$B$16+L70*'Optimal Choice'!$B$21+M70*'Optimal Choice'!$B$26)*'Optimal Choice'!$B$30</f>
        <v>1756.8</v>
      </c>
      <c r="C70" s="8">
        <f>(O70/$B70)+(O70/'Optimal Choice'!$B$6)</f>
        <v>38.414133915046911</v>
      </c>
      <c r="D70" s="8">
        <f>(P70/$B70)+(P70/'Optimal Choice'!$B$11)</f>
        <v>37.549019750362319</v>
      </c>
      <c r="E70" s="8">
        <f>(Q70/$B70)+(Q70/'Optimal Choice'!$B$16)</f>
        <v>40.517789714295304</v>
      </c>
      <c r="F70" s="8">
        <f>(R70/$B70)+(R70/'Optimal Choice'!$B$21)</f>
        <v>36.925436065573763</v>
      </c>
      <c r="G70" s="8">
        <f>(S70/$B70)+(S70/'Optimal Choice'!$B$26)</f>
        <v>119.85836065573771</v>
      </c>
      <c r="I70" s="11">
        <f t="shared" ref="I70:M70" si="68">IF(MIN($C69:$G69)=C69,I69+1,I69)</f>
        <v>40</v>
      </c>
      <c r="J70" s="11">
        <f t="shared" si="68"/>
        <v>17</v>
      </c>
      <c r="K70" s="11">
        <f t="shared" si="68"/>
        <v>11</v>
      </c>
      <c r="L70" s="11">
        <f t="shared" si="68"/>
        <v>1</v>
      </c>
      <c r="M70" s="11">
        <f t="shared" si="68"/>
        <v>0</v>
      </c>
      <c r="O70" s="10">
        <f>'Optimal Choice'!$B$7*'Optimal Choice'!$B$8^(I70+1)</f>
        <v>64.090679551805763</v>
      </c>
      <c r="P70" s="10">
        <f>'Optimal Choice'!$B$12*'Optimal Choice'!$B$13^(J70+1)</f>
        <v>742.5272163151343</v>
      </c>
      <c r="Q70" s="10">
        <f>'Optimal Choice'!$B$17*'Optimal Choice'!$B$18^(K70+1)</f>
        <v>3468.8914702765101</v>
      </c>
      <c r="R70" s="10">
        <f>'Optimal Choice'!$B$22*'Optimal Choice'!$B$23^(L70+1)</f>
        <v>11032.415999999997</v>
      </c>
      <c r="S70" s="10">
        <f>'Optimal Choice'!$B$27*'Optimal Choice'!$B$28^(M70+1)</f>
        <v>116121.60000000001</v>
      </c>
    </row>
    <row r="71" spans="1:19" ht="15.75" customHeight="1">
      <c r="A71" s="8">
        <f t="shared" si="0"/>
        <v>1.1600360150611511</v>
      </c>
      <c r="B71" s="7">
        <f>(I71*'Optimal Choice'!$B$6+J71*'Optimal Choice'!$B$11+K71*'Optimal Choice'!$B$16+L71*'Optimal Choice'!$B$21+M71*'Optimal Choice'!$B$26)*'Optimal Choice'!$B$30</f>
        <v>2116.8000000000002</v>
      </c>
      <c r="C71" s="8">
        <f>(O71/$B71)+(O71/'Optimal Choice'!$B$6)</f>
        <v>38.407929580214272</v>
      </c>
      <c r="D71" s="8">
        <f>(P71/$B71)+(P71/'Optimal Choice'!$B$11)</f>
        <v>37.477138979170888</v>
      </c>
      <c r="E71" s="8">
        <f>(Q71/$B71)+(Q71/'Optimal Choice'!$B$16)</f>
        <v>40.181981694623971</v>
      </c>
      <c r="F71" s="8">
        <f>(R71/$B71)+(R71/'Optimal Choice'!$B$21)</f>
        <v>40.518903510204069</v>
      </c>
      <c r="G71" s="8">
        <f>(S71/$B71)+(S71/'Optimal Choice'!$B$26)</f>
        <v>108.61714285714285</v>
      </c>
      <c r="I71" s="11">
        <f t="shared" ref="I71:M71" si="69">IF(MIN($C70:$G70)=C70,I70+1,I70)</f>
        <v>40</v>
      </c>
      <c r="J71" s="11">
        <f t="shared" si="69"/>
        <v>17</v>
      </c>
      <c r="K71" s="11">
        <f t="shared" si="69"/>
        <v>11</v>
      </c>
      <c r="L71" s="11">
        <f t="shared" si="69"/>
        <v>2</v>
      </c>
      <c r="M71" s="11">
        <f t="shared" si="69"/>
        <v>0</v>
      </c>
      <c r="O71" s="10">
        <f>'Optimal Choice'!$B$7*'Optimal Choice'!$B$8^(I71+1)</f>
        <v>64.090679551805763</v>
      </c>
      <c r="P71" s="10">
        <f>'Optimal Choice'!$B$12*'Optimal Choice'!$B$13^(J71+1)</f>
        <v>742.5272163151343</v>
      </c>
      <c r="Q71" s="10">
        <f>'Optimal Choice'!$B$17*'Optimal Choice'!$B$18^(K71+1)</f>
        <v>3468.8914702765101</v>
      </c>
      <c r="R71" s="10">
        <f>'Optimal Choice'!$B$22*'Optimal Choice'!$B$23^(L71+1)</f>
        <v>12466.630079999995</v>
      </c>
      <c r="S71" s="10">
        <f>'Optimal Choice'!$B$27*'Optimal Choice'!$B$28^(M71+1)</f>
        <v>116121.60000000001</v>
      </c>
    </row>
    <row r="72" spans="1:19" ht="15.75" customHeight="1">
      <c r="A72" s="8">
        <f t="shared" si="0"/>
        <v>1.1658823177847206</v>
      </c>
      <c r="B72" s="7">
        <f>(I72*'Optimal Choice'!$B$6+J72*'Optimal Choice'!$B$11+K72*'Optimal Choice'!$B$16+L72*'Optimal Choice'!$B$21+M72*'Optimal Choice'!$B$26)*'Optimal Choice'!$B$30</f>
        <v>2136.8000000000002</v>
      </c>
      <c r="C72" s="8">
        <f>(O72/$B72)+(O72/'Optimal Choice'!$B$6)</f>
        <v>38.407646192400875</v>
      </c>
      <c r="D72" s="8">
        <f>(P72/$B72)+(P72/'Optimal Choice'!$B$11)</f>
        <v>43.094934134471025</v>
      </c>
      <c r="E72" s="8">
        <f>(Q72/$B72)+(Q72/'Optimal Choice'!$B$16)</f>
        <v>40.166643402448798</v>
      </c>
      <c r="F72" s="8">
        <f>(R72/$B72)+(R72/'Optimal Choice'!$B$21)</f>
        <v>40.463780190190924</v>
      </c>
      <c r="G72" s="8">
        <f>(S72/$B72)+(S72/'Optimal Choice'!$B$26)</f>
        <v>108.10369150131038</v>
      </c>
      <c r="I72" s="11">
        <f t="shared" ref="I72:M72" si="70">IF(MIN($C71:$G71)=C71,I71+1,I71)</f>
        <v>40</v>
      </c>
      <c r="J72" s="11">
        <f t="shared" si="70"/>
        <v>18</v>
      </c>
      <c r="K72" s="11">
        <f t="shared" si="70"/>
        <v>11</v>
      </c>
      <c r="L72" s="11">
        <f t="shared" si="70"/>
        <v>2</v>
      </c>
      <c r="M72" s="11">
        <f t="shared" si="70"/>
        <v>0</v>
      </c>
      <c r="O72" s="10">
        <f>'Optimal Choice'!$B$7*'Optimal Choice'!$B$8^(I72+1)</f>
        <v>64.090679551805763</v>
      </c>
      <c r="P72" s="10">
        <f>'Optimal Choice'!$B$12*'Optimal Choice'!$B$13^(J72+1)</f>
        <v>853.90629876240439</v>
      </c>
      <c r="Q72" s="10">
        <f>'Optimal Choice'!$B$17*'Optimal Choice'!$B$18^(K72+1)</f>
        <v>3468.8914702765101</v>
      </c>
      <c r="R72" s="10">
        <f>'Optimal Choice'!$B$22*'Optimal Choice'!$B$23^(L72+1)</f>
        <v>12466.630079999995</v>
      </c>
      <c r="S72" s="10">
        <f>'Optimal Choice'!$B$27*'Optimal Choice'!$B$28^(M72+1)</f>
        <v>116121.60000000001</v>
      </c>
    </row>
    <row r="73" spans="1:19" ht="15.75" customHeight="1">
      <c r="A73" s="8">
        <f t="shared" si="0"/>
        <v>1.1663822138875519</v>
      </c>
      <c r="B73" s="7">
        <f>(I73*'Optimal Choice'!$B$6+J73*'Optimal Choice'!$B$11+K73*'Optimal Choice'!$B$16+L73*'Optimal Choice'!$B$21+M73*'Optimal Choice'!$B$26)*'Optimal Choice'!$B$30</f>
        <v>2138.4700000000003</v>
      </c>
      <c r="C73" s="8">
        <f>(O73/$B73)+(O73/'Optimal Choice'!$B$6)</f>
        <v>41.096156363155522</v>
      </c>
      <c r="D73" s="8">
        <f>(P73/$B73)+(P73/'Optimal Choice'!$B$11)</f>
        <v>43.094622058988129</v>
      </c>
      <c r="E73" s="8">
        <f>(Q73/$B73)+(Q73/'Optimal Choice'!$B$16)</f>
        <v>40.165375633394667</v>
      </c>
      <c r="F73" s="8">
        <f>(R73/$B73)+(R73/'Optimal Choice'!$B$21)</f>
        <v>40.459224035015673</v>
      </c>
      <c r="G73" s="8">
        <f>(S73/$B73)+(S73/'Optimal Choice'!$B$26)</f>
        <v>108.06125276482719</v>
      </c>
      <c r="I73" s="11">
        <f t="shared" ref="I73:M73" si="71">IF(MIN($C72:$G72)=C72,I72+1,I72)</f>
        <v>41</v>
      </c>
      <c r="J73" s="11">
        <f t="shared" si="71"/>
        <v>18</v>
      </c>
      <c r="K73" s="11">
        <f t="shared" si="71"/>
        <v>11</v>
      </c>
      <c r="L73" s="11">
        <f t="shared" si="71"/>
        <v>2</v>
      </c>
      <c r="M73" s="11">
        <f t="shared" si="71"/>
        <v>0</v>
      </c>
      <c r="O73" s="10">
        <f>'Optimal Choice'!$B$7*'Optimal Choice'!$B$8^(I73+1)</f>
        <v>68.577027120432163</v>
      </c>
      <c r="P73" s="10">
        <f>'Optimal Choice'!$B$12*'Optimal Choice'!$B$13^(J73+1)</f>
        <v>853.90629876240439</v>
      </c>
      <c r="Q73" s="10">
        <f>'Optimal Choice'!$B$17*'Optimal Choice'!$B$18^(K73+1)</f>
        <v>3468.8914702765101</v>
      </c>
      <c r="R73" s="10">
        <f>'Optimal Choice'!$B$22*'Optimal Choice'!$B$23^(L73+1)</f>
        <v>12466.630079999995</v>
      </c>
      <c r="S73" s="10">
        <f>'Optimal Choice'!$B$27*'Optimal Choice'!$B$28^(M73+1)</f>
        <v>116121.60000000001</v>
      </c>
    </row>
    <row r="74" spans="1:19" ht="15.75" customHeight="1">
      <c r="A74" s="8">
        <f t="shared" si="0"/>
        <v>1.1934178318003315</v>
      </c>
      <c r="B74" s="7">
        <f>(I74*'Optimal Choice'!$B$6+J74*'Optimal Choice'!$B$11+K74*'Optimal Choice'!$B$16+L74*'Optimal Choice'!$B$21+M74*'Optimal Choice'!$B$26)*'Optimal Choice'!$B$30</f>
        <v>2228.4700000000003</v>
      </c>
      <c r="C74" s="8">
        <f>(O74/$B74)+(O74/'Optimal Choice'!$B$6)</f>
        <v>41.094861239578378</v>
      </c>
      <c r="D74" s="8">
        <f>(P74/$B74)+(P74/'Optimal Choice'!$B$11)</f>
        <v>43.078495460524564</v>
      </c>
      <c r="E74" s="8">
        <f>(Q74/$B74)+(Q74/'Optimal Choice'!$B$16)</f>
        <v>45.713844127659371</v>
      </c>
      <c r="F74" s="8">
        <f>(R74/$B74)+(R74/'Optimal Choice'!$B$21)</f>
        <v>40.223783287259849</v>
      </c>
      <c r="G74" s="8">
        <f>(S74/$B74)+(S74/'Optimal Choice'!$B$26)</f>
        <v>105.86821774580767</v>
      </c>
      <c r="I74" s="11">
        <f t="shared" ref="I74:M74" si="72">IF(MIN($C73:$G73)=C73,I73+1,I73)</f>
        <v>41</v>
      </c>
      <c r="J74" s="11">
        <f t="shared" si="72"/>
        <v>18</v>
      </c>
      <c r="K74" s="11">
        <f t="shared" si="72"/>
        <v>12</v>
      </c>
      <c r="L74" s="11">
        <f t="shared" si="72"/>
        <v>2</v>
      </c>
      <c r="M74" s="11">
        <f t="shared" si="72"/>
        <v>0</v>
      </c>
      <c r="O74" s="10">
        <f>'Optimal Choice'!$B$7*'Optimal Choice'!$B$8^(I74+1)</f>
        <v>68.577027120432163</v>
      </c>
      <c r="P74" s="10">
        <f>'Optimal Choice'!$B$12*'Optimal Choice'!$B$13^(J74+1)</f>
        <v>853.90629876240439</v>
      </c>
      <c r="Q74" s="10">
        <f>'Optimal Choice'!$B$17*'Optimal Choice'!$B$18^(K74+1)</f>
        <v>3954.5362761152214</v>
      </c>
      <c r="R74" s="10">
        <f>'Optimal Choice'!$B$22*'Optimal Choice'!$B$23^(L74+1)</f>
        <v>12466.630079999995</v>
      </c>
      <c r="S74" s="10">
        <f>'Optimal Choice'!$B$27*'Optimal Choice'!$B$28^(M74+1)</f>
        <v>116121.60000000001</v>
      </c>
    </row>
    <row r="75" spans="1:19" ht="15.75" customHeight="1">
      <c r="A75" s="8">
        <f t="shared" si="0"/>
        <v>1.2866554199213291</v>
      </c>
      <c r="B75" s="7">
        <f>(I75*'Optimal Choice'!$B$6+J75*'Optimal Choice'!$B$11+K75*'Optimal Choice'!$B$16+L75*'Optimal Choice'!$B$21+M75*'Optimal Choice'!$B$26)*'Optimal Choice'!$B$30</f>
        <v>2588.4700000000003</v>
      </c>
      <c r="C75" s="8">
        <f>(O75/$B75)+(O75/'Optimal Choice'!$B$6)</f>
        <v>41.090581363178792</v>
      </c>
      <c r="D75" s="8">
        <f>(P75/$B75)+(P75/'Optimal Choice'!$B$11)</f>
        <v>43.025203365941444</v>
      </c>
      <c r="E75" s="8">
        <f>(Q75/$B75)+(Q75/'Optimal Choice'!$B$16)</f>
        <v>45.467042433416644</v>
      </c>
      <c r="F75" s="8">
        <f>(R75/$B75)+(R75/'Optimal Choice'!$B$21)</f>
        <v>44.573690480106293</v>
      </c>
      <c r="G75" s="8">
        <f>(S75/$B75)+(S75/'Optimal Choice'!$B$26)</f>
        <v>98.621095550653479</v>
      </c>
      <c r="I75" s="11">
        <f t="shared" ref="I75:M75" si="73">IF(MIN($C74:$G74)=C74,I74+1,I74)</f>
        <v>41</v>
      </c>
      <c r="J75" s="11">
        <f t="shared" si="73"/>
        <v>18</v>
      </c>
      <c r="K75" s="11">
        <f t="shared" si="73"/>
        <v>12</v>
      </c>
      <c r="L75" s="11">
        <f t="shared" si="73"/>
        <v>3</v>
      </c>
      <c r="M75" s="11">
        <f t="shared" si="73"/>
        <v>0</v>
      </c>
      <c r="O75" s="10">
        <f>'Optimal Choice'!$B$7*'Optimal Choice'!$B$8^(I75+1)</f>
        <v>68.577027120432163</v>
      </c>
      <c r="P75" s="10">
        <f>'Optimal Choice'!$B$12*'Optimal Choice'!$B$13^(J75+1)</f>
        <v>853.90629876240439</v>
      </c>
      <c r="Q75" s="10">
        <f>'Optimal Choice'!$B$17*'Optimal Choice'!$B$18^(K75+1)</f>
        <v>3954.5362761152214</v>
      </c>
      <c r="R75" s="10">
        <f>'Optimal Choice'!$B$22*'Optimal Choice'!$B$23^(L75+1)</f>
        <v>14087.291990399994</v>
      </c>
      <c r="S75" s="10">
        <f>'Optimal Choice'!$B$27*'Optimal Choice'!$B$28^(M75+1)</f>
        <v>116121.60000000001</v>
      </c>
    </row>
    <row r="76" spans="1:19" ht="15.75" customHeight="1">
      <c r="A76" s="8">
        <f t="shared" si="0"/>
        <v>1.2870969743731895</v>
      </c>
      <c r="B76" s="7">
        <f>(I76*'Optimal Choice'!$B$6+J76*'Optimal Choice'!$B$11+K76*'Optimal Choice'!$B$16+L76*'Optimal Choice'!$B$21+M76*'Optimal Choice'!$B$26)*'Optimal Choice'!$B$30</f>
        <v>2590.14</v>
      </c>
      <c r="C76" s="8">
        <f>(O76/$B76)+(O76/'Optimal Choice'!$B$6)</f>
        <v>43.966903781280784</v>
      </c>
      <c r="D76" s="8">
        <f>(P76/$B76)+(P76/'Optimal Choice'!$B$11)</f>
        <v>43.02499066945613</v>
      </c>
      <c r="E76" s="8">
        <f>(Q76/$B76)+(Q76/'Optimal Choice'!$B$16)</f>
        <v>45.466057412029421</v>
      </c>
      <c r="F76" s="8">
        <f>(R76/$B76)+(R76/'Optimal Choice'!$B$21)</f>
        <v>44.570181526608422</v>
      </c>
      <c r="G76" s="8">
        <f>(S76/$B76)+(S76/'Optimal Choice'!$B$26)</f>
        <v>98.592171233987358</v>
      </c>
      <c r="I76" s="11">
        <f t="shared" ref="I76:M76" si="74">IF(MIN($C75:$G75)=C75,I75+1,I75)</f>
        <v>42</v>
      </c>
      <c r="J76" s="11">
        <f t="shared" si="74"/>
        <v>18</v>
      </c>
      <c r="K76" s="11">
        <f t="shared" si="74"/>
        <v>12</v>
      </c>
      <c r="L76" s="11">
        <f t="shared" si="74"/>
        <v>3</v>
      </c>
      <c r="M76" s="11">
        <f t="shared" si="74"/>
        <v>0</v>
      </c>
      <c r="O76" s="10">
        <f>'Optimal Choice'!$B$7*'Optimal Choice'!$B$8^(I76+1)</f>
        <v>73.377419018862426</v>
      </c>
      <c r="P76" s="10">
        <f>'Optimal Choice'!$B$12*'Optimal Choice'!$B$13^(J76+1)</f>
        <v>853.90629876240439</v>
      </c>
      <c r="Q76" s="10">
        <f>'Optimal Choice'!$B$17*'Optimal Choice'!$B$18^(K76+1)</f>
        <v>3954.5362761152214</v>
      </c>
      <c r="R76" s="10">
        <f>'Optimal Choice'!$B$22*'Optimal Choice'!$B$23^(L76+1)</f>
        <v>14087.291990399994</v>
      </c>
      <c r="S76" s="10">
        <f>'Optimal Choice'!$B$27*'Optimal Choice'!$B$28^(M76+1)</f>
        <v>116121.60000000001</v>
      </c>
    </row>
    <row r="77" spans="1:19" ht="15.75" customHeight="1">
      <c r="A77" s="8">
        <f t="shared" si="0"/>
        <v>1.2925915698954547</v>
      </c>
      <c r="B77" s="7">
        <f>(I77*'Optimal Choice'!$B$6+J77*'Optimal Choice'!$B$11+K77*'Optimal Choice'!$B$16+L77*'Optimal Choice'!$B$21+M77*'Optimal Choice'!$B$26)*'Optimal Choice'!$B$30</f>
        <v>2610.14</v>
      </c>
      <c r="C77" s="8">
        <f>(O77/$B77)+(O77/'Optimal Choice'!$B$6)</f>
        <v>43.966686708491672</v>
      </c>
      <c r="D77" s="8">
        <f>(P77/$B77)+(P77/'Optimal Choice'!$B$11)</f>
        <v>49.475834237262994</v>
      </c>
      <c r="E77" s="8">
        <f>(Q77/$B77)+(Q77/'Optimal Choice'!$B$16)</f>
        <v>45.454358687400145</v>
      </c>
      <c r="F77" s="8">
        <f>(R77/$B77)+(R77/'Optimal Choice'!$B$21)</f>
        <v>44.528507019596475</v>
      </c>
      <c r="G77" s="8">
        <f>(S77/$B77)+(S77/'Optimal Choice'!$B$26)</f>
        <v>98.24864811849173</v>
      </c>
      <c r="I77" s="11">
        <f t="shared" ref="I77:M77" si="75">IF(MIN($C76:$G76)=C76,I76+1,I76)</f>
        <v>42</v>
      </c>
      <c r="J77" s="11">
        <f t="shared" si="75"/>
        <v>19</v>
      </c>
      <c r="K77" s="11">
        <f t="shared" si="75"/>
        <v>12</v>
      </c>
      <c r="L77" s="11">
        <f t="shared" si="75"/>
        <v>3</v>
      </c>
      <c r="M77" s="11">
        <f t="shared" si="75"/>
        <v>0</v>
      </c>
      <c r="O77" s="10">
        <f>'Optimal Choice'!$B$7*'Optimal Choice'!$B$8^(I77+1)</f>
        <v>73.377419018862426</v>
      </c>
      <c r="P77" s="10">
        <f>'Optimal Choice'!$B$12*'Optimal Choice'!$B$13^(J77+1)</f>
        <v>981.99224357676496</v>
      </c>
      <c r="Q77" s="10">
        <f>'Optimal Choice'!$B$17*'Optimal Choice'!$B$18^(K77+1)</f>
        <v>3954.5362761152214</v>
      </c>
      <c r="R77" s="10">
        <f>'Optimal Choice'!$B$22*'Optimal Choice'!$B$23^(L77+1)</f>
        <v>14087.291990399994</v>
      </c>
      <c r="S77" s="10">
        <f>'Optimal Choice'!$B$27*'Optimal Choice'!$B$28^(M77+1)</f>
        <v>116121.60000000001</v>
      </c>
    </row>
    <row r="78" spans="1:19" ht="15.75" customHeight="1">
      <c r="A78" s="8">
        <f t="shared" si="0"/>
        <v>1.2930601106571178</v>
      </c>
      <c r="B78" s="7">
        <f>(I78*'Optimal Choice'!$B$6+J78*'Optimal Choice'!$B$11+K78*'Optimal Choice'!$B$16+L78*'Optimal Choice'!$B$21+M78*'Optimal Choice'!$B$26)*'Optimal Choice'!$B$30</f>
        <v>2611.81</v>
      </c>
      <c r="C78" s="8">
        <f>(O78/$B78)+(O78/'Optimal Choice'!$B$6)</f>
        <v>47.044335544631416</v>
      </c>
      <c r="D78" s="8">
        <f>(P78/$B78)+(P78/'Optimal Choice'!$B$11)</f>
        <v>49.47559367962765</v>
      </c>
      <c r="E78" s="8">
        <f>(Q78/$B78)+(Q78/'Optimal Choice'!$B$16)</f>
        <v>45.453389948694017</v>
      </c>
      <c r="F78" s="8">
        <f>(R78/$B78)+(R78/'Optimal Choice'!$B$21)</f>
        <v>44.525056070088695</v>
      </c>
      <c r="G78" s="8">
        <f>(S78/$B78)+(S78/'Optimal Choice'!$B$26)</f>
        <v>98.220201928930521</v>
      </c>
      <c r="I78" s="11">
        <f t="shared" ref="I78:M78" si="76">IF(MIN($C77:$G77)=C77,I77+1,I77)</f>
        <v>43</v>
      </c>
      <c r="J78" s="11">
        <f t="shared" si="76"/>
        <v>19</v>
      </c>
      <c r="K78" s="11">
        <f t="shared" si="76"/>
        <v>12</v>
      </c>
      <c r="L78" s="11">
        <f t="shared" si="76"/>
        <v>3</v>
      </c>
      <c r="M78" s="11">
        <f t="shared" si="76"/>
        <v>0</v>
      </c>
      <c r="O78" s="10">
        <f>'Optimal Choice'!$B$7*'Optimal Choice'!$B$8^(I78+1)</f>
        <v>78.51383835018278</v>
      </c>
      <c r="P78" s="10">
        <f>'Optimal Choice'!$B$12*'Optimal Choice'!$B$13^(J78+1)</f>
        <v>981.99224357676496</v>
      </c>
      <c r="Q78" s="10">
        <f>'Optimal Choice'!$B$17*'Optimal Choice'!$B$18^(K78+1)</f>
        <v>3954.5362761152214</v>
      </c>
      <c r="R78" s="10">
        <f>'Optimal Choice'!$B$22*'Optimal Choice'!$B$23^(L78+1)</f>
        <v>14087.291990399994</v>
      </c>
      <c r="S78" s="10">
        <f>'Optimal Choice'!$B$27*'Optimal Choice'!$B$28^(M78+1)</f>
        <v>116121.60000000001</v>
      </c>
    </row>
    <row r="79" spans="1:19" ht="15.75" customHeight="1">
      <c r="A79" s="8">
        <f t="shared" si="0"/>
        <v>1.3829549344919296</v>
      </c>
      <c r="B79" s="7">
        <f>(I79*'Optimal Choice'!$B$6+J79*'Optimal Choice'!$B$11+K79*'Optimal Choice'!$B$16+L79*'Optimal Choice'!$B$21+M79*'Optimal Choice'!$B$26)*'Optimal Choice'!$B$30</f>
        <v>2971.81</v>
      </c>
      <c r="C79" s="8">
        <f>(O79/$B79)+(O79/'Optimal Choice'!$B$6)</f>
        <v>47.040693996201377</v>
      </c>
      <c r="D79" s="8">
        <f>(P79/$B79)+(P79/'Optimal Choice'!$B$11)</f>
        <v>49.430047921223114</v>
      </c>
      <c r="E79" s="8">
        <f>(Q79/$B79)+(Q79/'Optimal Choice'!$B$16)</f>
        <v>45.269974697695815</v>
      </c>
      <c r="F79" s="8">
        <f>(R79/$B79)+(R79/'Optimal Choice'!$B$21)</f>
        <v>49.574991306256024</v>
      </c>
      <c r="G79" s="8">
        <f>(S79/$B79)+(S79/'Optimal Choice'!$B$26)</f>
        <v>92.834368819002577</v>
      </c>
      <c r="I79" s="11">
        <f t="shared" ref="I79:M79" si="77">IF(MIN($C78:$G78)=C78,I78+1,I78)</f>
        <v>43</v>
      </c>
      <c r="J79" s="11">
        <f t="shared" si="77"/>
        <v>19</v>
      </c>
      <c r="K79" s="11">
        <f t="shared" si="77"/>
        <v>12</v>
      </c>
      <c r="L79" s="11">
        <f t="shared" si="77"/>
        <v>4</v>
      </c>
      <c r="M79" s="11">
        <f t="shared" si="77"/>
        <v>0</v>
      </c>
      <c r="O79" s="10">
        <f>'Optimal Choice'!$B$7*'Optimal Choice'!$B$8^(I79+1)</f>
        <v>78.51383835018278</v>
      </c>
      <c r="P79" s="10">
        <f>'Optimal Choice'!$B$12*'Optimal Choice'!$B$13^(J79+1)</f>
        <v>981.99224357676496</v>
      </c>
      <c r="Q79" s="10">
        <f>'Optimal Choice'!$B$17*'Optimal Choice'!$B$18^(K79+1)</f>
        <v>3954.5362761152214</v>
      </c>
      <c r="R79" s="10">
        <f>'Optimal Choice'!$B$22*'Optimal Choice'!$B$23^(L79+1)</f>
        <v>15918.63994915199</v>
      </c>
      <c r="S79" s="10">
        <f>'Optimal Choice'!$B$27*'Optimal Choice'!$B$28^(M79+1)</f>
        <v>116121.60000000001</v>
      </c>
    </row>
    <row r="80" spans="1:19" ht="15.75" customHeight="1">
      <c r="A80" s="8">
        <f t="shared" si="0"/>
        <v>1.40513298017293</v>
      </c>
      <c r="B80" s="7">
        <f>(I80*'Optimal Choice'!$B$6+J80*'Optimal Choice'!$B$11+K80*'Optimal Choice'!$B$16+L80*'Optimal Choice'!$B$21+M80*'Optimal Choice'!$B$26)*'Optimal Choice'!$B$30</f>
        <v>3061.81</v>
      </c>
      <c r="C80" s="8">
        <f>(O80/$B80)+(O80/'Optimal Choice'!$B$6)</f>
        <v>47.039917410406936</v>
      </c>
      <c r="D80" s="8">
        <f>(P80/$B80)+(P80/'Optimal Choice'!$B$11)</f>
        <v>49.420334968161157</v>
      </c>
      <c r="E80" s="8">
        <f>(Q80/$B80)+(Q80/'Optimal Choice'!$B$16)</f>
        <v>51.563180521332491</v>
      </c>
      <c r="F80" s="8">
        <f>(R80/$B80)+(R80/'Optimal Choice'!$B$21)</f>
        <v>49.417538939755474</v>
      </c>
      <c r="G80" s="8">
        <f>(S80/$B80)+(S80/'Optimal Choice'!$B$26)</f>
        <v>91.685802058259668</v>
      </c>
      <c r="I80" s="11">
        <f t="shared" ref="I80:M80" si="78">IF(MIN($C79:$G79)=C79,I79+1,I79)</f>
        <v>43</v>
      </c>
      <c r="J80" s="11">
        <f t="shared" si="78"/>
        <v>19</v>
      </c>
      <c r="K80" s="11">
        <f t="shared" si="78"/>
        <v>13</v>
      </c>
      <c r="L80" s="11">
        <f t="shared" si="78"/>
        <v>4</v>
      </c>
      <c r="M80" s="11">
        <f t="shared" si="78"/>
        <v>0</v>
      </c>
      <c r="O80" s="10">
        <f>'Optimal Choice'!$B$7*'Optimal Choice'!$B$8^(I80+1)</f>
        <v>78.51383835018278</v>
      </c>
      <c r="P80" s="10">
        <f>'Optimal Choice'!$B$12*'Optimal Choice'!$B$13^(J80+1)</f>
        <v>981.99224357676496</v>
      </c>
      <c r="Q80" s="10">
        <f>'Optimal Choice'!$B$17*'Optimal Choice'!$B$18^(K80+1)</f>
        <v>4508.1713547713516</v>
      </c>
      <c r="R80" s="10">
        <f>'Optimal Choice'!$B$22*'Optimal Choice'!$B$23^(L80+1)</f>
        <v>15918.63994915199</v>
      </c>
      <c r="S80" s="10">
        <f>'Optimal Choice'!$B$27*'Optimal Choice'!$B$28^(M80+1)</f>
        <v>116121.60000000001</v>
      </c>
    </row>
    <row r="81" spans="1:19" ht="15.75" customHeight="1">
      <c r="A81" s="8">
        <f t="shared" si="0"/>
        <v>1.405560362659924</v>
      </c>
      <c r="B81" s="7">
        <f>(I81*'Optimal Choice'!$B$6+J81*'Optimal Choice'!$B$11+K81*'Optimal Choice'!$B$16+L81*'Optimal Choice'!$B$21+M81*'Optimal Choice'!$B$26)*'Optimal Choice'!$B$30</f>
        <v>3063.48</v>
      </c>
      <c r="C81" s="8">
        <f>(O81/$B81)+(O81/'Optimal Choice'!$B$6)</f>
        <v>50.332696671836544</v>
      </c>
      <c r="D81" s="8">
        <f>(P81/$B81)+(P81/'Optimal Choice'!$B$11)</f>
        <v>49.4201601320081</v>
      </c>
      <c r="E81" s="8">
        <f>(Q81/$B81)+(Q81/'Optimal Choice'!$B$16)</f>
        <v>51.562377876156674</v>
      </c>
      <c r="F81" s="8">
        <f>(R81/$B81)+(R81/'Optimal Choice'!$B$21)</f>
        <v>49.414704748560148</v>
      </c>
      <c r="G81" s="8">
        <f>(S81/$B81)+(S81/'Optimal Choice'!$B$26)</f>
        <v>91.665127502056492</v>
      </c>
      <c r="I81" s="11">
        <f t="shared" ref="I81:M81" si="79">IF(MIN($C80:$G80)=C80,I80+1,I80)</f>
        <v>44</v>
      </c>
      <c r="J81" s="11">
        <f t="shared" si="79"/>
        <v>19</v>
      </c>
      <c r="K81" s="11">
        <f t="shared" si="79"/>
        <v>13</v>
      </c>
      <c r="L81" s="11">
        <f t="shared" si="79"/>
        <v>4</v>
      </c>
      <c r="M81" s="11">
        <f t="shared" si="79"/>
        <v>0</v>
      </c>
      <c r="O81" s="10">
        <f>'Optimal Choice'!$B$7*'Optimal Choice'!$B$8^(I81+1)</f>
        <v>84.009807034695584</v>
      </c>
      <c r="P81" s="10">
        <f>'Optimal Choice'!$B$12*'Optimal Choice'!$B$13^(J81+1)</f>
        <v>981.99224357676496</v>
      </c>
      <c r="Q81" s="10">
        <f>'Optimal Choice'!$B$17*'Optimal Choice'!$B$18^(K81+1)</f>
        <v>4508.1713547713516</v>
      </c>
      <c r="R81" s="10">
        <f>'Optimal Choice'!$B$22*'Optimal Choice'!$B$23^(L81+1)</f>
        <v>15918.63994915199</v>
      </c>
      <c r="S81" s="10">
        <f>'Optimal Choice'!$B$27*'Optimal Choice'!$B$28^(M81+1)</f>
        <v>116121.60000000001</v>
      </c>
    </row>
    <row r="82" spans="1:19" ht="15.75" customHeight="1">
      <c r="A82" s="8">
        <f t="shared" si="0"/>
        <v>1.4921647034159269</v>
      </c>
      <c r="B82" s="7">
        <f>(I82*'Optimal Choice'!$B$6+J82*'Optimal Choice'!$B$11+K82*'Optimal Choice'!$B$16+L82*'Optimal Choice'!$B$21+M82*'Optimal Choice'!$B$26)*'Optimal Choice'!$B$30</f>
        <v>3423.48</v>
      </c>
      <c r="C82" s="8">
        <f>(O82/$B82)+(O82/'Optimal Choice'!$B$6)</f>
        <v>50.329812974717882</v>
      </c>
      <c r="D82" s="8">
        <f>(P82/$B82)+(P82/'Optimal Choice'!$B$11)</f>
        <v>49.386452541152842</v>
      </c>
      <c r="E82" s="8">
        <f>(Q82/$B82)+(Q82/'Optimal Choice'!$B$16)</f>
        <v>51.407631648245022</v>
      </c>
      <c r="F82" s="8">
        <f>(R82/$B82)+(R82/'Optimal Choice'!$B$21)</f>
        <v>55.221163145999462</v>
      </c>
      <c r="G82" s="8">
        <f>(S82/$B82)+(S82/'Optimal Choice'!$B$26)</f>
        <v>87.679169967401606</v>
      </c>
      <c r="I82" s="11">
        <f t="shared" ref="I82:M82" si="80">IF(MIN($C81:$G81)=C81,I81+1,I81)</f>
        <v>44</v>
      </c>
      <c r="J82" s="11">
        <f t="shared" si="80"/>
        <v>19</v>
      </c>
      <c r="K82" s="11">
        <f t="shared" si="80"/>
        <v>13</v>
      </c>
      <c r="L82" s="11">
        <f t="shared" si="80"/>
        <v>5</v>
      </c>
      <c r="M82" s="11">
        <f t="shared" si="80"/>
        <v>0</v>
      </c>
      <c r="O82" s="10">
        <f>'Optimal Choice'!$B$7*'Optimal Choice'!$B$8^(I82+1)</f>
        <v>84.009807034695584</v>
      </c>
      <c r="P82" s="10">
        <f>'Optimal Choice'!$B$12*'Optimal Choice'!$B$13^(J82+1)</f>
        <v>981.99224357676496</v>
      </c>
      <c r="Q82" s="10">
        <f>'Optimal Choice'!$B$17*'Optimal Choice'!$B$18^(K82+1)</f>
        <v>4508.1713547713516</v>
      </c>
      <c r="R82" s="10">
        <f>'Optimal Choice'!$B$22*'Optimal Choice'!$B$23^(L82+1)</f>
        <v>17988.063142541745</v>
      </c>
      <c r="S82" s="10">
        <f>'Optimal Choice'!$B$27*'Optimal Choice'!$B$28^(M82+1)</f>
        <v>116121.60000000001</v>
      </c>
    </row>
    <row r="83" spans="1:19" ht="15.75" customHeight="1">
      <c r="A83" s="8">
        <f t="shared" si="0"/>
        <v>1.4969453761211702</v>
      </c>
      <c r="B83" s="7">
        <f>(I83*'Optimal Choice'!$B$6+J83*'Optimal Choice'!$B$11+K83*'Optimal Choice'!$B$16+L83*'Optimal Choice'!$B$21+M83*'Optimal Choice'!$B$26)*'Optimal Choice'!$B$30</f>
        <v>3443.48</v>
      </c>
      <c r="C83" s="8">
        <f>(O83/$B83)+(O83/'Optimal Choice'!$B$6)</f>
        <v>50.329670448545244</v>
      </c>
      <c r="D83" s="8">
        <f>(P83/$B83)+(P83/'Optimal Choice'!$B$11)</f>
        <v>56.792504532489552</v>
      </c>
      <c r="E83" s="8">
        <f>(Q83/$B83)+(Q83/'Optimal Choice'!$B$16)</f>
        <v>51.399983345844817</v>
      </c>
      <c r="F83" s="8">
        <f>(R83/$B83)+(R83/'Optimal Choice'!$B$21)</f>
        <v>55.190645639968452</v>
      </c>
      <c r="G83" s="8">
        <f>(S83/$B83)+(S83/'Optimal Choice'!$B$26)</f>
        <v>87.482164786785461</v>
      </c>
      <c r="I83" s="11">
        <f t="shared" ref="I83:M83" si="81">IF(MIN($C82:$G82)=C82,I82+1,I82)</f>
        <v>44</v>
      </c>
      <c r="J83" s="11">
        <f t="shared" si="81"/>
        <v>20</v>
      </c>
      <c r="K83" s="11">
        <f t="shared" si="81"/>
        <v>13</v>
      </c>
      <c r="L83" s="11">
        <f t="shared" si="81"/>
        <v>5</v>
      </c>
      <c r="M83" s="11">
        <f t="shared" si="81"/>
        <v>0</v>
      </c>
      <c r="O83" s="10">
        <f>'Optimal Choice'!$B$7*'Optimal Choice'!$B$8^(I83+1)</f>
        <v>84.009807034695584</v>
      </c>
      <c r="P83" s="10">
        <f>'Optimal Choice'!$B$12*'Optimal Choice'!$B$13^(J83+1)</f>
        <v>1129.2910801132798</v>
      </c>
      <c r="Q83" s="10">
        <f>'Optimal Choice'!$B$17*'Optimal Choice'!$B$18^(K83+1)</f>
        <v>4508.1713547713516</v>
      </c>
      <c r="R83" s="10">
        <f>'Optimal Choice'!$B$22*'Optimal Choice'!$B$23^(L83+1)</f>
        <v>17988.063142541745</v>
      </c>
      <c r="S83" s="10">
        <f>'Optimal Choice'!$B$27*'Optimal Choice'!$B$28^(M83+1)</f>
        <v>116121.60000000001</v>
      </c>
    </row>
    <row r="84" spans="1:19" ht="15.75" customHeight="1">
      <c r="A84" s="8">
        <f t="shared" si="0"/>
        <v>1.4973519890390841</v>
      </c>
      <c r="B84" s="7">
        <f>(I84*'Optimal Choice'!$B$6+J84*'Optimal Choice'!$B$11+K84*'Optimal Choice'!$B$16+L84*'Optimal Choice'!$B$21+M84*'Optimal Choice'!$B$26)*'Optimal Choice'!$B$30</f>
        <v>3445.15</v>
      </c>
      <c r="C84" s="8">
        <f>(O84/$B84)+(O84/'Optimal Choice'!$B$6)</f>
        <v>53.852734726039415</v>
      </c>
      <c r="D84" s="8">
        <f>(P84/$B84)+(P84/'Optimal Choice'!$B$11)</f>
        <v>56.792345561942611</v>
      </c>
      <c r="E84" s="8">
        <f>(Q84/$B84)+(Q84/'Optimal Choice'!$B$16)</f>
        <v>51.399348729598756</v>
      </c>
      <c r="F84" s="8">
        <f>(R84/$B84)+(R84/'Optimal Choice'!$B$21)</f>
        <v>55.188113456471598</v>
      </c>
      <c r="G84" s="8">
        <f>(S84/$B84)+(S84/'Optimal Choice'!$B$26)</f>
        <v>87.465818324310987</v>
      </c>
      <c r="I84" s="11">
        <f t="shared" ref="I84:M84" si="82">IF(MIN($C83:$G83)=C83,I83+1,I83)</f>
        <v>45</v>
      </c>
      <c r="J84" s="11">
        <f t="shared" si="82"/>
        <v>20</v>
      </c>
      <c r="K84" s="11">
        <f t="shared" si="82"/>
        <v>13</v>
      </c>
      <c r="L84" s="11">
        <f t="shared" si="82"/>
        <v>5</v>
      </c>
      <c r="M84" s="11">
        <f t="shared" si="82"/>
        <v>0</v>
      </c>
      <c r="O84" s="10">
        <f>'Optimal Choice'!$B$7*'Optimal Choice'!$B$8^(I84+1)</f>
        <v>89.890493527124278</v>
      </c>
      <c r="P84" s="10">
        <f>'Optimal Choice'!$B$12*'Optimal Choice'!$B$13^(J84+1)</f>
        <v>1129.2910801132798</v>
      </c>
      <c r="Q84" s="10">
        <f>'Optimal Choice'!$B$17*'Optimal Choice'!$B$18^(K84+1)</f>
        <v>4508.1713547713516</v>
      </c>
      <c r="R84" s="10">
        <f>'Optimal Choice'!$B$22*'Optimal Choice'!$B$23^(L84+1)</f>
        <v>17988.063142541745</v>
      </c>
      <c r="S84" s="10">
        <f>'Optimal Choice'!$B$27*'Optimal Choice'!$B$28^(M84+1)</f>
        <v>116121.60000000001</v>
      </c>
    </row>
    <row r="85" spans="1:19" ht="15.75" customHeight="1">
      <c r="A85" s="8">
        <f t="shared" si="0"/>
        <v>1.5191612540191834</v>
      </c>
      <c r="B85" s="7">
        <f>(I85*'Optimal Choice'!$B$6+J85*'Optimal Choice'!$B$11+K85*'Optimal Choice'!$B$16+L85*'Optimal Choice'!$B$21+M85*'Optimal Choice'!$B$26)*'Optimal Choice'!$B$30</f>
        <v>3535.15</v>
      </c>
      <c r="C85" s="8">
        <f>(O85/$B85)+(O85/'Optimal Choice'!$B$6)</f>
        <v>53.85207046268755</v>
      </c>
      <c r="D85" s="8">
        <f>(P85/$B85)+(P85/'Optimal Choice'!$B$11)</f>
        <v>56.784000445026756</v>
      </c>
      <c r="E85" s="8">
        <f>(Q85/$B85)+(Q85/'Optimal Choice'!$B$16)</f>
        <v>58.557279577620548</v>
      </c>
      <c r="F85" s="8">
        <f>(R85/$B85)+(R85/'Optimal Choice'!$B$21)</f>
        <v>55.055187151945056</v>
      </c>
      <c r="G85" s="8">
        <f>(S85/$B85)+(S85/'Optimal Choice'!$B$26)</f>
        <v>86.607715089883044</v>
      </c>
      <c r="I85" s="11">
        <f t="shared" ref="I85:M85" si="83">IF(MIN($C84:$G84)=C84,I84+1,I84)</f>
        <v>45</v>
      </c>
      <c r="J85" s="11">
        <f t="shared" si="83"/>
        <v>20</v>
      </c>
      <c r="K85" s="11">
        <f t="shared" si="83"/>
        <v>14</v>
      </c>
      <c r="L85" s="11">
        <f t="shared" si="83"/>
        <v>5</v>
      </c>
      <c r="M85" s="11">
        <f t="shared" si="83"/>
        <v>0</v>
      </c>
      <c r="O85" s="10">
        <f>'Optimal Choice'!$B$7*'Optimal Choice'!$B$8^(I85+1)</f>
        <v>89.890493527124278</v>
      </c>
      <c r="P85" s="10">
        <f>'Optimal Choice'!$B$12*'Optimal Choice'!$B$13^(J85+1)</f>
        <v>1129.2910801132798</v>
      </c>
      <c r="Q85" s="10">
        <f>'Optimal Choice'!$B$17*'Optimal Choice'!$B$18^(K85+1)</f>
        <v>5139.3153444393411</v>
      </c>
      <c r="R85" s="10">
        <f>'Optimal Choice'!$B$22*'Optimal Choice'!$B$23^(L85+1)</f>
        <v>17988.063142541745</v>
      </c>
      <c r="S85" s="10">
        <f>'Optimal Choice'!$B$27*'Optimal Choice'!$B$28^(M85+1)</f>
        <v>116121.60000000001</v>
      </c>
    </row>
    <row r="86" spans="1:19" ht="15.75" customHeight="1">
      <c r="A86" s="8">
        <f t="shared" si="0"/>
        <v>1.5195850478870869</v>
      </c>
      <c r="B86" s="7">
        <f>(I86*'Optimal Choice'!$B$6+J86*'Optimal Choice'!$B$11+K86*'Optimal Choice'!$B$16+L86*'Optimal Choice'!$B$21+M86*'Optimal Choice'!$B$26)*'Optimal Choice'!$B$30</f>
        <v>3536.8199999999997</v>
      </c>
      <c r="C86" s="8">
        <f>(O86/$B86)+(O86/'Optimal Choice'!$B$6)</f>
        <v>57.621702548327541</v>
      </c>
      <c r="D86" s="8">
        <f>(P86/$B86)+(P86/'Optimal Choice'!$B$11)</f>
        <v>56.78384961022212</v>
      </c>
      <c r="E86" s="8">
        <f>(Q86/$B86)+(Q86/'Optimal Choice'!$B$16)</f>
        <v>58.556593140226688</v>
      </c>
      <c r="F86" s="8">
        <f>(R86/$B86)+(R86/'Optimal Choice'!$B$21)</f>
        <v>55.052784559701408</v>
      </c>
      <c r="G86" s="8">
        <f>(S86/$B86)+(S86/'Optimal Choice'!$B$26)</f>
        <v>86.592205201282525</v>
      </c>
      <c r="I86" s="11">
        <f t="shared" ref="I86:M86" si="84">IF(MIN($C85:$G85)=C85,I85+1,I85)</f>
        <v>46</v>
      </c>
      <c r="J86" s="11">
        <f t="shared" si="84"/>
        <v>20</v>
      </c>
      <c r="K86" s="11">
        <f t="shared" si="84"/>
        <v>14</v>
      </c>
      <c r="L86" s="11">
        <f t="shared" si="84"/>
        <v>5</v>
      </c>
      <c r="M86" s="11">
        <f t="shared" si="84"/>
        <v>0</v>
      </c>
      <c r="O86" s="10">
        <f>'Optimal Choice'!$B$7*'Optimal Choice'!$B$8^(I86+1)</f>
        <v>96.182828074022979</v>
      </c>
      <c r="P86" s="10">
        <f>'Optimal Choice'!$B$12*'Optimal Choice'!$B$13^(J86+1)</f>
        <v>1129.2910801132798</v>
      </c>
      <c r="Q86" s="10">
        <f>'Optimal Choice'!$B$17*'Optimal Choice'!$B$18^(K86+1)</f>
        <v>5139.3153444393411</v>
      </c>
      <c r="R86" s="10">
        <f>'Optimal Choice'!$B$22*'Optimal Choice'!$B$23^(L86+1)</f>
        <v>17988.063142541745</v>
      </c>
      <c r="S86" s="10">
        <f>'Optimal Choice'!$B$27*'Optimal Choice'!$B$28^(M86+1)</f>
        <v>116121.60000000001</v>
      </c>
    </row>
    <row r="87" spans="1:19" ht="15.75" customHeight="1">
      <c r="A87" s="8">
        <f t="shared" si="0"/>
        <v>1.6043507561718444</v>
      </c>
      <c r="B87" s="7">
        <f>(I87*'Optimal Choice'!$B$6+J87*'Optimal Choice'!$B$11+K87*'Optimal Choice'!$B$16+L87*'Optimal Choice'!$B$21+M87*'Optimal Choice'!$B$26)*'Optimal Choice'!$B$30</f>
        <v>3896.8199999999997</v>
      </c>
      <c r="C87" s="8">
        <f>(O87/$B87)+(O87/'Optimal Choice'!$B$6)</f>
        <v>57.619190218005464</v>
      </c>
      <c r="D87" s="8">
        <f>(P87/$B87)+(P87/'Optimal Choice'!$B$11)</f>
        <v>56.754352118000021</v>
      </c>
      <c r="E87" s="8">
        <f>(Q87/$B87)+(Q87/'Optimal Choice'!$B$16)</f>
        <v>58.422352361149329</v>
      </c>
      <c r="F87" s="8">
        <f>(R87/$B87)+(R87/'Optimal Choice'!$B$21)</f>
        <v>61.678710710464657</v>
      </c>
      <c r="G87" s="8">
        <f>(S87/$B87)+(S87/'Optimal Choice'!$B$26)</f>
        <v>83.559066931497995</v>
      </c>
      <c r="I87" s="11">
        <f t="shared" ref="I87:M87" si="85">IF(MIN($C86:$G86)=C86,I86+1,I86)</f>
        <v>46</v>
      </c>
      <c r="J87" s="11">
        <f t="shared" si="85"/>
        <v>20</v>
      </c>
      <c r="K87" s="11">
        <f t="shared" si="85"/>
        <v>14</v>
      </c>
      <c r="L87" s="11">
        <f t="shared" si="85"/>
        <v>6</v>
      </c>
      <c r="M87" s="11">
        <f t="shared" si="85"/>
        <v>0</v>
      </c>
      <c r="O87" s="10">
        <f>'Optimal Choice'!$B$7*'Optimal Choice'!$B$8^(I87+1)</f>
        <v>96.182828074022979</v>
      </c>
      <c r="P87" s="10">
        <f>'Optimal Choice'!$B$12*'Optimal Choice'!$B$13^(J87+1)</f>
        <v>1129.2910801132798</v>
      </c>
      <c r="Q87" s="10">
        <f>'Optimal Choice'!$B$17*'Optimal Choice'!$B$18^(K87+1)</f>
        <v>5139.3153444393411</v>
      </c>
      <c r="R87" s="10">
        <f>'Optimal Choice'!$B$22*'Optimal Choice'!$B$23^(L87+1)</f>
        <v>20326.511351072171</v>
      </c>
      <c r="S87" s="10">
        <f>'Optimal Choice'!$B$27*'Optimal Choice'!$B$28^(M87+1)</f>
        <v>116121.60000000001</v>
      </c>
    </row>
    <row r="88" spans="1:19" ht="15.75" customHeight="1">
      <c r="A88" s="8">
        <f t="shared" si="0"/>
        <v>1.6091807247107781</v>
      </c>
      <c r="B88" s="7">
        <f>(I88*'Optimal Choice'!$B$6+J88*'Optimal Choice'!$B$11+K88*'Optimal Choice'!$B$16+L88*'Optimal Choice'!$B$21+M88*'Optimal Choice'!$B$26)*'Optimal Choice'!$B$30</f>
        <v>3916.8199999999997</v>
      </c>
      <c r="C88" s="8">
        <f>(O88/$B88)+(O88/'Optimal Choice'!$B$6)</f>
        <v>57.619064185207179</v>
      </c>
      <c r="D88" s="8">
        <f>(P88/$B88)+(P88/'Optimal Choice'!$B$11)</f>
        <v>65.265803209150477</v>
      </c>
      <c r="E88" s="8">
        <f>(Q88/$B88)+(Q88/'Optimal Choice'!$B$16)</f>
        <v>58.415618079083544</v>
      </c>
      <c r="F88" s="8">
        <f>(R88/$B88)+(R88/'Optimal Choice'!$B$21)</f>
        <v>61.652075944610175</v>
      </c>
      <c r="G88" s="8">
        <f>(S88/$B88)+(S88/'Optimal Choice'!$B$26)</f>
        <v>83.406907440219371</v>
      </c>
      <c r="I88" s="11">
        <f t="shared" ref="I88:M88" si="86">IF(MIN($C87:$G87)=C87,I87+1,I87)</f>
        <v>46</v>
      </c>
      <c r="J88" s="11">
        <f t="shared" si="86"/>
        <v>21</v>
      </c>
      <c r="K88" s="11">
        <f t="shared" si="86"/>
        <v>14</v>
      </c>
      <c r="L88" s="11">
        <f t="shared" si="86"/>
        <v>6</v>
      </c>
      <c r="M88" s="11">
        <f t="shared" si="86"/>
        <v>0</v>
      </c>
      <c r="O88" s="10">
        <f>'Optimal Choice'!$B$7*'Optimal Choice'!$B$8^(I88+1)</f>
        <v>96.182828074022979</v>
      </c>
      <c r="P88" s="10">
        <f>'Optimal Choice'!$B$12*'Optimal Choice'!$B$13^(J88+1)</f>
        <v>1298.6847421302716</v>
      </c>
      <c r="Q88" s="10">
        <f>'Optimal Choice'!$B$17*'Optimal Choice'!$B$18^(K88+1)</f>
        <v>5139.3153444393411</v>
      </c>
      <c r="R88" s="10">
        <f>'Optimal Choice'!$B$22*'Optimal Choice'!$B$23^(L88+1)</f>
        <v>20326.511351072171</v>
      </c>
      <c r="S88" s="10">
        <f>'Optimal Choice'!$B$27*'Optimal Choice'!$B$28^(M88+1)</f>
        <v>116121.60000000001</v>
      </c>
    </row>
    <row r="89" spans="1:19" ht="15.75" customHeight="1">
      <c r="A89" s="8">
        <f t="shared" si="0"/>
        <v>1.6095899973182932</v>
      </c>
      <c r="B89" s="7">
        <f>(I89*'Optimal Choice'!$B$6+J89*'Optimal Choice'!$B$11+K89*'Optimal Choice'!$B$16+L89*'Optimal Choice'!$B$21+M89*'Optimal Choice'!$B$26)*'Optimal Choice'!$B$30</f>
        <v>3918.49</v>
      </c>
      <c r="C89" s="8">
        <f>(O89/$B89)+(O89/'Optimal Choice'!$B$6)</f>
        <v>61.652387480043487</v>
      </c>
      <c r="D89" s="8">
        <f>(P89/$B89)+(P89/'Optimal Choice'!$B$11)</f>
        <v>65.265661900791542</v>
      </c>
      <c r="E89" s="8">
        <f>(Q89/$B89)+(Q89/'Optimal Choice'!$B$16)</f>
        <v>58.415058876227135</v>
      </c>
      <c r="F89" s="8">
        <f>(R89/$B89)+(R89/'Optimal Choice'!$B$21)</f>
        <v>61.649864240823476</v>
      </c>
      <c r="G89" s="8">
        <f>(S89/$B89)+(S89/'Optimal Choice'!$B$26)</f>
        <v>83.394272385536269</v>
      </c>
      <c r="I89" s="11">
        <f t="shared" ref="I89:M89" si="87">IF(MIN($C88:$G88)=C88,I88+1,I88)</f>
        <v>47</v>
      </c>
      <c r="J89" s="11">
        <f t="shared" si="87"/>
        <v>21</v>
      </c>
      <c r="K89" s="11">
        <f t="shared" si="87"/>
        <v>14</v>
      </c>
      <c r="L89" s="11">
        <f t="shared" si="87"/>
        <v>6</v>
      </c>
      <c r="M89" s="11">
        <f t="shared" si="87"/>
        <v>0</v>
      </c>
      <c r="O89" s="10">
        <f>'Optimal Choice'!$B$7*'Optimal Choice'!$B$8^(I89+1)</f>
        <v>102.91562603920458</v>
      </c>
      <c r="P89" s="10">
        <f>'Optimal Choice'!$B$12*'Optimal Choice'!$B$13^(J89+1)</f>
        <v>1298.6847421302716</v>
      </c>
      <c r="Q89" s="10">
        <f>'Optimal Choice'!$B$17*'Optimal Choice'!$B$18^(K89+1)</f>
        <v>5139.3153444393411</v>
      </c>
      <c r="R89" s="10">
        <f>'Optimal Choice'!$B$22*'Optimal Choice'!$B$23^(L89+1)</f>
        <v>20326.511351072171</v>
      </c>
      <c r="S89" s="10">
        <f>'Optimal Choice'!$B$27*'Optimal Choice'!$B$28^(M89+1)</f>
        <v>116121.60000000001</v>
      </c>
    </row>
    <row r="90" spans="1:19" ht="15.75" customHeight="1">
      <c r="A90" s="8">
        <f t="shared" si="0"/>
        <v>1.6314492481370158</v>
      </c>
      <c r="B90" s="7">
        <f>(I90*'Optimal Choice'!$B$6+J90*'Optimal Choice'!$B$11+K90*'Optimal Choice'!$B$16+L90*'Optimal Choice'!$B$21+M90*'Optimal Choice'!$B$26)*'Optimal Choice'!$B$30</f>
        <v>4008.49</v>
      </c>
      <c r="C90" s="8">
        <f>(O90/$B90)+(O90/'Optimal Choice'!$B$6)</f>
        <v>61.651797789338339</v>
      </c>
      <c r="D90" s="8">
        <f>(P90/$B90)+(P90/'Optimal Choice'!$B$11)</f>
        <v>65.25822063700268</v>
      </c>
      <c r="E90" s="8">
        <f>(Q90/$B90)+(Q90/'Optimal Choice'!$B$16)</f>
        <v>66.559596984499194</v>
      </c>
      <c r="F90" s="8">
        <f>(R90/$B90)+(R90/'Optimal Choice'!$B$21)</f>
        <v>61.533396457716599</v>
      </c>
      <c r="G90" s="8">
        <f>(S90/$B90)+(S90/'Optimal Choice'!$B$26)</f>
        <v>82.728913481136289</v>
      </c>
      <c r="I90" s="11">
        <f t="shared" ref="I90:M90" si="88">IF(MIN($C89:$G89)=C89,I89+1,I89)</f>
        <v>47</v>
      </c>
      <c r="J90" s="11">
        <f t="shared" si="88"/>
        <v>21</v>
      </c>
      <c r="K90" s="11">
        <f t="shared" si="88"/>
        <v>15</v>
      </c>
      <c r="L90" s="11">
        <f t="shared" si="88"/>
        <v>6</v>
      </c>
      <c r="M90" s="11">
        <f t="shared" si="88"/>
        <v>0</v>
      </c>
      <c r="O90" s="10">
        <f>'Optimal Choice'!$B$7*'Optimal Choice'!$B$8^(I90+1)</f>
        <v>102.91562603920458</v>
      </c>
      <c r="P90" s="10">
        <f>'Optimal Choice'!$B$12*'Optimal Choice'!$B$13^(J90+1)</f>
        <v>1298.6847421302716</v>
      </c>
      <c r="Q90" s="10">
        <f>'Optimal Choice'!$B$17*'Optimal Choice'!$B$18^(K90+1)</f>
        <v>5858.8194926608503</v>
      </c>
      <c r="R90" s="10">
        <f>'Optimal Choice'!$B$22*'Optimal Choice'!$B$23^(L90+1)</f>
        <v>20326.511351072171</v>
      </c>
      <c r="S90" s="10">
        <f>'Optimal Choice'!$B$27*'Optimal Choice'!$B$28^(M90+1)</f>
        <v>116121.60000000001</v>
      </c>
    </row>
    <row r="91" spans="1:19" ht="15.75" customHeight="1">
      <c r="A91" s="8">
        <f t="shared" si="0"/>
        <v>1.7159636635863587</v>
      </c>
      <c r="B91" s="7">
        <f>(I91*'Optimal Choice'!$B$6+J91*'Optimal Choice'!$B$11+K91*'Optimal Choice'!$B$16+L91*'Optimal Choice'!$B$21+M91*'Optimal Choice'!$B$26)*'Optimal Choice'!$B$30</f>
        <v>4368.49</v>
      </c>
      <c r="C91" s="8">
        <f>(O91/$B91)+(O91/'Optimal Choice'!$B$6)</f>
        <v>61.649682003672147</v>
      </c>
      <c r="D91" s="8">
        <f>(P91/$B91)+(P91/'Optimal Choice'!$B$11)</f>
        <v>65.231521692750533</v>
      </c>
      <c r="E91" s="8">
        <f>(Q91/$B91)+(Q91/'Optimal Choice'!$B$16)</f>
        <v>66.439148741793758</v>
      </c>
      <c r="F91" s="8">
        <f>(R91/$B91)+(R91/'Optimal Choice'!$B$21)</f>
        <v>69.060531845371514</v>
      </c>
      <c r="G91" s="8">
        <f>(S91/$B91)+(S91/'Optimal Choice'!$B$26)</f>
        <v>80.341633470604265</v>
      </c>
      <c r="I91" s="11">
        <f t="shared" ref="I91:M91" si="89">IF(MIN($C90:$G90)=C90,I90+1,I90)</f>
        <v>47</v>
      </c>
      <c r="J91" s="11">
        <f t="shared" si="89"/>
        <v>21</v>
      </c>
      <c r="K91" s="11">
        <f t="shared" si="89"/>
        <v>15</v>
      </c>
      <c r="L91" s="11">
        <f t="shared" si="89"/>
        <v>7</v>
      </c>
      <c r="M91" s="11">
        <f t="shared" si="89"/>
        <v>0</v>
      </c>
      <c r="O91" s="10">
        <f>'Optimal Choice'!$B$7*'Optimal Choice'!$B$8^(I91+1)</f>
        <v>102.91562603920458</v>
      </c>
      <c r="P91" s="10">
        <f>'Optimal Choice'!$B$12*'Optimal Choice'!$B$13^(J91+1)</f>
        <v>1298.6847421302716</v>
      </c>
      <c r="Q91" s="10">
        <f>'Optimal Choice'!$B$17*'Optimal Choice'!$B$18^(K91+1)</f>
        <v>5858.8194926608503</v>
      </c>
      <c r="R91" s="10">
        <f>'Optimal Choice'!$B$22*'Optimal Choice'!$B$23^(L91+1)</f>
        <v>22968.957826711554</v>
      </c>
      <c r="S91" s="10">
        <f>'Optimal Choice'!$B$27*'Optimal Choice'!$B$28^(M91+1)</f>
        <v>116121.60000000001</v>
      </c>
    </row>
    <row r="92" spans="1:19" ht="15.75" customHeight="1">
      <c r="A92" s="8">
        <f t="shared" si="0"/>
        <v>1.7163563073680743</v>
      </c>
      <c r="B92" s="7">
        <f>(I92*'Optimal Choice'!$B$6+J92*'Optimal Choice'!$B$11+K92*'Optimal Choice'!$B$16+L92*'Optimal Choice'!$B$21+M92*'Optimal Choice'!$B$26)*'Optimal Choice'!$B$30</f>
        <v>4370.16</v>
      </c>
      <c r="C92" s="8">
        <f>(O92/$B92)+(O92/'Optimal Choice'!$B$6)</f>
        <v>65.965150111121602</v>
      </c>
      <c r="D92" s="8">
        <f>(P92/$B92)+(P92/'Optimal Choice'!$B$11)</f>
        <v>65.231408089299165</v>
      </c>
      <c r="E92" s="8">
        <f>(Q92/$B92)+(Q92/'Optimal Choice'!$B$16)</f>
        <v>66.43863623703129</v>
      </c>
      <c r="F92" s="8">
        <f>(R92/$B92)+(R92/'Optimal Choice'!$B$21)</f>
        <v>69.058522618036562</v>
      </c>
      <c r="G92" s="8">
        <f>(S92/$B92)+(S92/'Optimal Choice'!$B$26)</f>
        <v>80.331475643912356</v>
      </c>
      <c r="I92" s="11">
        <f t="shared" ref="I92:M92" si="90">IF(MIN($C91:$G91)=C91,I91+1,I91)</f>
        <v>48</v>
      </c>
      <c r="J92" s="11">
        <f t="shared" si="90"/>
        <v>21</v>
      </c>
      <c r="K92" s="11">
        <f t="shared" si="90"/>
        <v>15</v>
      </c>
      <c r="L92" s="11">
        <f t="shared" si="90"/>
        <v>7</v>
      </c>
      <c r="M92" s="11">
        <f t="shared" si="90"/>
        <v>0</v>
      </c>
      <c r="O92" s="10">
        <f>'Optimal Choice'!$B$7*'Optimal Choice'!$B$8^(I92+1)</f>
        <v>110.11971986194889</v>
      </c>
      <c r="P92" s="10">
        <f>'Optimal Choice'!$B$12*'Optimal Choice'!$B$13^(J92+1)</f>
        <v>1298.6847421302716</v>
      </c>
      <c r="Q92" s="10">
        <f>'Optimal Choice'!$B$17*'Optimal Choice'!$B$18^(K92+1)</f>
        <v>5858.8194926608503</v>
      </c>
      <c r="R92" s="10">
        <f>'Optimal Choice'!$B$22*'Optimal Choice'!$B$23^(L92+1)</f>
        <v>22968.957826711554</v>
      </c>
      <c r="S92" s="10">
        <f>'Optimal Choice'!$B$27*'Optimal Choice'!$B$28^(M92+1)</f>
        <v>116121.60000000001</v>
      </c>
    </row>
    <row r="93" spans="1:19" ht="15.75" customHeight="1">
      <c r="A93" s="8">
        <f t="shared" si="0"/>
        <v>1.7213091570811674</v>
      </c>
      <c r="B93" s="7">
        <f>(I93*'Optimal Choice'!$B$6+J93*'Optimal Choice'!$B$11+K93*'Optimal Choice'!$B$16+L93*'Optimal Choice'!$B$21+M93*'Optimal Choice'!$B$26)*'Optimal Choice'!$B$30</f>
        <v>4390.16</v>
      </c>
      <c r="C93" s="8">
        <f>(O93/$B93)+(O93/'Optimal Choice'!$B$6)</f>
        <v>65.965035317592537</v>
      </c>
      <c r="D93" s="8">
        <f>(P93/$B93)+(P93/'Optimal Choice'!$B$11)</f>
        <v>75.014562427180579</v>
      </c>
      <c r="E93" s="8">
        <f>(Q93/$B93)+(Q93/'Optimal Choice'!$B$16)</f>
        <v>66.432528751772736</v>
      </c>
      <c r="F93" s="8">
        <f>(R93/$B93)+(R93/'Optimal Choice'!$B$21)</f>
        <v>69.034578789163433</v>
      </c>
      <c r="G93" s="8">
        <f>(S93/$B93)+(S93/'Optimal Choice'!$B$26)</f>
        <v>80.210425497020623</v>
      </c>
      <c r="I93" s="11">
        <f t="shared" ref="I93:M93" si="91">IF(MIN($C92:$G92)=C92,I92+1,I92)</f>
        <v>48</v>
      </c>
      <c r="J93" s="11">
        <f t="shared" si="91"/>
        <v>22</v>
      </c>
      <c r="K93" s="11">
        <f t="shared" si="91"/>
        <v>15</v>
      </c>
      <c r="L93" s="11">
        <f t="shared" si="91"/>
        <v>7</v>
      </c>
      <c r="M93" s="11">
        <f t="shared" si="91"/>
        <v>0</v>
      </c>
      <c r="O93" s="10">
        <f>'Optimal Choice'!$B$7*'Optimal Choice'!$B$8^(I93+1)</f>
        <v>110.11971986194889</v>
      </c>
      <c r="P93" s="10">
        <f>'Optimal Choice'!$B$12*'Optimal Choice'!$B$13^(J93+1)</f>
        <v>1493.4874534498119</v>
      </c>
      <c r="Q93" s="10">
        <f>'Optimal Choice'!$B$17*'Optimal Choice'!$B$18^(K93+1)</f>
        <v>5858.8194926608503</v>
      </c>
      <c r="R93" s="10">
        <f>'Optimal Choice'!$B$22*'Optimal Choice'!$B$23^(L93+1)</f>
        <v>22968.957826711554</v>
      </c>
      <c r="S93" s="10">
        <f>'Optimal Choice'!$B$27*'Optimal Choice'!$B$28^(M93+1)</f>
        <v>116121.60000000001</v>
      </c>
    </row>
    <row r="94" spans="1:19" ht="15.75" customHeight="1">
      <c r="A94" s="8">
        <f t="shared" si="0"/>
        <v>1.7217272121553255</v>
      </c>
      <c r="B94" s="7">
        <f>(I94*'Optimal Choice'!$B$6+J94*'Optimal Choice'!$B$11+K94*'Optimal Choice'!$B$16+L94*'Optimal Choice'!$B$21+M94*'Optimal Choice'!$B$26)*'Optimal Choice'!$B$30</f>
        <v>4391.83</v>
      </c>
      <c r="C94" s="8">
        <f>(O94/$B94)+(O94/'Optimal Choice'!$B$6)</f>
        <v>70.582577584202042</v>
      </c>
      <c r="D94" s="8">
        <f>(P94/$B94)+(P94/'Optimal Choice'!$B$11)</f>
        <v>75.014433069511838</v>
      </c>
      <c r="E94" s="8">
        <f>(Q94/$B94)+(Q94/'Optimal Choice'!$B$16)</f>
        <v>66.432021293052927</v>
      </c>
      <c r="F94" s="8">
        <f>(R94/$B94)+(R94/'Optimal Choice'!$B$21)</f>
        <v>69.032589344370223</v>
      </c>
      <c r="G94" s="8">
        <f>(S94/$B94)+(S94/'Optimal Choice'!$B$26)</f>
        <v>80.200367682719971</v>
      </c>
      <c r="I94" s="11">
        <f t="shared" ref="I94:M94" si="92">IF(MIN($C93:$G93)=C93,I93+1,I93)</f>
        <v>49</v>
      </c>
      <c r="J94" s="11">
        <f t="shared" si="92"/>
        <v>22</v>
      </c>
      <c r="K94" s="11">
        <f t="shared" si="92"/>
        <v>15</v>
      </c>
      <c r="L94" s="11">
        <f t="shared" si="92"/>
        <v>7</v>
      </c>
      <c r="M94" s="11">
        <f t="shared" si="92"/>
        <v>0</v>
      </c>
      <c r="O94" s="10">
        <f>'Optimal Choice'!$B$7*'Optimal Choice'!$B$8^(I94+1)</f>
        <v>117.82810025228532</v>
      </c>
      <c r="P94" s="10">
        <f>'Optimal Choice'!$B$12*'Optimal Choice'!$B$13^(J94+1)</f>
        <v>1493.4874534498119</v>
      </c>
      <c r="Q94" s="10">
        <f>'Optimal Choice'!$B$17*'Optimal Choice'!$B$18^(K94+1)</f>
        <v>5858.8194926608503</v>
      </c>
      <c r="R94" s="10">
        <f>'Optimal Choice'!$B$22*'Optimal Choice'!$B$23^(L94+1)</f>
        <v>22968.957826711554</v>
      </c>
      <c r="S94" s="10">
        <f>'Optimal Choice'!$B$27*'Optimal Choice'!$B$28^(M94+1)</f>
        <v>116121.60000000001</v>
      </c>
    </row>
    <row r="95" spans="1:19" ht="15.75" customHeight="1">
      <c r="A95" s="8">
        <f t="shared" si="0"/>
        <v>1.7439609943245689</v>
      </c>
      <c r="B95" s="7">
        <f>(I95*'Optimal Choice'!$B$6+J95*'Optimal Choice'!$B$11+K95*'Optimal Choice'!$B$16+L95*'Optimal Choice'!$B$21+M95*'Optimal Choice'!$B$26)*'Optimal Choice'!$B$30</f>
        <v>4481.83</v>
      </c>
      <c r="C95" s="8">
        <f>(O95/$B95)+(O95/'Optimal Choice'!$B$6)</f>
        <v>70.582038830230459</v>
      </c>
      <c r="D95" s="8">
        <f>(P95/$B95)+(P95/'Optimal Choice'!$B$11)</f>
        <v>75.007604288471072</v>
      </c>
      <c r="E95" s="8">
        <f>(Q95/$B95)+(Q95/'Optimal Choice'!$B$16)</f>
        <v>75.701965149875733</v>
      </c>
      <c r="F95" s="8">
        <f>(R95/$B95)+(R95/'Optimal Choice'!$B$21)</f>
        <v>68.927566712026859</v>
      </c>
      <c r="G95" s="8">
        <f>(S95/$B95)+(S95/'Optimal Choice'!$B$26)</f>
        <v>79.669416466041781</v>
      </c>
      <c r="I95" s="11">
        <f t="shared" ref="I95:M95" si="93">IF(MIN($C94:$G94)=C94,I94+1,I94)</f>
        <v>49</v>
      </c>
      <c r="J95" s="11">
        <f t="shared" si="93"/>
        <v>22</v>
      </c>
      <c r="K95" s="11">
        <f t="shared" si="93"/>
        <v>16</v>
      </c>
      <c r="L95" s="11">
        <f t="shared" si="93"/>
        <v>7</v>
      </c>
      <c r="M95" s="11">
        <f t="shared" si="93"/>
        <v>0</v>
      </c>
      <c r="O95" s="10">
        <f>'Optimal Choice'!$B$7*'Optimal Choice'!$B$8^(I95+1)</f>
        <v>117.82810025228532</v>
      </c>
      <c r="P95" s="10">
        <f>'Optimal Choice'!$B$12*'Optimal Choice'!$B$13^(J95+1)</f>
        <v>1493.4874534498119</v>
      </c>
      <c r="Q95" s="10">
        <f>'Optimal Choice'!$B$17*'Optimal Choice'!$B$18^(K95+1)</f>
        <v>6679.0542216333679</v>
      </c>
      <c r="R95" s="10">
        <f>'Optimal Choice'!$B$22*'Optimal Choice'!$B$23^(L95+1)</f>
        <v>22968.957826711554</v>
      </c>
      <c r="S95" s="10">
        <f>'Optimal Choice'!$B$27*'Optimal Choice'!$B$28^(M95+1)</f>
        <v>116121.60000000001</v>
      </c>
    </row>
    <row r="96" spans="1:19" ht="15.75" customHeight="1">
      <c r="A96" s="8">
        <f t="shared" si="0"/>
        <v>1.8293760956957779</v>
      </c>
      <c r="B96" s="7">
        <f>(I96*'Optimal Choice'!$B$6+J96*'Optimal Choice'!$B$11+K96*'Optimal Choice'!$B$16+L96*'Optimal Choice'!$B$21+M96*'Optimal Choice'!$B$26)*'Optimal Choice'!$B$30</f>
        <v>4841.83</v>
      </c>
      <c r="C96" s="8">
        <f>(O96/$B96)+(O96/'Optimal Choice'!$B$6)</f>
        <v>70.580084101662891</v>
      </c>
      <c r="D96" s="8">
        <f>(P96/$B96)+(P96/'Optimal Choice'!$B$11)</f>
        <v>74.982827833751898</v>
      </c>
      <c r="E96" s="8">
        <f>(Q96/$B96)+(Q96/'Optimal Choice'!$B$16)</f>
        <v>75.591161885940039</v>
      </c>
      <c r="F96" s="8">
        <f>(R96/$B96)+(R96/'Optimal Choice'!$B$21)</f>
        <v>77.457566949346131</v>
      </c>
      <c r="G96" s="8">
        <f>(S96/$B96)+(S96/'Optimal Choice'!$B$26)</f>
        <v>77.742998163917363</v>
      </c>
      <c r="I96" s="11">
        <f t="shared" ref="I96:M96" si="94">IF(MIN($C95:$G95)=C95,I95+1,I95)</f>
        <v>49</v>
      </c>
      <c r="J96" s="11">
        <f t="shared" si="94"/>
        <v>22</v>
      </c>
      <c r="K96" s="11">
        <f t="shared" si="94"/>
        <v>16</v>
      </c>
      <c r="L96" s="11">
        <f t="shared" si="94"/>
        <v>8</v>
      </c>
      <c r="M96" s="11">
        <f t="shared" si="94"/>
        <v>0</v>
      </c>
      <c r="O96" s="10">
        <f>'Optimal Choice'!$B$7*'Optimal Choice'!$B$8^(I96+1)</f>
        <v>117.82810025228532</v>
      </c>
      <c r="P96" s="10">
        <f>'Optimal Choice'!$B$12*'Optimal Choice'!$B$13^(J96+1)</f>
        <v>1493.4874534498119</v>
      </c>
      <c r="Q96" s="10">
        <f>'Optimal Choice'!$B$17*'Optimal Choice'!$B$18^(K96+1)</f>
        <v>6679.0542216333679</v>
      </c>
      <c r="R96" s="10">
        <f>'Optimal Choice'!$B$22*'Optimal Choice'!$B$23^(L96+1)</f>
        <v>25954.922344184051</v>
      </c>
      <c r="S96" s="10">
        <f>'Optimal Choice'!$B$27*'Optimal Choice'!$B$28^(M96+1)</f>
        <v>116121.60000000001</v>
      </c>
    </row>
    <row r="97" spans="1:19" ht="15.75" customHeight="1">
      <c r="A97" s="8">
        <f t="shared" si="0"/>
        <v>1.8297816864891083</v>
      </c>
      <c r="B97" s="7">
        <f>(I97*'Optimal Choice'!$B$6+J97*'Optimal Choice'!$B$11+K97*'Optimal Choice'!$B$16+L97*'Optimal Choice'!$B$21+M97*'Optimal Choice'!$B$26)*'Optimal Choice'!$B$30</f>
        <v>4843.5</v>
      </c>
      <c r="C97" s="8">
        <f>(O97/$B97)+(O97/'Optimal Choice'!$B$6)</f>
        <v>75.520681010765216</v>
      </c>
      <c r="D97" s="8">
        <f>(P97/$B97)+(P97/'Optimal Choice'!$B$11)</f>
        <v>74.982721480883242</v>
      </c>
      <c r="E97" s="8">
        <f>(Q97/$B97)+(Q97/'Optimal Choice'!$B$16)</f>
        <v>75.590686263212376</v>
      </c>
      <c r="F97" s="8">
        <f>(R97/$B97)+(R97/'Optimal Choice'!$B$21)</f>
        <v>77.45571867104924</v>
      </c>
      <c r="G97" s="8">
        <f>(S97/$B97)+(S97/'Optimal Choice'!$B$26)</f>
        <v>77.734729018271921</v>
      </c>
      <c r="I97" s="11">
        <f t="shared" ref="I97:M97" si="95">IF(MIN($C96:$G96)=C96,I96+1,I96)</f>
        <v>50</v>
      </c>
      <c r="J97" s="11">
        <f t="shared" si="95"/>
        <v>22</v>
      </c>
      <c r="K97" s="11">
        <f t="shared" si="95"/>
        <v>16</v>
      </c>
      <c r="L97" s="11">
        <f t="shared" si="95"/>
        <v>8</v>
      </c>
      <c r="M97" s="11">
        <f t="shared" si="95"/>
        <v>0</v>
      </c>
      <c r="O97" s="10">
        <f>'Optimal Choice'!$B$7*'Optimal Choice'!$B$8^(I97+1)</f>
        <v>126.07606726994531</v>
      </c>
      <c r="P97" s="10">
        <f>'Optimal Choice'!$B$12*'Optimal Choice'!$B$13^(J97+1)</f>
        <v>1493.4874534498119</v>
      </c>
      <c r="Q97" s="10">
        <f>'Optimal Choice'!$B$17*'Optimal Choice'!$B$18^(K97+1)</f>
        <v>6679.0542216333679</v>
      </c>
      <c r="R97" s="10">
        <f>'Optimal Choice'!$B$22*'Optimal Choice'!$B$23^(L97+1)</f>
        <v>25954.922344184051</v>
      </c>
      <c r="S97" s="10">
        <f>'Optimal Choice'!$B$27*'Optimal Choice'!$B$28^(M97+1)</f>
        <v>116121.60000000001</v>
      </c>
    </row>
    <row r="98" spans="1:19" ht="15.75" customHeight="1">
      <c r="A98" s="8">
        <f t="shared" si="0"/>
        <v>1.8349208332956526</v>
      </c>
      <c r="B98" s="7">
        <f>(I98*'Optimal Choice'!$B$6+J98*'Optimal Choice'!$B$11+K98*'Optimal Choice'!$B$16+L98*'Optimal Choice'!$B$21+M98*'Optimal Choice'!$B$26)*'Optimal Choice'!$B$30</f>
        <v>4863.5</v>
      </c>
      <c r="C98" s="8">
        <f>(O98/$B98)+(O98/'Optimal Choice'!$B$6)</f>
        <v>75.520573968713535</v>
      </c>
      <c r="D98" s="8">
        <f>(P98/$B98)+(P98/'Optimal Choice'!$B$11)</f>
        <v>86.228671489261629</v>
      </c>
      <c r="E98" s="8">
        <f>(Q98/$B98)+(Q98/'Optimal Choice'!$B$16)</f>
        <v>75.585015562319981</v>
      </c>
      <c r="F98" s="8">
        <f>(R98/$B98)+(R98/'Optimal Choice'!$B$21)</f>
        <v>77.433682227502715</v>
      </c>
      <c r="G98" s="8">
        <f>(S98/$B98)+(S98/'Optimal Choice'!$B$26)</f>
        <v>77.636138583324765</v>
      </c>
      <c r="I98" s="11">
        <f t="shared" ref="I98:M98" si="96">IF(MIN($C97:$G97)=C97,I97+1,I97)</f>
        <v>50</v>
      </c>
      <c r="J98" s="11">
        <f t="shared" si="96"/>
        <v>23</v>
      </c>
      <c r="K98" s="11">
        <f t="shared" si="96"/>
        <v>16</v>
      </c>
      <c r="L98" s="11">
        <f t="shared" si="96"/>
        <v>8</v>
      </c>
      <c r="M98" s="11">
        <f t="shared" si="96"/>
        <v>0</v>
      </c>
      <c r="O98" s="10">
        <f>'Optimal Choice'!$B$7*'Optimal Choice'!$B$8^(I98+1)</f>
        <v>126.07606726994531</v>
      </c>
      <c r="P98" s="10">
        <f>'Optimal Choice'!$B$12*'Optimal Choice'!$B$13^(J98+1)</f>
        <v>1717.5105714672836</v>
      </c>
      <c r="Q98" s="10">
        <f>'Optimal Choice'!$B$17*'Optimal Choice'!$B$18^(K98+1)</f>
        <v>6679.0542216333679</v>
      </c>
      <c r="R98" s="10">
        <f>'Optimal Choice'!$B$22*'Optimal Choice'!$B$23^(L98+1)</f>
        <v>25954.922344184051</v>
      </c>
      <c r="S98" s="10">
        <f>'Optimal Choice'!$B$27*'Optimal Choice'!$B$28^(M98+1)</f>
        <v>116121.60000000001</v>
      </c>
    </row>
    <row r="99" spans="1:19" ht="15.75" customHeight="1">
      <c r="A99" s="8">
        <f t="shared" si="0"/>
        <v>1.835352881776753</v>
      </c>
      <c r="B99" s="7">
        <f>(I99*'Optimal Choice'!$B$6+J99*'Optimal Choice'!$B$11+K99*'Optimal Choice'!$B$16+L99*'Optimal Choice'!$B$21+M99*'Optimal Choice'!$B$26)*'Optimal Choice'!$B$30</f>
        <v>4865.17</v>
      </c>
      <c r="C99" s="8">
        <f>(O99/$B99)+(O99/'Optimal Choice'!$B$6)</f>
        <v>80.807004625449011</v>
      </c>
      <c r="D99" s="8">
        <f>(P99/$B99)+(P99/'Optimal Choice'!$B$11)</f>
        <v>86.228550270749324</v>
      </c>
      <c r="E99" s="8">
        <f>(Q99/$B99)+(Q99/'Optimal Choice'!$B$16)</f>
        <v>75.584544167832021</v>
      </c>
      <c r="F99" s="8">
        <f>(R99/$B99)+(R99/'Optimal Choice'!$B$21)</f>
        <v>77.431850380219771</v>
      </c>
      <c r="G99" s="8">
        <f>(S99/$B99)+(S99/'Optimal Choice'!$B$26)</f>
        <v>77.62794294957834</v>
      </c>
      <c r="I99" s="11">
        <f t="shared" ref="I99:M99" si="97">IF(MIN($C98:$G98)=C98,I98+1,I98)</f>
        <v>51</v>
      </c>
      <c r="J99" s="11">
        <f t="shared" si="97"/>
        <v>23</v>
      </c>
      <c r="K99" s="11">
        <f t="shared" si="97"/>
        <v>16</v>
      </c>
      <c r="L99" s="11">
        <f t="shared" si="97"/>
        <v>8</v>
      </c>
      <c r="M99" s="11">
        <f t="shared" si="97"/>
        <v>0</v>
      </c>
      <c r="O99" s="10">
        <f>'Optimal Choice'!$B$7*'Optimal Choice'!$B$8^(I99+1)</f>
        <v>134.90139197884147</v>
      </c>
      <c r="P99" s="10">
        <f>'Optimal Choice'!$B$12*'Optimal Choice'!$B$13^(J99+1)</f>
        <v>1717.5105714672836</v>
      </c>
      <c r="Q99" s="10">
        <f>'Optimal Choice'!$B$17*'Optimal Choice'!$B$18^(K99+1)</f>
        <v>6679.0542216333679</v>
      </c>
      <c r="R99" s="10">
        <f>'Optimal Choice'!$B$22*'Optimal Choice'!$B$23^(L99+1)</f>
        <v>25954.922344184051</v>
      </c>
      <c r="S99" s="10">
        <f>'Optimal Choice'!$B$27*'Optimal Choice'!$B$28^(M99+1)</f>
        <v>116121.60000000001</v>
      </c>
    </row>
    <row r="100" spans="1:19" ht="15.75" customHeight="1">
      <c r="A100" s="8">
        <f t="shared" si="0"/>
        <v>1.8582333916788851</v>
      </c>
      <c r="B100" s="7">
        <f>(I100*'Optimal Choice'!$B$6+J100*'Optimal Choice'!$B$11+K100*'Optimal Choice'!$B$16+L100*'Optimal Choice'!$B$21+M100*'Optimal Choice'!$B$26)*'Optimal Choice'!$B$30</f>
        <v>4955.17</v>
      </c>
      <c r="C100" s="8">
        <f>(O100/$B100)+(O100/'Optimal Choice'!$B$6)</f>
        <v>80.806501006152985</v>
      </c>
      <c r="D100" s="8">
        <f>(P100/$B100)+(P100/'Optimal Choice'!$B$11)</f>
        <v>86.222138391285114</v>
      </c>
      <c r="E100" s="8">
        <f>(Q100/$B100)+(Q100/'Optimal Choice'!$B$16)</f>
        <v>86.137955005889793</v>
      </c>
      <c r="F100" s="8">
        <f>(R100/$B100)+(R100/'Optimal Choice'!$B$21)</f>
        <v>77.334954421418416</v>
      </c>
      <c r="G100" s="8">
        <f>(S100/$B100)+(S100/'Optimal Choice'!$B$26)</f>
        <v>77.194433127420453</v>
      </c>
      <c r="I100" s="11">
        <f t="shared" ref="I100:M100" si="98">IF(MIN($C99:$G99)=C99,I99+1,I99)</f>
        <v>51</v>
      </c>
      <c r="J100" s="11">
        <f t="shared" si="98"/>
        <v>23</v>
      </c>
      <c r="K100" s="11">
        <f t="shared" si="98"/>
        <v>17</v>
      </c>
      <c r="L100" s="11">
        <f t="shared" si="98"/>
        <v>8</v>
      </c>
      <c r="M100" s="11">
        <f t="shared" si="98"/>
        <v>0</v>
      </c>
      <c r="O100" s="10">
        <f>'Optimal Choice'!$B$7*'Optimal Choice'!$B$8^(I100+1)</f>
        <v>134.90139197884147</v>
      </c>
      <c r="P100" s="10">
        <f>'Optimal Choice'!$B$12*'Optimal Choice'!$B$13^(J100+1)</f>
        <v>1717.5105714672836</v>
      </c>
      <c r="Q100" s="10">
        <f>'Optimal Choice'!$B$17*'Optimal Choice'!$B$18^(K100+1)</f>
        <v>7614.1218126620397</v>
      </c>
      <c r="R100" s="10">
        <f>'Optimal Choice'!$B$22*'Optimal Choice'!$B$23^(L100+1)</f>
        <v>25954.922344184051</v>
      </c>
      <c r="S100" s="10">
        <f>'Optimal Choice'!$B$27*'Optimal Choice'!$B$28^(M100+1)</f>
        <v>116121.60000000001</v>
      </c>
    </row>
    <row r="101" spans="1:19" ht="15.75" customHeight="1">
      <c r="A101" s="8">
        <f t="shared" si="0"/>
        <v>2.2488072771358927</v>
      </c>
      <c r="B101" s="7">
        <f>(I101*'Optimal Choice'!$B$6+J101*'Optimal Choice'!$B$11+K101*'Optimal Choice'!$B$16+L101*'Optimal Choice'!$B$21+M101*'Optimal Choice'!$B$26)*'Optimal Choice'!$B$30</f>
        <v>7115.17</v>
      </c>
      <c r="C101" s="8">
        <f>(O101/$B101)+(O101/'Optimal Choice'!$B$6)</f>
        <v>80.798236320450329</v>
      </c>
      <c r="D101" s="8">
        <f>(P101/$B101)+(P101/'Optimal Choice'!$B$11)</f>
        <v>86.116915718220497</v>
      </c>
      <c r="E101" s="8">
        <f>(Q101/$B101)+(Q101/'Optimal Choice'!$B$16)</f>
        <v>85.671478546601676</v>
      </c>
      <c r="F101" s="8">
        <f>(R101/$B101)+(R101/'Optimal Choice'!$B$21)</f>
        <v>75.744835353966835</v>
      </c>
      <c r="G101" s="8">
        <f>(S101/$B101)+(S101/'Optimal Choice'!$B$26)</f>
        <v>78.489918850006404</v>
      </c>
      <c r="I101" s="11">
        <f t="shared" ref="I101:M101" si="99">IF(MIN($C100:$G100)=C100,I100+1,I100)</f>
        <v>51</v>
      </c>
      <c r="J101" s="11">
        <f t="shared" si="99"/>
        <v>23</v>
      </c>
      <c r="K101" s="11">
        <f t="shared" si="99"/>
        <v>17</v>
      </c>
      <c r="L101" s="11">
        <f t="shared" si="99"/>
        <v>8</v>
      </c>
      <c r="M101" s="11">
        <f t="shared" si="99"/>
        <v>1</v>
      </c>
      <c r="O101" s="10">
        <f>'Optimal Choice'!$B$7*'Optimal Choice'!$B$8^(I101+1)</f>
        <v>134.90139197884147</v>
      </c>
      <c r="P101" s="10">
        <f>'Optimal Choice'!$B$12*'Optimal Choice'!$B$13^(J101+1)</f>
        <v>1717.5105714672836</v>
      </c>
      <c r="Q101" s="10">
        <f>'Optimal Choice'!$B$17*'Optimal Choice'!$B$18^(K101+1)</f>
        <v>7614.1218126620397</v>
      </c>
      <c r="R101" s="10">
        <f>'Optimal Choice'!$B$22*'Optimal Choice'!$B$23^(L101+1)</f>
        <v>25954.922344184051</v>
      </c>
      <c r="S101" s="10">
        <f>'Optimal Choice'!$B$27*'Optimal Choice'!$B$28^(M101+1)</f>
        <v>130056.19200000002</v>
      </c>
    </row>
    <row r="102" spans="1:19" ht="15.75" customHeight="1">
      <c r="A102" s="8">
        <f t="shared" si="0"/>
        <v>2.3096044245083003</v>
      </c>
      <c r="B102" s="7">
        <f>(I102*'Optimal Choice'!$B$6+J102*'Optimal Choice'!$B$11+K102*'Optimal Choice'!$B$16+L102*'Optimal Choice'!$B$21+M102*'Optimal Choice'!$B$26)*'Optimal Choice'!$B$30</f>
        <v>7475.17</v>
      </c>
      <c r="C102" s="8">
        <f>(O102/$B102)+(O102/'Optimal Choice'!$B$6)</f>
        <v>80.797323232572879</v>
      </c>
      <c r="D102" s="8">
        <f>(P102/$B102)+(P102/'Optimal Choice'!$B$11)</f>
        <v>86.10529064853668</v>
      </c>
      <c r="E102" s="8">
        <f>(Q102/$B102)+(Q102/'Optimal Choice'!$B$16)</f>
        <v>85.619941922534466</v>
      </c>
      <c r="F102" s="8">
        <f>(R102/$B102)+(R102/'Optimal Choice'!$B$21)</f>
        <v>85.393148495074357</v>
      </c>
      <c r="G102" s="8">
        <f>(S102/$B102)+(S102/'Optimal Choice'!$B$26)</f>
        <v>77.609625988974187</v>
      </c>
      <c r="I102" s="11">
        <f t="shared" ref="I102:M102" si="100">IF(MIN($C101:$G101)=C101,I101+1,I101)</f>
        <v>51</v>
      </c>
      <c r="J102" s="11">
        <f t="shared" si="100"/>
        <v>23</v>
      </c>
      <c r="K102" s="11">
        <f t="shared" si="100"/>
        <v>17</v>
      </c>
      <c r="L102" s="11">
        <f t="shared" si="100"/>
        <v>9</v>
      </c>
      <c r="M102" s="11">
        <f t="shared" si="100"/>
        <v>1</v>
      </c>
      <c r="O102" s="10">
        <f>'Optimal Choice'!$B$7*'Optimal Choice'!$B$8^(I102+1)</f>
        <v>134.90139197884147</v>
      </c>
      <c r="P102" s="10">
        <f>'Optimal Choice'!$B$12*'Optimal Choice'!$B$13^(J102+1)</f>
        <v>1717.5105714672836</v>
      </c>
      <c r="Q102" s="10">
        <f>'Optimal Choice'!$B$17*'Optimal Choice'!$B$18^(K102+1)</f>
        <v>7614.1218126620397</v>
      </c>
      <c r="R102" s="10">
        <f>'Optimal Choice'!$B$22*'Optimal Choice'!$B$23^(L102+1)</f>
        <v>29329.062248927974</v>
      </c>
      <c r="S102" s="10">
        <f>'Optimal Choice'!$B$27*'Optimal Choice'!$B$28^(M102+1)</f>
        <v>130056.19200000002</v>
      </c>
    </row>
    <row r="103" spans="1:19" ht="15.75" customHeight="1">
      <c r="A103" s="8">
        <f t="shared" si="0"/>
        <v>2.599578190991203</v>
      </c>
      <c r="B103" s="7">
        <f>(I103*'Optimal Choice'!$B$6+J103*'Optimal Choice'!$B$11+K103*'Optimal Choice'!$B$16+L103*'Optimal Choice'!$B$21+M103*'Optimal Choice'!$B$26)*'Optimal Choice'!$B$30</f>
        <v>9635.17</v>
      </c>
      <c r="C103" s="8">
        <f>(O103/$B103)+(O103/'Optimal Choice'!$B$6)</f>
        <v>80.793277569358025</v>
      </c>
      <c r="D103" s="8">
        <f>(P103/$B103)+(P103/'Optimal Choice'!$B$11)</f>
        <v>86.053782882470017</v>
      </c>
      <c r="E103" s="8">
        <f>(Q103/$B103)+(Q103/'Optimal Choice'!$B$16)</f>
        <v>85.39159607614198</v>
      </c>
      <c r="F103" s="8">
        <f>(R103/$B103)+(R103/'Optimal Choice'!$B$21)</f>
        <v>84.513576338507036</v>
      </c>
      <c r="G103" s="8">
        <f>(S103/$B103)+(S103/'Optimal Choice'!$B$26)</f>
        <v>82.554381572144564</v>
      </c>
      <c r="I103" s="11">
        <f t="shared" ref="I103:M103" si="101">IF(MIN($C102:$G102)=C102,I102+1,I102)</f>
        <v>51</v>
      </c>
      <c r="J103" s="11">
        <f t="shared" si="101"/>
        <v>23</v>
      </c>
      <c r="K103" s="11">
        <f t="shared" si="101"/>
        <v>17</v>
      </c>
      <c r="L103" s="11">
        <f t="shared" si="101"/>
        <v>9</v>
      </c>
      <c r="M103" s="11">
        <f t="shared" si="101"/>
        <v>2</v>
      </c>
      <c r="O103" s="10">
        <f>'Optimal Choice'!$B$7*'Optimal Choice'!$B$8^(I103+1)</f>
        <v>134.90139197884147</v>
      </c>
      <c r="P103" s="10">
        <f>'Optimal Choice'!$B$12*'Optimal Choice'!$B$13^(J103+1)</f>
        <v>1717.5105714672836</v>
      </c>
      <c r="Q103" s="10">
        <f>'Optimal Choice'!$B$17*'Optimal Choice'!$B$18^(K103+1)</f>
        <v>7614.1218126620397</v>
      </c>
      <c r="R103" s="10">
        <f>'Optimal Choice'!$B$22*'Optimal Choice'!$B$23^(L103+1)</f>
        <v>29329.062248927974</v>
      </c>
      <c r="S103" s="10">
        <f>'Optimal Choice'!$B$27*'Optimal Choice'!$B$28^(M103+1)</f>
        <v>145662.93504000004</v>
      </c>
    </row>
    <row r="104" spans="1:19" ht="15.75" customHeight="1">
      <c r="A104" s="8">
        <f t="shared" si="0"/>
        <v>2.5998115399132233</v>
      </c>
      <c r="B104" s="7">
        <f>(I104*'Optimal Choice'!$B$6+J104*'Optimal Choice'!$B$11+K104*'Optimal Choice'!$B$16+L104*'Optimal Choice'!$B$21+M104*'Optimal Choice'!$B$26)*'Optimal Choice'!$B$30</f>
        <v>9636.84</v>
      </c>
      <c r="C104" s="8">
        <f>(O104/$B104)+(O104/'Optimal Choice'!$B$6)</f>
        <v>86.448804403105711</v>
      </c>
      <c r="D104" s="8">
        <f>(P104/$B104)+(P104/'Optimal Choice'!$B$11)</f>
        <v>86.05375199218895</v>
      </c>
      <c r="E104" s="8">
        <f>(Q104/$B104)+(Q104/'Optimal Choice'!$B$16)</f>
        <v>85.39145913237769</v>
      </c>
      <c r="F104" s="8">
        <f>(R104/$B104)+(R104/'Optimal Choice'!$B$21)</f>
        <v>84.513048840748723</v>
      </c>
      <c r="G104" s="8">
        <f>(S104/$B104)+(S104/'Optimal Choice'!$B$26)</f>
        <v>82.551761751877194</v>
      </c>
      <c r="I104" s="11">
        <f t="shared" ref="I104:M104" si="102">IF(MIN($C103:$G103)=C103,I103+1,I103)</f>
        <v>52</v>
      </c>
      <c r="J104" s="11">
        <f t="shared" si="102"/>
        <v>23</v>
      </c>
      <c r="K104" s="11">
        <f t="shared" si="102"/>
        <v>17</v>
      </c>
      <c r="L104" s="11">
        <f t="shared" si="102"/>
        <v>9</v>
      </c>
      <c r="M104" s="11">
        <f t="shared" si="102"/>
        <v>2</v>
      </c>
      <c r="O104" s="10">
        <f>'Optimal Choice'!$B$7*'Optimal Choice'!$B$8^(I104+1)</f>
        <v>144.34448941736039</v>
      </c>
      <c r="P104" s="10">
        <f>'Optimal Choice'!$B$12*'Optimal Choice'!$B$13^(J104+1)</f>
        <v>1717.5105714672836</v>
      </c>
      <c r="Q104" s="10">
        <f>'Optimal Choice'!$B$17*'Optimal Choice'!$B$18^(K104+1)</f>
        <v>7614.1218126620397</v>
      </c>
      <c r="R104" s="10">
        <f>'Optimal Choice'!$B$22*'Optimal Choice'!$B$23^(L104+1)</f>
        <v>29329.062248927974</v>
      </c>
      <c r="S104" s="10">
        <f>'Optimal Choice'!$B$27*'Optimal Choice'!$B$28^(M104+1)</f>
        <v>145662.93504000004</v>
      </c>
    </row>
    <row r="105" spans="1:19" ht="15.75" customHeight="1">
      <c r="A105" s="8">
        <f t="shared" si="0"/>
        <v>2.8517318357778429</v>
      </c>
      <c r="B105" s="7">
        <f>(I105*'Optimal Choice'!$B$6+J105*'Optimal Choice'!$B$11+K105*'Optimal Choice'!$B$16+L105*'Optimal Choice'!$B$21+M105*'Optimal Choice'!$B$26)*'Optimal Choice'!$B$30</f>
        <v>11796.84</v>
      </c>
      <c r="C105" s="8">
        <f>(O105/$B105)+(O105/'Optimal Choice'!$B$6)</f>
        <v>86.446061858990305</v>
      </c>
      <c r="D105" s="8">
        <f>(P105/$B105)+(P105/'Optimal Choice'!$B$11)</f>
        <v>86.021119305413379</v>
      </c>
      <c r="E105" s="8">
        <f>(Q105/$B105)+(Q105/'Optimal Choice'!$B$16)</f>
        <v>85.246790880367243</v>
      </c>
      <c r="F105" s="8">
        <f>(R105/$B105)+(R105/'Optimal Choice'!$B$21)</f>
        <v>83.955796898495592</v>
      </c>
      <c r="G105" s="8">
        <f>(S105/$B105)+(S105/'Optimal Choice'!$B$26)</f>
        <v>89.358267242098336</v>
      </c>
      <c r="I105" s="11">
        <f t="shared" ref="I105:M105" si="103">IF(MIN($C104:$G104)=C104,I104+1,I104)</f>
        <v>52</v>
      </c>
      <c r="J105" s="11">
        <f t="shared" si="103"/>
        <v>23</v>
      </c>
      <c r="K105" s="11">
        <f t="shared" si="103"/>
        <v>17</v>
      </c>
      <c r="L105" s="11">
        <f t="shared" si="103"/>
        <v>9</v>
      </c>
      <c r="M105" s="11">
        <f t="shared" si="103"/>
        <v>3</v>
      </c>
      <c r="O105" s="10">
        <f>'Optimal Choice'!$B$7*'Optimal Choice'!$B$8^(I105+1)</f>
        <v>144.34448941736039</v>
      </c>
      <c r="P105" s="10">
        <f>'Optimal Choice'!$B$12*'Optimal Choice'!$B$13^(J105+1)</f>
        <v>1717.5105714672836</v>
      </c>
      <c r="Q105" s="10">
        <f>'Optimal Choice'!$B$17*'Optimal Choice'!$B$18^(K105+1)</f>
        <v>7614.1218126620397</v>
      </c>
      <c r="R105" s="10">
        <f>'Optimal Choice'!$B$22*'Optimal Choice'!$B$23^(L105+1)</f>
        <v>29329.062248927974</v>
      </c>
      <c r="S105" s="10">
        <f>'Optimal Choice'!$B$27*'Optimal Choice'!$B$28^(M105+1)</f>
        <v>163142.48724480002</v>
      </c>
    </row>
    <row r="106" spans="1:19" ht="15.75" customHeight="1">
      <c r="A106" s="8">
        <f t="shared" si="0"/>
        <v>2.8931681614505487</v>
      </c>
      <c r="B106" s="7">
        <f>(I106*'Optimal Choice'!$B$6+J106*'Optimal Choice'!$B$11+K106*'Optimal Choice'!$B$16+L106*'Optimal Choice'!$B$21+M106*'Optimal Choice'!$B$26)*'Optimal Choice'!$B$30</f>
        <v>12156.84</v>
      </c>
      <c r="C106" s="8">
        <f>(O106/$B106)+(O106/'Optimal Choice'!$B$6)</f>
        <v>86.445699518957412</v>
      </c>
      <c r="D106" s="8">
        <f>(P106/$B106)+(P106/'Optimal Choice'!$B$11)</f>
        <v>86.016807933088188</v>
      </c>
      <c r="E106" s="8">
        <f>(Q106/$B106)+(Q106/'Optimal Choice'!$B$16)</f>
        <v>85.227677569154451</v>
      </c>
      <c r="F106" s="8">
        <f>(R106/$B106)+(R106/'Optimal Choice'!$B$21)</f>
        <v>94.786856356278733</v>
      </c>
      <c r="G106" s="8">
        <f>(S106/$B106)+(S106/'Optimal Choice'!$B$26)</f>
        <v>88.948739629136796</v>
      </c>
      <c r="I106" s="11">
        <f t="shared" ref="I106:M106" si="104">IF(MIN($C105:$G105)=C105,I105+1,I105)</f>
        <v>52</v>
      </c>
      <c r="J106" s="11">
        <f t="shared" si="104"/>
        <v>23</v>
      </c>
      <c r="K106" s="11">
        <f t="shared" si="104"/>
        <v>17</v>
      </c>
      <c r="L106" s="11">
        <f t="shared" si="104"/>
        <v>10</v>
      </c>
      <c r="M106" s="11">
        <f t="shared" si="104"/>
        <v>3</v>
      </c>
      <c r="O106" s="10">
        <f>'Optimal Choice'!$B$7*'Optimal Choice'!$B$8^(I106+1)</f>
        <v>144.34448941736039</v>
      </c>
      <c r="P106" s="10">
        <f>'Optimal Choice'!$B$12*'Optimal Choice'!$B$13^(J106+1)</f>
        <v>1717.5105714672836</v>
      </c>
      <c r="Q106" s="10">
        <f>'Optimal Choice'!$B$17*'Optimal Choice'!$B$18^(K106+1)</f>
        <v>7614.1218126620397</v>
      </c>
      <c r="R106" s="10">
        <f>'Optimal Choice'!$B$22*'Optimal Choice'!$B$23^(L106+1)</f>
        <v>33141.840341288604</v>
      </c>
      <c r="S106" s="10">
        <f>'Optimal Choice'!$B$27*'Optimal Choice'!$B$28^(M106+1)</f>
        <v>163142.48724480002</v>
      </c>
    </row>
    <row r="107" spans="1:19" ht="15.75" customHeight="1">
      <c r="A107" s="8">
        <f t="shared" si="0"/>
        <v>2.9036068963694119</v>
      </c>
      <c r="B107" s="7">
        <f>(I107*'Optimal Choice'!$B$6+J107*'Optimal Choice'!$B$11+K107*'Optimal Choice'!$B$16+L107*'Optimal Choice'!$B$21+M107*'Optimal Choice'!$B$26)*'Optimal Choice'!$B$30</f>
        <v>12246.84</v>
      </c>
      <c r="C107" s="8">
        <f>(O107/$B107)+(O107/'Optimal Choice'!$B$6)</f>
        <v>86.44561226242034</v>
      </c>
      <c r="D107" s="8">
        <f>(P107/$B107)+(P107/'Optimal Choice'!$B$11)</f>
        <v>86.015769694458868</v>
      </c>
      <c r="E107" s="8">
        <f>(Q107/$B107)+(Q107/'Optimal Choice'!$B$16)</f>
        <v>97.154305291438988</v>
      </c>
      <c r="F107" s="8">
        <f>(R107/$B107)+(R107/'Optimal Choice'!$B$21)</f>
        <v>94.766822046469599</v>
      </c>
      <c r="G107" s="8">
        <f>(S107/$B107)+(S107/'Optimal Choice'!$B$26)</f>
        <v>88.850119664197081</v>
      </c>
      <c r="I107" s="11">
        <f t="shared" ref="I107:M107" si="105">IF(MIN($C106:$G106)=C106,I106+1,I106)</f>
        <v>52</v>
      </c>
      <c r="J107" s="11">
        <f t="shared" si="105"/>
        <v>23</v>
      </c>
      <c r="K107" s="11">
        <f t="shared" si="105"/>
        <v>18</v>
      </c>
      <c r="L107" s="11">
        <f t="shared" si="105"/>
        <v>10</v>
      </c>
      <c r="M107" s="11">
        <f t="shared" si="105"/>
        <v>3</v>
      </c>
      <c r="O107" s="10">
        <f>'Optimal Choice'!$B$7*'Optimal Choice'!$B$8^(I107+1)</f>
        <v>144.34448941736039</v>
      </c>
      <c r="P107" s="10">
        <f>'Optimal Choice'!$B$12*'Optimal Choice'!$B$13^(J107+1)</f>
        <v>1717.5105714672836</v>
      </c>
      <c r="Q107" s="10">
        <f>'Optimal Choice'!$B$17*'Optimal Choice'!$B$18^(K107+1)</f>
        <v>8680.098866434726</v>
      </c>
      <c r="R107" s="10">
        <f>'Optimal Choice'!$B$22*'Optimal Choice'!$B$23^(L107+1)</f>
        <v>33141.840341288604</v>
      </c>
      <c r="S107" s="10">
        <f>'Optimal Choice'!$B$27*'Optimal Choice'!$B$28^(M107+1)</f>
        <v>163142.48724480002</v>
      </c>
    </row>
    <row r="108" spans="1:19" ht="15.75" customHeight="1">
      <c r="A108" s="8">
        <f t="shared" si="0"/>
        <v>2.905944248387657</v>
      </c>
      <c r="B108" s="7">
        <f>(I108*'Optimal Choice'!$B$6+J108*'Optimal Choice'!$B$11+K108*'Optimal Choice'!$B$16+L108*'Optimal Choice'!$B$21+M108*'Optimal Choice'!$B$26)*'Optimal Choice'!$B$30</f>
        <v>12266.84</v>
      </c>
      <c r="C108" s="8">
        <f>(O108/$B108)+(O108/'Optimal Choice'!$B$6)</f>
        <v>86.445593045957096</v>
      </c>
      <c r="D108" s="8">
        <f>(P108/$B108)+(P108/'Optimal Choice'!$B$11)</f>
        <v>98.91787220024122</v>
      </c>
      <c r="E108" s="8">
        <f>(Q108/$B108)+(Q108/'Optimal Choice'!$B$16)</f>
        <v>97.153149717010592</v>
      </c>
      <c r="F108" s="8">
        <f>(R108/$B108)+(R108/'Optimal Choice'!$B$21)</f>
        <v>94.762409900502448</v>
      </c>
      <c r="G108" s="8">
        <f>(S108/$B108)+(S108/'Optimal Choice'!$B$26)</f>
        <v>88.82840063894821</v>
      </c>
      <c r="I108" s="11">
        <f t="shared" ref="I108:M108" si="106">IF(MIN($C107:$G107)=C107,I107+1,I107)</f>
        <v>52</v>
      </c>
      <c r="J108" s="11">
        <f t="shared" si="106"/>
        <v>24</v>
      </c>
      <c r="K108" s="11">
        <f t="shared" si="106"/>
        <v>18</v>
      </c>
      <c r="L108" s="11">
        <f t="shared" si="106"/>
        <v>10</v>
      </c>
      <c r="M108" s="11">
        <f t="shared" si="106"/>
        <v>3</v>
      </c>
      <c r="O108" s="10">
        <f>'Optimal Choice'!$B$7*'Optimal Choice'!$B$8^(I108+1)</f>
        <v>144.34448941736039</v>
      </c>
      <c r="P108" s="10">
        <f>'Optimal Choice'!$B$12*'Optimal Choice'!$B$13^(J108+1)</f>
        <v>1975.137157187376</v>
      </c>
      <c r="Q108" s="10">
        <f>'Optimal Choice'!$B$17*'Optimal Choice'!$B$18^(K108+1)</f>
        <v>8680.098866434726</v>
      </c>
      <c r="R108" s="10">
        <f>'Optimal Choice'!$B$22*'Optimal Choice'!$B$23^(L108+1)</f>
        <v>33141.840341288604</v>
      </c>
      <c r="S108" s="10">
        <f>'Optimal Choice'!$B$27*'Optimal Choice'!$B$28^(M108+1)</f>
        <v>163142.48724480002</v>
      </c>
    </row>
    <row r="109" spans="1:19" ht="15.75" customHeight="1">
      <c r="A109" s="8">
        <f t="shared" si="0"/>
        <v>2.9061403658466185</v>
      </c>
      <c r="B109" s="7">
        <f>(I109*'Optimal Choice'!$B$6+J109*'Optimal Choice'!$B$11+K109*'Optimal Choice'!$B$16+L109*'Optimal Choice'!$B$21+M109*'Optimal Choice'!$B$26)*'Optimal Choice'!$B$30</f>
        <v>12268.51</v>
      </c>
      <c r="C109" s="8">
        <f>(O109/$B109)+(O109/'Optimal Choice'!$B$6)</f>
        <v>92.496782845311756</v>
      </c>
      <c r="D109" s="8">
        <f>(P109/$B109)+(P109/'Optimal Choice'!$B$11)</f>
        <v>98.917850282832404</v>
      </c>
      <c r="E109" s="8">
        <f>(Q109/$B109)+(Q109/'Optimal Choice'!$B$16)</f>
        <v>97.153053396977967</v>
      </c>
      <c r="F109" s="8">
        <f>(R109/$B109)+(R109/'Optimal Choice'!$B$21)</f>
        <v>94.762042137048098</v>
      </c>
      <c r="G109" s="8">
        <f>(S109/$B109)+(S109/'Optimal Choice'!$B$26)</f>
        <v>88.826590303612505</v>
      </c>
      <c r="I109" s="11">
        <f t="shared" ref="I109:M109" si="107">IF(MIN($C108:$G108)=C108,I108+1,I108)</f>
        <v>53</v>
      </c>
      <c r="J109" s="11">
        <f t="shared" si="107"/>
        <v>24</v>
      </c>
      <c r="K109" s="11">
        <f t="shared" si="107"/>
        <v>18</v>
      </c>
      <c r="L109" s="11">
        <f t="shared" si="107"/>
        <v>10</v>
      </c>
      <c r="M109" s="11">
        <f t="shared" si="107"/>
        <v>3</v>
      </c>
      <c r="O109" s="10">
        <f>'Optimal Choice'!$B$7*'Optimal Choice'!$B$8^(I109+1)</f>
        <v>154.4486036765756</v>
      </c>
      <c r="P109" s="10">
        <f>'Optimal Choice'!$B$12*'Optimal Choice'!$B$13^(J109+1)</f>
        <v>1975.137157187376</v>
      </c>
      <c r="Q109" s="10">
        <f>'Optimal Choice'!$B$17*'Optimal Choice'!$B$18^(K109+1)</f>
        <v>8680.098866434726</v>
      </c>
      <c r="R109" s="10">
        <f>'Optimal Choice'!$B$22*'Optimal Choice'!$B$23^(L109+1)</f>
        <v>33141.840341288604</v>
      </c>
      <c r="S109" s="10">
        <f>'Optimal Choice'!$B$27*'Optimal Choice'!$B$28^(M109+1)</f>
        <v>163142.48724480002</v>
      </c>
    </row>
    <row r="110" spans="1:19" ht="15.75" customHeight="1">
      <c r="A110" s="8">
        <f t="shared" si="0"/>
        <v>3.1277680495734934</v>
      </c>
      <c r="B110" s="7">
        <f>(I110*'Optimal Choice'!$B$6+J110*'Optimal Choice'!$B$11+K110*'Optimal Choice'!$B$16+L110*'Optimal Choice'!$B$21+M110*'Optimal Choice'!$B$26)*'Optimal Choice'!$B$30</f>
        <v>14428.51</v>
      </c>
      <c r="C110" s="8">
        <f>(O110/$B110)+(O110/'Optimal Choice'!$B$6)</f>
        <v>92.494898222552607</v>
      </c>
      <c r="D110" s="8">
        <f>(P110/$B110)+(P110/'Optimal Choice'!$B$11)</f>
        <v>98.893749136235741</v>
      </c>
      <c r="E110" s="8">
        <f>(Q110/$B110)+(Q110/'Optimal Choice'!$B$16)</f>
        <v>97.047136532170796</v>
      </c>
      <c r="F110" s="8">
        <f>(R110/$B110)+(R110/'Optimal Choice'!$B$21)</f>
        <v>94.357636625440023</v>
      </c>
      <c r="G110" s="8">
        <f>(S110/$B110)+(S110/'Optimal Choice'!$B$26)</f>
        <v>97.256188372094002</v>
      </c>
      <c r="I110" s="11">
        <f t="shared" ref="I110:M110" si="108">IF(MIN($C109:$G109)=C109,I109+1,I109)</f>
        <v>53</v>
      </c>
      <c r="J110" s="11">
        <f t="shared" si="108"/>
        <v>24</v>
      </c>
      <c r="K110" s="11">
        <f t="shared" si="108"/>
        <v>18</v>
      </c>
      <c r="L110" s="11">
        <f t="shared" si="108"/>
        <v>10</v>
      </c>
      <c r="M110" s="11">
        <f t="shared" si="108"/>
        <v>4</v>
      </c>
      <c r="O110" s="10">
        <f>'Optimal Choice'!$B$7*'Optimal Choice'!$B$8^(I110+1)</f>
        <v>154.4486036765756</v>
      </c>
      <c r="P110" s="10">
        <f>'Optimal Choice'!$B$12*'Optimal Choice'!$B$13^(J110+1)</f>
        <v>1975.137157187376</v>
      </c>
      <c r="Q110" s="10">
        <f>'Optimal Choice'!$B$17*'Optimal Choice'!$B$18^(K110+1)</f>
        <v>8680.098866434726</v>
      </c>
      <c r="R110" s="10">
        <f>'Optimal Choice'!$B$22*'Optimal Choice'!$B$23^(L110+1)</f>
        <v>33141.840341288604</v>
      </c>
      <c r="S110" s="10">
        <f>'Optimal Choice'!$B$27*'Optimal Choice'!$B$28^(M110+1)</f>
        <v>182719.58571417606</v>
      </c>
    </row>
    <row r="111" spans="1:19" ht="15.75" customHeight="1">
      <c r="A111" s="8">
        <f t="shared" si="0"/>
        <v>3.127946456310891</v>
      </c>
      <c r="B111" s="7">
        <f>(I111*'Optimal Choice'!$B$6+J111*'Optimal Choice'!$B$11+K111*'Optimal Choice'!$B$16+L111*'Optimal Choice'!$B$21+M111*'Optimal Choice'!$B$26)*'Optimal Choice'!$B$30</f>
        <v>14430.18</v>
      </c>
      <c r="C111" s="8">
        <f>(O111/$B111)+(O111/'Optimal Choice'!$B$6)</f>
        <v>98.969539772596889</v>
      </c>
      <c r="D111" s="8">
        <f>(P111/$B111)+(P111/'Optimal Choice'!$B$11)</f>
        <v>98.89373329385316</v>
      </c>
      <c r="E111" s="8">
        <f>(Q111/$B111)+(Q111/'Optimal Choice'!$B$16)</f>
        <v>97.047066909943979</v>
      </c>
      <c r="F111" s="8">
        <f>(R111/$B111)+(R111/'Optimal Choice'!$B$21)</f>
        <v>94.357370797969551</v>
      </c>
      <c r="G111" s="8">
        <f>(S111/$B111)+(S111/'Optimal Choice'!$B$26)</f>
        <v>97.254722796109775</v>
      </c>
      <c r="I111" s="11">
        <f t="shared" ref="I111:M111" si="109">IF(MIN($C110:$G110)=C110,I110+1,I110)</f>
        <v>54</v>
      </c>
      <c r="J111" s="11">
        <f t="shared" si="109"/>
        <v>24</v>
      </c>
      <c r="K111" s="11">
        <f t="shared" si="109"/>
        <v>18</v>
      </c>
      <c r="L111" s="11">
        <f t="shared" si="109"/>
        <v>10</v>
      </c>
      <c r="M111" s="11">
        <f t="shared" si="109"/>
        <v>4</v>
      </c>
      <c r="O111" s="10">
        <f>'Optimal Choice'!$B$7*'Optimal Choice'!$B$8^(I111+1)</f>
        <v>165.2600059339359</v>
      </c>
      <c r="P111" s="10">
        <f>'Optimal Choice'!$B$12*'Optimal Choice'!$B$13^(J111+1)</f>
        <v>1975.137157187376</v>
      </c>
      <c r="Q111" s="10">
        <f>'Optimal Choice'!$B$17*'Optimal Choice'!$B$18^(K111+1)</f>
        <v>8680.098866434726</v>
      </c>
      <c r="R111" s="10">
        <f>'Optimal Choice'!$B$22*'Optimal Choice'!$B$23^(L111+1)</f>
        <v>33141.840341288604</v>
      </c>
      <c r="S111" s="10">
        <f>'Optimal Choice'!$B$27*'Optimal Choice'!$B$28^(M111+1)</f>
        <v>182719.58571417606</v>
      </c>
    </row>
    <row r="112" spans="1:19" ht="15.75" customHeight="1">
      <c r="A112" s="8">
        <f t="shared" si="0"/>
        <v>3.1662248426988739</v>
      </c>
      <c r="B112" s="7">
        <f>(I112*'Optimal Choice'!$B$6+J112*'Optimal Choice'!$B$11+K112*'Optimal Choice'!$B$16+L112*'Optimal Choice'!$B$21+M112*'Optimal Choice'!$B$26)*'Optimal Choice'!$B$30</f>
        <v>14790.18</v>
      </c>
      <c r="C112" s="8">
        <f>(O112/$B112)+(O112/'Optimal Choice'!$B$6)</f>
        <v>98.969261016062333</v>
      </c>
      <c r="D112" s="8">
        <f>(P112/$B112)+(P112/'Optimal Choice'!$B$11)</f>
        <v>98.890401680822464</v>
      </c>
      <c r="E112" s="8">
        <f>(Q112/$B112)+(Q112/'Optimal Choice'!$B$16)</f>
        <v>97.032425531553656</v>
      </c>
      <c r="F112" s="8">
        <f>(R112/$B112)+(R112/'Optimal Choice'!$B$21)</f>
        <v>106.56065878640339</v>
      </c>
      <c r="G112" s="8">
        <f>(S112/$B112)+(S112/'Optimal Choice'!$B$26)</f>
        <v>96.946515869560983</v>
      </c>
      <c r="I112" s="11">
        <f t="shared" ref="I112:M112" si="110">IF(MIN($C111:$G111)=C111,I111+1,I111)</f>
        <v>54</v>
      </c>
      <c r="J112" s="11">
        <f t="shared" si="110"/>
        <v>24</v>
      </c>
      <c r="K112" s="11">
        <f t="shared" si="110"/>
        <v>18</v>
      </c>
      <c r="L112" s="11">
        <f t="shared" si="110"/>
        <v>11</v>
      </c>
      <c r="M112" s="11">
        <f t="shared" si="110"/>
        <v>4</v>
      </c>
      <c r="O112" s="10">
        <f>'Optimal Choice'!$B$7*'Optimal Choice'!$B$8^(I112+1)</f>
        <v>165.2600059339359</v>
      </c>
      <c r="P112" s="10">
        <f>'Optimal Choice'!$B$12*'Optimal Choice'!$B$13^(J112+1)</f>
        <v>1975.137157187376</v>
      </c>
      <c r="Q112" s="10">
        <f>'Optimal Choice'!$B$17*'Optimal Choice'!$B$18^(K112+1)</f>
        <v>8680.098866434726</v>
      </c>
      <c r="R112" s="10">
        <f>'Optimal Choice'!$B$22*'Optimal Choice'!$B$23^(L112+1)</f>
        <v>37450.279585656121</v>
      </c>
      <c r="S112" s="10">
        <f>'Optimal Choice'!$B$27*'Optimal Choice'!$B$28^(M112+1)</f>
        <v>182719.58571417606</v>
      </c>
    </row>
    <row r="113" spans="1:19" ht="15.75" customHeight="1">
      <c r="A113" s="8">
        <f t="shared" si="0"/>
        <v>3.3721267606315566</v>
      </c>
      <c r="B113" s="7">
        <f>(I113*'Optimal Choice'!$B$6+J113*'Optimal Choice'!$B$11+K113*'Optimal Choice'!$B$16+L113*'Optimal Choice'!$B$21+M113*'Optimal Choice'!$B$26)*'Optimal Choice'!$B$30</f>
        <v>16950.18</v>
      </c>
      <c r="C113" s="8">
        <f>(O113/$B113)+(O113/'Optimal Choice'!$B$6)</f>
        <v>98.967837134910653</v>
      </c>
      <c r="D113" s="8">
        <f>(P113/$B113)+(P113/'Optimal Choice'!$B$11)</f>
        <v>98.873383887835018</v>
      </c>
      <c r="E113" s="8">
        <f>(Q113/$B113)+(Q113/'Optimal Choice'!$B$16)</f>
        <v>96.957637750319336</v>
      </c>
      <c r="F113" s="8">
        <f>(R113/$B113)+(R113/'Optimal Choice'!$B$21)</f>
        <v>106.23798696435227</v>
      </c>
      <c r="G113" s="8">
        <f>(S113/$B113)+(S113/'Optimal Choice'!$B$26)</f>
        <v>106.81686722463007</v>
      </c>
      <c r="I113" s="11">
        <f t="shared" ref="I113:M113" si="111">IF(MIN($C112:$G112)=C112,I112+1,I112)</f>
        <v>54</v>
      </c>
      <c r="J113" s="11">
        <f t="shared" si="111"/>
        <v>24</v>
      </c>
      <c r="K113" s="11">
        <f t="shared" si="111"/>
        <v>18</v>
      </c>
      <c r="L113" s="11">
        <f t="shared" si="111"/>
        <v>11</v>
      </c>
      <c r="M113" s="11">
        <f t="shared" si="111"/>
        <v>5</v>
      </c>
      <c r="O113" s="10">
        <f>'Optimal Choice'!$B$7*'Optimal Choice'!$B$8^(I113+1)</f>
        <v>165.2600059339359</v>
      </c>
      <c r="P113" s="10">
        <f>'Optimal Choice'!$B$12*'Optimal Choice'!$B$13^(J113+1)</f>
        <v>1975.137157187376</v>
      </c>
      <c r="Q113" s="10">
        <f>'Optimal Choice'!$B$17*'Optimal Choice'!$B$18^(K113+1)</f>
        <v>8680.098866434726</v>
      </c>
      <c r="R113" s="10">
        <f>'Optimal Choice'!$B$22*'Optimal Choice'!$B$23^(L113+1)</f>
        <v>37450.279585656121</v>
      </c>
      <c r="S113" s="10">
        <f>'Optimal Choice'!$B$27*'Optimal Choice'!$B$28^(M113+1)</f>
        <v>204645.9359998772</v>
      </c>
    </row>
    <row r="114" spans="1:19" ht="15.75" customHeight="1">
      <c r="A114" s="8">
        <f t="shared" si="0"/>
        <v>3.3806616737971145</v>
      </c>
      <c r="B114" s="7">
        <f>(I114*'Optimal Choice'!$B$6+J114*'Optimal Choice'!$B$11+K114*'Optimal Choice'!$B$16+L114*'Optimal Choice'!$B$21+M114*'Optimal Choice'!$B$26)*'Optimal Choice'!$B$30</f>
        <v>17040.18</v>
      </c>
      <c r="C114" s="8">
        <f>(O114/$B114)+(O114/'Optimal Choice'!$B$6)</f>
        <v>98.967785640299752</v>
      </c>
      <c r="D114" s="8">
        <f>(P114/$B114)+(P114/'Optimal Choice'!$B$11)</f>
        <v>98.872768439960524</v>
      </c>
      <c r="E114" s="8">
        <f>(Q114/$B114)+(Q114/'Optimal Choice'!$B$16)</f>
        <v>110.52862368029105</v>
      </c>
      <c r="F114" s="8">
        <f>(R114/$B114)+(R114/'Optimal Choice'!$B$21)</f>
        <v>106.22631754945303</v>
      </c>
      <c r="G114" s="8">
        <f>(S114/$B114)+(S114/'Optimal Choice'!$B$26)</f>
        <v>106.75310005490405</v>
      </c>
      <c r="I114" s="11">
        <f t="shared" ref="I114:M114" si="112">IF(MIN($C113:$G113)=C113,I113+1,I113)</f>
        <v>54</v>
      </c>
      <c r="J114" s="11">
        <f t="shared" si="112"/>
        <v>24</v>
      </c>
      <c r="K114" s="11">
        <f t="shared" si="112"/>
        <v>19</v>
      </c>
      <c r="L114" s="11">
        <f t="shared" si="112"/>
        <v>11</v>
      </c>
      <c r="M114" s="11">
        <f t="shared" si="112"/>
        <v>5</v>
      </c>
      <c r="O114" s="10">
        <f>'Optimal Choice'!$B$7*'Optimal Choice'!$B$8^(I114+1)</f>
        <v>165.2600059339359</v>
      </c>
      <c r="P114" s="10">
        <f>'Optimal Choice'!$B$12*'Optimal Choice'!$B$13^(J114+1)</f>
        <v>1975.137157187376</v>
      </c>
      <c r="Q114" s="10">
        <f>'Optimal Choice'!$B$17*'Optimal Choice'!$B$18^(K114+1)</f>
        <v>9895.3127077355857</v>
      </c>
      <c r="R114" s="10">
        <f>'Optimal Choice'!$B$22*'Optimal Choice'!$B$23^(L114+1)</f>
        <v>37450.279585656121</v>
      </c>
      <c r="S114" s="10">
        <f>'Optimal Choice'!$B$27*'Optimal Choice'!$B$28^(M114+1)</f>
        <v>204645.9359998772</v>
      </c>
    </row>
    <row r="115" spans="1:19" ht="15.75" customHeight="1">
      <c r="A115" s="8">
        <f t="shared" si="0"/>
        <v>3.3825935168069763</v>
      </c>
      <c r="B115" s="7">
        <f>(I115*'Optimal Choice'!$B$6+J115*'Optimal Choice'!$B$11+K115*'Optimal Choice'!$B$16+L115*'Optimal Choice'!$B$21+M115*'Optimal Choice'!$B$26)*'Optimal Choice'!$B$30</f>
        <v>17060.18</v>
      </c>
      <c r="C115" s="8">
        <f>(O115/$B115)+(O115/'Optimal Choice'!$B$6)</f>
        <v>98.96777427083623</v>
      </c>
      <c r="D115" s="8">
        <f>(P115/$B115)+(P115/'Optimal Choice'!$B$11)</f>
        <v>113.70352743894254</v>
      </c>
      <c r="E115" s="8">
        <f>(Q115/$B115)+(Q115/'Optimal Choice'!$B$16)</f>
        <v>110.52794290821777</v>
      </c>
      <c r="F115" s="8">
        <f>(R115/$B115)+(R115/'Optimal Choice'!$B$21)</f>
        <v>106.22374106650285</v>
      </c>
      <c r="G115" s="8">
        <f>(S115/$B115)+(S115/'Optimal Choice'!$B$26)</f>
        <v>106.73902094065548</v>
      </c>
      <c r="I115" s="11">
        <f t="shared" ref="I115:M115" si="113">IF(MIN($C114:$G114)=C114,I114+1,I114)</f>
        <v>54</v>
      </c>
      <c r="J115" s="11">
        <f t="shared" si="113"/>
        <v>25</v>
      </c>
      <c r="K115" s="11">
        <f t="shared" si="113"/>
        <v>19</v>
      </c>
      <c r="L115" s="11">
        <f t="shared" si="113"/>
        <v>11</v>
      </c>
      <c r="M115" s="11">
        <f t="shared" si="113"/>
        <v>5</v>
      </c>
      <c r="O115" s="10">
        <f>'Optimal Choice'!$B$7*'Optimal Choice'!$B$8^(I115+1)</f>
        <v>165.2600059339359</v>
      </c>
      <c r="P115" s="10">
        <f>'Optimal Choice'!$B$12*'Optimal Choice'!$B$13^(J115+1)</f>
        <v>2271.4077307654825</v>
      </c>
      <c r="Q115" s="10">
        <f>'Optimal Choice'!$B$17*'Optimal Choice'!$B$18^(K115+1)</f>
        <v>9895.3127077355857</v>
      </c>
      <c r="R115" s="10">
        <f>'Optimal Choice'!$B$22*'Optimal Choice'!$B$23^(L115+1)</f>
        <v>37450.279585656121</v>
      </c>
      <c r="S115" s="10">
        <f>'Optimal Choice'!$B$27*'Optimal Choice'!$B$28^(M115+1)</f>
        <v>204645.9359998772</v>
      </c>
    </row>
    <row r="116" spans="1:19" ht="15.75" customHeight="1">
      <c r="A116" s="8">
        <f t="shared" si="0"/>
        <v>3.3827549648944073</v>
      </c>
      <c r="B116" s="7">
        <f>(I116*'Optimal Choice'!$B$6+J116*'Optimal Choice'!$B$11+K116*'Optimal Choice'!$B$16+L116*'Optimal Choice'!$B$21+M116*'Optimal Choice'!$B$26)*'Optimal Choice'!$B$30</f>
        <v>17061.849999999999</v>
      </c>
      <c r="C116" s="8">
        <f>(O116/$B116)+(O116/'Optimal Choice'!$B$6)</f>
        <v>105.89551745528021</v>
      </c>
      <c r="D116" s="8">
        <f>(P116/$B116)+(P116/'Optimal Choice'!$B$11)</f>
        <v>113.70351440721949</v>
      </c>
      <c r="E116" s="8">
        <f>(Q116/$B116)+(Q116/'Optimal Choice'!$B$16)</f>
        <v>110.52788613594696</v>
      </c>
      <c r="F116" s="8">
        <f>(R116/$B116)+(R116/'Optimal Choice'!$B$21)</f>
        <v>106.22352620341793</v>
      </c>
      <c r="G116" s="8">
        <f>(S116/$B116)+(S116/'Optimal Choice'!$B$26)</f>
        <v>106.73784682773532</v>
      </c>
      <c r="I116" s="11">
        <f t="shared" ref="I116:M116" si="114">IF(MIN($C115:$G115)=C115,I115+1,I115)</f>
        <v>55</v>
      </c>
      <c r="J116" s="11">
        <f t="shared" si="114"/>
        <v>25</v>
      </c>
      <c r="K116" s="11">
        <f t="shared" si="114"/>
        <v>19</v>
      </c>
      <c r="L116" s="11">
        <f t="shared" si="114"/>
        <v>11</v>
      </c>
      <c r="M116" s="11">
        <f t="shared" si="114"/>
        <v>5</v>
      </c>
      <c r="O116" s="10">
        <f>'Optimal Choice'!$B$7*'Optimal Choice'!$B$8^(I116+1)</f>
        <v>176.82820634931142</v>
      </c>
      <c r="P116" s="10">
        <f>'Optimal Choice'!$B$12*'Optimal Choice'!$B$13^(J116+1)</f>
        <v>2271.4077307654825</v>
      </c>
      <c r="Q116" s="10">
        <f>'Optimal Choice'!$B$17*'Optimal Choice'!$B$18^(K116+1)</f>
        <v>9895.3127077355857</v>
      </c>
      <c r="R116" s="10">
        <f>'Optimal Choice'!$B$22*'Optimal Choice'!$B$23^(L116+1)</f>
        <v>37450.279585656121</v>
      </c>
      <c r="S116" s="10">
        <f>'Optimal Choice'!$B$27*'Optimal Choice'!$B$28^(M116+1)</f>
        <v>204645.9359998772</v>
      </c>
    </row>
    <row r="117" spans="1:19" ht="15.75" customHeight="1">
      <c r="A117" s="8">
        <f t="shared" si="0"/>
        <v>3.3829276974393827</v>
      </c>
      <c r="B117" s="7">
        <f>(I117*'Optimal Choice'!$B$6+J117*'Optimal Choice'!$B$11+K117*'Optimal Choice'!$B$16+L117*'Optimal Choice'!$B$21+M117*'Optimal Choice'!$B$26)*'Optimal Choice'!$B$30</f>
        <v>17063.52</v>
      </c>
      <c r="C117" s="8">
        <f>(O117/$B117)+(O117/'Optimal Choice'!$B$6)</f>
        <v>113.30820259183173</v>
      </c>
      <c r="D117" s="8">
        <f>(P117/$B117)+(P117/'Optimal Choice'!$B$11)</f>
        <v>113.70350137804725</v>
      </c>
      <c r="E117" s="8">
        <f>(Q117/$B117)+(Q117/'Optimal Choice'!$B$16)</f>
        <v>110.52782937478871</v>
      </c>
      <c r="F117" s="8">
        <f>(R117/$B117)+(R117/'Optimal Choice'!$B$21)</f>
        <v>106.22331138239015</v>
      </c>
      <c r="G117" s="8">
        <f>(S117/$B117)+(S117/'Optimal Choice'!$B$26)</f>
        <v>106.73667294463513</v>
      </c>
      <c r="I117" s="11">
        <f t="shared" ref="I117:M117" si="115">IF(MIN($C116:$G116)=C116,I116+1,I116)</f>
        <v>56</v>
      </c>
      <c r="J117" s="11">
        <f t="shared" si="115"/>
        <v>25</v>
      </c>
      <c r="K117" s="11">
        <f t="shared" si="115"/>
        <v>19</v>
      </c>
      <c r="L117" s="11">
        <f t="shared" si="115"/>
        <v>11</v>
      </c>
      <c r="M117" s="11">
        <f t="shared" si="115"/>
        <v>5</v>
      </c>
      <c r="O117" s="10">
        <f>'Optimal Choice'!$B$7*'Optimal Choice'!$B$8^(I117+1)</f>
        <v>189.20618079376322</v>
      </c>
      <c r="P117" s="10">
        <f>'Optimal Choice'!$B$12*'Optimal Choice'!$B$13^(J117+1)</f>
        <v>2271.4077307654825</v>
      </c>
      <c r="Q117" s="10">
        <f>'Optimal Choice'!$B$17*'Optimal Choice'!$B$18^(K117+1)</f>
        <v>9895.3127077355857</v>
      </c>
      <c r="R117" s="10">
        <f>'Optimal Choice'!$B$22*'Optimal Choice'!$B$23^(L117+1)</f>
        <v>37450.279585656121</v>
      </c>
      <c r="S117" s="10">
        <f>'Optimal Choice'!$B$27*'Optimal Choice'!$B$28^(M117+1)</f>
        <v>204645.9359998772</v>
      </c>
    </row>
    <row r="118" spans="1:19" ht="15.75" customHeight="1">
      <c r="A118" s="8">
        <f t="shared" si="0"/>
        <v>3.4195069804025464</v>
      </c>
      <c r="B118" s="7">
        <f>(I118*'Optimal Choice'!$B$6+J118*'Optimal Choice'!$B$11+K118*'Optimal Choice'!$B$16+L118*'Optimal Choice'!$B$21+M118*'Optimal Choice'!$B$26)*'Optimal Choice'!$B$30</f>
        <v>17423.52</v>
      </c>
      <c r="C118" s="8">
        <f>(O118/$B118)+(O118/'Optimal Choice'!$B$6)</f>
        <v>113.30797348750235</v>
      </c>
      <c r="D118" s="8">
        <f>(P118/$B118)+(P118/'Optimal Choice'!$B$11)</f>
        <v>113.70075099567225</v>
      </c>
      <c r="E118" s="8">
        <f>(Q118/$B118)+(Q118/'Optimal Choice'!$B$16)</f>
        <v>110.51584742487378</v>
      </c>
      <c r="F118" s="8">
        <f>(R118/$B118)+(R118/'Optimal Choice'!$B$21)</f>
        <v>119.98109922349715</v>
      </c>
      <c r="G118" s="8">
        <f>(S118/$B118)+(S118/'Optimal Choice'!$B$26)</f>
        <v>106.48887305918781</v>
      </c>
      <c r="I118" s="11">
        <f t="shared" ref="I118:M118" si="116">IF(MIN($C117:$G117)=C117,I117+1,I117)</f>
        <v>56</v>
      </c>
      <c r="J118" s="11">
        <f t="shared" si="116"/>
        <v>25</v>
      </c>
      <c r="K118" s="11">
        <f t="shared" si="116"/>
        <v>19</v>
      </c>
      <c r="L118" s="11">
        <f t="shared" si="116"/>
        <v>12</v>
      </c>
      <c r="M118" s="11">
        <f t="shared" si="116"/>
        <v>5</v>
      </c>
      <c r="O118" s="10">
        <f>'Optimal Choice'!$B$7*'Optimal Choice'!$B$8^(I118+1)</f>
        <v>189.20618079376322</v>
      </c>
      <c r="P118" s="10">
        <f>'Optimal Choice'!$B$12*'Optimal Choice'!$B$13^(J118+1)</f>
        <v>2271.4077307654825</v>
      </c>
      <c r="Q118" s="10">
        <f>'Optimal Choice'!$B$17*'Optimal Choice'!$B$18^(K118+1)</f>
        <v>9895.3127077355857</v>
      </c>
      <c r="R118" s="10">
        <f>'Optimal Choice'!$B$22*'Optimal Choice'!$B$23^(L118+1)</f>
        <v>42318.815931791418</v>
      </c>
      <c r="S118" s="10">
        <f>'Optimal Choice'!$B$27*'Optimal Choice'!$B$28^(M118+1)</f>
        <v>204645.9359998772</v>
      </c>
    </row>
    <row r="119" spans="1:19" ht="15.75" customHeight="1">
      <c r="A119" s="8">
        <f t="shared" si="0"/>
        <v>3.6152633832418091</v>
      </c>
      <c r="B119" s="7">
        <f>(I119*'Optimal Choice'!$B$6+J119*'Optimal Choice'!$B$11+K119*'Optimal Choice'!$B$16+L119*'Optimal Choice'!$B$21+M119*'Optimal Choice'!$B$26)*'Optimal Choice'!$B$30</f>
        <v>19583.52</v>
      </c>
      <c r="C119" s="8">
        <f>(O119/$B119)+(O119/'Optimal Choice'!$B$6)</f>
        <v>113.30677574788055</v>
      </c>
      <c r="D119" s="8">
        <f>(P119/$B119)+(P119/'Optimal Choice'!$B$11)</f>
        <v>113.68637221044978</v>
      </c>
      <c r="E119" s="8">
        <f>(Q119/$B119)+(Q119/'Optimal Choice'!$B$16)</f>
        <v>110.45320672227929</v>
      </c>
      <c r="F119" s="8">
        <f>(R119/$B119)+(R119/'Optimal Choice'!$B$21)</f>
        <v>119.71320669283844</v>
      </c>
      <c r="G119" s="8">
        <f>(S119/$B119)+(S119/'Optimal Choice'!$B$26)</f>
        <v>117.81660186661995</v>
      </c>
      <c r="I119" s="11">
        <f t="shared" ref="I119:M119" si="117">IF(MIN($C118:$G118)=C118,I118+1,I118)</f>
        <v>56</v>
      </c>
      <c r="J119" s="11">
        <f t="shared" si="117"/>
        <v>25</v>
      </c>
      <c r="K119" s="11">
        <f t="shared" si="117"/>
        <v>19</v>
      </c>
      <c r="L119" s="11">
        <f t="shared" si="117"/>
        <v>12</v>
      </c>
      <c r="M119" s="11">
        <f t="shared" si="117"/>
        <v>6</v>
      </c>
      <c r="O119" s="10">
        <f>'Optimal Choice'!$B$7*'Optimal Choice'!$B$8^(I119+1)</f>
        <v>189.20618079376322</v>
      </c>
      <c r="P119" s="10">
        <f>'Optimal Choice'!$B$12*'Optimal Choice'!$B$13^(J119+1)</f>
        <v>2271.4077307654825</v>
      </c>
      <c r="Q119" s="10">
        <f>'Optimal Choice'!$B$17*'Optimal Choice'!$B$18^(K119+1)</f>
        <v>9895.3127077355857</v>
      </c>
      <c r="R119" s="10">
        <f>'Optimal Choice'!$B$22*'Optimal Choice'!$B$23^(L119+1)</f>
        <v>42318.815931791418</v>
      </c>
      <c r="S119" s="10">
        <f>'Optimal Choice'!$B$27*'Optimal Choice'!$B$28^(M119+1)</f>
        <v>229203.44831986248</v>
      </c>
    </row>
    <row r="120" spans="1:19" ht="15.75" customHeight="1">
      <c r="A120" s="8">
        <f t="shared" si="0"/>
        <v>3.6236848456991333</v>
      </c>
      <c r="B120" s="7">
        <f>(I120*'Optimal Choice'!$B$6+J120*'Optimal Choice'!$B$11+K120*'Optimal Choice'!$B$16+L120*'Optimal Choice'!$B$21+M120*'Optimal Choice'!$B$26)*'Optimal Choice'!$B$30</f>
        <v>19673.52</v>
      </c>
      <c r="C120" s="8">
        <f>(O120/$B120)+(O120/'Optimal Choice'!$B$6)</f>
        <v>113.30673154963792</v>
      </c>
      <c r="D120" s="8">
        <f>(P120/$B120)+(P120/'Optimal Choice'!$B$11)</f>
        <v>113.68584161345973</v>
      </c>
      <c r="E120" s="8">
        <f>(Q120/$B120)+(Q120/'Optimal Choice'!$B$16)</f>
        <v>125.91402052119265</v>
      </c>
      <c r="F120" s="8">
        <f>(R120/$B120)+(R120/'Optimal Choice'!$B$21)</f>
        <v>119.70332108927551</v>
      </c>
      <c r="G120" s="8">
        <f>(S120/$B120)+(S120/'Optimal Choice'!$B$26)</f>
        <v>117.76306033017902</v>
      </c>
      <c r="I120" s="11">
        <f t="shared" ref="I120:M120" si="118">IF(MIN($C119:$G119)=C119,I119+1,I119)</f>
        <v>56</v>
      </c>
      <c r="J120" s="11">
        <f t="shared" si="118"/>
        <v>25</v>
      </c>
      <c r="K120" s="11">
        <f t="shared" si="118"/>
        <v>20</v>
      </c>
      <c r="L120" s="11">
        <f t="shared" si="118"/>
        <v>12</v>
      </c>
      <c r="M120" s="11">
        <f t="shared" si="118"/>
        <v>6</v>
      </c>
      <c r="O120" s="10">
        <f>'Optimal Choice'!$B$7*'Optimal Choice'!$B$8^(I120+1)</f>
        <v>189.20618079376322</v>
      </c>
      <c r="P120" s="10">
        <f>'Optimal Choice'!$B$12*'Optimal Choice'!$B$13^(J120+1)</f>
        <v>2271.4077307654825</v>
      </c>
      <c r="Q120" s="10">
        <f>'Optimal Choice'!$B$17*'Optimal Choice'!$B$18^(K120+1)</f>
        <v>11280.656486818567</v>
      </c>
      <c r="R120" s="10">
        <f>'Optimal Choice'!$B$22*'Optimal Choice'!$B$23^(L120+1)</f>
        <v>42318.815931791418</v>
      </c>
      <c r="S120" s="10">
        <f>'Optimal Choice'!$B$27*'Optimal Choice'!$B$28^(M120+1)</f>
        <v>229203.44831986248</v>
      </c>
    </row>
    <row r="121" spans="1:19" ht="15.75" customHeight="1">
      <c r="A121" s="8">
        <f t="shared" si="0"/>
        <v>3.6238451340637252</v>
      </c>
      <c r="B121" s="7">
        <f>(I121*'Optimal Choice'!$B$6+J121*'Optimal Choice'!$B$11+K121*'Optimal Choice'!$B$16+L121*'Optimal Choice'!$B$21+M121*'Optimal Choice'!$B$26)*'Optimal Choice'!$B$30</f>
        <v>19675.190000000002</v>
      </c>
      <c r="C121" s="8">
        <f>(O121/$B121)+(O121/'Optimal Choice'!$B$6)</f>
        <v>121.23820188466958</v>
      </c>
      <c r="D121" s="8">
        <f>(P121/$B121)+(P121/'Optimal Choice'!$B$11)</f>
        <v>113.68583181380973</v>
      </c>
      <c r="E121" s="8">
        <f>(Q121/$B121)+(Q121/'Optimal Choice'!$B$16)</f>
        <v>125.91397185248216</v>
      </c>
      <c r="F121" s="8">
        <f>(R121/$B121)+(R121/'Optimal Choice'!$B$21)</f>
        <v>119.70313851105378</v>
      </c>
      <c r="G121" s="8">
        <f>(S121/$B121)+(S121/'Optimal Choice'!$B$26)</f>
        <v>117.76207146607484</v>
      </c>
      <c r="I121" s="11">
        <f t="shared" ref="I121:M121" si="119">IF(MIN($C120:$G120)=C120,I120+1,I120)</f>
        <v>57</v>
      </c>
      <c r="J121" s="11">
        <f t="shared" si="119"/>
        <v>25</v>
      </c>
      <c r="K121" s="11">
        <f t="shared" si="119"/>
        <v>20</v>
      </c>
      <c r="L121" s="11">
        <f t="shared" si="119"/>
        <v>12</v>
      </c>
      <c r="M121" s="11">
        <f t="shared" si="119"/>
        <v>6</v>
      </c>
      <c r="O121" s="10">
        <f>'Optimal Choice'!$B$7*'Optimal Choice'!$B$8^(I121+1)</f>
        <v>202.45061344932662</v>
      </c>
      <c r="P121" s="10">
        <f>'Optimal Choice'!$B$12*'Optimal Choice'!$B$13^(J121+1)</f>
        <v>2271.4077307654825</v>
      </c>
      <c r="Q121" s="10">
        <f>'Optimal Choice'!$B$17*'Optimal Choice'!$B$18^(K121+1)</f>
        <v>11280.656486818567</v>
      </c>
      <c r="R121" s="10">
        <f>'Optimal Choice'!$B$22*'Optimal Choice'!$B$23^(L121+1)</f>
        <v>42318.815931791418</v>
      </c>
      <c r="S121" s="10">
        <f>'Optimal Choice'!$B$27*'Optimal Choice'!$B$28^(M121+1)</f>
        <v>229203.44831986248</v>
      </c>
    </row>
    <row r="122" spans="1:19" ht="15.75" customHeight="1">
      <c r="A122" s="8">
        <f t="shared" si="0"/>
        <v>3.6257692219893185</v>
      </c>
      <c r="B122" s="7">
        <f>(I122*'Optimal Choice'!$B$6+J122*'Optimal Choice'!$B$11+K122*'Optimal Choice'!$B$16+L122*'Optimal Choice'!$B$21+M122*'Optimal Choice'!$B$26)*'Optimal Choice'!$B$30</f>
        <v>19695.190000000002</v>
      </c>
      <c r="C122" s="8">
        <f>(O122/$B122)+(O122/'Optimal Choice'!$B$6)</f>
        <v>121.23819143578376</v>
      </c>
      <c r="D122" s="8">
        <f>(P122/$B122)+(P122/'Optimal Choice'!$B$11)</f>
        <v>130.73857176913975</v>
      </c>
      <c r="E122" s="8">
        <f>(Q122/$B122)+(Q122/'Optimal Choice'!$B$16)</f>
        <v>125.91338963497508</v>
      </c>
      <c r="F122" s="8">
        <f>(R122/$B122)+(R122/'Optimal Choice'!$B$21)</f>
        <v>119.70095435133372</v>
      </c>
      <c r="G122" s="8">
        <f>(S122/$B122)+(S122/'Optimal Choice'!$B$26)</f>
        <v>117.75024181232629</v>
      </c>
      <c r="I122" s="11">
        <f t="shared" ref="I122:M122" si="120">IF(MIN($C121:$G121)=C121,I121+1,I121)</f>
        <v>57</v>
      </c>
      <c r="J122" s="11">
        <f t="shared" si="120"/>
        <v>26</v>
      </c>
      <c r="K122" s="11">
        <f t="shared" si="120"/>
        <v>20</v>
      </c>
      <c r="L122" s="11">
        <f t="shared" si="120"/>
        <v>12</v>
      </c>
      <c r="M122" s="11">
        <f t="shared" si="120"/>
        <v>6</v>
      </c>
      <c r="O122" s="10">
        <f>'Optimal Choice'!$B$7*'Optimal Choice'!$B$8^(I122+1)</f>
        <v>202.45061344932662</v>
      </c>
      <c r="P122" s="10">
        <f>'Optimal Choice'!$B$12*'Optimal Choice'!$B$13^(J122+1)</f>
        <v>2612.1188903803045</v>
      </c>
      <c r="Q122" s="10">
        <f>'Optimal Choice'!$B$17*'Optimal Choice'!$B$18^(K122+1)</f>
        <v>11280.656486818567</v>
      </c>
      <c r="R122" s="10">
        <f>'Optimal Choice'!$B$22*'Optimal Choice'!$B$23^(L122+1)</f>
        <v>42318.815931791418</v>
      </c>
      <c r="S122" s="10">
        <f>'Optimal Choice'!$B$27*'Optimal Choice'!$B$28^(M122+1)</f>
        <v>229203.44831986248</v>
      </c>
    </row>
    <row r="123" spans="1:19" ht="15.75" customHeight="1">
      <c r="A123" s="8">
        <f t="shared" si="0"/>
        <v>3.8197281262698919</v>
      </c>
      <c r="B123" s="7">
        <f>(I123*'Optimal Choice'!$B$6+J123*'Optimal Choice'!$B$11+K123*'Optimal Choice'!$B$16+L123*'Optimal Choice'!$B$21+M123*'Optimal Choice'!$B$26)*'Optimal Choice'!$B$30</f>
        <v>21855.190000000002</v>
      </c>
      <c r="C123" s="8">
        <f>(O123/$B123)+(O123/'Optimal Choice'!$B$6)</f>
        <v>121.23717551911297</v>
      </c>
      <c r="D123" s="8">
        <f>(P123/$B123)+(P123/'Optimal Choice'!$B$11)</f>
        <v>130.72546390504573</v>
      </c>
      <c r="E123" s="8">
        <f>(Q123/$B123)+(Q123/'Optimal Choice'!$B$16)</f>
        <v>125.85678221459115</v>
      </c>
      <c r="F123" s="8">
        <f>(R123/$B123)+(R123/'Optimal Choice'!$B$21)</f>
        <v>119.48859445841435</v>
      </c>
      <c r="G123" s="8">
        <f>(S123/$B123)+(S123/'Optimal Choice'!$B$26)</f>
        <v>130.59208606114714</v>
      </c>
      <c r="I123" s="11">
        <f t="shared" ref="I123:M123" si="121">IF(MIN($C122:$G122)=C122,I122+1,I122)</f>
        <v>57</v>
      </c>
      <c r="J123" s="11">
        <f t="shared" si="121"/>
        <v>26</v>
      </c>
      <c r="K123" s="11">
        <f t="shared" si="121"/>
        <v>20</v>
      </c>
      <c r="L123" s="11">
        <f t="shared" si="121"/>
        <v>12</v>
      </c>
      <c r="M123" s="11">
        <f t="shared" si="121"/>
        <v>7</v>
      </c>
      <c r="O123" s="10">
        <f>'Optimal Choice'!$B$7*'Optimal Choice'!$B$8^(I123+1)</f>
        <v>202.45061344932662</v>
      </c>
      <c r="P123" s="10">
        <f>'Optimal Choice'!$B$12*'Optimal Choice'!$B$13^(J123+1)</f>
        <v>2612.1188903803045</v>
      </c>
      <c r="Q123" s="10">
        <f>'Optimal Choice'!$B$17*'Optimal Choice'!$B$18^(K123+1)</f>
        <v>11280.656486818567</v>
      </c>
      <c r="R123" s="10">
        <f>'Optimal Choice'!$B$22*'Optimal Choice'!$B$23^(L123+1)</f>
        <v>42318.815931791418</v>
      </c>
      <c r="S123" s="10">
        <f>'Optimal Choice'!$B$27*'Optimal Choice'!$B$28^(M123+1)</f>
        <v>256707.862118246</v>
      </c>
    </row>
    <row r="124" spans="1:19" ht="15.75" customHeight="1">
      <c r="A124" s="8">
        <f t="shared" si="0"/>
        <v>3.8520002592901581</v>
      </c>
      <c r="B124" s="7">
        <f>(I124*'Optimal Choice'!$B$6+J124*'Optimal Choice'!$B$11+K124*'Optimal Choice'!$B$16+L124*'Optimal Choice'!$B$21+M124*'Optimal Choice'!$B$26)*'Optimal Choice'!$B$30</f>
        <v>22215.190000000002</v>
      </c>
      <c r="C124" s="8">
        <f>(O124/$B124)+(O124/'Optimal Choice'!$B$6)</f>
        <v>121.23702540657094</v>
      </c>
      <c r="D124" s="8">
        <f>(P124/$B124)+(P124/'Optimal Choice'!$B$11)</f>
        <v>130.72352707808315</v>
      </c>
      <c r="E124" s="8">
        <f>(Q124/$B124)+(Q124/'Optimal Choice'!$B$16)</f>
        <v>125.84841786344319</v>
      </c>
      <c r="F124" s="8">
        <f>(R124/$B124)+(R124/'Optimal Choice'!$B$21)</f>
        <v>134.98665409741369</v>
      </c>
      <c r="G124" s="8">
        <f>(S124/$B124)+(S124/'Optimal Choice'!$B$26)</f>
        <v>130.40174299878132</v>
      </c>
      <c r="I124" s="11">
        <f t="shared" ref="I124:M124" si="122">IF(MIN($C123:$G123)=C123,I123+1,I123)</f>
        <v>57</v>
      </c>
      <c r="J124" s="11">
        <f t="shared" si="122"/>
        <v>26</v>
      </c>
      <c r="K124" s="11">
        <f t="shared" si="122"/>
        <v>20</v>
      </c>
      <c r="L124" s="11">
        <f t="shared" si="122"/>
        <v>13</v>
      </c>
      <c r="M124" s="11">
        <f t="shared" si="122"/>
        <v>7</v>
      </c>
      <c r="O124" s="10">
        <f>'Optimal Choice'!$B$7*'Optimal Choice'!$B$8^(I124+1)</f>
        <v>202.45061344932662</v>
      </c>
      <c r="P124" s="10">
        <f>'Optimal Choice'!$B$12*'Optimal Choice'!$B$13^(J124+1)</f>
        <v>2612.1188903803045</v>
      </c>
      <c r="Q124" s="10">
        <f>'Optimal Choice'!$B$17*'Optimal Choice'!$B$18^(K124+1)</f>
        <v>11280.656486818567</v>
      </c>
      <c r="R124" s="10">
        <f>'Optimal Choice'!$B$22*'Optimal Choice'!$B$23^(L124+1)</f>
        <v>47820.26200292429</v>
      </c>
      <c r="S124" s="10">
        <f>'Optimal Choice'!$B$27*'Optimal Choice'!$B$28^(M124+1)</f>
        <v>256707.862118246</v>
      </c>
    </row>
    <row r="125" spans="1:19" ht="15.75" customHeight="1">
      <c r="A125" s="8">
        <f t="shared" si="0"/>
        <v>3.8521521453145775</v>
      </c>
      <c r="B125" s="7">
        <f>(I125*'Optimal Choice'!$B$6+J125*'Optimal Choice'!$B$11+K125*'Optimal Choice'!$B$16+L125*'Optimal Choice'!$B$21+M125*'Optimal Choice'!$B$26)*'Optimal Choice'!$B$30</f>
        <v>22216.86</v>
      </c>
      <c r="C125" s="8">
        <f>(O125/$B125)+(O125/'Optimal Choice'!$B$6)</f>
        <v>129.72361645206021</v>
      </c>
      <c r="D125" s="8">
        <f>(P125/$B125)+(P125/'Optimal Choice'!$B$11)</f>
        <v>130.72351823962111</v>
      </c>
      <c r="E125" s="8">
        <f>(Q125/$B125)+(Q125/'Optimal Choice'!$B$16)</f>
        <v>125.84837969379691</v>
      </c>
      <c r="F125" s="8">
        <f>(R125/$B125)+(R125/'Optimal Choice'!$B$21)</f>
        <v>134.98649229100749</v>
      </c>
      <c r="G125" s="8">
        <f>(S125/$B125)+(S125/'Optimal Choice'!$B$26)</f>
        <v>130.40087439256979</v>
      </c>
      <c r="I125" s="11">
        <f t="shared" ref="I125:M125" si="123">IF(MIN($C124:$G124)=C124,I124+1,I124)</f>
        <v>58</v>
      </c>
      <c r="J125" s="11">
        <f t="shared" si="123"/>
        <v>26</v>
      </c>
      <c r="K125" s="11">
        <f t="shared" si="123"/>
        <v>20</v>
      </c>
      <c r="L125" s="11">
        <f t="shared" si="123"/>
        <v>13</v>
      </c>
      <c r="M125" s="11">
        <f t="shared" si="123"/>
        <v>7</v>
      </c>
      <c r="O125" s="10">
        <f>'Optimal Choice'!$B$7*'Optimal Choice'!$B$8^(I125+1)</f>
        <v>216.62215639077954</v>
      </c>
      <c r="P125" s="10">
        <f>'Optimal Choice'!$B$12*'Optimal Choice'!$B$13^(J125+1)</f>
        <v>2612.1188903803045</v>
      </c>
      <c r="Q125" s="10">
        <f>'Optimal Choice'!$B$17*'Optimal Choice'!$B$18^(K125+1)</f>
        <v>11280.656486818567</v>
      </c>
      <c r="R125" s="10">
        <f>'Optimal Choice'!$B$22*'Optimal Choice'!$B$23^(L125+1)</f>
        <v>47820.26200292429</v>
      </c>
      <c r="S125" s="10">
        <f>'Optimal Choice'!$B$27*'Optimal Choice'!$B$28^(M125+1)</f>
        <v>256707.862118246</v>
      </c>
    </row>
    <row r="126" spans="1:19" ht="15.75" customHeight="1">
      <c r="A126" s="8">
        <f t="shared" si="0"/>
        <v>3.860614679689236</v>
      </c>
      <c r="B126" s="7">
        <f>(I126*'Optimal Choice'!$B$6+J126*'Optimal Choice'!$B$11+K126*'Optimal Choice'!$B$16+L126*'Optimal Choice'!$B$21+M126*'Optimal Choice'!$B$26)*'Optimal Choice'!$B$30</f>
        <v>22306.86</v>
      </c>
      <c r="C126" s="8">
        <f>(O126/$B126)+(O126/'Optimal Choice'!$B$6)</f>
        <v>129.72357711297431</v>
      </c>
      <c r="D126" s="8">
        <f>(P126/$B126)+(P126/'Optimal Choice'!$B$11)</f>
        <v>130.72304387277367</v>
      </c>
      <c r="E126" s="8">
        <f>(Q126/$B126)+(Q126/'Optimal Choice'!$B$16)</f>
        <v>143.46481745448045</v>
      </c>
      <c r="F126" s="8">
        <f>(R126/$B126)+(R126/'Optimal Choice'!$B$21)</f>
        <v>134.97780802054274</v>
      </c>
      <c r="G126" s="8">
        <f>(S126/$B126)+(S126/'Optimal Choice'!$B$26)</f>
        <v>130.35425564955813</v>
      </c>
      <c r="I126" s="11">
        <f t="shared" ref="I126:M126" si="124">IF(MIN($C125:$G125)=C125,I125+1,I125)</f>
        <v>58</v>
      </c>
      <c r="J126" s="11">
        <f t="shared" si="124"/>
        <v>26</v>
      </c>
      <c r="K126" s="11">
        <f t="shared" si="124"/>
        <v>21</v>
      </c>
      <c r="L126" s="11">
        <f t="shared" si="124"/>
        <v>13</v>
      </c>
      <c r="M126" s="11">
        <f t="shared" si="124"/>
        <v>7</v>
      </c>
      <c r="O126" s="10">
        <f>'Optimal Choice'!$B$7*'Optimal Choice'!$B$8^(I126+1)</f>
        <v>216.62215639077954</v>
      </c>
      <c r="P126" s="10">
        <f>'Optimal Choice'!$B$12*'Optimal Choice'!$B$13^(J126+1)</f>
        <v>2612.1188903803045</v>
      </c>
      <c r="Q126" s="10">
        <f>'Optimal Choice'!$B$17*'Optimal Choice'!$B$18^(K126+1)</f>
        <v>12859.948394973166</v>
      </c>
      <c r="R126" s="10">
        <f>'Optimal Choice'!$B$22*'Optimal Choice'!$B$23^(L126+1)</f>
        <v>47820.26200292429</v>
      </c>
      <c r="S126" s="10">
        <f>'Optimal Choice'!$B$27*'Optimal Choice'!$B$28^(M126+1)</f>
        <v>256707.862118246</v>
      </c>
    </row>
    <row r="127" spans="1:19" ht="15.75" customHeight="1">
      <c r="A127" s="8">
        <f t="shared" si="0"/>
        <v>3.8607765298677541</v>
      </c>
      <c r="B127" s="7">
        <f>(I127*'Optimal Choice'!$B$6+J127*'Optimal Choice'!$B$11+K127*'Optimal Choice'!$B$16+L127*'Optimal Choice'!$B$21+M127*'Optimal Choice'!$B$26)*'Optimal Choice'!$B$30</f>
        <v>22308.53</v>
      </c>
      <c r="C127" s="8">
        <f>(O127/$B127)+(O127/'Optimal Choice'!$B$6)</f>
        <v>138.80422673303627</v>
      </c>
      <c r="D127" s="8">
        <f>(P127/$B127)+(P127/'Optimal Choice'!$B$11)</f>
        <v>130.72303510680297</v>
      </c>
      <c r="E127" s="8">
        <f>(Q127/$B127)+(Q127/'Optimal Choice'!$B$16)</f>
        <v>143.46477429797196</v>
      </c>
      <c r="F127" s="8">
        <f>(R127/$B127)+(R127/'Optimal Choice'!$B$21)</f>
        <v>134.97764754124063</v>
      </c>
      <c r="G127" s="8">
        <f>(S127/$B127)+(S127/'Optimal Choice'!$B$26)</f>
        <v>130.35339416748275</v>
      </c>
      <c r="I127" s="11">
        <f t="shared" ref="I127:M127" si="125">IF(MIN($C126:$G126)=C126,I126+1,I126)</f>
        <v>59</v>
      </c>
      <c r="J127" s="11">
        <f t="shared" si="125"/>
        <v>26</v>
      </c>
      <c r="K127" s="11">
        <f t="shared" si="125"/>
        <v>21</v>
      </c>
      <c r="L127" s="11">
        <f t="shared" si="125"/>
        <v>13</v>
      </c>
      <c r="M127" s="11">
        <f t="shared" si="125"/>
        <v>7</v>
      </c>
      <c r="O127" s="10">
        <f>'Optimal Choice'!$B$7*'Optimal Choice'!$B$8^(I127+1)</f>
        <v>231.78570733813407</v>
      </c>
      <c r="P127" s="10">
        <f>'Optimal Choice'!$B$12*'Optimal Choice'!$B$13^(J127+1)</f>
        <v>2612.1188903803045</v>
      </c>
      <c r="Q127" s="10">
        <f>'Optimal Choice'!$B$17*'Optimal Choice'!$B$18^(K127+1)</f>
        <v>12859.948394973166</v>
      </c>
      <c r="R127" s="10">
        <f>'Optimal Choice'!$B$22*'Optimal Choice'!$B$23^(L127+1)</f>
        <v>47820.26200292429</v>
      </c>
      <c r="S127" s="10">
        <f>'Optimal Choice'!$B$27*'Optimal Choice'!$B$28^(M127+1)</f>
        <v>256707.862118246</v>
      </c>
    </row>
    <row r="128" spans="1:19" ht="15.75" customHeight="1">
      <c r="A128" s="8">
        <f t="shared" si="0"/>
        <v>4.0525625582899512</v>
      </c>
      <c r="B128" s="7">
        <f>(I128*'Optimal Choice'!$B$6+J128*'Optimal Choice'!$B$11+K128*'Optimal Choice'!$B$16+L128*'Optimal Choice'!$B$21+M128*'Optimal Choice'!$B$26)*'Optimal Choice'!$B$30</f>
        <v>24468.53</v>
      </c>
      <c r="C128" s="8">
        <f>(O128/$B128)+(O128/'Optimal Choice'!$B$6)</f>
        <v>138.80330953826373</v>
      </c>
      <c r="D128" s="8">
        <f>(P128/$B128)+(P128/'Optimal Choice'!$B$11)</f>
        <v>130.71269874129095</v>
      </c>
      <c r="E128" s="8">
        <f>(Q128/$B128)+(Q128/'Optimal Choice'!$B$16)</f>
        <v>143.41388644307168</v>
      </c>
      <c r="F128" s="8">
        <f>(R128/$B128)+(R128/'Optimal Choice'!$B$21)</f>
        <v>134.78841890055261</v>
      </c>
      <c r="G128" s="8">
        <f>(S128/$B128)+(S128/'Optimal Choice'!$B$26)</f>
        <v>144.85809006450336</v>
      </c>
      <c r="I128" s="11">
        <f t="shared" ref="I128:M128" si="126">IF(MIN($C127:$G127)=C127,I127+1,I127)</f>
        <v>59</v>
      </c>
      <c r="J128" s="11">
        <f t="shared" si="126"/>
        <v>26</v>
      </c>
      <c r="K128" s="11">
        <f t="shared" si="126"/>
        <v>21</v>
      </c>
      <c r="L128" s="11">
        <f t="shared" si="126"/>
        <v>13</v>
      </c>
      <c r="M128" s="11">
        <f t="shared" si="126"/>
        <v>8</v>
      </c>
      <c r="O128" s="10">
        <f>'Optimal Choice'!$B$7*'Optimal Choice'!$B$8^(I128+1)</f>
        <v>231.78570733813407</v>
      </c>
      <c r="P128" s="10">
        <f>'Optimal Choice'!$B$12*'Optimal Choice'!$B$13^(J128+1)</f>
        <v>2612.1188903803045</v>
      </c>
      <c r="Q128" s="10">
        <f>'Optimal Choice'!$B$17*'Optimal Choice'!$B$18^(K128+1)</f>
        <v>12859.948394973166</v>
      </c>
      <c r="R128" s="10">
        <f>'Optimal Choice'!$B$22*'Optimal Choice'!$B$23^(L128+1)</f>
        <v>47820.26200292429</v>
      </c>
      <c r="S128" s="10">
        <f>'Optimal Choice'!$B$27*'Optimal Choice'!$B$28^(M128+1)</f>
        <v>287512.80557243549</v>
      </c>
    </row>
    <row r="129" spans="1:19" ht="15.75" customHeight="1">
      <c r="A129" s="8">
        <f t="shared" si="0"/>
        <v>4.05434179532788</v>
      </c>
      <c r="B129" s="7">
        <f>(I129*'Optimal Choice'!$B$6+J129*'Optimal Choice'!$B$11+K129*'Optimal Choice'!$B$16+L129*'Optimal Choice'!$B$21+M129*'Optimal Choice'!$B$26)*'Optimal Choice'!$B$30</f>
        <v>24488.53</v>
      </c>
      <c r="C129" s="8">
        <f>(O129/$B129)+(O129/'Optimal Choice'!$B$6)</f>
        <v>138.80330180173661</v>
      </c>
      <c r="D129" s="8">
        <f>(P129/$B129)+(P129/'Optimal Choice'!$B$11)</f>
        <v>150.31950328729459</v>
      </c>
      <c r="E129" s="8">
        <f>(Q129/$B129)+(Q129/'Optimal Choice'!$B$16)</f>
        <v>143.4134572046132</v>
      </c>
      <c r="F129" s="8">
        <f>(R129/$B129)+(R129/'Optimal Choice'!$B$21)</f>
        <v>134.78682275919067</v>
      </c>
      <c r="G129" s="8">
        <f>(S129/$B129)+(S129/'Optimal Choice'!$B$26)</f>
        <v>144.84849348217941</v>
      </c>
      <c r="I129" s="11">
        <f t="shared" ref="I129:M129" si="127">IF(MIN($C128:$G128)=C128,I128+1,I128)</f>
        <v>59</v>
      </c>
      <c r="J129" s="11">
        <f t="shared" si="127"/>
        <v>27</v>
      </c>
      <c r="K129" s="11">
        <f t="shared" si="127"/>
        <v>21</v>
      </c>
      <c r="L129" s="11">
        <f t="shared" si="127"/>
        <v>13</v>
      </c>
      <c r="M129" s="11">
        <f t="shared" si="127"/>
        <v>8</v>
      </c>
      <c r="O129" s="10">
        <f>'Optimal Choice'!$B$7*'Optimal Choice'!$B$8^(I129+1)</f>
        <v>231.78570733813407</v>
      </c>
      <c r="P129" s="10">
        <f>'Optimal Choice'!$B$12*'Optimal Choice'!$B$13^(J129+1)</f>
        <v>3003.9367239373496</v>
      </c>
      <c r="Q129" s="10">
        <f>'Optimal Choice'!$B$17*'Optimal Choice'!$B$18^(K129+1)</f>
        <v>12859.948394973166</v>
      </c>
      <c r="R129" s="10">
        <f>'Optimal Choice'!$B$22*'Optimal Choice'!$B$23^(L129+1)</f>
        <v>47820.26200292429</v>
      </c>
      <c r="S129" s="10">
        <f>'Optimal Choice'!$B$27*'Optimal Choice'!$B$28^(M129+1)</f>
        <v>287512.80557243549</v>
      </c>
    </row>
    <row r="130" spans="1:19" ht="15.75" customHeight="1">
      <c r="A130" s="8">
        <f t="shared" si="0"/>
        <v>4.0868878226604881</v>
      </c>
      <c r="B130" s="7">
        <f>(I130*'Optimal Choice'!$B$6+J130*'Optimal Choice'!$B$11+K130*'Optimal Choice'!$B$16+L130*'Optimal Choice'!$B$21+M130*'Optimal Choice'!$B$26)*'Optimal Choice'!$B$30</f>
        <v>24848.53</v>
      </c>
      <c r="C130" s="8">
        <f>(O130/$B130)+(O130/'Optimal Choice'!$B$6)</f>
        <v>138.80316467386493</v>
      </c>
      <c r="D130" s="8">
        <f>(P130/$B130)+(P130/'Optimal Choice'!$B$11)</f>
        <v>150.31772611365278</v>
      </c>
      <c r="E130" s="8">
        <f>(Q130/$B130)+(Q130/'Optimal Choice'!$B$16)</f>
        <v>143.40584906788365</v>
      </c>
      <c r="F130" s="8">
        <f>(R130/$B130)+(R130/'Optimal Choice'!$B$21)</f>
        <v>152.27714068651275</v>
      </c>
      <c r="G130" s="8">
        <f>(S130/$B130)+(S130/'Optimal Choice'!$B$26)</f>
        <v>144.67839663037989</v>
      </c>
      <c r="I130" s="11">
        <f t="shared" ref="I130:M130" si="128">IF(MIN($C129:$G129)=C129,I129+1,I129)</f>
        <v>59</v>
      </c>
      <c r="J130" s="11">
        <f t="shared" si="128"/>
        <v>27</v>
      </c>
      <c r="K130" s="11">
        <f t="shared" si="128"/>
        <v>21</v>
      </c>
      <c r="L130" s="11">
        <f t="shared" si="128"/>
        <v>14</v>
      </c>
      <c r="M130" s="11">
        <f t="shared" si="128"/>
        <v>8</v>
      </c>
      <c r="O130" s="10">
        <f>'Optimal Choice'!$B$7*'Optimal Choice'!$B$8^(I130+1)</f>
        <v>231.78570733813407</v>
      </c>
      <c r="P130" s="10">
        <f>'Optimal Choice'!$B$12*'Optimal Choice'!$B$13^(J130+1)</f>
        <v>3003.9367239373496</v>
      </c>
      <c r="Q130" s="10">
        <f>'Optimal Choice'!$B$17*'Optimal Choice'!$B$18^(K130+1)</f>
        <v>12859.948394973166</v>
      </c>
      <c r="R130" s="10">
        <f>'Optimal Choice'!$B$22*'Optimal Choice'!$B$23^(L130+1)</f>
        <v>54036.896063304441</v>
      </c>
      <c r="S130" s="10">
        <f>'Optimal Choice'!$B$27*'Optimal Choice'!$B$28^(M130+1)</f>
        <v>287512.80557243549</v>
      </c>
    </row>
    <row r="131" spans="1:19" ht="15.75" customHeight="1">
      <c r="A131" s="8">
        <f t="shared" si="0"/>
        <v>4.08704328840121</v>
      </c>
      <c r="B131" s="7">
        <f>(I131*'Optimal Choice'!$B$6+J131*'Optimal Choice'!$B$11+K131*'Optimal Choice'!$B$16+L131*'Optimal Choice'!$B$21+M131*'Optimal Choice'!$B$26)*'Optimal Choice'!$B$30</f>
        <v>24850.2</v>
      </c>
      <c r="C131" s="8">
        <f>(O131/$B131)+(O131/'Optimal Choice'!$B$6)</f>
        <v>148.51938553029223</v>
      </c>
      <c r="D131" s="8">
        <f>(P131/$B131)+(P131/'Optimal Choice'!$B$11)</f>
        <v>150.31771798952659</v>
      </c>
      <c r="E131" s="8">
        <f>(Q131/$B131)+(Q131/'Optimal Choice'!$B$16)</f>
        <v>143.40581428824169</v>
      </c>
      <c r="F131" s="8">
        <f>(R131/$B131)+(R131/'Optimal Choice'!$B$21)</f>
        <v>152.2769945440991</v>
      </c>
      <c r="G131" s="8">
        <f>(S131/$B131)+(S131/'Optimal Choice'!$B$26)</f>
        <v>144.67761905397506</v>
      </c>
      <c r="I131" s="11">
        <f t="shared" ref="I131:M131" si="129">IF(MIN($C130:$G130)=C130,I130+1,I130)</f>
        <v>60</v>
      </c>
      <c r="J131" s="11">
        <f t="shared" si="129"/>
        <v>27</v>
      </c>
      <c r="K131" s="11">
        <f t="shared" si="129"/>
        <v>21</v>
      </c>
      <c r="L131" s="11">
        <f t="shared" si="129"/>
        <v>14</v>
      </c>
      <c r="M131" s="11">
        <f t="shared" si="129"/>
        <v>8</v>
      </c>
      <c r="O131" s="10">
        <f>'Optimal Choice'!$B$7*'Optimal Choice'!$B$8^(I131+1)</f>
        <v>248.01070685180346</v>
      </c>
      <c r="P131" s="10">
        <f>'Optimal Choice'!$B$12*'Optimal Choice'!$B$13^(J131+1)</f>
        <v>3003.9367239373496</v>
      </c>
      <c r="Q131" s="10">
        <f>'Optimal Choice'!$B$17*'Optimal Choice'!$B$18^(K131+1)</f>
        <v>12859.948394973166</v>
      </c>
      <c r="R131" s="10">
        <f>'Optimal Choice'!$B$22*'Optimal Choice'!$B$23^(L131+1)</f>
        <v>54036.896063304441</v>
      </c>
      <c r="S131" s="10">
        <f>'Optimal Choice'!$B$27*'Optimal Choice'!$B$28^(M131+1)</f>
        <v>287512.80557243549</v>
      </c>
    </row>
    <row r="132" spans="1:19" ht="15.75" customHeight="1">
      <c r="A132" s="8">
        <f t="shared" si="0"/>
        <v>4.0956682682102077</v>
      </c>
      <c r="B132" s="7">
        <f>(I132*'Optimal Choice'!$B$6+J132*'Optimal Choice'!$B$11+K132*'Optimal Choice'!$B$16+L132*'Optimal Choice'!$B$21+M132*'Optimal Choice'!$B$26)*'Optimal Choice'!$B$30</f>
        <v>24940.2</v>
      </c>
      <c r="C132" s="8">
        <f>(O132/$B132)+(O132/'Optimal Choice'!$B$6)</f>
        <v>148.51934951531709</v>
      </c>
      <c r="D132" s="8">
        <f>(P132/$B132)+(P132/'Optimal Choice'!$B$11)</f>
        <v>150.31728177163984</v>
      </c>
      <c r="E132" s="8">
        <f>(Q132/$B132)+(Q132/'Optimal Choice'!$B$16)</f>
        <v>163.48049938122091</v>
      </c>
      <c r="F132" s="8">
        <f>(R132/$B132)+(R132/'Optimal Choice'!$B$21)</f>
        <v>152.26914755437394</v>
      </c>
      <c r="G132" s="8">
        <f>(S132/$B132)+(S132/'Optimal Choice'!$B$26)</f>
        <v>144.63586776558631</v>
      </c>
      <c r="I132" s="11">
        <f t="shared" ref="I132:M132" si="130">IF(MIN($C131:$G131)=C131,I131+1,I131)</f>
        <v>60</v>
      </c>
      <c r="J132" s="11">
        <f t="shared" si="130"/>
        <v>27</v>
      </c>
      <c r="K132" s="11">
        <f t="shared" si="130"/>
        <v>22</v>
      </c>
      <c r="L132" s="11">
        <f t="shared" si="130"/>
        <v>14</v>
      </c>
      <c r="M132" s="11">
        <f t="shared" si="130"/>
        <v>8</v>
      </c>
      <c r="O132" s="10">
        <f>'Optimal Choice'!$B$7*'Optimal Choice'!$B$8^(I132+1)</f>
        <v>248.01070685180346</v>
      </c>
      <c r="P132" s="10">
        <f>'Optimal Choice'!$B$12*'Optimal Choice'!$B$13^(J132+1)</f>
        <v>3003.9367239373496</v>
      </c>
      <c r="Q132" s="10">
        <f>'Optimal Choice'!$B$17*'Optimal Choice'!$B$18^(K132+1)</f>
        <v>14660.341170269407</v>
      </c>
      <c r="R132" s="10">
        <f>'Optimal Choice'!$B$22*'Optimal Choice'!$B$23^(L132+1)</f>
        <v>54036.896063304441</v>
      </c>
      <c r="S132" s="10">
        <f>'Optimal Choice'!$B$27*'Optimal Choice'!$B$28^(M132+1)</f>
        <v>287512.80557243549</v>
      </c>
    </row>
    <row r="133" spans="1:19" ht="15.75" customHeight="1">
      <c r="A133" s="8">
        <f t="shared" si="0"/>
        <v>4.2878030583431626</v>
      </c>
      <c r="B133" s="7">
        <f>(I133*'Optimal Choice'!$B$6+J133*'Optimal Choice'!$B$11+K133*'Optimal Choice'!$B$16+L133*'Optimal Choice'!$B$21+M133*'Optimal Choice'!$B$26)*'Optimal Choice'!$B$30</f>
        <v>27100.2</v>
      </c>
      <c r="C133" s="8">
        <f>(O133/$B133)+(O133/'Optimal Choice'!$B$6)</f>
        <v>148.5185569195412</v>
      </c>
      <c r="D133" s="8">
        <f>(P133/$B133)+(P133/'Optimal Choice'!$B$11)</f>
        <v>150.30768175239612</v>
      </c>
      <c r="E133" s="8">
        <f>(Q133/$B133)+(Q133/'Optimal Choice'!$B$16)</f>
        <v>163.43364767617919</v>
      </c>
      <c r="F133" s="8">
        <f>(R133/$B133)+(R133/'Optimal Choice'!$B$21)</f>
        <v>152.09645575366321</v>
      </c>
      <c r="G133" s="8">
        <f>(S133/$B133)+(S133/'Optimal Choice'!$B$26)</f>
        <v>160.96307436100389</v>
      </c>
      <c r="I133" s="11">
        <f t="shared" ref="I133:M133" si="131">IF(MIN($C132:$G132)=C132,I132+1,I132)</f>
        <v>60</v>
      </c>
      <c r="J133" s="11">
        <f t="shared" si="131"/>
        <v>27</v>
      </c>
      <c r="K133" s="11">
        <f t="shared" si="131"/>
        <v>22</v>
      </c>
      <c r="L133" s="11">
        <f t="shared" si="131"/>
        <v>14</v>
      </c>
      <c r="M133" s="11">
        <f t="shared" si="131"/>
        <v>9</v>
      </c>
      <c r="O133" s="10">
        <f>'Optimal Choice'!$B$7*'Optimal Choice'!$B$8^(I133+1)</f>
        <v>248.01070685180346</v>
      </c>
      <c r="P133" s="10">
        <f>'Optimal Choice'!$B$12*'Optimal Choice'!$B$13^(J133+1)</f>
        <v>3003.9367239373496</v>
      </c>
      <c r="Q133" s="10">
        <f>'Optimal Choice'!$B$17*'Optimal Choice'!$B$18^(K133+1)</f>
        <v>14660.341170269407</v>
      </c>
      <c r="R133" s="10">
        <f>'Optimal Choice'!$B$22*'Optimal Choice'!$B$23^(L133+1)</f>
        <v>54036.896063304441</v>
      </c>
      <c r="S133" s="10">
        <f>'Optimal Choice'!$B$27*'Optimal Choice'!$B$28^(M133+1)</f>
        <v>322014.3422411278</v>
      </c>
    </row>
    <row r="134" spans="1:19" ht="15.75" customHeight="1">
      <c r="A134" s="8">
        <f t="shared" si="0"/>
        <v>4.2879555853274969</v>
      </c>
      <c r="B134" s="7">
        <f>(I134*'Optimal Choice'!$B$6+J134*'Optimal Choice'!$B$11+K134*'Optimal Choice'!$B$16+L134*'Optimal Choice'!$B$21+M134*'Optimal Choice'!$B$26)*'Optimal Choice'!$B$30</f>
        <v>27101.87</v>
      </c>
      <c r="C134" s="8">
        <f>(O134/$B134)+(O134/'Optimal Choice'!$B$6)</f>
        <v>158.9148553005179</v>
      </c>
      <c r="D134" s="8">
        <f>(P134/$B134)+(P134/'Optimal Choice'!$B$11)</f>
        <v>150.30767492216347</v>
      </c>
      <c r="E134" s="8">
        <f>(Q134/$B134)+(Q134/'Optimal Choice'!$B$16)</f>
        <v>163.43361434207455</v>
      </c>
      <c r="F134" s="8">
        <f>(R134/$B134)+(R134/'Optimal Choice'!$B$21)</f>
        <v>152.09633288670346</v>
      </c>
      <c r="G134" s="8">
        <f>(S134/$B134)+(S134/'Optimal Choice'!$B$26)</f>
        <v>160.96234217751243</v>
      </c>
      <c r="I134" s="11">
        <f t="shared" ref="I134:M134" si="132">IF(MIN($C133:$G133)=C133,I133+1,I133)</f>
        <v>61</v>
      </c>
      <c r="J134" s="11">
        <f t="shared" si="132"/>
        <v>27</v>
      </c>
      <c r="K134" s="11">
        <f t="shared" si="132"/>
        <v>22</v>
      </c>
      <c r="L134" s="11">
        <f t="shared" si="132"/>
        <v>14</v>
      </c>
      <c r="M134" s="11">
        <f t="shared" si="132"/>
        <v>9</v>
      </c>
      <c r="O134" s="10">
        <f>'Optimal Choice'!$B$7*'Optimal Choice'!$B$8^(I134+1)</f>
        <v>265.37145633142967</v>
      </c>
      <c r="P134" s="10">
        <f>'Optimal Choice'!$B$12*'Optimal Choice'!$B$13^(J134+1)</f>
        <v>3003.9367239373496</v>
      </c>
      <c r="Q134" s="10">
        <f>'Optimal Choice'!$B$17*'Optimal Choice'!$B$18^(K134+1)</f>
        <v>14660.341170269407</v>
      </c>
      <c r="R134" s="10">
        <f>'Optimal Choice'!$B$22*'Optimal Choice'!$B$23^(L134+1)</f>
        <v>54036.896063304441</v>
      </c>
      <c r="S134" s="10">
        <f>'Optimal Choice'!$B$27*'Optimal Choice'!$B$28^(M134+1)</f>
        <v>322014.3422411278</v>
      </c>
    </row>
    <row r="135" spans="1:19" ht="15.75" customHeight="1">
      <c r="A135" s="8">
        <f t="shared" si="0"/>
        <v>4.2898028974157629</v>
      </c>
      <c r="B135" s="7">
        <f>(I135*'Optimal Choice'!$B$6+J135*'Optimal Choice'!$B$11+K135*'Optimal Choice'!$B$16+L135*'Optimal Choice'!$B$21+M135*'Optimal Choice'!$B$26)*'Optimal Choice'!$B$30</f>
        <v>27121.87</v>
      </c>
      <c r="C135" s="8">
        <f>(O135/$B135)+(O135/'Optimal Choice'!$B$6)</f>
        <v>158.91484808005043</v>
      </c>
      <c r="D135" s="8">
        <f>(P135/$B135)+(P135/'Optimal Choice'!$B$11)</f>
        <v>172.85373216657524</v>
      </c>
      <c r="E135" s="8">
        <f>(Q135/$B135)+(Q135/'Optimal Choice'!$B$16)</f>
        <v>163.43321545020433</v>
      </c>
      <c r="F135" s="8">
        <f>(R135/$B135)+(R135/'Optimal Choice'!$B$21)</f>
        <v>152.09486260178434</v>
      </c>
      <c r="G135" s="8">
        <f>(S135/$B135)+(S135/'Optimal Choice'!$B$26)</f>
        <v>160.95358051898594</v>
      </c>
      <c r="I135" s="11">
        <f t="shared" ref="I135:M135" si="133">IF(MIN($C134:$G134)=C134,I134+1,I134)</f>
        <v>61</v>
      </c>
      <c r="J135" s="11">
        <f t="shared" si="133"/>
        <v>28</v>
      </c>
      <c r="K135" s="11">
        <f t="shared" si="133"/>
        <v>22</v>
      </c>
      <c r="L135" s="11">
        <f t="shared" si="133"/>
        <v>14</v>
      </c>
      <c r="M135" s="11">
        <f t="shared" si="133"/>
        <v>9</v>
      </c>
      <c r="O135" s="10">
        <f>'Optimal Choice'!$B$7*'Optimal Choice'!$B$8^(I135+1)</f>
        <v>265.37145633142967</v>
      </c>
      <c r="P135" s="10">
        <f>'Optimal Choice'!$B$12*'Optimal Choice'!$B$13^(J135+1)</f>
        <v>3454.527232527952</v>
      </c>
      <c r="Q135" s="10">
        <f>'Optimal Choice'!$B$17*'Optimal Choice'!$B$18^(K135+1)</f>
        <v>14660.341170269407</v>
      </c>
      <c r="R135" s="10">
        <f>'Optimal Choice'!$B$22*'Optimal Choice'!$B$23^(L135+1)</f>
        <v>54036.896063304441</v>
      </c>
      <c r="S135" s="10">
        <f>'Optimal Choice'!$B$27*'Optimal Choice'!$B$28^(M135+1)</f>
        <v>322014.3422411278</v>
      </c>
    </row>
    <row r="136" spans="1:19" ht="15.75" customHeight="1">
      <c r="A136" s="8">
        <f t="shared" si="0"/>
        <v>4.323009123033259</v>
      </c>
      <c r="B136" s="7">
        <f>(I136*'Optimal Choice'!$B$6+J136*'Optimal Choice'!$B$11+K136*'Optimal Choice'!$B$16+L136*'Optimal Choice'!$B$21+M136*'Optimal Choice'!$B$26)*'Optimal Choice'!$B$30</f>
        <v>27481.87</v>
      </c>
      <c r="C136" s="8">
        <f>(O136/$B136)+(O136/'Optimal Choice'!$B$6)</f>
        <v>158.91471990874794</v>
      </c>
      <c r="D136" s="8">
        <f>(P136/$B136)+(P136/'Optimal Choice'!$B$11)</f>
        <v>172.85206367041891</v>
      </c>
      <c r="E136" s="8">
        <f>(Q136/$B136)+(Q136/'Optimal Choice'!$B$16)</f>
        <v>163.42613467728034</v>
      </c>
      <c r="F136" s="8">
        <f>(R136/$B136)+(R136/'Optimal Choice'!$B$21)</f>
        <v>171.83770265833223</v>
      </c>
      <c r="G136" s="8">
        <f>(S136/$B136)+(S136/'Optimal Choice'!$B$26)</f>
        <v>160.79805136661577</v>
      </c>
      <c r="I136" s="11">
        <f t="shared" ref="I136:M136" si="134">IF(MIN($C135:$G135)=C135,I135+1,I135)</f>
        <v>61</v>
      </c>
      <c r="J136" s="11">
        <f t="shared" si="134"/>
        <v>28</v>
      </c>
      <c r="K136" s="11">
        <f t="shared" si="134"/>
        <v>22</v>
      </c>
      <c r="L136" s="11">
        <f t="shared" si="134"/>
        <v>15</v>
      </c>
      <c r="M136" s="11">
        <f t="shared" si="134"/>
        <v>9</v>
      </c>
      <c r="O136" s="10">
        <f>'Optimal Choice'!$B$7*'Optimal Choice'!$B$8^(I136+1)</f>
        <v>265.37145633142967</v>
      </c>
      <c r="P136" s="10">
        <f>'Optimal Choice'!$B$12*'Optimal Choice'!$B$13^(J136+1)</f>
        <v>3454.527232527952</v>
      </c>
      <c r="Q136" s="10">
        <f>'Optimal Choice'!$B$17*'Optimal Choice'!$B$18^(K136+1)</f>
        <v>14660.341170269407</v>
      </c>
      <c r="R136" s="10">
        <f>'Optimal Choice'!$B$22*'Optimal Choice'!$B$23^(L136+1)</f>
        <v>61061.692551534019</v>
      </c>
      <c r="S136" s="10">
        <f>'Optimal Choice'!$B$27*'Optimal Choice'!$B$28^(M136+1)</f>
        <v>322014.3422411278</v>
      </c>
    </row>
    <row r="137" spans="1:19" ht="15.75" customHeight="1">
      <c r="A137" s="8">
        <f t="shared" si="0"/>
        <v>4.3231700603204786</v>
      </c>
      <c r="B137" s="7">
        <f>(I137*'Optimal Choice'!$B$6+J137*'Optimal Choice'!$B$11+K137*'Optimal Choice'!$B$16+L137*'Optimal Choice'!$B$21+M137*'Optimal Choice'!$B$26)*'Optimal Choice'!$B$30</f>
        <v>27483.54</v>
      </c>
      <c r="C137" s="8">
        <f>(O137/$B137)+(O137/'Optimal Choice'!$B$6)</f>
        <v>170.03874967453984</v>
      </c>
      <c r="D137" s="8">
        <f>(P137/$B137)+(P137/'Optimal Choice'!$B$11)</f>
        <v>172.85205603230483</v>
      </c>
      <c r="E137" s="8">
        <f>(Q137/$B137)+(Q137/'Optimal Choice'!$B$16)</f>
        <v>163.42610226261098</v>
      </c>
      <c r="F137" s="8">
        <f>(R137/$B137)+(R137/'Optimal Choice'!$B$21)</f>
        <v>171.8375676482016</v>
      </c>
      <c r="G137" s="8">
        <f>(S137/$B137)+(S137/'Optimal Choice'!$B$26)</f>
        <v>160.79733937851665</v>
      </c>
      <c r="I137" s="11">
        <f t="shared" ref="I137:M137" si="135">IF(MIN($C136:$G136)=C136,I136+1,I136)</f>
        <v>62</v>
      </c>
      <c r="J137" s="11">
        <f t="shared" si="135"/>
        <v>28</v>
      </c>
      <c r="K137" s="11">
        <f t="shared" si="135"/>
        <v>22</v>
      </c>
      <c r="L137" s="11">
        <f t="shared" si="135"/>
        <v>15</v>
      </c>
      <c r="M137" s="11">
        <f t="shared" si="135"/>
        <v>9</v>
      </c>
      <c r="O137" s="10">
        <f>'Optimal Choice'!$B$7*'Optimal Choice'!$B$8^(I137+1)</f>
        <v>283.94745827462981</v>
      </c>
      <c r="P137" s="10">
        <f>'Optimal Choice'!$B$12*'Optimal Choice'!$B$13^(J137+1)</f>
        <v>3454.527232527952</v>
      </c>
      <c r="Q137" s="10">
        <f>'Optimal Choice'!$B$17*'Optimal Choice'!$B$18^(K137+1)</f>
        <v>14660.341170269407</v>
      </c>
      <c r="R137" s="10">
        <f>'Optimal Choice'!$B$22*'Optimal Choice'!$B$23^(L137+1)</f>
        <v>61061.692551534019</v>
      </c>
      <c r="S137" s="10">
        <f>'Optimal Choice'!$B$27*'Optimal Choice'!$B$28^(M137+1)</f>
        <v>322014.3422411278</v>
      </c>
    </row>
    <row r="138" spans="1:19" ht="15.75" customHeight="1">
      <c r="A138" s="8">
        <f t="shared" si="0"/>
        <v>4.5184471499537207</v>
      </c>
      <c r="B138" s="7">
        <f>(I138*'Optimal Choice'!$B$6+J138*'Optimal Choice'!$B$11+K138*'Optimal Choice'!$B$16+L138*'Optimal Choice'!$B$21+M138*'Optimal Choice'!$B$26)*'Optimal Choice'!$B$30</f>
        <v>29643.54</v>
      </c>
      <c r="C138" s="8">
        <f>(O138/$B138)+(O138/'Optimal Choice'!$B$6)</f>
        <v>170.03799685826348</v>
      </c>
      <c r="D138" s="8">
        <f>(P138/$B138)+(P138/'Optimal Choice'!$B$11)</f>
        <v>172.84289720995233</v>
      </c>
      <c r="E138" s="8">
        <f>(Q138/$B138)+(Q138/'Optimal Choice'!$B$16)</f>
        <v>163.38723400326091</v>
      </c>
      <c r="F138" s="8">
        <f>(R138/$B138)+(R138/'Optimal Choice'!$B$21)</f>
        <v>171.67567771161131</v>
      </c>
      <c r="G138" s="8">
        <f>(S138/$B138)+(S138/'Optimal Choice'!$B$26)</f>
        <v>179.13682998243348</v>
      </c>
      <c r="I138" s="11">
        <f t="shared" ref="I138:M138" si="136">IF(MIN($C137:$G137)=C137,I137+1,I137)</f>
        <v>62</v>
      </c>
      <c r="J138" s="11">
        <f t="shared" si="136"/>
        <v>28</v>
      </c>
      <c r="K138" s="11">
        <f t="shared" si="136"/>
        <v>22</v>
      </c>
      <c r="L138" s="11">
        <f t="shared" si="136"/>
        <v>15</v>
      </c>
      <c r="M138" s="11">
        <f t="shared" si="136"/>
        <v>10</v>
      </c>
      <c r="O138" s="10">
        <f>'Optimal Choice'!$B$7*'Optimal Choice'!$B$8^(I138+1)</f>
        <v>283.94745827462981</v>
      </c>
      <c r="P138" s="10">
        <f>'Optimal Choice'!$B$12*'Optimal Choice'!$B$13^(J138+1)</f>
        <v>3454.527232527952</v>
      </c>
      <c r="Q138" s="10">
        <f>'Optimal Choice'!$B$17*'Optimal Choice'!$B$18^(K138+1)</f>
        <v>14660.341170269407</v>
      </c>
      <c r="R138" s="10">
        <f>'Optimal Choice'!$B$22*'Optimal Choice'!$B$23^(L138+1)</f>
        <v>61061.692551534019</v>
      </c>
      <c r="S138" s="10">
        <f>'Optimal Choice'!$B$27*'Optimal Choice'!$B$28^(M138+1)</f>
        <v>360656.06331006321</v>
      </c>
    </row>
    <row r="139" spans="1:19" ht="15.75" customHeight="1">
      <c r="A139" s="8">
        <f t="shared" si="0"/>
        <v>4.526689722180401</v>
      </c>
      <c r="B139" s="7">
        <f>(I139*'Optimal Choice'!$B$6+J139*'Optimal Choice'!$B$11+K139*'Optimal Choice'!$B$16+L139*'Optimal Choice'!$B$21+M139*'Optimal Choice'!$B$26)*'Optimal Choice'!$B$30</f>
        <v>29733.54</v>
      </c>
      <c r="C139" s="8">
        <f>(O139/$B139)+(O139/'Optimal Choice'!$B$6)</f>
        <v>170.03796786455212</v>
      </c>
      <c r="D139" s="8">
        <f>(P139/$B139)+(P139/'Optimal Choice'!$B$11)</f>
        <v>172.84254447016687</v>
      </c>
      <c r="E139" s="8">
        <f>(Q139/$B139)+(Q139/'Optimal Choice'!$B$16)</f>
        <v>186.25974023046825</v>
      </c>
      <c r="F139" s="8">
        <f>(R139/$B139)+(R139/'Optimal Choice'!$B$21)</f>
        <v>171.66944273736468</v>
      </c>
      <c r="G139" s="8">
        <f>(S139/$B139)+(S139/'Optimal Choice'!$B$26)</f>
        <v>179.10000359959557</v>
      </c>
      <c r="I139" s="11">
        <f t="shared" ref="I139:M139" si="137">IF(MIN($C138:$G138)=C138,I138+1,I138)</f>
        <v>62</v>
      </c>
      <c r="J139" s="11">
        <f t="shared" si="137"/>
        <v>28</v>
      </c>
      <c r="K139" s="11">
        <f t="shared" si="137"/>
        <v>23</v>
      </c>
      <c r="L139" s="11">
        <f t="shared" si="137"/>
        <v>15</v>
      </c>
      <c r="M139" s="11">
        <f t="shared" si="137"/>
        <v>10</v>
      </c>
      <c r="O139" s="10">
        <f>'Optimal Choice'!$B$7*'Optimal Choice'!$B$8^(I139+1)</f>
        <v>283.94745827462981</v>
      </c>
      <c r="P139" s="10">
        <f>'Optimal Choice'!$B$12*'Optimal Choice'!$B$13^(J139+1)</f>
        <v>3454.527232527952</v>
      </c>
      <c r="Q139" s="10">
        <f>'Optimal Choice'!$B$17*'Optimal Choice'!$B$18^(K139+1)</f>
        <v>16712.788934107128</v>
      </c>
      <c r="R139" s="10">
        <f>'Optimal Choice'!$B$22*'Optimal Choice'!$B$23^(L139+1)</f>
        <v>61061.692551534019</v>
      </c>
      <c r="S139" s="10">
        <f>'Optimal Choice'!$B$27*'Optimal Choice'!$B$28^(M139+1)</f>
        <v>360656.06331006321</v>
      </c>
    </row>
    <row r="140" spans="1:19" ht="15.75" customHeight="1">
      <c r="A140" s="8">
        <f t="shared" si="0"/>
        <v>4.5268488844475883</v>
      </c>
      <c r="B140" s="7">
        <f>(I140*'Optimal Choice'!$B$6+J140*'Optimal Choice'!$B$11+K140*'Optimal Choice'!$B$16+L140*'Optimal Choice'!$B$21+M140*'Optimal Choice'!$B$26)*'Optimal Choice'!$B$30</f>
        <v>29735.21</v>
      </c>
      <c r="C140" s="8">
        <f>(O140/$B140)+(O140/'Optimal Choice'!$B$6)</f>
        <v>181.94062504119137</v>
      </c>
      <c r="D140" s="8">
        <f>(P140/$B140)+(P140/'Optimal Choice'!$B$11)</f>
        <v>172.8425379450625</v>
      </c>
      <c r="E140" s="8">
        <f>(Q140/$B140)+(Q140/'Optimal Choice'!$B$16)</f>
        <v>186.2597086624171</v>
      </c>
      <c r="F140" s="8">
        <f>(R140/$B140)+(R140/'Optimal Choice'!$B$21)</f>
        <v>171.66932740062222</v>
      </c>
      <c r="G140" s="8">
        <f>(S140/$B140)+(S140/'Optimal Choice'!$B$26)</f>
        <v>179.09932237223768</v>
      </c>
      <c r="I140" s="11">
        <f t="shared" ref="I140:M140" si="138">IF(MIN($C139:$G139)=C139,I139+1,I139)</f>
        <v>63</v>
      </c>
      <c r="J140" s="11">
        <f t="shared" si="138"/>
        <v>28</v>
      </c>
      <c r="K140" s="11">
        <f t="shared" si="138"/>
        <v>23</v>
      </c>
      <c r="L140" s="11">
        <f t="shared" si="138"/>
        <v>15</v>
      </c>
      <c r="M140" s="11">
        <f t="shared" si="138"/>
        <v>10</v>
      </c>
      <c r="O140" s="10">
        <f>'Optimal Choice'!$B$7*'Optimal Choice'!$B$8^(I140+1)</f>
        <v>303.82378035385386</v>
      </c>
      <c r="P140" s="10">
        <f>'Optimal Choice'!$B$12*'Optimal Choice'!$B$13^(J140+1)</f>
        <v>3454.527232527952</v>
      </c>
      <c r="Q140" s="10">
        <f>'Optimal Choice'!$B$17*'Optimal Choice'!$B$18^(K140+1)</f>
        <v>16712.788934107128</v>
      </c>
      <c r="R140" s="10">
        <f>'Optimal Choice'!$B$22*'Optimal Choice'!$B$23^(L140+1)</f>
        <v>61061.692551534019</v>
      </c>
      <c r="S140" s="10">
        <f>'Optimal Choice'!$B$27*'Optimal Choice'!$B$28^(M140+1)</f>
        <v>360656.06331006321</v>
      </c>
    </row>
    <row r="141" spans="1:19" ht="15.75" customHeight="1">
      <c r="A141" s="8">
        <f t="shared" si="0"/>
        <v>4.5610741304054576</v>
      </c>
      <c r="B141" s="7">
        <f>(I141*'Optimal Choice'!$B$6+J141*'Optimal Choice'!$B$11+K141*'Optimal Choice'!$B$16+L141*'Optimal Choice'!$B$21+M141*'Optimal Choice'!$B$26)*'Optimal Choice'!$B$30</f>
        <v>30095.21</v>
      </c>
      <c r="C141" s="8">
        <f>(O141/$B141)+(O141/'Optimal Choice'!$B$6)</f>
        <v>181.94050281736494</v>
      </c>
      <c r="D141" s="8">
        <f>(P141/$B141)+(P141/'Optimal Choice'!$B$11)</f>
        <v>172.84114823970012</v>
      </c>
      <c r="E141" s="8">
        <f>(Q141/$B141)+(Q141/'Optimal Choice'!$B$16)</f>
        <v>186.25298535388922</v>
      </c>
      <c r="F141" s="8">
        <f>(R141/$B141)+(R141/'Optimal Choice'!$B$21)</f>
        <v>193.95858239585638</v>
      </c>
      <c r="G141" s="8">
        <f>(S141/$B141)+(S141/'Optimal Choice'!$B$26)</f>
        <v>178.95423575649403</v>
      </c>
      <c r="I141" s="11">
        <f t="shared" ref="I141:M141" si="139">IF(MIN($C140:$G140)=C140,I140+1,I140)</f>
        <v>63</v>
      </c>
      <c r="J141" s="11">
        <f t="shared" si="139"/>
        <v>28</v>
      </c>
      <c r="K141" s="11">
        <f t="shared" si="139"/>
        <v>23</v>
      </c>
      <c r="L141" s="11">
        <f t="shared" si="139"/>
        <v>16</v>
      </c>
      <c r="M141" s="11">
        <f t="shared" si="139"/>
        <v>10</v>
      </c>
      <c r="O141" s="10">
        <f>'Optimal Choice'!$B$7*'Optimal Choice'!$B$8^(I141+1)</f>
        <v>303.82378035385386</v>
      </c>
      <c r="P141" s="10">
        <f>'Optimal Choice'!$B$12*'Optimal Choice'!$B$13^(J141+1)</f>
        <v>3454.527232527952</v>
      </c>
      <c r="Q141" s="10">
        <f>'Optimal Choice'!$B$17*'Optimal Choice'!$B$18^(K141+1)</f>
        <v>16712.788934107128</v>
      </c>
      <c r="R141" s="10">
        <f>'Optimal Choice'!$B$22*'Optimal Choice'!$B$23^(L141+1)</f>
        <v>68999.712583233428</v>
      </c>
      <c r="S141" s="10">
        <f>'Optimal Choice'!$B$27*'Optimal Choice'!$B$28^(M141+1)</f>
        <v>360656.06331006321</v>
      </c>
    </row>
    <row r="142" spans="1:19" ht="15.75" customHeight="1">
      <c r="A142" s="8">
        <f t="shared" si="0"/>
        <v>4.5629872406271659</v>
      </c>
      <c r="B142" s="7">
        <f>(I142*'Optimal Choice'!$B$6+J142*'Optimal Choice'!$B$11+K142*'Optimal Choice'!$B$16+L142*'Optimal Choice'!$B$21+M142*'Optimal Choice'!$B$26)*'Optimal Choice'!$B$30</f>
        <v>30115.21</v>
      </c>
      <c r="C142" s="8">
        <f>(O142/$B142)+(O142/'Optimal Choice'!$B$6)</f>
        <v>181.9404961128327</v>
      </c>
      <c r="D142" s="8">
        <f>(P142/$B142)+(P142/'Optimal Choice'!$B$11)</f>
        <v>198.76723280925316</v>
      </c>
      <c r="E142" s="8">
        <f>(Q142/$B142)+(Q142/'Optimal Choice'!$B$16)</f>
        <v>186.25261654986596</v>
      </c>
      <c r="F142" s="8">
        <f>(R142/$B142)+(R142/'Optimal Choice'!$B$21)</f>
        <v>193.95705976718531</v>
      </c>
      <c r="G142" s="8">
        <f>(S142/$B142)+(S142/'Optimal Choice'!$B$26)</f>
        <v>178.94627709635125</v>
      </c>
      <c r="I142" s="11">
        <f t="shared" ref="I142:M142" si="140">IF(MIN($C141:$G141)=C141,I141+1,I141)</f>
        <v>63</v>
      </c>
      <c r="J142" s="11">
        <f t="shared" si="140"/>
        <v>29</v>
      </c>
      <c r="K142" s="11">
        <f t="shared" si="140"/>
        <v>23</v>
      </c>
      <c r="L142" s="11">
        <f t="shared" si="140"/>
        <v>16</v>
      </c>
      <c r="M142" s="11">
        <f t="shared" si="140"/>
        <v>10</v>
      </c>
      <c r="O142" s="10">
        <f>'Optimal Choice'!$B$7*'Optimal Choice'!$B$8^(I142+1)</f>
        <v>303.82378035385386</v>
      </c>
      <c r="P142" s="10">
        <f>'Optimal Choice'!$B$12*'Optimal Choice'!$B$13^(J142+1)</f>
        <v>3972.7063174071454</v>
      </c>
      <c r="Q142" s="10">
        <f>'Optimal Choice'!$B$17*'Optimal Choice'!$B$18^(K142+1)</f>
        <v>16712.788934107128</v>
      </c>
      <c r="R142" s="10">
        <f>'Optimal Choice'!$B$22*'Optimal Choice'!$B$23^(L142+1)</f>
        <v>68999.712583233428</v>
      </c>
      <c r="S142" s="10">
        <f>'Optimal Choice'!$B$27*'Optimal Choice'!$B$28^(M142+1)</f>
        <v>360656.06331006321</v>
      </c>
    </row>
    <row r="143" spans="1:19" ht="15.75" customHeight="1">
      <c r="A143" s="8">
        <f t="shared" si="0"/>
        <v>4.7625851975566063</v>
      </c>
      <c r="B143" s="7">
        <f>(I143*'Optimal Choice'!$B$6+J143*'Optimal Choice'!$B$11+K143*'Optimal Choice'!$B$16+L143*'Optimal Choice'!$B$21+M143*'Optimal Choice'!$B$26)*'Optimal Choice'!$B$30</f>
        <v>32275.21</v>
      </c>
      <c r="C143" s="8">
        <f>(O143/$B143)+(O143/'Optimal Choice'!$B$6)</f>
        <v>181.9398209313209</v>
      </c>
      <c r="D143" s="8">
        <f>(P143/$B143)+(P143/'Optimal Choice'!$B$11)</f>
        <v>198.75840434344255</v>
      </c>
      <c r="E143" s="8">
        <f>(Q143/$B143)+(Q143/'Optimal Choice'!$B$16)</f>
        <v>186.21547605320799</v>
      </c>
      <c r="F143" s="8">
        <f>(R143/$B143)+(R143/'Optimal Choice'!$B$21)</f>
        <v>193.8037230856356</v>
      </c>
      <c r="G143" s="8">
        <f>(S143/$B143)+(S143/'Optimal Choice'!$B$26)</f>
        <v>199.52217413919396</v>
      </c>
      <c r="I143" s="11">
        <f t="shared" ref="I143:M143" si="141">IF(MIN($C142:$G142)=C142,I142+1,I142)</f>
        <v>63</v>
      </c>
      <c r="J143" s="11">
        <f t="shared" si="141"/>
        <v>29</v>
      </c>
      <c r="K143" s="11">
        <f t="shared" si="141"/>
        <v>23</v>
      </c>
      <c r="L143" s="11">
        <f t="shared" si="141"/>
        <v>16</v>
      </c>
      <c r="M143" s="11">
        <f t="shared" si="141"/>
        <v>11</v>
      </c>
      <c r="O143" s="10">
        <f>'Optimal Choice'!$B$7*'Optimal Choice'!$B$8^(I143+1)</f>
        <v>303.82378035385386</v>
      </c>
      <c r="P143" s="10">
        <f>'Optimal Choice'!$B$12*'Optimal Choice'!$B$13^(J143+1)</f>
        <v>3972.7063174071454</v>
      </c>
      <c r="Q143" s="10">
        <f>'Optimal Choice'!$B$17*'Optimal Choice'!$B$18^(K143+1)</f>
        <v>16712.788934107128</v>
      </c>
      <c r="R143" s="10">
        <f>'Optimal Choice'!$B$22*'Optimal Choice'!$B$23^(L143+1)</f>
        <v>68999.712583233428</v>
      </c>
      <c r="S143" s="10">
        <f>'Optimal Choice'!$B$27*'Optimal Choice'!$B$28^(M143+1)</f>
        <v>403934.79090727074</v>
      </c>
    </row>
    <row r="144" spans="1:19" ht="15.75" customHeight="1">
      <c r="A144" s="8">
        <f t="shared" si="0"/>
        <v>4.7627420897866664</v>
      </c>
      <c r="B144" s="7">
        <f>(I144*'Optimal Choice'!$B$6+J144*'Optimal Choice'!$B$11+K144*'Optimal Choice'!$B$16+L144*'Optimal Choice'!$B$21+M144*'Optimal Choice'!$B$26)*'Optimal Choice'!$B$30</f>
        <v>32276.880000000001</v>
      </c>
      <c r="C144" s="8">
        <f>(O144/$B144)+(O144/'Optimal Choice'!$B$6)</f>
        <v>194.67560787536502</v>
      </c>
      <c r="D144" s="8">
        <f>(P144/$B144)+(P144/'Optimal Choice'!$B$11)</f>
        <v>198.75839797486697</v>
      </c>
      <c r="E144" s="8">
        <f>(Q144/$B144)+(Q144/'Optimal Choice'!$B$16)</f>
        <v>186.21544926123016</v>
      </c>
      <c r="F144" s="8">
        <f>(R144/$B144)+(R144/'Optimal Choice'!$B$21)</f>
        <v>193.80361247341057</v>
      </c>
      <c r="G144" s="8">
        <f>(S144/$B144)+(S144/'Optimal Choice'!$B$26)</f>
        <v>199.52152659843881</v>
      </c>
      <c r="I144" s="11">
        <f t="shared" ref="I144:M144" si="142">IF(MIN($C143:$G143)=C143,I143+1,I143)</f>
        <v>64</v>
      </c>
      <c r="J144" s="11">
        <f t="shared" si="142"/>
        <v>29</v>
      </c>
      <c r="K144" s="11">
        <f t="shared" si="142"/>
        <v>23</v>
      </c>
      <c r="L144" s="11">
        <f t="shared" si="142"/>
        <v>16</v>
      </c>
      <c r="M144" s="11">
        <f t="shared" si="142"/>
        <v>11</v>
      </c>
      <c r="O144" s="10">
        <f>'Optimal Choice'!$B$7*'Optimal Choice'!$B$8^(I144+1)</f>
        <v>325.09144497862366</v>
      </c>
      <c r="P144" s="10">
        <f>'Optimal Choice'!$B$12*'Optimal Choice'!$B$13^(J144+1)</f>
        <v>3972.7063174071454</v>
      </c>
      <c r="Q144" s="10">
        <f>'Optimal Choice'!$B$17*'Optimal Choice'!$B$18^(K144+1)</f>
        <v>16712.788934107128</v>
      </c>
      <c r="R144" s="10">
        <f>'Optimal Choice'!$B$22*'Optimal Choice'!$B$23^(L144+1)</f>
        <v>68999.712583233428</v>
      </c>
      <c r="S144" s="10">
        <f>'Optimal Choice'!$B$27*'Optimal Choice'!$B$28^(M144+1)</f>
        <v>403934.79090727074</v>
      </c>
    </row>
    <row r="145" spans="1:19" ht="15.75" customHeight="1">
      <c r="A145" s="8">
        <f t="shared" si="0"/>
        <v>4.7713719970836266</v>
      </c>
      <c r="B145" s="7">
        <f>(I145*'Optimal Choice'!$B$6+J145*'Optimal Choice'!$B$11+K145*'Optimal Choice'!$B$16+L145*'Optimal Choice'!$B$21+M145*'Optimal Choice'!$B$26)*'Optimal Choice'!$B$30</f>
        <v>32366.880000000001</v>
      </c>
      <c r="C145" s="8">
        <f>(O145/$B145)+(O145/'Optimal Choice'!$B$6)</f>
        <v>194.67557986906965</v>
      </c>
      <c r="D145" s="8">
        <f>(P145/$B145)+(P145/'Optimal Choice'!$B$11)</f>
        <v>198.75805573028219</v>
      </c>
      <c r="E145" s="8">
        <f>(Q145/$B145)+(Q145/'Optimal Choice'!$B$16)</f>
        <v>212.28397079758105</v>
      </c>
      <c r="F145" s="8">
        <f>(R145/$B145)+(R145/'Optimal Choice'!$B$21)</f>
        <v>193.79766821876512</v>
      </c>
      <c r="G145" s="8">
        <f>(S145/$B145)+(S145/'Optimal Choice'!$B$26)</f>
        <v>199.48672802946777</v>
      </c>
      <c r="I145" s="11">
        <f t="shared" ref="I145:M145" si="143">IF(MIN($C144:$G144)=C144,I144+1,I144)</f>
        <v>64</v>
      </c>
      <c r="J145" s="11">
        <f t="shared" si="143"/>
        <v>29</v>
      </c>
      <c r="K145" s="11">
        <f t="shared" si="143"/>
        <v>24</v>
      </c>
      <c r="L145" s="11">
        <f t="shared" si="143"/>
        <v>16</v>
      </c>
      <c r="M145" s="11">
        <f t="shared" si="143"/>
        <v>11</v>
      </c>
      <c r="O145" s="10">
        <f>'Optimal Choice'!$B$7*'Optimal Choice'!$B$8^(I145+1)</f>
        <v>325.09144497862366</v>
      </c>
      <c r="P145" s="10">
        <f>'Optimal Choice'!$B$12*'Optimal Choice'!$B$13^(J145+1)</f>
        <v>3972.7063174071454</v>
      </c>
      <c r="Q145" s="10">
        <f>'Optimal Choice'!$B$17*'Optimal Choice'!$B$18^(K145+1)</f>
        <v>19052.579384882123</v>
      </c>
      <c r="R145" s="10">
        <f>'Optimal Choice'!$B$22*'Optimal Choice'!$B$23^(L145+1)</f>
        <v>68999.712583233428</v>
      </c>
      <c r="S145" s="10">
        <f>'Optimal Choice'!$B$27*'Optimal Choice'!$B$28^(M145+1)</f>
        <v>403934.79090727074</v>
      </c>
    </row>
    <row r="146" spans="1:19" ht="15.75" customHeight="1">
      <c r="A146" s="8">
        <f t="shared" si="0"/>
        <v>4.8069019959503869</v>
      </c>
      <c r="B146" s="7">
        <f>(I146*'Optimal Choice'!$B$6+J146*'Optimal Choice'!$B$11+K146*'Optimal Choice'!$B$16+L146*'Optimal Choice'!$B$21+M146*'Optimal Choice'!$B$26)*'Optimal Choice'!$B$30</f>
        <v>32726.880000000001</v>
      </c>
      <c r="C146" s="8">
        <f>(O146/$B146)+(O146/'Optimal Choice'!$B$6)</f>
        <v>194.67546938425284</v>
      </c>
      <c r="D146" s="8">
        <f>(P146/$B146)+(P146/'Optimal Choice'!$B$11)</f>
        <v>198.75670557562117</v>
      </c>
      <c r="E146" s="8">
        <f>(Q146/$B146)+(Q146/'Optimal Choice'!$B$16)</f>
        <v>212.27749563259127</v>
      </c>
      <c r="F146" s="8">
        <f>(R146/$B146)+(R146/'Optimal Choice'!$B$21)</f>
        <v>218.96486649606663</v>
      </c>
      <c r="G146" s="8">
        <f>(S146/$B146)+(S146/'Optimal Choice'!$B$26)</f>
        <v>199.34944769784445</v>
      </c>
      <c r="I146" s="11">
        <f t="shared" ref="I146:M146" si="144">IF(MIN($C145:$G145)=C145,I145+1,I145)</f>
        <v>64</v>
      </c>
      <c r="J146" s="11">
        <f t="shared" si="144"/>
        <v>29</v>
      </c>
      <c r="K146" s="11">
        <f t="shared" si="144"/>
        <v>24</v>
      </c>
      <c r="L146" s="11">
        <f t="shared" si="144"/>
        <v>17</v>
      </c>
      <c r="M146" s="11">
        <f t="shared" si="144"/>
        <v>11</v>
      </c>
      <c r="O146" s="10">
        <f>'Optimal Choice'!$B$7*'Optimal Choice'!$B$8^(I146+1)</f>
        <v>325.09144497862366</v>
      </c>
      <c r="P146" s="10">
        <f>'Optimal Choice'!$B$12*'Optimal Choice'!$B$13^(J146+1)</f>
        <v>3972.7063174071454</v>
      </c>
      <c r="Q146" s="10">
        <f>'Optimal Choice'!$B$17*'Optimal Choice'!$B$18^(K146+1)</f>
        <v>19052.579384882123</v>
      </c>
      <c r="R146" s="10">
        <f>'Optimal Choice'!$B$22*'Optimal Choice'!$B$23^(L146+1)</f>
        <v>77969.675219053766</v>
      </c>
      <c r="S146" s="10">
        <f>'Optimal Choice'!$B$27*'Optimal Choice'!$B$28^(M146+1)</f>
        <v>403934.79090727074</v>
      </c>
    </row>
    <row r="147" spans="1:19" ht="15.75" customHeight="1">
      <c r="A147" s="8">
        <f t="shared" si="0"/>
        <v>4.8070675537655418</v>
      </c>
      <c r="B147" s="7">
        <f>(I147*'Optimal Choice'!$B$6+J147*'Optimal Choice'!$B$11+K147*'Optimal Choice'!$B$16+L147*'Optimal Choice'!$B$21+M147*'Optimal Choice'!$B$26)*'Optimal Choice'!$B$30</f>
        <v>32728.55</v>
      </c>
      <c r="C147" s="8">
        <f>(O147/$B147)+(O147/'Optimal Choice'!$B$6)</f>
        <v>208.30275169880704</v>
      </c>
      <c r="D147" s="8">
        <f>(P147/$B147)+(P147/'Optimal Choice'!$B$11)</f>
        <v>198.75669938161599</v>
      </c>
      <c r="E147" s="8">
        <f>(Q147/$B147)+(Q147/'Optimal Choice'!$B$16)</f>
        <v>212.27746592695343</v>
      </c>
      <c r="F147" s="8">
        <f>(R147/$B147)+(R147/'Optimal Choice'!$B$21)</f>
        <v>218.96474493043038</v>
      </c>
      <c r="G147" s="8">
        <f>(S147/$B147)+(S147/'Optimal Choice'!$B$26)</f>
        <v>199.34881790697096</v>
      </c>
      <c r="I147" s="11">
        <f t="shared" ref="I147:M147" si="145">IF(MIN($C146:$G146)=C146,I146+1,I146)</f>
        <v>65</v>
      </c>
      <c r="J147" s="11">
        <f t="shared" si="145"/>
        <v>29</v>
      </c>
      <c r="K147" s="11">
        <f t="shared" si="145"/>
        <v>24</v>
      </c>
      <c r="L147" s="11">
        <f t="shared" si="145"/>
        <v>17</v>
      </c>
      <c r="M147" s="11">
        <f t="shared" si="145"/>
        <v>11</v>
      </c>
      <c r="O147" s="10">
        <f>'Optimal Choice'!$B$7*'Optimal Choice'!$B$8^(I147+1)</f>
        <v>347.8478461271273</v>
      </c>
      <c r="P147" s="10">
        <f>'Optimal Choice'!$B$12*'Optimal Choice'!$B$13^(J147+1)</f>
        <v>3972.7063174071454</v>
      </c>
      <c r="Q147" s="10">
        <f>'Optimal Choice'!$B$17*'Optimal Choice'!$B$18^(K147+1)</f>
        <v>19052.579384882123</v>
      </c>
      <c r="R147" s="10">
        <f>'Optimal Choice'!$B$22*'Optimal Choice'!$B$23^(L147+1)</f>
        <v>77969.675219053766</v>
      </c>
      <c r="S147" s="10">
        <f>'Optimal Choice'!$B$27*'Optimal Choice'!$B$28^(M147+1)</f>
        <v>403934.79090727074</v>
      </c>
    </row>
    <row r="148" spans="1:19" ht="15.75" customHeight="1">
      <c r="A148" s="8">
        <f t="shared" si="0"/>
        <v>4.8090906122865205</v>
      </c>
      <c r="B148" s="7">
        <f>(I148*'Optimal Choice'!$B$6+J148*'Optimal Choice'!$B$11+K148*'Optimal Choice'!$B$16+L148*'Optimal Choice'!$B$21+M148*'Optimal Choice'!$B$26)*'Optimal Choice'!$B$30</f>
        <v>32748.55</v>
      </c>
      <c r="C148" s="8">
        <f>(O148/$B148)+(O148/'Optimal Choice'!$B$6)</f>
        <v>208.30274520797346</v>
      </c>
      <c r="D148" s="8">
        <f>(P148/$B148)+(P148/'Optimal Choice'!$B$11)</f>
        <v>228.57011903864853</v>
      </c>
      <c r="E148" s="8">
        <f>(Q148/$B148)+(Q148/'Optimal Choice'!$B$16)</f>
        <v>212.27711040621844</v>
      </c>
      <c r="F148" s="8">
        <f>(R148/$B148)+(R148/'Optimal Choice'!$B$21)</f>
        <v>218.96329001791281</v>
      </c>
      <c r="G148" s="8">
        <f>(S148/$B148)+(S148/'Optimal Choice'!$B$26)</f>
        <v>199.34128049217568</v>
      </c>
      <c r="I148" s="11">
        <f t="shared" ref="I148:M148" si="146">IF(MIN($C147:$G147)=C147,I147+1,I147)</f>
        <v>65</v>
      </c>
      <c r="J148" s="11">
        <f t="shared" si="146"/>
        <v>30</v>
      </c>
      <c r="K148" s="11">
        <f t="shared" si="146"/>
        <v>24</v>
      </c>
      <c r="L148" s="11">
        <f t="shared" si="146"/>
        <v>17</v>
      </c>
      <c r="M148" s="11">
        <f t="shared" si="146"/>
        <v>11</v>
      </c>
      <c r="O148" s="10">
        <f>'Optimal Choice'!$B$7*'Optimal Choice'!$B$8^(I148+1)</f>
        <v>347.8478461271273</v>
      </c>
      <c r="P148" s="10">
        <f>'Optimal Choice'!$B$12*'Optimal Choice'!$B$13^(J148+1)</f>
        <v>4568.612265018216</v>
      </c>
      <c r="Q148" s="10">
        <f>'Optimal Choice'!$B$17*'Optimal Choice'!$B$18^(K148+1)</f>
        <v>19052.579384882123</v>
      </c>
      <c r="R148" s="10">
        <f>'Optimal Choice'!$B$22*'Optimal Choice'!$B$23^(L148+1)</f>
        <v>77969.675219053766</v>
      </c>
      <c r="S148" s="10">
        <f>'Optimal Choice'!$B$27*'Optimal Choice'!$B$28^(M148+1)</f>
        <v>403934.79090727074</v>
      </c>
    </row>
    <row r="149" spans="1:19" ht="15.75" customHeight="1">
      <c r="A149" s="8">
        <f t="shared" si="0"/>
        <v>5.0146644931185325</v>
      </c>
      <c r="B149" s="7">
        <f>(I149*'Optimal Choice'!$B$6+J149*'Optimal Choice'!$B$11+K149*'Optimal Choice'!$B$16+L149*'Optimal Choice'!$B$21+M149*'Optimal Choice'!$B$26)*'Optimal Choice'!$B$30</f>
        <v>34908.550000000003</v>
      </c>
      <c r="C149" s="8">
        <f>(O149/$B149)+(O149/'Optimal Choice'!$B$6)</f>
        <v>208.30208797524165</v>
      </c>
      <c r="D149" s="8">
        <f>(P149/$B149)+(P149/'Optimal Choice'!$B$11)</f>
        <v>228.56148698428035</v>
      </c>
      <c r="E149" s="8">
        <f>(Q149/$B149)+(Q149/'Optimal Choice'!$B$16)</f>
        <v>212.24111196915186</v>
      </c>
      <c r="F149" s="8">
        <f>(R149/$B149)+(R149/'Optimal Choice'!$B$21)</f>
        <v>218.81597209366876</v>
      </c>
      <c r="G149" s="8">
        <f>(S149/$B149)+(S149/'Optimal Choice'!$B$26)</f>
        <v>222.40744470995298</v>
      </c>
      <c r="I149" s="11">
        <f t="shared" ref="I149:M149" si="147">IF(MIN($C148:$G148)=C148,I148+1,I148)</f>
        <v>65</v>
      </c>
      <c r="J149" s="11">
        <f t="shared" si="147"/>
        <v>30</v>
      </c>
      <c r="K149" s="11">
        <f t="shared" si="147"/>
        <v>24</v>
      </c>
      <c r="L149" s="11">
        <f t="shared" si="147"/>
        <v>17</v>
      </c>
      <c r="M149" s="11">
        <f t="shared" si="147"/>
        <v>12</v>
      </c>
      <c r="O149" s="10">
        <f>'Optimal Choice'!$B$7*'Optimal Choice'!$B$8^(I149+1)</f>
        <v>347.8478461271273</v>
      </c>
      <c r="P149" s="10">
        <f>'Optimal Choice'!$B$12*'Optimal Choice'!$B$13^(J149+1)</f>
        <v>4568.612265018216</v>
      </c>
      <c r="Q149" s="10">
        <f>'Optimal Choice'!$B$17*'Optimal Choice'!$B$18^(K149+1)</f>
        <v>19052.579384882123</v>
      </c>
      <c r="R149" s="10">
        <f>'Optimal Choice'!$B$22*'Optimal Choice'!$B$23^(L149+1)</f>
        <v>77969.675219053766</v>
      </c>
      <c r="S149" s="10">
        <f>'Optimal Choice'!$B$27*'Optimal Choice'!$B$28^(M149+1)</f>
        <v>452406.96581614332</v>
      </c>
    </row>
    <row r="150" spans="1:19" ht="15.75" customHeight="1">
      <c r="A150" s="8">
        <f t="shared" si="0"/>
        <v>5.0148305688822674</v>
      </c>
      <c r="B150" s="7">
        <f>(I150*'Optimal Choice'!$B$6+J150*'Optimal Choice'!$B$11+K150*'Optimal Choice'!$B$16+L150*'Optimal Choice'!$B$21+M150*'Optimal Choice'!$B$26)*'Optimal Choice'!$B$30</f>
        <v>34910.22</v>
      </c>
      <c r="C150" s="8">
        <f>(O150/$B150)+(O150/'Optimal Choice'!$B$6)</f>
        <v>222.88323362346745</v>
      </c>
      <c r="D150" s="8">
        <f>(P150/$B150)+(P150/'Optimal Choice'!$B$11)</f>
        <v>228.56148072367429</v>
      </c>
      <c r="E150" s="8">
        <f>(Q150/$B150)+(Q150/'Optimal Choice'!$B$16)</f>
        <v>212.24108586041535</v>
      </c>
      <c r="F150" s="8">
        <f>(R150/$B150)+(R150/'Optimal Choice'!$B$21)</f>
        <v>218.81586524778373</v>
      </c>
      <c r="G150" s="8">
        <f>(S150/$B150)+(S150/'Optimal Choice'!$B$26)</f>
        <v>222.40682475325161</v>
      </c>
      <c r="I150" s="11">
        <f t="shared" ref="I150:M150" si="148">IF(MIN($C149:$G149)=C149,I149+1,I149)</f>
        <v>66</v>
      </c>
      <c r="J150" s="11">
        <f t="shared" si="148"/>
        <v>30</v>
      </c>
      <c r="K150" s="11">
        <f t="shared" si="148"/>
        <v>24</v>
      </c>
      <c r="L150" s="11">
        <f t="shared" si="148"/>
        <v>17</v>
      </c>
      <c r="M150" s="11">
        <f t="shared" si="148"/>
        <v>12</v>
      </c>
      <c r="O150" s="10">
        <f>'Optimal Choice'!$B$7*'Optimal Choice'!$B$8^(I150+1)</f>
        <v>372.19719535602621</v>
      </c>
      <c r="P150" s="10">
        <f>'Optimal Choice'!$B$12*'Optimal Choice'!$B$13^(J150+1)</f>
        <v>4568.612265018216</v>
      </c>
      <c r="Q150" s="10">
        <f>'Optimal Choice'!$B$17*'Optimal Choice'!$B$18^(K150+1)</f>
        <v>19052.579384882123</v>
      </c>
      <c r="R150" s="10">
        <f>'Optimal Choice'!$B$22*'Optimal Choice'!$B$23^(L150+1)</f>
        <v>77969.675219053766</v>
      </c>
      <c r="S150" s="10">
        <f>'Optimal Choice'!$B$27*'Optimal Choice'!$B$28^(M150+1)</f>
        <v>452406.96581614332</v>
      </c>
    </row>
    <row r="151" spans="1:19" ht="15.75" customHeight="1">
      <c r="A151" s="8">
        <f t="shared" si="0"/>
        <v>5.0239265582443524</v>
      </c>
      <c r="B151" s="7">
        <f>(I151*'Optimal Choice'!$B$6+J151*'Optimal Choice'!$B$11+K151*'Optimal Choice'!$B$16+L151*'Optimal Choice'!$B$21+M151*'Optimal Choice'!$B$26)*'Optimal Choice'!$B$30</f>
        <v>35000.22</v>
      </c>
      <c r="C151" s="8">
        <f>(O151/$B151)+(O151/'Optimal Choice'!$B$6)</f>
        <v>222.88320620821523</v>
      </c>
      <c r="D151" s="8">
        <f>(P151/$B151)+(P151/'Optimal Choice'!$B$11)</f>
        <v>228.56114420943101</v>
      </c>
      <c r="E151" s="8">
        <f>(Q151/$B151)+(Q151/'Optimal Choice'!$B$16)</f>
        <v>241.95323803634358</v>
      </c>
      <c r="F151" s="8">
        <f>(R151/$B151)+(R151/'Optimal Choice'!$B$21)</f>
        <v>218.81012216766774</v>
      </c>
      <c r="G151" s="8">
        <f>(S151/$B151)+(S151/'Optimal Choice'!$B$26)</f>
        <v>222.37350142027103</v>
      </c>
      <c r="I151" s="11">
        <f t="shared" ref="I151:M151" si="149">IF(MIN($C150:$G150)=C150,I150+1,I150)</f>
        <v>66</v>
      </c>
      <c r="J151" s="11">
        <f t="shared" si="149"/>
        <v>30</v>
      </c>
      <c r="K151" s="11">
        <f t="shared" si="149"/>
        <v>25</v>
      </c>
      <c r="L151" s="11">
        <f t="shared" si="149"/>
        <v>17</v>
      </c>
      <c r="M151" s="11">
        <f t="shared" si="149"/>
        <v>12</v>
      </c>
      <c r="O151" s="10">
        <f>'Optimal Choice'!$B$7*'Optimal Choice'!$B$8^(I151+1)</f>
        <v>372.19719535602621</v>
      </c>
      <c r="P151" s="10">
        <f>'Optimal Choice'!$B$12*'Optimal Choice'!$B$13^(J151+1)</f>
        <v>4568.612265018216</v>
      </c>
      <c r="Q151" s="10">
        <f>'Optimal Choice'!$B$17*'Optimal Choice'!$B$18^(K151+1)</f>
        <v>21719.94049876562</v>
      </c>
      <c r="R151" s="10">
        <f>'Optimal Choice'!$B$22*'Optimal Choice'!$B$23^(L151+1)</f>
        <v>77969.675219053766</v>
      </c>
      <c r="S151" s="10">
        <f>'Optimal Choice'!$B$27*'Optimal Choice'!$B$28^(M151+1)</f>
        <v>452406.96581614332</v>
      </c>
    </row>
    <row r="152" spans="1:19" ht="15.75" customHeight="1">
      <c r="A152" s="8">
        <f t="shared" si="0"/>
        <v>5.0610547416381779</v>
      </c>
      <c r="B152" s="7">
        <f>(I152*'Optimal Choice'!$B$6+J152*'Optimal Choice'!$B$11+K152*'Optimal Choice'!$B$16+L152*'Optimal Choice'!$B$21+M152*'Optimal Choice'!$B$26)*'Optimal Choice'!$B$30</f>
        <v>35360.22</v>
      </c>
      <c r="C152" s="8">
        <f>(O152/$B152)+(O152/'Optimal Choice'!$B$6)</f>
        <v>222.88309794277043</v>
      </c>
      <c r="D152" s="8">
        <f>(P152/$B152)+(P152/'Optimal Choice'!$B$11)</f>
        <v>228.55981528260116</v>
      </c>
      <c r="E152" s="8">
        <f>(Q152/$B152)+(Q152/'Optimal Choice'!$B$16)</f>
        <v>241.94692009776679</v>
      </c>
      <c r="F152" s="8">
        <f>(R152/$B152)+(R152/'Optimal Choice'!$B$21)</f>
        <v>247.22980968232551</v>
      </c>
      <c r="G152" s="8">
        <f>(S152/$B152)+(S152/'Optimal Choice'!$B$26)</f>
        <v>222.24190440130621</v>
      </c>
      <c r="I152" s="11">
        <f t="shared" ref="I152:M152" si="150">IF(MIN($C151:$G151)=C151,I151+1,I151)</f>
        <v>66</v>
      </c>
      <c r="J152" s="11">
        <f t="shared" si="150"/>
        <v>30</v>
      </c>
      <c r="K152" s="11">
        <f t="shared" si="150"/>
        <v>25</v>
      </c>
      <c r="L152" s="11">
        <f t="shared" si="150"/>
        <v>18</v>
      </c>
      <c r="M152" s="11">
        <f t="shared" si="150"/>
        <v>12</v>
      </c>
      <c r="O152" s="10">
        <f>'Optimal Choice'!$B$7*'Optimal Choice'!$B$8^(I152+1)</f>
        <v>372.19719535602621</v>
      </c>
      <c r="P152" s="10">
        <f>'Optimal Choice'!$B$12*'Optimal Choice'!$B$13^(J152+1)</f>
        <v>4568.612265018216</v>
      </c>
      <c r="Q152" s="10">
        <f>'Optimal Choice'!$B$17*'Optimal Choice'!$B$18^(K152+1)</f>
        <v>21719.94049876562</v>
      </c>
      <c r="R152" s="10">
        <f>'Optimal Choice'!$B$22*'Optimal Choice'!$B$23^(L152+1)</f>
        <v>88105.732997530737</v>
      </c>
      <c r="S152" s="10">
        <f>'Optimal Choice'!$B$27*'Optimal Choice'!$B$28^(M152+1)</f>
        <v>452406.96581614332</v>
      </c>
    </row>
    <row r="153" spans="1:19" ht="15.75" customHeight="1">
      <c r="A153" s="8">
        <f t="shared" si="0"/>
        <v>5.2742919923378544</v>
      </c>
      <c r="B153" s="7">
        <f>(I153*'Optimal Choice'!$B$6+J153*'Optimal Choice'!$B$11+K153*'Optimal Choice'!$B$16+L153*'Optimal Choice'!$B$21+M153*'Optimal Choice'!$B$26)*'Optimal Choice'!$B$30</f>
        <v>37520.22</v>
      </c>
      <c r="C153" s="8">
        <f>(O153/$B153)+(O153/'Optimal Choice'!$B$6)</f>
        <v>222.88249197920427</v>
      </c>
      <c r="D153" s="8">
        <f>(P153/$B153)+(P153/'Optimal Choice'!$B$11)</f>
        <v>228.55237725615964</v>
      </c>
      <c r="E153" s="8">
        <f>(Q153/$B153)+(Q153/'Optimal Choice'!$B$16)</f>
        <v>241.9115584863263</v>
      </c>
      <c r="F153" s="8">
        <f>(R153/$B153)+(R153/'Optimal Choice'!$B$21)</f>
        <v>247.08636726837807</v>
      </c>
      <c r="G153" s="8">
        <f>(S153/$B153)+(S153/'Optimal Choice'!$B$26)</f>
        <v>248.08599604440315</v>
      </c>
      <c r="I153" s="11">
        <f t="shared" ref="I153:M153" si="151">IF(MIN($C152:$G152)=C152,I152+1,I152)</f>
        <v>66</v>
      </c>
      <c r="J153" s="11">
        <f t="shared" si="151"/>
        <v>30</v>
      </c>
      <c r="K153" s="11">
        <f t="shared" si="151"/>
        <v>25</v>
      </c>
      <c r="L153" s="11">
        <f t="shared" si="151"/>
        <v>18</v>
      </c>
      <c r="M153" s="11">
        <f t="shared" si="151"/>
        <v>13</v>
      </c>
      <c r="O153" s="10">
        <f>'Optimal Choice'!$B$7*'Optimal Choice'!$B$8^(I153+1)</f>
        <v>372.19719535602621</v>
      </c>
      <c r="P153" s="10">
        <f>'Optimal Choice'!$B$12*'Optimal Choice'!$B$13^(J153+1)</f>
        <v>4568.612265018216</v>
      </c>
      <c r="Q153" s="10">
        <f>'Optimal Choice'!$B$17*'Optimal Choice'!$B$18^(K153+1)</f>
        <v>21719.94049876562</v>
      </c>
      <c r="R153" s="10">
        <f>'Optimal Choice'!$B$22*'Optimal Choice'!$B$23^(L153+1)</f>
        <v>88105.732997530737</v>
      </c>
      <c r="S153" s="10">
        <f>'Optimal Choice'!$B$27*'Optimal Choice'!$B$28^(M153+1)</f>
        <v>506695.80171408056</v>
      </c>
    </row>
    <row r="154" spans="1:19" ht="15.75" customHeight="1">
      <c r="A154" s="8">
        <f t="shared" si="0"/>
        <v>5.2744573241666464</v>
      </c>
      <c r="B154" s="7">
        <f>(I154*'Optimal Choice'!$B$6+J154*'Optimal Choice'!$B$11+K154*'Optimal Choice'!$B$16+L154*'Optimal Choice'!$B$21+M154*'Optimal Choice'!$B$26)*'Optimal Choice'!$B$30</f>
        <v>37521.89</v>
      </c>
      <c r="C154" s="8">
        <f>(O154/$B154)+(O154/'Optimal Choice'!$B$6)</f>
        <v>238.48426594533404</v>
      </c>
      <c r="D154" s="8">
        <f>(P154/$B154)+(P154/'Optimal Choice'!$B$11)</f>
        <v>228.5523718367661</v>
      </c>
      <c r="E154" s="8">
        <f>(Q154/$B154)+(Q154/'Optimal Choice'!$B$16)</f>
        <v>241.91153272163044</v>
      </c>
      <c r="F154" s="8">
        <f>(R154/$B154)+(R154/'Optimal Choice'!$B$21)</f>
        <v>247.08626275531947</v>
      </c>
      <c r="G154" s="8">
        <f>(S154/$B154)+(S154/'Optimal Choice'!$B$26)</f>
        <v>248.0853949901219</v>
      </c>
      <c r="I154" s="11">
        <f t="shared" ref="I154:M154" si="152">IF(MIN($C153:$G153)=C153,I153+1,I153)</f>
        <v>67</v>
      </c>
      <c r="J154" s="11">
        <f t="shared" si="152"/>
        <v>30</v>
      </c>
      <c r="K154" s="11">
        <f t="shared" si="152"/>
        <v>25</v>
      </c>
      <c r="L154" s="11">
        <f t="shared" si="152"/>
        <v>18</v>
      </c>
      <c r="M154" s="11">
        <f t="shared" si="152"/>
        <v>13</v>
      </c>
      <c r="O154" s="10">
        <f>'Optimal Choice'!$B$7*'Optimal Choice'!$B$8^(I154+1)</f>
        <v>398.25099903094804</v>
      </c>
      <c r="P154" s="10">
        <f>'Optimal Choice'!$B$12*'Optimal Choice'!$B$13^(J154+1)</f>
        <v>4568.612265018216</v>
      </c>
      <c r="Q154" s="10">
        <f>'Optimal Choice'!$B$17*'Optimal Choice'!$B$18^(K154+1)</f>
        <v>21719.94049876562</v>
      </c>
      <c r="R154" s="10">
        <f>'Optimal Choice'!$B$22*'Optimal Choice'!$B$23^(L154+1)</f>
        <v>88105.732997530737</v>
      </c>
      <c r="S154" s="10">
        <f>'Optimal Choice'!$B$27*'Optimal Choice'!$B$28^(M154+1)</f>
        <v>506695.80171408056</v>
      </c>
    </row>
    <row r="155" spans="1:19" ht="15.75" customHeight="1">
      <c r="A155" s="8">
        <f t="shared" si="0"/>
        <v>5.2764866339309018</v>
      </c>
      <c r="B155" s="7">
        <f>(I155*'Optimal Choice'!$B$6+J155*'Optimal Choice'!$B$11+K155*'Optimal Choice'!$B$16+L155*'Optimal Choice'!$B$21+M155*'Optimal Choice'!$B$26)*'Optimal Choice'!$B$30</f>
        <v>37541.89</v>
      </c>
      <c r="C155" s="8">
        <f>(O155/$B155)+(O155/'Optimal Choice'!$B$6)</f>
        <v>238.48426029094051</v>
      </c>
      <c r="D155" s="8">
        <f>(P155/$B155)+(P155/'Optimal Choice'!$B$11)</f>
        <v>262.83515301700953</v>
      </c>
      <c r="E155" s="8">
        <f>(Q155/$B155)+(Q155/'Optimal Choice'!$B$16)</f>
        <v>241.91122434050573</v>
      </c>
      <c r="F155" s="8">
        <f>(R155/$B155)+(R155/'Optimal Choice'!$B$21)</f>
        <v>247.08501182440472</v>
      </c>
      <c r="G155" s="8">
        <f>(S155/$B155)+(S155/'Optimal Choice'!$B$26)</f>
        <v>248.07820089024699</v>
      </c>
      <c r="I155" s="11">
        <f t="shared" ref="I155:M155" si="153">IF(MIN($C154:$G154)=C154,I154+1,I154)</f>
        <v>67</v>
      </c>
      <c r="J155" s="11">
        <f t="shared" si="153"/>
        <v>31</v>
      </c>
      <c r="K155" s="11">
        <f t="shared" si="153"/>
        <v>25</v>
      </c>
      <c r="L155" s="11">
        <f t="shared" si="153"/>
        <v>18</v>
      </c>
      <c r="M155" s="11">
        <f t="shared" si="153"/>
        <v>13</v>
      </c>
      <c r="O155" s="10">
        <f>'Optimal Choice'!$B$7*'Optimal Choice'!$B$8^(I155+1)</f>
        <v>398.25099903094804</v>
      </c>
      <c r="P155" s="10">
        <f>'Optimal Choice'!$B$12*'Optimal Choice'!$B$13^(J155+1)</f>
        <v>5253.904104770947</v>
      </c>
      <c r="Q155" s="10">
        <f>'Optimal Choice'!$B$17*'Optimal Choice'!$B$18^(K155+1)</f>
        <v>21719.94049876562</v>
      </c>
      <c r="R155" s="10">
        <f>'Optimal Choice'!$B$22*'Optimal Choice'!$B$23^(L155+1)</f>
        <v>88105.732997530737</v>
      </c>
      <c r="S155" s="10">
        <f>'Optimal Choice'!$B$27*'Optimal Choice'!$B$28^(M155+1)</f>
        <v>506695.80171408056</v>
      </c>
    </row>
    <row r="156" spans="1:19" ht="15.75" customHeight="1">
      <c r="A156" s="8">
        <f t="shared" si="0"/>
        <v>5.2766634368742409</v>
      </c>
      <c r="B156" s="7">
        <f>(I156*'Optimal Choice'!$B$6+J156*'Optimal Choice'!$B$11+K156*'Optimal Choice'!$B$16+L156*'Optimal Choice'!$B$21+M156*'Optimal Choice'!$B$26)*'Optimal Choice'!$B$30</f>
        <v>37543.56</v>
      </c>
      <c r="C156" s="8">
        <f>(O156/$B156)+(O156/'Optimal Choice'!$B$6)</f>
        <v>255.17815800640616</v>
      </c>
      <c r="D156" s="8">
        <f>(P156/$B156)+(P156/'Optimal Choice'!$B$11)</f>
        <v>262.83514679189955</v>
      </c>
      <c r="E156" s="8">
        <f>(Q156/$B156)+(Q156/'Optimal Choice'!$B$16)</f>
        <v>241.91119860554451</v>
      </c>
      <c r="F156" s="8">
        <f>(R156/$B156)+(R156/'Optimal Choice'!$B$21)</f>
        <v>247.08490743196305</v>
      </c>
      <c r="G156" s="8">
        <f>(S156/$B156)+(S156/'Optimal Choice'!$B$26)</f>
        <v>248.0776005296334</v>
      </c>
      <c r="I156" s="11">
        <f t="shared" ref="I156:M156" si="154">IF(MIN($C155:$G155)=C155,I155+1,I155)</f>
        <v>68</v>
      </c>
      <c r="J156" s="11">
        <f t="shared" si="154"/>
        <v>31</v>
      </c>
      <c r="K156" s="11">
        <f t="shared" si="154"/>
        <v>25</v>
      </c>
      <c r="L156" s="11">
        <f t="shared" si="154"/>
        <v>18</v>
      </c>
      <c r="M156" s="11">
        <f t="shared" si="154"/>
        <v>13</v>
      </c>
      <c r="O156" s="10">
        <f>'Optimal Choice'!$B$7*'Optimal Choice'!$B$8^(I156+1)</f>
        <v>426.12856896311445</v>
      </c>
      <c r="P156" s="10">
        <f>'Optimal Choice'!$B$12*'Optimal Choice'!$B$13^(J156+1)</f>
        <v>5253.904104770947</v>
      </c>
      <c r="Q156" s="10">
        <f>'Optimal Choice'!$B$17*'Optimal Choice'!$B$18^(K156+1)</f>
        <v>21719.94049876562</v>
      </c>
      <c r="R156" s="10">
        <f>'Optimal Choice'!$B$22*'Optimal Choice'!$B$23^(L156+1)</f>
        <v>88105.732997530737</v>
      </c>
      <c r="S156" s="10">
        <f>'Optimal Choice'!$B$27*'Optimal Choice'!$B$28^(M156+1)</f>
        <v>506695.80171408056</v>
      </c>
    </row>
    <row r="157" spans="1:19" ht="15.75" customHeight="1">
      <c r="A157" s="8">
        <f t="shared" si="0"/>
        <v>5.2863055434915349</v>
      </c>
      <c r="B157" s="7">
        <f>(I157*'Optimal Choice'!$B$6+J157*'Optimal Choice'!$B$11+K157*'Optimal Choice'!$B$16+L157*'Optimal Choice'!$B$21+M157*'Optimal Choice'!$B$26)*'Optimal Choice'!$B$30</f>
        <v>37633.56</v>
      </c>
      <c r="C157" s="8">
        <f>(O157/$B157)+(O157/'Optimal Choice'!$B$6)</f>
        <v>255.17813086249615</v>
      </c>
      <c r="D157" s="8">
        <f>(P157/$B157)+(P157/'Optimal Choice'!$B$11)</f>
        <v>262.83481212412426</v>
      </c>
      <c r="E157" s="8">
        <f>(Q157/$B157)+(Q157/'Optimal Choice'!$B$16)</f>
        <v>275.77718917956349</v>
      </c>
      <c r="F157" s="8">
        <f>(R157/$B157)+(R157/'Optimal Choice'!$B$21)</f>
        <v>247.07929519598289</v>
      </c>
      <c r="G157" s="8">
        <f>(S157/$B157)+(S157/'Optimal Choice'!$B$26)</f>
        <v>248.04532457763082</v>
      </c>
      <c r="I157" s="11">
        <f t="shared" ref="I157:M157" si="155">IF(MIN($C156:$G156)=C156,I156+1,I156)</f>
        <v>68</v>
      </c>
      <c r="J157" s="11">
        <f t="shared" si="155"/>
        <v>31</v>
      </c>
      <c r="K157" s="11">
        <f t="shared" si="155"/>
        <v>26</v>
      </c>
      <c r="L157" s="11">
        <f t="shared" si="155"/>
        <v>18</v>
      </c>
      <c r="M157" s="11">
        <f t="shared" si="155"/>
        <v>13</v>
      </c>
      <c r="O157" s="10">
        <f>'Optimal Choice'!$B$7*'Optimal Choice'!$B$8^(I157+1)</f>
        <v>426.12856896311445</v>
      </c>
      <c r="P157" s="10">
        <f>'Optimal Choice'!$B$12*'Optimal Choice'!$B$13^(J157+1)</f>
        <v>5253.904104770947</v>
      </c>
      <c r="Q157" s="10">
        <f>'Optimal Choice'!$B$17*'Optimal Choice'!$B$18^(K157+1)</f>
        <v>24760.732168592807</v>
      </c>
      <c r="R157" s="10">
        <f>'Optimal Choice'!$B$22*'Optimal Choice'!$B$23^(L157+1)</f>
        <v>88105.732997530737</v>
      </c>
      <c r="S157" s="10">
        <f>'Optimal Choice'!$B$27*'Optimal Choice'!$B$28^(M157+1)</f>
        <v>506695.80171408056</v>
      </c>
    </row>
    <row r="158" spans="1:19" ht="15.75" customHeight="1">
      <c r="A158" s="8">
        <f t="shared" si="0"/>
        <v>5.3253246765018636</v>
      </c>
      <c r="B158" s="7">
        <f>(I158*'Optimal Choice'!$B$6+J158*'Optimal Choice'!$B$11+K158*'Optimal Choice'!$B$16+L158*'Optimal Choice'!$B$21+M158*'Optimal Choice'!$B$26)*'Optimal Choice'!$B$30</f>
        <v>37993.56</v>
      </c>
      <c r="C158" s="8">
        <f>(O158/$B158)+(O158/'Optimal Choice'!$B$6)</f>
        <v>255.17802357283827</v>
      </c>
      <c r="D158" s="8">
        <f>(P158/$B158)+(P158/'Optimal Choice'!$B$11)</f>
        <v>262.83348930839423</v>
      </c>
      <c r="E158" s="8">
        <f>(Q158/$B158)+(Q158/'Optimal Choice'!$B$16)</f>
        <v>275.77095498012886</v>
      </c>
      <c r="F158" s="8">
        <f>(R158/$B158)+(R158/'Optimal Choice'!$B$21)</f>
        <v>279.17453671806453</v>
      </c>
      <c r="G158" s="8">
        <f>(S158/$B158)+(S158/'Optimal Choice'!$B$26)</f>
        <v>247.91774988965034</v>
      </c>
      <c r="I158" s="11">
        <f t="shared" ref="I158:M158" si="156">IF(MIN($C157:$G157)=C157,I157+1,I157)</f>
        <v>68</v>
      </c>
      <c r="J158" s="11">
        <f t="shared" si="156"/>
        <v>31</v>
      </c>
      <c r="K158" s="11">
        <f t="shared" si="156"/>
        <v>26</v>
      </c>
      <c r="L158" s="11">
        <f t="shared" si="156"/>
        <v>19</v>
      </c>
      <c r="M158" s="11">
        <f t="shared" si="156"/>
        <v>13</v>
      </c>
      <c r="O158" s="10">
        <f>'Optimal Choice'!$B$7*'Optimal Choice'!$B$8^(I158+1)</f>
        <v>426.12856896311445</v>
      </c>
      <c r="P158" s="10">
        <f>'Optimal Choice'!$B$12*'Optimal Choice'!$B$13^(J158+1)</f>
        <v>5253.904104770947</v>
      </c>
      <c r="Q158" s="10">
        <f>'Optimal Choice'!$B$17*'Optimal Choice'!$B$18^(K158+1)</f>
        <v>24760.732168592807</v>
      </c>
      <c r="R158" s="10">
        <f>'Optimal Choice'!$B$22*'Optimal Choice'!$B$23^(L158+1)</f>
        <v>99559.478287209728</v>
      </c>
      <c r="S158" s="10">
        <f>'Optimal Choice'!$B$27*'Optimal Choice'!$B$28^(M158+1)</f>
        <v>506695.80171408056</v>
      </c>
    </row>
    <row r="159" spans="1:19" ht="15.75" customHeight="1">
      <c r="A159" s="8">
        <f t="shared" si="0"/>
        <v>5.5475973466219575</v>
      </c>
      <c r="B159" s="7">
        <f>(I159*'Optimal Choice'!$B$6+J159*'Optimal Choice'!$B$11+K159*'Optimal Choice'!$B$16+L159*'Optimal Choice'!$B$21+M159*'Optimal Choice'!$B$26)*'Optimal Choice'!$B$30</f>
        <v>40153.56</v>
      </c>
      <c r="C159" s="8">
        <f>(O159/$B159)+(O159/'Optimal Choice'!$B$6)</f>
        <v>255.17742023528444</v>
      </c>
      <c r="D159" s="8">
        <f>(P159/$B159)+(P159/'Optimal Choice'!$B$11)</f>
        <v>262.82605052610768</v>
      </c>
      <c r="E159" s="8">
        <f>(Q159/$B159)+(Q159/'Optimal Choice'!$B$16)</f>
        <v>275.7358972987962</v>
      </c>
      <c r="F159" s="8">
        <f>(R159/$B159)+(R159/'Optimal Choice'!$B$21)</f>
        <v>279.03357463181959</v>
      </c>
      <c r="G159" s="8">
        <f>(S159/$B159)+(S159/'Optimal Choice'!$B$26)</f>
        <v>276.86438144156796</v>
      </c>
      <c r="I159" s="11">
        <f t="shared" ref="I159:M159" si="157">IF(MIN($C158:$G158)=C158,I158+1,I158)</f>
        <v>68</v>
      </c>
      <c r="J159" s="11">
        <f t="shared" si="157"/>
        <v>31</v>
      </c>
      <c r="K159" s="11">
        <f t="shared" si="157"/>
        <v>26</v>
      </c>
      <c r="L159" s="11">
        <f t="shared" si="157"/>
        <v>19</v>
      </c>
      <c r="M159" s="11">
        <f t="shared" si="157"/>
        <v>14</v>
      </c>
      <c r="O159" s="10">
        <f>'Optimal Choice'!$B$7*'Optimal Choice'!$B$8^(I159+1)</f>
        <v>426.12856896311445</v>
      </c>
      <c r="P159" s="10">
        <f>'Optimal Choice'!$B$12*'Optimal Choice'!$B$13^(J159+1)</f>
        <v>5253.904104770947</v>
      </c>
      <c r="Q159" s="10">
        <f>'Optimal Choice'!$B$17*'Optimal Choice'!$B$18^(K159+1)</f>
        <v>24760.732168592807</v>
      </c>
      <c r="R159" s="10">
        <f>'Optimal Choice'!$B$22*'Optimal Choice'!$B$23^(L159+1)</f>
        <v>99559.478287209728</v>
      </c>
      <c r="S159" s="10">
        <f>'Optimal Choice'!$B$27*'Optimal Choice'!$B$28^(M159+1)</f>
        <v>567499.29791977024</v>
      </c>
    </row>
    <row r="160" spans="1:19" ht="15.75" customHeight="1">
      <c r="A160" s="8">
        <f t="shared" si="0"/>
        <v>5.5477742211709655</v>
      </c>
      <c r="B160" s="7">
        <f>(I160*'Optimal Choice'!$B$6+J160*'Optimal Choice'!$B$11+K160*'Optimal Choice'!$B$16+L160*'Optimal Choice'!$B$21+M160*'Optimal Choice'!$B$26)*'Optimal Choice'!$B$30</f>
        <v>40155.229999999996</v>
      </c>
      <c r="C160" s="8">
        <f>(O160/$B160)+(O160/'Optimal Choice'!$B$6)</f>
        <v>273.03983917950131</v>
      </c>
      <c r="D160" s="8">
        <f>(P160/$B160)+(P160/'Optimal Choice'!$B$11)</f>
        <v>262.82604508443472</v>
      </c>
      <c r="E160" s="8">
        <f>(Q160/$B160)+(Q160/'Optimal Choice'!$B$16)</f>
        <v>275.73587165314211</v>
      </c>
      <c r="F160" s="8">
        <f>(R160/$B160)+(R160/'Optimal Choice'!$B$21)</f>
        <v>279.03347151419268</v>
      </c>
      <c r="G160" s="8">
        <f>(S160/$B160)+(S160/'Optimal Choice'!$B$26)</f>
        <v>276.86379366045588</v>
      </c>
      <c r="I160" s="11">
        <f t="shared" ref="I160:M160" si="158">IF(MIN($C159:$G159)=C159,I159+1,I159)</f>
        <v>69</v>
      </c>
      <c r="J160" s="11">
        <f t="shared" si="158"/>
        <v>31</v>
      </c>
      <c r="K160" s="11">
        <f t="shared" si="158"/>
        <v>26</v>
      </c>
      <c r="L160" s="11">
        <f t="shared" si="158"/>
        <v>19</v>
      </c>
      <c r="M160" s="11">
        <f t="shared" si="158"/>
        <v>14</v>
      </c>
      <c r="O160" s="10">
        <f>'Optimal Choice'!$B$7*'Optimal Choice'!$B$8^(I160+1)</f>
        <v>455.95756879053243</v>
      </c>
      <c r="P160" s="10">
        <f>'Optimal Choice'!$B$12*'Optimal Choice'!$B$13^(J160+1)</f>
        <v>5253.904104770947</v>
      </c>
      <c r="Q160" s="10">
        <f>'Optimal Choice'!$B$17*'Optimal Choice'!$B$18^(K160+1)</f>
        <v>24760.732168592807</v>
      </c>
      <c r="R160" s="10">
        <f>'Optimal Choice'!$B$22*'Optimal Choice'!$B$23^(L160+1)</f>
        <v>99559.478287209728</v>
      </c>
      <c r="S160" s="10">
        <f>'Optimal Choice'!$B$27*'Optimal Choice'!$B$28^(M160+1)</f>
        <v>567499.29791977024</v>
      </c>
    </row>
    <row r="161" spans="1:19" ht="15.75" customHeight="1">
      <c r="A161" s="8">
        <f t="shared" si="0"/>
        <v>5.5499548852690879</v>
      </c>
      <c r="B161" s="7">
        <f>(I161*'Optimal Choice'!$B$6+J161*'Optimal Choice'!$B$11+K161*'Optimal Choice'!$B$16+L161*'Optimal Choice'!$B$21+M161*'Optimal Choice'!$B$26)*'Optimal Choice'!$B$30</f>
        <v>40175.229999999996</v>
      </c>
      <c r="C161" s="8">
        <f>(O161/$B161)+(O161/'Optimal Choice'!$B$6)</f>
        <v>273.03983352682741</v>
      </c>
      <c r="D161" s="8">
        <f>(P161/$B161)+(P161/'Optimal Choice'!$B$11)</f>
        <v>302.24987694232755</v>
      </c>
      <c r="E161" s="8">
        <f>(Q161/$B161)+(Q161/'Optimal Choice'!$B$16)</f>
        <v>275.73556468522412</v>
      </c>
      <c r="F161" s="8">
        <f>(R161/$B161)+(R161/'Optimal Choice'!$B$21)</f>
        <v>279.03223723866478</v>
      </c>
      <c r="G161" s="8">
        <f>(S161/$B161)+(S161/'Optimal Choice'!$B$26)</f>
        <v>276.85675816260505</v>
      </c>
      <c r="I161" s="11">
        <f t="shared" ref="I161:M161" si="159">IF(MIN($C160:$G160)=C160,I160+1,I160)</f>
        <v>69</v>
      </c>
      <c r="J161" s="11">
        <f t="shared" si="159"/>
        <v>32</v>
      </c>
      <c r="K161" s="11">
        <f t="shared" si="159"/>
        <v>26</v>
      </c>
      <c r="L161" s="11">
        <f t="shared" si="159"/>
        <v>19</v>
      </c>
      <c r="M161" s="11">
        <f t="shared" si="159"/>
        <v>14</v>
      </c>
      <c r="O161" s="10">
        <f>'Optimal Choice'!$B$7*'Optimal Choice'!$B$8^(I161+1)</f>
        <v>455.95756879053243</v>
      </c>
      <c r="P161" s="10">
        <f>'Optimal Choice'!$B$12*'Optimal Choice'!$B$13^(J161+1)</f>
        <v>6041.9897204865883</v>
      </c>
      <c r="Q161" s="10">
        <f>'Optimal Choice'!$B$17*'Optimal Choice'!$B$18^(K161+1)</f>
        <v>24760.732168592807</v>
      </c>
      <c r="R161" s="10">
        <f>'Optimal Choice'!$B$22*'Optimal Choice'!$B$23^(L161+1)</f>
        <v>99559.478287209728</v>
      </c>
      <c r="S161" s="10">
        <f>'Optimal Choice'!$B$27*'Optimal Choice'!$B$28^(M161+1)</f>
        <v>567499.29791977024</v>
      </c>
    </row>
    <row r="162" spans="1:19" ht="15.75" customHeight="1">
      <c r="A162" s="8">
        <f t="shared" si="0"/>
        <v>5.5501440389544099</v>
      </c>
      <c r="B162" s="7">
        <f>(I162*'Optimal Choice'!$B$6+J162*'Optimal Choice'!$B$11+K162*'Optimal Choice'!$B$16+L162*'Optimal Choice'!$B$21+M162*'Optimal Choice'!$B$26)*'Optimal Choice'!$B$30</f>
        <v>40176.9</v>
      </c>
      <c r="C162" s="8">
        <f>(O162/$B162)+(O162/'Optimal Choice'!$B$6)</f>
        <v>292.15262136893955</v>
      </c>
      <c r="D162" s="8">
        <f>(P162/$B162)+(P162/'Optimal Choice'!$B$11)</f>
        <v>302.24987069115252</v>
      </c>
      <c r="E162" s="8">
        <f>(Q162/$B162)+(Q162/'Optimal Choice'!$B$16)</f>
        <v>275.73553906722788</v>
      </c>
      <c r="F162" s="8">
        <f>(R162/$B162)+(R162/'Optimal Choice'!$B$21)</f>
        <v>279.03213423224622</v>
      </c>
      <c r="G162" s="8">
        <f>(S162/$B162)+(S162/'Optimal Choice'!$B$26)</f>
        <v>276.85617101539185</v>
      </c>
      <c r="I162" s="11">
        <f t="shared" ref="I162:M162" si="160">IF(MIN($C161:$G161)=C161,I161+1,I161)</f>
        <v>70</v>
      </c>
      <c r="J162" s="11">
        <f t="shared" si="160"/>
        <v>32</v>
      </c>
      <c r="K162" s="11">
        <f t="shared" si="160"/>
        <v>26</v>
      </c>
      <c r="L162" s="11">
        <f t="shared" si="160"/>
        <v>19</v>
      </c>
      <c r="M162" s="11">
        <f t="shared" si="160"/>
        <v>14</v>
      </c>
      <c r="O162" s="10">
        <f>'Optimal Choice'!$B$7*'Optimal Choice'!$B$8^(I162+1)</f>
        <v>487.87459860586972</v>
      </c>
      <c r="P162" s="10">
        <f>'Optimal Choice'!$B$12*'Optimal Choice'!$B$13^(J162+1)</f>
        <v>6041.9897204865883</v>
      </c>
      <c r="Q162" s="10">
        <f>'Optimal Choice'!$B$17*'Optimal Choice'!$B$18^(K162+1)</f>
        <v>24760.732168592807</v>
      </c>
      <c r="R162" s="10">
        <f>'Optimal Choice'!$B$22*'Optimal Choice'!$B$23^(L162+1)</f>
        <v>99559.478287209728</v>
      </c>
      <c r="S162" s="10">
        <f>'Optimal Choice'!$B$27*'Optimal Choice'!$B$28^(M162+1)</f>
        <v>567499.29791977024</v>
      </c>
    </row>
    <row r="163" spans="1:19" ht="15.75" customHeight="1">
      <c r="A163" s="8">
        <f t="shared" si="0"/>
        <v>5.5604155847799106</v>
      </c>
      <c r="B163" s="7">
        <f>(I163*'Optimal Choice'!$B$6+J163*'Optimal Choice'!$B$11+K163*'Optimal Choice'!$B$16+L163*'Optimal Choice'!$B$21+M163*'Optimal Choice'!$B$26)*'Optimal Choice'!$B$30</f>
        <v>40266.9</v>
      </c>
      <c r="C163" s="8">
        <f>(O163/$B163)+(O163/'Optimal Choice'!$B$6)</f>
        <v>292.15259422792383</v>
      </c>
      <c r="D163" s="8">
        <f>(P163/$B163)+(P163/'Optimal Choice'!$B$11)</f>
        <v>302.24953456843105</v>
      </c>
      <c r="E163" s="8">
        <f>(Q163/$B163)+(Q163/'Optimal Choice'!$B$16)</f>
        <v>314.33694422365062</v>
      </c>
      <c r="F163" s="8">
        <f>(R163/$B163)+(R163/'Optimal Choice'!$B$21)</f>
        <v>279.02659562586979</v>
      </c>
      <c r="G163" s="8">
        <f>(S163/$B163)+(S163/'Optimal Choice'!$B$26)</f>
        <v>276.82460038762076</v>
      </c>
      <c r="I163" s="11">
        <f t="shared" ref="I163:M163" si="161">IF(MIN($C162:$G162)=C162,I162+1,I162)</f>
        <v>70</v>
      </c>
      <c r="J163" s="11">
        <f t="shared" si="161"/>
        <v>32</v>
      </c>
      <c r="K163" s="11">
        <f t="shared" si="161"/>
        <v>27</v>
      </c>
      <c r="L163" s="11">
        <f t="shared" si="161"/>
        <v>19</v>
      </c>
      <c r="M163" s="11">
        <f t="shared" si="161"/>
        <v>14</v>
      </c>
      <c r="O163" s="10">
        <f>'Optimal Choice'!$B$7*'Optimal Choice'!$B$8^(I163+1)</f>
        <v>487.87459860586972</v>
      </c>
      <c r="P163" s="10">
        <f>'Optimal Choice'!$B$12*'Optimal Choice'!$B$13^(J163+1)</f>
        <v>6041.9897204865883</v>
      </c>
      <c r="Q163" s="10">
        <f>'Optimal Choice'!$B$17*'Optimal Choice'!$B$18^(K163+1)</f>
        <v>28227.234672195798</v>
      </c>
      <c r="R163" s="10">
        <f>'Optimal Choice'!$B$22*'Optimal Choice'!$B$23^(L163+1)</f>
        <v>99559.478287209728</v>
      </c>
      <c r="S163" s="10">
        <f>'Optimal Choice'!$B$27*'Optimal Choice'!$B$28^(M163+1)</f>
        <v>567499.29791977024</v>
      </c>
    </row>
    <row r="164" spans="1:19" ht="15.75" customHeight="1">
      <c r="A164" s="8">
        <f t="shared" si="0"/>
        <v>5.795306317167956</v>
      </c>
      <c r="B164" s="7">
        <f>(I164*'Optimal Choice'!$B$6+J164*'Optimal Choice'!$B$11+K164*'Optimal Choice'!$B$16+L164*'Optimal Choice'!$B$21+M164*'Optimal Choice'!$B$26)*'Optimal Choice'!$B$30</f>
        <v>42426.9</v>
      </c>
      <c r="C164" s="8">
        <f>(O164/$B164)+(O164/'Optimal Choice'!$B$6)</f>
        <v>292.15197738801891</v>
      </c>
      <c r="D164" s="8">
        <f>(P164/$B164)+(P164/'Optimal Choice'!$B$11)</f>
        <v>302.24189543252294</v>
      </c>
      <c r="E164" s="8">
        <f>(Q164/$B164)+(Q164/'Optimal Choice'!$B$16)</f>
        <v>314.30125537081466</v>
      </c>
      <c r="F164" s="8">
        <f>(R164/$B164)+(R164/'Optimal Choice'!$B$21)</f>
        <v>278.90071848592743</v>
      </c>
      <c r="G164" s="8">
        <f>(S164/$B164)+(S164/'Optimal Choice'!$B$26)</f>
        <v>309.23993822740351</v>
      </c>
      <c r="I164" s="11">
        <f t="shared" ref="I164:M164" si="162">IF(MIN($C163:$G163)=C163,I163+1,I163)</f>
        <v>70</v>
      </c>
      <c r="J164" s="11">
        <f t="shared" si="162"/>
        <v>32</v>
      </c>
      <c r="K164" s="11">
        <f t="shared" si="162"/>
        <v>27</v>
      </c>
      <c r="L164" s="11">
        <f t="shared" si="162"/>
        <v>19</v>
      </c>
      <c r="M164" s="11">
        <f t="shared" si="162"/>
        <v>15</v>
      </c>
      <c r="O164" s="10">
        <f>'Optimal Choice'!$B$7*'Optimal Choice'!$B$8^(I164+1)</f>
        <v>487.87459860586972</v>
      </c>
      <c r="P164" s="10">
        <f>'Optimal Choice'!$B$12*'Optimal Choice'!$B$13^(J164+1)</f>
        <v>6041.9897204865883</v>
      </c>
      <c r="Q164" s="10">
        <f>'Optimal Choice'!$B$17*'Optimal Choice'!$B$18^(K164+1)</f>
        <v>28227.234672195798</v>
      </c>
      <c r="R164" s="10">
        <f>'Optimal Choice'!$B$22*'Optimal Choice'!$B$23^(L164+1)</f>
        <v>99559.478287209728</v>
      </c>
      <c r="S164" s="10">
        <f>'Optimal Choice'!$B$27*'Optimal Choice'!$B$28^(M164+1)</f>
        <v>635599.21367014269</v>
      </c>
    </row>
    <row r="165" spans="1:19" ht="15.75" customHeight="1">
      <c r="A165" s="8">
        <f t="shared" si="0"/>
        <v>5.8344165193774069</v>
      </c>
      <c r="B165" s="7">
        <f>(I165*'Optimal Choice'!$B$6+J165*'Optimal Choice'!$B$11+K165*'Optimal Choice'!$B$16+L165*'Optimal Choice'!$B$21+M165*'Optimal Choice'!$B$26)*'Optimal Choice'!$B$30</f>
        <v>42786.9</v>
      </c>
      <c r="C165" s="8">
        <f>(O165/$B165)+(O165/'Optimal Choice'!$B$6)</f>
        <v>292.1518806363232</v>
      </c>
      <c r="D165" s="8">
        <f>(P165/$B165)+(P165/'Optimal Choice'!$B$11)</f>
        <v>302.24069722963958</v>
      </c>
      <c r="E165" s="8">
        <f>(Q165/$B165)+(Q165/'Optimal Choice'!$B$16)</f>
        <v>314.29565755361568</v>
      </c>
      <c r="F165" s="8">
        <f>(R165/$B165)+(R165/'Optimal Choice'!$B$21)</f>
        <v>315.13550127964675</v>
      </c>
      <c r="G165" s="8">
        <f>(S165/$B165)+(S165/'Optimal Choice'!$B$26)</f>
        <v>309.11389087451028</v>
      </c>
      <c r="I165" s="11">
        <f t="shared" ref="I165:M165" si="163">IF(MIN($C164:$G164)=C164,I164+1,I164)</f>
        <v>70</v>
      </c>
      <c r="J165" s="11">
        <f t="shared" si="163"/>
        <v>32</v>
      </c>
      <c r="K165" s="11">
        <f t="shared" si="163"/>
        <v>27</v>
      </c>
      <c r="L165" s="11">
        <f t="shared" si="163"/>
        <v>20</v>
      </c>
      <c r="M165" s="11">
        <f t="shared" si="163"/>
        <v>15</v>
      </c>
      <c r="O165" s="10">
        <f>'Optimal Choice'!$B$7*'Optimal Choice'!$B$8^(I165+1)</f>
        <v>487.87459860586972</v>
      </c>
      <c r="P165" s="10">
        <f>'Optimal Choice'!$B$12*'Optimal Choice'!$B$13^(J165+1)</f>
        <v>6041.9897204865883</v>
      </c>
      <c r="Q165" s="10">
        <f>'Optimal Choice'!$B$17*'Optimal Choice'!$B$18^(K165+1)</f>
        <v>28227.234672195798</v>
      </c>
      <c r="R165" s="10">
        <f>'Optimal Choice'!$B$22*'Optimal Choice'!$B$23^(L165+1)</f>
        <v>112502.21046454698</v>
      </c>
      <c r="S165" s="10">
        <f>'Optimal Choice'!$B$27*'Optimal Choice'!$B$28^(M165+1)</f>
        <v>635599.21367014269</v>
      </c>
    </row>
    <row r="166" spans="1:19" ht="15.75" customHeight="1">
      <c r="A166" s="8">
        <f t="shared" si="0"/>
        <v>5.8346065598643335</v>
      </c>
      <c r="B166" s="7">
        <f>(I166*'Optimal Choice'!$B$6+J166*'Optimal Choice'!$B$11+K166*'Optimal Choice'!$B$16+L166*'Optimal Choice'!$B$21+M166*'Optimal Choice'!$B$26)*'Optimal Choice'!$B$30</f>
        <v>42788.57</v>
      </c>
      <c r="C166" s="8">
        <f>(O166/$B166)+(O166/'Optimal Choice'!$B$6)</f>
        <v>312.60251180468731</v>
      </c>
      <c r="D166" s="8">
        <f>(P166/$B166)+(P166/'Optimal Choice'!$B$11)</f>
        <v>302.24069171829126</v>
      </c>
      <c r="E166" s="8">
        <f>(Q166/$B166)+(Q166/'Optimal Choice'!$B$16)</f>
        <v>314.29563180545506</v>
      </c>
      <c r="F166" s="8">
        <f>(R166/$B166)+(R166/'Optimal Choice'!$B$21)</f>
        <v>315.13539865801118</v>
      </c>
      <c r="G166" s="8">
        <f>(S166/$B166)+(S166/'Optimal Choice'!$B$26)</f>
        <v>309.1133110971831</v>
      </c>
      <c r="I166" s="11">
        <f t="shared" ref="I166:M166" si="164">IF(MIN($C165:$G165)=C165,I165+1,I165)</f>
        <v>71</v>
      </c>
      <c r="J166" s="11">
        <f t="shared" si="164"/>
        <v>32</v>
      </c>
      <c r="K166" s="11">
        <f t="shared" si="164"/>
        <v>27</v>
      </c>
      <c r="L166" s="11">
        <f t="shared" si="164"/>
        <v>20</v>
      </c>
      <c r="M166" s="11">
        <f t="shared" si="164"/>
        <v>15</v>
      </c>
      <c r="O166" s="10">
        <f>'Optimal Choice'!$B$7*'Optimal Choice'!$B$8^(I166+1)</f>
        <v>522.02582050828062</v>
      </c>
      <c r="P166" s="10">
        <f>'Optimal Choice'!$B$12*'Optimal Choice'!$B$13^(J166+1)</f>
        <v>6041.9897204865883</v>
      </c>
      <c r="Q166" s="10">
        <f>'Optimal Choice'!$B$17*'Optimal Choice'!$B$18^(K166+1)</f>
        <v>28227.234672195798</v>
      </c>
      <c r="R166" s="10">
        <f>'Optimal Choice'!$B$22*'Optimal Choice'!$B$23^(L166+1)</f>
        <v>112502.21046454698</v>
      </c>
      <c r="S166" s="10">
        <f>'Optimal Choice'!$B$27*'Optimal Choice'!$B$28^(M166+1)</f>
        <v>635599.21367014269</v>
      </c>
    </row>
    <row r="167" spans="1:19" ht="15.75" customHeight="1">
      <c r="A167" s="8">
        <f t="shared" si="0"/>
        <v>5.836959988097032</v>
      </c>
      <c r="B167" s="7">
        <f>(I167*'Optimal Choice'!$B$6+J167*'Optimal Choice'!$B$11+K167*'Optimal Choice'!$B$16+L167*'Optimal Choice'!$B$21+M167*'Optimal Choice'!$B$26)*'Optimal Choice'!$B$30</f>
        <v>42808.57</v>
      </c>
      <c r="C167" s="8">
        <f>(O167/$B167)+(O167/'Optimal Choice'!$B$6)</f>
        <v>312.60250610483649</v>
      </c>
      <c r="D167" s="8">
        <f>(P167/$B167)+(P167/'Optimal Choice'!$B$11)</f>
        <v>347.57671960966144</v>
      </c>
      <c r="E167" s="8">
        <f>(Q167/$B167)+(Q167/'Optimal Choice'!$B$16)</f>
        <v>314.29532360034409</v>
      </c>
      <c r="F167" s="8">
        <f>(R167/$B167)+(R167/'Optimal Choice'!$B$21)</f>
        <v>315.13417027851671</v>
      </c>
      <c r="G167" s="8">
        <f>(S167/$B167)+(S167/'Optimal Choice'!$B$26)</f>
        <v>309.10637117095825</v>
      </c>
      <c r="I167" s="11">
        <f t="shared" ref="I167:M167" si="165">IF(MIN($C166:$G166)=C166,I166+1,I166)</f>
        <v>71</v>
      </c>
      <c r="J167" s="11">
        <f t="shared" si="165"/>
        <v>33</v>
      </c>
      <c r="K167" s="11">
        <f t="shared" si="165"/>
        <v>27</v>
      </c>
      <c r="L167" s="11">
        <f t="shared" si="165"/>
        <v>20</v>
      </c>
      <c r="M167" s="11">
        <f t="shared" si="165"/>
        <v>15</v>
      </c>
      <c r="O167" s="10">
        <f>'Optimal Choice'!$B$7*'Optimal Choice'!$B$8^(I167+1)</f>
        <v>522.02582050828062</v>
      </c>
      <c r="P167" s="10">
        <f>'Optimal Choice'!$B$12*'Optimal Choice'!$B$13^(J167+1)</f>
        <v>6948.2881785595764</v>
      </c>
      <c r="Q167" s="10">
        <f>'Optimal Choice'!$B$17*'Optimal Choice'!$B$18^(K167+1)</f>
        <v>28227.234672195798</v>
      </c>
      <c r="R167" s="10">
        <f>'Optimal Choice'!$B$22*'Optimal Choice'!$B$23^(L167+1)</f>
        <v>112502.21046454698</v>
      </c>
      <c r="S167" s="10">
        <f>'Optimal Choice'!$B$27*'Optimal Choice'!$B$28^(M167+1)</f>
        <v>635599.21367014269</v>
      </c>
    </row>
    <row r="168" spans="1:19" ht="15.75" customHeight="1">
      <c r="A168" s="8">
        <f t="shared" si="0"/>
        <v>6.084417920652025</v>
      </c>
      <c r="B168" s="7">
        <f>(I168*'Optimal Choice'!$B$6+J168*'Optimal Choice'!$B$11+K168*'Optimal Choice'!$B$16+L168*'Optimal Choice'!$B$21+M168*'Optimal Choice'!$B$26)*'Optimal Choice'!$B$30</f>
        <v>44968.57</v>
      </c>
      <c r="C168" s="8">
        <f>(O168/$B168)+(O168/'Optimal Choice'!$B$6)</f>
        <v>312.60192036341357</v>
      </c>
      <c r="D168" s="8">
        <f>(P168/$B168)+(P168/'Optimal Choice'!$B$11)</f>
        <v>347.56892325161772</v>
      </c>
      <c r="E168" s="8">
        <f>(Q168/$B168)+(Q168/'Optimal Choice'!$B$16)</f>
        <v>314.26365110455328</v>
      </c>
      <c r="F168" s="8">
        <f>(R168/$B168)+(R168/'Optimal Choice'!$B$21)</f>
        <v>315.00793666658922</v>
      </c>
      <c r="G168" s="8">
        <f>(S168/$B168)+(S168/'Optimal Choice'!$B$26)</f>
        <v>345.40037751599982</v>
      </c>
      <c r="I168" s="11">
        <f t="shared" ref="I168:M168" si="166">IF(MIN($C167:$G167)=C167,I167+1,I167)</f>
        <v>71</v>
      </c>
      <c r="J168" s="11">
        <f t="shared" si="166"/>
        <v>33</v>
      </c>
      <c r="K168" s="11">
        <f t="shared" si="166"/>
        <v>27</v>
      </c>
      <c r="L168" s="11">
        <f t="shared" si="166"/>
        <v>20</v>
      </c>
      <c r="M168" s="11">
        <f t="shared" si="166"/>
        <v>16</v>
      </c>
      <c r="O168" s="10">
        <f>'Optimal Choice'!$B$7*'Optimal Choice'!$B$8^(I168+1)</f>
        <v>522.02582050828062</v>
      </c>
      <c r="P168" s="10">
        <f>'Optimal Choice'!$B$12*'Optimal Choice'!$B$13^(J168+1)</f>
        <v>6948.2881785595764</v>
      </c>
      <c r="Q168" s="10">
        <f>'Optimal Choice'!$B$17*'Optimal Choice'!$B$18^(K168+1)</f>
        <v>28227.234672195798</v>
      </c>
      <c r="R168" s="10">
        <f>'Optimal Choice'!$B$22*'Optimal Choice'!$B$23^(L168+1)</f>
        <v>112502.21046454698</v>
      </c>
      <c r="S168" s="10">
        <f>'Optimal Choice'!$B$27*'Optimal Choice'!$B$28^(M168+1)</f>
        <v>711871.11931055994</v>
      </c>
    </row>
    <row r="169" spans="1:19" ht="15.75" customHeight="1">
      <c r="A169" s="8">
        <f t="shared" si="0"/>
        <v>6.0846113986821653</v>
      </c>
      <c r="B169" s="7">
        <f>(I169*'Optimal Choice'!$B$6+J169*'Optimal Choice'!$B$11+K169*'Optimal Choice'!$B$16+L169*'Optimal Choice'!$B$21+M169*'Optimal Choice'!$B$26)*'Optimal Choice'!$B$30</f>
        <v>44970.239999999998</v>
      </c>
      <c r="C169" s="8">
        <f>(O169/$B169)+(O169/'Optimal Choice'!$B$6)</f>
        <v>334.48405432757966</v>
      </c>
      <c r="D169" s="8">
        <f>(P169/$B169)+(P169/'Optimal Choice'!$B$11)</f>
        <v>347.56891751362474</v>
      </c>
      <c r="E169" s="8">
        <f>(Q169/$B169)+(Q169/'Optimal Choice'!$B$16)</f>
        <v>314.26362779411056</v>
      </c>
      <c r="F169" s="8">
        <f>(R169/$B169)+(R169/'Optimal Choice'!$B$21)</f>
        <v>315.00784376070004</v>
      </c>
      <c r="G169" s="8">
        <f>(S169/$B169)+(S169/'Optimal Choice'!$B$26)</f>
        <v>345.39978964293448</v>
      </c>
      <c r="I169" s="11">
        <f t="shared" ref="I169:M169" si="167">IF(MIN($C168:$G168)=C168,I168+1,I168)</f>
        <v>72</v>
      </c>
      <c r="J169" s="11">
        <f t="shared" si="167"/>
        <v>33</v>
      </c>
      <c r="K169" s="11">
        <f t="shared" si="167"/>
        <v>27</v>
      </c>
      <c r="L169" s="11">
        <f t="shared" si="167"/>
        <v>20</v>
      </c>
      <c r="M169" s="11">
        <f t="shared" si="167"/>
        <v>16</v>
      </c>
      <c r="O169" s="10">
        <f>'Optimal Choice'!$B$7*'Optimal Choice'!$B$8^(I169+1)</f>
        <v>558.56762794386032</v>
      </c>
      <c r="P169" s="10">
        <f>'Optimal Choice'!$B$12*'Optimal Choice'!$B$13^(J169+1)</f>
        <v>6948.2881785595764</v>
      </c>
      <c r="Q169" s="10">
        <f>'Optimal Choice'!$B$17*'Optimal Choice'!$B$18^(K169+1)</f>
        <v>28227.234672195798</v>
      </c>
      <c r="R169" s="10">
        <f>'Optimal Choice'!$B$22*'Optimal Choice'!$B$23^(L169+1)</f>
        <v>112502.21046454698</v>
      </c>
      <c r="S169" s="10">
        <f>'Optimal Choice'!$B$27*'Optimal Choice'!$B$28^(M169+1)</f>
        <v>711871.11931055994</v>
      </c>
    </row>
    <row r="170" spans="1:19" ht="15.75" customHeight="1">
      <c r="A170" s="8">
        <f t="shared" si="0"/>
        <v>6.0950728485477486</v>
      </c>
      <c r="B170" s="7">
        <f>(I170*'Optimal Choice'!$B$6+J170*'Optimal Choice'!$B$11+K170*'Optimal Choice'!$B$16+L170*'Optimal Choice'!$B$21+M170*'Optimal Choice'!$B$26)*'Optimal Choice'!$B$30</f>
        <v>45060.24</v>
      </c>
      <c r="C170" s="8">
        <f>(O170/$B170)+(O170/'Optimal Choice'!$B$6)</f>
        <v>334.48402951913334</v>
      </c>
      <c r="D170" s="8">
        <f>(P170/$B170)+(P170/'Optimal Choice'!$B$11)</f>
        <v>347.56860890957142</v>
      </c>
      <c r="E170" s="8">
        <f>(Q170/$B170)+(Q170/'Optimal Choice'!$B$16)</f>
        <v>358.25910647218433</v>
      </c>
      <c r="F170" s="8">
        <f>(R170/$B170)+(R170/'Optimal Choice'!$B$21)</f>
        <v>315.00284704247736</v>
      </c>
      <c r="G170" s="8">
        <f>(S170/$B170)+(S170/'Optimal Choice'!$B$26)</f>
        <v>345.3681723140005</v>
      </c>
      <c r="I170" s="11">
        <f t="shared" ref="I170:M170" si="168">IF(MIN($C169:$G169)=C169,I169+1,I169)</f>
        <v>72</v>
      </c>
      <c r="J170" s="11">
        <f t="shared" si="168"/>
        <v>33</v>
      </c>
      <c r="K170" s="11">
        <f t="shared" si="168"/>
        <v>28</v>
      </c>
      <c r="L170" s="11">
        <f t="shared" si="168"/>
        <v>20</v>
      </c>
      <c r="M170" s="11">
        <f t="shared" si="168"/>
        <v>16</v>
      </c>
      <c r="O170" s="10">
        <f>'Optimal Choice'!$B$7*'Optimal Choice'!$B$8^(I170+1)</f>
        <v>558.56762794386032</v>
      </c>
      <c r="P170" s="10">
        <f>'Optimal Choice'!$B$12*'Optimal Choice'!$B$13^(J170+1)</f>
        <v>6948.2881785595764</v>
      </c>
      <c r="Q170" s="10">
        <f>'Optimal Choice'!$B$17*'Optimal Choice'!$B$18^(K170+1)</f>
        <v>32179.047526303209</v>
      </c>
      <c r="R170" s="10">
        <f>'Optimal Choice'!$B$22*'Optimal Choice'!$B$23^(L170+1)</f>
        <v>112502.21046454698</v>
      </c>
      <c r="S170" s="10">
        <f>'Optimal Choice'!$B$27*'Optimal Choice'!$B$28^(M170+1)</f>
        <v>711871.11931055994</v>
      </c>
    </row>
    <row r="171" spans="1:19" ht="15.75" customHeight="1">
      <c r="A171" s="8">
        <f t="shared" si="0"/>
        <v>6.1366846296007518</v>
      </c>
      <c r="B171" s="7">
        <f>(I171*'Optimal Choice'!$B$6+J171*'Optimal Choice'!$B$11+K171*'Optimal Choice'!$B$16+L171*'Optimal Choice'!$B$21+M171*'Optimal Choice'!$B$26)*'Optimal Choice'!$B$30</f>
        <v>45420.24</v>
      </c>
      <c r="C171" s="8">
        <f>(O171/$B171)+(O171/'Optimal Choice'!$B$6)</f>
        <v>334.4839312685047</v>
      </c>
      <c r="D171" s="8">
        <f>(P171/$B171)+(P171/'Optimal Choice'!$B$11)</f>
        <v>347.5673867233088</v>
      </c>
      <c r="E171" s="8">
        <f>(Q171/$B171)+(Q171/'Optimal Choice'!$B$16)</f>
        <v>358.2534462593635</v>
      </c>
      <c r="F171" s="8">
        <f>(R171/$B171)+(R171/'Optimal Choice'!$B$21)</f>
        <v>355.93085575365757</v>
      </c>
      <c r="G171" s="8">
        <f>(S171/$B171)+(S171/'Optimal Choice'!$B$26)</f>
        <v>345.2429559901484</v>
      </c>
      <c r="I171" s="11">
        <f t="shared" ref="I171:M171" si="169">IF(MIN($C170:$G170)=C170,I170+1,I170)</f>
        <v>72</v>
      </c>
      <c r="J171" s="11">
        <f t="shared" si="169"/>
        <v>33</v>
      </c>
      <c r="K171" s="11">
        <f t="shared" si="169"/>
        <v>28</v>
      </c>
      <c r="L171" s="11">
        <f t="shared" si="169"/>
        <v>21</v>
      </c>
      <c r="M171" s="11">
        <f t="shared" si="169"/>
        <v>16</v>
      </c>
      <c r="O171" s="10">
        <f>'Optimal Choice'!$B$7*'Optimal Choice'!$B$8^(I171+1)</f>
        <v>558.56762794386032</v>
      </c>
      <c r="P171" s="10">
        <f>'Optimal Choice'!$B$12*'Optimal Choice'!$B$13^(J171+1)</f>
        <v>6948.2881785595764</v>
      </c>
      <c r="Q171" s="10">
        <f>'Optimal Choice'!$B$17*'Optimal Choice'!$B$18^(K171+1)</f>
        <v>32179.047526303209</v>
      </c>
      <c r="R171" s="10">
        <f>'Optimal Choice'!$B$22*'Optimal Choice'!$B$23^(L171+1)</f>
        <v>127127.49782493807</v>
      </c>
      <c r="S171" s="10">
        <f>'Optimal Choice'!$B$27*'Optimal Choice'!$B$28^(M171+1)</f>
        <v>711871.11931055994</v>
      </c>
    </row>
    <row r="172" spans="1:19" ht="15.75" customHeight="1">
      <c r="A172" s="8">
        <f t="shared" si="0"/>
        <v>6.1368895924205376</v>
      </c>
      <c r="B172" s="7">
        <f>(I172*'Optimal Choice'!$B$6+J172*'Optimal Choice'!$B$11+K172*'Optimal Choice'!$B$16+L172*'Optimal Choice'!$B$21+M172*'Optimal Choice'!$B$26)*'Optimal Choice'!$B$30</f>
        <v>45421.91</v>
      </c>
      <c r="C172" s="8">
        <f>(O172/$B172)+(O172/'Optimal Choice'!$B$6)</f>
        <v>357.89780597350517</v>
      </c>
      <c r="D172" s="8">
        <f>(P172/$B172)+(P172/'Optimal Choice'!$B$11)</f>
        <v>347.56738109886635</v>
      </c>
      <c r="E172" s="8">
        <f>(Q172/$B172)+(Q172/'Optimal Choice'!$B$16)</f>
        <v>358.25342021133616</v>
      </c>
      <c r="F172" s="8">
        <f>(R172/$B172)+(R172/'Optimal Choice'!$B$21)</f>
        <v>355.93075284754957</v>
      </c>
      <c r="G172" s="8">
        <f>(S172/$B172)+(S172/'Optimal Choice'!$B$26)</f>
        <v>345.24237975064443</v>
      </c>
      <c r="I172" s="11">
        <f t="shared" ref="I172:M172" si="170">IF(MIN($C171:$G171)=C171,I171+1,I171)</f>
        <v>73</v>
      </c>
      <c r="J172" s="11">
        <f t="shared" si="170"/>
        <v>33</v>
      </c>
      <c r="K172" s="11">
        <f t="shared" si="170"/>
        <v>28</v>
      </c>
      <c r="L172" s="11">
        <f t="shared" si="170"/>
        <v>21</v>
      </c>
      <c r="M172" s="11">
        <f t="shared" si="170"/>
        <v>16</v>
      </c>
      <c r="O172" s="10">
        <f>'Optimal Choice'!$B$7*'Optimal Choice'!$B$8^(I172+1)</f>
        <v>597.66736189993048</v>
      </c>
      <c r="P172" s="10">
        <f>'Optimal Choice'!$B$12*'Optimal Choice'!$B$13^(J172+1)</f>
        <v>6948.2881785595764</v>
      </c>
      <c r="Q172" s="10">
        <f>'Optimal Choice'!$B$17*'Optimal Choice'!$B$18^(K172+1)</f>
        <v>32179.047526303209</v>
      </c>
      <c r="R172" s="10">
        <f>'Optimal Choice'!$B$22*'Optimal Choice'!$B$23^(L172+1)</f>
        <v>127127.49782493807</v>
      </c>
      <c r="S172" s="10">
        <f>'Optimal Choice'!$B$27*'Optimal Choice'!$B$28^(M172+1)</f>
        <v>711871.11931055994</v>
      </c>
    </row>
    <row r="173" spans="1:19" ht="15.75" customHeight="1">
      <c r="A173" s="8">
        <f t="shared" si="0"/>
        <v>6.3980965442016497</v>
      </c>
      <c r="B173" s="7">
        <f>(I173*'Optimal Choice'!$B$6+J173*'Optimal Choice'!$B$11+K173*'Optimal Choice'!$B$16+L173*'Optimal Choice'!$B$21+M173*'Optimal Choice'!$B$26)*'Optimal Choice'!$B$30</f>
        <v>47581.91</v>
      </c>
      <c r="C173" s="8">
        <f>(O173/$B173)+(O173/'Optimal Choice'!$B$6)</f>
        <v>357.89720865492029</v>
      </c>
      <c r="D173" s="8">
        <f>(P173/$B173)+(P173/'Optimal Choice'!$B$11)</f>
        <v>347.56043686545672</v>
      </c>
      <c r="E173" s="8">
        <f>(Q173/$B173)+(Q173/'Optimal Choice'!$B$16)</f>
        <v>358.2212599423346</v>
      </c>
      <c r="F173" s="8">
        <f>(R173/$B173)+(R173/'Optimal Choice'!$B$21)</f>
        <v>355.80369953672033</v>
      </c>
      <c r="G173" s="8">
        <f>(S173/$B173)+(S173/'Optimal Choice'!$B$26)</f>
        <v>385.87463493991254</v>
      </c>
      <c r="I173" s="11">
        <f t="shared" ref="I173:M173" si="171">IF(MIN($C172:$G172)=C172,I172+1,I172)</f>
        <v>73</v>
      </c>
      <c r="J173" s="11">
        <f t="shared" si="171"/>
        <v>33</v>
      </c>
      <c r="K173" s="11">
        <f t="shared" si="171"/>
        <v>28</v>
      </c>
      <c r="L173" s="11">
        <f t="shared" si="171"/>
        <v>21</v>
      </c>
      <c r="M173" s="11">
        <f t="shared" si="171"/>
        <v>17</v>
      </c>
      <c r="O173" s="10">
        <f>'Optimal Choice'!$B$7*'Optimal Choice'!$B$8^(I173+1)</f>
        <v>597.66736189993048</v>
      </c>
      <c r="P173" s="10">
        <f>'Optimal Choice'!$B$12*'Optimal Choice'!$B$13^(J173+1)</f>
        <v>6948.2881785595764</v>
      </c>
      <c r="Q173" s="10">
        <f>'Optimal Choice'!$B$17*'Optimal Choice'!$B$18^(K173+1)</f>
        <v>32179.047526303209</v>
      </c>
      <c r="R173" s="10">
        <f>'Optimal Choice'!$B$22*'Optimal Choice'!$B$23^(L173+1)</f>
        <v>127127.49782493807</v>
      </c>
      <c r="S173" s="10">
        <f>'Optimal Choice'!$B$27*'Optimal Choice'!$B$28^(M173+1)</f>
        <v>797295.65362782718</v>
      </c>
    </row>
    <row r="174" spans="1:19" ht="15.75" customHeight="1">
      <c r="A174" s="8">
        <f t="shared" si="0"/>
        <v>6.4005303431596152</v>
      </c>
      <c r="B174" s="7">
        <f>(I174*'Optimal Choice'!$B$6+J174*'Optimal Choice'!$B$11+K174*'Optimal Choice'!$B$16+L174*'Optimal Choice'!$B$21+M174*'Optimal Choice'!$B$26)*'Optimal Choice'!$B$30</f>
        <v>47601.91</v>
      </c>
      <c r="C174" s="8">
        <f>(O174/$B174)+(O174/'Optimal Choice'!$B$6)</f>
        <v>357.89720337748048</v>
      </c>
      <c r="D174" s="8">
        <f>(P174/$B174)+(P174/'Optimal Choice'!$B$11)</f>
        <v>399.6944318383886</v>
      </c>
      <c r="E174" s="8">
        <f>(Q174/$B174)+(Q174/'Optimal Choice'!$B$16)</f>
        <v>358.22097579935468</v>
      </c>
      <c r="F174" s="8">
        <f>(R174/$B174)+(R174/'Optimal Choice'!$B$21)</f>
        <v>355.80257699305173</v>
      </c>
      <c r="G174" s="8">
        <f>(S174/$B174)+(S174/'Optimal Choice'!$B$26)</f>
        <v>385.86759476997867</v>
      </c>
      <c r="I174" s="11">
        <f t="shared" ref="I174:M174" si="172">IF(MIN($C173:$G173)=C173,I173+1,I173)</f>
        <v>73</v>
      </c>
      <c r="J174" s="11">
        <f t="shared" si="172"/>
        <v>34</v>
      </c>
      <c r="K174" s="11">
        <f t="shared" si="172"/>
        <v>28</v>
      </c>
      <c r="L174" s="11">
        <f t="shared" si="172"/>
        <v>21</v>
      </c>
      <c r="M174" s="11">
        <f t="shared" si="172"/>
        <v>17</v>
      </c>
      <c r="O174" s="10">
        <f>'Optimal Choice'!$B$7*'Optimal Choice'!$B$8^(I174+1)</f>
        <v>597.66736189993048</v>
      </c>
      <c r="P174" s="10">
        <f>'Optimal Choice'!$B$12*'Optimal Choice'!$B$13^(J174+1)</f>
        <v>7990.5314053435104</v>
      </c>
      <c r="Q174" s="10">
        <f>'Optimal Choice'!$B$17*'Optimal Choice'!$B$18^(K174+1)</f>
        <v>32179.047526303209</v>
      </c>
      <c r="R174" s="10">
        <f>'Optimal Choice'!$B$22*'Optimal Choice'!$B$23^(L174+1)</f>
        <v>127127.49782493807</v>
      </c>
      <c r="S174" s="10">
        <f>'Optimal Choice'!$B$27*'Optimal Choice'!$B$28^(M174+1)</f>
        <v>797295.65362782718</v>
      </c>
    </row>
    <row r="175" spans="1:19" ht="15.75" customHeight="1">
      <c r="A175" s="8">
        <f t="shared" si="0"/>
        <v>6.4450409863337157</v>
      </c>
      <c r="B175" s="7">
        <f>(I175*'Optimal Choice'!$B$6+J175*'Optimal Choice'!$B$11+K175*'Optimal Choice'!$B$16+L175*'Optimal Choice'!$B$21+M175*'Optimal Choice'!$B$26)*'Optimal Choice'!$B$30</f>
        <v>47961.91</v>
      </c>
      <c r="C175" s="8">
        <f>(O175/$B175)+(O175/'Optimal Choice'!$B$6)</f>
        <v>357.897109136197</v>
      </c>
      <c r="D175" s="8">
        <f>(P175/$B175)+(P175/'Optimal Choice'!$B$11)</f>
        <v>399.69317187677251</v>
      </c>
      <c r="E175" s="8">
        <f>(Q175/$B175)+(Q175/'Optimal Choice'!$B$16)</f>
        <v>358.21590174824712</v>
      </c>
      <c r="F175" s="8">
        <f>(R175/$B175)+(R175/'Optimal Choice'!$B$21)</f>
        <v>402.03426036507659</v>
      </c>
      <c r="G175" s="8">
        <f>(S175/$B175)+(S175/'Optimal Choice'!$B$26)</f>
        <v>385.74187573211674</v>
      </c>
      <c r="I175" s="11">
        <f t="shared" ref="I175:M175" si="173">IF(MIN($C174:$G174)=C174,I174+1,I174)</f>
        <v>73</v>
      </c>
      <c r="J175" s="11">
        <f t="shared" si="173"/>
        <v>34</v>
      </c>
      <c r="K175" s="11">
        <f t="shared" si="173"/>
        <v>28</v>
      </c>
      <c r="L175" s="11">
        <f t="shared" si="173"/>
        <v>22</v>
      </c>
      <c r="M175" s="11">
        <f t="shared" si="173"/>
        <v>17</v>
      </c>
      <c r="O175" s="10">
        <f>'Optimal Choice'!$B$7*'Optimal Choice'!$B$8^(I175+1)</f>
        <v>597.66736189993048</v>
      </c>
      <c r="P175" s="10">
        <f>'Optimal Choice'!$B$12*'Optimal Choice'!$B$13^(J175+1)</f>
        <v>7990.5314053435104</v>
      </c>
      <c r="Q175" s="10">
        <f>'Optimal Choice'!$B$17*'Optimal Choice'!$B$18^(K175+1)</f>
        <v>32179.047526303209</v>
      </c>
      <c r="R175" s="10">
        <f>'Optimal Choice'!$B$22*'Optimal Choice'!$B$23^(L175+1)</f>
        <v>143654.07254218002</v>
      </c>
      <c r="S175" s="10">
        <f>'Optimal Choice'!$B$27*'Optimal Choice'!$B$28^(M175+1)</f>
        <v>797295.65362782718</v>
      </c>
    </row>
    <row r="176" spans="1:19" ht="15.75" customHeight="1">
      <c r="A176" s="8">
        <f t="shared" si="0"/>
        <v>6.4452486745325039</v>
      </c>
      <c r="B176" s="7">
        <f>(I176*'Optimal Choice'!$B$6+J176*'Optimal Choice'!$B$11+K176*'Optimal Choice'!$B$16+L176*'Optimal Choice'!$B$21+M176*'Optimal Choice'!$B$26)*'Optimal Choice'!$B$30</f>
        <v>47963.58</v>
      </c>
      <c r="C176" s="8">
        <f>(O176/$B176)+(O176/'Optimal Choice'!$B$6)</f>
        <v>382.94990631148107</v>
      </c>
      <c r="D176" s="8">
        <f>(P176/$B176)+(P176/'Optimal Choice'!$B$11)</f>
        <v>399.69316607602349</v>
      </c>
      <c r="E176" s="8">
        <f>(Q176/$B176)+(Q176/'Optimal Choice'!$B$16)</f>
        <v>358.21587838777612</v>
      </c>
      <c r="F176" s="8">
        <f>(R176/$B176)+(R176/'Optimal Choice'!$B$21)</f>
        <v>402.03415607899433</v>
      </c>
      <c r="G176" s="8">
        <f>(S176/$B176)+(S176/'Optimal Choice'!$B$26)</f>
        <v>385.74129693307077</v>
      </c>
      <c r="I176" s="11">
        <f t="shared" ref="I176:M176" si="174">IF(MIN($C175:$G175)=C175,I175+1,I175)</f>
        <v>74</v>
      </c>
      <c r="J176" s="11">
        <f t="shared" si="174"/>
        <v>34</v>
      </c>
      <c r="K176" s="11">
        <f t="shared" si="174"/>
        <v>28</v>
      </c>
      <c r="L176" s="11">
        <f t="shared" si="174"/>
        <v>22</v>
      </c>
      <c r="M176" s="11">
        <f t="shared" si="174"/>
        <v>17</v>
      </c>
      <c r="O176" s="10">
        <f>'Optimal Choice'!$B$7*'Optimal Choice'!$B$8^(I176+1)</f>
        <v>639.50407723292574</v>
      </c>
      <c r="P176" s="10">
        <f>'Optimal Choice'!$B$12*'Optimal Choice'!$B$13^(J176+1)</f>
        <v>7990.5314053435104</v>
      </c>
      <c r="Q176" s="10">
        <f>'Optimal Choice'!$B$17*'Optimal Choice'!$B$18^(K176+1)</f>
        <v>32179.047526303209</v>
      </c>
      <c r="R176" s="10">
        <f>'Optimal Choice'!$B$22*'Optimal Choice'!$B$23^(L176+1)</f>
        <v>143654.07254218002</v>
      </c>
      <c r="S176" s="10">
        <f>'Optimal Choice'!$B$27*'Optimal Choice'!$B$28^(M176+1)</f>
        <v>797295.65362782718</v>
      </c>
    </row>
    <row r="177" spans="1:19" ht="15.75" customHeight="1">
      <c r="A177" s="8">
        <f t="shared" si="0"/>
        <v>6.4564304390874376</v>
      </c>
      <c r="B177" s="7">
        <f>(I177*'Optimal Choice'!$B$6+J177*'Optimal Choice'!$B$11+K177*'Optimal Choice'!$B$16+L177*'Optimal Choice'!$B$21+M177*'Optimal Choice'!$B$26)*'Optimal Choice'!$B$30</f>
        <v>48053.58</v>
      </c>
      <c r="C177" s="8">
        <f>(O177/$B177)+(O177/'Optimal Choice'!$B$6)</f>
        <v>382.94988133975932</v>
      </c>
      <c r="D177" s="8">
        <f>(P177/$B177)+(P177/'Optimal Choice'!$B$11)</f>
        <v>399.69285405717295</v>
      </c>
      <c r="E177" s="8">
        <f>(Q177/$B177)+(Q177/'Optimal Choice'!$B$16)</f>
        <v>408.36466889974656</v>
      </c>
      <c r="F177" s="8">
        <f>(R177/$B177)+(R177/'Optimal Choice'!$B$21)</f>
        <v>402.02854659242615</v>
      </c>
      <c r="G177" s="8">
        <f>(S177/$B177)+(S177/'Optimal Choice'!$B$26)</f>
        <v>385.71016367537209</v>
      </c>
      <c r="I177" s="11">
        <f t="shared" ref="I177:M177" si="175">IF(MIN($C176:$G176)=C176,I176+1,I176)</f>
        <v>74</v>
      </c>
      <c r="J177" s="11">
        <f t="shared" si="175"/>
        <v>34</v>
      </c>
      <c r="K177" s="11">
        <f t="shared" si="175"/>
        <v>29</v>
      </c>
      <c r="L177" s="11">
        <f t="shared" si="175"/>
        <v>22</v>
      </c>
      <c r="M177" s="11">
        <f t="shared" si="175"/>
        <v>17</v>
      </c>
      <c r="O177" s="10">
        <f>'Optimal Choice'!$B$7*'Optimal Choice'!$B$8^(I177+1)</f>
        <v>639.50407723292574</v>
      </c>
      <c r="P177" s="10">
        <f>'Optimal Choice'!$B$12*'Optimal Choice'!$B$13^(J177+1)</f>
        <v>7990.5314053435104</v>
      </c>
      <c r="Q177" s="10">
        <f>'Optimal Choice'!$B$17*'Optimal Choice'!$B$18^(K177+1)</f>
        <v>36684.114179985649</v>
      </c>
      <c r="R177" s="10">
        <f>'Optimal Choice'!$B$22*'Optimal Choice'!$B$23^(L177+1)</f>
        <v>143654.07254218002</v>
      </c>
      <c r="S177" s="10">
        <f>'Optimal Choice'!$B$27*'Optimal Choice'!$B$28^(M177+1)</f>
        <v>797295.65362782718</v>
      </c>
    </row>
    <row r="178" spans="1:19" ht="15.75" customHeight="1">
      <c r="A178" s="8">
        <f t="shared" si="0"/>
        <v>6.4566522415272809</v>
      </c>
      <c r="B178" s="7">
        <f>(I178*'Optimal Choice'!$B$6+J178*'Optimal Choice'!$B$11+K178*'Optimal Choice'!$B$16+L178*'Optimal Choice'!$B$21+M178*'Optimal Choice'!$B$26)*'Optimal Choice'!$B$30</f>
        <v>48055.25</v>
      </c>
      <c r="C178" s="8">
        <f>(O178/$B178)+(O178/'Optimal Choice'!$B$6)</f>
        <v>409.75637253868854</v>
      </c>
      <c r="D178" s="8">
        <f>(P178/$B178)+(P178/'Optimal Choice'!$B$11)</f>
        <v>399.6928482785342</v>
      </c>
      <c r="E178" s="8">
        <f>(Q178/$B178)+(Q178/'Optimal Choice'!$B$16)</f>
        <v>408.36464237031663</v>
      </c>
      <c r="F178" s="8">
        <f>(R178/$B178)+(R178/'Optimal Choice'!$B$21)</f>
        <v>402.0284427038427</v>
      </c>
      <c r="G178" s="8">
        <f>(S178/$B178)+(S178/'Optimal Choice'!$B$26)</f>
        <v>385.7095870824877</v>
      </c>
      <c r="I178" s="11">
        <f t="shared" ref="I178:M178" si="176">IF(MIN($C177:$G177)=C177,I177+1,I177)</f>
        <v>75</v>
      </c>
      <c r="J178" s="11">
        <f t="shared" si="176"/>
        <v>34</v>
      </c>
      <c r="K178" s="11">
        <f t="shared" si="176"/>
        <v>29</v>
      </c>
      <c r="L178" s="11">
        <f t="shared" si="176"/>
        <v>22</v>
      </c>
      <c r="M178" s="11">
        <f t="shared" si="176"/>
        <v>17</v>
      </c>
      <c r="O178" s="10">
        <f>'Optimal Choice'!$B$7*'Optimal Choice'!$B$8^(I178+1)</f>
        <v>684.26936263923039</v>
      </c>
      <c r="P178" s="10">
        <f>'Optimal Choice'!$B$12*'Optimal Choice'!$B$13^(J178+1)</f>
        <v>7990.5314053435104</v>
      </c>
      <c r="Q178" s="10">
        <f>'Optimal Choice'!$B$17*'Optimal Choice'!$B$18^(K178+1)</f>
        <v>36684.114179985649</v>
      </c>
      <c r="R178" s="10">
        <f>'Optimal Choice'!$B$22*'Optimal Choice'!$B$23^(L178+1)</f>
        <v>143654.07254218002</v>
      </c>
      <c r="S178" s="10">
        <f>'Optimal Choice'!$B$27*'Optimal Choice'!$B$28^(M178+1)</f>
        <v>797295.65362782718</v>
      </c>
    </row>
    <row r="179" spans="1:19" ht="15.75" customHeight="1">
      <c r="A179" s="8">
        <f t="shared" si="0"/>
        <v>6.7331727235515579</v>
      </c>
      <c r="B179" s="7">
        <f>(I179*'Optimal Choice'!$B$6+J179*'Optimal Choice'!$B$11+K179*'Optimal Choice'!$B$16+L179*'Optimal Choice'!$B$21+M179*'Optimal Choice'!$B$26)*'Optimal Choice'!$B$30</f>
        <v>50215.25</v>
      </c>
      <c r="C179" s="8">
        <f>(O179/$B179)+(O179/'Optimal Choice'!$B$6)</f>
        <v>409.75576004110957</v>
      </c>
      <c r="D179" s="8">
        <f>(P179/$B179)+(P179/'Optimal Choice'!$B$11)</f>
        <v>399.68569585960699</v>
      </c>
      <c r="E179" s="8">
        <f>(Q179/$B179)+(Q179/'Optimal Choice'!$B$16)</f>
        <v>408.33180598694247</v>
      </c>
      <c r="F179" s="8">
        <f>(R179/$B179)+(R179/'Optimal Choice'!$B$21)</f>
        <v>401.89985624878727</v>
      </c>
      <c r="G179" s="8">
        <f>(S179/$B179)+(S179/'Optimal Choice'!$B$26)</f>
        <v>431.19542853747362</v>
      </c>
      <c r="I179" s="11">
        <f t="shared" ref="I179:M179" si="177">IF(MIN($C178:$G178)=C178,I178+1,I178)</f>
        <v>75</v>
      </c>
      <c r="J179" s="11">
        <f t="shared" si="177"/>
        <v>34</v>
      </c>
      <c r="K179" s="11">
        <f t="shared" si="177"/>
        <v>29</v>
      </c>
      <c r="L179" s="11">
        <f t="shared" si="177"/>
        <v>22</v>
      </c>
      <c r="M179" s="11">
        <f t="shared" si="177"/>
        <v>18</v>
      </c>
      <c r="O179" s="10">
        <f>'Optimal Choice'!$B$7*'Optimal Choice'!$B$8^(I179+1)</f>
        <v>684.26936263923039</v>
      </c>
      <c r="P179" s="10">
        <f>'Optimal Choice'!$B$12*'Optimal Choice'!$B$13^(J179+1)</f>
        <v>7990.5314053435104</v>
      </c>
      <c r="Q179" s="10">
        <f>'Optimal Choice'!$B$17*'Optimal Choice'!$B$18^(K179+1)</f>
        <v>36684.114179985649</v>
      </c>
      <c r="R179" s="10">
        <f>'Optimal Choice'!$B$22*'Optimal Choice'!$B$23^(L179+1)</f>
        <v>143654.07254218002</v>
      </c>
      <c r="S179" s="10">
        <f>'Optimal Choice'!$B$27*'Optimal Choice'!$B$28^(M179+1)</f>
        <v>892971.13206316659</v>
      </c>
    </row>
    <row r="180" spans="1:19" ht="15.75" customHeight="1">
      <c r="A180" s="8">
        <f t="shared" si="0"/>
        <v>6.7358248167587487</v>
      </c>
      <c r="B180" s="7">
        <f>(I180*'Optimal Choice'!$B$6+J180*'Optimal Choice'!$B$11+K180*'Optimal Choice'!$B$16+L180*'Optimal Choice'!$B$21+M180*'Optimal Choice'!$B$26)*'Optimal Choice'!$B$30</f>
        <v>50235.25</v>
      </c>
      <c r="C180" s="8">
        <f>(O180/$B180)+(O180/'Optimal Choice'!$B$6)</f>
        <v>409.75575461594525</v>
      </c>
      <c r="D180" s="8">
        <f>(P180/$B180)+(P180/'Optimal Choice'!$B$11)</f>
        <v>459.63847738355832</v>
      </c>
      <c r="E180" s="8">
        <f>(Q180/$B180)+(Q180/'Optimal Choice'!$B$16)</f>
        <v>408.33151514044704</v>
      </c>
      <c r="F180" s="8">
        <f>(R180/$B180)+(R180/'Optimal Choice'!$B$21)</f>
        <v>401.89871730119415</v>
      </c>
      <c r="G180" s="8">
        <f>(S180/$B180)+(S180/'Optimal Choice'!$B$26)</f>
        <v>431.18834870114472</v>
      </c>
      <c r="I180" s="11">
        <f t="shared" ref="I180:M180" si="178">IF(MIN($C179:$G179)=C179,I179+1,I179)</f>
        <v>75</v>
      </c>
      <c r="J180" s="11">
        <f t="shared" si="178"/>
        <v>35</v>
      </c>
      <c r="K180" s="11">
        <f t="shared" si="178"/>
        <v>29</v>
      </c>
      <c r="L180" s="11">
        <f t="shared" si="178"/>
        <v>22</v>
      </c>
      <c r="M180" s="11">
        <f t="shared" si="178"/>
        <v>18</v>
      </c>
      <c r="O180" s="10">
        <f>'Optimal Choice'!$B$7*'Optimal Choice'!$B$8^(I180+1)</f>
        <v>684.26936263923039</v>
      </c>
      <c r="P180" s="10">
        <f>'Optimal Choice'!$B$12*'Optimal Choice'!$B$13^(J180+1)</f>
        <v>9189.111116145039</v>
      </c>
      <c r="Q180" s="10">
        <f>'Optimal Choice'!$B$17*'Optimal Choice'!$B$18^(K180+1)</f>
        <v>36684.114179985649</v>
      </c>
      <c r="R180" s="10">
        <f>'Optimal Choice'!$B$22*'Optimal Choice'!$B$23^(L180+1)</f>
        <v>143654.07254218002</v>
      </c>
      <c r="S180" s="10">
        <f>'Optimal Choice'!$B$27*'Optimal Choice'!$B$28^(M180+1)</f>
        <v>892971.13206316659</v>
      </c>
    </row>
    <row r="181" spans="1:19" ht="15.75" customHeight="1">
      <c r="A181" s="8">
        <f t="shared" si="0"/>
        <v>6.7834852651962434</v>
      </c>
      <c r="B181" s="7">
        <f>(I181*'Optimal Choice'!$B$6+J181*'Optimal Choice'!$B$11+K181*'Optimal Choice'!$B$16+L181*'Optimal Choice'!$B$21+M181*'Optimal Choice'!$B$26)*'Optimal Choice'!$B$30</f>
        <v>50595.25</v>
      </c>
      <c r="C181" s="8">
        <f>(O181/$B181)+(O181/'Optimal Choice'!$B$6)</f>
        <v>409.75565769641912</v>
      </c>
      <c r="D181" s="8">
        <f>(P181/$B181)+(P181/'Optimal Choice'!$B$11)</f>
        <v>459.63717584304868</v>
      </c>
      <c r="E181" s="8">
        <f>(Q181/$B181)+(Q181/'Optimal Choice'!$B$16)</f>
        <v>408.32631922322918</v>
      </c>
      <c r="F181" s="8">
        <f>(R181/$B181)+(R181/'Optimal Choice'!$B$21)</f>
        <v>454.12255834800902</v>
      </c>
      <c r="G181" s="8">
        <f>(S181/$B181)+(S181/'Optimal Choice'!$B$26)</f>
        <v>431.06186877423687</v>
      </c>
      <c r="I181" s="11">
        <f t="shared" ref="I181:M181" si="179">IF(MIN($C180:$G180)=C180,I180+1,I180)</f>
        <v>75</v>
      </c>
      <c r="J181" s="11">
        <f t="shared" si="179"/>
        <v>35</v>
      </c>
      <c r="K181" s="11">
        <f t="shared" si="179"/>
        <v>29</v>
      </c>
      <c r="L181" s="11">
        <f t="shared" si="179"/>
        <v>23</v>
      </c>
      <c r="M181" s="11">
        <f t="shared" si="179"/>
        <v>18</v>
      </c>
      <c r="O181" s="10">
        <f>'Optimal Choice'!$B$7*'Optimal Choice'!$B$8^(I181+1)</f>
        <v>684.26936263923039</v>
      </c>
      <c r="P181" s="10">
        <f>'Optimal Choice'!$B$12*'Optimal Choice'!$B$13^(J181+1)</f>
        <v>9189.111116145039</v>
      </c>
      <c r="Q181" s="10">
        <f>'Optimal Choice'!$B$17*'Optimal Choice'!$B$18^(K181+1)</f>
        <v>36684.114179985649</v>
      </c>
      <c r="R181" s="10">
        <f>'Optimal Choice'!$B$22*'Optimal Choice'!$B$23^(L181+1)</f>
        <v>162329.1019726634</v>
      </c>
      <c r="S181" s="10">
        <f>'Optimal Choice'!$B$27*'Optimal Choice'!$B$28^(M181+1)</f>
        <v>892971.13206316659</v>
      </c>
    </row>
    <row r="182" spans="1:19" ht="15.75" customHeight="1">
      <c r="A182" s="8">
        <f t="shared" si="0"/>
        <v>6.795569441141609</v>
      </c>
      <c r="B182" s="7">
        <f>(I182*'Optimal Choice'!$B$6+J182*'Optimal Choice'!$B$11+K182*'Optimal Choice'!$B$16+L182*'Optimal Choice'!$B$21+M182*'Optimal Choice'!$B$26)*'Optimal Choice'!$B$30</f>
        <v>50685.25</v>
      </c>
      <c r="C182" s="8">
        <f>(O182/$B182)+(O182/'Optimal Choice'!$B$6)</f>
        <v>409.75563368165831</v>
      </c>
      <c r="D182" s="8">
        <f>(P182/$B182)+(P182/'Optimal Choice'!$B$11)</f>
        <v>459.63685334679536</v>
      </c>
      <c r="E182" s="8">
        <f>(Q182/$B182)+(Q182/'Optimal Choice'!$B$16)</f>
        <v>465.49053622541743</v>
      </c>
      <c r="F182" s="8">
        <f>(R182/$B182)+(R182/'Optimal Choice'!$B$21)</f>
        <v>454.11686133047124</v>
      </c>
      <c r="G182" s="8">
        <f>(S182/$B182)+(S182/'Optimal Choice'!$B$26)</f>
        <v>431.03052952490793</v>
      </c>
      <c r="I182" s="11">
        <f t="shared" ref="I182:M182" si="180">IF(MIN($C181:$G181)=C181,I181+1,I181)</f>
        <v>75</v>
      </c>
      <c r="J182" s="11">
        <f t="shared" si="180"/>
        <v>35</v>
      </c>
      <c r="K182" s="11">
        <f t="shared" si="180"/>
        <v>30</v>
      </c>
      <c r="L182" s="11">
        <f t="shared" si="180"/>
        <v>23</v>
      </c>
      <c r="M182" s="11">
        <f t="shared" si="180"/>
        <v>18</v>
      </c>
      <c r="O182" s="10">
        <f>'Optimal Choice'!$B$7*'Optimal Choice'!$B$8^(I182+1)</f>
        <v>684.26936263923039</v>
      </c>
      <c r="P182" s="10">
        <f>'Optimal Choice'!$B$12*'Optimal Choice'!$B$13^(J182+1)</f>
        <v>9189.111116145039</v>
      </c>
      <c r="Q182" s="10">
        <f>'Optimal Choice'!$B$17*'Optimal Choice'!$B$18^(K182+1)</f>
        <v>41819.890165183635</v>
      </c>
      <c r="R182" s="10">
        <f>'Optimal Choice'!$B$22*'Optimal Choice'!$B$23^(L182+1)</f>
        <v>162329.1019726634</v>
      </c>
      <c r="S182" s="10">
        <f>'Optimal Choice'!$B$27*'Optimal Choice'!$B$28^(M182+1)</f>
        <v>892971.13206316659</v>
      </c>
    </row>
    <row r="183" spans="1:19" ht="15.75" customHeight="1">
      <c r="A183" s="8">
        <f t="shared" si="0"/>
        <v>6.7957944472208398</v>
      </c>
      <c r="B183" s="7">
        <f>(I183*'Optimal Choice'!$B$6+J183*'Optimal Choice'!$B$11+K183*'Optimal Choice'!$B$16+L183*'Optimal Choice'!$B$21+M183*'Optimal Choice'!$B$26)*'Optimal Choice'!$B$30</f>
        <v>50686.92</v>
      </c>
      <c r="C183" s="8">
        <f>(O183/$B183)+(O183/'Optimal Choice'!$B$6)</f>
        <v>438.43852756343699</v>
      </c>
      <c r="D183" s="8">
        <f>(P183/$B183)+(P183/'Optimal Choice'!$B$11)</f>
        <v>459.63684737352082</v>
      </c>
      <c r="E183" s="8">
        <f>(Q183/$B183)+(Q183/'Optimal Choice'!$B$16)</f>
        <v>465.49050904088523</v>
      </c>
      <c r="F183" s="8">
        <f>(R183/$B183)+(R183/'Optimal Choice'!$B$21)</f>
        <v>454.1167558103304</v>
      </c>
      <c r="G183" s="8">
        <f>(S183/$B183)+(S183/'Optimal Choice'!$B$26)</f>
        <v>431.02994905943081</v>
      </c>
      <c r="I183" s="11">
        <f t="shared" ref="I183:M183" si="181">IF(MIN($C182:$G182)=C182,I182+1,I182)</f>
        <v>76</v>
      </c>
      <c r="J183" s="11">
        <f t="shared" si="181"/>
        <v>35</v>
      </c>
      <c r="K183" s="11">
        <f t="shared" si="181"/>
        <v>30</v>
      </c>
      <c r="L183" s="11">
        <f t="shared" si="181"/>
        <v>23</v>
      </c>
      <c r="M183" s="11">
        <f t="shared" si="181"/>
        <v>18</v>
      </c>
      <c r="O183" s="10">
        <f>'Optimal Choice'!$B$7*'Optimal Choice'!$B$8^(I183+1)</f>
        <v>732.16821802397658</v>
      </c>
      <c r="P183" s="10">
        <f>'Optimal Choice'!$B$12*'Optimal Choice'!$B$13^(J183+1)</f>
        <v>9189.111116145039</v>
      </c>
      <c r="Q183" s="10">
        <f>'Optimal Choice'!$B$17*'Optimal Choice'!$B$18^(K183+1)</f>
        <v>41819.890165183635</v>
      </c>
      <c r="R183" s="10">
        <f>'Optimal Choice'!$B$22*'Optimal Choice'!$B$23^(L183+1)</f>
        <v>162329.1019726634</v>
      </c>
      <c r="S183" s="10">
        <f>'Optimal Choice'!$B$27*'Optimal Choice'!$B$28^(M183+1)</f>
        <v>892971.13206316659</v>
      </c>
    </row>
    <row r="184" spans="1:19" ht="15.75" customHeight="1">
      <c r="A184" s="8">
        <f t="shared" si="0"/>
        <v>7.0894175792054384</v>
      </c>
      <c r="B184" s="7">
        <f>(I184*'Optimal Choice'!$B$6+J184*'Optimal Choice'!$B$11+K184*'Optimal Choice'!$B$16+L184*'Optimal Choice'!$B$21+M184*'Optimal Choice'!$B$26)*'Optimal Choice'!$B$30</f>
        <v>52846.92</v>
      </c>
      <c r="C184" s="8">
        <f>(O184/$B184)+(O184/'Optimal Choice'!$B$6)</f>
        <v>438.43793715977682</v>
      </c>
      <c r="D184" s="8">
        <f>(P184/$B184)+(P184/'Optimal Choice'!$B$11)</f>
        <v>459.6294374850516</v>
      </c>
      <c r="E184" s="8">
        <f>(Q184/$B184)+(Q184/'Optimal Choice'!$B$16)</f>
        <v>465.456786440516</v>
      </c>
      <c r="F184" s="8">
        <f>(R184/$B184)+(R184/'Optimal Choice'!$B$21)</f>
        <v>453.98585734521015</v>
      </c>
      <c r="G184" s="8">
        <f>(S184/$B184)+(S184/'Optimal Choice'!$B$26)</f>
        <v>481.94706293119305</v>
      </c>
      <c r="I184" s="11">
        <f t="shared" ref="I184:M184" si="182">IF(MIN($C183:$G183)=C183,I183+1,I183)</f>
        <v>76</v>
      </c>
      <c r="J184" s="11">
        <f t="shared" si="182"/>
        <v>35</v>
      </c>
      <c r="K184" s="11">
        <f t="shared" si="182"/>
        <v>30</v>
      </c>
      <c r="L184" s="11">
        <f t="shared" si="182"/>
        <v>23</v>
      </c>
      <c r="M184" s="11">
        <f t="shared" si="182"/>
        <v>19</v>
      </c>
      <c r="O184" s="10">
        <f>'Optimal Choice'!$B$7*'Optimal Choice'!$B$8^(I184+1)</f>
        <v>732.16821802397658</v>
      </c>
      <c r="P184" s="10">
        <f>'Optimal Choice'!$B$12*'Optimal Choice'!$B$13^(J184+1)</f>
        <v>9189.111116145039</v>
      </c>
      <c r="Q184" s="10">
        <f>'Optimal Choice'!$B$17*'Optimal Choice'!$B$18^(K184+1)</f>
        <v>41819.890165183635</v>
      </c>
      <c r="R184" s="10">
        <f>'Optimal Choice'!$B$22*'Optimal Choice'!$B$23^(L184+1)</f>
        <v>162329.1019726634</v>
      </c>
      <c r="S184" s="10">
        <f>'Optimal Choice'!$B$27*'Optimal Choice'!$B$28^(M184+1)</f>
        <v>1000127.6679107465</v>
      </c>
    </row>
    <row r="185" spans="1:19" ht="15.75" customHeight="1">
      <c r="A185" s="8">
        <f t="shared" si="0"/>
        <v>7.0896484877169224</v>
      </c>
      <c r="B185" s="7">
        <f>(I185*'Optimal Choice'!$B$6+J185*'Optimal Choice'!$B$11+K185*'Optimal Choice'!$B$16+L185*'Optimal Choice'!$B$21+M185*'Optimal Choice'!$B$26)*'Optimal Choice'!$B$30</f>
        <v>52848.59</v>
      </c>
      <c r="C185" s="8">
        <f>(O185/$B185)+(O185/'Optimal Choice'!$B$6)</f>
        <v>469.12859229251677</v>
      </c>
      <c r="D185" s="8">
        <f>(P185/$B185)+(P185/'Optimal Choice'!$B$11)</f>
        <v>459.62943199044139</v>
      </c>
      <c r="E185" s="8">
        <f>(Q185/$B185)+(Q185/'Optimal Choice'!$B$16)</f>
        <v>465.45676143439817</v>
      </c>
      <c r="F185" s="8">
        <f>(R185/$B185)+(R185/'Optimal Choice'!$B$21)</f>
        <v>453.98576028085552</v>
      </c>
      <c r="G185" s="8">
        <f>(S185/$B185)+(S185/'Optimal Choice'!$B$26)</f>
        <v>481.94646490689877</v>
      </c>
      <c r="I185" s="11">
        <f t="shared" ref="I185:M185" si="183">IF(MIN($C184:$G184)=C184,I184+1,I184)</f>
        <v>77</v>
      </c>
      <c r="J185" s="11">
        <f t="shared" si="183"/>
        <v>35</v>
      </c>
      <c r="K185" s="11">
        <f t="shared" si="183"/>
        <v>30</v>
      </c>
      <c r="L185" s="11">
        <f t="shared" si="183"/>
        <v>23</v>
      </c>
      <c r="M185" s="11">
        <f t="shared" si="183"/>
        <v>19</v>
      </c>
      <c r="O185" s="10">
        <f>'Optimal Choice'!$B$7*'Optimal Choice'!$B$8^(I185+1)</f>
        <v>783.41999328565487</v>
      </c>
      <c r="P185" s="10">
        <f>'Optimal Choice'!$B$12*'Optimal Choice'!$B$13^(J185+1)</f>
        <v>9189.111116145039</v>
      </c>
      <c r="Q185" s="10">
        <f>'Optimal Choice'!$B$17*'Optimal Choice'!$B$18^(K185+1)</f>
        <v>41819.890165183635</v>
      </c>
      <c r="R185" s="10">
        <f>'Optimal Choice'!$B$22*'Optimal Choice'!$B$23^(L185+1)</f>
        <v>162329.1019726634</v>
      </c>
      <c r="S185" s="10">
        <f>'Optimal Choice'!$B$27*'Optimal Choice'!$B$28^(M185+1)</f>
        <v>1000127.6679107465</v>
      </c>
    </row>
    <row r="186" spans="1:19" ht="15.75" customHeight="1">
      <c r="A186" s="8">
        <f t="shared" si="0"/>
        <v>7.1408416232930598</v>
      </c>
      <c r="B186" s="7">
        <f>(I186*'Optimal Choice'!$B$6+J186*'Optimal Choice'!$B$11+K186*'Optimal Choice'!$B$16+L186*'Optimal Choice'!$B$21+M186*'Optimal Choice'!$B$26)*'Optimal Choice'!$B$30</f>
        <v>53208.59</v>
      </c>
      <c r="C186" s="8">
        <f>(O186/$B186)+(O186/'Optimal Choice'!$B$6)</f>
        <v>469.12849199689015</v>
      </c>
      <c r="D186" s="8">
        <f>(P186/$B186)+(P186/'Optimal Choice'!$B$11)</f>
        <v>459.62825557464186</v>
      </c>
      <c r="E186" s="8">
        <f>(Q186/$B186)+(Q186/'Optimal Choice'!$B$16)</f>
        <v>465.45140753466791</v>
      </c>
      <c r="F186" s="8">
        <f>(R186/$B186)+(R186/'Optimal Choice'!$B$21)</f>
        <v>512.98042565251376</v>
      </c>
      <c r="G186" s="8">
        <f>(S186/$B186)+(S186/'Optimal Choice'!$B$26)</f>
        <v>481.81842575542544</v>
      </c>
      <c r="I186" s="11">
        <f t="shared" ref="I186:M186" si="184">IF(MIN($C185:$G185)=C185,I185+1,I185)</f>
        <v>77</v>
      </c>
      <c r="J186" s="11">
        <f t="shared" si="184"/>
        <v>35</v>
      </c>
      <c r="K186" s="11">
        <f t="shared" si="184"/>
        <v>30</v>
      </c>
      <c r="L186" s="11">
        <f t="shared" si="184"/>
        <v>24</v>
      </c>
      <c r="M186" s="11">
        <f t="shared" si="184"/>
        <v>19</v>
      </c>
      <c r="O186" s="10">
        <f>'Optimal Choice'!$B$7*'Optimal Choice'!$B$8^(I186+1)</f>
        <v>783.41999328565487</v>
      </c>
      <c r="P186" s="10">
        <f>'Optimal Choice'!$B$12*'Optimal Choice'!$B$13^(J186+1)</f>
        <v>9189.111116145039</v>
      </c>
      <c r="Q186" s="10">
        <f>'Optimal Choice'!$B$17*'Optimal Choice'!$B$18^(K186+1)</f>
        <v>41819.890165183635</v>
      </c>
      <c r="R186" s="10">
        <f>'Optimal Choice'!$B$22*'Optimal Choice'!$B$23^(L186+1)</f>
        <v>183431.88522910964</v>
      </c>
      <c r="S186" s="10">
        <f>'Optimal Choice'!$B$27*'Optimal Choice'!$B$28^(M186+1)</f>
        <v>1000127.6679107465</v>
      </c>
    </row>
    <row r="187" spans="1:19" ht="15.75" customHeight="1">
      <c r="A187" s="8">
        <f t="shared" si="0"/>
        <v>7.1437199527495583</v>
      </c>
      <c r="B187" s="7">
        <f>(I187*'Optimal Choice'!$B$6+J187*'Optimal Choice'!$B$11+K187*'Optimal Choice'!$B$16+L187*'Optimal Choice'!$B$21+M187*'Optimal Choice'!$B$26)*'Optimal Choice'!$B$30</f>
        <v>53228.59</v>
      </c>
      <c r="C187" s="8">
        <f>(O187/$B187)+(O187/'Optimal Choice'!$B$6)</f>
        <v>469.12848646468933</v>
      </c>
      <c r="D187" s="8">
        <f>(P187/$B187)+(P187/'Optimal Choice'!$B$11)</f>
        <v>528.57241928750784</v>
      </c>
      <c r="E187" s="8">
        <f>(Q187/$B187)+(Q187/'Optimal Choice'!$B$16)</f>
        <v>465.45111221921621</v>
      </c>
      <c r="F187" s="8">
        <f>(R187/$B187)+(R187/'Optimal Choice'!$B$21)</f>
        <v>512.97913032940744</v>
      </c>
      <c r="G187" s="8">
        <f>(S187/$B187)+(S187/'Optimal Choice'!$B$26)</f>
        <v>481.81136325112908</v>
      </c>
      <c r="I187" s="11">
        <f t="shared" ref="I187:M187" si="185">IF(MIN($C186:$G186)=C186,I186+1,I186)</f>
        <v>77</v>
      </c>
      <c r="J187" s="11">
        <f t="shared" si="185"/>
        <v>36</v>
      </c>
      <c r="K187" s="11">
        <f t="shared" si="185"/>
        <v>30</v>
      </c>
      <c r="L187" s="11">
        <f t="shared" si="185"/>
        <v>24</v>
      </c>
      <c r="M187" s="11">
        <f t="shared" si="185"/>
        <v>19</v>
      </c>
      <c r="O187" s="10">
        <f>'Optimal Choice'!$B$7*'Optimal Choice'!$B$8^(I187+1)</f>
        <v>783.41999328565487</v>
      </c>
      <c r="P187" s="10">
        <f>'Optimal Choice'!$B$12*'Optimal Choice'!$B$13^(J187+1)</f>
        <v>10567.477783566794</v>
      </c>
      <c r="Q187" s="10">
        <f>'Optimal Choice'!$B$17*'Optimal Choice'!$B$18^(K187+1)</f>
        <v>41819.890165183635</v>
      </c>
      <c r="R187" s="10">
        <f>'Optimal Choice'!$B$22*'Optimal Choice'!$B$23^(L187+1)</f>
        <v>183431.88522910964</v>
      </c>
      <c r="S187" s="10">
        <f>'Optimal Choice'!$B$27*'Optimal Choice'!$B$28^(M187+1)</f>
        <v>1000127.6679107465</v>
      </c>
    </row>
    <row r="188" spans="1:19" ht="15.75" customHeight="1">
      <c r="A188" s="8">
        <f t="shared" si="0"/>
        <v>7.1568143850728587</v>
      </c>
      <c r="B188" s="7">
        <f>(I188*'Optimal Choice'!$B$6+J188*'Optimal Choice'!$B$11+K188*'Optimal Choice'!$B$16+L188*'Optimal Choice'!$B$21+M188*'Optimal Choice'!$B$26)*'Optimal Choice'!$B$30</f>
        <v>53318.59</v>
      </c>
      <c r="C188" s="8">
        <f>(O188/$B188)+(O188/'Optimal Choice'!$B$6)</f>
        <v>469.12846162114573</v>
      </c>
      <c r="D188" s="8">
        <f>(P188/$B188)+(P188/'Optimal Choice'!$B$11)</f>
        <v>528.57208417531103</v>
      </c>
      <c r="E188" s="8">
        <f>(Q188/$B188)+(Q188/'Optimal Choice'!$B$16)</f>
        <v>530.61275608712572</v>
      </c>
      <c r="F188" s="8">
        <f>(R188/$B188)+(R188/'Optimal Choice'!$B$21)</f>
        <v>512.97331340097082</v>
      </c>
      <c r="G188" s="8">
        <f>(S188/$B188)+(S188/'Optimal Choice'!$B$26)</f>
        <v>481.7796475487886</v>
      </c>
      <c r="I188" s="11">
        <f t="shared" ref="I188:M188" si="186">IF(MIN($C187:$G187)=C187,I187+1,I187)</f>
        <v>77</v>
      </c>
      <c r="J188" s="11">
        <f t="shared" si="186"/>
        <v>36</v>
      </c>
      <c r="K188" s="11">
        <f t="shared" si="186"/>
        <v>31</v>
      </c>
      <c r="L188" s="11">
        <f t="shared" si="186"/>
        <v>24</v>
      </c>
      <c r="M188" s="11">
        <f t="shared" si="186"/>
        <v>19</v>
      </c>
      <c r="O188" s="10">
        <f>'Optimal Choice'!$B$7*'Optimal Choice'!$B$8^(I188+1)</f>
        <v>783.41999328565487</v>
      </c>
      <c r="P188" s="10">
        <f>'Optimal Choice'!$B$12*'Optimal Choice'!$B$13^(J188+1)</f>
        <v>10567.477783566794</v>
      </c>
      <c r="Q188" s="10">
        <f>'Optimal Choice'!$B$17*'Optimal Choice'!$B$18^(K188+1)</f>
        <v>47674.674788309363</v>
      </c>
      <c r="R188" s="10">
        <f>'Optimal Choice'!$B$22*'Optimal Choice'!$B$23^(L188+1)</f>
        <v>183431.88522910964</v>
      </c>
      <c r="S188" s="10">
        <f>'Optimal Choice'!$B$27*'Optimal Choice'!$B$28^(M188+1)</f>
        <v>1000127.6679107465</v>
      </c>
    </row>
    <row r="189" spans="1:19" ht="15.75" customHeight="1">
      <c r="A189" s="8">
        <f t="shared" si="0"/>
        <v>7.1570592715165571</v>
      </c>
      <c r="B189" s="7">
        <f>(I189*'Optimal Choice'!$B$6+J189*'Optimal Choice'!$B$11+K189*'Optimal Choice'!$B$16+L189*'Optimal Choice'!$B$21+M189*'Optimal Choice'!$B$26)*'Optimal Choice'!$B$30</f>
        <v>53320.26</v>
      </c>
      <c r="C189" s="8">
        <f>(O189/$B189)+(O189/'Optimal Choice'!$B$6)</f>
        <v>501.96745344221932</v>
      </c>
      <c r="D189" s="8">
        <f>(P189/$B189)+(P189/'Optimal Choice'!$B$11)</f>
        <v>528.57207796780858</v>
      </c>
      <c r="E189" s="8">
        <f>(Q189/$B189)+(Q189/'Optimal Choice'!$B$16)</f>
        <v>530.61272808227284</v>
      </c>
      <c r="F189" s="8">
        <f>(R189/$B189)+(R189/'Optimal Choice'!$B$21)</f>
        <v>512.97320565019982</v>
      </c>
      <c r="G189" s="8">
        <f>(S189/$B189)+(S189/'Optimal Choice'!$B$26)</f>
        <v>481.77906005808524</v>
      </c>
      <c r="I189" s="11">
        <f t="shared" ref="I189:M189" si="187">IF(MIN($C188:$G188)=C188,I188+1,I188)</f>
        <v>78</v>
      </c>
      <c r="J189" s="11">
        <f t="shared" si="187"/>
        <v>36</v>
      </c>
      <c r="K189" s="11">
        <f t="shared" si="187"/>
        <v>31</v>
      </c>
      <c r="L189" s="11">
        <f t="shared" si="187"/>
        <v>24</v>
      </c>
      <c r="M189" s="11">
        <f t="shared" si="187"/>
        <v>19</v>
      </c>
      <c r="O189" s="10">
        <f>'Optimal Choice'!$B$7*'Optimal Choice'!$B$8^(I189+1)</f>
        <v>838.25939281565081</v>
      </c>
      <c r="P189" s="10">
        <f>'Optimal Choice'!$B$12*'Optimal Choice'!$B$13^(J189+1)</f>
        <v>10567.477783566794</v>
      </c>
      <c r="Q189" s="10">
        <f>'Optimal Choice'!$B$17*'Optimal Choice'!$B$18^(K189+1)</f>
        <v>47674.674788309363</v>
      </c>
      <c r="R189" s="10">
        <f>'Optimal Choice'!$B$22*'Optimal Choice'!$B$23^(L189+1)</f>
        <v>183431.88522910964</v>
      </c>
      <c r="S189" s="10">
        <f>'Optimal Choice'!$B$27*'Optimal Choice'!$B$28^(M189+1)</f>
        <v>1000127.6679107465</v>
      </c>
    </row>
    <row r="190" spans="1:19" ht="15.75" customHeight="1">
      <c r="A190" s="8">
        <f t="shared" si="0"/>
        <v>7.4696757978646868</v>
      </c>
      <c r="B190" s="7">
        <f>(I190*'Optimal Choice'!$B$6+J190*'Optimal Choice'!$B$11+K190*'Optimal Choice'!$B$16+L190*'Optimal Choice'!$B$21+M190*'Optimal Choice'!$B$26)*'Optimal Choice'!$B$30</f>
        <v>55480.26</v>
      </c>
      <c r="C190" s="8">
        <f>(O190/$B190)+(O190/'Optimal Choice'!$B$6)</f>
        <v>501.9668413717402</v>
      </c>
      <c r="D190" s="8">
        <f>(P190/$B190)+(P190/'Optimal Choice'!$B$11)</f>
        <v>528.56436192997364</v>
      </c>
      <c r="E190" s="8">
        <f>(Q190/$B190)+(Q190/'Optimal Choice'!$B$16)</f>
        <v>530.57791754356435</v>
      </c>
      <c r="F190" s="8">
        <f>(R190/$B190)+(R190/'Optimal Choice'!$B$21)</f>
        <v>512.83926949291128</v>
      </c>
      <c r="G190" s="8">
        <f>(S190/$B190)+(S190/'Optimal Choice'!$B$26)</f>
        <v>538.77465430578525</v>
      </c>
      <c r="I190" s="11">
        <f t="shared" ref="I190:M190" si="188">IF(MIN($C189:$G189)=C189,I189+1,I189)</f>
        <v>78</v>
      </c>
      <c r="J190" s="11">
        <f t="shared" si="188"/>
        <v>36</v>
      </c>
      <c r="K190" s="11">
        <f t="shared" si="188"/>
        <v>31</v>
      </c>
      <c r="L190" s="11">
        <f t="shared" si="188"/>
        <v>24</v>
      </c>
      <c r="M190" s="11">
        <f t="shared" si="188"/>
        <v>20</v>
      </c>
      <c r="O190" s="10">
        <f>'Optimal Choice'!$B$7*'Optimal Choice'!$B$8^(I190+1)</f>
        <v>838.25939281565081</v>
      </c>
      <c r="P190" s="10">
        <f>'Optimal Choice'!$B$12*'Optimal Choice'!$B$13^(J190+1)</f>
        <v>10567.477783566794</v>
      </c>
      <c r="Q190" s="10">
        <f>'Optimal Choice'!$B$17*'Optimal Choice'!$B$18^(K190+1)</f>
        <v>47674.674788309363</v>
      </c>
      <c r="R190" s="10">
        <f>'Optimal Choice'!$B$22*'Optimal Choice'!$B$23^(L190+1)</f>
        <v>183431.88522910964</v>
      </c>
      <c r="S190" s="10">
        <f>'Optimal Choice'!$B$27*'Optimal Choice'!$B$28^(M190+1)</f>
        <v>1120142.9880600362</v>
      </c>
    </row>
    <row r="191" spans="1:19" ht="15.75" customHeight="1">
      <c r="A191" s="8">
        <f t="shared" si="0"/>
        <v>7.469927616978012</v>
      </c>
      <c r="B191" s="7">
        <f>(I191*'Optimal Choice'!$B$6+J191*'Optimal Choice'!$B$11+K191*'Optimal Choice'!$B$16+L191*'Optimal Choice'!$B$21+M191*'Optimal Choice'!$B$26)*'Optimal Choice'!$B$30</f>
        <v>55481.93</v>
      </c>
      <c r="C191" s="8">
        <f>(O191/$B191)+(O191/'Optimal Choice'!$B$6)</f>
        <v>537.10451978114327</v>
      </c>
      <c r="D191" s="8">
        <f>(P191/$B191)+(P191/'Optimal Choice'!$B$11)</f>
        <v>528.56435619676472</v>
      </c>
      <c r="E191" s="8">
        <f>(Q191/$B191)+(Q191/'Optimal Choice'!$B$16)</f>
        <v>530.57789167846431</v>
      </c>
      <c r="F191" s="8">
        <f>(R191/$B191)+(R191/'Optimal Choice'!$B$21)</f>
        <v>512.83916997499978</v>
      </c>
      <c r="G191" s="8">
        <f>(S191/$B191)+(S191/'Optimal Choice'!$B$26)</f>
        <v>538.7740465908804</v>
      </c>
      <c r="I191" s="11">
        <f t="shared" ref="I191:M191" si="189">IF(MIN($C190:$G190)=C190,I190+1,I190)</f>
        <v>79</v>
      </c>
      <c r="J191" s="11">
        <f t="shared" si="189"/>
        <v>36</v>
      </c>
      <c r="K191" s="11">
        <f t="shared" si="189"/>
        <v>31</v>
      </c>
      <c r="L191" s="11">
        <f t="shared" si="189"/>
        <v>24</v>
      </c>
      <c r="M191" s="11">
        <f t="shared" si="189"/>
        <v>20</v>
      </c>
      <c r="O191" s="10">
        <f>'Optimal Choice'!$B$7*'Optimal Choice'!$B$8^(I191+1)</f>
        <v>896.93755031274623</v>
      </c>
      <c r="P191" s="10">
        <f>'Optimal Choice'!$B$12*'Optimal Choice'!$B$13^(J191+1)</f>
        <v>10567.477783566794</v>
      </c>
      <c r="Q191" s="10">
        <f>'Optimal Choice'!$B$17*'Optimal Choice'!$B$18^(K191+1)</f>
        <v>47674.674788309363</v>
      </c>
      <c r="R191" s="10">
        <f>'Optimal Choice'!$B$22*'Optimal Choice'!$B$23^(L191+1)</f>
        <v>183431.88522910964</v>
      </c>
      <c r="S191" s="10">
        <f>'Optimal Choice'!$B$27*'Optimal Choice'!$B$28^(M191+1)</f>
        <v>1120142.9880600362</v>
      </c>
    </row>
    <row r="192" spans="1:19" ht="15.75" customHeight="1">
      <c r="A192" s="8">
        <f t="shared" si="0"/>
        <v>7.5250302078062656</v>
      </c>
      <c r="B192" s="7">
        <f>(I192*'Optimal Choice'!$B$6+J192*'Optimal Choice'!$B$11+K192*'Optimal Choice'!$B$16+L192*'Optimal Choice'!$B$21+M192*'Optimal Choice'!$B$26)*'Optimal Choice'!$B$30</f>
        <v>55841.93</v>
      </c>
      <c r="C192" s="8">
        <f>(O192/$B192)+(O192/'Optimal Choice'!$B$6)</f>
        <v>537.10441556074545</v>
      </c>
      <c r="D192" s="8">
        <f>(P192/$B192)+(P192/'Optimal Choice'!$B$11)</f>
        <v>528.5631282999741</v>
      </c>
      <c r="E192" s="8">
        <f>(Q192/$B192)+(Q192/'Optimal Choice'!$B$16)</f>
        <v>530.57235208033421</v>
      </c>
      <c r="F192" s="8">
        <f>(R192/$B192)+(R192/'Optimal Choice'!$B$21)</f>
        <v>579.48417723018099</v>
      </c>
      <c r="G192" s="8">
        <f>(S192/$B192)+(S192/'Optimal Choice'!$B$26)</f>
        <v>538.64389065316993</v>
      </c>
      <c r="I192" s="11">
        <f t="shared" ref="I192:M192" si="190">IF(MIN($C191:$G191)=C191,I191+1,I191)</f>
        <v>79</v>
      </c>
      <c r="J192" s="11">
        <f t="shared" si="190"/>
        <v>36</v>
      </c>
      <c r="K192" s="11">
        <f t="shared" si="190"/>
        <v>31</v>
      </c>
      <c r="L192" s="11">
        <f t="shared" si="190"/>
        <v>25</v>
      </c>
      <c r="M192" s="11">
        <f t="shared" si="190"/>
        <v>20</v>
      </c>
      <c r="O192" s="10">
        <f>'Optimal Choice'!$B$7*'Optimal Choice'!$B$8^(I192+1)</f>
        <v>896.93755031274623</v>
      </c>
      <c r="P192" s="10">
        <f>'Optimal Choice'!$B$12*'Optimal Choice'!$B$13^(J192+1)</f>
        <v>10567.477783566794</v>
      </c>
      <c r="Q192" s="10">
        <f>'Optimal Choice'!$B$17*'Optimal Choice'!$B$18^(K192+1)</f>
        <v>47674.674788309363</v>
      </c>
      <c r="R192" s="10">
        <f>'Optimal Choice'!$B$22*'Optimal Choice'!$B$23^(L192+1)</f>
        <v>207278.03030889385</v>
      </c>
      <c r="S192" s="10">
        <f>'Optimal Choice'!$B$27*'Optimal Choice'!$B$28^(M192+1)</f>
        <v>1120142.9880600362</v>
      </c>
    </row>
    <row r="193" spans="1:19" ht="15.75" customHeight="1">
      <c r="A193" s="8">
        <f t="shared" si="0"/>
        <v>7.5281841931668385</v>
      </c>
      <c r="B193" s="7">
        <f>(I193*'Optimal Choice'!$B$6+J193*'Optimal Choice'!$B$11+K193*'Optimal Choice'!$B$16+L193*'Optimal Choice'!$B$21+M193*'Optimal Choice'!$B$26)*'Optimal Choice'!$B$30</f>
        <v>55861.93</v>
      </c>
      <c r="C193" s="8">
        <f>(O193/$B193)+(O193/'Optimal Choice'!$B$6)</f>
        <v>537.10440981010981</v>
      </c>
      <c r="D193" s="8">
        <f>(P193/$B193)+(P193/'Optimal Choice'!$B$11)</f>
        <v>607.8475196296564</v>
      </c>
      <c r="E193" s="8">
        <f>(Q193/$B193)+(Q193/'Optimal Choice'!$B$16)</f>
        <v>530.57204641838473</v>
      </c>
      <c r="F193" s="8">
        <f>(R193/$B193)+(R193/'Optimal Choice'!$B$21)</f>
        <v>579.48284828547162</v>
      </c>
      <c r="G193" s="8">
        <f>(S193/$B193)+(S193/'Optimal Choice'!$B$26)</f>
        <v>538.63670895573898</v>
      </c>
      <c r="I193" s="11">
        <f t="shared" ref="I193:M193" si="191">IF(MIN($C192:$G192)=C192,I192+1,I192)</f>
        <v>79</v>
      </c>
      <c r="J193" s="11">
        <f t="shared" si="191"/>
        <v>37</v>
      </c>
      <c r="K193" s="11">
        <f t="shared" si="191"/>
        <v>31</v>
      </c>
      <c r="L193" s="11">
        <f t="shared" si="191"/>
        <v>25</v>
      </c>
      <c r="M193" s="11">
        <f t="shared" si="191"/>
        <v>20</v>
      </c>
      <c r="O193" s="10">
        <f>'Optimal Choice'!$B$7*'Optimal Choice'!$B$8^(I193+1)</f>
        <v>896.93755031274623</v>
      </c>
      <c r="P193" s="10">
        <f>'Optimal Choice'!$B$12*'Optimal Choice'!$B$13^(J193+1)</f>
        <v>12152.599451101813</v>
      </c>
      <c r="Q193" s="10">
        <f>'Optimal Choice'!$B$17*'Optimal Choice'!$B$18^(K193+1)</f>
        <v>47674.674788309363</v>
      </c>
      <c r="R193" s="10">
        <f>'Optimal Choice'!$B$22*'Optimal Choice'!$B$23^(L193+1)</f>
        <v>207278.03030889385</v>
      </c>
      <c r="S193" s="10">
        <f>'Optimal Choice'!$B$27*'Optimal Choice'!$B$28^(M193+1)</f>
        <v>1120142.9880600362</v>
      </c>
    </row>
    <row r="194" spans="1:19" ht="15.75" customHeight="1">
      <c r="A194" s="8">
        <f t="shared" si="0"/>
        <v>7.5424081541567025</v>
      </c>
      <c r="B194" s="7">
        <f>(I194*'Optimal Choice'!$B$6+J194*'Optimal Choice'!$B$11+K194*'Optimal Choice'!$B$16+L194*'Optimal Choice'!$B$21+M194*'Optimal Choice'!$B$26)*'Optimal Choice'!$B$30</f>
        <v>55951.93</v>
      </c>
      <c r="C194" s="8">
        <f>(O194/$B194)+(O194/'Optimal Choice'!$B$6)</f>
        <v>537.10438398312499</v>
      </c>
      <c r="D194" s="8">
        <f>(P194/$B194)+(P194/'Optimal Choice'!$B$11)</f>
        <v>607.8471697000524</v>
      </c>
      <c r="E194" s="8">
        <f>(Q194/$B194)+(Q194/'Optimal Choice'!$B$16)</f>
        <v>604.8505679538938</v>
      </c>
      <c r="F194" s="8">
        <f>(R194/$B194)+(R194/'Optimal Choice'!$B$21)</f>
        <v>579.4768797912933</v>
      </c>
      <c r="G194" s="8">
        <f>(S194/$B194)+(S194/'Optimal Choice'!$B$26)</f>
        <v>538.60445485291325</v>
      </c>
      <c r="I194" s="11">
        <f t="shared" ref="I194:M194" si="192">IF(MIN($C193:$G193)=C193,I193+1,I193)</f>
        <v>79</v>
      </c>
      <c r="J194" s="11">
        <f t="shared" si="192"/>
        <v>37</v>
      </c>
      <c r="K194" s="11">
        <f t="shared" si="192"/>
        <v>32</v>
      </c>
      <c r="L194" s="11">
        <f t="shared" si="192"/>
        <v>25</v>
      </c>
      <c r="M194" s="11">
        <f t="shared" si="192"/>
        <v>20</v>
      </c>
      <c r="O194" s="10">
        <f>'Optimal Choice'!$B$7*'Optimal Choice'!$B$8^(I194+1)</f>
        <v>896.93755031274623</v>
      </c>
      <c r="P194" s="10">
        <f>'Optimal Choice'!$B$12*'Optimal Choice'!$B$13^(J194+1)</f>
        <v>12152.599451101813</v>
      </c>
      <c r="Q194" s="10">
        <f>'Optimal Choice'!$B$17*'Optimal Choice'!$B$18^(K194+1)</f>
        <v>54349.12925867267</v>
      </c>
      <c r="R194" s="10">
        <f>'Optimal Choice'!$B$22*'Optimal Choice'!$B$23^(L194+1)</f>
        <v>207278.03030889385</v>
      </c>
      <c r="S194" s="10">
        <f>'Optimal Choice'!$B$27*'Optimal Choice'!$B$28^(M194+1)</f>
        <v>1120142.9880600362</v>
      </c>
    </row>
    <row r="195" spans="1:19" ht="15.75" customHeight="1">
      <c r="A195" s="8">
        <f t="shared" si="0"/>
        <v>7.5426753291973467</v>
      </c>
      <c r="B195" s="7">
        <f>(I195*'Optimal Choice'!$B$6+J195*'Optimal Choice'!$B$11+K195*'Optimal Choice'!$B$16+L195*'Optimal Choice'!$B$21+M195*'Optimal Choice'!$B$26)*'Optimal Choice'!$B$30</f>
        <v>55953.599999999999</v>
      </c>
      <c r="C195" s="8">
        <f>(O195/$B195)+(O195/'Optimal Choice'!$B$6)</f>
        <v>574.70169035000345</v>
      </c>
      <c r="D195" s="8">
        <f>(P195/$B195)+(P195/'Optimal Choice'!$B$11)</f>
        <v>607.84716321755207</v>
      </c>
      <c r="E195" s="8">
        <f>(Q195/$B195)+(Q195/'Optimal Choice'!$B$16)</f>
        <v>604.85053896270949</v>
      </c>
      <c r="F195" s="8">
        <f>(R195/$B195)+(R195/'Optimal Choice'!$B$21)</f>
        <v>579.47676922401001</v>
      </c>
      <c r="G195" s="8">
        <f>(S195/$B195)+(S195/'Optimal Choice'!$B$26)</f>
        <v>538.60385734064016</v>
      </c>
      <c r="I195" s="11">
        <f t="shared" ref="I195:M195" si="193">IF(MIN($C194:$G194)=C194,I194+1,I194)</f>
        <v>80</v>
      </c>
      <c r="J195" s="11">
        <f t="shared" si="193"/>
        <v>37</v>
      </c>
      <c r="K195" s="11">
        <f t="shared" si="193"/>
        <v>32</v>
      </c>
      <c r="L195" s="11">
        <f t="shared" si="193"/>
        <v>25</v>
      </c>
      <c r="M195" s="11">
        <f t="shared" si="193"/>
        <v>20</v>
      </c>
      <c r="O195" s="10">
        <f>'Optimal Choice'!$B$7*'Optimal Choice'!$B$8^(I195+1)</f>
        <v>959.72317883463847</v>
      </c>
      <c r="P195" s="10">
        <f>'Optimal Choice'!$B$12*'Optimal Choice'!$B$13^(J195+1)</f>
        <v>12152.599451101813</v>
      </c>
      <c r="Q195" s="10">
        <f>'Optimal Choice'!$B$17*'Optimal Choice'!$B$18^(K195+1)</f>
        <v>54349.12925867267</v>
      </c>
      <c r="R195" s="10">
        <f>'Optimal Choice'!$B$22*'Optimal Choice'!$B$23^(L195+1)</f>
        <v>207278.03030889385</v>
      </c>
      <c r="S195" s="10">
        <f>'Optimal Choice'!$B$27*'Optimal Choice'!$B$28^(M195+1)</f>
        <v>1120142.9880600362</v>
      </c>
    </row>
    <row r="196" spans="1:19" ht="15.75" customHeight="1">
      <c r="A196" s="8">
        <f t="shared" si="0"/>
        <v>7.8763276733003282</v>
      </c>
      <c r="B196" s="7">
        <f>(I196*'Optimal Choice'!$B$6+J196*'Optimal Choice'!$B$11+K196*'Optimal Choice'!$B$16+L196*'Optimal Choice'!$B$21+M196*'Optimal Choice'!$B$26)*'Optimal Choice'!$B$30</f>
        <v>58113.599999999999</v>
      </c>
      <c r="C196" s="8">
        <f>(O196/$B196)+(O196/'Optimal Choice'!$B$6)</f>
        <v>574.70105282984559</v>
      </c>
      <c r="D196" s="8">
        <f>(P196/$B196)+(P196/'Optimal Choice'!$B$11)</f>
        <v>607.83909054900425</v>
      </c>
      <c r="E196" s="8">
        <f>(Q196/$B196)+(Q196/'Optimal Choice'!$B$16)</f>
        <v>604.81443619242327</v>
      </c>
      <c r="F196" s="8">
        <f>(R196/$B196)+(R196/'Optimal Choice'!$B$21)</f>
        <v>579.33907960109048</v>
      </c>
      <c r="G196" s="8">
        <f>(S196/$B196)+(S196/'Optimal Choice'!$B$26)</f>
        <v>602.40294722360875</v>
      </c>
      <c r="I196" s="11">
        <f t="shared" ref="I196:M196" si="194">IF(MIN($C195:$G195)=C195,I195+1,I195)</f>
        <v>80</v>
      </c>
      <c r="J196" s="11">
        <f t="shared" si="194"/>
        <v>37</v>
      </c>
      <c r="K196" s="11">
        <f t="shared" si="194"/>
        <v>32</v>
      </c>
      <c r="L196" s="11">
        <f t="shared" si="194"/>
        <v>25</v>
      </c>
      <c r="M196" s="11">
        <f t="shared" si="194"/>
        <v>21</v>
      </c>
      <c r="O196" s="10">
        <f>'Optimal Choice'!$B$7*'Optimal Choice'!$B$8^(I196+1)</f>
        <v>959.72317883463847</v>
      </c>
      <c r="P196" s="10">
        <f>'Optimal Choice'!$B$12*'Optimal Choice'!$B$13^(J196+1)</f>
        <v>12152.599451101813</v>
      </c>
      <c r="Q196" s="10">
        <f>'Optimal Choice'!$B$17*'Optimal Choice'!$B$18^(K196+1)</f>
        <v>54349.12925867267</v>
      </c>
      <c r="R196" s="10">
        <f>'Optimal Choice'!$B$22*'Optimal Choice'!$B$23^(L196+1)</f>
        <v>207278.03030889385</v>
      </c>
      <c r="S196" s="10">
        <f>'Optimal Choice'!$B$27*'Optimal Choice'!$B$28^(M196+1)</f>
        <v>1254560.1466272406</v>
      </c>
    </row>
    <row r="197" spans="1:19" ht="15.75" customHeight="1">
      <c r="A197" s="8">
        <f t="shared" si="0"/>
        <v>7.8766029167255143</v>
      </c>
      <c r="B197" s="7">
        <f>(I197*'Optimal Choice'!$B$6+J197*'Optimal Choice'!$B$11+K197*'Optimal Choice'!$B$16+L197*'Optimal Choice'!$B$21+M197*'Optimal Choice'!$B$26)*'Optimal Choice'!$B$30</f>
        <v>58115.270000000004</v>
      </c>
      <c r="C197" s="8">
        <f>(O197/$B197)+(O197/'Optimal Choice'!$B$6)</f>
        <v>614.93012602015187</v>
      </c>
      <c r="D197" s="8">
        <f>(P197/$B197)+(P197/'Optimal Choice'!$B$11)</f>
        <v>607.83908453979109</v>
      </c>
      <c r="E197" s="8">
        <f>(Q197/$B197)+(Q197/'Optimal Choice'!$B$16)</f>
        <v>604.81440931788427</v>
      </c>
      <c r="F197" s="8">
        <f>(R197/$B197)+(R197/'Optimal Choice'!$B$21)</f>
        <v>579.33897710632061</v>
      </c>
      <c r="G197" s="8">
        <f>(S197/$B197)+(S197/'Optimal Choice'!$B$26)</f>
        <v>602.40232686913464</v>
      </c>
      <c r="I197" s="11">
        <f t="shared" ref="I197:M197" si="195">IF(MIN($C196:$G196)=C196,I196+1,I196)</f>
        <v>81</v>
      </c>
      <c r="J197" s="11">
        <f t="shared" si="195"/>
        <v>37</v>
      </c>
      <c r="K197" s="11">
        <f t="shared" si="195"/>
        <v>32</v>
      </c>
      <c r="L197" s="11">
        <f t="shared" si="195"/>
        <v>25</v>
      </c>
      <c r="M197" s="11">
        <f t="shared" si="195"/>
        <v>21</v>
      </c>
      <c r="O197" s="10">
        <f>'Optimal Choice'!$B$7*'Optimal Choice'!$B$8^(I197+1)</f>
        <v>1026.9038013530633</v>
      </c>
      <c r="P197" s="10">
        <f>'Optimal Choice'!$B$12*'Optimal Choice'!$B$13^(J197+1)</f>
        <v>12152.599451101813</v>
      </c>
      <c r="Q197" s="10">
        <f>'Optimal Choice'!$B$17*'Optimal Choice'!$B$18^(K197+1)</f>
        <v>54349.12925867267</v>
      </c>
      <c r="R197" s="10">
        <f>'Optimal Choice'!$B$22*'Optimal Choice'!$B$23^(L197+1)</f>
        <v>207278.03030889385</v>
      </c>
      <c r="S197" s="10">
        <f>'Optimal Choice'!$B$27*'Optimal Choice'!$B$28^(M197+1)</f>
        <v>1254560.1466272406</v>
      </c>
    </row>
    <row r="198" spans="1:19" ht="15.75" customHeight="1">
      <c r="A198" s="8">
        <f t="shared" si="0"/>
        <v>7.9360474282709577</v>
      </c>
      <c r="B198" s="7">
        <f>(I198*'Optimal Choice'!$B$6+J198*'Optimal Choice'!$B$11+K198*'Optimal Choice'!$B$16+L198*'Optimal Choice'!$B$21+M198*'Optimal Choice'!$B$26)*'Optimal Choice'!$B$30</f>
        <v>58475.270000000004</v>
      </c>
      <c r="C198" s="8">
        <f>(O198/$B198)+(O198/'Optimal Choice'!$B$6)</f>
        <v>614.93001723496377</v>
      </c>
      <c r="D198" s="8">
        <f>(P198/$B198)+(P198/'Optimal Choice'!$B$11)</f>
        <v>607.83779715258459</v>
      </c>
      <c r="E198" s="8">
        <f>(Q198/$B198)+(Q198/'Optimal Choice'!$B$16)</f>
        <v>604.80865183579408</v>
      </c>
      <c r="F198" s="8">
        <f>(R198/$B198)+(R198/'Optimal Choice'!$B$21)</f>
        <v>654.62823156172135</v>
      </c>
      <c r="G198" s="8">
        <f>(S198/$B198)+(S198/'Optimal Choice'!$B$26)</f>
        <v>602.26942487651991</v>
      </c>
      <c r="I198" s="11">
        <f t="shared" ref="I198:M198" si="196">IF(MIN($C197:$G197)=C197,I197+1,I197)</f>
        <v>81</v>
      </c>
      <c r="J198" s="11">
        <f t="shared" si="196"/>
        <v>37</v>
      </c>
      <c r="K198" s="11">
        <f t="shared" si="196"/>
        <v>32</v>
      </c>
      <c r="L198" s="11">
        <f t="shared" si="196"/>
        <v>26</v>
      </c>
      <c r="M198" s="11">
        <f t="shared" si="196"/>
        <v>21</v>
      </c>
      <c r="O198" s="10">
        <f>'Optimal Choice'!$B$7*'Optimal Choice'!$B$8^(I198+1)</f>
        <v>1026.9038013530633</v>
      </c>
      <c r="P198" s="10">
        <f>'Optimal Choice'!$B$12*'Optimal Choice'!$B$13^(J198+1)</f>
        <v>12152.599451101813</v>
      </c>
      <c r="Q198" s="10">
        <f>'Optimal Choice'!$B$17*'Optimal Choice'!$B$18^(K198+1)</f>
        <v>54349.12925867267</v>
      </c>
      <c r="R198" s="10">
        <f>'Optimal Choice'!$B$22*'Optimal Choice'!$B$23^(L198+1)</f>
        <v>234224.17424905</v>
      </c>
      <c r="S198" s="10">
        <f>'Optimal Choice'!$B$27*'Optimal Choice'!$B$28^(M198+1)</f>
        <v>1254560.1466272406</v>
      </c>
    </row>
    <row r="199" spans="1:19" ht="15.75" customHeight="1">
      <c r="A199" s="8">
        <f t="shared" si="0"/>
        <v>8.2936231312496815</v>
      </c>
      <c r="B199" s="7">
        <f>(I199*'Optimal Choice'!$B$6+J199*'Optimal Choice'!$B$11+K199*'Optimal Choice'!$B$16+L199*'Optimal Choice'!$B$21+M199*'Optimal Choice'!$B$26)*'Optimal Choice'!$B$30</f>
        <v>60635.270000000004</v>
      </c>
      <c r="C199" s="8">
        <f>(O199/$B199)+(O199/'Optimal Choice'!$B$6)</f>
        <v>614.92939165049063</v>
      </c>
      <c r="D199" s="8">
        <f>(P199/$B199)+(P199/'Optimal Choice'!$B$11)</f>
        <v>607.83039385198765</v>
      </c>
      <c r="E199" s="8">
        <f>(Q199/$B199)+(Q199/'Optimal Choice'!$B$16)</f>
        <v>604.77554262794899</v>
      </c>
      <c r="F199" s="8">
        <f>(R199/$B199)+(R199/'Optimal Choice'!$B$21)</f>
        <v>654.48554340878627</v>
      </c>
      <c r="G199" s="8">
        <f>(S199/$B199)+(S199/'Optimal Choice'!$B$26)</f>
        <v>673.6857717382909</v>
      </c>
      <c r="I199" s="11">
        <f t="shared" ref="I199:M199" si="197">IF(MIN($C198:$G198)=C198,I198+1,I198)</f>
        <v>81</v>
      </c>
      <c r="J199" s="11">
        <f t="shared" si="197"/>
        <v>37</v>
      </c>
      <c r="K199" s="11">
        <f t="shared" si="197"/>
        <v>32</v>
      </c>
      <c r="L199" s="11">
        <f t="shared" si="197"/>
        <v>26</v>
      </c>
      <c r="M199" s="11">
        <f t="shared" si="197"/>
        <v>22</v>
      </c>
      <c r="O199" s="10">
        <f>'Optimal Choice'!$B$7*'Optimal Choice'!$B$8^(I199+1)</f>
        <v>1026.9038013530633</v>
      </c>
      <c r="P199" s="10">
        <f>'Optimal Choice'!$B$12*'Optimal Choice'!$B$13^(J199+1)</f>
        <v>12152.599451101813</v>
      </c>
      <c r="Q199" s="10">
        <f>'Optimal Choice'!$B$17*'Optimal Choice'!$B$18^(K199+1)</f>
        <v>54349.12925867267</v>
      </c>
      <c r="R199" s="10">
        <f>'Optimal Choice'!$B$22*'Optimal Choice'!$B$23^(L199+1)</f>
        <v>234224.17424905</v>
      </c>
      <c r="S199" s="10">
        <f>'Optimal Choice'!$B$27*'Optimal Choice'!$B$28^(M199+1)</f>
        <v>1405107.3642225096</v>
      </c>
    </row>
    <row r="200" spans="1:19" ht="15.75" customHeight="1">
      <c r="A200" s="8">
        <f t="shared" si="0"/>
        <v>8.3085619419612993</v>
      </c>
      <c r="B200" s="7">
        <f>(I200*'Optimal Choice'!$B$6+J200*'Optimal Choice'!$B$11+K200*'Optimal Choice'!$B$16+L200*'Optimal Choice'!$B$21+M200*'Optimal Choice'!$B$26)*'Optimal Choice'!$B$30</f>
        <v>60725.270000000004</v>
      </c>
      <c r="C200" s="8">
        <f>(O200/$B200)+(O200/'Optimal Choice'!$B$6)</f>
        <v>614.92936655027222</v>
      </c>
      <c r="D200" s="8">
        <f>(P200/$B200)+(P200/'Optimal Choice'!$B$11)</f>
        <v>607.83009681062867</v>
      </c>
      <c r="E200" s="8">
        <f>(Q200/$B200)+(Q200/'Optimal Choice'!$B$16)</f>
        <v>689.44260417989062</v>
      </c>
      <c r="F200" s="8">
        <f>(R200/$B200)+(R200/'Optimal Choice'!$B$21)</f>
        <v>654.47981835652172</v>
      </c>
      <c r="G200" s="8">
        <f>(S200/$B200)+(S200/'Optimal Choice'!$B$26)</f>
        <v>673.65142723425652</v>
      </c>
      <c r="I200" s="11">
        <f t="shared" ref="I200:M200" si="198">IF(MIN($C199:$G199)=C199,I199+1,I199)</f>
        <v>81</v>
      </c>
      <c r="J200" s="11">
        <f t="shared" si="198"/>
        <v>37</v>
      </c>
      <c r="K200" s="11">
        <f t="shared" si="198"/>
        <v>33</v>
      </c>
      <c r="L200" s="11">
        <f t="shared" si="198"/>
        <v>26</v>
      </c>
      <c r="M200" s="11">
        <f t="shared" si="198"/>
        <v>22</v>
      </c>
      <c r="O200" s="10">
        <f>'Optimal Choice'!$B$7*'Optimal Choice'!$B$8^(I200+1)</f>
        <v>1026.9038013530633</v>
      </c>
      <c r="P200" s="10">
        <f>'Optimal Choice'!$B$12*'Optimal Choice'!$B$13^(J200+1)</f>
        <v>12152.599451101813</v>
      </c>
      <c r="Q200" s="10">
        <f>'Optimal Choice'!$B$17*'Optimal Choice'!$B$18^(K200+1)</f>
        <v>61958.007354886839</v>
      </c>
      <c r="R200" s="10">
        <f>'Optimal Choice'!$B$22*'Optimal Choice'!$B$23^(L200+1)</f>
        <v>234224.17424905</v>
      </c>
      <c r="S200" s="10">
        <f>'Optimal Choice'!$B$27*'Optimal Choice'!$B$28^(M200+1)</f>
        <v>1405107.3642225096</v>
      </c>
    </row>
    <row r="201" spans="1:19" ht="15.75" customHeight="1">
      <c r="A201" s="8">
        <f t="shared" si="0"/>
        <v>8.3118973462202685</v>
      </c>
      <c r="B201" s="7">
        <f>(I201*'Optimal Choice'!$B$6+J201*'Optimal Choice'!$B$11+K201*'Optimal Choice'!$B$16+L201*'Optimal Choice'!$B$21+M201*'Optimal Choice'!$B$26)*'Optimal Choice'!$B$30</f>
        <v>60745.270000000004</v>
      </c>
      <c r="C201" s="8">
        <f>(O201/$B201)+(O201/'Optimal Choice'!$B$6)</f>
        <v>614.92936098254643</v>
      </c>
      <c r="D201" s="8">
        <f>(P201/$B201)+(P201/'Optimal Choice'!$B$11)</f>
        <v>699.00453555911531</v>
      </c>
      <c r="E201" s="8">
        <f>(Q201/$B201)+(Q201/'Optimal Choice'!$B$16)</f>
        <v>689.44226825242276</v>
      </c>
      <c r="F201" s="8">
        <f>(R201/$B201)+(R201/'Optimal Choice'!$B$21)</f>
        <v>654.47854842649781</v>
      </c>
      <c r="G201" s="8">
        <f>(S201/$B201)+(S201/'Optimal Choice'!$B$26)</f>
        <v>673.6438089427869</v>
      </c>
      <c r="I201" s="11">
        <f t="shared" ref="I201:M201" si="199">IF(MIN($C200:$G200)=C200,I200+1,I200)</f>
        <v>81</v>
      </c>
      <c r="J201" s="11">
        <f t="shared" si="199"/>
        <v>38</v>
      </c>
      <c r="K201" s="11">
        <f t="shared" si="199"/>
        <v>33</v>
      </c>
      <c r="L201" s="11">
        <f t="shared" si="199"/>
        <v>26</v>
      </c>
      <c r="M201" s="11">
        <f t="shared" si="199"/>
        <v>22</v>
      </c>
      <c r="O201" s="10">
        <f>'Optimal Choice'!$B$7*'Optimal Choice'!$B$8^(I201+1)</f>
        <v>1026.9038013530633</v>
      </c>
      <c r="P201" s="10">
        <f>'Optimal Choice'!$B$12*'Optimal Choice'!$B$13^(J201+1)</f>
        <v>13975.489368767081</v>
      </c>
      <c r="Q201" s="10">
        <f>'Optimal Choice'!$B$17*'Optimal Choice'!$B$18^(K201+1)</f>
        <v>61958.007354886839</v>
      </c>
      <c r="R201" s="10">
        <f>'Optimal Choice'!$B$22*'Optimal Choice'!$B$23^(L201+1)</f>
        <v>234224.17424905</v>
      </c>
      <c r="S201" s="10">
        <f>'Optimal Choice'!$B$27*'Optimal Choice'!$B$28^(M201+1)</f>
        <v>1405107.3642225096</v>
      </c>
    </row>
    <row r="202" spans="1:19" ht="15.75" customHeight="1">
      <c r="A202" s="8">
        <f t="shared" si="0"/>
        <v>8.3121790975954113</v>
      </c>
      <c r="B202" s="7">
        <f>(I202*'Optimal Choice'!$B$6+J202*'Optimal Choice'!$B$11+K202*'Optimal Choice'!$B$16+L202*'Optimal Choice'!$B$21+M202*'Optimal Choice'!$B$26)*'Optimal Choice'!$B$30</f>
        <v>60746.94</v>
      </c>
      <c r="C202" s="8">
        <f>(O202/$B202)+(O202/'Optimal Choice'!$B$6)</f>
        <v>657.97441575405367</v>
      </c>
      <c r="D202" s="8">
        <f>(P202/$B202)+(P202/'Optimal Choice'!$B$11)</f>
        <v>699.00452923431783</v>
      </c>
      <c r="E202" s="8">
        <f>(Q202/$B202)+(Q202/'Optimal Choice'!$B$16)</f>
        <v>689.44224021248544</v>
      </c>
      <c r="F202" s="8">
        <f>(R202/$B202)+(R202/'Optimal Choice'!$B$21)</f>
        <v>654.47844242516771</v>
      </c>
      <c r="G202" s="8">
        <f>(S202/$B202)+(S202/'Optimal Choice'!$B$26)</f>
        <v>673.64317304237227</v>
      </c>
      <c r="I202" s="11">
        <f t="shared" ref="I202:M202" si="200">IF(MIN($C201:$G201)=C201,I201+1,I201)</f>
        <v>82</v>
      </c>
      <c r="J202" s="11">
        <f t="shared" si="200"/>
        <v>38</v>
      </c>
      <c r="K202" s="11">
        <f t="shared" si="200"/>
        <v>33</v>
      </c>
      <c r="L202" s="11">
        <f t="shared" si="200"/>
        <v>26</v>
      </c>
      <c r="M202" s="11">
        <f t="shared" si="200"/>
        <v>22</v>
      </c>
      <c r="O202" s="10">
        <f>'Optimal Choice'!$B$7*'Optimal Choice'!$B$8^(I202+1)</f>
        <v>1098.7870674477776</v>
      </c>
      <c r="P202" s="10">
        <f>'Optimal Choice'!$B$12*'Optimal Choice'!$B$13^(J202+1)</f>
        <v>13975.489368767081</v>
      </c>
      <c r="Q202" s="10">
        <f>'Optimal Choice'!$B$17*'Optimal Choice'!$B$18^(K202+1)</f>
        <v>61958.007354886839</v>
      </c>
      <c r="R202" s="10">
        <f>'Optimal Choice'!$B$22*'Optimal Choice'!$B$23^(L202+1)</f>
        <v>234224.17424905</v>
      </c>
      <c r="S202" s="10">
        <f>'Optimal Choice'!$B$27*'Optimal Choice'!$B$28^(M202+1)</f>
        <v>1405107.3642225096</v>
      </c>
    </row>
    <row r="203" spans="1:19" ht="15.75" customHeight="1">
      <c r="A203" s="8">
        <f t="shared" si="0"/>
        <v>8.3764413672255227</v>
      </c>
      <c r="B203" s="7">
        <f>(I203*'Optimal Choice'!$B$6+J203*'Optimal Choice'!$B$11+K203*'Optimal Choice'!$B$16+L203*'Optimal Choice'!$B$21+M203*'Optimal Choice'!$B$26)*'Optimal Choice'!$B$30</f>
        <v>61106.94</v>
      </c>
      <c r="C203" s="8">
        <f>(O203/$B203)+(O203/'Optimal Choice'!$B$6)</f>
        <v>657.9743091923641</v>
      </c>
      <c r="D203" s="8">
        <f>(P203/$B203)+(P203/'Optimal Choice'!$B$11)</f>
        <v>699.00317387457392</v>
      </c>
      <c r="E203" s="8">
        <f>(Q203/$B203)+(Q203/'Optimal Choice'!$B$16)</f>
        <v>689.43623145051913</v>
      </c>
      <c r="F203" s="8">
        <f>(R203/$B203)+(R203/'Optimal Choice'!$B$21)</f>
        <v>739.53497160428753</v>
      </c>
      <c r="G203" s="8">
        <f>(S203/$B203)+(S203/'Optimal Choice'!$B$26)</f>
        <v>673.50690404262355</v>
      </c>
      <c r="I203" s="11">
        <f t="shared" ref="I203:M203" si="201">IF(MIN($C202:$G202)=C202,I202+1,I202)</f>
        <v>82</v>
      </c>
      <c r="J203" s="11">
        <f t="shared" si="201"/>
        <v>38</v>
      </c>
      <c r="K203" s="11">
        <f t="shared" si="201"/>
        <v>33</v>
      </c>
      <c r="L203" s="11">
        <f t="shared" si="201"/>
        <v>27</v>
      </c>
      <c r="M203" s="11">
        <f t="shared" si="201"/>
        <v>22</v>
      </c>
      <c r="O203" s="10">
        <f>'Optimal Choice'!$B$7*'Optimal Choice'!$B$8^(I203+1)</f>
        <v>1098.7870674477776</v>
      </c>
      <c r="P203" s="10">
        <f>'Optimal Choice'!$B$12*'Optimal Choice'!$B$13^(J203+1)</f>
        <v>13975.489368767081</v>
      </c>
      <c r="Q203" s="10">
        <f>'Optimal Choice'!$B$17*'Optimal Choice'!$B$18^(K203+1)</f>
        <v>61958.007354886839</v>
      </c>
      <c r="R203" s="10">
        <f>'Optimal Choice'!$B$22*'Optimal Choice'!$B$23^(L203+1)</f>
        <v>264673.31690142647</v>
      </c>
      <c r="S203" s="10">
        <f>'Optimal Choice'!$B$27*'Optimal Choice'!$B$28^(M203+1)</f>
        <v>1405107.3642225096</v>
      </c>
    </row>
    <row r="204" spans="1:19" ht="15.75" customHeight="1">
      <c r="A204" s="8">
        <f t="shared" si="0"/>
        <v>8.3767410568809169</v>
      </c>
      <c r="B204" s="7">
        <f>(I204*'Optimal Choice'!$B$6+J204*'Optimal Choice'!$B$11+K204*'Optimal Choice'!$B$16+L204*'Optimal Choice'!$B$21+M204*'Optimal Choice'!$B$26)*'Optimal Choice'!$B$30</f>
        <v>61108.61</v>
      </c>
      <c r="C204" s="8">
        <f>(O204/$B204)+(O204/'Optimal Choice'!$B$6)</f>
        <v>704.03251031002935</v>
      </c>
      <c r="D204" s="8">
        <f>(P204/$B204)+(P204/'Optimal Choice'!$B$11)</f>
        <v>699.0031676244223</v>
      </c>
      <c r="E204" s="8">
        <f>(Q204/$B204)+(Q204/'Optimal Choice'!$B$16)</f>
        <v>689.43620374151158</v>
      </c>
      <c r="F204" s="8">
        <f>(R204/$B204)+(R204/'Optimal Choice'!$B$21)</f>
        <v>739.53485323645657</v>
      </c>
      <c r="G204" s="8">
        <f>(S204/$B204)+(S204/'Optimal Choice'!$B$26)</f>
        <v>673.50627564716262</v>
      </c>
      <c r="I204" s="11">
        <f t="shared" ref="I204:M204" si="202">IF(MIN($C203:$G203)=C203,I203+1,I203)</f>
        <v>83</v>
      </c>
      <c r="J204" s="11">
        <f t="shared" si="202"/>
        <v>38</v>
      </c>
      <c r="K204" s="11">
        <f t="shared" si="202"/>
        <v>33</v>
      </c>
      <c r="L204" s="11">
        <f t="shared" si="202"/>
        <v>27</v>
      </c>
      <c r="M204" s="11">
        <f t="shared" si="202"/>
        <v>22</v>
      </c>
      <c r="O204" s="10">
        <f>'Optimal Choice'!$B$7*'Optimal Choice'!$B$8^(I204+1)</f>
        <v>1175.7021621691219</v>
      </c>
      <c r="P204" s="10">
        <f>'Optimal Choice'!$B$12*'Optimal Choice'!$B$13^(J204+1)</f>
        <v>13975.489368767081</v>
      </c>
      <c r="Q204" s="10">
        <f>'Optimal Choice'!$B$17*'Optimal Choice'!$B$18^(K204+1)</f>
        <v>61958.007354886839</v>
      </c>
      <c r="R204" s="10">
        <f>'Optimal Choice'!$B$22*'Optimal Choice'!$B$23^(L204+1)</f>
        <v>264673.31690142647</v>
      </c>
      <c r="S204" s="10">
        <f>'Optimal Choice'!$B$27*'Optimal Choice'!$B$28^(M204+1)</f>
        <v>1405107.3642225096</v>
      </c>
    </row>
    <row r="205" spans="1:19" ht="15.75" customHeight="1">
      <c r="A205" s="8">
        <f t="shared" si="0"/>
        <v>8.7599678406414245</v>
      </c>
      <c r="B205" s="7">
        <f>(I205*'Optimal Choice'!$B$6+J205*'Optimal Choice'!$B$11+K205*'Optimal Choice'!$B$16+L205*'Optimal Choice'!$B$21+M205*'Optimal Choice'!$B$26)*'Optimal Choice'!$B$30</f>
        <v>63268.61</v>
      </c>
      <c r="C205" s="8">
        <f>(O205/$B205)+(O205/'Optimal Choice'!$B$6)</f>
        <v>704.0318534688538</v>
      </c>
      <c r="D205" s="8">
        <f>(P205/$B205)+(P205/'Optimal Choice'!$B$11)</f>
        <v>698.99535979931113</v>
      </c>
      <c r="E205" s="8">
        <f>(Q205/$B205)+(Q205/'Optimal Choice'!$B$16)</f>
        <v>689.40158904767873</v>
      </c>
      <c r="F205" s="8">
        <f>(R205/$B205)+(R205/'Optimal Choice'!$B$21)</f>
        <v>739.38698557218856</v>
      </c>
      <c r="G205" s="8">
        <f>(S205/$B205)+(S205/'Optimal Choice'!$B$26)</f>
        <v>753.44782284189841</v>
      </c>
      <c r="I205" s="11">
        <f t="shared" ref="I205:M205" si="203">IF(MIN($C204:$G204)=C204,I204+1,I204)</f>
        <v>83</v>
      </c>
      <c r="J205" s="11">
        <f t="shared" si="203"/>
        <v>38</v>
      </c>
      <c r="K205" s="11">
        <f t="shared" si="203"/>
        <v>33</v>
      </c>
      <c r="L205" s="11">
        <f t="shared" si="203"/>
        <v>27</v>
      </c>
      <c r="M205" s="11">
        <f t="shared" si="203"/>
        <v>23</v>
      </c>
      <c r="O205" s="10">
        <f>'Optimal Choice'!$B$7*'Optimal Choice'!$B$8^(I205+1)</f>
        <v>1175.7021621691219</v>
      </c>
      <c r="P205" s="10">
        <f>'Optimal Choice'!$B$12*'Optimal Choice'!$B$13^(J205+1)</f>
        <v>13975.489368767081</v>
      </c>
      <c r="Q205" s="10">
        <f>'Optimal Choice'!$B$17*'Optimal Choice'!$B$18^(K205+1)</f>
        <v>61958.007354886839</v>
      </c>
      <c r="R205" s="10">
        <f>'Optimal Choice'!$B$22*'Optimal Choice'!$B$23^(L205+1)</f>
        <v>264673.31690142647</v>
      </c>
      <c r="S205" s="10">
        <f>'Optimal Choice'!$B$27*'Optimal Choice'!$B$28^(M205+1)</f>
        <v>1573720.2479292108</v>
      </c>
    </row>
    <row r="206" spans="1:19" ht="15.75" customHeight="1">
      <c r="A206" s="8">
        <f t="shared" si="0"/>
        <v>8.7762892590496175</v>
      </c>
      <c r="B206" s="7">
        <f>(I206*'Optimal Choice'!$B$6+J206*'Optimal Choice'!$B$11+K206*'Optimal Choice'!$B$16+L206*'Optimal Choice'!$B$21+M206*'Optimal Choice'!$B$26)*'Optimal Choice'!$B$30</f>
        <v>63358.61</v>
      </c>
      <c r="C206" s="8">
        <f>(O206/$B206)+(O206/'Optimal Choice'!$B$6)</f>
        <v>704.03182707238147</v>
      </c>
      <c r="D206" s="8">
        <f>(P206/$B206)+(P206/'Optimal Choice'!$B$11)</f>
        <v>698.99504602628986</v>
      </c>
      <c r="E206" s="8">
        <f>(Q206/$B206)+(Q206/'Optimal Choice'!$B$16)</f>
        <v>785.91622570538914</v>
      </c>
      <c r="F206" s="8">
        <f>(R206/$B206)+(R206/'Optimal Choice'!$B$21)</f>
        <v>739.38104321524384</v>
      </c>
      <c r="G206" s="8">
        <f>(S206/$B206)+(S206/'Optimal Choice'!$B$26)</f>
        <v>753.41249020030921</v>
      </c>
      <c r="I206" s="11">
        <f t="shared" ref="I206:M206" si="204">IF(MIN($C205:$G205)=C205,I205+1,I205)</f>
        <v>83</v>
      </c>
      <c r="J206" s="11">
        <f t="shared" si="204"/>
        <v>38</v>
      </c>
      <c r="K206" s="11">
        <f t="shared" si="204"/>
        <v>34</v>
      </c>
      <c r="L206" s="11">
        <f t="shared" si="204"/>
        <v>27</v>
      </c>
      <c r="M206" s="11">
        <f t="shared" si="204"/>
        <v>23</v>
      </c>
      <c r="O206" s="10">
        <f>'Optimal Choice'!$B$7*'Optimal Choice'!$B$8^(I206+1)</f>
        <v>1175.7021621691219</v>
      </c>
      <c r="P206" s="10">
        <f>'Optimal Choice'!$B$12*'Optimal Choice'!$B$13^(J206+1)</f>
        <v>13975.489368767081</v>
      </c>
      <c r="Q206" s="10">
        <f>'Optimal Choice'!$B$17*'Optimal Choice'!$B$18^(K206+1)</f>
        <v>70632.128384570999</v>
      </c>
      <c r="R206" s="10">
        <f>'Optimal Choice'!$B$22*'Optimal Choice'!$B$23^(L206+1)</f>
        <v>264673.31690142647</v>
      </c>
      <c r="S206" s="10">
        <f>'Optimal Choice'!$B$27*'Optimal Choice'!$B$28^(M206+1)</f>
        <v>1573720.2479292108</v>
      </c>
    </row>
    <row r="207" spans="1:19" ht="15.75" customHeight="1">
      <c r="A207" s="8">
        <f t="shared" si="0"/>
        <v>8.7799655521818813</v>
      </c>
      <c r="B207" s="7">
        <f>(I207*'Optimal Choice'!$B$6+J207*'Optimal Choice'!$B$11+K207*'Optimal Choice'!$B$16+L207*'Optimal Choice'!$B$21+M207*'Optimal Choice'!$B$26)*'Optimal Choice'!$B$30</f>
        <v>63378.61</v>
      </c>
      <c r="C207" s="8">
        <f>(O207/$B207)+(O207/'Optimal Choice'!$B$6)</f>
        <v>704.03182121667953</v>
      </c>
      <c r="D207" s="8">
        <f>(P207/$B207)+(P207/'Optimal Choice'!$B$11)</f>
        <v>803.84422288296616</v>
      </c>
      <c r="E207" s="8">
        <f>(Q207/$B207)+(Q207/'Optimal Choice'!$B$16)</f>
        <v>785.91587391502628</v>
      </c>
      <c r="F207" s="8">
        <f>(R207/$B207)+(R207/'Optimal Choice'!$B$21)</f>
        <v>739.37972498338115</v>
      </c>
      <c r="G207" s="8">
        <f>(S207/$B207)+(S207/'Optimal Choice'!$B$26)</f>
        <v>753.404652129596</v>
      </c>
      <c r="I207" s="11">
        <f t="shared" ref="I207:M207" si="205">IF(MIN($C206:$G206)=C206,I206+1,I206)</f>
        <v>83</v>
      </c>
      <c r="J207" s="11">
        <f t="shared" si="205"/>
        <v>39</v>
      </c>
      <c r="K207" s="11">
        <f t="shared" si="205"/>
        <v>34</v>
      </c>
      <c r="L207" s="11">
        <f t="shared" si="205"/>
        <v>27</v>
      </c>
      <c r="M207" s="11">
        <f t="shared" si="205"/>
        <v>23</v>
      </c>
      <c r="O207" s="10">
        <f>'Optimal Choice'!$B$7*'Optimal Choice'!$B$8^(I207+1)</f>
        <v>1175.7021621691219</v>
      </c>
      <c r="P207" s="10">
        <f>'Optimal Choice'!$B$12*'Optimal Choice'!$B$13^(J207+1)</f>
        <v>16071.812774082142</v>
      </c>
      <c r="Q207" s="10">
        <f>'Optimal Choice'!$B$17*'Optimal Choice'!$B$18^(K207+1)</f>
        <v>70632.128384570999</v>
      </c>
      <c r="R207" s="10">
        <f>'Optimal Choice'!$B$22*'Optimal Choice'!$B$23^(L207+1)</f>
        <v>264673.31690142647</v>
      </c>
      <c r="S207" s="10">
        <f>'Optimal Choice'!$B$27*'Optimal Choice'!$B$28^(M207+1)</f>
        <v>1573720.2479292108</v>
      </c>
    </row>
    <row r="208" spans="1:19" ht="15.75" customHeight="1">
      <c r="A208" s="8">
        <f t="shared" si="0"/>
        <v>8.7802747264606502</v>
      </c>
      <c r="B208" s="7">
        <f>(I208*'Optimal Choice'!$B$6+J208*'Optimal Choice'!$B$11+K208*'Optimal Choice'!$B$16+L208*'Optimal Choice'!$B$21+M208*'Optimal Choice'!$B$26)*'Optimal Choice'!$B$30</f>
        <v>63380.28</v>
      </c>
      <c r="C208" s="8">
        <f>(O208/$B208)+(O208/'Optimal Choice'!$B$6)</f>
        <v>753.31404817884822</v>
      </c>
      <c r="D208" s="8">
        <f>(P208/$B208)+(P208/'Optimal Choice'!$B$11)</f>
        <v>803.84421620130468</v>
      </c>
      <c r="E208" s="8">
        <f>(Q208/$B208)+(Q208/'Optimal Choice'!$B$16)</f>
        <v>785.91584455057432</v>
      </c>
      <c r="F208" s="8">
        <f>(R208/$B208)+(R208/'Optimal Choice'!$B$21)</f>
        <v>739.37961494865488</v>
      </c>
      <c r="G208" s="8">
        <f>(S208/$B208)+(S208/'Optimal Choice'!$B$26)</f>
        <v>753.40399787446074</v>
      </c>
      <c r="I208" s="11">
        <f t="shared" ref="I208:M208" si="206">IF(MIN($C207:$G207)=C207,I207+1,I207)</f>
        <v>84</v>
      </c>
      <c r="J208" s="11">
        <f t="shared" si="206"/>
        <v>39</v>
      </c>
      <c r="K208" s="11">
        <f t="shared" si="206"/>
        <v>34</v>
      </c>
      <c r="L208" s="11">
        <f t="shared" si="206"/>
        <v>27</v>
      </c>
      <c r="M208" s="11">
        <f t="shared" si="206"/>
        <v>23</v>
      </c>
      <c r="O208" s="10">
        <f>'Optimal Choice'!$B$7*'Optimal Choice'!$B$8^(I208+1)</f>
        <v>1258.0013135209606</v>
      </c>
      <c r="P208" s="10">
        <f>'Optimal Choice'!$B$12*'Optimal Choice'!$B$13^(J208+1)</f>
        <v>16071.812774082142</v>
      </c>
      <c r="Q208" s="10">
        <f>'Optimal Choice'!$B$17*'Optimal Choice'!$B$18^(K208+1)</f>
        <v>70632.128384570999</v>
      </c>
      <c r="R208" s="10">
        <f>'Optimal Choice'!$B$22*'Optimal Choice'!$B$23^(L208+1)</f>
        <v>264673.31690142647</v>
      </c>
      <c r="S208" s="10">
        <f>'Optimal Choice'!$B$27*'Optimal Choice'!$B$28^(M208+1)</f>
        <v>1573720.2479292108</v>
      </c>
    </row>
    <row r="209" spans="1:19" ht="15.75" customHeight="1">
      <c r="A209" s="8">
        <f t="shared" si="0"/>
        <v>8.8498740079462657</v>
      </c>
      <c r="B209" s="7">
        <f>(I209*'Optimal Choice'!$B$6+J209*'Optimal Choice'!$B$11+K209*'Optimal Choice'!$B$16+L209*'Optimal Choice'!$B$21+M209*'Optimal Choice'!$B$26)*'Optimal Choice'!$B$30</f>
        <v>63740.28</v>
      </c>
      <c r="C209" s="8">
        <f>(O209/$B209)+(O209/'Optimal Choice'!$B$6)</f>
        <v>753.31393607630253</v>
      </c>
      <c r="D209" s="8">
        <f>(P209/$B209)+(P209/'Optimal Choice'!$B$11)</f>
        <v>803.84278401589552</v>
      </c>
      <c r="E209" s="8">
        <f>(Q209/$B209)+(Q209/'Optimal Choice'!$B$16)</f>
        <v>785.90955040658991</v>
      </c>
      <c r="F209" s="8">
        <f>(R209/$B209)+(R209/'Optimal Choice'!$B$21)</f>
        <v>835.47231331055468</v>
      </c>
      <c r="G209" s="8">
        <f>(S209/$B209)+(S209/'Optimal Choice'!$B$26)</f>
        <v>753.2637611003737</v>
      </c>
      <c r="I209" s="11">
        <f t="shared" ref="I209:M209" si="207">IF(MIN($C208:$G208)=C208,I208+1,I208)</f>
        <v>84</v>
      </c>
      <c r="J209" s="11">
        <f t="shared" si="207"/>
        <v>39</v>
      </c>
      <c r="K209" s="11">
        <f t="shared" si="207"/>
        <v>34</v>
      </c>
      <c r="L209" s="11">
        <f t="shared" si="207"/>
        <v>28</v>
      </c>
      <c r="M209" s="11">
        <f t="shared" si="207"/>
        <v>23</v>
      </c>
      <c r="O209" s="10">
        <f>'Optimal Choice'!$B$7*'Optimal Choice'!$B$8^(I209+1)</f>
        <v>1258.0013135209606</v>
      </c>
      <c r="P209" s="10">
        <f>'Optimal Choice'!$B$12*'Optimal Choice'!$B$13^(J209+1)</f>
        <v>16071.812774082142</v>
      </c>
      <c r="Q209" s="10">
        <f>'Optimal Choice'!$B$17*'Optimal Choice'!$B$18^(K209+1)</f>
        <v>70632.128384570999</v>
      </c>
      <c r="R209" s="10">
        <f>'Optimal Choice'!$B$22*'Optimal Choice'!$B$23^(L209+1)</f>
        <v>299080.84809861192</v>
      </c>
      <c r="S209" s="10">
        <f>'Optimal Choice'!$B$27*'Optimal Choice'!$B$28^(M209+1)</f>
        <v>1573720.2479292108</v>
      </c>
    </row>
    <row r="210" spans="1:19" ht="15.75" customHeight="1">
      <c r="A210" s="8">
        <f t="shared" si="0"/>
        <v>9.2613668786838925</v>
      </c>
      <c r="B210" s="7">
        <f>(I210*'Optimal Choice'!$B$6+J210*'Optimal Choice'!$B$11+K210*'Optimal Choice'!$B$16+L210*'Optimal Choice'!$B$21+M210*'Optimal Choice'!$B$26)*'Optimal Choice'!$B$30</f>
        <v>65900.28</v>
      </c>
      <c r="C210" s="8">
        <f>(O210/$B210)+(O210/'Optimal Choice'!$B$6)</f>
        <v>753.31328918156385</v>
      </c>
      <c r="D210" s="8">
        <f>(P210/$B210)+(P210/'Optimal Choice'!$B$11)</f>
        <v>803.83451950057838</v>
      </c>
      <c r="E210" s="8">
        <f>(Q210/$B210)+(Q210/'Optimal Choice'!$B$16)</f>
        <v>785.87322965577482</v>
      </c>
      <c r="F210" s="8">
        <f>(R210/$B210)+(R210/'Optimal Choice'!$B$21)</f>
        <v>835.31851869603815</v>
      </c>
      <c r="G210" s="8">
        <f>(S210/$B210)+(S210/'Optimal Choice'!$B$26)</f>
        <v>842.74905796513394</v>
      </c>
      <c r="I210" s="11">
        <f t="shared" ref="I210:M210" si="208">IF(MIN($C209:$G209)=C209,I209+1,I209)</f>
        <v>84</v>
      </c>
      <c r="J210" s="11">
        <f t="shared" si="208"/>
        <v>39</v>
      </c>
      <c r="K210" s="11">
        <f t="shared" si="208"/>
        <v>34</v>
      </c>
      <c r="L210" s="11">
        <f t="shared" si="208"/>
        <v>28</v>
      </c>
      <c r="M210" s="11">
        <f t="shared" si="208"/>
        <v>24</v>
      </c>
      <c r="O210" s="10">
        <f>'Optimal Choice'!$B$7*'Optimal Choice'!$B$8^(I210+1)</f>
        <v>1258.0013135209606</v>
      </c>
      <c r="P210" s="10">
        <f>'Optimal Choice'!$B$12*'Optimal Choice'!$B$13^(J210+1)</f>
        <v>16071.812774082142</v>
      </c>
      <c r="Q210" s="10">
        <f>'Optimal Choice'!$B$17*'Optimal Choice'!$B$18^(K210+1)</f>
        <v>70632.128384570999</v>
      </c>
      <c r="R210" s="10">
        <f>'Optimal Choice'!$B$22*'Optimal Choice'!$B$23^(L210+1)</f>
        <v>299080.84809861192</v>
      </c>
      <c r="S210" s="10">
        <f>'Optimal Choice'!$B$27*'Optimal Choice'!$B$28^(M210+1)</f>
        <v>1762566.6776807162</v>
      </c>
    </row>
    <row r="211" spans="1:19" ht="15.75" customHeight="1">
      <c r="A211" s="8">
        <f t="shared" si="0"/>
        <v>9.261685036490789</v>
      </c>
      <c r="B211" s="7">
        <f>(I211*'Optimal Choice'!$B$6+J211*'Optimal Choice'!$B$11+K211*'Optimal Choice'!$B$16+L211*'Optimal Choice'!$B$21+M211*'Optimal Choice'!$B$26)*'Optimal Choice'!$B$30</f>
        <v>65901.95</v>
      </c>
      <c r="C211" s="8">
        <f>(O211/$B211)+(O211/'Optimal Choice'!$B$6)</f>
        <v>806.04521890667149</v>
      </c>
      <c r="D211" s="8">
        <f>(P211/$B211)+(P211/'Optimal Choice'!$B$11)</f>
        <v>803.834513320474</v>
      </c>
      <c r="E211" s="8">
        <f>(Q211/$B211)+(Q211/'Optimal Choice'!$B$16)</f>
        <v>785.87320249555751</v>
      </c>
      <c r="F211" s="8">
        <f>(R211/$B211)+(R211/'Optimal Choice'!$B$21)</f>
        <v>835.31840369028953</v>
      </c>
      <c r="G211" s="8">
        <f>(S211/$B211)+(S211/'Optimal Choice'!$B$26)</f>
        <v>842.74838020424886</v>
      </c>
      <c r="I211" s="11">
        <f t="shared" ref="I211:M211" si="209">IF(MIN($C210:$G210)=C210,I210+1,I210)</f>
        <v>85</v>
      </c>
      <c r="J211" s="11">
        <f t="shared" si="209"/>
        <v>39</v>
      </c>
      <c r="K211" s="11">
        <f t="shared" si="209"/>
        <v>34</v>
      </c>
      <c r="L211" s="11">
        <f t="shared" si="209"/>
        <v>28</v>
      </c>
      <c r="M211" s="11">
        <f t="shared" si="209"/>
        <v>24</v>
      </c>
      <c r="O211" s="10">
        <f>'Optimal Choice'!$B$7*'Optimal Choice'!$B$8^(I211+1)</f>
        <v>1346.0614054674279</v>
      </c>
      <c r="P211" s="10">
        <f>'Optimal Choice'!$B$12*'Optimal Choice'!$B$13^(J211+1)</f>
        <v>16071.812774082142</v>
      </c>
      <c r="Q211" s="10">
        <f>'Optimal Choice'!$B$17*'Optimal Choice'!$B$18^(K211+1)</f>
        <v>70632.128384570999</v>
      </c>
      <c r="R211" s="10">
        <f>'Optimal Choice'!$B$22*'Optimal Choice'!$B$23^(L211+1)</f>
        <v>299080.84809861192</v>
      </c>
      <c r="S211" s="10">
        <f>'Optimal Choice'!$B$27*'Optimal Choice'!$B$28^(M211+1)</f>
        <v>1762566.6776807162</v>
      </c>
    </row>
    <row r="212" spans="1:19" ht="15.75" customHeight="1">
      <c r="A212" s="8">
        <f t="shared" si="0"/>
        <v>9.2795479698295278</v>
      </c>
      <c r="B212" s="7">
        <f>(I212*'Optimal Choice'!$B$6+J212*'Optimal Choice'!$B$11+K212*'Optimal Choice'!$B$16+L212*'Optimal Choice'!$B$21+M212*'Optimal Choice'!$B$26)*'Optimal Choice'!$B$30</f>
        <v>65991.95</v>
      </c>
      <c r="C212" s="8">
        <f>(O212/$B212)+(O212/'Optimal Choice'!$B$6)</f>
        <v>806.04519105070995</v>
      </c>
      <c r="D212" s="8">
        <f>(P212/$B212)+(P212/'Optimal Choice'!$B$11)</f>
        <v>803.83418072361223</v>
      </c>
      <c r="E212" s="8">
        <f>(Q212/$B212)+(Q212/'Optimal Choice'!$B$16)</f>
        <v>895.8937845171846</v>
      </c>
      <c r="F212" s="8">
        <f>(R212/$B212)+(R212/'Optimal Choice'!$B$21)</f>
        <v>835.31221438526859</v>
      </c>
      <c r="G212" s="8">
        <f>(S212/$B212)+(S212/'Optimal Choice'!$B$26)</f>
        <v>842.71190490716049</v>
      </c>
      <c r="I212" s="11">
        <f t="shared" ref="I212:M212" si="210">IF(MIN($C211:$G211)=C211,I211+1,I211)</f>
        <v>85</v>
      </c>
      <c r="J212" s="11">
        <f t="shared" si="210"/>
        <v>39</v>
      </c>
      <c r="K212" s="11">
        <f t="shared" si="210"/>
        <v>35</v>
      </c>
      <c r="L212" s="11">
        <f t="shared" si="210"/>
        <v>28</v>
      </c>
      <c r="M212" s="11">
        <f t="shared" si="210"/>
        <v>24</v>
      </c>
      <c r="O212" s="10">
        <f>'Optimal Choice'!$B$7*'Optimal Choice'!$B$8^(I212+1)</f>
        <v>1346.0614054674279</v>
      </c>
      <c r="P212" s="10">
        <f>'Optimal Choice'!$B$12*'Optimal Choice'!$B$13^(J212+1)</f>
        <v>16071.812774082142</v>
      </c>
      <c r="Q212" s="10">
        <f>'Optimal Choice'!$B$17*'Optimal Choice'!$B$18^(K212+1)</f>
        <v>80520.62635841094</v>
      </c>
      <c r="R212" s="10">
        <f>'Optimal Choice'!$B$22*'Optimal Choice'!$B$23^(L212+1)</f>
        <v>299080.84809861192</v>
      </c>
      <c r="S212" s="10">
        <f>'Optimal Choice'!$B$27*'Optimal Choice'!$B$28^(M212+1)</f>
        <v>1762566.6776807162</v>
      </c>
    </row>
    <row r="213" spans="1:19" ht="15.75" customHeight="1">
      <c r="A213" s="8">
        <f t="shared" si="0"/>
        <v>9.2836070034879477</v>
      </c>
      <c r="B213" s="7">
        <f>(I213*'Optimal Choice'!$B$6+J213*'Optimal Choice'!$B$11+K213*'Optimal Choice'!$B$16+L213*'Optimal Choice'!$B$21+M213*'Optimal Choice'!$B$26)*'Optimal Choice'!$B$30</f>
        <v>66011.95</v>
      </c>
      <c r="C213" s="8">
        <f>(O213/$B213)+(O213/'Optimal Choice'!$B$6)</f>
        <v>806.04518487081145</v>
      </c>
      <c r="D213" s="8">
        <f>(P213/$B213)+(P213/'Optimal Choice'!$B$11)</f>
        <v>924.40922297681414</v>
      </c>
      <c r="E213" s="8">
        <f>(Q213/$B213)+(Q213/'Optimal Choice'!$B$16)</f>
        <v>895.89341483917542</v>
      </c>
      <c r="F213" s="8">
        <f>(R213/$B213)+(R213/'Optimal Choice'!$B$21)</f>
        <v>835.31084127607312</v>
      </c>
      <c r="G213" s="8">
        <f>(S213/$B213)+(S213/'Optimal Choice'!$B$26)</f>
        <v>842.7038127925091</v>
      </c>
      <c r="I213" s="11">
        <f t="shared" ref="I213:M213" si="211">IF(MIN($C212:$G212)=C212,I212+1,I212)</f>
        <v>85</v>
      </c>
      <c r="J213" s="11">
        <f t="shared" si="211"/>
        <v>40</v>
      </c>
      <c r="K213" s="11">
        <f t="shared" si="211"/>
        <v>35</v>
      </c>
      <c r="L213" s="11">
        <f t="shared" si="211"/>
        <v>28</v>
      </c>
      <c r="M213" s="11">
        <f t="shared" si="211"/>
        <v>24</v>
      </c>
      <c r="O213" s="10">
        <f>'Optimal Choice'!$B$7*'Optimal Choice'!$B$8^(I213+1)</f>
        <v>1346.0614054674279</v>
      </c>
      <c r="P213" s="10">
        <f>'Optimal Choice'!$B$12*'Optimal Choice'!$B$13^(J213+1)</f>
        <v>18482.584690194461</v>
      </c>
      <c r="Q213" s="10">
        <f>'Optimal Choice'!$B$17*'Optimal Choice'!$B$18^(K213+1)</f>
        <v>80520.62635841094</v>
      </c>
      <c r="R213" s="10">
        <f>'Optimal Choice'!$B$22*'Optimal Choice'!$B$23^(L213+1)</f>
        <v>299080.84809861192</v>
      </c>
      <c r="S213" s="10">
        <f>'Optimal Choice'!$B$27*'Optimal Choice'!$B$28^(M213+1)</f>
        <v>1762566.6776807162</v>
      </c>
    </row>
    <row r="214" spans="1:19" ht="15.75" customHeight="1">
      <c r="A214" s="8">
        <f t="shared" si="0"/>
        <v>9.283946856450294</v>
      </c>
      <c r="B214" s="7">
        <f>(I214*'Optimal Choice'!$B$6+J214*'Optimal Choice'!$B$11+K214*'Optimal Choice'!$B$16+L214*'Optimal Choice'!$B$21+M214*'Optimal Choice'!$B$26)*'Optimal Choice'!$B$30</f>
        <v>66013.62</v>
      </c>
      <c r="C214" s="8">
        <f>(O214/$B214)+(O214/'Optimal Choice'!$B$6)</f>
        <v>862.46834725980648</v>
      </c>
      <c r="D214" s="8">
        <f>(P214/$B214)+(P214/'Optimal Choice'!$B$11)</f>
        <v>924.40921589371908</v>
      </c>
      <c r="E214" s="8">
        <f>(Q214/$B214)+(Q214/'Optimal Choice'!$B$16)</f>
        <v>895.89338398119469</v>
      </c>
      <c r="F214" s="8">
        <f>(R214/$B214)+(R214/'Optimal Choice'!$B$21)</f>
        <v>835.31072665909244</v>
      </c>
      <c r="G214" s="8">
        <f>(S214/$B214)+(S214/'Optimal Choice'!$B$26)</f>
        <v>842.70313732274201</v>
      </c>
      <c r="I214" s="11">
        <f t="shared" ref="I214:M214" si="212">IF(MIN($C213:$G213)=C213,I213+1,I213)</f>
        <v>86</v>
      </c>
      <c r="J214" s="11">
        <f t="shared" si="212"/>
        <v>40</v>
      </c>
      <c r="K214" s="11">
        <f t="shared" si="212"/>
        <v>35</v>
      </c>
      <c r="L214" s="11">
        <f t="shared" si="212"/>
        <v>28</v>
      </c>
      <c r="M214" s="11">
        <f t="shared" si="212"/>
        <v>24</v>
      </c>
      <c r="O214" s="10">
        <f>'Optimal Choice'!$B$7*'Optimal Choice'!$B$8^(I214+1)</f>
        <v>1440.2857038501479</v>
      </c>
      <c r="P214" s="10">
        <f>'Optimal Choice'!$B$12*'Optimal Choice'!$B$13^(J214+1)</f>
        <v>18482.584690194461</v>
      </c>
      <c r="Q214" s="10">
        <f>'Optimal Choice'!$B$17*'Optimal Choice'!$B$18^(K214+1)</f>
        <v>80520.62635841094</v>
      </c>
      <c r="R214" s="10">
        <f>'Optimal Choice'!$B$22*'Optimal Choice'!$B$23^(L214+1)</f>
        <v>299080.84809861192</v>
      </c>
      <c r="S214" s="10">
        <f>'Optimal Choice'!$B$27*'Optimal Choice'!$B$28^(M214+1)</f>
        <v>1762566.6776807162</v>
      </c>
    </row>
    <row r="215" spans="1:19" ht="15.75" customHeight="1">
      <c r="A215" s="8">
        <f t="shared" si="0"/>
        <v>9.3594567406475786</v>
      </c>
      <c r="B215" s="7">
        <f>(I215*'Optimal Choice'!$B$6+J215*'Optimal Choice'!$B$11+K215*'Optimal Choice'!$B$16+L215*'Optimal Choice'!$B$21+M215*'Optimal Choice'!$B$26)*'Optimal Choice'!$B$30</f>
        <v>66373.62</v>
      </c>
      <c r="C215" s="8">
        <f>(O215/$B215)+(O215/'Optimal Choice'!$B$6)</f>
        <v>862.46822892238629</v>
      </c>
      <c r="D215" s="8">
        <f>(P215/$B215)+(P215/'Optimal Choice'!$B$11)</f>
        <v>924.40769731904686</v>
      </c>
      <c r="E215" s="8">
        <f>(Q215/$B215)+(Q215/'Optimal Choice'!$B$16)</f>
        <v>895.88676820824764</v>
      </c>
      <c r="F215" s="8">
        <f>(R215/$B215)+(R215/'Optimal Choice'!$B$21)</f>
        <v>943.87335338732839</v>
      </c>
      <c r="G215" s="8">
        <f>(S215/$B215)+(S215/'Optimal Choice'!$B$26)</f>
        <v>842.55832050411129</v>
      </c>
      <c r="I215" s="11">
        <f t="shared" ref="I215:M215" si="213">IF(MIN($C214:$G214)=C214,I214+1,I214)</f>
        <v>86</v>
      </c>
      <c r="J215" s="11">
        <f t="shared" si="213"/>
        <v>40</v>
      </c>
      <c r="K215" s="11">
        <f t="shared" si="213"/>
        <v>35</v>
      </c>
      <c r="L215" s="11">
        <f t="shared" si="213"/>
        <v>29</v>
      </c>
      <c r="M215" s="11">
        <f t="shared" si="213"/>
        <v>24</v>
      </c>
      <c r="O215" s="10">
        <f>'Optimal Choice'!$B$7*'Optimal Choice'!$B$8^(I215+1)</f>
        <v>1440.2857038501479</v>
      </c>
      <c r="P215" s="10">
        <f>'Optimal Choice'!$B$12*'Optimal Choice'!$B$13^(J215+1)</f>
        <v>18482.584690194461</v>
      </c>
      <c r="Q215" s="10">
        <f>'Optimal Choice'!$B$17*'Optimal Choice'!$B$18^(K215+1)</f>
        <v>80520.62635841094</v>
      </c>
      <c r="R215" s="10">
        <f>'Optimal Choice'!$B$22*'Optimal Choice'!$B$23^(L215+1)</f>
        <v>337961.35835143138</v>
      </c>
      <c r="S215" s="10">
        <f>'Optimal Choice'!$B$27*'Optimal Choice'!$B$28^(M215+1)</f>
        <v>1762566.6776807162</v>
      </c>
    </row>
    <row r="216" spans="1:19" ht="15.75" customHeight="1">
      <c r="A216" s="8">
        <f t="shared" si="0"/>
        <v>9.8020438904019329</v>
      </c>
      <c r="B216" s="7">
        <f>(I216*'Optimal Choice'!$B$6+J216*'Optimal Choice'!$B$11+K216*'Optimal Choice'!$B$16+L216*'Optimal Choice'!$B$21+M216*'Optimal Choice'!$B$26)*'Optimal Choice'!$B$30</f>
        <v>68533.62</v>
      </c>
      <c r="C216" s="8">
        <f>(O216/$B216)+(O216/'Optimal Choice'!$B$6)</f>
        <v>862.46754500566146</v>
      </c>
      <c r="D216" s="8">
        <f>(P216/$B216)+(P216/'Optimal Choice'!$B$11)</f>
        <v>924.39892090145588</v>
      </c>
      <c r="E216" s="8">
        <f>(Q216/$B216)+(Q216/'Optimal Choice'!$B$16)</f>
        <v>895.84853315327825</v>
      </c>
      <c r="F216" s="8">
        <f>(R216/$B216)+(R216/'Optimal Choice'!$B$21)</f>
        <v>943.71287312657398</v>
      </c>
      <c r="G216" s="8">
        <f>(S216/$B216)+(S216/'Optimal Choice'!$B$26)</f>
        <v>942.72793363516871</v>
      </c>
      <c r="I216" s="11">
        <f t="shared" ref="I216:M216" si="214">IF(MIN($C215:$G215)=C215,I215+1,I215)</f>
        <v>86</v>
      </c>
      <c r="J216" s="11">
        <f t="shared" si="214"/>
        <v>40</v>
      </c>
      <c r="K216" s="11">
        <f t="shared" si="214"/>
        <v>35</v>
      </c>
      <c r="L216" s="11">
        <f t="shared" si="214"/>
        <v>29</v>
      </c>
      <c r="M216" s="11">
        <f t="shared" si="214"/>
        <v>25</v>
      </c>
      <c r="O216" s="10">
        <f>'Optimal Choice'!$B$7*'Optimal Choice'!$B$8^(I216+1)</f>
        <v>1440.2857038501479</v>
      </c>
      <c r="P216" s="10">
        <f>'Optimal Choice'!$B$12*'Optimal Choice'!$B$13^(J216+1)</f>
        <v>18482.584690194461</v>
      </c>
      <c r="Q216" s="10">
        <f>'Optimal Choice'!$B$17*'Optimal Choice'!$B$18^(K216+1)</f>
        <v>80520.62635841094</v>
      </c>
      <c r="R216" s="10">
        <f>'Optimal Choice'!$B$22*'Optimal Choice'!$B$23^(L216+1)</f>
        <v>337961.35835143138</v>
      </c>
      <c r="S216" s="10">
        <f>'Optimal Choice'!$B$27*'Optimal Choice'!$B$28^(M216+1)</f>
        <v>1974074.6790024021</v>
      </c>
    </row>
    <row r="217" spans="1:19" ht="15.75" customHeight="1">
      <c r="A217" s="8">
        <f t="shared" si="0"/>
        <v>9.8023941529698639</v>
      </c>
      <c r="B217" s="7">
        <f>(I217*'Optimal Choice'!$B$6+J217*'Optimal Choice'!$B$11+K217*'Optimal Choice'!$B$16+L217*'Optimal Choice'!$B$21+M217*'Optimal Choice'!$B$26)*'Optimal Choice'!$B$30</f>
        <v>68535.290000000008</v>
      </c>
      <c r="C217" s="8">
        <f>(O217/$B217)+(O217/'Optimal Choice'!$B$6)</f>
        <v>922.84027260812047</v>
      </c>
      <c r="D217" s="8">
        <f>(P217/$B217)+(P217/'Optimal Choice'!$B$11)</f>
        <v>924.39891433000525</v>
      </c>
      <c r="E217" s="8">
        <f>(Q217/$B217)+(Q217/'Optimal Choice'!$B$16)</f>
        <v>895.84850452431056</v>
      </c>
      <c r="F217" s="8">
        <f>(R217/$B217)+(R217/'Optimal Choice'!$B$21)</f>
        <v>943.71275296500482</v>
      </c>
      <c r="G217" s="8">
        <f>(S217/$B217)+(S217/'Optimal Choice'!$B$26)</f>
        <v>942.72723175637316</v>
      </c>
      <c r="I217" s="11">
        <f t="shared" ref="I217:M217" si="215">IF(MIN($C216:$G216)=C216,I216+1,I216)</f>
        <v>87</v>
      </c>
      <c r="J217" s="11">
        <f t="shared" si="215"/>
        <v>40</v>
      </c>
      <c r="K217" s="11">
        <f t="shared" si="215"/>
        <v>35</v>
      </c>
      <c r="L217" s="11">
        <f t="shared" si="215"/>
        <v>29</v>
      </c>
      <c r="M217" s="11">
        <f t="shared" si="215"/>
        <v>25</v>
      </c>
      <c r="O217" s="10">
        <f>'Optimal Choice'!$B$7*'Optimal Choice'!$B$8^(I217+1)</f>
        <v>1541.1057031196583</v>
      </c>
      <c r="P217" s="10">
        <f>'Optimal Choice'!$B$12*'Optimal Choice'!$B$13^(J217+1)</f>
        <v>18482.584690194461</v>
      </c>
      <c r="Q217" s="10">
        <f>'Optimal Choice'!$B$17*'Optimal Choice'!$B$18^(K217+1)</f>
        <v>80520.62635841094</v>
      </c>
      <c r="R217" s="10">
        <f>'Optimal Choice'!$B$22*'Optimal Choice'!$B$23^(L217+1)</f>
        <v>337961.35835143138</v>
      </c>
      <c r="S217" s="10">
        <f>'Optimal Choice'!$B$27*'Optimal Choice'!$B$28^(M217+1)</f>
        <v>1974074.6790024021</v>
      </c>
    </row>
    <row r="218" spans="1:19" ht="15.75" customHeight="1">
      <c r="A218" s="8">
        <f t="shared" si="0"/>
        <v>9.8219754582989403</v>
      </c>
      <c r="B218" s="7">
        <f>(I218*'Optimal Choice'!$B$6+J218*'Optimal Choice'!$B$11+K218*'Optimal Choice'!$B$16+L218*'Optimal Choice'!$B$21+M218*'Optimal Choice'!$B$26)*'Optimal Choice'!$B$30</f>
        <v>68625.290000000008</v>
      </c>
      <c r="C218" s="8">
        <f>(O218/$B218)+(O218/'Optimal Choice'!$B$6)</f>
        <v>922.84024311800385</v>
      </c>
      <c r="D218" s="8">
        <f>(P218/$B218)+(P218/'Optimal Choice'!$B$11)</f>
        <v>924.39856065304707</v>
      </c>
      <c r="E218" s="8">
        <f>(Q218/$B218)+(Q218/'Optimal Choice'!$B$16)</f>
        <v>1021.2655386257472</v>
      </c>
      <c r="F218" s="8">
        <f>(R218/$B218)+(R218/'Optimal Choice'!$B$21)</f>
        <v>943.7062858421848</v>
      </c>
      <c r="G218" s="8">
        <f>(S218/$B218)+(S218/'Optimal Choice'!$B$26)</f>
        <v>942.68945648091756</v>
      </c>
      <c r="I218" s="11">
        <f t="shared" ref="I218:M218" si="216">IF(MIN($C217:$G217)=C217,I217+1,I217)</f>
        <v>87</v>
      </c>
      <c r="J218" s="11">
        <f t="shared" si="216"/>
        <v>40</v>
      </c>
      <c r="K218" s="11">
        <f t="shared" si="216"/>
        <v>36</v>
      </c>
      <c r="L218" s="11">
        <f t="shared" si="216"/>
        <v>29</v>
      </c>
      <c r="M218" s="11">
        <f t="shared" si="216"/>
        <v>25</v>
      </c>
      <c r="O218" s="10">
        <f>'Optimal Choice'!$B$7*'Optimal Choice'!$B$8^(I218+1)</f>
        <v>1541.1057031196583</v>
      </c>
      <c r="P218" s="10">
        <f>'Optimal Choice'!$B$12*'Optimal Choice'!$B$13^(J218+1)</f>
        <v>18482.584690194461</v>
      </c>
      <c r="Q218" s="10">
        <f>'Optimal Choice'!$B$17*'Optimal Choice'!$B$18^(K218+1)</f>
        <v>91793.514048588448</v>
      </c>
      <c r="R218" s="10">
        <f>'Optimal Choice'!$B$22*'Optimal Choice'!$B$23^(L218+1)</f>
        <v>337961.35835143138</v>
      </c>
      <c r="S218" s="10">
        <f>'Optimal Choice'!$B$27*'Optimal Choice'!$B$28^(M218+1)</f>
        <v>1974074.6790024021</v>
      </c>
    </row>
    <row r="219" spans="1:19" ht="15.75" customHeight="1">
      <c r="A219" s="8">
        <f t="shared" si="0"/>
        <v>9.8223497386123935</v>
      </c>
      <c r="B219" s="7">
        <f>(I219*'Optimal Choice'!$B$6+J219*'Optimal Choice'!$B$11+K219*'Optimal Choice'!$B$16+L219*'Optimal Choice'!$B$21+M219*'Optimal Choice'!$B$26)*'Optimal Choice'!$B$30</f>
        <v>68626.959999999992</v>
      </c>
      <c r="C219" s="8">
        <f>(O219/$B219)+(O219/'Optimal Choice'!$B$6)</f>
        <v>987.43905955153639</v>
      </c>
      <c r="D219" s="8">
        <f>(P219/$B219)+(P219/'Optimal Choice'!$B$11)</f>
        <v>924.39855409914082</v>
      </c>
      <c r="E219" s="8">
        <f>(Q219/$B219)+(Q219/'Optimal Choice'!$B$16)</f>
        <v>1021.2655060758582</v>
      </c>
      <c r="F219" s="8">
        <f>(R219/$B219)+(R219/'Optimal Choice'!$B$21)</f>
        <v>943.70616600142216</v>
      </c>
      <c r="G219" s="8">
        <f>(S219/$B219)+(S219/'Optimal Choice'!$B$26)</f>
        <v>942.68875647599316</v>
      </c>
      <c r="I219" s="11">
        <f t="shared" ref="I219:M219" si="217">IF(MIN($C218:$G218)=C218,I218+1,I218)</f>
        <v>88</v>
      </c>
      <c r="J219" s="11">
        <f t="shared" si="217"/>
        <v>40</v>
      </c>
      <c r="K219" s="11">
        <f t="shared" si="217"/>
        <v>36</v>
      </c>
      <c r="L219" s="11">
        <f t="shared" si="217"/>
        <v>29</v>
      </c>
      <c r="M219" s="11">
        <f t="shared" si="217"/>
        <v>25</v>
      </c>
      <c r="O219" s="10">
        <f>'Optimal Choice'!$B$7*'Optimal Choice'!$B$8^(I219+1)</f>
        <v>1648.9831023380345</v>
      </c>
      <c r="P219" s="10">
        <f>'Optimal Choice'!$B$12*'Optimal Choice'!$B$13^(J219+1)</f>
        <v>18482.584690194461</v>
      </c>
      <c r="Q219" s="10">
        <f>'Optimal Choice'!$B$17*'Optimal Choice'!$B$18^(K219+1)</f>
        <v>91793.514048588448</v>
      </c>
      <c r="R219" s="10">
        <f>'Optimal Choice'!$B$22*'Optimal Choice'!$B$23^(L219+1)</f>
        <v>337961.35835143138</v>
      </c>
      <c r="S219" s="10">
        <f>'Optimal Choice'!$B$27*'Optimal Choice'!$B$28^(M219+1)</f>
        <v>1974074.6790024021</v>
      </c>
    </row>
    <row r="220" spans="1:19" ht="15.75" customHeight="1">
      <c r="A220" s="8">
        <f t="shared" si="0"/>
        <v>9.8268383984360241</v>
      </c>
      <c r="B220" s="7">
        <f>(I220*'Optimal Choice'!$B$6+J220*'Optimal Choice'!$B$11+K220*'Optimal Choice'!$B$16+L220*'Optimal Choice'!$B$21+M220*'Optimal Choice'!$B$26)*'Optimal Choice'!$B$30</f>
        <v>68646.959999999992</v>
      </c>
      <c r="C220" s="8">
        <f>(O220/$B220)+(O220/'Optimal Choice'!$B$6)</f>
        <v>987.43905255101913</v>
      </c>
      <c r="D220" s="8">
        <f>(P220/$B220)+(P220/'Optimal Choice'!$B$11)</f>
        <v>1063.0582469791268</v>
      </c>
      <c r="E220" s="8">
        <f>(Q220/$B220)+(Q220/'Optimal Choice'!$B$16)</f>
        <v>1021.2651163798824</v>
      </c>
      <c r="F220" s="8">
        <f>(R220/$B220)+(R220/'Optimal Choice'!$B$21)</f>
        <v>943.70473123576744</v>
      </c>
      <c r="G220" s="8">
        <f>(S220/$B220)+(S220/'Optimal Choice'!$B$26)</f>
        <v>942.68037582986551</v>
      </c>
      <c r="I220" s="11">
        <f t="shared" ref="I220:M220" si="218">IF(MIN($C219:$G219)=C219,I219+1,I219)</f>
        <v>88</v>
      </c>
      <c r="J220" s="11">
        <f t="shared" si="218"/>
        <v>41</v>
      </c>
      <c r="K220" s="11">
        <f t="shared" si="218"/>
        <v>36</v>
      </c>
      <c r="L220" s="11">
        <f t="shared" si="218"/>
        <v>29</v>
      </c>
      <c r="M220" s="11">
        <f t="shared" si="218"/>
        <v>25</v>
      </c>
      <c r="O220" s="10">
        <f>'Optimal Choice'!$B$7*'Optimal Choice'!$B$8^(I220+1)</f>
        <v>1648.9831023380345</v>
      </c>
      <c r="P220" s="10">
        <f>'Optimal Choice'!$B$12*'Optimal Choice'!$B$13^(J220+1)</f>
        <v>21254.972393723627</v>
      </c>
      <c r="Q220" s="10">
        <f>'Optimal Choice'!$B$17*'Optimal Choice'!$B$18^(K220+1)</f>
        <v>91793.514048588448</v>
      </c>
      <c r="R220" s="10">
        <f>'Optimal Choice'!$B$22*'Optimal Choice'!$B$23^(L220+1)</f>
        <v>337961.35835143138</v>
      </c>
      <c r="S220" s="10">
        <f>'Optimal Choice'!$B$27*'Optimal Choice'!$B$28^(M220+1)</f>
        <v>1974074.6790024021</v>
      </c>
    </row>
    <row r="221" spans="1:19" ht="15.75" customHeight="1">
      <c r="A221" s="8">
        <f t="shared" si="0"/>
        <v>10.30612028724858</v>
      </c>
      <c r="B221" s="7">
        <f>(I221*'Optimal Choice'!$B$6+J221*'Optimal Choice'!$B$11+K221*'Optimal Choice'!$B$16+L221*'Optimal Choice'!$B$21+M221*'Optimal Choice'!$B$26)*'Optimal Choice'!$B$30</f>
        <v>70806.959999999992</v>
      </c>
      <c r="C221" s="8">
        <f>(O221/$B221)+(O221/'Optimal Choice'!$B$6)</f>
        <v>987.43831977255354</v>
      </c>
      <c r="D221" s="8">
        <f>(P221/$B221)+(P221/'Optimal Choice'!$B$11)</f>
        <v>1063.0488016512556</v>
      </c>
      <c r="E221" s="8">
        <f>(Q221/$B221)+(Q221/'Optimal Choice'!$B$16)</f>
        <v>1021.2243249913746</v>
      </c>
      <c r="F221" s="8">
        <f>(R221/$B221)+(R221/'Optimal Choice'!$B$21)</f>
        <v>943.55454727983056</v>
      </c>
      <c r="G221" s="8">
        <f>(S221/$B221)+(S221/'Optimal Choice'!$B$26)</f>
        <v>1054.8195084091421</v>
      </c>
      <c r="I221" s="11">
        <f t="shared" ref="I221:M221" si="219">IF(MIN($C220:$G220)=C220,I220+1,I220)</f>
        <v>88</v>
      </c>
      <c r="J221" s="11">
        <f t="shared" si="219"/>
        <v>41</v>
      </c>
      <c r="K221" s="11">
        <f t="shared" si="219"/>
        <v>36</v>
      </c>
      <c r="L221" s="11">
        <f t="shared" si="219"/>
        <v>29</v>
      </c>
      <c r="M221" s="11">
        <f t="shared" si="219"/>
        <v>26</v>
      </c>
      <c r="O221" s="10">
        <f>'Optimal Choice'!$B$7*'Optimal Choice'!$B$8^(I221+1)</f>
        <v>1648.9831023380345</v>
      </c>
      <c r="P221" s="10">
        <f>'Optimal Choice'!$B$12*'Optimal Choice'!$B$13^(J221+1)</f>
        <v>21254.972393723627</v>
      </c>
      <c r="Q221" s="10">
        <f>'Optimal Choice'!$B$17*'Optimal Choice'!$B$18^(K221+1)</f>
        <v>91793.514048588448</v>
      </c>
      <c r="R221" s="10">
        <f>'Optimal Choice'!$B$22*'Optimal Choice'!$B$23^(L221+1)</f>
        <v>337961.35835143138</v>
      </c>
      <c r="S221" s="10">
        <f>'Optimal Choice'!$B$27*'Optimal Choice'!$B$28^(M221+1)</f>
        <v>2210963.6404826911</v>
      </c>
    </row>
    <row r="222" spans="1:19" ht="15.75" customHeight="1">
      <c r="A222" s="8">
        <f t="shared" si="0"/>
        <v>10.38567022564245</v>
      </c>
      <c r="B222" s="7">
        <f>(I222*'Optimal Choice'!$B$6+J222*'Optimal Choice'!$B$11+K222*'Optimal Choice'!$B$16+L222*'Optimal Choice'!$B$21+M222*'Optimal Choice'!$B$26)*'Optimal Choice'!$B$30</f>
        <v>71166.959999999992</v>
      </c>
      <c r="C222" s="8">
        <f>(O222/$B222)+(O222/'Optimal Choice'!$B$6)</f>
        <v>987.43820196738568</v>
      </c>
      <c r="D222" s="8">
        <f>(P222/$B222)+(P222/'Optimal Choice'!$B$11)</f>
        <v>1063.0472831726324</v>
      </c>
      <c r="E222" s="8">
        <f>(Q222/$B222)+(Q222/'Optimal Choice'!$B$16)</f>
        <v>1021.2177671616944</v>
      </c>
      <c r="F222" s="8">
        <f>(R222/$B222)+(R222/'Optimal Choice'!$B$21)</f>
        <v>1066.1893553316893</v>
      </c>
      <c r="G222" s="8">
        <f>(S222/$B222)+(S222/'Optimal Choice'!$B$26)</f>
        <v>1054.6615547330705</v>
      </c>
      <c r="I222" s="11">
        <f t="shared" ref="I222:M222" si="220">IF(MIN($C221:$G221)=C221,I221+1,I221)</f>
        <v>88</v>
      </c>
      <c r="J222" s="11">
        <f t="shared" si="220"/>
        <v>41</v>
      </c>
      <c r="K222" s="11">
        <f t="shared" si="220"/>
        <v>36</v>
      </c>
      <c r="L222" s="11">
        <f t="shared" si="220"/>
        <v>30</v>
      </c>
      <c r="M222" s="11">
        <f t="shared" si="220"/>
        <v>26</v>
      </c>
      <c r="O222" s="10">
        <f>'Optimal Choice'!$B$7*'Optimal Choice'!$B$8^(I222+1)</f>
        <v>1648.9831023380345</v>
      </c>
      <c r="P222" s="10">
        <f>'Optimal Choice'!$B$12*'Optimal Choice'!$B$13^(J222+1)</f>
        <v>21254.972393723627</v>
      </c>
      <c r="Q222" s="10">
        <f>'Optimal Choice'!$B$17*'Optimal Choice'!$B$18^(K222+1)</f>
        <v>91793.514048588448</v>
      </c>
      <c r="R222" s="10">
        <f>'Optimal Choice'!$B$22*'Optimal Choice'!$B$23^(L222+1)</f>
        <v>381896.33493711747</v>
      </c>
      <c r="S222" s="10">
        <f>'Optimal Choice'!$B$27*'Optimal Choice'!$B$28^(M222+1)</f>
        <v>2210963.6404826911</v>
      </c>
    </row>
    <row r="223" spans="1:19" ht="15.75" customHeight="1">
      <c r="A223" s="8">
        <f t="shared" si="0"/>
        <v>10.386056402763204</v>
      </c>
      <c r="B223" s="7">
        <f>(I223*'Optimal Choice'!$B$6+J223*'Optimal Choice'!$B$11+K223*'Optimal Choice'!$B$16+L223*'Optimal Choice'!$B$21+M223*'Optimal Choice'!$B$26)*'Optimal Choice'!$B$30</f>
        <v>71168.63</v>
      </c>
      <c r="C223" s="8">
        <f>(O223/$B223)+(O223/'Optimal Choice'!$B$6)</f>
        <v>1056.5588755233352</v>
      </c>
      <c r="D223" s="8">
        <f>(P223/$B223)+(P223/'Optimal Choice'!$B$11)</f>
        <v>1063.0472761643759</v>
      </c>
      <c r="E223" s="8">
        <f>(Q223/$B223)+(Q223/'Optimal Choice'!$B$16)</f>
        <v>1021.217736895247</v>
      </c>
      <c r="F223" s="8">
        <f>(R223/$B223)+(R223/'Optimal Choice'!$B$21)</f>
        <v>1066.1892294116237</v>
      </c>
      <c r="G223" s="8">
        <f>(S223/$B223)+(S223/'Optimal Choice'!$B$26)</f>
        <v>1054.6608257271569</v>
      </c>
      <c r="I223" s="11">
        <f t="shared" ref="I223:M223" si="221">IF(MIN($C222:$G222)=C222,I222+1,I222)</f>
        <v>89</v>
      </c>
      <c r="J223" s="11">
        <f t="shared" si="221"/>
        <v>41</v>
      </c>
      <c r="K223" s="11">
        <f t="shared" si="221"/>
        <v>36</v>
      </c>
      <c r="L223" s="11">
        <f t="shared" si="221"/>
        <v>30</v>
      </c>
      <c r="M223" s="11">
        <f t="shared" si="221"/>
        <v>26</v>
      </c>
      <c r="O223" s="10">
        <f>'Optimal Choice'!$B$7*'Optimal Choice'!$B$8^(I223+1)</f>
        <v>1764.4119195016967</v>
      </c>
      <c r="P223" s="10">
        <f>'Optimal Choice'!$B$12*'Optimal Choice'!$B$13^(J223+1)</f>
        <v>21254.972393723627</v>
      </c>
      <c r="Q223" s="10">
        <f>'Optimal Choice'!$B$17*'Optimal Choice'!$B$18^(K223+1)</f>
        <v>91793.514048588448</v>
      </c>
      <c r="R223" s="10">
        <f>'Optimal Choice'!$B$22*'Optimal Choice'!$B$23^(L223+1)</f>
        <v>381896.33493711747</v>
      </c>
      <c r="S223" s="10">
        <f>'Optimal Choice'!$B$27*'Optimal Choice'!$B$28^(M223+1)</f>
        <v>2210963.6404826911</v>
      </c>
    </row>
    <row r="224" spans="1:19" ht="15.75" customHeight="1">
      <c r="A224" s="8">
        <f t="shared" si="0"/>
        <v>10.407553119797237</v>
      </c>
      <c r="B224" s="7">
        <f>(I224*'Optimal Choice'!$B$6+J224*'Optimal Choice'!$B$11+K224*'Optimal Choice'!$B$16+L224*'Optimal Choice'!$B$21+M224*'Optimal Choice'!$B$26)*'Optimal Choice'!$B$30</f>
        <v>71258.63</v>
      </c>
      <c r="C224" s="8">
        <f>(O224/$B224)+(O224/'Optimal Choice'!$B$6)</f>
        <v>1056.5588442109308</v>
      </c>
      <c r="D224" s="8">
        <f>(P224/$B224)+(P224/'Optimal Choice'!$B$11)</f>
        <v>1063.0468989597757</v>
      </c>
      <c r="E224" s="8">
        <f>(Q224/$B224)+(Q224/'Optimal Choice'!$B$16)</f>
        <v>1164.1863629691659</v>
      </c>
      <c r="F224" s="8">
        <f>(R224/$B224)+(R224/'Optimal Choice'!$B$21)</f>
        <v>1066.1824520302348</v>
      </c>
      <c r="G224" s="8">
        <f>(S224/$B224)+(S224/'Optimal Choice'!$B$26)</f>
        <v>1054.6215885246547</v>
      </c>
      <c r="I224" s="11">
        <f t="shared" ref="I224:M224" si="222">IF(MIN($C223:$G223)=C223,I223+1,I223)</f>
        <v>89</v>
      </c>
      <c r="J224" s="11">
        <f t="shared" si="222"/>
        <v>41</v>
      </c>
      <c r="K224" s="11">
        <f t="shared" si="222"/>
        <v>37</v>
      </c>
      <c r="L224" s="11">
        <f t="shared" si="222"/>
        <v>30</v>
      </c>
      <c r="M224" s="11">
        <f t="shared" si="222"/>
        <v>26</v>
      </c>
      <c r="O224" s="10">
        <f>'Optimal Choice'!$B$7*'Optimal Choice'!$B$8^(I224+1)</f>
        <v>1764.4119195016967</v>
      </c>
      <c r="P224" s="10">
        <f>'Optimal Choice'!$B$12*'Optimal Choice'!$B$13^(J224+1)</f>
        <v>21254.972393723627</v>
      </c>
      <c r="Q224" s="10">
        <f>'Optimal Choice'!$B$17*'Optimal Choice'!$B$18^(K224+1)</f>
        <v>104644.60601539083</v>
      </c>
      <c r="R224" s="10">
        <f>'Optimal Choice'!$B$22*'Optimal Choice'!$B$23^(L224+1)</f>
        <v>381896.33493711747</v>
      </c>
      <c r="S224" s="10">
        <f>'Optimal Choice'!$B$27*'Optimal Choice'!$B$28^(M224+1)</f>
        <v>2210963.6404826911</v>
      </c>
    </row>
    <row r="225" spans="1:19" ht="15.75" customHeight="1">
      <c r="A225" s="8">
        <f t="shared" si="0"/>
        <v>10.92467496185405</v>
      </c>
      <c r="B225" s="7">
        <f>(I225*'Optimal Choice'!$B$6+J225*'Optimal Choice'!$B$11+K225*'Optimal Choice'!$B$16+L225*'Optimal Choice'!$B$21+M225*'Optimal Choice'!$B$26)*'Optimal Choice'!$B$30</f>
        <v>73418.63</v>
      </c>
      <c r="C225" s="8">
        <f>(O225/$B225)+(O225/'Optimal Choice'!$B$6)</f>
        <v>1056.5581157437518</v>
      </c>
      <c r="D225" s="8">
        <f>(P225/$B225)+(P225/'Optimal Choice'!$B$11)</f>
        <v>1063.0381234864255</v>
      </c>
      <c r="E225" s="8">
        <f>(Q225/$B225)+(Q225/'Optimal Choice'!$B$16)</f>
        <v>1164.1431586810443</v>
      </c>
      <c r="F225" s="8">
        <f>(R225/$B225)+(R225/'Optimal Choice'!$B$21)</f>
        <v>1066.0247796960791</v>
      </c>
      <c r="G225" s="8">
        <f>(S225/$B225)+(S225/'Optimal Choice'!$B$26)</f>
        <v>1180.1538055400119</v>
      </c>
      <c r="I225" s="11">
        <f t="shared" ref="I225:M225" si="223">IF(MIN($C224:$G224)=C224,I224+1,I224)</f>
        <v>89</v>
      </c>
      <c r="J225" s="11">
        <f t="shared" si="223"/>
        <v>41</v>
      </c>
      <c r="K225" s="11">
        <f t="shared" si="223"/>
        <v>37</v>
      </c>
      <c r="L225" s="11">
        <f t="shared" si="223"/>
        <v>30</v>
      </c>
      <c r="M225" s="11">
        <f t="shared" si="223"/>
        <v>27</v>
      </c>
      <c r="O225" s="10">
        <f>'Optimal Choice'!$B$7*'Optimal Choice'!$B$8^(I225+1)</f>
        <v>1764.4119195016967</v>
      </c>
      <c r="P225" s="10">
        <f>'Optimal Choice'!$B$12*'Optimal Choice'!$B$13^(J225+1)</f>
        <v>21254.972393723627</v>
      </c>
      <c r="Q225" s="10">
        <f>'Optimal Choice'!$B$17*'Optimal Choice'!$B$18^(K225+1)</f>
        <v>104644.60601539083</v>
      </c>
      <c r="R225" s="10">
        <f>'Optimal Choice'!$B$22*'Optimal Choice'!$B$23^(L225+1)</f>
        <v>381896.33493711747</v>
      </c>
      <c r="S225" s="10">
        <f>'Optimal Choice'!$B$27*'Optimal Choice'!$B$28^(M225+1)</f>
        <v>2476279.2773406138</v>
      </c>
    </row>
    <row r="226" spans="1:19" ht="15.75" customHeight="1">
      <c r="A226" s="8">
        <f t="shared" si="0"/>
        <v>10.925075498684075</v>
      </c>
      <c r="B226" s="7">
        <f>(I226*'Optimal Choice'!$B$6+J226*'Optimal Choice'!$B$11+K226*'Optimal Choice'!$B$16+L226*'Optimal Choice'!$B$21+M226*'Optimal Choice'!$B$26)*'Optimal Choice'!$B$30</f>
        <v>73420.3</v>
      </c>
      <c r="C226" s="8">
        <f>(O226/$B226)+(O226/'Optimal Choice'!$B$6)</f>
        <v>1130.5171832609196</v>
      </c>
      <c r="D226" s="8">
        <f>(P226/$B226)+(P226/'Optimal Choice'!$B$11)</f>
        <v>1063.0381169014438</v>
      </c>
      <c r="E226" s="8">
        <f>(Q226/$B226)+(Q226/'Optimal Choice'!$B$16)</f>
        <v>1164.1431262612027</v>
      </c>
      <c r="F226" s="8">
        <f>(R226/$B226)+(R226/'Optimal Choice'!$B$21)</f>
        <v>1066.0246613811548</v>
      </c>
      <c r="G226" s="8">
        <f>(S226/$B226)+(S226/'Optimal Choice'!$B$26)</f>
        <v>1180.1530383663871</v>
      </c>
      <c r="I226" s="11">
        <f t="shared" ref="I226:M226" si="224">IF(MIN($C225:$G225)=C225,I225+1,I225)</f>
        <v>90</v>
      </c>
      <c r="J226" s="11">
        <f t="shared" si="224"/>
        <v>41</v>
      </c>
      <c r="K226" s="11">
        <f t="shared" si="224"/>
        <v>37</v>
      </c>
      <c r="L226" s="11">
        <f t="shared" si="224"/>
        <v>30</v>
      </c>
      <c r="M226" s="11">
        <f t="shared" si="224"/>
        <v>27</v>
      </c>
      <c r="O226" s="10">
        <f>'Optimal Choice'!$B$7*'Optimal Choice'!$B$8^(I226+1)</f>
        <v>1887.9207538668159</v>
      </c>
      <c r="P226" s="10">
        <f>'Optimal Choice'!$B$12*'Optimal Choice'!$B$13^(J226+1)</f>
        <v>21254.972393723627</v>
      </c>
      <c r="Q226" s="10">
        <f>'Optimal Choice'!$B$17*'Optimal Choice'!$B$18^(K226+1)</f>
        <v>104644.60601539083</v>
      </c>
      <c r="R226" s="10">
        <f>'Optimal Choice'!$B$22*'Optimal Choice'!$B$23^(L226+1)</f>
        <v>381896.33493711747</v>
      </c>
      <c r="S226" s="10">
        <f>'Optimal Choice'!$B$27*'Optimal Choice'!$B$28^(M226+1)</f>
        <v>2476279.2773406138</v>
      </c>
    </row>
    <row r="227" spans="1:19" ht="15.75" customHeight="1">
      <c r="A227" s="8">
        <f t="shared" si="0"/>
        <v>10.929900452271781</v>
      </c>
      <c r="B227" s="7">
        <f>(I227*'Optimal Choice'!$B$6+J227*'Optimal Choice'!$B$11+K227*'Optimal Choice'!$B$16+L227*'Optimal Choice'!$B$21+M227*'Optimal Choice'!$B$26)*'Optimal Choice'!$B$30</f>
        <v>73440.3</v>
      </c>
      <c r="C227" s="8">
        <f>(O227/$B227)+(O227/'Optimal Choice'!$B$6)</f>
        <v>1130.5171762582577</v>
      </c>
      <c r="D227" s="8">
        <f>(P227/$B227)+(P227/'Optimal Choice'!$B$11)</f>
        <v>1222.493743772053</v>
      </c>
      <c r="E227" s="8">
        <f>(Q227/$B227)+(Q227/'Optimal Choice'!$B$16)</f>
        <v>1164.1427381141921</v>
      </c>
      <c r="F227" s="8">
        <f>(R227/$B227)+(R227/'Optimal Choice'!$B$21)</f>
        <v>1066.0232448540496</v>
      </c>
      <c r="G227" s="8">
        <f>(S227/$B227)+(S227/'Optimal Choice'!$B$26)</f>
        <v>1180.1438533693201</v>
      </c>
      <c r="I227" s="11">
        <f t="shared" ref="I227:M227" si="225">IF(MIN($C226:$G226)=C226,I226+1,I226)</f>
        <v>90</v>
      </c>
      <c r="J227" s="11">
        <f t="shared" si="225"/>
        <v>42</v>
      </c>
      <c r="K227" s="11">
        <f t="shared" si="225"/>
        <v>37</v>
      </c>
      <c r="L227" s="11">
        <f t="shared" si="225"/>
        <v>30</v>
      </c>
      <c r="M227" s="11">
        <f t="shared" si="225"/>
        <v>27</v>
      </c>
      <c r="O227" s="10">
        <f>'Optimal Choice'!$B$7*'Optimal Choice'!$B$8^(I227+1)</f>
        <v>1887.9207538668159</v>
      </c>
      <c r="P227" s="10">
        <f>'Optimal Choice'!$B$12*'Optimal Choice'!$B$13^(J227+1)</f>
        <v>24443.218252782171</v>
      </c>
      <c r="Q227" s="10">
        <f>'Optimal Choice'!$B$17*'Optimal Choice'!$B$18^(K227+1)</f>
        <v>104644.60601539083</v>
      </c>
      <c r="R227" s="10">
        <f>'Optimal Choice'!$B$22*'Optimal Choice'!$B$23^(L227+1)</f>
        <v>381896.33493711747</v>
      </c>
      <c r="S227" s="10">
        <f>'Optimal Choice'!$B$27*'Optimal Choice'!$B$28^(M227+1)</f>
        <v>2476279.2773406138</v>
      </c>
    </row>
    <row r="228" spans="1:19" ht="15.75" customHeight="1">
      <c r="A228" s="8">
        <f t="shared" si="0"/>
        <v>11.016568656454208</v>
      </c>
      <c r="B228" s="7">
        <f>(I228*'Optimal Choice'!$B$6+J228*'Optimal Choice'!$B$11+K228*'Optimal Choice'!$B$16+L228*'Optimal Choice'!$B$21+M228*'Optimal Choice'!$B$26)*'Optimal Choice'!$B$30</f>
        <v>73800.3</v>
      </c>
      <c r="C228" s="8">
        <f>(O228/$B228)+(O228/'Optimal Choice'!$B$6)</f>
        <v>1130.5170508593678</v>
      </c>
      <c r="D228" s="8">
        <f>(P228/$B228)+(P228/'Optimal Choice'!$B$11)</f>
        <v>1222.4921202121507</v>
      </c>
      <c r="E228" s="8">
        <f>(Q228/$B228)+(Q228/'Optimal Choice'!$B$16)</f>
        <v>1164.135787442453</v>
      </c>
      <c r="F228" s="8">
        <f>(R228/$B228)+(R228/'Optimal Choice'!$B$21)</f>
        <v>1204.5776028784562</v>
      </c>
      <c r="G228" s="8">
        <f>(S228/$B228)+(S228/'Optimal Choice'!$B$26)</f>
        <v>1179.9793747110646</v>
      </c>
      <c r="I228" s="11">
        <f t="shared" ref="I228:M228" si="226">IF(MIN($C227:$G227)=C227,I227+1,I227)</f>
        <v>90</v>
      </c>
      <c r="J228" s="11">
        <f t="shared" si="226"/>
        <v>42</v>
      </c>
      <c r="K228" s="11">
        <f t="shared" si="226"/>
        <v>37</v>
      </c>
      <c r="L228" s="11">
        <f t="shared" si="226"/>
        <v>31</v>
      </c>
      <c r="M228" s="11">
        <f t="shared" si="226"/>
        <v>27</v>
      </c>
      <c r="O228" s="10">
        <f>'Optimal Choice'!$B$7*'Optimal Choice'!$B$8^(I228+1)</f>
        <v>1887.9207538668159</v>
      </c>
      <c r="P228" s="10">
        <f>'Optimal Choice'!$B$12*'Optimal Choice'!$B$13^(J228+1)</f>
        <v>24443.218252782171</v>
      </c>
      <c r="Q228" s="10">
        <f>'Optimal Choice'!$B$17*'Optimal Choice'!$B$18^(K228+1)</f>
        <v>104644.60601539083</v>
      </c>
      <c r="R228" s="10">
        <f>'Optimal Choice'!$B$22*'Optimal Choice'!$B$23^(L228+1)</f>
        <v>431542.85847894271</v>
      </c>
      <c r="S228" s="10">
        <f>'Optimal Choice'!$B$27*'Optimal Choice'!$B$28^(M228+1)</f>
        <v>2476279.2773406138</v>
      </c>
    </row>
    <row r="229" spans="1:19" ht="15.75" customHeight="1">
      <c r="A229" s="8">
        <f t="shared" si="0"/>
        <v>11.016995014421557</v>
      </c>
      <c r="B229" s="7">
        <f>(I229*'Optimal Choice'!$B$6+J229*'Optimal Choice'!$B$11+K229*'Optimal Choice'!$B$16+L229*'Optimal Choice'!$B$21+M229*'Optimal Choice'!$B$26)*'Optimal Choice'!$B$30</f>
        <v>73801.97</v>
      </c>
      <c r="C229" s="8">
        <f>(O229/$B229)+(O229/'Optimal Choice'!$B$6)</f>
        <v>1209.6532438001423</v>
      </c>
      <c r="D229" s="8">
        <f>(P229/$B229)+(P229/'Optimal Choice'!$B$11)</f>
        <v>1222.4921127175453</v>
      </c>
      <c r="E229" s="8">
        <f>(Q229/$B229)+(Q229/'Optimal Choice'!$B$16)</f>
        <v>1164.1357553570692</v>
      </c>
      <c r="F229" s="8">
        <f>(R229/$B229)+(R229/'Optimal Choice'!$B$21)</f>
        <v>1204.5774705618589</v>
      </c>
      <c r="G229" s="8">
        <f>(S229/$B229)+(S229/'Optimal Choice'!$B$26)</f>
        <v>1179.9786154519529</v>
      </c>
      <c r="I229" s="11">
        <f t="shared" ref="I229:M229" si="227">IF(MIN($C228:$G228)=C228,I228+1,I228)</f>
        <v>91</v>
      </c>
      <c r="J229" s="11">
        <f t="shared" si="227"/>
        <v>42</v>
      </c>
      <c r="K229" s="11">
        <f t="shared" si="227"/>
        <v>37</v>
      </c>
      <c r="L229" s="11">
        <f t="shared" si="227"/>
        <v>31</v>
      </c>
      <c r="M229" s="11">
        <f t="shared" si="227"/>
        <v>27</v>
      </c>
      <c r="O229" s="10">
        <f>'Optimal Choice'!$B$7*'Optimal Choice'!$B$8^(I229+1)</f>
        <v>2020.0752066374926</v>
      </c>
      <c r="P229" s="10">
        <f>'Optimal Choice'!$B$12*'Optimal Choice'!$B$13^(J229+1)</f>
        <v>24443.218252782171</v>
      </c>
      <c r="Q229" s="10">
        <f>'Optimal Choice'!$B$17*'Optimal Choice'!$B$18^(K229+1)</f>
        <v>104644.60601539083</v>
      </c>
      <c r="R229" s="10">
        <f>'Optimal Choice'!$B$22*'Optimal Choice'!$B$23^(L229+1)</f>
        <v>431542.85847894271</v>
      </c>
      <c r="S229" s="10">
        <f>'Optimal Choice'!$B$27*'Optimal Choice'!$B$28^(M229+1)</f>
        <v>2476279.2773406138</v>
      </c>
    </row>
    <row r="230" spans="1:19" ht="15.75" customHeight="1">
      <c r="A230" s="8">
        <f t="shared" si="0"/>
        <v>11.04062686011515</v>
      </c>
      <c r="B230" s="7">
        <f>(I230*'Optimal Choice'!$B$6+J230*'Optimal Choice'!$B$11+K230*'Optimal Choice'!$B$16+L230*'Optimal Choice'!$B$21+M230*'Optimal Choice'!$B$26)*'Optimal Choice'!$B$30</f>
        <v>73891.97</v>
      </c>
      <c r="C230" s="8">
        <f>(O230/$B230)+(O230/'Optimal Choice'!$B$6)</f>
        <v>1209.6532104617352</v>
      </c>
      <c r="D230" s="8">
        <f>(P230/$B230)+(P230/'Optimal Choice'!$B$11)</f>
        <v>1222.4917093177298</v>
      </c>
      <c r="E230" s="8">
        <f>(Q230/$B230)+(Q230/'Optimal Choice'!$B$16)</f>
        <v>1327.1127923188117</v>
      </c>
      <c r="F230" s="8">
        <f>(R230/$B230)+(R230/'Optimal Choice'!$B$21)</f>
        <v>1204.5703485737617</v>
      </c>
      <c r="G230" s="8">
        <f>(S230/$B230)+(S230/'Optimal Choice'!$B$26)</f>
        <v>1179.9377480590799</v>
      </c>
      <c r="I230" s="11">
        <f t="shared" ref="I230:M230" si="228">IF(MIN($C229:$G229)=C229,I229+1,I229)</f>
        <v>91</v>
      </c>
      <c r="J230" s="11">
        <f t="shared" si="228"/>
        <v>42</v>
      </c>
      <c r="K230" s="11">
        <f t="shared" si="228"/>
        <v>38</v>
      </c>
      <c r="L230" s="11">
        <f t="shared" si="228"/>
        <v>31</v>
      </c>
      <c r="M230" s="11">
        <f t="shared" si="228"/>
        <v>27</v>
      </c>
      <c r="O230" s="10">
        <f>'Optimal Choice'!$B$7*'Optimal Choice'!$B$8^(I230+1)</f>
        <v>2020.0752066374926</v>
      </c>
      <c r="P230" s="10">
        <f>'Optimal Choice'!$B$12*'Optimal Choice'!$B$13^(J230+1)</f>
        <v>24443.218252782171</v>
      </c>
      <c r="Q230" s="10">
        <f>'Optimal Choice'!$B$17*'Optimal Choice'!$B$18^(K230+1)</f>
        <v>119294.85085754552</v>
      </c>
      <c r="R230" s="10">
        <f>'Optimal Choice'!$B$22*'Optimal Choice'!$B$23^(L230+1)</f>
        <v>431542.85847894271</v>
      </c>
      <c r="S230" s="10">
        <f>'Optimal Choice'!$B$27*'Optimal Choice'!$B$28^(M230+1)</f>
        <v>2476279.2773406138</v>
      </c>
    </row>
    <row r="231" spans="1:19" ht="15.75" customHeight="1">
      <c r="A231" s="8">
        <f t="shared" si="0"/>
        <v>11.599162805076562</v>
      </c>
      <c r="B231" s="7">
        <f>(I231*'Optimal Choice'!$B$6+J231*'Optimal Choice'!$B$11+K231*'Optimal Choice'!$B$16+L231*'Optimal Choice'!$B$21+M231*'Optimal Choice'!$B$26)*'Optimal Choice'!$B$30</f>
        <v>76051.97</v>
      </c>
      <c r="C231" s="8">
        <f>(O231/$B231)+(O231/'Optimal Choice'!$B$6)</f>
        <v>1209.6524340115889</v>
      </c>
      <c r="D231" s="8">
        <f>(P231/$B231)+(P231/'Optimal Choice'!$B$11)</f>
        <v>1222.4823141524787</v>
      </c>
      <c r="E231" s="8">
        <f>(Q231/$B231)+(Q231/'Optimal Choice'!$B$16)</f>
        <v>1327.0669393208218</v>
      </c>
      <c r="F231" s="8">
        <f>(R231/$B231)+(R231/'Optimal Choice'!$B$21)</f>
        <v>1204.4044777613992</v>
      </c>
      <c r="G231" s="8">
        <f>(S231/$B231)+(S231/'Optimal Choice'!$B$26)</f>
        <v>1320.4642619230572</v>
      </c>
      <c r="I231" s="11">
        <f t="shared" ref="I231:M231" si="229">IF(MIN($C230:$G230)=C230,I230+1,I230)</f>
        <v>91</v>
      </c>
      <c r="J231" s="11">
        <f t="shared" si="229"/>
        <v>42</v>
      </c>
      <c r="K231" s="11">
        <f t="shared" si="229"/>
        <v>38</v>
      </c>
      <c r="L231" s="11">
        <f t="shared" si="229"/>
        <v>31</v>
      </c>
      <c r="M231" s="11">
        <f t="shared" si="229"/>
        <v>28</v>
      </c>
      <c r="O231" s="10">
        <f>'Optimal Choice'!$B$7*'Optimal Choice'!$B$8^(I231+1)</f>
        <v>2020.0752066374926</v>
      </c>
      <c r="P231" s="10">
        <f>'Optimal Choice'!$B$12*'Optimal Choice'!$B$13^(J231+1)</f>
        <v>24443.218252782171</v>
      </c>
      <c r="Q231" s="10">
        <f>'Optimal Choice'!$B$17*'Optimal Choice'!$B$18^(K231+1)</f>
        <v>119294.85085754552</v>
      </c>
      <c r="R231" s="10">
        <f>'Optimal Choice'!$B$22*'Optimal Choice'!$B$23^(L231+1)</f>
        <v>431542.85847894271</v>
      </c>
      <c r="S231" s="10">
        <f>'Optimal Choice'!$B$27*'Optimal Choice'!$B$28^(M231+1)</f>
        <v>2773432.7906214879</v>
      </c>
    </row>
    <row r="232" spans="1:19" ht="15.75" customHeight="1">
      <c r="A232" s="8">
        <f t="shared" si="0"/>
        <v>11.693734727074757</v>
      </c>
      <c r="B232" s="7">
        <f>(I232*'Optimal Choice'!$B$6+J232*'Optimal Choice'!$B$11+K232*'Optimal Choice'!$B$16+L232*'Optimal Choice'!$B$21+M232*'Optimal Choice'!$B$26)*'Optimal Choice'!$B$30</f>
        <v>76411.97</v>
      </c>
      <c r="C232" s="8">
        <f>(O232/$B232)+(O232/'Optimal Choice'!$B$6)</f>
        <v>1209.6523088710057</v>
      </c>
      <c r="D232" s="8">
        <f>(P232/$B232)+(P232/'Optimal Choice'!$B$11)</f>
        <v>1222.4807999323268</v>
      </c>
      <c r="E232" s="8">
        <f>(Q232/$B232)+(Q232/'Optimal Choice'!$B$16)</f>
        <v>1327.0595491864578</v>
      </c>
      <c r="F232" s="8">
        <f>(R232/$B232)+(R232/'Optimal Choice'!$B$21)</f>
        <v>1360.9468511024072</v>
      </c>
      <c r="G232" s="8">
        <f>(S232/$B232)+(S232/'Optimal Choice'!$B$26)</f>
        <v>1320.2924519847008</v>
      </c>
      <c r="I232" s="11">
        <f t="shared" ref="I232:M232" si="230">IF(MIN($C231:$G231)=C231,I231+1,I231)</f>
        <v>91</v>
      </c>
      <c r="J232" s="11">
        <f t="shared" si="230"/>
        <v>42</v>
      </c>
      <c r="K232" s="11">
        <f t="shared" si="230"/>
        <v>38</v>
      </c>
      <c r="L232" s="11">
        <f t="shared" si="230"/>
        <v>32</v>
      </c>
      <c r="M232" s="11">
        <f t="shared" si="230"/>
        <v>28</v>
      </c>
      <c r="O232" s="10">
        <f>'Optimal Choice'!$B$7*'Optimal Choice'!$B$8^(I232+1)</f>
        <v>2020.0752066374926</v>
      </c>
      <c r="P232" s="10">
        <f>'Optimal Choice'!$B$12*'Optimal Choice'!$B$13^(J232+1)</f>
        <v>24443.218252782171</v>
      </c>
      <c r="Q232" s="10">
        <f>'Optimal Choice'!$B$17*'Optimal Choice'!$B$18^(K232+1)</f>
        <v>119294.85085754552</v>
      </c>
      <c r="R232" s="10">
        <f>'Optimal Choice'!$B$22*'Optimal Choice'!$B$23^(L232+1)</f>
        <v>487643.43008120515</v>
      </c>
      <c r="S232" s="10">
        <f>'Optimal Choice'!$B$27*'Optimal Choice'!$B$28^(M232+1)</f>
        <v>2773432.7906214879</v>
      </c>
    </row>
    <row r="233" spans="1:19" ht="15.75" customHeight="1">
      <c r="A233" s="8">
        <f t="shared" si="0"/>
        <v>11.694175337624525</v>
      </c>
      <c r="B233" s="7">
        <f>(I233*'Optimal Choice'!$B$6+J233*'Optimal Choice'!$B$11+K233*'Optimal Choice'!$B$16+L233*'Optimal Choice'!$B$21+M233*'Optimal Choice'!$B$26)*'Optimal Choice'!$B$30</f>
        <v>76413.64</v>
      </c>
      <c r="C233" s="8">
        <f>(O233/$B233)+(O233/'Optimal Choice'!$B$6)</f>
        <v>1294.3279698737667</v>
      </c>
      <c r="D233" s="8">
        <f>(P233/$B233)+(P233/'Optimal Choice'!$B$11)</f>
        <v>1222.4807929412743</v>
      </c>
      <c r="E233" s="8">
        <f>(Q233/$B233)+(Q233/'Optimal Choice'!$B$16)</f>
        <v>1327.0595150667043</v>
      </c>
      <c r="F233" s="8">
        <f>(R233/$B233)+(R233/'Optimal Choice'!$B$21)</f>
        <v>1360.9467116305564</v>
      </c>
      <c r="G233" s="8">
        <f>(S233/$B233)+(S233/'Optimal Choice'!$B$26)</f>
        <v>1320.2916587497662</v>
      </c>
      <c r="I233" s="11">
        <f t="shared" ref="I233:M233" si="231">IF(MIN($C232:$G232)=C232,I232+1,I232)</f>
        <v>92</v>
      </c>
      <c r="J233" s="11">
        <f t="shared" si="231"/>
        <v>42</v>
      </c>
      <c r="K233" s="11">
        <f t="shared" si="231"/>
        <v>38</v>
      </c>
      <c r="L233" s="11">
        <f t="shared" si="231"/>
        <v>32</v>
      </c>
      <c r="M233" s="11">
        <f t="shared" si="231"/>
        <v>28</v>
      </c>
      <c r="O233" s="10">
        <f>'Optimal Choice'!$B$7*'Optimal Choice'!$B$8^(I233+1)</f>
        <v>2161.480471102117</v>
      </c>
      <c r="P233" s="10">
        <f>'Optimal Choice'!$B$12*'Optimal Choice'!$B$13^(J233+1)</f>
        <v>24443.218252782171</v>
      </c>
      <c r="Q233" s="10">
        <f>'Optimal Choice'!$B$17*'Optimal Choice'!$B$18^(K233+1)</f>
        <v>119294.85085754552</v>
      </c>
      <c r="R233" s="10">
        <f>'Optimal Choice'!$B$22*'Optimal Choice'!$B$23^(L233+1)</f>
        <v>487643.43008120515</v>
      </c>
      <c r="S233" s="10">
        <f>'Optimal Choice'!$B$27*'Optimal Choice'!$B$28^(M233+1)</f>
        <v>2773432.7906214879</v>
      </c>
    </row>
    <row r="234" spans="1:19" ht="15.75" customHeight="1">
      <c r="A234" s="8">
        <f t="shared" si="0"/>
        <v>11.699506675993954</v>
      </c>
      <c r="B234" s="7">
        <f>(I234*'Optimal Choice'!$B$6+J234*'Optimal Choice'!$B$11+K234*'Optimal Choice'!$B$16+L234*'Optimal Choice'!$B$21+M234*'Optimal Choice'!$B$26)*'Optimal Choice'!$B$30</f>
        <v>76433.64</v>
      </c>
      <c r="C234" s="8">
        <f>(O234/$B234)+(O234/'Optimal Choice'!$B$6)</f>
        <v>1294.3279624721622</v>
      </c>
      <c r="D234" s="8">
        <f>(P234/$B234)+(P234/'Optimal Choice'!$B$11)</f>
        <v>1405.8528156258046</v>
      </c>
      <c r="E234" s="8">
        <f>(Q234/$B234)+(Q234/'Optimal Choice'!$B$16)</f>
        <v>1327.0591065627509</v>
      </c>
      <c r="F234" s="8">
        <f>(R234/$B234)+(R234/'Optimal Choice'!$B$21)</f>
        <v>1360.9450417825492</v>
      </c>
      <c r="G234" s="8">
        <f>(S234/$B234)+(S234/'Optimal Choice'!$B$26)</f>
        <v>1320.2821616235203</v>
      </c>
      <c r="I234" s="11">
        <f t="shared" ref="I234:M234" si="232">IF(MIN($C233:$G233)=C233,I233+1,I233)</f>
        <v>92</v>
      </c>
      <c r="J234" s="11">
        <f t="shared" si="232"/>
        <v>43</v>
      </c>
      <c r="K234" s="11">
        <f t="shared" si="232"/>
        <v>38</v>
      </c>
      <c r="L234" s="11">
        <f t="shared" si="232"/>
        <v>32</v>
      </c>
      <c r="M234" s="11">
        <f t="shared" si="232"/>
        <v>28</v>
      </c>
      <c r="O234" s="10">
        <f>'Optimal Choice'!$B$7*'Optimal Choice'!$B$8^(I234+1)</f>
        <v>2161.480471102117</v>
      </c>
      <c r="P234" s="10">
        <f>'Optimal Choice'!$B$12*'Optimal Choice'!$B$13^(J234+1)</f>
        <v>28109.700990699494</v>
      </c>
      <c r="Q234" s="10">
        <f>'Optimal Choice'!$B$17*'Optimal Choice'!$B$18^(K234+1)</f>
        <v>119294.85085754552</v>
      </c>
      <c r="R234" s="10">
        <f>'Optimal Choice'!$B$22*'Optimal Choice'!$B$23^(L234+1)</f>
        <v>487643.43008120515</v>
      </c>
      <c r="S234" s="10">
        <f>'Optimal Choice'!$B$27*'Optimal Choice'!$B$28^(M234+1)</f>
        <v>2773432.7906214879</v>
      </c>
    </row>
    <row r="235" spans="1:19" ht="15.75" customHeight="1">
      <c r="A235" s="8">
        <f t="shared" si="0"/>
        <v>11.699977995618642</v>
      </c>
      <c r="B235" s="7">
        <f>(I235*'Optimal Choice'!$B$6+J235*'Optimal Choice'!$B$11+K235*'Optimal Choice'!$B$16+L235*'Optimal Choice'!$B$21+M235*'Optimal Choice'!$B$26)*'Optimal Choice'!$B$30</f>
        <v>76435.31</v>
      </c>
      <c r="C235" s="8">
        <f>(O235/$B235)+(O235/'Optimal Choice'!$B$6)</f>
        <v>1384.9309191841046</v>
      </c>
      <c r="D235" s="8">
        <f>(P235/$B235)+(P235/'Optimal Choice'!$B$11)</f>
        <v>1405.852807590652</v>
      </c>
      <c r="E235" s="8">
        <f>(Q235/$B235)+(Q235/'Optimal Choice'!$B$16)</f>
        <v>1327.0590724623414</v>
      </c>
      <c r="F235" s="8">
        <f>(R235/$B235)+(R235/'Optimal Choice'!$B$21)</f>
        <v>1360.9449023897707</v>
      </c>
      <c r="G235" s="8">
        <f>(S235/$B235)+(S235/'Optimal Choice'!$B$26)</f>
        <v>1320.2813688383033</v>
      </c>
      <c r="I235" s="11">
        <f t="shared" ref="I235:M235" si="233">IF(MIN($C234:$G234)=C234,I234+1,I234)</f>
        <v>93</v>
      </c>
      <c r="J235" s="11">
        <f t="shared" si="233"/>
        <v>43</v>
      </c>
      <c r="K235" s="11">
        <f t="shared" si="233"/>
        <v>38</v>
      </c>
      <c r="L235" s="11">
        <f t="shared" si="233"/>
        <v>32</v>
      </c>
      <c r="M235" s="11">
        <f t="shared" si="233"/>
        <v>28</v>
      </c>
      <c r="O235" s="10">
        <f>'Optimal Choice'!$B$7*'Optimal Choice'!$B$8^(I235+1)</f>
        <v>2312.784104079265</v>
      </c>
      <c r="P235" s="10">
        <f>'Optimal Choice'!$B$12*'Optimal Choice'!$B$13^(J235+1)</f>
        <v>28109.700990699494</v>
      </c>
      <c r="Q235" s="10">
        <f>'Optimal Choice'!$B$17*'Optimal Choice'!$B$18^(K235+1)</f>
        <v>119294.85085754552</v>
      </c>
      <c r="R235" s="10">
        <f>'Optimal Choice'!$B$22*'Optimal Choice'!$B$23^(L235+1)</f>
        <v>487643.43008120515</v>
      </c>
      <c r="S235" s="10">
        <f>'Optimal Choice'!$B$27*'Optimal Choice'!$B$28^(M235+1)</f>
        <v>2773432.7906214879</v>
      </c>
    </row>
    <row r="236" spans="1:19" ht="15.75" customHeight="1">
      <c r="A236" s="8">
        <f t="shared" si="0"/>
        <v>12.304723104177651</v>
      </c>
      <c r="B236" s="7">
        <f>(I236*'Optimal Choice'!$B$6+J236*'Optimal Choice'!$B$11+K236*'Optimal Choice'!$B$16+L236*'Optimal Choice'!$B$21+M236*'Optimal Choice'!$B$26)*'Optimal Choice'!$B$30</f>
        <v>78595.31</v>
      </c>
      <c r="C236" s="8">
        <f>(O236/$B236)+(O236/'Optimal Choice'!$B$6)</f>
        <v>1384.9300876153125</v>
      </c>
      <c r="D236" s="8">
        <f>(P236/$B236)+(P236/'Optimal Choice'!$B$11)</f>
        <v>1405.8427006593317</v>
      </c>
      <c r="E236" s="8">
        <f>(Q236/$B236)+(Q236/'Optimal Choice'!$B$16)</f>
        <v>1327.0161796238556</v>
      </c>
      <c r="F236" s="8">
        <f>(R236/$B236)+(R236/'Optimal Choice'!$B$21)</f>
        <v>1360.7695686621644</v>
      </c>
      <c r="G236" s="8">
        <f>(S236/$B236)+(S236/'Optimal Choice'!$B$26)</f>
        <v>1477.5982730471035</v>
      </c>
      <c r="I236" s="11">
        <f t="shared" ref="I236:M236" si="234">IF(MIN($C235:$G235)=C235,I235+1,I235)</f>
        <v>93</v>
      </c>
      <c r="J236" s="11">
        <f t="shared" si="234"/>
        <v>43</v>
      </c>
      <c r="K236" s="11">
        <f t="shared" si="234"/>
        <v>38</v>
      </c>
      <c r="L236" s="11">
        <f t="shared" si="234"/>
        <v>32</v>
      </c>
      <c r="M236" s="11">
        <f t="shared" si="234"/>
        <v>29</v>
      </c>
      <c r="O236" s="10">
        <f>'Optimal Choice'!$B$7*'Optimal Choice'!$B$8^(I236+1)</f>
        <v>2312.784104079265</v>
      </c>
      <c r="P236" s="10">
        <f>'Optimal Choice'!$B$12*'Optimal Choice'!$B$13^(J236+1)</f>
        <v>28109.700990699494</v>
      </c>
      <c r="Q236" s="10">
        <f>'Optimal Choice'!$B$17*'Optimal Choice'!$B$18^(K236+1)</f>
        <v>119294.85085754552</v>
      </c>
      <c r="R236" s="10">
        <f>'Optimal Choice'!$B$22*'Optimal Choice'!$B$23^(L236+1)</f>
        <v>487643.43008120515</v>
      </c>
      <c r="S236" s="10">
        <f>'Optimal Choice'!$B$27*'Optimal Choice'!$B$28^(M236+1)</f>
        <v>3106244.7254960663</v>
      </c>
    </row>
    <row r="237" spans="1:19" ht="15.75" customHeight="1">
      <c r="A237" s="8">
        <f t="shared" si="0"/>
        <v>12.330020383548295</v>
      </c>
      <c r="B237" s="7">
        <f>(I237*'Optimal Choice'!$B$6+J237*'Optimal Choice'!$B$11+K237*'Optimal Choice'!$B$16+L237*'Optimal Choice'!$B$21+M237*'Optimal Choice'!$B$26)*'Optimal Choice'!$B$30</f>
        <v>78685.31</v>
      </c>
      <c r="C237" s="8">
        <f>(O237/$B237)+(O237/'Optimal Choice'!$B$6)</f>
        <v>1384.9300539573896</v>
      </c>
      <c r="D237" s="8">
        <f>(P237/$B237)+(P237/'Optimal Choice'!$B$11)</f>
        <v>1405.8422915791466</v>
      </c>
      <c r="E237" s="8">
        <f>(Q237/$B237)+(Q237/'Optimal Choice'!$B$16)</f>
        <v>1512.7964656209349</v>
      </c>
      <c r="F237" s="8">
        <f>(R237/$B237)+(R237/'Optimal Choice'!$B$21)</f>
        <v>1360.7624719924138</v>
      </c>
      <c r="G237" s="8">
        <f>(S237/$B237)+(S237/'Optimal Choice'!$B$26)</f>
        <v>1477.5530679000194</v>
      </c>
      <c r="I237" s="11">
        <f t="shared" ref="I237:M237" si="235">IF(MIN($C236:$G236)=C236,I236+1,I236)</f>
        <v>93</v>
      </c>
      <c r="J237" s="11">
        <f t="shared" si="235"/>
        <v>43</v>
      </c>
      <c r="K237" s="11">
        <f t="shared" si="235"/>
        <v>39</v>
      </c>
      <c r="L237" s="11">
        <f t="shared" si="235"/>
        <v>32</v>
      </c>
      <c r="M237" s="11">
        <f t="shared" si="235"/>
        <v>29</v>
      </c>
      <c r="O237" s="10">
        <f>'Optimal Choice'!$B$7*'Optimal Choice'!$B$8^(I237+1)</f>
        <v>2312.784104079265</v>
      </c>
      <c r="P237" s="10">
        <f>'Optimal Choice'!$B$12*'Optimal Choice'!$B$13^(J237+1)</f>
        <v>28109.700990699494</v>
      </c>
      <c r="Q237" s="10">
        <f>'Optimal Choice'!$B$17*'Optimal Choice'!$B$18^(K237+1)</f>
        <v>135996.12997760193</v>
      </c>
      <c r="R237" s="10">
        <f>'Optimal Choice'!$B$22*'Optimal Choice'!$B$23^(L237+1)</f>
        <v>487643.43008120515</v>
      </c>
      <c r="S237" s="10">
        <f>'Optimal Choice'!$B$27*'Optimal Choice'!$B$28^(M237+1)</f>
        <v>3106244.7254960663</v>
      </c>
    </row>
    <row r="238" spans="1:19" ht="15.75" customHeight="1">
      <c r="A238" s="8">
        <f t="shared" si="0"/>
        <v>12.433310190773474</v>
      </c>
      <c r="B238" s="7">
        <f>(I238*'Optimal Choice'!$B$6+J238*'Optimal Choice'!$B$11+K238*'Optimal Choice'!$B$16+L238*'Optimal Choice'!$B$21+M238*'Optimal Choice'!$B$26)*'Optimal Choice'!$B$30</f>
        <v>79045.31</v>
      </c>
      <c r="C238" s="8">
        <f>(O238/$B238)+(O238/'Optimal Choice'!$B$6)</f>
        <v>1384.9299200921475</v>
      </c>
      <c r="D238" s="8">
        <f>(P238/$B238)+(P238/'Optimal Choice'!$B$11)</f>
        <v>1405.8406645738771</v>
      </c>
      <c r="E238" s="8">
        <f>(Q238/$B238)+(Q238/'Optimal Choice'!$B$16)</f>
        <v>1512.7885940886058</v>
      </c>
      <c r="F238" s="8">
        <f>(R238/$B238)+(R238/'Optimal Choice'!$B$21)</f>
        <v>1537.629699016207</v>
      </c>
      <c r="G238" s="8">
        <f>(S238/$B238)+(S238/'Optimal Choice'!$B$26)</f>
        <v>1477.3732767119695</v>
      </c>
      <c r="I238" s="11">
        <f t="shared" ref="I238:M238" si="236">IF(MIN($C237:$G237)=C237,I237+1,I237)</f>
        <v>93</v>
      </c>
      <c r="J238" s="11">
        <f t="shared" si="236"/>
        <v>43</v>
      </c>
      <c r="K238" s="11">
        <f t="shared" si="236"/>
        <v>39</v>
      </c>
      <c r="L238" s="11">
        <f t="shared" si="236"/>
        <v>33</v>
      </c>
      <c r="M238" s="11">
        <f t="shared" si="236"/>
        <v>29</v>
      </c>
      <c r="O238" s="10">
        <f>'Optimal Choice'!$B$7*'Optimal Choice'!$B$8^(I238+1)</f>
        <v>2312.784104079265</v>
      </c>
      <c r="P238" s="10">
        <f>'Optimal Choice'!$B$12*'Optimal Choice'!$B$13^(J238+1)</f>
        <v>28109.700990699494</v>
      </c>
      <c r="Q238" s="10">
        <f>'Optimal Choice'!$B$17*'Optimal Choice'!$B$18^(K238+1)</f>
        <v>135996.12997760193</v>
      </c>
      <c r="R238" s="10">
        <f>'Optimal Choice'!$B$22*'Optimal Choice'!$B$23^(L238+1)</f>
        <v>551037.07599176175</v>
      </c>
      <c r="S238" s="10">
        <f>'Optimal Choice'!$B$27*'Optimal Choice'!$B$28^(M238+1)</f>
        <v>3106244.7254960663</v>
      </c>
    </row>
    <row r="239" spans="1:19" ht="15.75" customHeight="1">
      <c r="A239" s="8">
        <f t="shared" si="0"/>
        <v>12.433797840220793</v>
      </c>
      <c r="B239" s="7">
        <f>(I239*'Optimal Choice'!$B$6+J239*'Optimal Choice'!$B$11+K239*'Optimal Choice'!$B$16+L239*'Optimal Choice'!$B$21+M239*'Optimal Choice'!$B$26)*'Optimal Choice'!$B$30</f>
        <v>79046.98</v>
      </c>
      <c r="C239" s="8">
        <f>(O239/$B239)+(O239/'Optimal Choice'!$B$6)</f>
        <v>1481.8750138371836</v>
      </c>
      <c r="D239" s="8">
        <f>(P239/$B239)+(P239/'Optimal Choice'!$B$11)</f>
        <v>1405.8406570609131</v>
      </c>
      <c r="E239" s="8">
        <f>(Q239/$B239)+(Q239/'Optimal Choice'!$B$16)</f>
        <v>1512.7885577405127</v>
      </c>
      <c r="F239" s="8">
        <f>(R239/$B239)+(R239/'Optimal Choice'!$B$21)</f>
        <v>1537.6295517388769</v>
      </c>
      <c r="G239" s="8">
        <f>(S239/$B239)+(S239/'Optimal Choice'!$B$26)</f>
        <v>1477.3724464966356</v>
      </c>
      <c r="I239" s="11">
        <f t="shared" ref="I239:M239" si="237">IF(MIN($C238:$G238)=C238,I238+1,I238)</f>
        <v>94</v>
      </c>
      <c r="J239" s="11">
        <f t="shared" si="237"/>
        <v>43</v>
      </c>
      <c r="K239" s="11">
        <f t="shared" si="237"/>
        <v>39</v>
      </c>
      <c r="L239" s="11">
        <f t="shared" si="237"/>
        <v>33</v>
      </c>
      <c r="M239" s="11">
        <f t="shared" si="237"/>
        <v>29</v>
      </c>
      <c r="O239" s="10">
        <f>'Optimal Choice'!$B$7*'Optimal Choice'!$B$8^(I239+1)</f>
        <v>2474.6789913648145</v>
      </c>
      <c r="P239" s="10">
        <f>'Optimal Choice'!$B$12*'Optimal Choice'!$B$13^(J239+1)</f>
        <v>28109.700990699494</v>
      </c>
      <c r="Q239" s="10">
        <f>'Optimal Choice'!$B$17*'Optimal Choice'!$B$18^(K239+1)</f>
        <v>135996.12997760193</v>
      </c>
      <c r="R239" s="10">
        <f>'Optimal Choice'!$B$22*'Optimal Choice'!$B$23^(L239+1)</f>
        <v>551037.07599176175</v>
      </c>
      <c r="S239" s="10">
        <f>'Optimal Choice'!$B$27*'Optimal Choice'!$B$28^(M239+1)</f>
        <v>3106244.7254960663</v>
      </c>
    </row>
    <row r="240" spans="1:19" ht="15.75" customHeight="1">
      <c r="A240" s="8">
        <f t="shared" si="0"/>
        <v>12.439724632319766</v>
      </c>
      <c r="B240" s="7">
        <f>(I240*'Optimal Choice'!$B$6+J240*'Optimal Choice'!$B$11+K240*'Optimal Choice'!$B$16+L240*'Optimal Choice'!$B$21+M240*'Optimal Choice'!$B$26)*'Optimal Choice'!$B$30</f>
        <v>79066.98</v>
      </c>
      <c r="C240" s="8">
        <f>(O240/$B240)+(O240/'Optimal Choice'!$B$6)</f>
        <v>1481.8750059182184</v>
      </c>
      <c r="D240" s="8">
        <f>(P240/$B240)+(P240/'Optimal Choice'!$B$11)</f>
        <v>1616.7166521764491</v>
      </c>
      <c r="E240" s="8">
        <f>(Q240/$B240)+(Q240/'Optimal Choice'!$B$16)</f>
        <v>1512.7881225533138</v>
      </c>
      <c r="F240" s="8">
        <f>(R240/$B240)+(R240/'Optimal Choice'!$B$21)</f>
        <v>1537.6277884219228</v>
      </c>
      <c r="G240" s="8">
        <f>(S240/$B240)+(S240/'Optimal Choice'!$B$26)</f>
        <v>1477.3625065230353</v>
      </c>
      <c r="I240" s="11">
        <f t="shared" ref="I240:M240" si="238">IF(MIN($C239:$G239)=C239,I239+1,I239)</f>
        <v>94</v>
      </c>
      <c r="J240" s="11">
        <f t="shared" si="238"/>
        <v>44</v>
      </c>
      <c r="K240" s="11">
        <f t="shared" si="238"/>
        <v>39</v>
      </c>
      <c r="L240" s="11">
        <f t="shared" si="238"/>
        <v>33</v>
      </c>
      <c r="M240" s="11">
        <f t="shared" si="238"/>
        <v>29</v>
      </c>
      <c r="O240" s="10">
        <f>'Optimal Choice'!$B$7*'Optimal Choice'!$B$8^(I240+1)</f>
        <v>2474.6789913648145</v>
      </c>
      <c r="P240" s="10">
        <f>'Optimal Choice'!$B$12*'Optimal Choice'!$B$13^(J240+1)</f>
        <v>32326.156139304414</v>
      </c>
      <c r="Q240" s="10">
        <f>'Optimal Choice'!$B$17*'Optimal Choice'!$B$18^(K240+1)</f>
        <v>135996.12997760193</v>
      </c>
      <c r="R240" s="10">
        <f>'Optimal Choice'!$B$22*'Optimal Choice'!$B$23^(L240+1)</f>
        <v>551037.07599176175</v>
      </c>
      <c r="S240" s="10">
        <f>'Optimal Choice'!$B$27*'Optimal Choice'!$B$28^(M240+1)</f>
        <v>3106244.7254960663</v>
      </c>
    </row>
    <row r="241" spans="1:19" ht="15.75" customHeight="1">
      <c r="A241" s="8">
        <f t="shared" si="0"/>
        <v>13.094495377641447</v>
      </c>
      <c r="B241" s="7">
        <f>(I241*'Optimal Choice'!$B$6+J241*'Optimal Choice'!$B$11+K241*'Optimal Choice'!$B$16+L241*'Optimal Choice'!$B$21+M241*'Optimal Choice'!$B$26)*'Optimal Choice'!$B$30</f>
        <v>81226.98</v>
      </c>
      <c r="C241" s="8">
        <f>(O241/$B241)+(O241/'Optimal Choice'!$B$6)</f>
        <v>1481.8741736234497</v>
      </c>
      <c r="D241" s="8">
        <f>(P241/$B241)+(P241/'Optimal Choice'!$B$11)</f>
        <v>1616.7057801034478</v>
      </c>
      <c r="E241" s="8">
        <f>(Q241/$B241)+(Q241/'Optimal Choice'!$B$16)</f>
        <v>1512.7423837451897</v>
      </c>
      <c r="F241" s="8">
        <f>(R241/$B241)+(R241/'Optimal Choice'!$B$21)</f>
        <v>1537.4424612431851</v>
      </c>
      <c r="G241" s="8">
        <f>(S241/$B241)+(S241/'Optimal Choice'!$B$26)</f>
        <v>1653.4759369273988</v>
      </c>
      <c r="I241" s="11">
        <f t="shared" ref="I241:M241" si="239">IF(MIN($C240:$G240)=C240,I240+1,I240)</f>
        <v>94</v>
      </c>
      <c r="J241" s="11">
        <f t="shared" si="239"/>
        <v>44</v>
      </c>
      <c r="K241" s="11">
        <f t="shared" si="239"/>
        <v>39</v>
      </c>
      <c r="L241" s="11">
        <f t="shared" si="239"/>
        <v>33</v>
      </c>
      <c r="M241" s="11">
        <f t="shared" si="239"/>
        <v>30</v>
      </c>
      <c r="O241" s="10">
        <f>'Optimal Choice'!$B$7*'Optimal Choice'!$B$8^(I241+1)</f>
        <v>2474.6789913648145</v>
      </c>
      <c r="P241" s="10">
        <f>'Optimal Choice'!$B$12*'Optimal Choice'!$B$13^(J241+1)</f>
        <v>32326.156139304414</v>
      </c>
      <c r="Q241" s="10">
        <f>'Optimal Choice'!$B$17*'Optimal Choice'!$B$18^(K241+1)</f>
        <v>135996.12997760193</v>
      </c>
      <c r="R241" s="10">
        <f>'Optimal Choice'!$B$22*'Optimal Choice'!$B$23^(L241+1)</f>
        <v>551037.07599176175</v>
      </c>
      <c r="S241" s="10">
        <f>'Optimal Choice'!$B$27*'Optimal Choice'!$B$28^(M241+1)</f>
        <v>3478994.0925555942</v>
      </c>
    </row>
    <row r="242" spans="1:19" ht="15.75" customHeight="1">
      <c r="A242" s="8">
        <f t="shared" si="0"/>
        <v>13.095003147964265</v>
      </c>
      <c r="B242" s="7">
        <f>(I242*'Optimal Choice'!$B$6+J242*'Optimal Choice'!$B$11+K242*'Optimal Choice'!$B$16+L242*'Optimal Choice'!$B$21+M242*'Optimal Choice'!$B$26)*'Optimal Choice'!$B$30</f>
        <v>81228.649999999994</v>
      </c>
      <c r="C242" s="8">
        <f>(O242/$B242)+(O242/'Optimal Choice'!$B$6)</f>
        <v>1585.6053651068828</v>
      </c>
      <c r="D242" s="8">
        <f>(P242/$B242)+(P242/'Optimal Choice'!$B$11)</f>
        <v>1616.705771921419</v>
      </c>
      <c r="E242" s="8">
        <f>(Q242/$B242)+(Q242/'Optimal Choice'!$B$16)</f>
        <v>1512.7423493233975</v>
      </c>
      <c r="F242" s="8">
        <f>(R242/$B242)+(R242/'Optimal Choice'!$B$21)</f>
        <v>1537.4423217709534</v>
      </c>
      <c r="G242" s="8">
        <f>(S242/$B242)+(S242/'Optimal Choice'!$B$26)</f>
        <v>1653.4750563640189</v>
      </c>
      <c r="I242" s="11">
        <f t="shared" ref="I242:M242" si="240">IF(MIN($C241:$G241)=C241,I241+1,I241)</f>
        <v>95</v>
      </c>
      <c r="J242" s="11">
        <f t="shared" si="240"/>
        <v>44</v>
      </c>
      <c r="K242" s="11">
        <f t="shared" si="240"/>
        <v>39</v>
      </c>
      <c r="L242" s="11">
        <f t="shared" si="240"/>
        <v>33</v>
      </c>
      <c r="M242" s="11">
        <f t="shared" si="240"/>
        <v>30</v>
      </c>
      <c r="O242" s="10">
        <f>'Optimal Choice'!$B$7*'Optimal Choice'!$B$8^(I242+1)</f>
        <v>2647.9065207603508</v>
      </c>
      <c r="P242" s="10">
        <f>'Optimal Choice'!$B$12*'Optimal Choice'!$B$13^(J242+1)</f>
        <v>32326.156139304414</v>
      </c>
      <c r="Q242" s="10">
        <f>'Optimal Choice'!$B$17*'Optimal Choice'!$B$18^(K242+1)</f>
        <v>135996.12997760193</v>
      </c>
      <c r="R242" s="10">
        <f>'Optimal Choice'!$B$22*'Optimal Choice'!$B$23^(L242+1)</f>
        <v>551037.07599176175</v>
      </c>
      <c r="S242" s="10">
        <f>'Optimal Choice'!$B$27*'Optimal Choice'!$B$28^(M242+1)</f>
        <v>3478994.0925555942</v>
      </c>
    </row>
    <row r="243" spans="1:19" ht="15.75" customHeight="1">
      <c r="A243" s="8">
        <f t="shared" si="0"/>
        <v>13.122907122316828</v>
      </c>
      <c r="B243" s="7">
        <f>(I243*'Optimal Choice'!$B$6+J243*'Optimal Choice'!$B$11+K243*'Optimal Choice'!$B$16+L243*'Optimal Choice'!$B$21+M243*'Optimal Choice'!$B$26)*'Optimal Choice'!$B$30</f>
        <v>81318.649999999994</v>
      </c>
      <c r="C243" s="8">
        <f>(O243/$B243)+(O243/'Optimal Choice'!$B$6)</f>
        <v>1585.6053290286079</v>
      </c>
      <c r="D243" s="8">
        <f>(P243/$B243)+(P243/'Optimal Choice'!$B$11)</f>
        <v>1616.7053314708451</v>
      </c>
      <c r="E243" s="8">
        <f>(Q243/$B243)+(Q243/'Optimal Choice'!$B$16)</f>
        <v>1724.5241658366681</v>
      </c>
      <c r="F243" s="8">
        <f>(R243/$B243)+(R243/'Optimal Choice'!$B$21)</f>
        <v>1537.434813776644</v>
      </c>
      <c r="G243" s="8">
        <f>(S243/$B243)+(S243/'Optimal Choice'!$B$26)</f>
        <v>1653.4276543488238</v>
      </c>
      <c r="I243" s="11">
        <f t="shared" ref="I243:M243" si="241">IF(MIN($C242:$G242)=C242,I242+1,I242)</f>
        <v>95</v>
      </c>
      <c r="J243" s="11">
        <f t="shared" si="241"/>
        <v>44</v>
      </c>
      <c r="K243" s="11">
        <f t="shared" si="241"/>
        <v>40</v>
      </c>
      <c r="L243" s="11">
        <f t="shared" si="241"/>
        <v>33</v>
      </c>
      <c r="M243" s="11">
        <f t="shared" si="241"/>
        <v>30</v>
      </c>
      <c r="O243" s="10">
        <f>'Optimal Choice'!$B$7*'Optimal Choice'!$B$8^(I243+1)</f>
        <v>2647.9065207603508</v>
      </c>
      <c r="P243" s="10">
        <f>'Optimal Choice'!$B$12*'Optimal Choice'!$B$13^(J243+1)</f>
        <v>32326.156139304414</v>
      </c>
      <c r="Q243" s="10">
        <f>'Optimal Choice'!$B$17*'Optimal Choice'!$B$18^(K243+1)</f>
        <v>155035.58817446619</v>
      </c>
      <c r="R243" s="10">
        <f>'Optimal Choice'!$B$22*'Optimal Choice'!$B$23^(L243+1)</f>
        <v>551037.07599176175</v>
      </c>
      <c r="S243" s="10">
        <f>'Optimal Choice'!$B$27*'Optimal Choice'!$B$28^(M243+1)</f>
        <v>3478994.0925555942</v>
      </c>
    </row>
    <row r="244" spans="1:19" ht="15.75" customHeight="1">
      <c r="A244" s="8">
        <f t="shared" si="0"/>
        <v>13.235844944901553</v>
      </c>
      <c r="B244" s="7">
        <f>(I244*'Optimal Choice'!$B$6+J244*'Optimal Choice'!$B$11+K244*'Optimal Choice'!$B$16+L244*'Optimal Choice'!$B$21+M244*'Optimal Choice'!$B$26)*'Optimal Choice'!$B$30</f>
        <v>81678.649999999994</v>
      </c>
      <c r="C244" s="8">
        <f>(O244/$B244)+(O244/'Optimal Choice'!$B$6)</f>
        <v>1585.6051855105864</v>
      </c>
      <c r="D244" s="8">
        <f>(P244/$B244)+(P244/'Optimal Choice'!$B$11)</f>
        <v>1616.7035793750156</v>
      </c>
      <c r="E244" s="8">
        <f>(Q244/$B244)+(Q244/'Optimal Choice'!$B$16)</f>
        <v>1724.5157628206616</v>
      </c>
      <c r="F244" s="8">
        <f>(R244/$B244)+(R244/'Optimal Choice'!$B$21)</f>
        <v>1737.26759040092</v>
      </c>
      <c r="G244" s="8">
        <f>(S244/$B244)+(S244/'Optimal Choice'!$B$26)</f>
        <v>1653.239090913871</v>
      </c>
      <c r="I244" s="11">
        <f t="shared" ref="I244:M244" si="242">IF(MIN($C243:$G243)=C243,I243+1,I243)</f>
        <v>95</v>
      </c>
      <c r="J244" s="11">
        <f t="shared" si="242"/>
        <v>44</v>
      </c>
      <c r="K244" s="11">
        <f t="shared" si="242"/>
        <v>40</v>
      </c>
      <c r="L244" s="11">
        <f t="shared" si="242"/>
        <v>34</v>
      </c>
      <c r="M244" s="11">
        <f t="shared" si="242"/>
        <v>30</v>
      </c>
      <c r="O244" s="10">
        <f>'Optimal Choice'!$B$7*'Optimal Choice'!$B$8^(I244+1)</f>
        <v>2647.9065207603508</v>
      </c>
      <c r="P244" s="10">
        <f>'Optimal Choice'!$B$12*'Optimal Choice'!$B$13^(J244+1)</f>
        <v>32326.156139304414</v>
      </c>
      <c r="Q244" s="10">
        <f>'Optimal Choice'!$B$17*'Optimal Choice'!$B$18^(K244+1)</f>
        <v>155035.58817446619</v>
      </c>
      <c r="R244" s="10">
        <f>'Optimal Choice'!$B$22*'Optimal Choice'!$B$23^(L244+1)</f>
        <v>622671.8958706907</v>
      </c>
      <c r="S244" s="10">
        <f>'Optimal Choice'!$B$27*'Optimal Choice'!$B$28^(M244+1)</f>
        <v>3478994.0925555942</v>
      </c>
    </row>
    <row r="245" spans="1:19" ht="15.75" customHeight="1">
      <c r="A245" s="8">
        <f t="shared" si="0"/>
        <v>13.236385254705228</v>
      </c>
      <c r="B245" s="7">
        <f>(I245*'Optimal Choice'!$B$6+J245*'Optimal Choice'!$B$11+K245*'Optimal Choice'!$B$16+L245*'Optimal Choice'!$B$21+M245*'Optimal Choice'!$B$26)*'Optimal Choice'!$B$30</f>
        <v>81680.320000000007</v>
      </c>
      <c r="C245" s="8">
        <f>(O245/$B245)+(O245/'Optimal Choice'!$B$6)</f>
        <v>1696.5975477871141</v>
      </c>
      <c r="D245" s="8">
        <f>(P245/$B245)+(P245/'Optimal Choice'!$B$11)</f>
        <v>1616.7035712832264</v>
      </c>
      <c r="E245" s="8">
        <f>(Q245/$B245)+(Q245/'Optimal Choice'!$B$16)</f>
        <v>1724.5157240126055</v>
      </c>
      <c r="F245" s="8">
        <f>(R245/$B245)+(R245/'Optimal Choice'!$B$21)</f>
        <v>1737.2674345355074</v>
      </c>
      <c r="G245" s="8">
        <f>(S245/$B245)+(S245/'Optimal Choice'!$B$26)</f>
        <v>1653.2382200622174</v>
      </c>
      <c r="I245" s="11">
        <f t="shared" ref="I245:M245" si="243">IF(MIN($C244:$G244)=C244,I244+1,I244)</f>
        <v>96</v>
      </c>
      <c r="J245" s="11">
        <f t="shared" si="243"/>
        <v>44</v>
      </c>
      <c r="K245" s="11">
        <f t="shared" si="243"/>
        <v>40</v>
      </c>
      <c r="L245" s="11">
        <f t="shared" si="243"/>
        <v>34</v>
      </c>
      <c r="M245" s="11">
        <f t="shared" si="243"/>
        <v>30</v>
      </c>
      <c r="O245" s="10">
        <f>'Optimal Choice'!$B$7*'Optimal Choice'!$B$8^(I245+1)</f>
        <v>2833.2599772135754</v>
      </c>
      <c r="P245" s="10">
        <f>'Optimal Choice'!$B$12*'Optimal Choice'!$B$13^(J245+1)</f>
        <v>32326.156139304414</v>
      </c>
      <c r="Q245" s="10">
        <f>'Optimal Choice'!$B$17*'Optimal Choice'!$B$18^(K245+1)</f>
        <v>155035.58817446619</v>
      </c>
      <c r="R245" s="10">
        <f>'Optimal Choice'!$B$22*'Optimal Choice'!$B$23^(L245+1)</f>
        <v>622671.8958706907</v>
      </c>
      <c r="S245" s="10">
        <f>'Optimal Choice'!$B$27*'Optimal Choice'!$B$28^(M245+1)</f>
        <v>3478994.0925555942</v>
      </c>
    </row>
    <row r="246" spans="1:19" ht="15.75" customHeight="1">
      <c r="A246" s="8">
        <f t="shared" si="0"/>
        <v>13.242981326671993</v>
      </c>
      <c r="B246" s="7">
        <f>(I246*'Optimal Choice'!$B$6+J246*'Optimal Choice'!$B$11+K246*'Optimal Choice'!$B$16+L246*'Optimal Choice'!$B$21+M246*'Optimal Choice'!$B$26)*'Optimal Choice'!$B$30</f>
        <v>81700.320000000007</v>
      </c>
      <c r="C246" s="8">
        <f>(O246/$B246)+(O246/'Optimal Choice'!$B$6)</f>
        <v>1696.5975392957937</v>
      </c>
      <c r="D246" s="8">
        <f>(P246/$B246)+(P246/'Optimal Choice'!$B$11)</f>
        <v>1859.2089955614676</v>
      </c>
      <c r="E246" s="8">
        <f>(Q246/$B246)+(Q246/'Optimal Choice'!$B$16)</f>
        <v>1724.5152593687387</v>
      </c>
      <c r="F246" s="8">
        <f>(R246/$B246)+(R246/'Optimal Choice'!$B$21)</f>
        <v>1737.2655683789637</v>
      </c>
      <c r="G246" s="8">
        <f>(S246/$B246)+(S246/'Optimal Choice'!$B$26)</f>
        <v>1653.2277934673541</v>
      </c>
      <c r="I246" s="11">
        <f t="shared" ref="I246:M246" si="244">IF(MIN($C245:$G245)=C245,I245+1,I245)</f>
        <v>96</v>
      </c>
      <c r="J246" s="11">
        <f t="shared" si="244"/>
        <v>45</v>
      </c>
      <c r="K246" s="11">
        <f t="shared" si="244"/>
        <v>40</v>
      </c>
      <c r="L246" s="11">
        <f t="shared" si="244"/>
        <v>34</v>
      </c>
      <c r="M246" s="11">
        <f t="shared" si="244"/>
        <v>30</v>
      </c>
      <c r="O246" s="10">
        <f>'Optimal Choice'!$B$7*'Optimal Choice'!$B$8^(I246+1)</f>
        <v>2833.2599772135754</v>
      </c>
      <c r="P246" s="10">
        <f>'Optimal Choice'!$B$12*'Optimal Choice'!$B$13^(J246+1)</f>
        <v>37175.07956020008</v>
      </c>
      <c r="Q246" s="10">
        <f>'Optimal Choice'!$B$17*'Optimal Choice'!$B$18^(K246+1)</f>
        <v>155035.58817446619</v>
      </c>
      <c r="R246" s="10">
        <f>'Optimal Choice'!$B$22*'Optimal Choice'!$B$23^(L246+1)</f>
        <v>622671.8958706907</v>
      </c>
      <c r="S246" s="10">
        <f>'Optimal Choice'!$B$27*'Optimal Choice'!$B$28^(M246+1)</f>
        <v>3478994.0925555942</v>
      </c>
    </row>
    <row r="247" spans="1:19" ht="15.75" customHeight="1">
      <c r="A247" s="8">
        <f t="shared" si="0"/>
        <v>13.952687664124852</v>
      </c>
      <c r="B247" s="7">
        <f>(I247*'Optimal Choice'!$B$6+J247*'Optimal Choice'!$B$11+K247*'Optimal Choice'!$B$16+L247*'Optimal Choice'!$B$21+M247*'Optimal Choice'!$B$26)*'Optimal Choice'!$B$30</f>
        <v>83860.320000000007</v>
      </c>
      <c r="C247" s="8">
        <f>(O247/$B247)+(O247/'Optimal Choice'!$B$6)</f>
        <v>1696.5966460727777</v>
      </c>
      <c r="D247" s="8">
        <f>(P247/$B247)+(P247/'Optimal Choice'!$B$11)</f>
        <v>1859.1972756215584</v>
      </c>
      <c r="E247" s="8">
        <f>(Q247/$B247)+(Q247/'Optimal Choice'!$B$16)</f>
        <v>1724.4663823307153</v>
      </c>
      <c r="F247" s="8">
        <f>(R247/$B247)+(R247/'Optimal Choice'!$B$21)</f>
        <v>1737.06926275463</v>
      </c>
      <c r="G247" s="8">
        <f>(S247/$B247)+(S247/'Optimal Choice'!$B$26)</f>
        <v>1850.3867134532786</v>
      </c>
      <c r="I247" s="11">
        <f t="shared" ref="I247:M247" si="245">IF(MIN($C246:$G246)=C246,I246+1,I246)</f>
        <v>96</v>
      </c>
      <c r="J247" s="11">
        <f t="shared" si="245"/>
        <v>45</v>
      </c>
      <c r="K247" s="11">
        <f t="shared" si="245"/>
        <v>40</v>
      </c>
      <c r="L247" s="11">
        <f t="shared" si="245"/>
        <v>34</v>
      </c>
      <c r="M247" s="11">
        <f t="shared" si="245"/>
        <v>31</v>
      </c>
      <c r="O247" s="10">
        <f>'Optimal Choice'!$B$7*'Optimal Choice'!$B$8^(I247+1)</f>
        <v>2833.2599772135754</v>
      </c>
      <c r="P247" s="10">
        <f>'Optimal Choice'!$B$12*'Optimal Choice'!$B$13^(J247+1)</f>
        <v>37175.07956020008</v>
      </c>
      <c r="Q247" s="10">
        <f>'Optimal Choice'!$B$17*'Optimal Choice'!$B$18^(K247+1)</f>
        <v>155035.58817446619</v>
      </c>
      <c r="R247" s="10">
        <f>'Optimal Choice'!$B$22*'Optimal Choice'!$B$23^(L247+1)</f>
        <v>622671.8958706907</v>
      </c>
      <c r="S247" s="10">
        <f>'Optimal Choice'!$B$27*'Optimal Choice'!$B$28^(M247+1)</f>
        <v>3896473.3836622667</v>
      </c>
    </row>
    <row r="248" spans="1:19" ht="15.75" customHeight="1">
      <c r="A248" s="8">
        <f t="shared" si="0"/>
        <v>13.953250755222289</v>
      </c>
      <c r="B248" s="7">
        <f>(I248*'Optimal Choice'!$B$6+J248*'Optimal Choice'!$B$11+K248*'Optimal Choice'!$B$16+L248*'Optimal Choice'!$B$21+M248*'Optimal Choice'!$B$26)*'Optimal Choice'!$B$30</f>
        <v>83861.989999999991</v>
      </c>
      <c r="C248" s="8">
        <f>(O248/$B248)+(O248/'Optimal Choice'!$B$6)</f>
        <v>1815.3584105779842</v>
      </c>
      <c r="D248" s="8">
        <f>(P248/$B248)+(P248/'Optimal Choice'!$B$11)</f>
        <v>1859.1972667938762</v>
      </c>
      <c r="E248" s="8">
        <f>(Q248/$B248)+(Q248/'Optimal Choice'!$B$16)</f>
        <v>1724.4663455155976</v>
      </c>
      <c r="F248" s="8">
        <f>(R248/$B248)+(R248/'Optimal Choice'!$B$21)</f>
        <v>1737.0691148934879</v>
      </c>
      <c r="G248" s="8">
        <f>(S248/$B248)+(S248/'Optimal Choice'!$B$26)</f>
        <v>1850.3857881874867</v>
      </c>
      <c r="I248" s="11">
        <f t="shared" ref="I248:M248" si="246">IF(MIN($C247:$G247)=C247,I247+1,I247)</f>
        <v>97</v>
      </c>
      <c r="J248" s="11">
        <f t="shared" si="246"/>
        <v>45</v>
      </c>
      <c r="K248" s="11">
        <f t="shared" si="246"/>
        <v>40</v>
      </c>
      <c r="L248" s="11">
        <f t="shared" si="246"/>
        <v>34</v>
      </c>
      <c r="M248" s="11">
        <f t="shared" si="246"/>
        <v>31</v>
      </c>
      <c r="O248" s="10">
        <f>'Optimal Choice'!$B$7*'Optimal Choice'!$B$8^(I248+1)</f>
        <v>3031.5881756185258</v>
      </c>
      <c r="P248" s="10">
        <f>'Optimal Choice'!$B$12*'Optimal Choice'!$B$13^(J248+1)</f>
        <v>37175.07956020008</v>
      </c>
      <c r="Q248" s="10">
        <f>'Optimal Choice'!$B$17*'Optimal Choice'!$B$18^(K248+1)</f>
        <v>155035.58817446619</v>
      </c>
      <c r="R248" s="10">
        <f>'Optimal Choice'!$B$22*'Optimal Choice'!$B$23^(L248+1)</f>
        <v>622671.8958706907</v>
      </c>
      <c r="S248" s="10">
        <f>'Optimal Choice'!$B$27*'Optimal Choice'!$B$28^(M248+1)</f>
        <v>3896473.3836622667</v>
      </c>
    </row>
    <row r="249" spans="1:19" ht="15.75" customHeight="1">
      <c r="A249" s="8">
        <f t="shared" si="0"/>
        <v>13.984062407432956</v>
      </c>
      <c r="B249" s="7">
        <f>(I249*'Optimal Choice'!$B$6+J249*'Optimal Choice'!$B$11+K249*'Optimal Choice'!$B$16+L249*'Optimal Choice'!$B$21+M249*'Optimal Choice'!$B$26)*'Optimal Choice'!$B$30</f>
        <v>83951.989999999991</v>
      </c>
      <c r="C249" s="8">
        <f>(O249/$B249)+(O249/'Optimal Choice'!$B$6)</f>
        <v>1815.3583718239825</v>
      </c>
      <c r="D249" s="8">
        <f>(P249/$B249)+(P249/'Optimal Choice'!$B$11)</f>
        <v>1859.1967915699945</v>
      </c>
      <c r="E249" s="8">
        <f>(Q249/$B249)+(Q249/'Optimal Choice'!$B$16)</f>
        <v>1965.8893745425171</v>
      </c>
      <c r="F249" s="8">
        <f>(R249/$B249)+(R249/'Optimal Choice'!$B$21)</f>
        <v>1737.0611550300857</v>
      </c>
      <c r="G249" s="8">
        <f>(S249/$B249)+(S249/'Optimal Choice'!$B$26)</f>
        <v>1850.3359780128349</v>
      </c>
      <c r="I249" s="11">
        <f t="shared" ref="I249:M249" si="247">IF(MIN($C248:$G248)=C248,I248+1,I248)</f>
        <v>97</v>
      </c>
      <c r="J249" s="11">
        <f t="shared" si="247"/>
        <v>45</v>
      </c>
      <c r="K249" s="11">
        <f t="shared" si="247"/>
        <v>41</v>
      </c>
      <c r="L249" s="11">
        <f t="shared" si="247"/>
        <v>34</v>
      </c>
      <c r="M249" s="11">
        <f t="shared" si="247"/>
        <v>31</v>
      </c>
      <c r="O249" s="10">
        <f>'Optimal Choice'!$B$7*'Optimal Choice'!$B$8^(I249+1)</f>
        <v>3031.5881756185258</v>
      </c>
      <c r="P249" s="10">
        <f>'Optimal Choice'!$B$12*'Optimal Choice'!$B$13^(J249+1)</f>
        <v>37175.07956020008</v>
      </c>
      <c r="Q249" s="10">
        <f>'Optimal Choice'!$B$17*'Optimal Choice'!$B$18^(K249+1)</f>
        <v>176740.57051889144</v>
      </c>
      <c r="R249" s="10">
        <f>'Optimal Choice'!$B$22*'Optimal Choice'!$B$23^(L249+1)</f>
        <v>622671.8958706907</v>
      </c>
      <c r="S249" s="10">
        <f>'Optimal Choice'!$B$27*'Optimal Choice'!$B$28^(M249+1)</f>
        <v>3896473.3836622667</v>
      </c>
    </row>
    <row r="250" spans="1:19" ht="15.75" customHeight="1">
      <c r="A250" s="8">
        <f t="shared" si="0"/>
        <v>14.107679071328334</v>
      </c>
      <c r="B250" s="7">
        <f>(I250*'Optimal Choice'!$B$6+J250*'Optimal Choice'!$B$11+K250*'Optimal Choice'!$B$16+L250*'Optimal Choice'!$B$21+M250*'Optimal Choice'!$B$26)*'Optimal Choice'!$B$30</f>
        <v>84311.989999999991</v>
      </c>
      <c r="C250" s="8">
        <f>(O250/$B250)+(O250/'Optimal Choice'!$B$6)</f>
        <v>1815.358217635345</v>
      </c>
      <c r="D250" s="8">
        <f>(P250/$B250)+(P250/'Optimal Choice'!$B$11)</f>
        <v>1859.1949008201548</v>
      </c>
      <c r="E250" s="8">
        <f>(Q250/$B250)+(Q250/'Optimal Choice'!$B$16)</f>
        <v>1965.8803853968482</v>
      </c>
      <c r="F250" s="8">
        <f>(R250/$B250)+(R250/'Optimal Choice'!$B$21)</f>
        <v>1962.8433186305974</v>
      </c>
      <c r="G250" s="8">
        <f>(S250/$B250)+(S250/'Optimal Choice'!$B$26)</f>
        <v>1850.1378007254259</v>
      </c>
      <c r="I250" s="11">
        <f t="shared" ref="I250:M250" si="248">IF(MIN($C249:$G249)=C249,I249+1,I249)</f>
        <v>97</v>
      </c>
      <c r="J250" s="11">
        <f t="shared" si="248"/>
        <v>45</v>
      </c>
      <c r="K250" s="11">
        <f t="shared" si="248"/>
        <v>41</v>
      </c>
      <c r="L250" s="11">
        <f t="shared" si="248"/>
        <v>35</v>
      </c>
      <c r="M250" s="11">
        <f t="shared" si="248"/>
        <v>31</v>
      </c>
      <c r="O250" s="10">
        <f>'Optimal Choice'!$B$7*'Optimal Choice'!$B$8^(I250+1)</f>
        <v>3031.5881756185258</v>
      </c>
      <c r="P250" s="10">
        <f>'Optimal Choice'!$B$12*'Optimal Choice'!$B$13^(J250+1)</f>
        <v>37175.07956020008</v>
      </c>
      <c r="Q250" s="10">
        <f>'Optimal Choice'!$B$17*'Optimal Choice'!$B$18^(K250+1)</f>
        <v>176740.57051889144</v>
      </c>
      <c r="R250" s="10">
        <f>'Optimal Choice'!$B$22*'Optimal Choice'!$B$23^(L250+1)</f>
        <v>703619.24233388051</v>
      </c>
      <c r="S250" s="10">
        <f>'Optimal Choice'!$B$27*'Optimal Choice'!$B$28^(M250+1)</f>
        <v>3896473.3836622667</v>
      </c>
    </row>
    <row r="251" spans="1:19" ht="15.75" customHeight="1">
      <c r="A251" s="8">
        <f t="shared" si="0"/>
        <v>14.108278351093807</v>
      </c>
      <c r="B251" s="7">
        <f>(I251*'Optimal Choice'!$B$6+J251*'Optimal Choice'!$B$11+K251*'Optimal Choice'!$B$16+L251*'Optimal Choice'!$B$21+M251*'Optimal Choice'!$B$26)*'Optimal Choice'!$B$30</f>
        <v>84313.66</v>
      </c>
      <c r="C251" s="8">
        <f>(O251/$B251)+(O251/'Optimal Choice'!$B$6)</f>
        <v>1942.4332921077698</v>
      </c>
      <c r="D251" s="8">
        <f>(P251/$B251)+(P251/'Optimal Choice'!$B$11)</f>
        <v>1859.1948920868001</v>
      </c>
      <c r="E251" s="8">
        <f>(Q251/$B251)+(Q251/'Optimal Choice'!$B$16)</f>
        <v>1965.8803438760742</v>
      </c>
      <c r="F251" s="8">
        <f>(R251/$B251)+(R251/'Optimal Choice'!$B$21)</f>
        <v>1962.8431533328646</v>
      </c>
      <c r="G251" s="8">
        <f>(S251/$B251)+(S251/'Optimal Choice'!$B$26)</f>
        <v>1850.1368853465144</v>
      </c>
      <c r="I251" s="11">
        <f t="shared" ref="I251:M251" si="249">IF(MIN($C250:$G250)=C250,I250+1,I250)</f>
        <v>98</v>
      </c>
      <c r="J251" s="11">
        <f t="shared" si="249"/>
        <v>45</v>
      </c>
      <c r="K251" s="11">
        <f t="shared" si="249"/>
        <v>41</v>
      </c>
      <c r="L251" s="11">
        <f t="shared" si="249"/>
        <v>35</v>
      </c>
      <c r="M251" s="11">
        <f t="shared" si="249"/>
        <v>31</v>
      </c>
      <c r="O251" s="10">
        <f>'Optimal Choice'!$B$7*'Optimal Choice'!$B$8^(I251+1)</f>
        <v>3243.7993479118227</v>
      </c>
      <c r="P251" s="10">
        <f>'Optimal Choice'!$B$12*'Optimal Choice'!$B$13^(J251+1)</f>
        <v>37175.07956020008</v>
      </c>
      <c r="Q251" s="10">
        <f>'Optimal Choice'!$B$17*'Optimal Choice'!$B$18^(K251+1)</f>
        <v>176740.57051889144</v>
      </c>
      <c r="R251" s="10">
        <f>'Optimal Choice'!$B$22*'Optimal Choice'!$B$23^(L251+1)</f>
        <v>703619.24233388051</v>
      </c>
      <c r="S251" s="10">
        <f>'Optimal Choice'!$B$27*'Optimal Choice'!$B$28^(M251+1)</f>
        <v>3896473.3836622667</v>
      </c>
    </row>
    <row r="252" spans="1:19" ht="15.75" customHeight="1">
      <c r="A252" s="8">
        <f t="shared" si="0"/>
        <v>14.878512060092298</v>
      </c>
      <c r="B252" s="7">
        <f>(I252*'Optimal Choice'!$B$6+J252*'Optimal Choice'!$B$11+K252*'Optimal Choice'!$B$16+L252*'Optimal Choice'!$B$21+M252*'Optimal Choice'!$B$26)*'Optimal Choice'!$B$30</f>
        <v>86473.66</v>
      </c>
      <c r="C252" s="8">
        <f>(O252/$B252)+(O252/'Optimal Choice'!$B$6)</f>
        <v>1942.4323311020992</v>
      </c>
      <c r="D252" s="8">
        <f>(P252/$B252)+(P252/'Optimal Choice'!$B$11)</f>
        <v>1859.1838786243668</v>
      </c>
      <c r="E252" s="8">
        <f>(Q252/$B252)+(Q252/'Optimal Choice'!$B$16)</f>
        <v>1965.8279828412929</v>
      </c>
      <c r="F252" s="8">
        <f>(R252/$B252)+(R252/'Optimal Choice'!$B$21)</f>
        <v>1962.6346996002978</v>
      </c>
      <c r="G252" s="8">
        <f>(S252/$B252)+(S252/'Optimal Choice'!$B$26)</f>
        <v>2070.8604212058858</v>
      </c>
      <c r="I252" s="11">
        <f t="shared" ref="I252:M252" si="250">IF(MIN($C251:$G251)=C251,I251+1,I251)</f>
        <v>98</v>
      </c>
      <c r="J252" s="11">
        <f t="shared" si="250"/>
        <v>45</v>
      </c>
      <c r="K252" s="11">
        <f t="shared" si="250"/>
        <v>41</v>
      </c>
      <c r="L252" s="11">
        <f t="shared" si="250"/>
        <v>35</v>
      </c>
      <c r="M252" s="11">
        <f t="shared" si="250"/>
        <v>32</v>
      </c>
      <c r="O252" s="10">
        <f>'Optimal Choice'!$B$7*'Optimal Choice'!$B$8^(I252+1)</f>
        <v>3243.7993479118227</v>
      </c>
      <c r="P252" s="10">
        <f>'Optimal Choice'!$B$12*'Optimal Choice'!$B$13^(J252+1)</f>
        <v>37175.07956020008</v>
      </c>
      <c r="Q252" s="10">
        <f>'Optimal Choice'!$B$17*'Optimal Choice'!$B$18^(K252+1)</f>
        <v>176740.57051889144</v>
      </c>
      <c r="R252" s="10">
        <f>'Optimal Choice'!$B$22*'Optimal Choice'!$B$23^(L252+1)</f>
        <v>703619.24233388051</v>
      </c>
      <c r="S252" s="10">
        <f>'Optimal Choice'!$B$27*'Optimal Choice'!$B$28^(M252+1)</f>
        <v>4364050.1897017388</v>
      </c>
    </row>
    <row r="253" spans="1:19" ht="15.75" customHeight="1">
      <c r="A253" s="8">
        <f t="shared" si="0"/>
        <v>14.885677070331678</v>
      </c>
      <c r="B253" s="7">
        <f>(I253*'Optimal Choice'!$B$6+J253*'Optimal Choice'!$B$11+K253*'Optimal Choice'!$B$16+L253*'Optimal Choice'!$B$21+M253*'Optimal Choice'!$B$26)*'Optimal Choice'!$B$30</f>
        <v>86493.66</v>
      </c>
      <c r="C253" s="8">
        <f>(O253/$B253)+(O253/'Optimal Choice'!$B$6)</f>
        <v>1942.4323224281702</v>
      </c>
      <c r="D253" s="8">
        <f>(P253/$B253)+(P253/'Optimal Choice'!$B$11)</f>
        <v>2138.0613461008088</v>
      </c>
      <c r="E253" s="8">
        <f>(Q253/$B253)+(Q253/'Optimal Choice'!$B$16)</f>
        <v>1965.8275102364883</v>
      </c>
      <c r="F253" s="8">
        <f>(R253/$B253)+(R253/'Optimal Choice'!$B$21)</f>
        <v>1962.6328181203771</v>
      </c>
      <c r="G253" s="8">
        <f>(S253/$B253)+(S253/'Optimal Choice'!$B$26)</f>
        <v>2070.8487517228596</v>
      </c>
      <c r="I253" s="11">
        <f t="shared" ref="I253:M253" si="251">IF(MIN($C252:$G252)=C252,I252+1,I252)</f>
        <v>98</v>
      </c>
      <c r="J253" s="11">
        <f t="shared" si="251"/>
        <v>46</v>
      </c>
      <c r="K253" s="11">
        <f t="shared" si="251"/>
        <v>41</v>
      </c>
      <c r="L253" s="11">
        <f t="shared" si="251"/>
        <v>35</v>
      </c>
      <c r="M253" s="11">
        <f t="shared" si="251"/>
        <v>32</v>
      </c>
      <c r="O253" s="10">
        <f>'Optimal Choice'!$B$7*'Optimal Choice'!$B$8^(I253+1)</f>
        <v>3243.7993479118227</v>
      </c>
      <c r="P253" s="10">
        <f>'Optimal Choice'!$B$12*'Optimal Choice'!$B$13^(J253+1)</f>
        <v>42751.341494230081</v>
      </c>
      <c r="Q253" s="10">
        <f>'Optimal Choice'!$B$17*'Optimal Choice'!$B$18^(K253+1)</f>
        <v>176740.57051889144</v>
      </c>
      <c r="R253" s="10">
        <f>'Optimal Choice'!$B$22*'Optimal Choice'!$B$23^(L253+1)</f>
        <v>703619.24233388051</v>
      </c>
      <c r="S253" s="10">
        <f>'Optimal Choice'!$B$27*'Optimal Choice'!$B$28^(M253+1)</f>
        <v>4364050.1897017388</v>
      </c>
    </row>
    <row r="254" spans="1:19" ht="15.75" customHeight="1">
      <c r="A254" s="8">
        <f t="shared" si="0"/>
        <v>14.886302125653248</v>
      </c>
      <c r="B254" s="7">
        <f>(I254*'Optimal Choice'!$B$6+J254*'Optimal Choice'!$B$11+K254*'Optimal Choice'!$B$16+L254*'Optimal Choice'!$B$21+M254*'Optimal Choice'!$B$26)*'Optimal Choice'!$B$30</f>
        <v>86495.33</v>
      </c>
      <c r="C254" s="8">
        <f>(O254/$B254)+(O254/'Optimal Choice'!$B$6)</f>
        <v>2078.4025842233641</v>
      </c>
      <c r="D254" s="8">
        <f>(P254/$B254)+(P254/'Optimal Choice'!$B$11)</f>
        <v>2138.0613365577128</v>
      </c>
      <c r="E254" s="8">
        <f>(Q254/$B254)+(Q254/'Optimal Choice'!$B$16)</f>
        <v>1965.8274707838737</v>
      </c>
      <c r="F254" s="8">
        <f>(R254/$B254)+(R254/'Optimal Choice'!$B$21)</f>
        <v>1962.6326610561634</v>
      </c>
      <c r="G254" s="8">
        <f>(S254/$B254)+(S254/'Optimal Choice'!$B$26)</f>
        <v>2070.8477775651472</v>
      </c>
      <c r="I254" s="11">
        <f t="shared" ref="I254:M254" si="252">IF(MIN($C253:$G253)=C253,I253+1,I253)</f>
        <v>99</v>
      </c>
      <c r="J254" s="11">
        <f t="shared" si="252"/>
        <v>46</v>
      </c>
      <c r="K254" s="11">
        <f t="shared" si="252"/>
        <v>41</v>
      </c>
      <c r="L254" s="11">
        <f t="shared" si="252"/>
        <v>35</v>
      </c>
      <c r="M254" s="11">
        <f t="shared" si="252"/>
        <v>32</v>
      </c>
      <c r="O254" s="10">
        <f>'Optimal Choice'!$B$7*'Optimal Choice'!$B$8^(I254+1)</f>
        <v>3470.8653022656504</v>
      </c>
      <c r="P254" s="10">
        <f>'Optimal Choice'!$B$12*'Optimal Choice'!$B$13^(J254+1)</f>
        <v>42751.341494230081</v>
      </c>
      <c r="Q254" s="10">
        <f>'Optimal Choice'!$B$17*'Optimal Choice'!$B$18^(K254+1)</f>
        <v>176740.57051889144</v>
      </c>
      <c r="R254" s="10">
        <f>'Optimal Choice'!$B$22*'Optimal Choice'!$B$23^(L254+1)</f>
        <v>703619.24233388051</v>
      </c>
      <c r="S254" s="10">
        <f>'Optimal Choice'!$B$27*'Optimal Choice'!$B$28^(M254+1)</f>
        <v>4364050.1897017388</v>
      </c>
    </row>
    <row r="255" spans="1:19" ht="15.75" customHeight="1">
      <c r="A255" s="8">
        <f t="shared" si="0"/>
        <v>15.021881553724468</v>
      </c>
      <c r="B255" s="7">
        <f>(I255*'Optimal Choice'!$B$6+J255*'Optimal Choice'!$B$11+K255*'Optimal Choice'!$B$16+L255*'Optimal Choice'!$B$21+M255*'Optimal Choice'!$B$26)*'Optimal Choice'!$B$30</f>
        <v>86855.33</v>
      </c>
      <c r="C255" s="8">
        <f>(O255/$B255)+(O255/'Optimal Choice'!$B$6)</f>
        <v>2078.4024179008175</v>
      </c>
      <c r="D255" s="8">
        <f>(P255/$B255)+(P255/'Optimal Choice'!$B$11)</f>
        <v>2138.059287929671</v>
      </c>
      <c r="E255" s="8">
        <f>(Q255/$B255)+(Q255/'Optimal Choice'!$B$16)</f>
        <v>1965.8190014428831</v>
      </c>
      <c r="F255" s="8">
        <f>(R255/$B255)+(R255/'Optimal Choice'!$B$21)</f>
        <v>2217.7368065950159</v>
      </c>
      <c r="G255" s="8">
        <f>(S255/$B255)+(S255/'Optimal Choice'!$B$26)</f>
        <v>2070.6386539380787</v>
      </c>
      <c r="I255" s="11">
        <f t="shared" ref="I255:M255" si="253">IF(MIN($C254:$G254)=C254,I254+1,I254)</f>
        <v>99</v>
      </c>
      <c r="J255" s="11">
        <f t="shared" si="253"/>
        <v>46</v>
      </c>
      <c r="K255" s="11">
        <f t="shared" si="253"/>
        <v>41</v>
      </c>
      <c r="L255" s="11">
        <f t="shared" si="253"/>
        <v>36</v>
      </c>
      <c r="M255" s="11">
        <f t="shared" si="253"/>
        <v>32</v>
      </c>
      <c r="O255" s="10">
        <f>'Optimal Choice'!$B$7*'Optimal Choice'!$B$8^(I255+1)</f>
        <v>3470.8653022656504</v>
      </c>
      <c r="P255" s="10">
        <f>'Optimal Choice'!$B$12*'Optimal Choice'!$B$13^(J255+1)</f>
        <v>42751.341494230081</v>
      </c>
      <c r="Q255" s="10">
        <f>'Optimal Choice'!$B$17*'Optimal Choice'!$B$18^(K255+1)</f>
        <v>176740.57051889144</v>
      </c>
      <c r="R255" s="10">
        <f>'Optimal Choice'!$B$22*'Optimal Choice'!$B$23^(L255+1)</f>
        <v>795089.74383728486</v>
      </c>
      <c r="S255" s="10">
        <f>'Optimal Choice'!$B$27*'Optimal Choice'!$B$28^(M255+1)</f>
        <v>4364050.1897017388</v>
      </c>
    </row>
    <row r="256" spans="1:19" ht="15.75" customHeight="1">
      <c r="A256" s="8">
        <f t="shared" si="0"/>
        <v>15.055796296496325</v>
      </c>
      <c r="B256" s="7">
        <f>(I256*'Optimal Choice'!$B$6+J256*'Optimal Choice'!$B$11+K256*'Optimal Choice'!$B$16+L256*'Optimal Choice'!$B$21+M256*'Optimal Choice'!$B$26)*'Optimal Choice'!$B$30</f>
        <v>86945.33</v>
      </c>
      <c r="C256" s="8">
        <f>(O256/$B256)+(O256/'Optimal Choice'!$B$6)</f>
        <v>2078.4023765353882</v>
      </c>
      <c r="D256" s="8">
        <f>(P256/$B256)+(P256/'Optimal Choice'!$B$11)</f>
        <v>2138.058778423414</v>
      </c>
      <c r="E256" s="8">
        <f>(Q256/$B256)+(Q256/'Optimal Choice'!$B$16)</f>
        <v>2241.0312603755319</v>
      </c>
      <c r="F256" s="8">
        <f>(R256/$B256)+(R256/'Optimal Choice'!$B$21)</f>
        <v>2217.7273307941391</v>
      </c>
      <c r="G256" s="8">
        <f>(S256/$B256)+(S256/'Optimal Choice'!$B$26)</f>
        <v>2070.5866436198303</v>
      </c>
      <c r="I256" s="11">
        <f t="shared" ref="I256:M256" si="254">IF(MIN($C255:$G255)=C255,I255+1,I255)</f>
        <v>99</v>
      </c>
      <c r="J256" s="11">
        <f t="shared" si="254"/>
        <v>46</v>
      </c>
      <c r="K256" s="11">
        <f t="shared" si="254"/>
        <v>42</v>
      </c>
      <c r="L256" s="11">
        <f t="shared" si="254"/>
        <v>36</v>
      </c>
      <c r="M256" s="11">
        <f t="shared" si="254"/>
        <v>32</v>
      </c>
      <c r="O256" s="10">
        <f>'Optimal Choice'!$B$7*'Optimal Choice'!$B$8^(I256+1)</f>
        <v>3470.8653022656504</v>
      </c>
      <c r="P256" s="10">
        <f>'Optimal Choice'!$B$12*'Optimal Choice'!$B$13^(J256+1)</f>
        <v>42751.341494230081</v>
      </c>
      <c r="Q256" s="10">
        <f>'Optimal Choice'!$B$17*'Optimal Choice'!$B$18^(K256+1)</f>
        <v>201484.25039153628</v>
      </c>
      <c r="R256" s="10">
        <f>'Optimal Choice'!$B$22*'Optimal Choice'!$B$23^(L256+1)</f>
        <v>795089.74383728486</v>
      </c>
      <c r="S256" s="10">
        <f>'Optimal Choice'!$B$27*'Optimal Choice'!$B$28^(M256+1)</f>
        <v>4364050.1897017388</v>
      </c>
    </row>
    <row r="257" spans="1:19" ht="15.75" customHeight="1">
      <c r="A257" s="8">
        <f t="shared" si="0"/>
        <v>15.892346917770203</v>
      </c>
      <c r="B257" s="7">
        <f>(I257*'Optimal Choice'!$B$6+J257*'Optimal Choice'!$B$11+K257*'Optimal Choice'!$B$16+L257*'Optimal Choice'!$B$21+M257*'Optimal Choice'!$B$26)*'Optimal Choice'!$B$30</f>
        <v>89105.33</v>
      </c>
      <c r="C257" s="8">
        <f>(O257/$B257)+(O257/'Optimal Choice'!$B$6)</f>
        <v>2078.4014088335457</v>
      </c>
      <c r="D257" s="8">
        <f>(P257/$B257)+(P257/'Optimal Choice'!$B$11)</f>
        <v>2138.0468590464507</v>
      </c>
      <c r="E257" s="8">
        <f>(Q257/$B257)+(Q257/'Optimal Choice'!$B$16)</f>
        <v>2240.9750851387162</v>
      </c>
      <c r="F257" s="8">
        <f>(R257/$B257)+(R257/'Optimal Choice'!$B$21)</f>
        <v>2217.5056541392005</v>
      </c>
      <c r="G257" s="8">
        <f>(S257/$B257)+(S257/'Optimal Choice'!$B$26)</f>
        <v>2317.6943053615169</v>
      </c>
      <c r="I257" s="11">
        <f t="shared" ref="I257:M257" si="255">IF(MIN($C256:$G256)=C256,I256+1,I256)</f>
        <v>99</v>
      </c>
      <c r="J257" s="11">
        <f t="shared" si="255"/>
        <v>46</v>
      </c>
      <c r="K257" s="11">
        <f t="shared" si="255"/>
        <v>42</v>
      </c>
      <c r="L257" s="11">
        <f t="shared" si="255"/>
        <v>36</v>
      </c>
      <c r="M257" s="11">
        <f t="shared" si="255"/>
        <v>33</v>
      </c>
      <c r="O257" s="10">
        <f>'Optimal Choice'!$B$7*'Optimal Choice'!$B$8^(I257+1)</f>
        <v>3470.8653022656504</v>
      </c>
      <c r="P257" s="10">
        <f>'Optimal Choice'!$B$12*'Optimal Choice'!$B$13^(J257+1)</f>
        <v>42751.341494230081</v>
      </c>
      <c r="Q257" s="10">
        <f>'Optimal Choice'!$B$17*'Optimal Choice'!$B$18^(K257+1)</f>
        <v>201484.25039153628</v>
      </c>
      <c r="R257" s="10">
        <f>'Optimal Choice'!$B$22*'Optimal Choice'!$B$23^(L257+1)</f>
        <v>795089.74383728486</v>
      </c>
      <c r="S257" s="10">
        <f>'Optimal Choice'!$B$27*'Optimal Choice'!$B$28^(M257+1)</f>
        <v>4887736.2124659475</v>
      </c>
    </row>
    <row r="258" spans="1:19" ht="15.75" customHeight="1">
      <c r="A258" s="8">
        <f t="shared" si="0"/>
        <v>15.892996124221016</v>
      </c>
      <c r="B258" s="7">
        <f>(I258*'Optimal Choice'!$B$6+J258*'Optimal Choice'!$B$11+K258*'Optimal Choice'!$B$16+L258*'Optimal Choice'!$B$21+M258*'Optimal Choice'!$B$26)*'Optimal Choice'!$B$30</f>
        <v>89107</v>
      </c>
      <c r="C258" s="8">
        <f>(O258/$B258)+(O258/'Optimal Choice'!$B$6)</f>
        <v>2223.889506670766</v>
      </c>
      <c r="D258" s="8">
        <f>(P258/$B258)+(P258/'Optimal Choice'!$B$11)</f>
        <v>2138.0468500545662</v>
      </c>
      <c r="E258" s="8">
        <f>(Q258/$B258)+(Q258/'Optimal Choice'!$B$16)</f>
        <v>2240.9750427605586</v>
      </c>
      <c r="F258" s="8">
        <f>(R258/$B258)+(R258/'Optimal Choice'!$B$21)</f>
        <v>2217.5054869080732</v>
      </c>
      <c r="G258" s="8">
        <f>(S258/$B258)+(S258/'Optimal Choice'!$B$26)</f>
        <v>2317.6932773245653</v>
      </c>
      <c r="I258" s="11">
        <f t="shared" ref="I258:M258" si="256">IF(MIN($C257:$G257)=C257,I257+1,I257)</f>
        <v>100</v>
      </c>
      <c r="J258" s="11">
        <f t="shared" si="256"/>
        <v>46</v>
      </c>
      <c r="K258" s="11">
        <f t="shared" si="256"/>
        <v>42</v>
      </c>
      <c r="L258" s="11">
        <f t="shared" si="256"/>
        <v>36</v>
      </c>
      <c r="M258" s="11">
        <f t="shared" si="256"/>
        <v>33</v>
      </c>
      <c r="O258" s="10">
        <f>'Optimal Choice'!$B$7*'Optimal Choice'!$B$8^(I258+1)</f>
        <v>3713.8258734242463</v>
      </c>
      <c r="P258" s="10">
        <f>'Optimal Choice'!$B$12*'Optimal Choice'!$B$13^(J258+1)</f>
        <v>42751.341494230081</v>
      </c>
      <c r="Q258" s="10">
        <f>'Optimal Choice'!$B$17*'Optimal Choice'!$B$18^(K258+1)</f>
        <v>201484.25039153628</v>
      </c>
      <c r="R258" s="10">
        <f>'Optimal Choice'!$B$22*'Optimal Choice'!$B$23^(L258+1)</f>
        <v>795089.74383728486</v>
      </c>
      <c r="S258" s="10">
        <f>'Optimal Choice'!$B$27*'Optimal Choice'!$B$28^(M258+1)</f>
        <v>4887736.2124659475</v>
      </c>
    </row>
    <row r="259" spans="1:19" ht="15.75" customHeight="1">
      <c r="A259" s="8">
        <f t="shared" si="0"/>
        <v>15.900992379938717</v>
      </c>
      <c r="B259" s="7">
        <f>(I259*'Optimal Choice'!$B$6+J259*'Optimal Choice'!$B$11+K259*'Optimal Choice'!$B$16+L259*'Optimal Choice'!$B$21+M259*'Optimal Choice'!$B$26)*'Optimal Choice'!$B$30</f>
        <v>89127</v>
      </c>
      <c r="C259" s="8">
        <f>(O259/$B259)+(O259/'Optimal Choice'!$B$6)</f>
        <v>2223.8894973182078</v>
      </c>
      <c r="D259" s="8">
        <f>(P259/$B259)+(P259/'Optimal Choice'!$B$11)</f>
        <v>2458.7537537525368</v>
      </c>
      <c r="E259" s="8">
        <f>(Q259/$B259)+(Q259/'Optimal Choice'!$B$16)</f>
        <v>2240.9745353611129</v>
      </c>
      <c r="F259" s="8">
        <f>(R259/$B259)+(R259/'Optimal Choice'!$B$21)</f>
        <v>2217.5034846270273</v>
      </c>
      <c r="G259" s="8">
        <f>(S259/$B259)+(S259/'Optimal Choice'!$B$26)</f>
        <v>2317.6809684982341</v>
      </c>
      <c r="I259" s="11">
        <f t="shared" ref="I259:M259" si="257">IF(MIN($C258:$G258)=C258,I258+1,I258)</f>
        <v>100</v>
      </c>
      <c r="J259" s="11">
        <f t="shared" si="257"/>
        <v>47</v>
      </c>
      <c r="K259" s="11">
        <f t="shared" si="257"/>
        <v>42</v>
      </c>
      <c r="L259" s="11">
        <f t="shared" si="257"/>
        <v>36</v>
      </c>
      <c r="M259" s="11">
        <f t="shared" si="257"/>
        <v>33</v>
      </c>
      <c r="O259" s="10">
        <f>'Optimal Choice'!$B$7*'Optimal Choice'!$B$8^(I259+1)</f>
        <v>3713.8258734242463</v>
      </c>
      <c r="P259" s="10">
        <f>'Optimal Choice'!$B$12*'Optimal Choice'!$B$13^(J259+1)</f>
        <v>49164.042718364581</v>
      </c>
      <c r="Q259" s="10">
        <f>'Optimal Choice'!$B$17*'Optimal Choice'!$B$18^(K259+1)</f>
        <v>201484.25039153628</v>
      </c>
      <c r="R259" s="10">
        <f>'Optimal Choice'!$B$22*'Optimal Choice'!$B$23^(L259+1)</f>
        <v>795089.74383728486</v>
      </c>
      <c r="S259" s="10">
        <f>'Optimal Choice'!$B$27*'Optimal Choice'!$B$28^(M259+1)</f>
        <v>4887736.2124659475</v>
      </c>
    </row>
    <row r="260" spans="1:19" ht="15.75" customHeight="1">
      <c r="A260" s="8">
        <f t="shared" si="0"/>
        <v>16.049673427551916</v>
      </c>
      <c r="B260" s="7">
        <f>(I260*'Optimal Choice'!$B$6+J260*'Optimal Choice'!$B$11+K260*'Optimal Choice'!$B$16+L260*'Optimal Choice'!$B$21+M260*'Optimal Choice'!$B$26)*'Optimal Choice'!$B$30</f>
        <v>89487</v>
      </c>
      <c r="C260" s="8">
        <f>(O260/$B260)+(O260/'Optimal Choice'!$B$6)</f>
        <v>2223.8893296870283</v>
      </c>
      <c r="D260" s="8">
        <f>(P260/$B260)+(P260/'Optimal Choice'!$B$11)</f>
        <v>2458.7515346322139</v>
      </c>
      <c r="E260" s="8">
        <f>(Q260/$B260)+(Q260/'Optimal Choice'!$B$16)</f>
        <v>2240.9654409545078</v>
      </c>
      <c r="F260" s="8">
        <f>(R260/$B260)+(R260/'Optimal Choice'!$B$21)</f>
        <v>2505.7383841737355</v>
      </c>
      <c r="G260" s="8">
        <f>(S260/$B260)+(S260/'Optimal Choice'!$B$26)</f>
        <v>2317.4603504578295</v>
      </c>
      <c r="I260" s="11">
        <f t="shared" ref="I260:M260" si="258">IF(MIN($C259:$G259)=C259,I259+1,I259)</f>
        <v>100</v>
      </c>
      <c r="J260" s="11">
        <f t="shared" si="258"/>
        <v>47</v>
      </c>
      <c r="K260" s="11">
        <f t="shared" si="258"/>
        <v>42</v>
      </c>
      <c r="L260" s="11">
        <f t="shared" si="258"/>
        <v>37</v>
      </c>
      <c r="M260" s="11">
        <f t="shared" si="258"/>
        <v>33</v>
      </c>
      <c r="O260" s="10">
        <f>'Optimal Choice'!$B$7*'Optimal Choice'!$B$8^(I260+1)</f>
        <v>3713.8258734242463</v>
      </c>
      <c r="P260" s="10">
        <f>'Optimal Choice'!$B$12*'Optimal Choice'!$B$13^(J260+1)</f>
        <v>49164.042718364581</v>
      </c>
      <c r="Q260" s="10">
        <f>'Optimal Choice'!$B$17*'Optimal Choice'!$B$18^(K260+1)</f>
        <v>201484.25039153628</v>
      </c>
      <c r="R260" s="10">
        <f>'Optimal Choice'!$B$22*'Optimal Choice'!$B$23^(L260+1)</f>
        <v>898451.41053613171</v>
      </c>
      <c r="S260" s="10">
        <f>'Optimal Choice'!$B$27*'Optimal Choice'!$B$28^(M260+1)</f>
        <v>4887736.2124659475</v>
      </c>
    </row>
    <row r="261" spans="1:19" ht="15.75" customHeight="1">
      <c r="A261" s="8">
        <f t="shared" si="0"/>
        <v>16.050365115706512</v>
      </c>
      <c r="B261" s="7">
        <f>(I261*'Optimal Choice'!$B$6+J261*'Optimal Choice'!$B$11+K261*'Optimal Choice'!$B$16+L261*'Optimal Choice'!$B$21+M261*'Optimal Choice'!$B$26)*'Optimal Choice'!$B$30</f>
        <v>89488.67</v>
      </c>
      <c r="C261" s="8">
        <f>(O261/$B261)+(O261/'Optimal Choice'!$B$6)</f>
        <v>2379.561581936427</v>
      </c>
      <c r="D261" s="8">
        <f>(P261/$B261)+(P261/'Optimal Choice'!$B$11)</f>
        <v>2458.7515243795656</v>
      </c>
      <c r="E261" s="8">
        <f>(Q261/$B261)+(Q261/'Optimal Choice'!$B$16)</f>
        <v>2240.9653989370695</v>
      </c>
      <c r="F261" s="8">
        <f>(R261/$B261)+(R261/'Optimal Choice'!$B$21)</f>
        <v>2505.7381968110667</v>
      </c>
      <c r="G261" s="8">
        <f>(S261/$B261)+(S261/'Optimal Choice'!$B$26)</f>
        <v>2317.459331171433</v>
      </c>
      <c r="I261" s="11">
        <f t="shared" ref="I261:M261" si="259">IF(MIN($C260:$G260)=C260,I260+1,I260)</f>
        <v>101</v>
      </c>
      <c r="J261" s="11">
        <f t="shared" si="259"/>
        <v>47</v>
      </c>
      <c r="K261" s="11">
        <f t="shared" si="259"/>
        <v>42</v>
      </c>
      <c r="L261" s="11">
        <f t="shared" si="259"/>
        <v>37</v>
      </c>
      <c r="M261" s="11">
        <f t="shared" si="259"/>
        <v>33</v>
      </c>
      <c r="O261" s="10">
        <f>'Optimal Choice'!$B$7*'Optimal Choice'!$B$8^(I261+1)</f>
        <v>3973.7936845639433</v>
      </c>
      <c r="P261" s="10">
        <f>'Optimal Choice'!$B$12*'Optimal Choice'!$B$13^(J261+1)</f>
        <v>49164.042718364581</v>
      </c>
      <c r="Q261" s="10">
        <f>'Optimal Choice'!$B$17*'Optimal Choice'!$B$18^(K261+1)</f>
        <v>201484.25039153628</v>
      </c>
      <c r="R261" s="10">
        <f>'Optimal Choice'!$B$22*'Optimal Choice'!$B$23^(L261+1)</f>
        <v>898451.41053613171</v>
      </c>
      <c r="S261" s="10">
        <f>'Optimal Choice'!$B$27*'Optimal Choice'!$B$28^(M261+1)</f>
        <v>4887736.2124659475</v>
      </c>
    </row>
    <row r="262" spans="1:19" ht="15.75" customHeight="1">
      <c r="A262" s="8">
        <f t="shared" si="0"/>
        <v>16.087890210669471</v>
      </c>
      <c r="B262" s="7">
        <f>(I262*'Optimal Choice'!$B$6+J262*'Optimal Choice'!$B$11+K262*'Optimal Choice'!$B$16+L262*'Optimal Choice'!$B$21+M262*'Optimal Choice'!$B$26)*'Optimal Choice'!$B$30</f>
        <v>89578.67</v>
      </c>
      <c r="C262" s="8">
        <f>(O262/$B262)+(O262/'Optimal Choice'!$B$6)</f>
        <v>2379.5615373220162</v>
      </c>
      <c r="D262" s="8">
        <f>(P262/$B262)+(P262/'Optimal Choice'!$B$11)</f>
        <v>2458.750972407076</v>
      </c>
      <c r="E262" s="8">
        <f>(Q262/$B262)+(Q262/'Optimal Choice'!$B$16)</f>
        <v>2554.6979759993055</v>
      </c>
      <c r="F262" s="8">
        <f>(R262/$B262)+(R262/'Optimal Choice'!$B$21)</f>
        <v>2505.728109754863</v>
      </c>
      <c r="G262" s="8">
        <f>(S262/$B262)+(S262/'Optimal Choice'!$B$26)</f>
        <v>2317.4044557832854</v>
      </c>
      <c r="I262" s="11">
        <f t="shared" ref="I262:M262" si="260">IF(MIN($C261:$G261)=C261,I261+1,I261)</f>
        <v>101</v>
      </c>
      <c r="J262" s="11">
        <f t="shared" si="260"/>
        <v>47</v>
      </c>
      <c r="K262" s="11">
        <f t="shared" si="260"/>
        <v>43</v>
      </c>
      <c r="L262" s="11">
        <f t="shared" si="260"/>
        <v>37</v>
      </c>
      <c r="M262" s="11">
        <f t="shared" si="260"/>
        <v>33</v>
      </c>
      <c r="O262" s="10">
        <f>'Optimal Choice'!$B$7*'Optimal Choice'!$B$8^(I262+1)</f>
        <v>3973.7936845639433</v>
      </c>
      <c r="P262" s="10">
        <f>'Optimal Choice'!$B$12*'Optimal Choice'!$B$13^(J262+1)</f>
        <v>49164.042718364581</v>
      </c>
      <c r="Q262" s="10">
        <f>'Optimal Choice'!$B$17*'Optimal Choice'!$B$18^(K262+1)</f>
        <v>229692.04544635129</v>
      </c>
      <c r="R262" s="10">
        <f>'Optimal Choice'!$B$22*'Optimal Choice'!$B$23^(L262+1)</f>
        <v>898451.41053613171</v>
      </c>
      <c r="S262" s="10">
        <f>'Optimal Choice'!$B$27*'Optimal Choice'!$B$28^(M262+1)</f>
        <v>4887736.2124659475</v>
      </c>
    </row>
    <row r="263" spans="1:19" ht="15.75" customHeight="1">
      <c r="A263" s="8">
        <f t="shared" si="0"/>
        <v>16.997283821980801</v>
      </c>
      <c r="B263" s="7">
        <f>(I263*'Optimal Choice'!$B$6+J263*'Optimal Choice'!$B$11+K263*'Optimal Choice'!$B$16+L263*'Optimal Choice'!$B$21+M263*'Optimal Choice'!$B$26)*'Optimal Choice'!$B$30</f>
        <v>91738.67</v>
      </c>
      <c r="C263" s="8">
        <f>(O263/$B263)+(O263/'Optimal Choice'!$B$6)</f>
        <v>2379.5604928374746</v>
      </c>
      <c r="D263" s="8">
        <f>(P263/$B263)+(P263/'Optimal Choice'!$B$11)</f>
        <v>2458.738049974083</v>
      </c>
      <c r="E263" s="8">
        <f>(Q263/$B263)+(Q263/'Optimal Choice'!$B$16)</f>
        <v>2554.6376030132351</v>
      </c>
      <c r="F263" s="8">
        <f>(R263/$B263)+(R263/'Optimal Choice'!$B$21)</f>
        <v>2505.4919579352027</v>
      </c>
      <c r="G263" s="8">
        <f>(S263/$B263)+(S263/'Optimal Choice'!$B$26)</f>
        <v>2594.0541174102395</v>
      </c>
      <c r="I263" s="11">
        <f t="shared" ref="I263:M263" si="261">IF(MIN($C262:$G262)=C262,I262+1,I262)</f>
        <v>101</v>
      </c>
      <c r="J263" s="11">
        <f t="shared" si="261"/>
        <v>47</v>
      </c>
      <c r="K263" s="11">
        <f t="shared" si="261"/>
        <v>43</v>
      </c>
      <c r="L263" s="11">
        <f t="shared" si="261"/>
        <v>37</v>
      </c>
      <c r="M263" s="11">
        <f t="shared" si="261"/>
        <v>34</v>
      </c>
      <c r="O263" s="10">
        <f>'Optimal Choice'!$B$7*'Optimal Choice'!$B$8^(I263+1)</f>
        <v>3973.7936845639433</v>
      </c>
      <c r="P263" s="10">
        <f>'Optimal Choice'!$B$12*'Optimal Choice'!$B$13^(J263+1)</f>
        <v>49164.042718364581</v>
      </c>
      <c r="Q263" s="10">
        <f>'Optimal Choice'!$B$17*'Optimal Choice'!$B$18^(K263+1)</f>
        <v>229692.04544635129</v>
      </c>
      <c r="R263" s="10">
        <f>'Optimal Choice'!$B$22*'Optimal Choice'!$B$23^(L263+1)</f>
        <v>898451.41053613171</v>
      </c>
      <c r="S263" s="10">
        <f>'Optimal Choice'!$B$27*'Optimal Choice'!$B$28^(M263+1)</f>
        <v>5474264.5579618616</v>
      </c>
    </row>
    <row r="264" spans="1:19" ht="15.75" customHeight="1">
      <c r="A264" s="8">
        <f t="shared" si="0"/>
        <v>16.998005762845462</v>
      </c>
      <c r="B264" s="7">
        <f>(I264*'Optimal Choice'!$B$6+J264*'Optimal Choice'!$B$11+K264*'Optimal Choice'!$B$16+L264*'Optimal Choice'!$B$21+M264*'Optimal Choice'!$B$26)*'Optimal Choice'!$B$30</f>
        <v>91740.34</v>
      </c>
      <c r="C264" s="8">
        <f>(O264/$B264)+(O264/'Optimal Choice'!$B$6)</f>
        <v>2546.1297264923887</v>
      </c>
      <c r="D264" s="8">
        <f>(P264/$B264)+(P264/'Optimal Choice'!$B$11)</f>
        <v>2458.738040218544</v>
      </c>
      <c r="E264" s="8">
        <f>(Q264/$B264)+(Q264/'Optimal Choice'!$B$16)</f>
        <v>2554.6375574358249</v>
      </c>
      <c r="F264" s="8">
        <f>(R264/$B264)+(R264/'Optimal Choice'!$B$21)</f>
        <v>2505.4917796569857</v>
      </c>
      <c r="G264" s="8">
        <f>(S264/$B264)+(S264/'Optimal Choice'!$B$26)</f>
        <v>2594.0530311610428</v>
      </c>
      <c r="I264" s="11">
        <f t="shared" ref="I264:M264" si="262">IF(MIN($C263:$G263)=C263,I263+1,I263)</f>
        <v>102</v>
      </c>
      <c r="J264" s="11">
        <f t="shared" si="262"/>
        <v>47</v>
      </c>
      <c r="K264" s="11">
        <f t="shared" si="262"/>
        <v>43</v>
      </c>
      <c r="L264" s="11">
        <f t="shared" si="262"/>
        <v>37</v>
      </c>
      <c r="M264" s="11">
        <f t="shared" si="262"/>
        <v>34</v>
      </c>
      <c r="O264" s="10">
        <f>'Optimal Choice'!$B$7*'Optimal Choice'!$B$8^(I264+1)</f>
        <v>4251.9592424834191</v>
      </c>
      <c r="P264" s="10">
        <f>'Optimal Choice'!$B$12*'Optimal Choice'!$B$13^(J264+1)</f>
        <v>49164.042718364581</v>
      </c>
      <c r="Q264" s="10">
        <f>'Optimal Choice'!$B$17*'Optimal Choice'!$B$18^(K264+1)</f>
        <v>229692.04544635129</v>
      </c>
      <c r="R264" s="10">
        <f>'Optimal Choice'!$B$22*'Optimal Choice'!$B$23^(L264+1)</f>
        <v>898451.41053613171</v>
      </c>
      <c r="S264" s="10">
        <f>'Optimal Choice'!$B$27*'Optimal Choice'!$B$28^(M264+1)</f>
        <v>5474264.5579618616</v>
      </c>
    </row>
    <row r="265" spans="1:19" ht="15.75" customHeight="1">
      <c r="A265" s="8">
        <f t="shared" si="0"/>
        <v>17.006937501184048</v>
      </c>
      <c r="B265" s="7">
        <f>(I265*'Optimal Choice'!$B$6+J265*'Optimal Choice'!$B$11+K265*'Optimal Choice'!$B$16+L265*'Optimal Choice'!$B$21+M265*'Optimal Choice'!$B$26)*'Optimal Choice'!$B$30</f>
        <v>91760.34</v>
      </c>
      <c r="C265" s="8">
        <f>(O265/$B265)+(O265/'Optimal Choice'!$B$6)</f>
        <v>2546.1297163904733</v>
      </c>
      <c r="D265" s="8">
        <f>(P265/$B265)+(P265/'Optimal Choice'!$B$11)</f>
        <v>2827.5486119253314</v>
      </c>
      <c r="E265" s="8">
        <f>(Q265/$B265)+(Q265/'Optimal Choice'!$B$16)</f>
        <v>2554.6370117274846</v>
      </c>
      <c r="F265" s="8">
        <f>(R265/$B265)+(R265/'Optimal Choice'!$B$21)</f>
        <v>2505.4896450927381</v>
      </c>
      <c r="G265" s="8">
        <f>(S265/$B265)+(S265/'Optimal Choice'!$B$26)</f>
        <v>2594.040025260811</v>
      </c>
      <c r="I265" s="11">
        <f t="shared" ref="I265:M265" si="263">IF(MIN($C264:$G264)=C264,I264+1,I264)</f>
        <v>102</v>
      </c>
      <c r="J265" s="11">
        <f t="shared" si="263"/>
        <v>48</v>
      </c>
      <c r="K265" s="11">
        <f t="shared" si="263"/>
        <v>43</v>
      </c>
      <c r="L265" s="11">
        <f t="shared" si="263"/>
        <v>37</v>
      </c>
      <c r="M265" s="11">
        <f t="shared" si="263"/>
        <v>34</v>
      </c>
      <c r="O265" s="10">
        <f>'Optimal Choice'!$B$7*'Optimal Choice'!$B$8^(I265+1)</f>
        <v>4251.9592424834191</v>
      </c>
      <c r="P265" s="10">
        <f>'Optimal Choice'!$B$12*'Optimal Choice'!$B$13^(J265+1)</f>
        <v>56538.649126119271</v>
      </c>
      <c r="Q265" s="10">
        <f>'Optimal Choice'!$B$17*'Optimal Choice'!$B$18^(K265+1)</f>
        <v>229692.04544635129</v>
      </c>
      <c r="R265" s="10">
        <f>'Optimal Choice'!$B$22*'Optimal Choice'!$B$23^(L265+1)</f>
        <v>898451.41053613171</v>
      </c>
      <c r="S265" s="10">
        <f>'Optimal Choice'!$B$27*'Optimal Choice'!$B$28^(M265+1)</f>
        <v>5474264.5579618616</v>
      </c>
    </row>
    <row r="266" spans="1:19" ht="15.75" customHeight="1">
      <c r="A266" s="8">
        <f t="shared" si="0"/>
        <v>17.170125542723586</v>
      </c>
      <c r="B266" s="7">
        <f>(I266*'Optimal Choice'!$B$6+J266*'Optimal Choice'!$B$11+K266*'Optimal Choice'!$B$16+L266*'Optimal Choice'!$B$21+M266*'Optimal Choice'!$B$26)*'Optimal Choice'!$B$30</f>
        <v>92120.34</v>
      </c>
      <c r="C266" s="8">
        <f>(O266/$B266)+(O266/'Optimal Choice'!$B$6)</f>
        <v>2546.1295353060696</v>
      </c>
      <c r="D266" s="8">
        <f>(P266/$B266)+(P266/'Optimal Choice'!$B$11)</f>
        <v>2827.5462040312336</v>
      </c>
      <c r="E266" s="8">
        <f>(Q266/$B266)+(Q266/'Optimal Choice'!$B$16)</f>
        <v>2554.6272294965843</v>
      </c>
      <c r="F266" s="8">
        <f>(R266/$B266)+(R266/'Optimal Choice'!$B$21)</f>
        <v>2831.1600610149653</v>
      </c>
      <c r="G266" s="8">
        <f>(S266/$B266)+(S266/'Optimal Choice'!$B$26)</f>
        <v>2593.806884753873</v>
      </c>
      <c r="I266" s="11">
        <f t="shared" ref="I266:M266" si="264">IF(MIN($C265:$G265)=C265,I265+1,I265)</f>
        <v>102</v>
      </c>
      <c r="J266" s="11">
        <f t="shared" si="264"/>
        <v>48</v>
      </c>
      <c r="K266" s="11">
        <f t="shared" si="264"/>
        <v>43</v>
      </c>
      <c r="L266" s="11">
        <f t="shared" si="264"/>
        <v>38</v>
      </c>
      <c r="M266" s="11">
        <f t="shared" si="264"/>
        <v>34</v>
      </c>
      <c r="O266" s="10">
        <f>'Optimal Choice'!$B$7*'Optimal Choice'!$B$8^(I266+1)</f>
        <v>4251.9592424834191</v>
      </c>
      <c r="P266" s="10">
        <f>'Optimal Choice'!$B$12*'Optimal Choice'!$B$13^(J266+1)</f>
        <v>56538.649126119271</v>
      </c>
      <c r="Q266" s="10">
        <f>'Optimal Choice'!$B$17*'Optimal Choice'!$B$18^(K266+1)</f>
        <v>229692.04544635129</v>
      </c>
      <c r="R266" s="10">
        <f>'Optimal Choice'!$B$22*'Optimal Choice'!$B$23^(L266+1)</f>
        <v>1015250.0939058287</v>
      </c>
      <c r="S266" s="10">
        <f>'Optimal Choice'!$B$27*'Optimal Choice'!$B$28^(M266+1)</f>
        <v>5474264.5579618616</v>
      </c>
    </row>
    <row r="267" spans="1:19" ht="15.75" customHeight="1">
      <c r="A267" s="8">
        <f t="shared" si="0"/>
        <v>17.170894818948302</v>
      </c>
      <c r="B267" s="7">
        <f>(I267*'Optimal Choice'!$B$6+J267*'Optimal Choice'!$B$11+K267*'Optimal Choice'!$B$16+L267*'Optimal Choice'!$B$21+M267*'Optimal Choice'!$B$26)*'Optimal Choice'!$B$30</f>
        <v>92122.010000000009</v>
      </c>
      <c r="C267" s="8">
        <f>(O267/$B267)+(O267/'Optimal Choice'!$B$6)</f>
        <v>2724.3586018821907</v>
      </c>
      <c r="D267" s="8">
        <f>(P267/$B267)+(P267/'Optimal Choice'!$B$11)</f>
        <v>2827.5461929051339</v>
      </c>
      <c r="E267" s="8">
        <f>(Q267/$B267)+(Q267/'Optimal Choice'!$B$16)</f>
        <v>2554.6271842960582</v>
      </c>
      <c r="F267" s="8">
        <f>(R267/$B267)+(R267/'Optimal Choice'!$B$21)</f>
        <v>2831.1598612264256</v>
      </c>
      <c r="G267" s="8">
        <f>(S267/$B267)+(S267/'Optimal Choice'!$B$26)</f>
        <v>2593.8058074869737</v>
      </c>
      <c r="I267" s="11">
        <f t="shared" ref="I267:M267" si="265">IF(MIN($C266:$G266)=C266,I266+1,I266)</f>
        <v>103</v>
      </c>
      <c r="J267" s="11">
        <f t="shared" si="265"/>
        <v>48</v>
      </c>
      <c r="K267" s="11">
        <f t="shared" si="265"/>
        <v>43</v>
      </c>
      <c r="L267" s="11">
        <f t="shared" si="265"/>
        <v>38</v>
      </c>
      <c r="M267" s="11">
        <f t="shared" si="265"/>
        <v>34</v>
      </c>
      <c r="O267" s="10">
        <f>'Optimal Choice'!$B$7*'Optimal Choice'!$B$8^(I267+1)</f>
        <v>4549.5963894572587</v>
      </c>
      <c r="P267" s="10">
        <f>'Optimal Choice'!$B$12*'Optimal Choice'!$B$13^(J267+1)</f>
        <v>56538.649126119271</v>
      </c>
      <c r="Q267" s="10">
        <f>'Optimal Choice'!$B$17*'Optimal Choice'!$B$18^(K267+1)</f>
        <v>229692.04544635129</v>
      </c>
      <c r="R267" s="10">
        <f>'Optimal Choice'!$B$22*'Optimal Choice'!$B$23^(L267+1)</f>
        <v>1015250.0939058287</v>
      </c>
      <c r="S267" s="10">
        <f>'Optimal Choice'!$B$27*'Optimal Choice'!$B$28^(M267+1)</f>
        <v>5474264.5579618616</v>
      </c>
    </row>
    <row r="268" spans="1:19" ht="15.75" customHeight="1">
      <c r="A268" s="8">
        <f t="shared" si="0"/>
        <v>17.212450585669405</v>
      </c>
      <c r="B268" s="7">
        <f>(I268*'Optimal Choice'!$B$6+J268*'Optimal Choice'!$B$11+K268*'Optimal Choice'!$B$16+L268*'Optimal Choice'!$B$21+M268*'Optimal Choice'!$B$26)*'Optimal Choice'!$B$30</f>
        <v>92212.010000000009</v>
      </c>
      <c r="C268" s="8">
        <f>(O268/$B268)+(O268/'Optimal Choice'!$B$6)</f>
        <v>2724.3585536802543</v>
      </c>
      <c r="D268" s="8">
        <f>(P268/$B268)+(P268/'Optimal Choice'!$B$11)</f>
        <v>2827.5455938910363</v>
      </c>
      <c r="E268" s="8">
        <f>(Q268/$B268)+(Q268/'Optimal Choice'!$B$16)</f>
        <v>2912.2722158677725</v>
      </c>
      <c r="F268" s="8">
        <f>(R268/$B268)+(R268/'Optimal Choice'!$B$21)</f>
        <v>2831.1491048831476</v>
      </c>
      <c r="G268" s="8">
        <f>(S268/$B268)+(S268/'Optimal Choice'!$B$26)</f>
        <v>2593.7478089020592</v>
      </c>
      <c r="I268" s="11">
        <f t="shared" ref="I268:M268" si="266">IF(MIN($C267:$G267)=C267,I267+1,I267)</f>
        <v>103</v>
      </c>
      <c r="J268" s="11">
        <f t="shared" si="266"/>
        <v>48</v>
      </c>
      <c r="K268" s="11">
        <f t="shared" si="266"/>
        <v>44</v>
      </c>
      <c r="L268" s="11">
        <f t="shared" si="266"/>
        <v>38</v>
      </c>
      <c r="M268" s="11">
        <f t="shared" si="266"/>
        <v>34</v>
      </c>
      <c r="O268" s="10">
        <f>'Optimal Choice'!$B$7*'Optimal Choice'!$B$8^(I268+1)</f>
        <v>4549.5963894572587</v>
      </c>
      <c r="P268" s="10">
        <f>'Optimal Choice'!$B$12*'Optimal Choice'!$B$13^(J268+1)</f>
        <v>56538.649126119271</v>
      </c>
      <c r="Q268" s="10">
        <f>'Optimal Choice'!$B$17*'Optimal Choice'!$B$18^(K268+1)</f>
        <v>261848.93180884045</v>
      </c>
      <c r="R268" s="10">
        <f>'Optimal Choice'!$B$22*'Optimal Choice'!$B$23^(L268+1)</f>
        <v>1015250.0939058287</v>
      </c>
      <c r="S268" s="10">
        <f>'Optimal Choice'!$B$27*'Optimal Choice'!$B$28^(M268+1)</f>
        <v>5474264.5579618616</v>
      </c>
    </row>
    <row r="269" spans="1:19" ht="15.75" customHeight="1">
      <c r="A269" s="8">
        <f t="shared" si="0"/>
        <v>18.201885070751096</v>
      </c>
      <c r="B269" s="7">
        <f>(I269*'Optimal Choice'!$B$6+J269*'Optimal Choice'!$B$11+K269*'Optimal Choice'!$B$16+L269*'Optimal Choice'!$B$21+M269*'Optimal Choice'!$B$26)*'Optimal Choice'!$B$30</f>
        <v>94372.010000000009</v>
      </c>
      <c r="C269" s="8">
        <f>(O269/$B269)+(O269/'Optimal Choice'!$B$6)</f>
        <v>2724.3574244150982</v>
      </c>
      <c r="D269" s="8">
        <f>(P269/$B269)+(P269/'Optimal Choice'!$B$11)</f>
        <v>2827.531560310701</v>
      </c>
      <c r="E269" s="8">
        <f>(Q269/$B269)+(Q269/'Optimal Choice'!$B$16)</f>
        <v>2912.2072217782943</v>
      </c>
      <c r="F269" s="8">
        <f>(R269/$B269)+(R269/'Optimal Choice'!$B$21)</f>
        <v>2830.8971074623805</v>
      </c>
      <c r="G269" s="8">
        <f>(S269/$B269)+(S269/'Optimal Choice'!$B$26)</f>
        <v>2903.4757134441311</v>
      </c>
      <c r="I269" s="11">
        <f t="shared" ref="I269:M269" si="267">IF(MIN($C268:$G268)=C268,I268+1,I268)</f>
        <v>103</v>
      </c>
      <c r="J269" s="11">
        <f t="shared" si="267"/>
        <v>48</v>
      </c>
      <c r="K269" s="11">
        <f t="shared" si="267"/>
        <v>44</v>
      </c>
      <c r="L269" s="11">
        <f t="shared" si="267"/>
        <v>38</v>
      </c>
      <c r="M269" s="11">
        <f t="shared" si="267"/>
        <v>35</v>
      </c>
      <c r="O269" s="10">
        <f>'Optimal Choice'!$B$7*'Optimal Choice'!$B$8^(I269+1)</f>
        <v>4549.5963894572587</v>
      </c>
      <c r="P269" s="10">
        <f>'Optimal Choice'!$B$12*'Optimal Choice'!$B$13^(J269+1)</f>
        <v>56538.649126119271</v>
      </c>
      <c r="Q269" s="10">
        <f>'Optimal Choice'!$B$17*'Optimal Choice'!$B$18^(K269+1)</f>
        <v>261848.93180884045</v>
      </c>
      <c r="R269" s="10">
        <f>'Optimal Choice'!$B$22*'Optimal Choice'!$B$23^(L269+1)</f>
        <v>1015250.0939058287</v>
      </c>
      <c r="S269" s="10">
        <f>'Optimal Choice'!$B$27*'Optimal Choice'!$B$28^(M269+1)</f>
        <v>6131176.3049172852</v>
      </c>
    </row>
    <row r="270" spans="1:19" ht="15.75" customHeight="1">
      <c r="A270" s="8">
        <f t="shared" si="0"/>
        <v>18.20268855693827</v>
      </c>
      <c r="B270" s="7">
        <f>(I270*'Optimal Choice'!$B$6+J270*'Optimal Choice'!$B$11+K270*'Optimal Choice'!$B$16+L270*'Optimal Choice'!$B$21+M270*'Optimal Choice'!$B$26)*'Optimal Choice'!$B$30</f>
        <v>94373.68</v>
      </c>
      <c r="C270" s="8">
        <f>(O270/$B270)+(O270/'Optimal Choice'!$B$6)</f>
        <v>2915.0624432113473</v>
      </c>
      <c r="D270" s="8">
        <f>(P270/$B270)+(P270/'Optimal Choice'!$B$11)</f>
        <v>2827.5315497091892</v>
      </c>
      <c r="E270" s="8">
        <f>(Q270/$B270)+(Q270/'Optimal Choice'!$B$16)</f>
        <v>2912.2071726792337</v>
      </c>
      <c r="F270" s="8">
        <f>(R270/$B270)+(R270/'Optimal Choice'!$B$21)</f>
        <v>2830.8969170937371</v>
      </c>
      <c r="G270" s="8">
        <f>(S270/$B270)+(S270/'Optimal Choice'!$B$26)</f>
        <v>2903.4745637927099</v>
      </c>
      <c r="I270" s="11">
        <f t="shared" ref="I270:M270" si="268">IF(MIN($C269:$G269)=C269,I269+1,I269)</f>
        <v>104</v>
      </c>
      <c r="J270" s="11">
        <f t="shared" si="268"/>
        <v>48</v>
      </c>
      <c r="K270" s="11">
        <f t="shared" si="268"/>
        <v>44</v>
      </c>
      <c r="L270" s="11">
        <f t="shared" si="268"/>
        <v>38</v>
      </c>
      <c r="M270" s="11">
        <f t="shared" si="268"/>
        <v>35</v>
      </c>
      <c r="O270" s="10">
        <f>'Optimal Choice'!$B$7*'Optimal Choice'!$B$8^(I270+1)</f>
        <v>4868.0681367192665</v>
      </c>
      <c r="P270" s="10">
        <f>'Optimal Choice'!$B$12*'Optimal Choice'!$B$13^(J270+1)</f>
        <v>56538.649126119271</v>
      </c>
      <c r="Q270" s="10">
        <f>'Optimal Choice'!$B$17*'Optimal Choice'!$B$18^(K270+1)</f>
        <v>261848.93180884045</v>
      </c>
      <c r="R270" s="10">
        <f>'Optimal Choice'!$B$22*'Optimal Choice'!$B$23^(L270+1)</f>
        <v>1015250.0939058287</v>
      </c>
      <c r="S270" s="10">
        <f>'Optimal Choice'!$B$27*'Optimal Choice'!$B$28^(M270+1)</f>
        <v>6131176.3049172852</v>
      </c>
    </row>
    <row r="271" spans="1:19" ht="15.75" customHeight="1">
      <c r="A271" s="8">
        <f t="shared" si="0"/>
        <v>18.212673446992028</v>
      </c>
      <c r="B271" s="7">
        <f>(I271*'Optimal Choice'!$B$6+J271*'Optimal Choice'!$B$11+K271*'Optimal Choice'!$B$16+L271*'Optimal Choice'!$B$21+M271*'Optimal Choice'!$B$26)*'Optimal Choice'!$B$30</f>
        <v>94393.68</v>
      </c>
      <c r="C271" s="8">
        <f>(O271/$B271)+(O271/'Optimal Choice'!$B$6)</f>
        <v>2915.0624322820349</v>
      </c>
      <c r="D271" s="8">
        <f>(P271/$B271)+(P271/'Optimal Choice'!$B$11)</f>
        <v>3251.6611361902401</v>
      </c>
      <c r="E271" s="8">
        <f>(Q271/$B271)+(Q271/'Optimal Choice'!$B$16)</f>
        <v>2912.2065848015227</v>
      </c>
      <c r="F271" s="8">
        <f>(R271/$B271)+(R271/'Optimal Choice'!$B$21)</f>
        <v>2830.8946377531383</v>
      </c>
      <c r="G271" s="8">
        <f>(S271/$B271)+(S271/'Optimal Choice'!$B$26)</f>
        <v>2903.460798673007</v>
      </c>
      <c r="I271" s="11">
        <f t="shared" ref="I271:M271" si="269">IF(MIN($C270:$G270)=C270,I270+1,I270)</f>
        <v>104</v>
      </c>
      <c r="J271" s="11">
        <f t="shared" si="269"/>
        <v>49</v>
      </c>
      <c r="K271" s="11">
        <f t="shared" si="269"/>
        <v>44</v>
      </c>
      <c r="L271" s="11">
        <f t="shared" si="269"/>
        <v>38</v>
      </c>
      <c r="M271" s="11">
        <f t="shared" si="269"/>
        <v>35</v>
      </c>
      <c r="O271" s="10">
        <f>'Optimal Choice'!$B$7*'Optimal Choice'!$B$8^(I271+1)</f>
        <v>4868.0681367192665</v>
      </c>
      <c r="P271" s="10">
        <f>'Optimal Choice'!$B$12*'Optimal Choice'!$B$13^(J271+1)</f>
        <v>65019.446495037148</v>
      </c>
      <c r="Q271" s="10">
        <f>'Optimal Choice'!$B$17*'Optimal Choice'!$B$18^(K271+1)</f>
        <v>261848.93180884045</v>
      </c>
      <c r="R271" s="10">
        <f>'Optimal Choice'!$B$22*'Optimal Choice'!$B$23^(L271+1)</f>
        <v>1015250.0939058287</v>
      </c>
      <c r="S271" s="10">
        <f>'Optimal Choice'!$B$27*'Optimal Choice'!$B$28^(M271+1)</f>
        <v>6131176.3049172852</v>
      </c>
    </row>
    <row r="272" spans="1:19" ht="15.75" customHeight="1">
      <c r="A272" s="8">
        <f t="shared" si="0"/>
        <v>18.391931580570784</v>
      </c>
      <c r="B272" s="7">
        <f>(I272*'Optimal Choice'!$B$6+J272*'Optimal Choice'!$B$11+K272*'Optimal Choice'!$B$16+L272*'Optimal Choice'!$B$21+M272*'Optimal Choice'!$B$26)*'Optimal Choice'!$B$30</f>
        <v>94753.68</v>
      </c>
      <c r="C272" s="8">
        <f>(O272/$B272)+(O272/'Optimal Choice'!$B$6)</f>
        <v>2915.0622363433699</v>
      </c>
      <c r="D272" s="8">
        <f>(P272/$B272)+(P272/'Optimal Choice'!$B$11)</f>
        <v>3251.6585191719055</v>
      </c>
      <c r="E272" s="8">
        <f>(Q272/$B272)+(Q272/'Optimal Choice'!$B$16)</f>
        <v>2912.1960454399573</v>
      </c>
      <c r="F272" s="8">
        <f>(R272/$B272)+(R272/'Optimal Choice'!$B$21)</f>
        <v>3198.8647648025008</v>
      </c>
      <c r="G272" s="8">
        <f>(S272/$B272)+(S272/'Optimal Choice'!$B$26)</f>
        <v>2903.2140201833899</v>
      </c>
      <c r="I272" s="11">
        <f t="shared" ref="I272:M272" si="270">IF(MIN($C271:$G271)=C271,I271+1,I271)</f>
        <v>104</v>
      </c>
      <c r="J272" s="11">
        <f t="shared" si="270"/>
        <v>49</v>
      </c>
      <c r="K272" s="11">
        <f t="shared" si="270"/>
        <v>44</v>
      </c>
      <c r="L272" s="11">
        <f t="shared" si="270"/>
        <v>39</v>
      </c>
      <c r="M272" s="11">
        <f t="shared" si="270"/>
        <v>35</v>
      </c>
      <c r="O272" s="10">
        <f>'Optimal Choice'!$B$7*'Optimal Choice'!$B$8^(I272+1)</f>
        <v>4868.0681367192665</v>
      </c>
      <c r="P272" s="10">
        <f>'Optimal Choice'!$B$12*'Optimal Choice'!$B$13^(J272+1)</f>
        <v>65019.446495037148</v>
      </c>
      <c r="Q272" s="10">
        <f>'Optimal Choice'!$B$17*'Optimal Choice'!$B$18^(K272+1)</f>
        <v>261848.93180884045</v>
      </c>
      <c r="R272" s="10">
        <f>'Optimal Choice'!$B$22*'Optimal Choice'!$B$23^(L272+1)</f>
        <v>1147232.6061135866</v>
      </c>
      <c r="S272" s="10">
        <f>'Optimal Choice'!$B$27*'Optimal Choice'!$B$28^(M272+1)</f>
        <v>6131176.3049172852</v>
      </c>
    </row>
    <row r="273" spans="1:19" ht="15.75" customHeight="1">
      <c r="A273" s="8">
        <f t="shared" si="0"/>
        <v>19.470372774080328</v>
      </c>
      <c r="B273" s="7">
        <f>(I273*'Optimal Choice'!$B$6+J273*'Optimal Choice'!$B$11+K273*'Optimal Choice'!$B$16+L273*'Optimal Choice'!$B$21+M273*'Optimal Choice'!$B$26)*'Optimal Choice'!$B$30</f>
        <v>96913.68</v>
      </c>
      <c r="C273" s="8">
        <f>(O273/$B273)+(O273/'Optimal Choice'!$B$6)</f>
        <v>2915.0610912807733</v>
      </c>
      <c r="D273" s="8">
        <f>(P273/$B273)+(P273/'Optimal Choice'!$B$11)</f>
        <v>3251.6432253563439</v>
      </c>
      <c r="E273" s="8">
        <f>(Q273/$B273)+(Q273/'Optimal Choice'!$B$16)</f>
        <v>2912.134453570387</v>
      </c>
      <c r="F273" s="8">
        <f>(R273/$B273)+(R273/'Optimal Choice'!$B$21)</f>
        <v>3198.594913783616</v>
      </c>
      <c r="G273" s="8">
        <f>(S273/$B273)+(S273/'Optimal Choice'!$B$26)</f>
        <v>3249.9844724735899</v>
      </c>
      <c r="I273" s="11">
        <f t="shared" ref="I273:M273" si="271">IF(MIN($C272:$G272)=C272,I272+1,I272)</f>
        <v>104</v>
      </c>
      <c r="J273" s="11">
        <f t="shared" si="271"/>
        <v>49</v>
      </c>
      <c r="K273" s="11">
        <f t="shared" si="271"/>
        <v>44</v>
      </c>
      <c r="L273" s="11">
        <f t="shared" si="271"/>
        <v>39</v>
      </c>
      <c r="M273" s="11">
        <f t="shared" si="271"/>
        <v>36</v>
      </c>
      <c r="O273" s="10">
        <f>'Optimal Choice'!$B$7*'Optimal Choice'!$B$8^(I273+1)</f>
        <v>4868.0681367192665</v>
      </c>
      <c r="P273" s="10">
        <f>'Optimal Choice'!$B$12*'Optimal Choice'!$B$13^(J273+1)</f>
        <v>65019.446495037148</v>
      </c>
      <c r="Q273" s="10">
        <f>'Optimal Choice'!$B$17*'Optimal Choice'!$B$18^(K273+1)</f>
        <v>261848.93180884045</v>
      </c>
      <c r="R273" s="10">
        <f>'Optimal Choice'!$B$22*'Optimal Choice'!$B$23^(L273+1)</f>
        <v>1147232.6061135866</v>
      </c>
      <c r="S273" s="10">
        <f>'Optimal Choice'!$B$27*'Optimal Choice'!$B$28^(M273+1)</f>
        <v>6866917.4615073605</v>
      </c>
    </row>
    <row r="274" spans="1:19" ht="15.75" customHeight="1">
      <c r="A274" s="8">
        <f t="shared" si="0"/>
        <v>19.515404072690398</v>
      </c>
      <c r="B274" s="7">
        <f>(I274*'Optimal Choice'!$B$6+J274*'Optimal Choice'!$B$11+K274*'Optimal Choice'!$B$16+L274*'Optimal Choice'!$B$21+M274*'Optimal Choice'!$B$26)*'Optimal Choice'!$B$30</f>
        <v>97003.68</v>
      </c>
      <c r="C274" s="8">
        <f>(O274/$B274)+(O274/'Optimal Choice'!$B$6)</f>
        <v>2915.0610446764867</v>
      </c>
      <c r="D274" s="8">
        <f>(P274/$B274)+(P274/'Optimal Choice'!$B$11)</f>
        <v>3251.6426028948622</v>
      </c>
      <c r="E274" s="8">
        <f>(Q274/$B274)+(Q274/'Optimal Choice'!$B$16)</f>
        <v>3319.8304193160384</v>
      </c>
      <c r="F274" s="8">
        <f>(R274/$B274)+(R274/'Optimal Choice'!$B$21)</f>
        <v>3198.5839307908868</v>
      </c>
      <c r="G274" s="8">
        <f>(S274/$B274)+(S274/'Optimal Choice'!$B$26)</f>
        <v>3249.9187322704711</v>
      </c>
      <c r="I274" s="11">
        <f t="shared" ref="I274:M274" si="272">IF(MIN($C273:$G273)=C273,I273+1,I273)</f>
        <v>104</v>
      </c>
      <c r="J274" s="11">
        <f t="shared" si="272"/>
        <v>49</v>
      </c>
      <c r="K274" s="11">
        <f t="shared" si="272"/>
        <v>45</v>
      </c>
      <c r="L274" s="11">
        <f t="shared" si="272"/>
        <v>39</v>
      </c>
      <c r="M274" s="11">
        <f t="shared" si="272"/>
        <v>36</v>
      </c>
      <c r="O274" s="10">
        <f>'Optimal Choice'!$B$7*'Optimal Choice'!$B$8^(I274+1)</f>
        <v>4868.0681367192665</v>
      </c>
      <c r="P274" s="10">
        <f>'Optimal Choice'!$B$12*'Optimal Choice'!$B$13^(J274+1)</f>
        <v>65019.446495037148</v>
      </c>
      <c r="Q274" s="10">
        <f>'Optimal Choice'!$B$17*'Optimal Choice'!$B$18^(K274+1)</f>
        <v>298507.78226207814</v>
      </c>
      <c r="R274" s="10">
        <f>'Optimal Choice'!$B$22*'Optimal Choice'!$B$23^(L274+1)</f>
        <v>1147232.6061135866</v>
      </c>
      <c r="S274" s="10">
        <f>'Optimal Choice'!$B$27*'Optimal Choice'!$B$28^(M274+1)</f>
        <v>6866917.4615073605</v>
      </c>
    </row>
    <row r="275" spans="1:19" ht="15.75" customHeight="1">
      <c r="A275" s="8">
        <f t="shared" si="0"/>
        <v>19.51624047878288</v>
      </c>
      <c r="B275" s="7">
        <f>(I275*'Optimal Choice'!$B$6+J275*'Optimal Choice'!$B$11+K275*'Optimal Choice'!$B$16+L275*'Optimal Choice'!$B$21+M275*'Optimal Choice'!$B$26)*'Optimal Choice'!$B$30</f>
        <v>97005.35</v>
      </c>
      <c r="C275" s="8">
        <f>(O275/$B275)+(O275/'Optimal Choice'!$B$6)</f>
        <v>3119.115316879414</v>
      </c>
      <c r="D275" s="8">
        <f>(P275/$B275)+(P275/'Optimal Choice'!$B$11)</f>
        <v>3251.6425913556582</v>
      </c>
      <c r="E275" s="8">
        <f>(Q275/$B275)+(Q275/'Optimal Choice'!$B$16)</f>
        <v>3319.830366338932</v>
      </c>
      <c r="F275" s="8">
        <f>(R275/$B275)+(R275/'Optimal Choice'!$B$21)</f>
        <v>3198.5837271879418</v>
      </c>
      <c r="G275" s="8">
        <f>(S275/$B275)+(S275/'Optimal Choice'!$B$26)</f>
        <v>3249.9175135772339</v>
      </c>
      <c r="I275" s="11">
        <f t="shared" ref="I275:M275" si="273">IF(MIN($C274:$G274)=C274,I274+1,I274)</f>
        <v>105</v>
      </c>
      <c r="J275" s="11">
        <f t="shared" si="273"/>
        <v>49</v>
      </c>
      <c r="K275" s="11">
        <f t="shared" si="273"/>
        <v>45</v>
      </c>
      <c r="L275" s="11">
        <f t="shared" si="273"/>
        <v>39</v>
      </c>
      <c r="M275" s="11">
        <f t="shared" si="273"/>
        <v>36</v>
      </c>
      <c r="O275" s="10">
        <f>'Optimal Choice'!$B$7*'Optimal Choice'!$B$8^(I275+1)</f>
        <v>5208.8329062896155</v>
      </c>
      <c r="P275" s="10">
        <f>'Optimal Choice'!$B$12*'Optimal Choice'!$B$13^(J275+1)</f>
        <v>65019.446495037148</v>
      </c>
      <c r="Q275" s="10">
        <f>'Optimal Choice'!$B$17*'Optimal Choice'!$B$18^(K275+1)</f>
        <v>298507.78226207814</v>
      </c>
      <c r="R275" s="10">
        <f>'Optimal Choice'!$B$22*'Optimal Choice'!$B$23^(L275+1)</f>
        <v>1147232.6061135866</v>
      </c>
      <c r="S275" s="10">
        <f>'Optimal Choice'!$B$27*'Optimal Choice'!$B$28^(M275+1)</f>
        <v>6866917.4615073605</v>
      </c>
    </row>
    <row r="276" spans="1:19" ht="15.75" customHeight="1">
      <c r="A276" s="8">
        <f t="shared" si="0"/>
        <v>19.517135417894707</v>
      </c>
      <c r="B276" s="7">
        <f>(I276*'Optimal Choice'!$B$6+J276*'Optimal Choice'!$B$11+K276*'Optimal Choice'!$B$16+L276*'Optimal Choice'!$B$21+M276*'Optimal Choice'!$B$26)*'Optimal Choice'!$B$30</f>
        <v>97007.02</v>
      </c>
      <c r="C276" s="8">
        <f>(O276/$B276)+(O276/'Optimal Choice'!$B$6)</f>
        <v>3337.4533880718691</v>
      </c>
      <c r="D276" s="8">
        <f>(P276/$B276)+(P276/'Optimal Choice'!$B$11)</f>
        <v>3251.642579816852</v>
      </c>
      <c r="E276" s="8">
        <f>(Q276/$B276)+(Q276/'Optimal Choice'!$B$16)</f>
        <v>3319.83031336365</v>
      </c>
      <c r="F276" s="8">
        <f>(R276/$B276)+(R276/'Optimal Choice'!$B$21)</f>
        <v>3198.5835235920072</v>
      </c>
      <c r="G276" s="8">
        <f>(S276/$B276)+(S276/'Optimal Choice'!$B$26)</f>
        <v>3249.9162949259567</v>
      </c>
      <c r="I276" s="11">
        <f t="shared" ref="I276:M276" si="274">IF(MIN($C275:$G275)=C275,I275+1,I275)</f>
        <v>106</v>
      </c>
      <c r="J276" s="11">
        <f t="shared" si="274"/>
        <v>49</v>
      </c>
      <c r="K276" s="11">
        <f t="shared" si="274"/>
        <v>45</v>
      </c>
      <c r="L276" s="11">
        <f t="shared" si="274"/>
        <v>39</v>
      </c>
      <c r="M276" s="11">
        <f t="shared" si="274"/>
        <v>36</v>
      </c>
      <c r="O276" s="10">
        <f>'Optimal Choice'!$B$7*'Optimal Choice'!$B$8^(I276+1)</f>
        <v>5573.4512097298893</v>
      </c>
      <c r="P276" s="10">
        <f>'Optimal Choice'!$B$12*'Optimal Choice'!$B$13^(J276+1)</f>
        <v>65019.446495037148</v>
      </c>
      <c r="Q276" s="10">
        <f>'Optimal Choice'!$B$17*'Optimal Choice'!$B$18^(K276+1)</f>
        <v>298507.78226207814</v>
      </c>
      <c r="R276" s="10">
        <f>'Optimal Choice'!$B$22*'Optimal Choice'!$B$23^(L276+1)</f>
        <v>1147232.6061135866</v>
      </c>
      <c r="S276" s="10">
        <f>'Optimal Choice'!$B$27*'Optimal Choice'!$B$28^(M276+1)</f>
        <v>6866917.4615073605</v>
      </c>
    </row>
    <row r="277" spans="1:19" ht="15.75" customHeight="1">
      <c r="A277" s="8">
        <f t="shared" si="0"/>
        <v>19.714240157688039</v>
      </c>
      <c r="B277" s="7">
        <f>(I277*'Optimal Choice'!$B$6+J277*'Optimal Choice'!$B$11+K277*'Optimal Choice'!$B$16+L277*'Optimal Choice'!$B$21+M277*'Optimal Choice'!$B$26)*'Optimal Choice'!$B$30</f>
        <v>97367.02</v>
      </c>
      <c r="C277" s="8">
        <f>(O277/$B277)+(O277/'Optimal Choice'!$B$6)</f>
        <v>3337.4531756439169</v>
      </c>
      <c r="D277" s="8">
        <f>(P277/$B277)+(P277/'Optimal Choice'!$B$11)</f>
        <v>3251.6401016489526</v>
      </c>
      <c r="E277" s="8">
        <f>(Q277/$B277)+(Q277/'Optimal Choice'!$B$16)</f>
        <v>3319.8189359612957</v>
      </c>
      <c r="F277" s="8">
        <f>(R277/$B277)+(R277/'Optimal Choice'!$B$21)</f>
        <v>3614.3499713710812</v>
      </c>
      <c r="G277" s="8">
        <f>(S277/$B277)+(S277/'Optimal Choice'!$B$26)</f>
        <v>3249.654567468458</v>
      </c>
      <c r="I277" s="11">
        <f t="shared" ref="I277:M277" si="275">IF(MIN($C276:$G276)=C276,I276+1,I276)</f>
        <v>106</v>
      </c>
      <c r="J277" s="11">
        <f t="shared" si="275"/>
        <v>49</v>
      </c>
      <c r="K277" s="11">
        <f t="shared" si="275"/>
        <v>45</v>
      </c>
      <c r="L277" s="11">
        <f t="shared" si="275"/>
        <v>40</v>
      </c>
      <c r="M277" s="11">
        <f t="shared" si="275"/>
        <v>36</v>
      </c>
      <c r="O277" s="10">
        <f>'Optimal Choice'!$B$7*'Optimal Choice'!$B$8^(I277+1)</f>
        <v>5573.4512097298893</v>
      </c>
      <c r="P277" s="10">
        <f>'Optimal Choice'!$B$12*'Optimal Choice'!$B$13^(J277+1)</f>
        <v>65019.446495037148</v>
      </c>
      <c r="Q277" s="10">
        <f>'Optimal Choice'!$B$17*'Optimal Choice'!$B$18^(K277+1)</f>
        <v>298507.78226207814</v>
      </c>
      <c r="R277" s="10">
        <f>'Optimal Choice'!$B$22*'Optimal Choice'!$B$23^(L277+1)</f>
        <v>1296372.8449083527</v>
      </c>
      <c r="S277" s="10">
        <f>'Optimal Choice'!$B$27*'Optimal Choice'!$B$28^(M277+1)</f>
        <v>6866917.4615073605</v>
      </c>
    </row>
    <row r="278" spans="1:19" ht="15.75" customHeight="1">
      <c r="A278" s="8">
        <f t="shared" si="0"/>
        <v>20.889675375469746</v>
      </c>
      <c r="B278" s="7">
        <f>(I278*'Optimal Choice'!$B$6+J278*'Optimal Choice'!$B$11+K278*'Optimal Choice'!$B$16+L278*'Optimal Choice'!$B$21+M278*'Optimal Choice'!$B$26)*'Optimal Choice'!$B$30</f>
        <v>99527.02</v>
      </c>
      <c r="C278" s="8">
        <f>(O278/$B278)+(O278/'Optimal Choice'!$B$6)</f>
        <v>3337.4519333479489</v>
      </c>
      <c r="D278" s="8">
        <f>(P278/$B278)+(P278/'Optimal Choice'!$B$11)</f>
        <v>3251.6256091212181</v>
      </c>
      <c r="E278" s="8">
        <f>(Q278/$B278)+(Q278/'Optimal Choice'!$B$16)</f>
        <v>3319.7523999855721</v>
      </c>
      <c r="F278" s="8">
        <f>(R278/$B278)+(R278/'Optimal Choice'!$B$21)</f>
        <v>3614.0610159827711</v>
      </c>
      <c r="G278" s="8">
        <f>(S278/$B278)+(S278/'Optimal Choice'!$B$26)</f>
        <v>3637.8988396551622</v>
      </c>
      <c r="I278" s="11">
        <f t="shared" ref="I278:M278" si="276">IF(MIN($C277:$G277)=C277,I277+1,I277)</f>
        <v>106</v>
      </c>
      <c r="J278" s="11">
        <f t="shared" si="276"/>
        <v>49</v>
      </c>
      <c r="K278" s="11">
        <f t="shared" si="276"/>
        <v>45</v>
      </c>
      <c r="L278" s="11">
        <f t="shared" si="276"/>
        <v>40</v>
      </c>
      <c r="M278" s="11">
        <f t="shared" si="276"/>
        <v>37</v>
      </c>
      <c r="O278" s="10">
        <f>'Optimal Choice'!$B$7*'Optimal Choice'!$B$8^(I278+1)</f>
        <v>5573.4512097298893</v>
      </c>
      <c r="P278" s="10">
        <f>'Optimal Choice'!$B$12*'Optimal Choice'!$B$13^(J278+1)</f>
        <v>65019.446495037148</v>
      </c>
      <c r="Q278" s="10">
        <f>'Optimal Choice'!$B$17*'Optimal Choice'!$B$18^(K278+1)</f>
        <v>298507.78226207814</v>
      </c>
      <c r="R278" s="10">
        <f>'Optimal Choice'!$B$22*'Optimal Choice'!$B$23^(L278+1)</f>
        <v>1296372.8449083527</v>
      </c>
      <c r="S278" s="10">
        <f>'Optimal Choice'!$B$27*'Optimal Choice'!$B$28^(M278+1)</f>
        <v>7690947.5568882441</v>
      </c>
    </row>
    <row r="279" spans="1:19" ht="15.75" customHeight="1">
      <c r="A279" s="8">
        <f t="shared" si="0"/>
        <v>20.900563448292424</v>
      </c>
      <c r="B279" s="7">
        <f>(I279*'Optimal Choice'!$B$6+J279*'Optimal Choice'!$B$11+K279*'Optimal Choice'!$B$16+L279*'Optimal Choice'!$B$21+M279*'Optimal Choice'!$B$26)*'Optimal Choice'!$B$30</f>
        <v>99547.02</v>
      </c>
      <c r="C279" s="8">
        <f>(O279/$B279)+(O279/'Optimal Choice'!$B$6)</f>
        <v>3337.4519220971092</v>
      </c>
      <c r="D279" s="8">
        <f>(P279/$B279)+(P279/'Optimal Choice'!$B$11)</f>
        <v>3739.3692995502715</v>
      </c>
      <c r="E279" s="8">
        <f>(Q279/$B279)+(Q279/'Optimal Choice'!$B$16)</f>
        <v>3319.7517974032467</v>
      </c>
      <c r="F279" s="8">
        <f>(R279/$B279)+(R279/'Optimal Choice'!$B$21)</f>
        <v>3614.058399061505</v>
      </c>
      <c r="G279" s="8">
        <f>(S279/$B279)+(S279/'Optimal Choice'!$B$26)</f>
        <v>3637.8833143344191</v>
      </c>
      <c r="I279" s="11">
        <f t="shared" ref="I279:M279" si="277">IF(MIN($C278:$G278)=C278,I278+1,I278)</f>
        <v>106</v>
      </c>
      <c r="J279" s="11">
        <f t="shared" si="277"/>
        <v>50</v>
      </c>
      <c r="K279" s="11">
        <f t="shared" si="277"/>
        <v>45</v>
      </c>
      <c r="L279" s="11">
        <f t="shared" si="277"/>
        <v>40</v>
      </c>
      <c r="M279" s="11">
        <f t="shared" si="277"/>
        <v>37</v>
      </c>
      <c r="O279" s="10">
        <f>'Optimal Choice'!$B$7*'Optimal Choice'!$B$8^(I279+1)</f>
        <v>5573.4512097298893</v>
      </c>
      <c r="P279" s="10">
        <f>'Optimal Choice'!$B$12*'Optimal Choice'!$B$13^(J279+1)</f>
        <v>74772.363469292715</v>
      </c>
      <c r="Q279" s="10">
        <f>'Optimal Choice'!$B$17*'Optimal Choice'!$B$18^(K279+1)</f>
        <v>298507.78226207814</v>
      </c>
      <c r="R279" s="10">
        <f>'Optimal Choice'!$B$22*'Optimal Choice'!$B$23^(L279+1)</f>
        <v>1296372.8449083527</v>
      </c>
      <c r="S279" s="10">
        <f>'Optimal Choice'!$B$27*'Optimal Choice'!$B$28^(M279+1)</f>
        <v>7690947.5568882441</v>
      </c>
    </row>
    <row r="280" spans="1:19" ht="15.75" customHeight="1">
      <c r="A280" s="8">
        <f t="shared" si="0"/>
        <v>20.950541134257989</v>
      </c>
      <c r="B280" s="7">
        <f>(I280*'Optimal Choice'!$B$6+J280*'Optimal Choice'!$B$11+K280*'Optimal Choice'!$B$16+L280*'Optimal Choice'!$B$21+M280*'Optimal Choice'!$B$26)*'Optimal Choice'!$B$30</f>
        <v>99637.02</v>
      </c>
      <c r="C280" s="8">
        <f>(O280/$B280)+(O280/'Optimal Choice'!$B$6)</f>
        <v>3337.4518715242252</v>
      </c>
      <c r="D280" s="8">
        <f>(P280/$B280)+(P280/'Optimal Choice'!$B$11)</f>
        <v>3739.3686210740611</v>
      </c>
      <c r="E280" s="8">
        <f>(Q280/$B280)+(Q280/'Optimal Choice'!$B$16)</f>
        <v>3784.5139612051303</v>
      </c>
      <c r="F280" s="8">
        <f>(R280/$B280)+(R280/'Optimal Choice'!$B$21)</f>
        <v>3614.0466359167576</v>
      </c>
      <c r="G280" s="8">
        <f>(S280/$B280)+(S280/'Optimal Choice'!$B$26)</f>
        <v>3637.8135275213808</v>
      </c>
      <c r="I280" s="11">
        <f t="shared" ref="I280:M280" si="278">IF(MIN($C279:$G279)=C279,I279+1,I279)</f>
        <v>106</v>
      </c>
      <c r="J280" s="11">
        <f t="shared" si="278"/>
        <v>50</v>
      </c>
      <c r="K280" s="11">
        <f t="shared" si="278"/>
        <v>46</v>
      </c>
      <c r="L280" s="11">
        <f t="shared" si="278"/>
        <v>40</v>
      </c>
      <c r="M280" s="11">
        <f t="shared" si="278"/>
        <v>37</v>
      </c>
      <c r="O280" s="10">
        <f>'Optimal Choice'!$B$7*'Optimal Choice'!$B$8^(I280+1)</f>
        <v>5573.4512097298893</v>
      </c>
      <c r="P280" s="10">
        <f>'Optimal Choice'!$B$12*'Optimal Choice'!$B$13^(J280+1)</f>
        <v>74772.363469292715</v>
      </c>
      <c r="Q280" s="10">
        <f>'Optimal Choice'!$B$17*'Optimal Choice'!$B$18^(K280+1)</f>
        <v>340298.87177876901</v>
      </c>
      <c r="R280" s="10">
        <f>'Optimal Choice'!$B$22*'Optimal Choice'!$B$23^(L280+1)</f>
        <v>1296372.8449083527</v>
      </c>
      <c r="S280" s="10">
        <f>'Optimal Choice'!$B$27*'Optimal Choice'!$B$28^(M280+1)</f>
        <v>7690947.5568882441</v>
      </c>
    </row>
    <row r="281" spans="1:19" ht="15.75" customHeight="1">
      <c r="A281" s="8">
        <f t="shared" si="0"/>
        <v>20.951473426828517</v>
      </c>
      <c r="B281" s="7">
        <f>(I281*'Optimal Choice'!$B$6+J281*'Optimal Choice'!$B$11+K281*'Optimal Choice'!$B$16+L281*'Optimal Choice'!$B$21+M281*'Optimal Choice'!$B$26)*'Optimal Choice'!$B$30</f>
        <v>99638.69</v>
      </c>
      <c r="C281" s="8">
        <f>(O281/$B281)+(O281/'Optimal Choice'!$B$6)</f>
        <v>3571.0735015277473</v>
      </c>
      <c r="D281" s="8">
        <f>(P281/$B281)+(P281/'Optimal Choice'!$B$11)</f>
        <v>3739.368608496141</v>
      </c>
      <c r="E281" s="8">
        <f>(Q281/$B281)+(Q281/'Optimal Choice'!$B$16)</f>
        <v>3784.5139039613587</v>
      </c>
      <c r="F281" s="8">
        <f>(R281/$B281)+(R281/'Optimal Choice'!$B$21)</f>
        <v>3614.0464178458869</v>
      </c>
      <c r="G281" s="8">
        <f>(S281/$B281)+(S281/'Optimal Choice'!$B$26)</f>
        <v>3637.812233779664</v>
      </c>
      <c r="I281" s="11">
        <f t="shared" ref="I281:M281" si="279">IF(MIN($C280:$G280)=C280,I280+1,I280)</f>
        <v>107</v>
      </c>
      <c r="J281" s="11">
        <f t="shared" si="279"/>
        <v>50</v>
      </c>
      <c r="K281" s="11">
        <f t="shared" si="279"/>
        <v>46</v>
      </c>
      <c r="L281" s="11">
        <f t="shared" si="279"/>
        <v>40</v>
      </c>
      <c r="M281" s="11">
        <f t="shared" si="279"/>
        <v>37</v>
      </c>
      <c r="O281" s="10">
        <f>'Optimal Choice'!$B$7*'Optimal Choice'!$B$8^(I281+1)</f>
        <v>5963.5927944109799</v>
      </c>
      <c r="P281" s="10">
        <f>'Optimal Choice'!$B$12*'Optimal Choice'!$B$13^(J281+1)</f>
        <v>74772.363469292715</v>
      </c>
      <c r="Q281" s="10">
        <f>'Optimal Choice'!$B$17*'Optimal Choice'!$B$18^(K281+1)</f>
        <v>340298.87177876901</v>
      </c>
      <c r="R281" s="10">
        <f>'Optimal Choice'!$B$22*'Optimal Choice'!$B$23^(L281+1)</f>
        <v>1296372.8449083527</v>
      </c>
      <c r="S281" s="10">
        <f>'Optimal Choice'!$B$27*'Optimal Choice'!$B$28^(M281+1)</f>
        <v>7690947.5568882441</v>
      </c>
    </row>
    <row r="282" spans="1:19" ht="15.75" customHeight="1">
      <c r="A282" s="8">
        <f t="shared" si="0"/>
        <v>20.952470963159435</v>
      </c>
      <c r="B282" s="7">
        <f>(I282*'Optimal Choice'!$B$6+J282*'Optimal Choice'!$B$11+K282*'Optimal Choice'!$B$16+L282*'Optimal Choice'!$B$21+M282*'Optimal Choice'!$B$26)*'Optimal Choice'!$B$30</f>
        <v>99640.36</v>
      </c>
      <c r="C282" s="8">
        <f>(O282/$B282)+(O282/'Optimal Choice'!$B$6)</f>
        <v>3821.0486455613318</v>
      </c>
      <c r="D282" s="8">
        <f>(P282/$B282)+(P282/'Optimal Choice'!$B$11)</f>
        <v>3739.3685959186423</v>
      </c>
      <c r="E282" s="8">
        <f>(Q282/$B282)+(Q282/'Optimal Choice'!$B$16)</f>
        <v>3784.5138467195056</v>
      </c>
      <c r="F282" s="8">
        <f>(R282/$B282)+(R282/'Optimal Choice'!$B$21)</f>
        <v>3614.0461997823263</v>
      </c>
      <c r="G282" s="8">
        <f>(S282/$B282)+(S282/'Optimal Choice'!$B$26)</f>
        <v>3637.8109400813146</v>
      </c>
      <c r="I282" s="11">
        <f t="shared" ref="I282:M282" si="280">IF(MIN($C281:$G281)=C281,I281+1,I281)</f>
        <v>108</v>
      </c>
      <c r="J282" s="11">
        <f t="shared" si="280"/>
        <v>50</v>
      </c>
      <c r="K282" s="11">
        <f t="shared" si="280"/>
        <v>46</v>
      </c>
      <c r="L282" s="11">
        <f t="shared" si="280"/>
        <v>40</v>
      </c>
      <c r="M282" s="11">
        <f t="shared" si="280"/>
        <v>37</v>
      </c>
      <c r="O282" s="10">
        <f>'Optimal Choice'!$B$7*'Optimal Choice'!$B$8^(I282+1)</f>
        <v>6381.0442900197495</v>
      </c>
      <c r="P282" s="10">
        <f>'Optimal Choice'!$B$12*'Optimal Choice'!$B$13^(J282+1)</f>
        <v>74772.363469292715</v>
      </c>
      <c r="Q282" s="10">
        <f>'Optimal Choice'!$B$17*'Optimal Choice'!$B$18^(K282+1)</f>
        <v>340298.87177876901</v>
      </c>
      <c r="R282" s="10">
        <f>'Optimal Choice'!$B$22*'Optimal Choice'!$B$23^(L282+1)</f>
        <v>1296372.8449083527</v>
      </c>
      <c r="S282" s="10">
        <f>'Optimal Choice'!$B$27*'Optimal Choice'!$B$28^(M282+1)</f>
        <v>7690947.5568882441</v>
      </c>
    </row>
    <row r="283" spans="1:19" ht="15.75" customHeight="1">
      <c r="A283" s="8">
        <f t="shared" si="0"/>
        <v>21.169312954515206</v>
      </c>
      <c r="B283" s="7">
        <f>(I283*'Optimal Choice'!$B$6+J283*'Optimal Choice'!$B$11+K283*'Optimal Choice'!$B$16+L283*'Optimal Choice'!$B$21+M283*'Optimal Choice'!$B$26)*'Optimal Choice'!$B$30</f>
        <v>100000.36</v>
      </c>
      <c r="C283" s="8">
        <f>(O283/$B283)+(O283/'Optimal Choice'!$B$6)</f>
        <v>3821.0484150154289</v>
      </c>
      <c r="D283" s="8">
        <f>(P283/$B283)+(P283/'Optimal Choice'!$B$11)</f>
        <v>3739.3658944075332</v>
      </c>
      <c r="E283" s="8">
        <f>(Q283/$B283)+(Q283/'Optimal Choice'!$B$16)</f>
        <v>3784.5015517867278</v>
      </c>
      <c r="F283" s="8">
        <f>(R283/$B283)+(R283/'Optimal Choice'!$B$21)</f>
        <v>4083.8192791513134</v>
      </c>
      <c r="G283" s="8">
        <f>(S283/$B283)+(S283/'Optimal Choice'!$B$26)</f>
        <v>3637.5330676255094</v>
      </c>
      <c r="I283" s="11">
        <f t="shared" ref="I283:M283" si="281">IF(MIN($C282:$G282)=C282,I282+1,I282)</f>
        <v>108</v>
      </c>
      <c r="J283" s="11">
        <f t="shared" si="281"/>
        <v>50</v>
      </c>
      <c r="K283" s="11">
        <f t="shared" si="281"/>
        <v>46</v>
      </c>
      <c r="L283" s="11">
        <f t="shared" si="281"/>
        <v>41</v>
      </c>
      <c r="M283" s="11">
        <f t="shared" si="281"/>
        <v>37</v>
      </c>
      <c r="O283" s="10">
        <f>'Optimal Choice'!$B$7*'Optimal Choice'!$B$8^(I283+1)</f>
        <v>6381.0442900197495</v>
      </c>
      <c r="P283" s="10">
        <f>'Optimal Choice'!$B$12*'Optimal Choice'!$B$13^(J283+1)</f>
        <v>74772.363469292715</v>
      </c>
      <c r="Q283" s="10">
        <f>'Optimal Choice'!$B$17*'Optimal Choice'!$B$18^(K283+1)</f>
        <v>340298.87177876901</v>
      </c>
      <c r="R283" s="10">
        <f>'Optimal Choice'!$B$22*'Optimal Choice'!$B$23^(L283+1)</f>
        <v>1464901.3147464383</v>
      </c>
      <c r="S283" s="10">
        <f>'Optimal Choice'!$B$27*'Optimal Choice'!$B$28^(M283+1)</f>
        <v>7690947.5568882441</v>
      </c>
    </row>
    <row r="284" spans="1:19" ht="15.75" customHeight="1">
      <c r="A284" s="8">
        <f t="shared" si="0"/>
        <v>22.451132932777991</v>
      </c>
      <c r="B284" s="7">
        <f>(I284*'Optimal Choice'!$B$6+J284*'Optimal Choice'!$B$11+K284*'Optimal Choice'!$B$16+L284*'Optimal Choice'!$B$21+M284*'Optimal Choice'!$B$26)*'Optimal Choice'!$B$30</f>
        <v>102160.36</v>
      </c>
      <c r="C284" s="8">
        <f>(O284/$B284)+(O284/'Optimal Choice'!$B$6)</f>
        <v>3821.0470658614081</v>
      </c>
      <c r="D284" s="8">
        <f>(P284/$B284)+(P284/'Optimal Choice'!$B$11)</f>
        <v>3739.3500851715767</v>
      </c>
      <c r="E284" s="8">
        <f>(Q284/$B284)+(Q284/'Optimal Choice'!$B$16)</f>
        <v>3784.4296018722125</v>
      </c>
      <c r="F284" s="8">
        <f>(R284/$B284)+(R284/'Optimal Choice'!$B$21)</f>
        <v>4083.5095528104093</v>
      </c>
      <c r="G284" s="8">
        <f>(S284/$B284)+(S284/'Optimal Choice'!$B$26)</f>
        <v>4072.2157937883617</v>
      </c>
      <c r="I284" s="11">
        <f t="shared" ref="I284:M284" si="282">IF(MIN($C283:$G283)=C283,I283+1,I283)</f>
        <v>108</v>
      </c>
      <c r="J284" s="11">
        <f t="shared" si="282"/>
        <v>50</v>
      </c>
      <c r="K284" s="11">
        <f t="shared" si="282"/>
        <v>46</v>
      </c>
      <c r="L284" s="11">
        <f t="shared" si="282"/>
        <v>41</v>
      </c>
      <c r="M284" s="11">
        <f t="shared" si="282"/>
        <v>38</v>
      </c>
      <c r="O284" s="10">
        <f>'Optimal Choice'!$B$7*'Optimal Choice'!$B$8^(I284+1)</f>
        <v>6381.0442900197495</v>
      </c>
      <c r="P284" s="10">
        <f>'Optimal Choice'!$B$12*'Optimal Choice'!$B$13^(J284+1)</f>
        <v>74772.363469292715</v>
      </c>
      <c r="Q284" s="10">
        <f>'Optimal Choice'!$B$17*'Optimal Choice'!$B$18^(K284+1)</f>
        <v>340298.87177876901</v>
      </c>
      <c r="R284" s="10">
        <f>'Optimal Choice'!$B$22*'Optimal Choice'!$B$23^(L284+1)</f>
        <v>1464901.3147464383</v>
      </c>
      <c r="S284" s="10">
        <f>'Optimal Choice'!$B$27*'Optimal Choice'!$B$28^(M284+1)</f>
        <v>8613861.2637148332</v>
      </c>
    </row>
    <row r="285" spans="1:19" ht="15.75" customHeight="1">
      <c r="A285" s="8">
        <f t="shared" si="0"/>
        <v>22.463331461227007</v>
      </c>
      <c r="B285" s="7">
        <f>(I285*'Optimal Choice'!$B$6+J285*'Optimal Choice'!$B$11+K285*'Optimal Choice'!$B$16+L285*'Optimal Choice'!$B$21+M285*'Optimal Choice'!$B$26)*'Optimal Choice'!$B$30</f>
        <v>102180.36</v>
      </c>
      <c r="C285" s="8">
        <f>(O285/$B285)+(O285/'Optimal Choice'!$B$6)</f>
        <v>3821.0470536357593</v>
      </c>
      <c r="D285" s="8">
        <f>(P285/$B285)+(P285/'Optimal Choice'!$B$11)</f>
        <v>4300.252433199711</v>
      </c>
      <c r="E285" s="8">
        <f>(Q285/$B285)+(Q285/'Optimal Choice'!$B$16)</f>
        <v>3784.428949882622</v>
      </c>
      <c r="F285" s="8">
        <f>(R285/$B285)+(R285/'Optimal Choice'!$B$21)</f>
        <v>4083.5067461587064</v>
      </c>
      <c r="G285" s="8">
        <f>(S285/$B285)+(S285/'Optimal Choice'!$B$26)</f>
        <v>4072.1992902135871</v>
      </c>
      <c r="I285" s="11">
        <f t="shared" ref="I285:M285" si="283">IF(MIN($C284:$G284)=C284,I284+1,I284)</f>
        <v>108</v>
      </c>
      <c r="J285" s="11">
        <f t="shared" si="283"/>
        <v>51</v>
      </c>
      <c r="K285" s="11">
        <f t="shared" si="283"/>
        <v>46</v>
      </c>
      <c r="L285" s="11">
        <f t="shared" si="283"/>
        <v>41</v>
      </c>
      <c r="M285" s="11">
        <f t="shared" si="283"/>
        <v>38</v>
      </c>
      <c r="O285" s="10">
        <f>'Optimal Choice'!$B$7*'Optimal Choice'!$B$8^(I285+1)</f>
        <v>6381.0442900197495</v>
      </c>
      <c r="P285" s="10">
        <f>'Optimal Choice'!$B$12*'Optimal Choice'!$B$13^(J285+1)</f>
        <v>85988.217989686615</v>
      </c>
      <c r="Q285" s="10">
        <f>'Optimal Choice'!$B$17*'Optimal Choice'!$B$18^(K285+1)</f>
        <v>340298.87177876901</v>
      </c>
      <c r="R285" s="10">
        <f>'Optimal Choice'!$B$22*'Optimal Choice'!$B$23^(L285+1)</f>
        <v>1464901.3147464383</v>
      </c>
      <c r="S285" s="10">
        <f>'Optimal Choice'!$B$27*'Optimal Choice'!$B$28^(M285+1)</f>
        <v>8613861.2637148332</v>
      </c>
    </row>
    <row r="286" spans="1:19" ht="15.75" customHeight="1">
      <c r="A286" s="8">
        <f t="shared" si="0"/>
        <v>22.518837703943117</v>
      </c>
      <c r="B286" s="7">
        <f>(I286*'Optimal Choice'!$B$6+J286*'Optimal Choice'!$B$11+K286*'Optimal Choice'!$B$16+L286*'Optimal Choice'!$B$21+M286*'Optimal Choice'!$B$26)*'Optimal Choice'!$B$30</f>
        <v>102270.36</v>
      </c>
      <c r="C286" s="8">
        <f>(O286/$B286)+(O286/'Optimal Choice'!$B$6)</f>
        <v>3821.0469986795138</v>
      </c>
      <c r="D286" s="8">
        <f>(P286/$B286)+(P286/'Optimal Choice'!$B$11)</f>
        <v>4300.2516926328999</v>
      </c>
      <c r="E286" s="8">
        <f>(Q286/$B286)+(Q286/'Optimal Choice'!$B$16)</f>
        <v>4314.2456617570933</v>
      </c>
      <c r="F286" s="8">
        <f>(R286/$B286)+(R286/'Optimal Choice'!$B$21)</f>
        <v>4083.4941298105518</v>
      </c>
      <c r="G286" s="8">
        <f>(S286/$B286)+(S286/'Optimal Choice'!$B$26)</f>
        <v>4072.125104006253</v>
      </c>
      <c r="I286" s="11">
        <f t="shared" ref="I286:M286" si="284">IF(MIN($C285:$G285)=C285,I285+1,I285)</f>
        <v>108</v>
      </c>
      <c r="J286" s="11">
        <f t="shared" si="284"/>
        <v>51</v>
      </c>
      <c r="K286" s="11">
        <f t="shared" si="284"/>
        <v>47</v>
      </c>
      <c r="L286" s="11">
        <f t="shared" si="284"/>
        <v>41</v>
      </c>
      <c r="M286" s="11">
        <f t="shared" si="284"/>
        <v>38</v>
      </c>
      <c r="O286" s="10">
        <f>'Optimal Choice'!$B$7*'Optimal Choice'!$B$8^(I286+1)</f>
        <v>6381.0442900197495</v>
      </c>
      <c r="P286" s="10">
        <f>'Optimal Choice'!$B$12*'Optimal Choice'!$B$13^(J286+1)</f>
        <v>85988.217989686615</v>
      </c>
      <c r="Q286" s="10">
        <f>'Optimal Choice'!$B$17*'Optimal Choice'!$B$18^(K286+1)</f>
        <v>387940.71382779675</v>
      </c>
      <c r="R286" s="10">
        <f>'Optimal Choice'!$B$22*'Optimal Choice'!$B$23^(L286+1)</f>
        <v>1464901.3147464383</v>
      </c>
      <c r="S286" s="10">
        <f>'Optimal Choice'!$B$27*'Optimal Choice'!$B$28^(M286+1)</f>
        <v>8613861.2637148332</v>
      </c>
    </row>
    <row r="287" spans="1:19" ht="15.75" customHeight="1">
      <c r="A287" s="8">
        <f t="shared" si="0"/>
        <v>22.519877601897587</v>
      </c>
      <c r="B287" s="7">
        <f>(I287*'Optimal Choice'!$B$6+J287*'Optimal Choice'!$B$11+K287*'Optimal Choice'!$B$16+L287*'Optimal Choice'!$B$21+M287*'Optimal Choice'!$B$26)*'Optimal Choice'!$B$30</f>
        <v>102272.03</v>
      </c>
      <c r="C287" s="8">
        <f>(O287/$B287)+(O287/'Optimal Choice'!$B$6)</f>
        <v>4088.5202874969323</v>
      </c>
      <c r="D287" s="8">
        <f>(P287/$B287)+(P287/'Optimal Choice'!$B$11)</f>
        <v>4300.2516789035881</v>
      </c>
      <c r="E287" s="8">
        <f>(Q287/$B287)+(Q287/'Optimal Choice'!$B$16)</f>
        <v>4314.2455998165269</v>
      </c>
      <c r="F287" s="8">
        <f>(R287/$B287)+(R287/'Optimal Choice'!$B$21)</f>
        <v>4083.4938959170377</v>
      </c>
      <c r="G287" s="8">
        <f>(S287/$B287)+(S287/'Optimal Choice'!$B$26)</f>
        <v>4072.123728673826</v>
      </c>
      <c r="I287" s="11">
        <f t="shared" ref="I287:M287" si="285">IF(MIN($C286:$G286)=C286,I286+1,I286)</f>
        <v>109</v>
      </c>
      <c r="J287" s="11">
        <f t="shared" si="285"/>
        <v>51</v>
      </c>
      <c r="K287" s="11">
        <f t="shared" si="285"/>
        <v>47</v>
      </c>
      <c r="L287" s="11">
        <f t="shared" si="285"/>
        <v>41</v>
      </c>
      <c r="M287" s="11">
        <f t="shared" si="285"/>
        <v>38</v>
      </c>
      <c r="O287" s="10">
        <f>'Optimal Choice'!$B$7*'Optimal Choice'!$B$8^(I287+1)</f>
        <v>6827.7173903211324</v>
      </c>
      <c r="P287" s="10">
        <f>'Optimal Choice'!$B$12*'Optimal Choice'!$B$13^(J287+1)</f>
        <v>85988.217989686615</v>
      </c>
      <c r="Q287" s="10">
        <f>'Optimal Choice'!$B$17*'Optimal Choice'!$B$18^(K287+1)</f>
        <v>387940.71382779675</v>
      </c>
      <c r="R287" s="10">
        <f>'Optimal Choice'!$B$22*'Optimal Choice'!$B$23^(L287+1)</f>
        <v>1464901.3147464383</v>
      </c>
      <c r="S287" s="10">
        <f>'Optimal Choice'!$B$27*'Optimal Choice'!$B$28^(M287+1)</f>
        <v>8613861.2637148332</v>
      </c>
    </row>
    <row r="288" spans="1:19" ht="15.75" customHeight="1">
      <c r="A288" s="8">
        <f t="shared" si="0"/>
        <v>23.923627526439489</v>
      </c>
      <c r="B288" s="7">
        <f>(I288*'Optimal Choice'!$B$6+J288*'Optimal Choice'!$B$11+K288*'Optimal Choice'!$B$16+L288*'Optimal Choice'!$B$21+M288*'Optimal Choice'!$B$26)*'Optimal Choice'!$B$30</f>
        <v>104432.03</v>
      </c>
      <c r="C288" s="8">
        <f>(O288/$B288)+(O288/'Optimal Choice'!$B$6)</f>
        <v>4088.5189066717735</v>
      </c>
      <c r="D288" s="8">
        <f>(P288/$B288)+(P288/'Optimal Choice'!$B$11)</f>
        <v>4300.2342888026242</v>
      </c>
      <c r="E288" s="8">
        <f>(Q288/$B288)+(Q288/'Optimal Choice'!$B$16)</f>
        <v>4314.1671433914571</v>
      </c>
      <c r="F288" s="8">
        <f>(R288/$B288)+(R288/'Optimal Choice'!$B$21)</f>
        <v>4083.1976369368936</v>
      </c>
      <c r="G288" s="8">
        <f>(S288/$B288)+(S288/'Optimal Choice'!$B$26)</f>
        <v>4558.8274782661902</v>
      </c>
      <c r="I288" s="11">
        <f t="shared" ref="I288:M288" si="286">IF(MIN($C287:$G287)=C287,I287+1,I287)</f>
        <v>109</v>
      </c>
      <c r="J288" s="11">
        <f t="shared" si="286"/>
        <v>51</v>
      </c>
      <c r="K288" s="11">
        <f t="shared" si="286"/>
        <v>47</v>
      </c>
      <c r="L288" s="11">
        <f t="shared" si="286"/>
        <v>41</v>
      </c>
      <c r="M288" s="11">
        <f t="shared" si="286"/>
        <v>39</v>
      </c>
      <c r="O288" s="10">
        <f>'Optimal Choice'!$B$7*'Optimal Choice'!$B$8^(I288+1)</f>
        <v>6827.7173903211324</v>
      </c>
      <c r="P288" s="10">
        <f>'Optimal Choice'!$B$12*'Optimal Choice'!$B$13^(J288+1)</f>
        <v>85988.217989686615</v>
      </c>
      <c r="Q288" s="10">
        <f>'Optimal Choice'!$B$17*'Optimal Choice'!$B$18^(K288+1)</f>
        <v>387940.71382779675</v>
      </c>
      <c r="R288" s="10">
        <f>'Optimal Choice'!$B$22*'Optimal Choice'!$B$23^(L288+1)</f>
        <v>1464901.3147464383</v>
      </c>
      <c r="S288" s="10">
        <f>'Optimal Choice'!$B$27*'Optimal Choice'!$B$28^(M288+1)</f>
        <v>9647524.6153606158</v>
      </c>
    </row>
    <row r="289" spans="1:19" ht="15.75" customHeight="1">
      <c r="A289" s="8">
        <f t="shared" si="0"/>
        <v>24.157416163052609</v>
      </c>
      <c r="B289" s="7">
        <f>(I289*'Optimal Choice'!$B$6+J289*'Optimal Choice'!$B$11+K289*'Optimal Choice'!$B$16+L289*'Optimal Choice'!$B$21+M289*'Optimal Choice'!$B$26)*'Optimal Choice'!$B$30</f>
        <v>104792.03</v>
      </c>
      <c r="C289" s="8">
        <f>(O289/$B289)+(O289/'Optimal Choice'!$B$6)</f>
        <v>4088.518682068509</v>
      </c>
      <c r="D289" s="8">
        <f>(P289/$B289)+(P289/'Optimal Choice'!$B$11)</f>
        <v>4300.231460150917</v>
      </c>
      <c r="E289" s="8">
        <f>(Q289/$B289)+(Q289/'Optimal Choice'!$B$16)</f>
        <v>4314.1543817691299</v>
      </c>
      <c r="F289" s="8">
        <f>(R289/$B289)+(R289/'Optimal Choice'!$B$21)</f>
        <v>4613.9588760455754</v>
      </c>
      <c r="G289" s="8">
        <f>(S289/$B289)+(S289/'Optimal Choice'!$B$26)</f>
        <v>4558.5101151714107</v>
      </c>
      <c r="I289" s="11">
        <f t="shared" ref="I289:M289" si="287">IF(MIN($C288:$G288)=C288,I288+1,I288)</f>
        <v>109</v>
      </c>
      <c r="J289" s="11">
        <f t="shared" si="287"/>
        <v>51</v>
      </c>
      <c r="K289" s="11">
        <f t="shared" si="287"/>
        <v>47</v>
      </c>
      <c r="L289" s="11">
        <f t="shared" si="287"/>
        <v>42</v>
      </c>
      <c r="M289" s="11">
        <f t="shared" si="287"/>
        <v>39</v>
      </c>
      <c r="O289" s="10">
        <f>'Optimal Choice'!$B$7*'Optimal Choice'!$B$8^(I289+1)</f>
        <v>6827.7173903211324</v>
      </c>
      <c r="P289" s="10">
        <f>'Optimal Choice'!$B$12*'Optimal Choice'!$B$13^(J289+1)</f>
        <v>85988.217989686615</v>
      </c>
      <c r="Q289" s="10">
        <f>'Optimal Choice'!$B$17*'Optimal Choice'!$B$18^(K289+1)</f>
        <v>387940.71382779675</v>
      </c>
      <c r="R289" s="10">
        <f>'Optimal Choice'!$B$22*'Optimal Choice'!$B$23^(L289+1)</f>
        <v>1655338.485663475</v>
      </c>
      <c r="S289" s="10">
        <f>'Optimal Choice'!$B$27*'Optimal Choice'!$B$28^(M289+1)</f>
        <v>9647524.6153606158</v>
      </c>
    </row>
    <row r="290" spans="1:19" ht="15.75" customHeight="1">
      <c r="A290" s="8">
        <f t="shared" si="0"/>
        <v>24.158502078554378</v>
      </c>
      <c r="B290" s="7">
        <f>(I290*'Optimal Choice'!$B$6+J290*'Optimal Choice'!$B$11+K290*'Optimal Choice'!$B$16+L290*'Optimal Choice'!$B$21+M290*'Optimal Choice'!$B$26)*'Optimal Choice'!$B$30</f>
        <v>104793.7</v>
      </c>
      <c r="C290" s="8">
        <f>(O290/$B290)+(O290/'Optimal Choice'!$B$6)</f>
        <v>4374.7149887023088</v>
      </c>
      <c r="D290" s="8">
        <f>(P290/$B290)+(P290/'Optimal Choice'!$B$11)</f>
        <v>4300.2314470744022</v>
      </c>
      <c r="E290" s="8">
        <f>(Q290/$B290)+(Q290/'Optimal Choice'!$B$16)</f>
        <v>4314.1543227736956</v>
      </c>
      <c r="F290" s="8">
        <f>(R290/$B290)+(R290/'Optimal Choice'!$B$21)</f>
        <v>4613.9586243127469</v>
      </c>
      <c r="G290" s="8">
        <f>(S290/$B290)+(S290/'Optimal Choice'!$B$26)</f>
        <v>4558.5086480402588</v>
      </c>
      <c r="I290" s="11">
        <f t="shared" ref="I290:M290" si="288">IF(MIN($C289:$G289)=C289,I289+1,I289)</f>
        <v>110</v>
      </c>
      <c r="J290" s="11">
        <f t="shared" si="288"/>
        <v>51</v>
      </c>
      <c r="K290" s="11">
        <f t="shared" si="288"/>
        <v>47</v>
      </c>
      <c r="L290" s="11">
        <f t="shared" si="288"/>
        <v>42</v>
      </c>
      <c r="M290" s="11">
        <f t="shared" si="288"/>
        <v>39</v>
      </c>
      <c r="O290" s="10">
        <f>'Optimal Choice'!$B$7*'Optimal Choice'!$B$8^(I290+1)</f>
        <v>7305.6576076436113</v>
      </c>
      <c r="P290" s="10">
        <f>'Optimal Choice'!$B$12*'Optimal Choice'!$B$13^(J290+1)</f>
        <v>85988.217989686615</v>
      </c>
      <c r="Q290" s="10">
        <f>'Optimal Choice'!$B$17*'Optimal Choice'!$B$18^(K290+1)</f>
        <v>387940.71382779675</v>
      </c>
      <c r="R290" s="10">
        <f>'Optimal Choice'!$B$22*'Optimal Choice'!$B$23^(L290+1)</f>
        <v>1655338.485663475</v>
      </c>
      <c r="S290" s="10">
        <f>'Optimal Choice'!$B$27*'Optimal Choice'!$B$28^(M290+1)</f>
        <v>9647524.6153606158</v>
      </c>
    </row>
    <row r="291" spans="1:19" ht="15.75" customHeight="1">
      <c r="A291" s="8">
        <f t="shared" si="0"/>
        <v>24.172177871722237</v>
      </c>
      <c r="B291" s="7">
        <f>(I291*'Optimal Choice'!$B$6+J291*'Optimal Choice'!$B$11+K291*'Optimal Choice'!$B$16+L291*'Optimal Choice'!$B$21+M291*'Optimal Choice'!$B$26)*'Optimal Choice'!$B$30</f>
        <v>104813.7</v>
      </c>
      <c r="C291" s="8">
        <f>(O291/$B291)+(O291/'Optimal Choice'!$B$6)</f>
        <v>4374.7149753997228</v>
      </c>
      <c r="D291" s="8">
        <f>(P291/$B291)+(P291/'Optimal Choice'!$B$11)</f>
        <v>4945.2659840770921</v>
      </c>
      <c r="E291" s="8">
        <f>(Q291/$B291)+(Q291/'Optimal Choice'!$B$16)</f>
        <v>4314.1536163876199</v>
      </c>
      <c r="F291" s="8">
        <f>(R291/$B291)+(R291/'Optimal Choice'!$B$21)</f>
        <v>4613.9556101716298</v>
      </c>
      <c r="G291" s="8">
        <f>(S291/$B291)+(S291/'Optimal Choice'!$B$26)</f>
        <v>4558.4910812399539</v>
      </c>
      <c r="I291" s="11">
        <f t="shared" ref="I291:M291" si="289">IF(MIN($C290:$G290)=C290,I290+1,I290)</f>
        <v>110</v>
      </c>
      <c r="J291" s="11">
        <f t="shared" si="289"/>
        <v>52</v>
      </c>
      <c r="K291" s="11">
        <f t="shared" si="289"/>
        <v>47</v>
      </c>
      <c r="L291" s="11">
        <f t="shared" si="289"/>
        <v>42</v>
      </c>
      <c r="M291" s="11">
        <f t="shared" si="289"/>
        <v>39</v>
      </c>
      <c r="O291" s="10">
        <f>'Optimal Choice'!$B$7*'Optimal Choice'!$B$8^(I291+1)</f>
        <v>7305.6576076436113</v>
      </c>
      <c r="P291" s="10">
        <f>'Optimal Choice'!$B$12*'Optimal Choice'!$B$13^(J291+1)</f>
        <v>98886.450688139608</v>
      </c>
      <c r="Q291" s="10">
        <f>'Optimal Choice'!$B$17*'Optimal Choice'!$B$18^(K291+1)</f>
        <v>387940.71382779675</v>
      </c>
      <c r="R291" s="10">
        <f>'Optimal Choice'!$B$22*'Optimal Choice'!$B$23^(L291+1)</f>
        <v>1655338.485663475</v>
      </c>
      <c r="S291" s="10">
        <f>'Optimal Choice'!$B$27*'Optimal Choice'!$B$28^(M291+1)</f>
        <v>9647524.6153606158</v>
      </c>
    </row>
    <row r="292" spans="1:19" ht="15.75" customHeight="1">
      <c r="A292" s="8">
        <f t="shared" si="0"/>
        <v>24.233865213775772</v>
      </c>
      <c r="B292" s="7">
        <f>(I292*'Optimal Choice'!$B$6+J292*'Optimal Choice'!$B$11+K292*'Optimal Choice'!$B$16+L292*'Optimal Choice'!$B$21+M292*'Optimal Choice'!$B$26)*'Optimal Choice'!$B$30</f>
        <v>104903.7</v>
      </c>
      <c r="C292" s="8">
        <f>(O292/$B292)+(O292/'Optimal Choice'!$B$6)</f>
        <v>4374.7149156008545</v>
      </c>
      <c r="D292" s="8">
        <f>(P292/$B292)+(P292/'Optimal Choice'!$B$11)</f>
        <v>4945.2651746635984</v>
      </c>
      <c r="E292" s="8">
        <f>(Q292/$B292)+(Q292/'Optimal Choice'!$B$16)</f>
        <v>4918.1315027211258</v>
      </c>
      <c r="F292" s="8">
        <f>(R292/$B292)+(R292/'Optimal Choice'!$B$21)</f>
        <v>4613.9420607591728</v>
      </c>
      <c r="G292" s="8">
        <f>(S292/$B292)+(S292/'Optimal Choice'!$B$26)</f>
        <v>4558.4121135295218</v>
      </c>
      <c r="I292" s="11">
        <f t="shared" ref="I292:M292" si="290">IF(MIN($C291:$G291)=C291,I291+1,I291)</f>
        <v>110</v>
      </c>
      <c r="J292" s="11">
        <f t="shared" si="290"/>
        <v>52</v>
      </c>
      <c r="K292" s="11">
        <f t="shared" si="290"/>
        <v>48</v>
      </c>
      <c r="L292" s="11">
        <f t="shared" si="290"/>
        <v>42</v>
      </c>
      <c r="M292" s="11">
        <f t="shared" si="290"/>
        <v>39</v>
      </c>
      <c r="O292" s="10">
        <f>'Optimal Choice'!$B$7*'Optimal Choice'!$B$8^(I292+1)</f>
        <v>7305.6576076436113</v>
      </c>
      <c r="P292" s="10">
        <f>'Optimal Choice'!$B$12*'Optimal Choice'!$B$13^(J292+1)</f>
        <v>98886.450688139608</v>
      </c>
      <c r="Q292" s="10">
        <f>'Optimal Choice'!$B$17*'Optimal Choice'!$B$18^(K292+1)</f>
        <v>442252.41376368824</v>
      </c>
      <c r="R292" s="10">
        <f>'Optimal Choice'!$B$22*'Optimal Choice'!$B$23^(L292+1)</f>
        <v>1655338.485663475</v>
      </c>
      <c r="S292" s="10">
        <f>'Optimal Choice'!$B$27*'Optimal Choice'!$B$28^(M292+1)</f>
        <v>9647524.6153606158</v>
      </c>
    </row>
    <row r="293" spans="1:19" ht="15.75" customHeight="1">
      <c r="A293" s="8">
        <f t="shared" si="0"/>
        <v>24.235025906488492</v>
      </c>
      <c r="B293" s="7">
        <f>(I293*'Optimal Choice'!$B$6+J293*'Optimal Choice'!$B$11+K293*'Optimal Choice'!$B$16+L293*'Optimal Choice'!$B$21+M293*'Optimal Choice'!$B$26)*'Optimal Choice'!$B$30</f>
        <v>104905.37</v>
      </c>
      <c r="C293" s="8">
        <f>(O293/$B293)+(O293/'Optimal Choice'!$B$6)</f>
        <v>4680.9449585066777</v>
      </c>
      <c r="D293" s="8">
        <f>(P293/$B293)+(P293/'Optimal Choice'!$B$11)</f>
        <v>4945.2651596576052</v>
      </c>
      <c r="E293" s="8">
        <f>(Q293/$B293)+(Q293/'Optimal Choice'!$B$16)</f>
        <v>4918.131435609439</v>
      </c>
      <c r="F293" s="8">
        <f>(R293/$B293)+(R293/'Optimal Choice'!$B$21)</f>
        <v>4613.941809561994</v>
      </c>
      <c r="G293" s="8">
        <f>(S293/$B293)+(S293/'Optimal Choice'!$B$26)</f>
        <v>4558.410649520205</v>
      </c>
      <c r="I293" s="11">
        <f t="shared" ref="I293:M293" si="291">IF(MIN($C292:$G292)=C292,I292+1,I292)</f>
        <v>111</v>
      </c>
      <c r="J293" s="11">
        <f t="shared" si="291"/>
        <v>52</v>
      </c>
      <c r="K293" s="11">
        <f t="shared" si="291"/>
        <v>48</v>
      </c>
      <c r="L293" s="11">
        <f t="shared" si="291"/>
        <v>42</v>
      </c>
      <c r="M293" s="11">
        <f t="shared" si="291"/>
        <v>39</v>
      </c>
      <c r="O293" s="10">
        <f>'Optimal Choice'!$B$7*'Optimal Choice'!$B$8^(I293+1)</f>
        <v>7817.053640178664</v>
      </c>
      <c r="P293" s="10">
        <f>'Optimal Choice'!$B$12*'Optimal Choice'!$B$13^(J293+1)</f>
        <v>98886.450688139608</v>
      </c>
      <c r="Q293" s="10">
        <f>'Optimal Choice'!$B$17*'Optimal Choice'!$B$18^(K293+1)</f>
        <v>442252.41376368824</v>
      </c>
      <c r="R293" s="10">
        <f>'Optimal Choice'!$B$22*'Optimal Choice'!$B$23^(L293+1)</f>
        <v>1655338.485663475</v>
      </c>
      <c r="S293" s="10">
        <f>'Optimal Choice'!$B$27*'Optimal Choice'!$B$28^(M293+1)</f>
        <v>9647524.6153606158</v>
      </c>
    </row>
    <row r="294" spans="1:19" ht="15.75" customHeight="1">
      <c r="A294" s="8">
        <f t="shared" si="0"/>
        <v>25.767760378734067</v>
      </c>
      <c r="B294" s="7">
        <f>(I294*'Optimal Choice'!$B$6+J294*'Optimal Choice'!$B$11+K294*'Optimal Choice'!$B$16+L294*'Optimal Choice'!$B$21+M294*'Optimal Choice'!$B$26)*'Optimal Choice'!$B$30</f>
        <v>107065.37</v>
      </c>
      <c r="C294" s="8">
        <f>(O294/$B294)+(O294/'Optimal Choice'!$B$6)</f>
        <v>4680.9434551912955</v>
      </c>
      <c r="D294" s="8">
        <f>(P294/$B294)+(P294/'Optimal Choice'!$B$11)</f>
        <v>4945.246142579148</v>
      </c>
      <c r="E294" s="8">
        <f>(Q294/$B294)+(Q294/'Optimal Choice'!$B$16)</f>
        <v>4918.0463850409133</v>
      </c>
      <c r="F294" s="8">
        <f>(R294/$B294)+(R294/'Optimal Choice'!$B$21)</f>
        <v>4613.6234676492631</v>
      </c>
      <c r="G294" s="8">
        <f>(S294/$B294)+(S294/'Optimal Choice'!$B$26)</f>
        <v>5103.3419495495518</v>
      </c>
      <c r="I294" s="11">
        <f t="shared" ref="I294:M294" si="292">IF(MIN($C293:$G293)=C293,I293+1,I293)</f>
        <v>111</v>
      </c>
      <c r="J294" s="11">
        <f t="shared" si="292"/>
        <v>52</v>
      </c>
      <c r="K294" s="11">
        <f t="shared" si="292"/>
        <v>48</v>
      </c>
      <c r="L294" s="11">
        <f t="shared" si="292"/>
        <v>42</v>
      </c>
      <c r="M294" s="11">
        <f t="shared" si="292"/>
        <v>40</v>
      </c>
      <c r="O294" s="10">
        <f>'Optimal Choice'!$B$7*'Optimal Choice'!$B$8^(I294+1)</f>
        <v>7817.053640178664</v>
      </c>
      <c r="P294" s="10">
        <f>'Optimal Choice'!$B$12*'Optimal Choice'!$B$13^(J294+1)</f>
        <v>98886.450688139608</v>
      </c>
      <c r="Q294" s="10">
        <f>'Optimal Choice'!$B$17*'Optimal Choice'!$B$18^(K294+1)</f>
        <v>442252.41376368824</v>
      </c>
      <c r="R294" s="10">
        <f>'Optimal Choice'!$B$22*'Optimal Choice'!$B$23^(L294+1)</f>
        <v>1655338.485663475</v>
      </c>
      <c r="S294" s="10">
        <f>'Optimal Choice'!$B$27*'Optimal Choice'!$B$28^(M294+1)</f>
        <v>10805227.569203887</v>
      </c>
    </row>
    <row r="295" spans="1:19" ht="15.75" customHeight="1">
      <c r="A295" s="8">
        <f t="shared" si="0"/>
        <v>26.025443836616461</v>
      </c>
      <c r="B295" s="7">
        <f>(I295*'Optimal Choice'!$B$6+J295*'Optimal Choice'!$B$11+K295*'Optimal Choice'!$B$16+L295*'Optimal Choice'!$B$21+M295*'Optimal Choice'!$B$26)*'Optimal Choice'!$B$30</f>
        <v>107425.37</v>
      </c>
      <c r="C295" s="8">
        <f>(O295/$B295)+(O295/'Optimal Choice'!$B$6)</f>
        <v>4680.9432105162305</v>
      </c>
      <c r="D295" s="8">
        <f>(P295/$B295)+(P295/'Optimal Choice'!$B$11)</f>
        <v>4945.2430474169723</v>
      </c>
      <c r="E295" s="8">
        <f>(Q295/$B295)+(Q295/'Optimal Choice'!$B$16)</f>
        <v>4918.0325424675993</v>
      </c>
      <c r="F295" s="8">
        <f>(R295/$B295)+(R295/'Optimal Choice'!$B$21)</f>
        <v>5213.335970469012</v>
      </c>
      <c r="G295" s="8">
        <f>(S295/$B295)+(S295/'Optimal Choice'!$B$26)</f>
        <v>5103.0037441488739</v>
      </c>
      <c r="I295" s="11">
        <f t="shared" ref="I295:M295" si="293">IF(MIN($C294:$G294)=C294,I294+1,I294)</f>
        <v>111</v>
      </c>
      <c r="J295" s="11">
        <f t="shared" si="293"/>
        <v>52</v>
      </c>
      <c r="K295" s="11">
        <f t="shared" si="293"/>
        <v>48</v>
      </c>
      <c r="L295" s="11">
        <f t="shared" si="293"/>
        <v>43</v>
      </c>
      <c r="M295" s="11">
        <f t="shared" si="293"/>
        <v>40</v>
      </c>
      <c r="O295" s="10">
        <f>'Optimal Choice'!$B$7*'Optimal Choice'!$B$8^(I295+1)</f>
        <v>7817.053640178664</v>
      </c>
      <c r="P295" s="10">
        <f>'Optimal Choice'!$B$12*'Optimal Choice'!$B$13^(J295+1)</f>
        <v>98886.450688139608</v>
      </c>
      <c r="Q295" s="10">
        <f>'Optimal Choice'!$B$17*'Optimal Choice'!$B$18^(K295+1)</f>
        <v>442252.41376368824</v>
      </c>
      <c r="R295" s="10">
        <f>'Optimal Choice'!$B$22*'Optimal Choice'!$B$23^(L295+1)</f>
        <v>1870532.4887997264</v>
      </c>
      <c r="S295" s="10">
        <f>'Optimal Choice'!$B$27*'Optimal Choice'!$B$28^(M295+1)</f>
        <v>10805227.569203887</v>
      </c>
    </row>
    <row r="296" spans="1:19" ht="15.75" customHeight="1">
      <c r="A296" s="8">
        <f t="shared" si="0"/>
        <v>26.026656624874359</v>
      </c>
      <c r="B296" s="7">
        <f>(I296*'Optimal Choice'!$B$6+J296*'Optimal Choice'!$B$11+K296*'Optimal Choice'!$B$16+L296*'Optimal Choice'!$B$21+M296*'Optimal Choice'!$B$26)*'Optimal Choice'!$B$30</f>
        <v>107427.04000000001</v>
      </c>
      <c r="C296" s="8">
        <f>(O296/$B296)+(O296/'Optimal Choice'!$B$6)</f>
        <v>5008.6092340419837</v>
      </c>
      <c r="D296" s="8">
        <f>(P296/$B296)+(P296/'Optimal Choice'!$B$11)</f>
        <v>4945.2430331071973</v>
      </c>
      <c r="E296" s="8">
        <f>(Q296/$B296)+(Q296/'Optimal Choice'!$B$16)</f>
        <v>4918.0324784696277</v>
      </c>
      <c r="F296" s="8">
        <f>(R296/$B296)+(R296/'Optimal Choice'!$B$21)</f>
        <v>5213.3356997858391</v>
      </c>
      <c r="G296" s="8">
        <f>(S296/$B296)+(S296/'Optimal Choice'!$B$26)</f>
        <v>5103.0021805335373</v>
      </c>
      <c r="I296" s="11">
        <f t="shared" ref="I296:M296" si="294">IF(MIN($C295:$G295)=C295,I295+1,I295)</f>
        <v>112</v>
      </c>
      <c r="J296" s="11">
        <f t="shared" si="294"/>
        <v>52</v>
      </c>
      <c r="K296" s="11">
        <f t="shared" si="294"/>
        <v>48</v>
      </c>
      <c r="L296" s="11">
        <f t="shared" si="294"/>
        <v>43</v>
      </c>
      <c r="M296" s="11">
        <f t="shared" si="294"/>
        <v>40</v>
      </c>
      <c r="O296" s="10">
        <f>'Optimal Choice'!$B$7*'Optimal Choice'!$B$8^(I296+1)</f>
        <v>8364.2473949911691</v>
      </c>
      <c r="P296" s="10">
        <f>'Optimal Choice'!$B$12*'Optimal Choice'!$B$13^(J296+1)</f>
        <v>98886.450688139608</v>
      </c>
      <c r="Q296" s="10">
        <f>'Optimal Choice'!$B$17*'Optimal Choice'!$B$18^(K296+1)</f>
        <v>442252.41376368824</v>
      </c>
      <c r="R296" s="10">
        <f>'Optimal Choice'!$B$22*'Optimal Choice'!$B$23^(L296+1)</f>
        <v>1870532.4887997264</v>
      </c>
      <c r="S296" s="10">
        <f>'Optimal Choice'!$B$27*'Optimal Choice'!$B$28^(M296+1)</f>
        <v>10805227.569203887</v>
      </c>
    </row>
    <row r="297" spans="1:19" ht="15.75" customHeight="1">
      <c r="A297" s="8">
        <f t="shared" si="0"/>
        <v>26.095269457944397</v>
      </c>
      <c r="B297" s="7">
        <f>(I297*'Optimal Choice'!$B$6+J297*'Optimal Choice'!$B$11+K297*'Optimal Choice'!$B$16+L297*'Optimal Choice'!$B$21+M297*'Optimal Choice'!$B$26)*'Optimal Choice'!$B$30</f>
        <v>107517.04000000001</v>
      </c>
      <c r="C297" s="8">
        <f>(O297/$B297)+(O297/'Optimal Choice'!$B$6)</f>
        <v>5008.6091688673687</v>
      </c>
      <c r="D297" s="8">
        <f>(P297/$B297)+(P297/'Optimal Choice'!$B$11)</f>
        <v>4945.2422625792606</v>
      </c>
      <c r="E297" s="8">
        <f>(Q297/$B297)+(Q297/'Optimal Choice'!$B$16)</f>
        <v>5606.5530969562233</v>
      </c>
      <c r="F297" s="8">
        <f>(R297/$B297)+(R297/'Optimal Choice'!$B$21)</f>
        <v>5213.3211245075317</v>
      </c>
      <c r="G297" s="8">
        <f>(S297/$B297)+(S297/'Optimal Choice'!$B$26)</f>
        <v>5102.9179856853116</v>
      </c>
      <c r="I297" s="11">
        <f t="shared" ref="I297:M297" si="295">IF(MIN($C296:$G296)=C296,I296+1,I296)</f>
        <v>112</v>
      </c>
      <c r="J297" s="11">
        <f t="shared" si="295"/>
        <v>52</v>
      </c>
      <c r="K297" s="11">
        <f t="shared" si="295"/>
        <v>49</v>
      </c>
      <c r="L297" s="11">
        <f t="shared" si="295"/>
        <v>43</v>
      </c>
      <c r="M297" s="11">
        <f t="shared" si="295"/>
        <v>40</v>
      </c>
      <c r="O297" s="10">
        <f>'Optimal Choice'!$B$7*'Optimal Choice'!$B$8^(I297+1)</f>
        <v>8364.2473949911691</v>
      </c>
      <c r="P297" s="10">
        <f>'Optimal Choice'!$B$12*'Optimal Choice'!$B$13^(J297+1)</f>
        <v>98886.450688139608</v>
      </c>
      <c r="Q297" s="10">
        <f>'Optimal Choice'!$B$17*'Optimal Choice'!$B$18^(K297+1)</f>
        <v>504167.75169060461</v>
      </c>
      <c r="R297" s="10">
        <f>'Optimal Choice'!$B$22*'Optimal Choice'!$B$23^(L297+1)</f>
        <v>1870532.4887997264</v>
      </c>
      <c r="S297" s="10">
        <f>'Optimal Choice'!$B$27*'Optimal Choice'!$B$28^(M297+1)</f>
        <v>10805227.569203887</v>
      </c>
    </row>
    <row r="298" spans="1:19" ht="15.75" customHeight="1">
      <c r="A298" s="8">
        <f t="shared" si="0"/>
        <v>26.110598260815728</v>
      </c>
      <c r="B298" s="7">
        <f>(I298*'Optimal Choice'!$B$6+J298*'Optimal Choice'!$B$11+K298*'Optimal Choice'!$B$16+L298*'Optimal Choice'!$B$21+M298*'Optimal Choice'!$B$26)*'Optimal Choice'!$B$30</f>
        <v>107537.04000000001</v>
      </c>
      <c r="C298" s="8">
        <f>(O298/$B298)+(O298/'Optimal Choice'!$B$6)</f>
        <v>5008.609154398936</v>
      </c>
      <c r="D298" s="8">
        <f>(P298/$B298)+(P298/'Optimal Choice'!$B$11)</f>
        <v>5687.0284052548759</v>
      </c>
      <c r="E298" s="8">
        <f>(Q298/$B298)+(Q298/'Optimal Choice'!$B$16)</f>
        <v>5606.5522248494071</v>
      </c>
      <c r="F298" s="8">
        <f>(R298/$B298)+(R298/'Optimal Choice'!$B$21)</f>
        <v>5213.3178888699304</v>
      </c>
      <c r="G298" s="8">
        <f>(S298/$B298)+(S298/'Optimal Choice'!$B$26)</f>
        <v>5102.899294857526</v>
      </c>
      <c r="I298" s="11">
        <f t="shared" ref="I298:M298" si="296">IF(MIN($C297:$G297)=C297,I297+1,I297)</f>
        <v>112</v>
      </c>
      <c r="J298" s="11">
        <f t="shared" si="296"/>
        <v>53</v>
      </c>
      <c r="K298" s="11">
        <f t="shared" si="296"/>
        <v>49</v>
      </c>
      <c r="L298" s="11">
        <f t="shared" si="296"/>
        <v>43</v>
      </c>
      <c r="M298" s="11">
        <f t="shared" si="296"/>
        <v>40</v>
      </c>
      <c r="O298" s="10">
        <f>'Optimal Choice'!$B$7*'Optimal Choice'!$B$8^(I298+1)</f>
        <v>8364.2473949911691</v>
      </c>
      <c r="P298" s="10">
        <f>'Optimal Choice'!$B$12*'Optimal Choice'!$B$13^(J298+1)</f>
        <v>113719.41829136053</v>
      </c>
      <c r="Q298" s="10">
        <f>'Optimal Choice'!$B$17*'Optimal Choice'!$B$18^(K298+1)</f>
        <v>504167.75169060461</v>
      </c>
      <c r="R298" s="10">
        <f>'Optimal Choice'!$B$22*'Optimal Choice'!$B$23^(L298+1)</f>
        <v>1870532.4887997264</v>
      </c>
      <c r="S298" s="10">
        <f>'Optimal Choice'!$B$27*'Optimal Choice'!$B$28^(M298+1)</f>
        <v>10805227.569203887</v>
      </c>
    </row>
    <row r="299" spans="1:19" ht="15.75" customHeight="1">
      <c r="A299" s="8">
        <f t="shared" si="0"/>
        <v>26.111894596694508</v>
      </c>
      <c r="B299" s="7">
        <f>(I299*'Optimal Choice'!$B$6+J299*'Optimal Choice'!$B$11+K299*'Optimal Choice'!$B$16+L299*'Optimal Choice'!$B$21+M299*'Optimal Choice'!$B$26)*'Optimal Choice'!$B$30</f>
        <v>107538.70999999999</v>
      </c>
      <c r="C299" s="8">
        <f>(O299/$B299)+(O299/'Optimal Choice'!$B$6)</f>
        <v>5359.2117939144409</v>
      </c>
      <c r="D299" s="8">
        <f>(P299/$B299)+(P299/'Optimal Choice'!$B$11)</f>
        <v>5687.028388832794</v>
      </c>
      <c r="E299" s="8">
        <f>(Q299/$B299)+(Q299/'Optimal Choice'!$B$16)</f>
        <v>5606.5521520431612</v>
      </c>
      <c r="F299" s="8">
        <f>(R299/$B299)+(R299/'Optimal Choice'!$B$21)</f>
        <v>5213.3176187486333</v>
      </c>
      <c r="G299" s="8">
        <f>(S299/$B299)+(S299/'Optimal Choice'!$B$26)</f>
        <v>5102.8977344878977</v>
      </c>
      <c r="I299" s="11">
        <f t="shared" ref="I299:M299" si="297">IF(MIN($C298:$G298)=C298,I298+1,I298)</f>
        <v>113</v>
      </c>
      <c r="J299" s="11">
        <f t="shared" si="297"/>
        <v>53</v>
      </c>
      <c r="K299" s="11">
        <f t="shared" si="297"/>
        <v>49</v>
      </c>
      <c r="L299" s="11">
        <f t="shared" si="297"/>
        <v>43</v>
      </c>
      <c r="M299" s="11">
        <f t="shared" si="297"/>
        <v>40</v>
      </c>
      <c r="O299" s="10">
        <f>'Optimal Choice'!$B$7*'Optimal Choice'!$B$8^(I299+1)</f>
        <v>8949.7447126405532</v>
      </c>
      <c r="P299" s="10">
        <f>'Optimal Choice'!$B$12*'Optimal Choice'!$B$13^(J299+1)</f>
        <v>113719.41829136053</v>
      </c>
      <c r="Q299" s="10">
        <f>'Optimal Choice'!$B$17*'Optimal Choice'!$B$18^(K299+1)</f>
        <v>504167.75169060461</v>
      </c>
      <c r="R299" s="10">
        <f>'Optimal Choice'!$B$22*'Optimal Choice'!$B$23^(L299+1)</f>
        <v>1870532.4887997264</v>
      </c>
      <c r="S299" s="10">
        <f>'Optimal Choice'!$B$27*'Optimal Choice'!$B$28^(M299+1)</f>
        <v>10805227.569203887</v>
      </c>
    </row>
    <row r="300" spans="1:19" ht="15.75" customHeight="1">
      <c r="A300" s="8">
        <f t="shared" si="0"/>
        <v>27.786520656030707</v>
      </c>
      <c r="B300" s="7">
        <f>(I300*'Optimal Choice'!$B$6+J300*'Optimal Choice'!$B$11+K300*'Optimal Choice'!$B$16+L300*'Optimal Choice'!$B$21+M300*'Optimal Choice'!$B$26)*'Optimal Choice'!$B$30</f>
        <v>109698.70999999999</v>
      </c>
      <c r="C300" s="8">
        <f>(O300/$B300)+(O300/'Optimal Choice'!$B$6)</f>
        <v>5359.2101552197164</v>
      </c>
      <c r="D300" s="8">
        <f>(P300/$B300)+(P300/'Optimal Choice'!$B$11)</f>
        <v>5687.0075668521904</v>
      </c>
      <c r="E300" s="8">
        <f>(Q300/$B300)+(Q300/'Optimal Choice'!$B$16)</f>
        <v>5606.4598391268228</v>
      </c>
      <c r="F300" s="8">
        <f>(R300/$B300)+(R300/'Optimal Choice'!$B$21)</f>
        <v>5212.9751249882356</v>
      </c>
      <c r="G300" s="8">
        <f>(S300/$B300)+(S300/'Optimal Choice'!$B$26)</f>
        <v>5713.0296177749915</v>
      </c>
      <c r="I300" s="11">
        <f t="shared" ref="I300:M300" si="298">IF(MIN($C299:$G299)=C299,I299+1,I299)</f>
        <v>113</v>
      </c>
      <c r="J300" s="11">
        <f t="shared" si="298"/>
        <v>53</v>
      </c>
      <c r="K300" s="11">
        <f t="shared" si="298"/>
        <v>49</v>
      </c>
      <c r="L300" s="11">
        <f t="shared" si="298"/>
        <v>43</v>
      </c>
      <c r="M300" s="11">
        <f t="shared" si="298"/>
        <v>41</v>
      </c>
      <c r="O300" s="10">
        <f>'Optimal Choice'!$B$7*'Optimal Choice'!$B$8^(I300+1)</f>
        <v>8949.7447126405532</v>
      </c>
      <c r="P300" s="10">
        <f>'Optimal Choice'!$B$12*'Optimal Choice'!$B$13^(J300+1)</f>
        <v>113719.41829136053</v>
      </c>
      <c r="Q300" s="10">
        <f>'Optimal Choice'!$B$17*'Optimal Choice'!$B$18^(K300+1)</f>
        <v>504167.75169060461</v>
      </c>
      <c r="R300" s="10">
        <f>'Optimal Choice'!$B$22*'Optimal Choice'!$B$23^(L300+1)</f>
        <v>1870532.4887997264</v>
      </c>
      <c r="S300" s="10">
        <f>'Optimal Choice'!$B$27*'Optimal Choice'!$B$28^(M300+1)</f>
        <v>12101854.877508357</v>
      </c>
    </row>
    <row r="301" spans="1:19" ht="15.75" customHeight="1">
      <c r="A301" s="8">
        <f t="shared" si="0"/>
        <v>28.070713072513957</v>
      </c>
      <c r="B301" s="7">
        <f>(I301*'Optimal Choice'!$B$6+J301*'Optimal Choice'!$B$11+K301*'Optimal Choice'!$B$16+L301*'Optimal Choice'!$B$21+M301*'Optimal Choice'!$B$26)*'Optimal Choice'!$B$30</f>
        <v>110058.70999999999</v>
      </c>
      <c r="C301" s="8">
        <f>(O301/$B301)+(O301/'Optimal Choice'!$B$6)</f>
        <v>5359.2098883574263</v>
      </c>
      <c r="D301" s="8">
        <f>(P301/$B301)+(P301/'Optimal Choice'!$B$11)</f>
        <v>5687.0041759817877</v>
      </c>
      <c r="E301" s="8">
        <f>(Q301/$B301)+(Q301/'Optimal Choice'!$B$16)</f>
        <v>5606.4448059202441</v>
      </c>
      <c r="F301" s="8">
        <f>(R301/$B301)+(R301/'Optimal Choice'!$B$21)</f>
        <v>5890.5988651617909</v>
      </c>
      <c r="G301" s="8">
        <f>(S301/$B301)+(S301/'Optimal Choice'!$B$26)</f>
        <v>5712.6687662850827</v>
      </c>
      <c r="I301" s="11">
        <f t="shared" ref="I301:M301" si="299">IF(MIN($C300:$G300)=C300,I300+1,I300)</f>
        <v>113</v>
      </c>
      <c r="J301" s="11">
        <f t="shared" si="299"/>
        <v>53</v>
      </c>
      <c r="K301" s="11">
        <f t="shared" si="299"/>
        <v>49</v>
      </c>
      <c r="L301" s="11">
        <f t="shared" si="299"/>
        <v>44</v>
      </c>
      <c r="M301" s="11">
        <f t="shared" si="299"/>
        <v>41</v>
      </c>
      <c r="O301" s="10">
        <f>'Optimal Choice'!$B$7*'Optimal Choice'!$B$8^(I301+1)</f>
        <v>8949.7447126405532</v>
      </c>
      <c r="P301" s="10">
        <f>'Optimal Choice'!$B$12*'Optimal Choice'!$B$13^(J301+1)</f>
        <v>113719.41829136053</v>
      </c>
      <c r="Q301" s="10">
        <f>'Optimal Choice'!$B$17*'Optimal Choice'!$B$18^(K301+1)</f>
        <v>504167.75169060461</v>
      </c>
      <c r="R301" s="10">
        <f>'Optimal Choice'!$B$22*'Optimal Choice'!$B$23^(L301+1)</f>
        <v>2113701.7123436909</v>
      </c>
      <c r="S301" s="10">
        <f>'Optimal Choice'!$B$27*'Optimal Choice'!$B$28^(M301+1)</f>
        <v>12101854.877508357</v>
      </c>
    </row>
    <row r="302" spans="1:19" ht="15.75" customHeight="1">
      <c r="A302" s="8">
        <f t="shared" si="0"/>
        <v>28.072068371080306</v>
      </c>
      <c r="B302" s="7">
        <f>(I302*'Optimal Choice'!$B$6+J302*'Optimal Choice'!$B$11+K302*'Optimal Choice'!$B$16+L302*'Optimal Choice'!$B$21+M302*'Optimal Choice'!$B$26)*'Optimal Choice'!$B$30</f>
        <v>110060.38</v>
      </c>
      <c r="C302" s="8">
        <f>(O302/$B302)+(O302/'Optimal Choice'!$B$6)</f>
        <v>5734.3545792221985</v>
      </c>
      <c r="D302" s="8">
        <f>(P302/$B302)+(P302/'Optimal Choice'!$B$11)</f>
        <v>5687.004160303607</v>
      </c>
      <c r="E302" s="8">
        <f>(Q302/$B302)+(Q302/'Optimal Choice'!$B$16)</f>
        <v>5606.4447364120333</v>
      </c>
      <c r="F302" s="8">
        <f>(R302/$B302)+(R302/'Optimal Choice'!$B$21)</f>
        <v>5890.5985737515939</v>
      </c>
      <c r="G302" s="8">
        <f>(S302/$B302)+(S302/'Optimal Choice'!$B$26)</f>
        <v>5712.6670978358916</v>
      </c>
      <c r="I302" s="11">
        <f t="shared" ref="I302:M302" si="300">IF(MIN($C301:$G301)=C301,I301+1,I301)</f>
        <v>114</v>
      </c>
      <c r="J302" s="11">
        <f t="shared" si="300"/>
        <v>53</v>
      </c>
      <c r="K302" s="11">
        <f t="shared" si="300"/>
        <v>49</v>
      </c>
      <c r="L302" s="11">
        <f t="shared" si="300"/>
        <v>44</v>
      </c>
      <c r="M302" s="11">
        <f t="shared" si="300"/>
        <v>41</v>
      </c>
      <c r="O302" s="10">
        <f>'Optimal Choice'!$B$7*'Optimal Choice'!$B$8^(I302+1)</f>
        <v>9576.2268425253915</v>
      </c>
      <c r="P302" s="10">
        <f>'Optimal Choice'!$B$12*'Optimal Choice'!$B$13^(J302+1)</f>
        <v>113719.41829136053</v>
      </c>
      <c r="Q302" s="10">
        <f>'Optimal Choice'!$B$17*'Optimal Choice'!$B$18^(K302+1)</f>
        <v>504167.75169060461</v>
      </c>
      <c r="R302" s="10">
        <f>'Optimal Choice'!$B$22*'Optimal Choice'!$B$23^(L302+1)</f>
        <v>2113701.7123436909</v>
      </c>
      <c r="S302" s="10">
        <f>'Optimal Choice'!$B$27*'Optimal Choice'!$B$28^(M302+1)</f>
        <v>12101854.877508357</v>
      </c>
    </row>
    <row r="303" spans="1:19" ht="15.75" customHeight="1">
      <c r="A303" s="8">
        <f t="shared" si="0"/>
        <v>28.148415516724452</v>
      </c>
      <c r="B303" s="7">
        <f>(I303*'Optimal Choice'!$B$6+J303*'Optimal Choice'!$B$11+K303*'Optimal Choice'!$B$16+L303*'Optimal Choice'!$B$21+M303*'Optimal Choice'!$B$26)*'Optimal Choice'!$B$30</f>
        <v>110150.38</v>
      </c>
      <c r="C303" s="8">
        <f>(O303/$B303)+(O303/'Optimal Choice'!$B$6)</f>
        <v>5734.35450813033</v>
      </c>
      <c r="D303" s="8">
        <f>(P303/$B303)+(P303/'Optimal Choice'!$B$11)</f>
        <v>5687.0033160748699</v>
      </c>
      <c r="E303" s="8">
        <f>(Q303/$B303)+(Q303/'Optimal Choice'!$B$16)</f>
        <v>6391.3427326789661</v>
      </c>
      <c r="F303" s="8">
        <f>(R303/$B303)+(R303/'Optimal Choice'!$B$21)</f>
        <v>5890.5828820803381</v>
      </c>
      <c r="G303" s="8">
        <f>(S303/$B303)+(S303/'Optimal Choice'!$B$26)</f>
        <v>5712.5772562431912</v>
      </c>
      <c r="I303" s="11">
        <f t="shared" ref="I303:M303" si="301">IF(MIN($C302:$G302)=C302,I302+1,I302)</f>
        <v>114</v>
      </c>
      <c r="J303" s="11">
        <f t="shared" si="301"/>
        <v>53</v>
      </c>
      <c r="K303" s="11">
        <f t="shared" si="301"/>
        <v>50</v>
      </c>
      <c r="L303" s="11">
        <f t="shared" si="301"/>
        <v>44</v>
      </c>
      <c r="M303" s="11">
        <f t="shared" si="301"/>
        <v>41</v>
      </c>
      <c r="O303" s="10">
        <f>'Optimal Choice'!$B$7*'Optimal Choice'!$B$8^(I303+1)</f>
        <v>9576.2268425253915</v>
      </c>
      <c r="P303" s="10">
        <f>'Optimal Choice'!$B$12*'Optimal Choice'!$B$13^(J303+1)</f>
        <v>113719.41829136053</v>
      </c>
      <c r="Q303" s="10">
        <f>'Optimal Choice'!$B$17*'Optimal Choice'!$B$18^(K303+1)</f>
        <v>574751.23692728917</v>
      </c>
      <c r="R303" s="10">
        <f>'Optimal Choice'!$B$22*'Optimal Choice'!$B$23^(L303+1)</f>
        <v>2113701.7123436909</v>
      </c>
      <c r="S303" s="10">
        <f>'Optimal Choice'!$B$27*'Optimal Choice'!$B$28^(M303+1)</f>
        <v>12101854.877508357</v>
      </c>
    </row>
    <row r="304" spans="1:19" ht="15.75" customHeight="1">
      <c r="A304" s="8">
        <f t="shared" si="0"/>
        <v>28.165622208505173</v>
      </c>
      <c r="B304" s="7">
        <f>(I304*'Optimal Choice'!$B$6+J304*'Optimal Choice'!$B$11+K304*'Optimal Choice'!$B$16+L304*'Optimal Choice'!$B$21+M304*'Optimal Choice'!$B$26)*'Optimal Choice'!$B$30</f>
        <v>110170.38</v>
      </c>
      <c r="C304" s="8">
        <f>(O304/$B304)+(O304/'Optimal Choice'!$B$6)</f>
        <v>5734.3544923479103</v>
      </c>
      <c r="D304" s="8">
        <f>(P304/$B304)+(P304/'Optimal Choice'!$B$11)</f>
        <v>6540.0535979541692</v>
      </c>
      <c r="E304" s="8">
        <f>(Q304/$B304)+(Q304/'Optimal Choice'!$B$16)</f>
        <v>6391.3417854410727</v>
      </c>
      <c r="F304" s="8">
        <f>(R304/$B304)+(R304/'Optimal Choice'!$B$21)</f>
        <v>5890.5793985239261</v>
      </c>
      <c r="G304" s="8">
        <f>(S304/$B304)+(S304/'Optimal Choice'!$B$26)</f>
        <v>5712.5573113787359</v>
      </c>
      <c r="I304" s="11">
        <f t="shared" ref="I304:M304" si="302">IF(MIN($C303:$G303)=C303,I303+1,I303)</f>
        <v>114</v>
      </c>
      <c r="J304" s="11">
        <f t="shared" si="302"/>
        <v>54</v>
      </c>
      <c r="K304" s="11">
        <f t="shared" si="302"/>
        <v>50</v>
      </c>
      <c r="L304" s="11">
        <f t="shared" si="302"/>
        <v>44</v>
      </c>
      <c r="M304" s="11">
        <f t="shared" si="302"/>
        <v>41</v>
      </c>
      <c r="O304" s="10">
        <f>'Optimal Choice'!$B$7*'Optimal Choice'!$B$8^(I304+1)</f>
        <v>9576.2268425253915</v>
      </c>
      <c r="P304" s="10">
        <f>'Optimal Choice'!$B$12*'Optimal Choice'!$B$13^(J304+1)</f>
        <v>130777.33103506459</v>
      </c>
      <c r="Q304" s="10">
        <f>'Optimal Choice'!$B$17*'Optimal Choice'!$B$18^(K304+1)</f>
        <v>574751.23692728917</v>
      </c>
      <c r="R304" s="10">
        <f>'Optimal Choice'!$B$22*'Optimal Choice'!$B$23^(L304+1)</f>
        <v>2113701.7123436909</v>
      </c>
      <c r="S304" s="10">
        <f>'Optimal Choice'!$B$27*'Optimal Choice'!$B$28^(M304+1)</f>
        <v>12101854.877508357</v>
      </c>
    </row>
    <row r="305" spans="1:19" ht="15.75" customHeight="1">
      <c r="A305" s="8">
        <f t="shared" si="0"/>
        <v>29.996400874166543</v>
      </c>
      <c r="B305" s="7">
        <f>(I305*'Optimal Choice'!$B$6+J305*'Optimal Choice'!$B$11+K305*'Optimal Choice'!$B$16+L305*'Optimal Choice'!$B$21+M305*'Optimal Choice'!$B$26)*'Optimal Choice'!$B$30</f>
        <v>112330.38</v>
      </c>
      <c r="C305" s="8">
        <f>(O305/$B305)+(O305/'Optimal Choice'!$B$6)</f>
        <v>5734.3528209259621</v>
      </c>
      <c r="D305" s="8">
        <f>(P305/$B305)+(P305/'Optimal Choice'!$B$11)</f>
        <v>6540.0307722520392</v>
      </c>
      <c r="E305" s="8">
        <f>(Q305/$B305)+(Q305/'Optimal Choice'!$B$16)</f>
        <v>6391.2414691215008</v>
      </c>
      <c r="F305" s="8">
        <f>(R305/$B305)+(R305/'Optimal Choice'!$B$21)</f>
        <v>5890.2104758268824</v>
      </c>
      <c r="G305" s="8">
        <f>(S305/$B305)+(S305/'Optimal Choice'!$B$26)</f>
        <v>6395.6984780176836</v>
      </c>
      <c r="I305" s="11">
        <f t="shared" ref="I305:M305" si="303">IF(MIN($C304:$G304)=C304,I304+1,I304)</f>
        <v>114</v>
      </c>
      <c r="J305" s="11">
        <f t="shared" si="303"/>
        <v>54</v>
      </c>
      <c r="K305" s="11">
        <f t="shared" si="303"/>
        <v>50</v>
      </c>
      <c r="L305" s="11">
        <f t="shared" si="303"/>
        <v>44</v>
      </c>
      <c r="M305" s="11">
        <f t="shared" si="303"/>
        <v>42</v>
      </c>
      <c r="O305" s="10">
        <f>'Optimal Choice'!$B$7*'Optimal Choice'!$B$8^(I305+1)</f>
        <v>9576.2268425253915</v>
      </c>
      <c r="P305" s="10">
        <f>'Optimal Choice'!$B$12*'Optimal Choice'!$B$13^(J305+1)</f>
        <v>130777.33103506459</v>
      </c>
      <c r="Q305" s="10">
        <f>'Optimal Choice'!$B$17*'Optimal Choice'!$B$18^(K305+1)</f>
        <v>574751.23692728917</v>
      </c>
      <c r="R305" s="10">
        <f>'Optimal Choice'!$B$22*'Optimal Choice'!$B$23^(L305+1)</f>
        <v>2113701.7123436909</v>
      </c>
      <c r="S305" s="10">
        <f>'Optimal Choice'!$B$27*'Optimal Choice'!$B$28^(M305+1)</f>
        <v>13554077.462809362</v>
      </c>
    </row>
    <row r="306" spans="1:19" ht="15.75" customHeight="1">
      <c r="A306" s="8">
        <f t="shared" si="0"/>
        <v>29.997821716691146</v>
      </c>
      <c r="B306" s="7">
        <f>(I306*'Optimal Choice'!$B$6+J306*'Optimal Choice'!$B$11+K306*'Optimal Choice'!$B$16+L306*'Optimal Choice'!$B$21+M306*'Optimal Choice'!$B$26)*'Optimal Choice'!$B$30</f>
        <v>112332.05</v>
      </c>
      <c r="C306" s="8">
        <f>(O306/$B306)+(O306/'Optimal Choice'!$B$6)</f>
        <v>6135.7575170346727</v>
      </c>
      <c r="D306" s="8">
        <f>(P306/$B306)+(P306/'Optimal Choice'!$B$11)</f>
        <v>6540.030754943994</v>
      </c>
      <c r="E306" s="8">
        <f>(Q306/$B306)+(Q306/'Optimal Choice'!$B$16)</f>
        <v>6391.2413930546436</v>
      </c>
      <c r="F306" s="8">
        <f>(R306/$B306)+(R306/'Optimal Choice'!$B$21)</f>
        <v>5890.2101960838636</v>
      </c>
      <c r="G306" s="8">
        <f>(S306/$B306)+(S306/'Optimal Choice'!$B$26)</f>
        <v>6395.6966841701742</v>
      </c>
      <c r="I306" s="11">
        <f t="shared" ref="I306:M306" si="304">IF(MIN($C305:$G305)=C305,I305+1,I305)</f>
        <v>115</v>
      </c>
      <c r="J306" s="11">
        <f t="shared" si="304"/>
        <v>54</v>
      </c>
      <c r="K306" s="11">
        <f t="shared" si="304"/>
        <v>50</v>
      </c>
      <c r="L306" s="11">
        <f t="shared" si="304"/>
        <v>44</v>
      </c>
      <c r="M306" s="11">
        <f t="shared" si="304"/>
        <v>42</v>
      </c>
      <c r="O306" s="10">
        <f>'Optimal Choice'!$B$7*'Optimal Choice'!$B$8^(I306+1)</f>
        <v>10246.562721502169</v>
      </c>
      <c r="P306" s="10">
        <f>'Optimal Choice'!$B$12*'Optimal Choice'!$B$13^(J306+1)</f>
        <v>130777.33103506459</v>
      </c>
      <c r="Q306" s="10">
        <f>'Optimal Choice'!$B$17*'Optimal Choice'!$B$18^(K306+1)</f>
        <v>574751.23692728917</v>
      </c>
      <c r="R306" s="10">
        <f>'Optimal Choice'!$B$22*'Optimal Choice'!$B$23^(L306+1)</f>
        <v>2113701.7123436909</v>
      </c>
      <c r="S306" s="10">
        <f>'Optimal Choice'!$B$27*'Optimal Choice'!$B$28^(M306+1)</f>
        <v>13554077.462809362</v>
      </c>
    </row>
    <row r="307" spans="1:19" ht="15.75" customHeight="1">
      <c r="A307" s="8">
        <f t="shared" si="0"/>
        <v>30.311430894769842</v>
      </c>
      <c r="B307" s="7">
        <f>(I307*'Optimal Choice'!$B$6+J307*'Optimal Choice'!$B$11+K307*'Optimal Choice'!$B$16+L307*'Optimal Choice'!$B$21+M307*'Optimal Choice'!$B$26)*'Optimal Choice'!$B$30</f>
        <v>112692.05</v>
      </c>
      <c r="C307" s="8">
        <f>(O307/$B307)+(O307/'Optimal Choice'!$B$6)</f>
        <v>6135.7572256385693</v>
      </c>
      <c r="D307" s="8">
        <f>(P307/$B307)+(P307/'Optimal Choice'!$B$11)</f>
        <v>6540.0270358427024</v>
      </c>
      <c r="E307" s="8">
        <f>(Q307/$B307)+(Q307/'Optimal Choice'!$B$16)</f>
        <v>6391.2250480348257</v>
      </c>
      <c r="F307" s="8">
        <f>(R307/$B307)+(R307/'Optimal Choice'!$B$21)</f>
        <v>6655.8695968824832</v>
      </c>
      <c r="G307" s="8">
        <f>(S307/$B307)+(S307/'Optimal Choice'!$B$26)</f>
        <v>6395.3112275578133</v>
      </c>
      <c r="I307" s="11">
        <f t="shared" ref="I307:M307" si="305">IF(MIN($C306:$G306)=C306,I306+1,I306)</f>
        <v>115</v>
      </c>
      <c r="J307" s="11">
        <f t="shared" si="305"/>
        <v>54</v>
      </c>
      <c r="K307" s="11">
        <f t="shared" si="305"/>
        <v>50</v>
      </c>
      <c r="L307" s="11">
        <f t="shared" si="305"/>
        <v>45</v>
      </c>
      <c r="M307" s="11">
        <f t="shared" si="305"/>
        <v>42</v>
      </c>
      <c r="O307" s="10">
        <f>'Optimal Choice'!$B$7*'Optimal Choice'!$B$8^(I307+1)</f>
        <v>10246.562721502169</v>
      </c>
      <c r="P307" s="10">
        <f>'Optimal Choice'!$B$12*'Optimal Choice'!$B$13^(J307+1)</f>
        <v>130777.33103506459</v>
      </c>
      <c r="Q307" s="10">
        <f>'Optimal Choice'!$B$17*'Optimal Choice'!$B$18^(K307+1)</f>
        <v>574751.23692728917</v>
      </c>
      <c r="R307" s="10">
        <f>'Optimal Choice'!$B$22*'Optimal Choice'!$B$23^(L307+1)</f>
        <v>2388482.9349483699</v>
      </c>
      <c r="S307" s="10">
        <f>'Optimal Choice'!$B$27*'Optimal Choice'!$B$28^(M307+1)</f>
        <v>13554077.462809362</v>
      </c>
    </row>
    <row r="308" spans="1:19" ht="15.75" customHeight="1">
      <c r="A308" s="8">
        <f t="shared" si="0"/>
        <v>30.312946317067674</v>
      </c>
      <c r="B308" s="7">
        <f>(I308*'Optimal Choice'!$B$6+J308*'Optimal Choice'!$B$11+K308*'Optimal Choice'!$B$16+L308*'Optimal Choice'!$B$21+M308*'Optimal Choice'!$B$26)*'Optimal Choice'!$B$30</f>
        <v>112693.72</v>
      </c>
      <c r="C308" s="8">
        <f>(O308/$B308)+(O308/'Optimal Choice'!$B$6)</f>
        <v>6565.2602299915352</v>
      </c>
      <c r="D308" s="8">
        <f>(P308/$B308)+(P308/'Optimal Choice'!$B$11)</f>
        <v>6540.0270186455737</v>
      </c>
      <c r="E308" s="8">
        <f>(Q308/$B308)+(Q308/'Optimal Choice'!$B$16)</f>
        <v>6391.224972455434</v>
      </c>
      <c r="F308" s="8">
        <f>(R308/$B308)+(R308/'Optimal Choice'!$B$21)</f>
        <v>6655.8692827986233</v>
      </c>
      <c r="G308" s="8">
        <f>(S308/$B308)+(S308/'Optimal Choice'!$B$26)</f>
        <v>6395.3094452059677</v>
      </c>
      <c r="I308" s="11">
        <f t="shared" ref="I308:M308" si="306">IF(MIN($C307:$G307)=C307,I307+1,I307)</f>
        <v>116</v>
      </c>
      <c r="J308" s="11">
        <f t="shared" si="306"/>
        <v>54</v>
      </c>
      <c r="K308" s="11">
        <f t="shared" si="306"/>
        <v>50</v>
      </c>
      <c r="L308" s="11">
        <f t="shared" si="306"/>
        <v>45</v>
      </c>
      <c r="M308" s="11">
        <f t="shared" si="306"/>
        <v>42</v>
      </c>
      <c r="O308" s="10">
        <f>'Optimal Choice'!$B$7*'Optimal Choice'!$B$8^(I308+1)</f>
        <v>10963.822112007321</v>
      </c>
      <c r="P308" s="10">
        <f>'Optimal Choice'!$B$12*'Optimal Choice'!$B$13^(J308+1)</f>
        <v>130777.33103506459</v>
      </c>
      <c r="Q308" s="10">
        <f>'Optimal Choice'!$B$17*'Optimal Choice'!$B$18^(K308+1)</f>
        <v>574751.23692728917</v>
      </c>
      <c r="R308" s="10">
        <f>'Optimal Choice'!$B$22*'Optimal Choice'!$B$23^(L308+1)</f>
        <v>2388482.9349483699</v>
      </c>
      <c r="S308" s="10">
        <f>'Optimal Choice'!$B$27*'Optimal Choice'!$B$28^(M308+1)</f>
        <v>13554077.462809362</v>
      </c>
    </row>
    <row r="309" spans="1:19" ht="15.75" customHeight="1">
      <c r="A309" s="8">
        <f t="shared" si="0"/>
        <v>30.397948278863961</v>
      </c>
      <c r="B309" s="7">
        <f>(I309*'Optimal Choice'!$B$6+J309*'Optimal Choice'!$B$11+K309*'Optimal Choice'!$B$16+L309*'Optimal Choice'!$B$21+M309*'Optimal Choice'!$B$26)*'Optimal Choice'!$B$30</f>
        <v>112783.72</v>
      </c>
      <c r="C309" s="8">
        <f>(O309/$B309)+(O309/'Optimal Choice'!$B$6)</f>
        <v>6565.2601523563917</v>
      </c>
      <c r="D309" s="8">
        <f>(P309/$B309)+(P309/'Optimal Choice'!$B$11)</f>
        <v>6540.026092607487</v>
      </c>
      <c r="E309" s="8">
        <f>(Q309/$B309)+(Q309/'Optimal Choice'!$B$16)</f>
        <v>7285.9918289927282</v>
      </c>
      <c r="F309" s="8">
        <f>(R309/$B309)+(R309/'Optimal Choice'!$B$21)</f>
        <v>6655.8523698814506</v>
      </c>
      <c r="G309" s="8">
        <f>(S309/$B309)+(S309/'Optimal Choice'!$B$26)</f>
        <v>6395.213468388999</v>
      </c>
      <c r="I309" s="11">
        <f t="shared" ref="I309:M309" si="307">IF(MIN($C308:$G308)=C308,I308+1,I308)</f>
        <v>116</v>
      </c>
      <c r="J309" s="11">
        <f t="shared" si="307"/>
        <v>54</v>
      </c>
      <c r="K309" s="11">
        <f t="shared" si="307"/>
        <v>51</v>
      </c>
      <c r="L309" s="11">
        <f t="shared" si="307"/>
        <v>45</v>
      </c>
      <c r="M309" s="11">
        <f t="shared" si="307"/>
        <v>42</v>
      </c>
      <c r="O309" s="10">
        <f>'Optimal Choice'!$B$7*'Optimal Choice'!$B$8^(I309+1)</f>
        <v>10963.822112007321</v>
      </c>
      <c r="P309" s="10">
        <f>'Optimal Choice'!$B$12*'Optimal Choice'!$B$13^(J309+1)</f>
        <v>130777.33103506459</v>
      </c>
      <c r="Q309" s="10">
        <f>'Optimal Choice'!$B$17*'Optimal Choice'!$B$18^(K309+1)</f>
        <v>655216.41009710974</v>
      </c>
      <c r="R309" s="10">
        <f>'Optimal Choice'!$B$22*'Optimal Choice'!$B$23^(L309+1)</f>
        <v>2388482.9349483699</v>
      </c>
      <c r="S309" s="10">
        <f>'Optimal Choice'!$B$27*'Optimal Choice'!$B$28^(M309+1)</f>
        <v>13554077.462809362</v>
      </c>
    </row>
    <row r="310" spans="1:19" ht="15.75" customHeight="1">
      <c r="A310" s="8">
        <f t="shared" si="0"/>
        <v>32.400908378484921</v>
      </c>
      <c r="B310" s="7">
        <f>(I310*'Optimal Choice'!$B$6+J310*'Optimal Choice'!$B$11+K310*'Optimal Choice'!$B$16+L310*'Optimal Choice'!$B$21+M310*'Optimal Choice'!$B$26)*'Optimal Choice'!$B$30</f>
        <v>114943.72</v>
      </c>
      <c r="C310" s="8">
        <f>(O310/$B310)+(O310/'Optimal Choice'!$B$6)</f>
        <v>6565.2583255855616</v>
      </c>
      <c r="D310" s="8">
        <f>(P310/$B310)+(P310/'Optimal Choice'!$B$11)</f>
        <v>6540.0043027415841</v>
      </c>
      <c r="E310" s="8">
        <f>(Q310/$B310)+(Q310/'Optimal Choice'!$B$16)</f>
        <v>7285.8826581020203</v>
      </c>
      <c r="F310" s="8">
        <f>(R310/$B310)+(R310/'Optimal Choice'!$B$21)</f>
        <v>6655.4544054754469</v>
      </c>
      <c r="G310" s="8">
        <f>(S310/$B310)+(S310/'Optimal Choice'!$B$26)</f>
        <v>7160.1097279298228</v>
      </c>
      <c r="I310" s="11">
        <f t="shared" ref="I310:M310" si="308">IF(MIN($C309:$G309)=C309,I309+1,I309)</f>
        <v>116</v>
      </c>
      <c r="J310" s="11">
        <f t="shared" si="308"/>
        <v>54</v>
      </c>
      <c r="K310" s="11">
        <f t="shared" si="308"/>
        <v>51</v>
      </c>
      <c r="L310" s="11">
        <f t="shared" si="308"/>
        <v>45</v>
      </c>
      <c r="M310" s="11">
        <f t="shared" si="308"/>
        <v>43</v>
      </c>
      <c r="O310" s="10">
        <f>'Optimal Choice'!$B$7*'Optimal Choice'!$B$8^(I310+1)</f>
        <v>10963.822112007321</v>
      </c>
      <c r="P310" s="10">
        <f>'Optimal Choice'!$B$12*'Optimal Choice'!$B$13^(J310+1)</f>
        <v>130777.33103506459</v>
      </c>
      <c r="Q310" s="10">
        <f>'Optimal Choice'!$B$17*'Optimal Choice'!$B$18^(K310+1)</f>
        <v>655216.41009710974</v>
      </c>
      <c r="R310" s="10">
        <f>'Optimal Choice'!$B$22*'Optimal Choice'!$B$23^(L310+1)</f>
        <v>2388482.9349483699</v>
      </c>
      <c r="S310" s="10">
        <f>'Optimal Choice'!$B$27*'Optimal Choice'!$B$28^(M310+1)</f>
        <v>15180566.758346483</v>
      </c>
    </row>
    <row r="311" spans="1:19" ht="15.75" customHeight="1">
      <c r="A311" s="8">
        <f t="shared" si="0"/>
        <v>32.419870894957484</v>
      </c>
      <c r="B311" s="7">
        <f>(I311*'Optimal Choice'!$B$6+J311*'Optimal Choice'!$B$11+K311*'Optimal Choice'!$B$16+L311*'Optimal Choice'!$B$21+M311*'Optimal Choice'!$B$26)*'Optimal Choice'!$B$30</f>
        <v>114963.72</v>
      </c>
      <c r="C311" s="8">
        <f>(O311/$B311)+(O311/'Optimal Choice'!$B$6)</f>
        <v>6565.2583089917589</v>
      </c>
      <c r="D311" s="8">
        <f>(P311/$B311)+(P311/'Optimal Choice'!$B$11)</f>
        <v>7521.0047205308138</v>
      </c>
      <c r="E311" s="8">
        <f>(Q311/$B311)+(Q311/'Optimal Choice'!$B$16)</f>
        <v>7285.8816664285278</v>
      </c>
      <c r="F311" s="8">
        <f>(R311/$B311)+(R311/'Optimal Choice'!$B$21)</f>
        <v>6655.4507904939246</v>
      </c>
      <c r="G311" s="8">
        <f>(S311/$B311)+(S311/'Optimal Choice'!$B$26)</f>
        <v>7160.0867520619531</v>
      </c>
      <c r="I311" s="11">
        <f t="shared" ref="I311:M311" si="309">IF(MIN($C310:$G310)=C310,I310+1,I310)</f>
        <v>116</v>
      </c>
      <c r="J311" s="11">
        <f t="shared" si="309"/>
        <v>55</v>
      </c>
      <c r="K311" s="11">
        <f t="shared" si="309"/>
        <v>51</v>
      </c>
      <c r="L311" s="11">
        <f t="shared" si="309"/>
        <v>45</v>
      </c>
      <c r="M311" s="11">
        <f t="shared" si="309"/>
        <v>43</v>
      </c>
      <c r="O311" s="10">
        <f>'Optimal Choice'!$B$7*'Optimal Choice'!$B$8^(I311+1)</f>
        <v>10963.822112007321</v>
      </c>
      <c r="P311" s="10">
        <f>'Optimal Choice'!$B$12*'Optimal Choice'!$B$13^(J311+1)</f>
        <v>150393.93069032428</v>
      </c>
      <c r="Q311" s="10">
        <f>'Optimal Choice'!$B$17*'Optimal Choice'!$B$18^(K311+1)</f>
        <v>655216.41009710974</v>
      </c>
      <c r="R311" s="10">
        <f>'Optimal Choice'!$B$22*'Optimal Choice'!$B$23^(L311+1)</f>
        <v>2388482.9349483699</v>
      </c>
      <c r="S311" s="10">
        <f>'Optimal Choice'!$B$27*'Optimal Choice'!$B$28^(M311+1)</f>
        <v>15180566.758346483</v>
      </c>
    </row>
    <row r="312" spans="1:19" ht="15.75" customHeight="1">
      <c r="A312" s="8">
        <f t="shared" si="0"/>
        <v>32.421460356124307</v>
      </c>
      <c r="B312" s="7">
        <f>(I312*'Optimal Choice'!$B$6+J312*'Optimal Choice'!$B$11+K312*'Optimal Choice'!$B$16+L312*'Optimal Choice'!$B$21+M312*'Optimal Choice'!$B$26)*'Optimal Choice'!$B$30</f>
        <v>114965.39</v>
      </c>
      <c r="C312" s="8">
        <f>(O312/$B312)+(O312/'Optimal Choice'!$B$6)</f>
        <v>7024.8263891388879</v>
      </c>
      <c r="D312" s="8">
        <f>(P312/$B312)+(P312/'Optimal Choice'!$B$11)</f>
        <v>7521.0047015279588</v>
      </c>
      <c r="E312" s="8">
        <f>(Q312/$B312)+(Q312/'Optimal Choice'!$B$16)</f>
        <v>7285.8815836393987</v>
      </c>
      <c r="F312" s="8">
        <f>(R312/$B312)+(R312/'Optimal Choice'!$B$21)</f>
        <v>6655.4504886998639</v>
      </c>
      <c r="G312" s="8">
        <f>(S312/$B312)+(S312/'Optimal Choice'!$B$26)</f>
        <v>7160.0848339386039</v>
      </c>
      <c r="I312" s="11">
        <f t="shared" ref="I312:M312" si="310">IF(MIN($C311:$G311)=C311,I311+1,I311)</f>
        <v>117</v>
      </c>
      <c r="J312" s="11">
        <f t="shared" si="310"/>
        <v>55</v>
      </c>
      <c r="K312" s="11">
        <f t="shared" si="310"/>
        <v>51</v>
      </c>
      <c r="L312" s="11">
        <f t="shared" si="310"/>
        <v>45</v>
      </c>
      <c r="M312" s="11">
        <f t="shared" si="310"/>
        <v>43</v>
      </c>
      <c r="O312" s="10">
        <f>'Optimal Choice'!$B$7*'Optimal Choice'!$B$8^(I312+1)</f>
        <v>11731.289659847833</v>
      </c>
      <c r="P312" s="10">
        <f>'Optimal Choice'!$B$12*'Optimal Choice'!$B$13^(J312+1)</f>
        <v>150393.93069032428</v>
      </c>
      <c r="Q312" s="10">
        <f>'Optimal Choice'!$B$17*'Optimal Choice'!$B$18^(K312+1)</f>
        <v>655216.41009710974</v>
      </c>
      <c r="R312" s="10">
        <f>'Optimal Choice'!$B$22*'Optimal Choice'!$B$23^(L312+1)</f>
        <v>2388482.9349483699</v>
      </c>
      <c r="S312" s="10">
        <f>'Optimal Choice'!$B$27*'Optimal Choice'!$B$28^(M312+1)</f>
        <v>15180566.758346483</v>
      </c>
    </row>
    <row r="313" spans="1:19" ht="15.75" customHeight="1">
      <c r="A313" s="8">
        <f t="shared" si="0"/>
        <v>32.767721512771594</v>
      </c>
      <c r="B313" s="7">
        <f>(I313*'Optimal Choice'!$B$6+J313*'Optimal Choice'!$B$11+K313*'Optimal Choice'!$B$16+L313*'Optimal Choice'!$B$21+M313*'Optimal Choice'!$B$26)*'Optimal Choice'!$B$30</f>
        <v>115325.39</v>
      </c>
      <c r="C313" s="8">
        <f>(O313/$B313)+(O313/'Optimal Choice'!$B$6)</f>
        <v>7024.8260706045839</v>
      </c>
      <c r="D313" s="8">
        <f>(P313/$B313)+(P313/'Optimal Choice'!$B$11)</f>
        <v>7521.0006179508364</v>
      </c>
      <c r="E313" s="8">
        <f>(Q313/$B313)+(Q313/'Optimal Choice'!$B$16)</f>
        <v>7285.8637928500357</v>
      </c>
      <c r="F313" s="8">
        <f>(R313/$B313)+(R313/'Optimal Choice'!$B$21)</f>
        <v>7520.5857679149531</v>
      </c>
      <c r="G313" s="8">
        <f>(S313/$B313)+(S313/'Optimal Choice'!$B$26)</f>
        <v>7159.6726430022154</v>
      </c>
      <c r="I313" s="11">
        <f t="shared" ref="I313:M313" si="311">IF(MIN($C312:$G312)=C312,I312+1,I312)</f>
        <v>117</v>
      </c>
      <c r="J313" s="11">
        <f t="shared" si="311"/>
        <v>55</v>
      </c>
      <c r="K313" s="11">
        <f t="shared" si="311"/>
        <v>51</v>
      </c>
      <c r="L313" s="11">
        <f t="shared" si="311"/>
        <v>46</v>
      </c>
      <c r="M313" s="11">
        <f t="shared" si="311"/>
        <v>43</v>
      </c>
      <c r="O313" s="10">
        <f>'Optimal Choice'!$B$7*'Optimal Choice'!$B$8^(I313+1)</f>
        <v>11731.289659847833</v>
      </c>
      <c r="P313" s="10">
        <f>'Optimal Choice'!$B$12*'Optimal Choice'!$B$13^(J313+1)</f>
        <v>150393.93069032428</v>
      </c>
      <c r="Q313" s="10">
        <f>'Optimal Choice'!$B$17*'Optimal Choice'!$B$18^(K313+1)</f>
        <v>655216.41009710974</v>
      </c>
      <c r="R313" s="10">
        <f>'Optimal Choice'!$B$22*'Optimal Choice'!$B$23^(L313+1)</f>
        <v>2698985.7164916582</v>
      </c>
      <c r="S313" s="10">
        <f>'Optimal Choice'!$B$27*'Optimal Choice'!$B$28^(M313+1)</f>
        <v>15180566.758346483</v>
      </c>
    </row>
    <row r="314" spans="1:19" ht="15.75" customHeight="1">
      <c r="A314" s="8">
        <f t="shared" si="0"/>
        <v>32.769416902610125</v>
      </c>
      <c r="B314" s="7">
        <f>(I314*'Optimal Choice'!$B$6+J314*'Optimal Choice'!$B$11+K314*'Optimal Choice'!$B$16+L314*'Optimal Choice'!$B$21+M314*'Optimal Choice'!$B$26)*'Optimal Choice'!$B$30</f>
        <v>115327.06</v>
      </c>
      <c r="C314" s="8">
        <f>(O314/$B314)+(O314/'Optimal Choice'!$B$6)</f>
        <v>7516.5638939707824</v>
      </c>
      <c r="D314" s="8">
        <f>(P314/$B314)+(P314/'Optimal Choice'!$B$11)</f>
        <v>7521.0005990669824</v>
      </c>
      <c r="E314" s="8">
        <f>(Q314/$B314)+(Q314/'Optimal Choice'!$B$16)</f>
        <v>7285.8637105793559</v>
      </c>
      <c r="F314" s="8">
        <f>(R314/$B314)+(R314/'Optimal Choice'!$B$21)</f>
        <v>7520.5854290232746</v>
      </c>
      <c r="G314" s="8">
        <f>(S314/$B314)+(S314/'Optimal Choice'!$B$26)</f>
        <v>7159.6707368907028</v>
      </c>
      <c r="I314" s="11">
        <f t="shared" ref="I314:M314" si="312">IF(MIN($C313:$G313)=C313,I313+1,I313)</f>
        <v>118</v>
      </c>
      <c r="J314" s="11">
        <f t="shared" si="312"/>
        <v>55</v>
      </c>
      <c r="K314" s="11">
        <f t="shared" si="312"/>
        <v>51</v>
      </c>
      <c r="L314" s="11">
        <f t="shared" si="312"/>
        <v>46</v>
      </c>
      <c r="M314" s="11">
        <f t="shared" si="312"/>
        <v>43</v>
      </c>
      <c r="O314" s="10">
        <f>'Optimal Choice'!$B$7*'Optimal Choice'!$B$8^(I314+1)</f>
        <v>12552.479936037182</v>
      </c>
      <c r="P314" s="10">
        <f>'Optimal Choice'!$B$12*'Optimal Choice'!$B$13^(J314+1)</f>
        <v>150393.93069032428</v>
      </c>
      <c r="Q314" s="10">
        <f>'Optimal Choice'!$B$17*'Optimal Choice'!$B$18^(K314+1)</f>
        <v>655216.41009710974</v>
      </c>
      <c r="R314" s="10">
        <f>'Optimal Choice'!$B$22*'Optimal Choice'!$B$23^(L314+1)</f>
        <v>2698985.7164916582</v>
      </c>
      <c r="S314" s="10">
        <f>'Optimal Choice'!$B$27*'Optimal Choice'!$B$28^(M314+1)</f>
        <v>15180566.758346483</v>
      </c>
    </row>
    <row r="315" spans="1:19" ht="15.75" customHeight="1">
      <c r="A315" s="8">
        <f t="shared" si="0"/>
        <v>34.963259752436016</v>
      </c>
      <c r="B315" s="7">
        <f>(I315*'Optimal Choice'!$B$6+J315*'Optimal Choice'!$B$11+K315*'Optimal Choice'!$B$16+L315*'Optimal Choice'!$B$21+M315*'Optimal Choice'!$B$26)*'Optimal Choice'!$B$30</f>
        <v>117487.06</v>
      </c>
      <c r="C315" s="8">
        <f>(O315/$B315)+(O315/'Optimal Choice'!$B$6)</f>
        <v>7516.5618929019383</v>
      </c>
      <c r="D315" s="8">
        <f>(P315/$B315)+(P315/'Optimal Choice'!$B$11)</f>
        <v>7520.9766238357561</v>
      </c>
      <c r="E315" s="8">
        <f>(Q315/$B315)+(Q315/'Optimal Choice'!$B$16)</f>
        <v>7285.7592584590902</v>
      </c>
      <c r="F315" s="8">
        <f>(R315/$B315)+(R315/'Optimal Choice'!$B$21)</f>
        <v>7520.1551669353448</v>
      </c>
      <c r="G315" s="8">
        <f>(S315/$B315)+(S315/'Optimal Choice'!$B$26)</f>
        <v>8016.120793399914</v>
      </c>
      <c r="I315" s="11">
        <f t="shared" ref="I315:M315" si="313">IF(MIN($C314:$G314)=C314,I314+1,I314)</f>
        <v>118</v>
      </c>
      <c r="J315" s="11">
        <f t="shared" si="313"/>
        <v>55</v>
      </c>
      <c r="K315" s="11">
        <f t="shared" si="313"/>
        <v>51</v>
      </c>
      <c r="L315" s="11">
        <f t="shared" si="313"/>
        <v>46</v>
      </c>
      <c r="M315" s="11">
        <f t="shared" si="313"/>
        <v>44</v>
      </c>
      <c r="O315" s="10">
        <f>'Optimal Choice'!$B$7*'Optimal Choice'!$B$8^(I315+1)</f>
        <v>12552.479936037182</v>
      </c>
      <c r="P315" s="10">
        <f>'Optimal Choice'!$B$12*'Optimal Choice'!$B$13^(J315+1)</f>
        <v>150393.93069032428</v>
      </c>
      <c r="Q315" s="10">
        <f>'Optimal Choice'!$B$17*'Optimal Choice'!$B$18^(K315+1)</f>
        <v>655216.41009710974</v>
      </c>
      <c r="R315" s="10">
        <f>'Optimal Choice'!$B$22*'Optimal Choice'!$B$23^(L315+1)</f>
        <v>2698985.7164916582</v>
      </c>
      <c r="S315" s="10">
        <f>'Optimal Choice'!$B$27*'Optimal Choice'!$B$28^(M315+1)</f>
        <v>17002234.769348066</v>
      </c>
    </row>
    <row r="316" spans="1:19" ht="15.75" customHeight="1">
      <c r="A316" s="8">
        <f t="shared" si="0"/>
        <v>35.056208486548677</v>
      </c>
      <c r="B316" s="7">
        <f>(I316*'Optimal Choice'!$B$6+J316*'Optimal Choice'!$B$11+K316*'Optimal Choice'!$B$16+L316*'Optimal Choice'!$B$21+M316*'Optimal Choice'!$B$26)*'Optimal Choice'!$B$30</f>
        <v>117577.06</v>
      </c>
      <c r="C316" s="8">
        <f>(O316/$B316)+(O316/'Optimal Choice'!$B$6)</f>
        <v>7516.5618111196218</v>
      </c>
      <c r="D316" s="8">
        <f>(P316/$B316)+(P316/'Optimal Choice'!$B$11)</f>
        <v>7520.975643984425</v>
      </c>
      <c r="E316" s="8">
        <f>(Q316/$B316)+(Q316/'Optimal Choice'!$B$16)</f>
        <v>8305.7606881123647</v>
      </c>
      <c r="F316" s="8">
        <f>(R316/$B316)+(R316/'Optimal Choice'!$B$21)</f>
        <v>7520.137582417572</v>
      </c>
      <c r="G316" s="8">
        <f>(S316/$B316)+(S316/'Optimal Choice'!$B$26)</f>
        <v>8016.0100198979817</v>
      </c>
      <c r="I316" s="11">
        <f t="shared" ref="I316:M316" si="314">IF(MIN($C315:$G315)=C315,I315+1,I315)</f>
        <v>118</v>
      </c>
      <c r="J316" s="11">
        <f t="shared" si="314"/>
        <v>55</v>
      </c>
      <c r="K316" s="11">
        <f t="shared" si="314"/>
        <v>52</v>
      </c>
      <c r="L316" s="11">
        <f t="shared" si="314"/>
        <v>46</v>
      </c>
      <c r="M316" s="11">
        <f t="shared" si="314"/>
        <v>44</v>
      </c>
      <c r="O316" s="10">
        <f>'Optimal Choice'!$B$7*'Optimal Choice'!$B$8^(I316+1)</f>
        <v>12552.479936037182</v>
      </c>
      <c r="P316" s="10">
        <f>'Optimal Choice'!$B$12*'Optimal Choice'!$B$13^(J316+1)</f>
        <v>150393.93069032428</v>
      </c>
      <c r="Q316" s="10">
        <f>'Optimal Choice'!$B$17*'Optimal Choice'!$B$18^(K316+1)</f>
        <v>746946.70751070511</v>
      </c>
      <c r="R316" s="10">
        <f>'Optimal Choice'!$B$22*'Optimal Choice'!$B$23^(L316+1)</f>
        <v>2698985.7164916582</v>
      </c>
      <c r="S316" s="10">
        <f>'Optimal Choice'!$B$27*'Optimal Choice'!$B$28^(M316+1)</f>
        <v>17002234.769348066</v>
      </c>
    </row>
    <row r="317" spans="1:19" ht="15.75" customHeight="1">
      <c r="A317" s="8">
        <f t="shared" si="0"/>
        <v>35.057987813221189</v>
      </c>
      <c r="B317" s="7">
        <f>(I317*'Optimal Choice'!$B$6+J317*'Optimal Choice'!$B$11+K317*'Optimal Choice'!$B$16+L317*'Optimal Choice'!$B$21+M317*'Optimal Choice'!$B$26)*'Optimal Choice'!$B$30</f>
        <v>117578.73</v>
      </c>
      <c r="C317" s="8">
        <f>(O317/$B317)+(O317/'Optimal Choice'!$B$6)</f>
        <v>8042.7211362755188</v>
      </c>
      <c r="D317" s="8">
        <f>(P317/$B317)+(P317/'Optimal Choice'!$B$11)</f>
        <v>7520.9756258169136</v>
      </c>
      <c r="E317" s="8">
        <f>(Q317/$B317)+(Q317/'Optimal Choice'!$B$16)</f>
        <v>8305.7605978815809</v>
      </c>
      <c r="F317" s="8">
        <f>(R317/$B317)+(R317/'Optimal Choice'!$B$21)</f>
        <v>7520.1372563814675</v>
      </c>
      <c r="G317" s="8">
        <f>(S317/$B317)+(S317/'Optimal Choice'!$B$26)</f>
        <v>8016.00796603665</v>
      </c>
      <c r="I317" s="11">
        <f t="shared" ref="I317:M317" si="315">IF(MIN($C316:$G316)=C316,I316+1,I316)</f>
        <v>119</v>
      </c>
      <c r="J317" s="11">
        <f t="shared" si="315"/>
        <v>55</v>
      </c>
      <c r="K317" s="11">
        <f t="shared" si="315"/>
        <v>52</v>
      </c>
      <c r="L317" s="11">
        <f t="shared" si="315"/>
        <v>46</v>
      </c>
      <c r="M317" s="11">
        <f t="shared" si="315"/>
        <v>44</v>
      </c>
      <c r="O317" s="10">
        <f>'Optimal Choice'!$B$7*'Optimal Choice'!$B$8^(I317+1)</f>
        <v>13431.153531559785</v>
      </c>
      <c r="P317" s="10">
        <f>'Optimal Choice'!$B$12*'Optimal Choice'!$B$13^(J317+1)</f>
        <v>150393.93069032428</v>
      </c>
      <c r="Q317" s="10">
        <f>'Optimal Choice'!$B$17*'Optimal Choice'!$B$18^(K317+1)</f>
        <v>746946.70751070511</v>
      </c>
      <c r="R317" s="10">
        <f>'Optimal Choice'!$B$22*'Optimal Choice'!$B$23^(L317+1)</f>
        <v>2698985.7164916582</v>
      </c>
      <c r="S317" s="10">
        <f>'Optimal Choice'!$B$27*'Optimal Choice'!$B$28^(M317+1)</f>
        <v>17002234.769348066</v>
      </c>
    </row>
    <row r="318" spans="1:19" ht="15.75" customHeight="1">
      <c r="A318" s="8">
        <f t="shared" si="0"/>
        <v>35.440566322742946</v>
      </c>
      <c r="B318" s="7">
        <f>(I318*'Optimal Choice'!$B$6+J318*'Optimal Choice'!$B$11+K318*'Optimal Choice'!$B$16+L318*'Optimal Choice'!$B$21+M318*'Optimal Choice'!$B$26)*'Optimal Choice'!$B$30</f>
        <v>117938.73</v>
      </c>
      <c r="C318" s="8">
        <f>(O318/$B318)+(O318/'Optimal Choice'!$B$6)</f>
        <v>8042.720787592657</v>
      </c>
      <c r="D318" s="8">
        <f>(P318/$B318)+(P318/'Optimal Choice'!$B$11)</f>
        <v>7520.9717214771927</v>
      </c>
      <c r="E318" s="8">
        <f>(Q318/$B318)+(Q318/'Optimal Choice'!$B$16)</f>
        <v>8305.7412065824337</v>
      </c>
      <c r="F318" s="8">
        <f>(R318/$B318)+(R318/'Optimal Choice'!$B$21)</f>
        <v>8497.6759232076256</v>
      </c>
      <c r="G318" s="8">
        <f>(S318/$B318)+(S318/'Optimal Choice'!$B$26)</f>
        <v>8015.5665752154855</v>
      </c>
      <c r="I318" s="11">
        <f t="shared" ref="I318:M318" si="316">IF(MIN($C317:$G317)=C317,I317+1,I317)</f>
        <v>119</v>
      </c>
      <c r="J318" s="11">
        <f t="shared" si="316"/>
        <v>55</v>
      </c>
      <c r="K318" s="11">
        <f t="shared" si="316"/>
        <v>52</v>
      </c>
      <c r="L318" s="11">
        <f t="shared" si="316"/>
        <v>47</v>
      </c>
      <c r="M318" s="11">
        <f t="shared" si="316"/>
        <v>44</v>
      </c>
      <c r="O318" s="10">
        <f>'Optimal Choice'!$B$7*'Optimal Choice'!$B$8^(I318+1)</f>
        <v>13431.153531559785</v>
      </c>
      <c r="P318" s="10">
        <f>'Optimal Choice'!$B$12*'Optimal Choice'!$B$13^(J318+1)</f>
        <v>150393.93069032428</v>
      </c>
      <c r="Q318" s="10">
        <f>'Optimal Choice'!$B$17*'Optimal Choice'!$B$18^(K318+1)</f>
        <v>746946.70751070511</v>
      </c>
      <c r="R318" s="10">
        <f>'Optimal Choice'!$B$22*'Optimal Choice'!$B$23^(L318+1)</f>
        <v>3049853.8596355733</v>
      </c>
      <c r="S318" s="10">
        <f>'Optimal Choice'!$B$27*'Optimal Choice'!$B$28^(M318+1)</f>
        <v>17002234.769348066</v>
      </c>
    </row>
    <row r="319" spans="1:19" ht="15.75" customHeight="1">
      <c r="A319" s="8">
        <f t="shared" si="0"/>
        <v>35.46181943875925</v>
      </c>
      <c r="B319" s="7">
        <f>(I319*'Optimal Choice'!$B$6+J319*'Optimal Choice'!$B$11+K319*'Optimal Choice'!$B$16+L319*'Optimal Choice'!$B$21+M319*'Optimal Choice'!$B$26)*'Optimal Choice'!$B$30</f>
        <v>117958.73</v>
      </c>
      <c r="C319" s="8">
        <f>(O319/$B319)+(O319/'Optimal Choice'!$B$6)</f>
        <v>8042.7207682837907</v>
      </c>
      <c r="D319" s="8">
        <f>(P319/$B319)+(P319/'Optimal Choice'!$B$11)</f>
        <v>8649.1172310584188</v>
      </c>
      <c r="E319" s="8">
        <f>(Q319/$B319)+(Q319/'Optimal Choice'!$B$16)</f>
        <v>8305.740132758503</v>
      </c>
      <c r="F319" s="8">
        <f>(R319/$B319)+(R319/'Optimal Choice'!$B$21)</f>
        <v>8497.6715386832348</v>
      </c>
      <c r="G319" s="8">
        <f>(S319/$B319)+(S319/'Optimal Choice'!$B$26)</f>
        <v>8015.542132499053</v>
      </c>
      <c r="I319" s="11">
        <f t="shared" ref="I319:M319" si="317">IF(MIN($C318:$G318)=C318,I318+1,I318)</f>
        <v>119</v>
      </c>
      <c r="J319" s="11">
        <f t="shared" si="317"/>
        <v>56</v>
      </c>
      <c r="K319" s="11">
        <f t="shared" si="317"/>
        <v>52</v>
      </c>
      <c r="L319" s="11">
        <f t="shared" si="317"/>
        <v>47</v>
      </c>
      <c r="M319" s="11">
        <f t="shared" si="317"/>
        <v>44</v>
      </c>
      <c r="O319" s="10">
        <f>'Optimal Choice'!$B$7*'Optimal Choice'!$B$8^(I319+1)</f>
        <v>13431.153531559785</v>
      </c>
      <c r="P319" s="10">
        <f>'Optimal Choice'!$B$12*'Optimal Choice'!$B$13^(J319+1)</f>
        <v>172953.02029387289</v>
      </c>
      <c r="Q319" s="10">
        <f>'Optimal Choice'!$B$17*'Optimal Choice'!$B$18^(K319+1)</f>
        <v>746946.70751070511</v>
      </c>
      <c r="R319" s="10">
        <f>'Optimal Choice'!$B$22*'Optimal Choice'!$B$23^(L319+1)</f>
        <v>3049853.8596355733</v>
      </c>
      <c r="S319" s="10">
        <f>'Optimal Choice'!$B$27*'Optimal Choice'!$B$28^(M319+1)</f>
        <v>17002234.769348066</v>
      </c>
    </row>
    <row r="320" spans="1:19" ht="15.75" customHeight="1">
      <c r="A320" s="8">
        <f t="shared" si="0"/>
        <v>37.864105216921956</v>
      </c>
      <c r="B320" s="7">
        <f>(I320*'Optimal Choice'!$B$6+J320*'Optimal Choice'!$B$11+K320*'Optimal Choice'!$B$16+L320*'Optimal Choice'!$B$21+M320*'Optimal Choice'!$B$26)*'Optimal Choice'!$B$30</f>
        <v>120118.73</v>
      </c>
      <c r="C320" s="8">
        <f>(O320/$B320)+(O320/'Optimal Choice'!$B$6)</f>
        <v>8042.7187207727848</v>
      </c>
      <c r="D320" s="8">
        <f>(P320/$B320)+(P320/'Optimal Choice'!$B$11)</f>
        <v>8649.0908652506223</v>
      </c>
      <c r="E320" s="8">
        <f>(Q320/$B320)+(Q320/'Optimal Choice'!$B$16)</f>
        <v>8305.6262645341103</v>
      </c>
      <c r="F320" s="8">
        <f>(R320/$B320)+(R320/'Optimal Choice'!$B$21)</f>
        <v>8497.2066039828569</v>
      </c>
      <c r="G320" s="8">
        <f>(S320/$B320)+(S320/'Optimal Choice'!$B$26)</f>
        <v>8974.5042557316356</v>
      </c>
      <c r="I320" s="11">
        <f t="shared" ref="I320:M320" si="318">IF(MIN($C319:$G319)=C319,I319+1,I319)</f>
        <v>119</v>
      </c>
      <c r="J320" s="11">
        <f t="shared" si="318"/>
        <v>56</v>
      </c>
      <c r="K320" s="11">
        <f t="shared" si="318"/>
        <v>52</v>
      </c>
      <c r="L320" s="11">
        <f t="shared" si="318"/>
        <v>47</v>
      </c>
      <c r="M320" s="11">
        <f t="shared" si="318"/>
        <v>45</v>
      </c>
      <c r="O320" s="10">
        <f>'Optimal Choice'!$B$7*'Optimal Choice'!$B$8^(I320+1)</f>
        <v>13431.153531559785</v>
      </c>
      <c r="P320" s="10">
        <f>'Optimal Choice'!$B$12*'Optimal Choice'!$B$13^(J320+1)</f>
        <v>172953.02029387289</v>
      </c>
      <c r="Q320" s="10">
        <f>'Optimal Choice'!$B$17*'Optimal Choice'!$B$18^(K320+1)</f>
        <v>746946.70751070511</v>
      </c>
      <c r="R320" s="10">
        <f>'Optimal Choice'!$B$22*'Optimal Choice'!$B$23^(L320+1)</f>
        <v>3049853.8596355733</v>
      </c>
      <c r="S320" s="10">
        <f>'Optimal Choice'!$B$27*'Optimal Choice'!$B$28^(M320+1)</f>
        <v>19042502.941669833</v>
      </c>
    </row>
    <row r="321" spans="1:19" ht="15.75" customHeight="1">
      <c r="A321" s="8">
        <f t="shared" si="0"/>
        <v>37.86596881104137</v>
      </c>
      <c r="B321" s="7">
        <f>(I321*'Optimal Choice'!$B$6+J321*'Optimal Choice'!$B$11+K321*'Optimal Choice'!$B$16+L321*'Optimal Choice'!$B$21+M321*'Optimal Choice'!$B$26)*'Optimal Choice'!$B$30</f>
        <v>120120.4</v>
      </c>
      <c r="C321" s="8">
        <f>(O321/$B321)+(O321/'Optimal Choice'!$B$6)</f>
        <v>8605.7090295635207</v>
      </c>
      <c r="D321" s="8">
        <f>(P321/$B321)+(P321/'Optimal Choice'!$B$11)</f>
        <v>8649.0908452327858</v>
      </c>
      <c r="E321" s="8">
        <f>(Q321/$B321)+(Q321/'Optimal Choice'!$B$16)</f>
        <v>8305.6261780814039</v>
      </c>
      <c r="F321" s="8">
        <f>(R321/$B321)+(R321/'Optimal Choice'!$B$21)</f>
        <v>8497.2062509883071</v>
      </c>
      <c r="G321" s="8">
        <f>(S321/$B321)+(S321/'Optimal Choice'!$B$26)</f>
        <v>8974.5020517244775</v>
      </c>
      <c r="I321" s="11">
        <f t="shared" ref="I321:M321" si="319">IF(MIN($C320:$G320)=C320,I320+1,I320)</f>
        <v>120</v>
      </c>
      <c r="J321" s="11">
        <f t="shared" si="319"/>
        <v>56</v>
      </c>
      <c r="K321" s="11">
        <f t="shared" si="319"/>
        <v>52</v>
      </c>
      <c r="L321" s="11">
        <f t="shared" si="319"/>
        <v>47</v>
      </c>
      <c r="M321" s="11">
        <f t="shared" si="319"/>
        <v>45</v>
      </c>
      <c r="O321" s="10">
        <f>'Optimal Choice'!$B$7*'Optimal Choice'!$B$8^(I321+1)</f>
        <v>14371.334278768971</v>
      </c>
      <c r="P321" s="10">
        <f>'Optimal Choice'!$B$12*'Optimal Choice'!$B$13^(J321+1)</f>
        <v>172953.02029387289</v>
      </c>
      <c r="Q321" s="10">
        <f>'Optimal Choice'!$B$17*'Optimal Choice'!$B$18^(K321+1)</f>
        <v>746946.70751070511</v>
      </c>
      <c r="R321" s="10">
        <f>'Optimal Choice'!$B$22*'Optimal Choice'!$B$23^(L321+1)</f>
        <v>3049853.8596355733</v>
      </c>
      <c r="S321" s="10">
        <f>'Optimal Choice'!$B$27*'Optimal Choice'!$B$28^(M321+1)</f>
        <v>19042502.941669833</v>
      </c>
    </row>
    <row r="322" spans="1:19" ht="15.75" customHeight="1">
      <c r="A322" s="8">
        <f t="shared" si="0"/>
        <v>37.969607425230507</v>
      </c>
      <c r="B322" s="7">
        <f>(I322*'Optimal Choice'!$B$6+J322*'Optimal Choice'!$B$11+K322*'Optimal Choice'!$B$16+L322*'Optimal Choice'!$B$21+M322*'Optimal Choice'!$B$26)*'Optimal Choice'!$B$30</f>
        <v>120210.4</v>
      </c>
      <c r="C322" s="8">
        <f>(O322/$B322)+(O322/'Optimal Choice'!$B$6)</f>
        <v>8605.7089399897632</v>
      </c>
      <c r="D322" s="8">
        <f>(P322/$B322)+(P322/'Optimal Choice'!$B$11)</f>
        <v>8649.089767249945</v>
      </c>
      <c r="E322" s="8">
        <f>(Q322/$B322)+(Q322/'Optimal Choice'!$B$16)</f>
        <v>9468.4085356574542</v>
      </c>
      <c r="F322" s="8">
        <f>(R322/$B322)+(R322/'Optimal Choice'!$B$21)</f>
        <v>8497.1872418370185</v>
      </c>
      <c r="G322" s="8">
        <f>(S322/$B322)+(S322/'Optimal Choice'!$B$26)</f>
        <v>8974.3833634738294</v>
      </c>
      <c r="I322" s="11">
        <f t="shared" ref="I322:M322" si="320">IF(MIN($C321:$G321)=C321,I321+1,I321)</f>
        <v>120</v>
      </c>
      <c r="J322" s="11">
        <f t="shared" si="320"/>
        <v>56</v>
      </c>
      <c r="K322" s="11">
        <f t="shared" si="320"/>
        <v>53</v>
      </c>
      <c r="L322" s="11">
        <f t="shared" si="320"/>
        <v>47</v>
      </c>
      <c r="M322" s="11">
        <f t="shared" si="320"/>
        <v>45</v>
      </c>
      <c r="O322" s="10">
        <f>'Optimal Choice'!$B$7*'Optimal Choice'!$B$8^(I322+1)</f>
        <v>14371.334278768971</v>
      </c>
      <c r="P322" s="10">
        <f>'Optimal Choice'!$B$12*'Optimal Choice'!$B$13^(J322+1)</f>
        <v>172953.02029387289</v>
      </c>
      <c r="Q322" s="10">
        <f>'Optimal Choice'!$B$17*'Optimal Choice'!$B$18^(K322+1)</f>
        <v>851519.24656220363</v>
      </c>
      <c r="R322" s="10">
        <f>'Optimal Choice'!$B$22*'Optimal Choice'!$B$23^(L322+1)</f>
        <v>3049853.8596355733</v>
      </c>
      <c r="S322" s="10">
        <f>'Optimal Choice'!$B$27*'Optimal Choice'!$B$28^(M322+1)</f>
        <v>19042502.941669833</v>
      </c>
    </row>
    <row r="323" spans="1:19" ht="15.75" customHeight="1">
      <c r="A323" s="8">
        <f t="shared" si="0"/>
        <v>38.392456843089469</v>
      </c>
      <c r="B323" s="7">
        <f>(I323*'Optimal Choice'!$B$6+J323*'Optimal Choice'!$B$11+K323*'Optimal Choice'!$B$16+L323*'Optimal Choice'!$B$21+M323*'Optimal Choice'!$B$26)*'Optimal Choice'!$B$30</f>
        <v>120570.4</v>
      </c>
      <c r="C323" s="8">
        <f>(O323/$B323)+(O323/'Optimal Choice'!$B$6)</f>
        <v>8605.7085830319866</v>
      </c>
      <c r="D323" s="8">
        <f>(P323/$B323)+(P323/'Optimal Choice'!$B$11)</f>
        <v>8649.0854714118268</v>
      </c>
      <c r="E323" s="8">
        <f>(Q323/$B323)+(Q323/'Optimal Choice'!$B$16)</f>
        <v>9468.3873854697813</v>
      </c>
      <c r="F323" s="8">
        <f>(R323/$B323)+(R323/'Optimal Choice'!$B$21)</f>
        <v>9601.7359825928179</v>
      </c>
      <c r="G323" s="8">
        <f>(S323/$B323)+(S323/'Optimal Choice'!$B$26)</f>
        <v>8973.9103823725618</v>
      </c>
      <c r="I323" s="11">
        <f t="shared" ref="I323:M323" si="321">IF(MIN($C322:$G322)=C322,I322+1,I322)</f>
        <v>120</v>
      </c>
      <c r="J323" s="11">
        <f t="shared" si="321"/>
        <v>56</v>
      </c>
      <c r="K323" s="11">
        <f t="shared" si="321"/>
        <v>53</v>
      </c>
      <c r="L323" s="11">
        <f t="shared" si="321"/>
        <v>48</v>
      </c>
      <c r="M323" s="11">
        <f t="shared" si="321"/>
        <v>45</v>
      </c>
      <c r="O323" s="10">
        <f>'Optimal Choice'!$B$7*'Optimal Choice'!$B$8^(I323+1)</f>
        <v>14371.334278768971</v>
      </c>
      <c r="P323" s="10">
        <f>'Optimal Choice'!$B$12*'Optimal Choice'!$B$13^(J323+1)</f>
        <v>172953.02029387289</v>
      </c>
      <c r="Q323" s="10">
        <f>'Optimal Choice'!$B$17*'Optimal Choice'!$B$18^(K323+1)</f>
        <v>851519.24656220363</v>
      </c>
      <c r="R323" s="10">
        <f>'Optimal Choice'!$B$22*'Optimal Choice'!$B$23^(L323+1)</f>
        <v>3446334.8613881976</v>
      </c>
      <c r="S323" s="10">
        <f>'Optimal Choice'!$B$27*'Optimal Choice'!$B$28^(M323+1)</f>
        <v>19042502.941669833</v>
      </c>
    </row>
    <row r="324" spans="1:19" ht="15.75" customHeight="1">
      <c r="A324" s="8">
        <f t="shared" si="0"/>
        <v>38.394443418882361</v>
      </c>
      <c r="B324" s="7">
        <f>(I324*'Optimal Choice'!$B$6+J324*'Optimal Choice'!$B$11+K324*'Optimal Choice'!$B$16+L324*'Optimal Choice'!$B$21+M324*'Optimal Choice'!$B$26)*'Optimal Choice'!$B$30</f>
        <v>120572.07</v>
      </c>
      <c r="C324" s="8">
        <f>(O324/$B324)+(O324/'Optimal Choice'!$B$6)</f>
        <v>9208.1081820777399</v>
      </c>
      <c r="D324" s="8">
        <f>(P324/$B324)+(P324/'Optimal Choice'!$B$11)</f>
        <v>8649.0854515436877</v>
      </c>
      <c r="E324" s="8">
        <f>(Q324/$B324)+(Q324/'Optimal Choice'!$B$16)</f>
        <v>9468.3872876507121</v>
      </c>
      <c r="F324" s="8">
        <f>(R324/$B324)+(R324/'Optimal Choice'!$B$21)</f>
        <v>9601.7355866918842</v>
      </c>
      <c r="G324" s="8">
        <f>(S324/$B324)+(S324/'Optimal Choice'!$B$26)</f>
        <v>8973.9081948472649</v>
      </c>
      <c r="I324" s="11">
        <f t="shared" ref="I324:M324" si="322">IF(MIN($C323:$G323)=C323,I323+1,I323)</f>
        <v>121</v>
      </c>
      <c r="J324" s="11">
        <f t="shared" si="322"/>
        <v>56</v>
      </c>
      <c r="K324" s="11">
        <f t="shared" si="322"/>
        <v>53</v>
      </c>
      <c r="L324" s="11">
        <f t="shared" si="322"/>
        <v>48</v>
      </c>
      <c r="M324" s="11">
        <f t="shared" si="322"/>
        <v>45</v>
      </c>
      <c r="O324" s="10">
        <f>'Optimal Choice'!$B$7*'Optimal Choice'!$B$8^(I324+1)</f>
        <v>15377.327678282796</v>
      </c>
      <c r="P324" s="10">
        <f>'Optimal Choice'!$B$12*'Optimal Choice'!$B$13^(J324+1)</f>
        <v>172953.02029387289</v>
      </c>
      <c r="Q324" s="10">
        <f>'Optimal Choice'!$B$17*'Optimal Choice'!$B$18^(K324+1)</f>
        <v>851519.24656220363</v>
      </c>
      <c r="R324" s="10">
        <f>'Optimal Choice'!$B$22*'Optimal Choice'!$B$23^(L324+1)</f>
        <v>3446334.8613881976</v>
      </c>
      <c r="S324" s="10">
        <f>'Optimal Choice'!$B$27*'Optimal Choice'!$B$28^(M324+1)</f>
        <v>19042502.941669833</v>
      </c>
    </row>
    <row r="325" spans="1:19" ht="15.75" customHeight="1">
      <c r="A325" s="8">
        <f t="shared" si="0"/>
        <v>38.418350699716399</v>
      </c>
      <c r="B325" s="7">
        <f>(I325*'Optimal Choice'!$B$6+J325*'Optimal Choice'!$B$11+K325*'Optimal Choice'!$B$16+L325*'Optimal Choice'!$B$21+M325*'Optimal Choice'!$B$26)*'Optimal Choice'!$B$30</f>
        <v>120592.07</v>
      </c>
      <c r="C325" s="8">
        <f>(O325/$B325)+(O325/'Optimal Choice'!$B$6)</f>
        <v>9208.1081609260345</v>
      </c>
      <c r="D325" s="8">
        <f>(P325/$B325)+(P325/'Optimal Choice'!$B$11)</f>
        <v>9946.447995691351</v>
      </c>
      <c r="E325" s="8">
        <f>(Q325/$B325)+(Q325/'Optimal Choice'!$B$16)</f>
        <v>9468.3861163753791</v>
      </c>
      <c r="F325" s="8">
        <f>(R325/$B325)+(R325/'Optimal Choice'!$B$21)</f>
        <v>9601.7308462153433</v>
      </c>
      <c r="G325" s="8">
        <f>(S325/$B325)+(S325/'Optimal Choice'!$B$26)</f>
        <v>8973.8820016472091</v>
      </c>
      <c r="I325" s="11">
        <f t="shared" ref="I325:M325" si="323">IF(MIN($C324:$G324)=C324,I324+1,I324)</f>
        <v>121</v>
      </c>
      <c r="J325" s="11">
        <f t="shared" si="323"/>
        <v>57</v>
      </c>
      <c r="K325" s="11">
        <f t="shared" si="323"/>
        <v>53</v>
      </c>
      <c r="L325" s="11">
        <f t="shared" si="323"/>
        <v>48</v>
      </c>
      <c r="M325" s="11">
        <f t="shared" si="323"/>
        <v>45</v>
      </c>
      <c r="O325" s="10">
        <f>'Optimal Choice'!$B$7*'Optimal Choice'!$B$8^(I325+1)</f>
        <v>15377.327678282796</v>
      </c>
      <c r="P325" s="10">
        <f>'Optimal Choice'!$B$12*'Optimal Choice'!$B$13^(J325+1)</f>
        <v>198895.97333795385</v>
      </c>
      <c r="Q325" s="10">
        <f>'Optimal Choice'!$B$17*'Optimal Choice'!$B$18^(K325+1)</f>
        <v>851519.24656220363</v>
      </c>
      <c r="R325" s="10">
        <f>'Optimal Choice'!$B$22*'Optimal Choice'!$B$23^(L325+1)</f>
        <v>3446334.8613881976</v>
      </c>
      <c r="S325" s="10">
        <f>'Optimal Choice'!$B$27*'Optimal Choice'!$B$28^(M325+1)</f>
        <v>19042502.941669833</v>
      </c>
    </row>
    <row r="326" spans="1:19" ht="15.75" customHeight="1">
      <c r="A326" s="8">
        <f t="shared" si="0"/>
        <v>41.050157658729795</v>
      </c>
      <c r="B326" s="7">
        <f>(I326*'Optimal Choice'!$B$6+J326*'Optimal Choice'!$B$11+K326*'Optimal Choice'!$B$16+L326*'Optimal Choice'!$B$21+M326*'Optimal Choice'!$B$26)*'Optimal Choice'!$B$30</f>
        <v>122752.07</v>
      </c>
      <c r="C326" s="8">
        <f>(O326/$B326)+(O326/'Optimal Choice'!$B$6)</f>
        <v>9208.105917111041</v>
      </c>
      <c r="D326" s="8">
        <f>(P326/$B326)+(P326/'Optimal Choice'!$B$11)</f>
        <v>9946.4189733685962</v>
      </c>
      <c r="E326" s="8">
        <f>(Q326/$B326)+(Q326/'Optimal Choice'!$B$16)</f>
        <v>9468.2618651600806</v>
      </c>
      <c r="F326" s="8">
        <f>(R326/$B326)+(R326/'Optimal Choice'!$B$21)</f>
        <v>9601.2279670419321</v>
      </c>
      <c r="G326" s="8">
        <f>(S326/$B326)+(S326/'Optimal Choice'!$B$26)</f>
        <v>10047.635779916185</v>
      </c>
      <c r="I326" s="11">
        <f t="shared" ref="I326:M326" si="324">IF(MIN($C325:$G325)=C325,I325+1,I325)</f>
        <v>121</v>
      </c>
      <c r="J326" s="11">
        <f t="shared" si="324"/>
        <v>57</v>
      </c>
      <c r="K326" s="11">
        <f t="shared" si="324"/>
        <v>53</v>
      </c>
      <c r="L326" s="11">
        <f t="shared" si="324"/>
        <v>48</v>
      </c>
      <c r="M326" s="11">
        <f t="shared" si="324"/>
        <v>46</v>
      </c>
      <c r="O326" s="10">
        <f>'Optimal Choice'!$B$7*'Optimal Choice'!$B$8^(I326+1)</f>
        <v>15377.327678282796</v>
      </c>
      <c r="P326" s="10">
        <f>'Optimal Choice'!$B$12*'Optimal Choice'!$B$13^(J326+1)</f>
        <v>198895.97333795385</v>
      </c>
      <c r="Q326" s="10">
        <f>'Optimal Choice'!$B$17*'Optimal Choice'!$B$18^(K326+1)</f>
        <v>851519.24656220363</v>
      </c>
      <c r="R326" s="10">
        <f>'Optimal Choice'!$B$22*'Optimal Choice'!$B$23^(L326+1)</f>
        <v>3446334.8613881976</v>
      </c>
      <c r="S326" s="10">
        <f>'Optimal Choice'!$B$27*'Optimal Choice'!$B$28^(M326+1)</f>
        <v>21327603.294670213</v>
      </c>
    </row>
    <row r="327" spans="1:19" ht="15.75" customHeight="1">
      <c r="A327" s="8">
        <f t="shared" si="0"/>
        <v>41.052245515941799</v>
      </c>
      <c r="B327" s="7">
        <f>(I327*'Optimal Choice'!$B$6+J327*'Optimal Choice'!$B$11+K327*'Optimal Choice'!$B$16+L327*'Optimal Choice'!$B$21+M327*'Optimal Choice'!$B$26)*'Optimal Choice'!$B$30</f>
        <v>122753.73999999999</v>
      </c>
      <c r="C327" s="8">
        <f>(O327/$B327)+(O327/'Optimal Choice'!$B$6)</f>
        <v>9852.6733294852675</v>
      </c>
      <c r="D327" s="8">
        <f>(P327/$B327)+(P327/'Optimal Choice'!$B$11)</f>
        <v>9946.4189513251804</v>
      </c>
      <c r="E327" s="8">
        <f>(Q327/$B327)+(Q327/'Optimal Choice'!$B$16)</f>
        <v>9468.2617707871632</v>
      </c>
      <c r="F327" s="8">
        <f>(R327/$B327)+(R327/'Optimal Choice'!$B$21)</f>
        <v>9601.2275850885271</v>
      </c>
      <c r="G327" s="8">
        <f>(S327/$B327)+(S327/'Optimal Choice'!$B$26)</f>
        <v>10047.633416201965</v>
      </c>
      <c r="I327" s="11">
        <f t="shared" ref="I327:M327" si="325">IF(MIN($C326:$G326)=C326,I326+1,I326)</f>
        <v>122</v>
      </c>
      <c r="J327" s="11">
        <f t="shared" si="325"/>
        <v>57</v>
      </c>
      <c r="K327" s="11">
        <f t="shared" si="325"/>
        <v>53</v>
      </c>
      <c r="L327" s="11">
        <f t="shared" si="325"/>
        <v>48</v>
      </c>
      <c r="M327" s="11">
        <f t="shared" si="325"/>
        <v>46</v>
      </c>
      <c r="O327" s="10">
        <f>'Optimal Choice'!$B$7*'Optimal Choice'!$B$8^(I327+1)</f>
        <v>16453.740615762596</v>
      </c>
      <c r="P327" s="10">
        <f>'Optimal Choice'!$B$12*'Optimal Choice'!$B$13^(J327+1)</f>
        <v>198895.97333795385</v>
      </c>
      <c r="Q327" s="10">
        <f>'Optimal Choice'!$B$17*'Optimal Choice'!$B$18^(K327+1)</f>
        <v>851519.24656220363</v>
      </c>
      <c r="R327" s="10">
        <f>'Optimal Choice'!$B$22*'Optimal Choice'!$B$23^(L327+1)</f>
        <v>3446334.8613881976</v>
      </c>
      <c r="S327" s="10">
        <f>'Optimal Choice'!$B$27*'Optimal Choice'!$B$28^(M327+1)</f>
        <v>21327603.294670213</v>
      </c>
    </row>
    <row r="328" spans="1:19" ht="15.75" customHeight="1">
      <c r="A328" s="8">
        <f t="shared" si="0"/>
        <v>41.16785899902348</v>
      </c>
      <c r="B328" s="7">
        <f>(I328*'Optimal Choice'!$B$6+J328*'Optimal Choice'!$B$11+K328*'Optimal Choice'!$B$16+L328*'Optimal Choice'!$B$21+M328*'Optimal Choice'!$B$26)*'Optimal Choice'!$B$30</f>
        <v>122843.73999999999</v>
      </c>
      <c r="C328" s="8">
        <f>(O328/$B328)+(O328/'Optimal Choice'!$B$6)</f>
        <v>9852.6732312834793</v>
      </c>
      <c r="D328" s="8">
        <f>(P328/$B328)+(P328/'Optimal Choice'!$B$11)</f>
        <v>9946.4177642431314</v>
      </c>
      <c r="E328" s="8">
        <f>(Q328/$B328)+(Q328/'Optimal Choice'!$B$16)</f>
        <v>10793.812625023207</v>
      </c>
      <c r="F328" s="8">
        <f>(R328/$B328)+(R328/'Optimal Choice'!$B$21)</f>
        <v>9601.207016133927</v>
      </c>
      <c r="G328" s="8">
        <f>(S328/$B328)+(S328/'Optimal Choice'!$B$26)</f>
        <v>10047.50612546513</v>
      </c>
      <c r="I328" s="11">
        <f t="shared" ref="I328:M328" si="326">IF(MIN($C327:$G327)=C327,I327+1,I327)</f>
        <v>122</v>
      </c>
      <c r="J328" s="11">
        <f t="shared" si="326"/>
        <v>57</v>
      </c>
      <c r="K328" s="11">
        <f t="shared" si="326"/>
        <v>54</v>
      </c>
      <c r="L328" s="11">
        <f t="shared" si="326"/>
        <v>48</v>
      </c>
      <c r="M328" s="11">
        <f t="shared" si="326"/>
        <v>46</v>
      </c>
      <c r="O328" s="10">
        <f>'Optimal Choice'!$B$7*'Optimal Choice'!$B$8^(I328+1)</f>
        <v>16453.740615762596</v>
      </c>
      <c r="P328" s="10">
        <f>'Optimal Choice'!$B$12*'Optimal Choice'!$B$13^(J328+1)</f>
        <v>198895.97333795385</v>
      </c>
      <c r="Q328" s="10">
        <f>'Optimal Choice'!$B$17*'Optimal Choice'!$B$18^(K328+1)</f>
        <v>970731.94108091202</v>
      </c>
      <c r="R328" s="10">
        <f>'Optimal Choice'!$B$22*'Optimal Choice'!$B$23^(L328+1)</f>
        <v>3446334.8613881976</v>
      </c>
      <c r="S328" s="10">
        <f>'Optimal Choice'!$B$27*'Optimal Choice'!$B$28^(M328+1)</f>
        <v>21327603.294670213</v>
      </c>
    </row>
    <row r="329" spans="1:19" ht="15.75" customHeight="1">
      <c r="A329" s="8">
        <f t="shared" si="0"/>
        <v>41.635436055505721</v>
      </c>
      <c r="B329" s="7">
        <f>(I329*'Optimal Choice'!$B$6+J329*'Optimal Choice'!$B$11+K329*'Optimal Choice'!$B$16+L329*'Optimal Choice'!$B$21+M329*'Optimal Choice'!$B$26)*'Optimal Choice'!$B$30</f>
        <v>123203.73999999999</v>
      </c>
      <c r="C329" s="8">
        <f>(O329/$B329)+(O329/'Optimal Choice'!$B$6)</f>
        <v>9852.6728399110525</v>
      </c>
      <c r="D329" s="8">
        <f>(P329/$B329)+(P329/'Optimal Choice'!$B$11)</f>
        <v>9946.4130332581444</v>
      </c>
      <c r="E329" s="8">
        <f>(Q329/$B329)+(Q329/'Optimal Choice'!$B$16)</f>
        <v>10793.789534971844</v>
      </c>
      <c r="F329" s="8">
        <f>(R329/$B329)+(R329/'Optimal Choice'!$B$21)</f>
        <v>10849.271296134337</v>
      </c>
      <c r="G329" s="8">
        <f>(S329/$B329)+(S329/'Optimal Choice'!$B$26)</f>
        <v>10046.99882222859</v>
      </c>
      <c r="I329" s="11">
        <f t="shared" ref="I329:M329" si="327">IF(MIN($C328:$G328)=C328,I328+1,I328)</f>
        <v>122</v>
      </c>
      <c r="J329" s="11">
        <f t="shared" si="327"/>
        <v>57</v>
      </c>
      <c r="K329" s="11">
        <f t="shared" si="327"/>
        <v>54</v>
      </c>
      <c r="L329" s="11">
        <f t="shared" si="327"/>
        <v>49</v>
      </c>
      <c r="M329" s="11">
        <f t="shared" si="327"/>
        <v>46</v>
      </c>
      <c r="O329" s="10">
        <f>'Optimal Choice'!$B$7*'Optimal Choice'!$B$8^(I329+1)</f>
        <v>16453.740615762596</v>
      </c>
      <c r="P329" s="10">
        <f>'Optimal Choice'!$B$12*'Optimal Choice'!$B$13^(J329+1)</f>
        <v>198895.97333795385</v>
      </c>
      <c r="Q329" s="10">
        <f>'Optimal Choice'!$B$17*'Optimal Choice'!$B$18^(K329+1)</f>
        <v>970731.94108091202</v>
      </c>
      <c r="R329" s="10">
        <f>'Optimal Choice'!$B$22*'Optimal Choice'!$B$23^(L329+1)</f>
        <v>3894358.3933686628</v>
      </c>
      <c r="S329" s="10">
        <f>'Optimal Choice'!$B$27*'Optimal Choice'!$B$28^(M329+1)</f>
        <v>21327603.294670213</v>
      </c>
    </row>
    <row r="330" spans="1:19" ht="15.75" customHeight="1">
      <c r="A330" s="8">
        <f t="shared" si="0"/>
        <v>41.637661872759828</v>
      </c>
      <c r="B330" s="7">
        <f>(I330*'Optimal Choice'!$B$6+J330*'Optimal Choice'!$B$11+K330*'Optimal Choice'!$B$16+L330*'Optimal Choice'!$B$21+M330*'Optimal Choice'!$B$26)*'Optimal Choice'!$B$30</f>
        <v>123205.41</v>
      </c>
      <c r="C330" s="8">
        <f>(O330/$B330)+(O330/'Optimal Choice'!$B$6)</f>
        <v>10542.359936767909</v>
      </c>
      <c r="D330" s="8">
        <f>(P330/$B330)+(P330/'Optimal Choice'!$B$11)</f>
        <v>9946.4130113760548</v>
      </c>
      <c r="E330" s="8">
        <f>(Q330/$B330)+(Q330/'Optimal Choice'!$B$16)</f>
        <v>10793.78942817409</v>
      </c>
      <c r="F330" s="8">
        <f>(R330/$B330)+(R330/'Optimal Choice'!$B$21)</f>
        <v>10849.270867685746</v>
      </c>
      <c r="G330" s="8">
        <f>(S330/$B330)+(S330/'Optimal Choice'!$B$26)</f>
        <v>10046.996475813434</v>
      </c>
      <c r="I330" s="11">
        <f t="shared" ref="I330:M330" si="328">IF(MIN($C329:$G329)=C329,I329+1,I329)</f>
        <v>123</v>
      </c>
      <c r="J330" s="11">
        <f t="shared" si="328"/>
        <v>57</v>
      </c>
      <c r="K330" s="11">
        <f t="shared" si="328"/>
        <v>54</v>
      </c>
      <c r="L330" s="11">
        <f t="shared" si="328"/>
        <v>49</v>
      </c>
      <c r="M330" s="11">
        <f t="shared" si="328"/>
        <v>46</v>
      </c>
      <c r="O330" s="10">
        <f>'Optimal Choice'!$B$7*'Optimal Choice'!$B$8^(I330+1)</f>
        <v>17605.502458865976</v>
      </c>
      <c r="P330" s="10">
        <f>'Optimal Choice'!$B$12*'Optimal Choice'!$B$13^(J330+1)</f>
        <v>198895.97333795385</v>
      </c>
      <c r="Q330" s="10">
        <f>'Optimal Choice'!$B$17*'Optimal Choice'!$B$18^(K330+1)</f>
        <v>970731.94108091202</v>
      </c>
      <c r="R330" s="10">
        <f>'Optimal Choice'!$B$22*'Optimal Choice'!$B$23^(L330+1)</f>
        <v>3894358.3933686628</v>
      </c>
      <c r="S330" s="10">
        <f>'Optimal Choice'!$B$27*'Optimal Choice'!$B$28^(M330+1)</f>
        <v>21327603.294670213</v>
      </c>
    </row>
    <row r="331" spans="1:19" ht="15.75" customHeight="1">
      <c r="A331" s="8">
        <f t="shared" si="0"/>
        <v>41.664567614065881</v>
      </c>
      <c r="B331" s="7">
        <f>(I331*'Optimal Choice'!$B$6+J331*'Optimal Choice'!$B$11+K331*'Optimal Choice'!$B$16+L331*'Optimal Choice'!$B$21+M331*'Optimal Choice'!$B$26)*'Optimal Choice'!$B$30</f>
        <v>123225.41</v>
      </c>
      <c r="C331" s="8">
        <f>(O331/$B331)+(O331/'Optimal Choice'!$B$6)</f>
        <v>10542.359913575365</v>
      </c>
      <c r="D331" s="8">
        <f>(P331/$B331)+(P331/'Optimal Choice'!$B$11)</f>
        <v>11438.374661765363</v>
      </c>
      <c r="E331" s="8">
        <f>(Q331/$B331)+(Q331/'Optimal Choice'!$B$16)</f>
        <v>10793.78814938399</v>
      </c>
      <c r="F331" s="8">
        <f>(R331/$B331)+(R331/'Optimal Choice'!$B$21)</f>
        <v>10849.265737467249</v>
      </c>
      <c r="G331" s="8">
        <f>(S331/$B331)+(S331/'Optimal Choice'!$B$26)</f>
        <v>10046.968379974822</v>
      </c>
      <c r="I331" s="11">
        <f t="shared" ref="I331:M331" si="329">IF(MIN($C330:$G330)=C330,I330+1,I330)</f>
        <v>123</v>
      </c>
      <c r="J331" s="11">
        <f t="shared" si="329"/>
        <v>58</v>
      </c>
      <c r="K331" s="11">
        <f t="shared" si="329"/>
        <v>54</v>
      </c>
      <c r="L331" s="11">
        <f t="shared" si="329"/>
        <v>49</v>
      </c>
      <c r="M331" s="11">
        <f t="shared" si="329"/>
        <v>46</v>
      </c>
      <c r="O331" s="10">
        <f>'Optimal Choice'!$B$7*'Optimal Choice'!$B$8^(I331+1)</f>
        <v>17605.502458865976</v>
      </c>
      <c r="P331" s="10">
        <f>'Optimal Choice'!$B$12*'Optimal Choice'!$B$13^(J331+1)</f>
        <v>228730.36933864688</v>
      </c>
      <c r="Q331" s="10">
        <f>'Optimal Choice'!$B$17*'Optimal Choice'!$B$18^(K331+1)</f>
        <v>970731.94108091202</v>
      </c>
      <c r="R331" s="10">
        <f>'Optimal Choice'!$B$22*'Optimal Choice'!$B$23^(L331+1)</f>
        <v>3894358.3933686628</v>
      </c>
      <c r="S331" s="10">
        <f>'Optimal Choice'!$B$27*'Optimal Choice'!$B$28^(M331+1)</f>
        <v>21327603.294670213</v>
      </c>
    </row>
    <row r="332" spans="1:19" ht="15.75" customHeight="1">
      <c r="A332" s="8">
        <f t="shared" si="0"/>
        <v>44.549200376993348</v>
      </c>
      <c r="B332" s="7">
        <f>(I332*'Optimal Choice'!$B$6+J332*'Optimal Choice'!$B$11+K332*'Optimal Choice'!$B$16+L332*'Optimal Choice'!$B$21+M332*'Optimal Choice'!$B$26)*'Optimal Choice'!$B$30</f>
        <v>125385.41</v>
      </c>
      <c r="C332" s="8">
        <f>(O332/$B332)+(O332/'Optimal Choice'!$B$6)</f>
        <v>10542.357452330069</v>
      </c>
      <c r="D332" s="8">
        <f>(P332/$B332)+(P332/'Optimal Choice'!$B$11)</f>
        <v>11438.34268531101</v>
      </c>
      <c r="E332" s="8">
        <f>(Q332/$B332)+(Q332/'Optimal Choice'!$B$16)</f>
        <v>10793.652441276265</v>
      </c>
      <c r="F332" s="8">
        <f>(R332/$B332)+(R332/'Optimal Choice'!$B$21)</f>
        <v>10848.721307036967</v>
      </c>
      <c r="G332" s="8">
        <f>(S332/$B332)+(S332/'Optimal Choice'!$B$26)</f>
        <v>11249.265200113761</v>
      </c>
      <c r="I332" s="11">
        <f t="shared" ref="I332:M332" si="330">IF(MIN($C331:$G331)=C331,I331+1,I331)</f>
        <v>123</v>
      </c>
      <c r="J332" s="11">
        <f t="shared" si="330"/>
        <v>58</v>
      </c>
      <c r="K332" s="11">
        <f t="shared" si="330"/>
        <v>54</v>
      </c>
      <c r="L332" s="11">
        <f t="shared" si="330"/>
        <v>49</v>
      </c>
      <c r="M332" s="11">
        <f t="shared" si="330"/>
        <v>47</v>
      </c>
      <c r="O332" s="10">
        <f>'Optimal Choice'!$B$7*'Optimal Choice'!$B$8^(I332+1)</f>
        <v>17605.502458865976</v>
      </c>
      <c r="P332" s="10">
        <f>'Optimal Choice'!$B$12*'Optimal Choice'!$B$13^(J332+1)</f>
        <v>228730.36933864688</v>
      </c>
      <c r="Q332" s="10">
        <f>'Optimal Choice'!$B$17*'Optimal Choice'!$B$18^(K332+1)</f>
        <v>970731.94108091202</v>
      </c>
      <c r="R332" s="10">
        <f>'Optimal Choice'!$B$22*'Optimal Choice'!$B$23^(L332+1)</f>
        <v>3894358.3933686628</v>
      </c>
      <c r="S332" s="10">
        <f>'Optimal Choice'!$B$27*'Optimal Choice'!$B$28^(M332+1)</f>
        <v>23886915.690030642</v>
      </c>
    </row>
    <row r="333" spans="1:19" ht="15.75" customHeight="1">
      <c r="A333" s="8">
        <f t="shared" si="0"/>
        <v>44.551540561875953</v>
      </c>
      <c r="B333" s="7">
        <f>(I333*'Optimal Choice'!$B$6+J333*'Optimal Choice'!$B$11+K333*'Optimal Choice'!$B$16+L333*'Optimal Choice'!$B$21+M333*'Optimal Choice'!$B$26)*'Optimal Choice'!$B$30</f>
        <v>125387.08</v>
      </c>
      <c r="C333" s="8">
        <f>(O333/$B333)+(O333/'Optimal Choice'!$B$6)</f>
        <v>11280.322471992162</v>
      </c>
      <c r="D333" s="8">
        <f>(P333/$B333)+(P333/'Optimal Choice'!$B$11)</f>
        <v>11438.342661014691</v>
      </c>
      <c r="E333" s="8">
        <f>(Q333/$B333)+(Q333/'Optimal Choice'!$B$16)</f>
        <v>10793.652338162652</v>
      </c>
      <c r="F333" s="8">
        <f>(R333/$B333)+(R333/'Optimal Choice'!$B$21)</f>
        <v>10848.720893368332</v>
      </c>
      <c r="G333" s="8">
        <f>(S333/$B333)+(S333/'Optimal Choice'!$B$26)</f>
        <v>11249.262662784926</v>
      </c>
      <c r="I333" s="11">
        <f t="shared" ref="I333:M333" si="331">IF(MIN($C332:$G332)=C332,I332+1,I332)</f>
        <v>124</v>
      </c>
      <c r="J333" s="11">
        <f t="shared" si="331"/>
        <v>58</v>
      </c>
      <c r="K333" s="11">
        <f t="shared" si="331"/>
        <v>54</v>
      </c>
      <c r="L333" s="11">
        <f t="shared" si="331"/>
        <v>49</v>
      </c>
      <c r="M333" s="11">
        <f t="shared" si="331"/>
        <v>47</v>
      </c>
      <c r="O333" s="10">
        <f>'Optimal Choice'!$B$7*'Optimal Choice'!$B$8^(I333+1)</f>
        <v>18837.887630986592</v>
      </c>
      <c r="P333" s="10">
        <f>'Optimal Choice'!$B$12*'Optimal Choice'!$B$13^(J333+1)</f>
        <v>228730.36933864688</v>
      </c>
      <c r="Q333" s="10">
        <f>'Optimal Choice'!$B$17*'Optimal Choice'!$B$18^(K333+1)</f>
        <v>970731.94108091202</v>
      </c>
      <c r="R333" s="10">
        <f>'Optimal Choice'!$B$22*'Optimal Choice'!$B$23^(L333+1)</f>
        <v>3894358.3933686628</v>
      </c>
      <c r="S333" s="10">
        <f>'Optimal Choice'!$B$27*'Optimal Choice'!$B$28^(M333+1)</f>
        <v>23886915.690030642</v>
      </c>
    </row>
    <row r="334" spans="1:19" ht="15.75" customHeight="1">
      <c r="A334" s="8">
        <f t="shared" si="0"/>
        <v>44.680571923677199</v>
      </c>
      <c r="B334" s="7">
        <f>(I334*'Optimal Choice'!$B$6+J334*'Optimal Choice'!$B$11+K334*'Optimal Choice'!$B$16+L334*'Optimal Choice'!$B$21+M334*'Optimal Choice'!$B$26)*'Optimal Choice'!$B$30</f>
        <v>125477.08</v>
      </c>
      <c r="C334" s="8">
        <f>(O334/$B334)+(O334/'Optimal Choice'!$B$6)</f>
        <v>11280.322364232177</v>
      </c>
      <c r="D334" s="8">
        <f>(P334/$B334)+(P334/'Optimal Choice'!$B$11)</f>
        <v>11438.341352588743</v>
      </c>
      <c r="E334" s="8">
        <f>(Q334/$B334)+(Q334/'Optimal Choice'!$B$16)</f>
        <v>12304.757335129685</v>
      </c>
      <c r="F334" s="8">
        <f>(R334/$B334)+(R334/'Optimal Choice'!$B$21)</f>
        <v>10848.69861613602</v>
      </c>
      <c r="G334" s="8">
        <f>(S334/$B334)+(S334/'Optimal Choice'!$B$26)</f>
        <v>11249.126020412476</v>
      </c>
      <c r="I334" s="11">
        <f t="shared" ref="I334:M334" si="332">IF(MIN($C333:$G333)=C333,I333+1,I333)</f>
        <v>124</v>
      </c>
      <c r="J334" s="11">
        <f t="shared" si="332"/>
        <v>58</v>
      </c>
      <c r="K334" s="11">
        <f t="shared" si="332"/>
        <v>55</v>
      </c>
      <c r="L334" s="11">
        <f t="shared" si="332"/>
        <v>49</v>
      </c>
      <c r="M334" s="11">
        <f t="shared" si="332"/>
        <v>47</v>
      </c>
      <c r="O334" s="10">
        <f>'Optimal Choice'!$B$7*'Optimal Choice'!$B$8^(I334+1)</f>
        <v>18837.887630986592</v>
      </c>
      <c r="P334" s="10">
        <f>'Optimal Choice'!$B$12*'Optimal Choice'!$B$13^(J334+1)</f>
        <v>228730.36933864688</v>
      </c>
      <c r="Q334" s="10">
        <f>'Optimal Choice'!$B$17*'Optimal Choice'!$B$18^(K334+1)</f>
        <v>1106634.4128322399</v>
      </c>
      <c r="R334" s="10">
        <f>'Optimal Choice'!$B$22*'Optimal Choice'!$B$23^(L334+1)</f>
        <v>3894358.3933686628</v>
      </c>
      <c r="S334" s="10">
        <f>'Optimal Choice'!$B$27*'Optimal Choice'!$B$28^(M334+1)</f>
        <v>23886915.690030642</v>
      </c>
    </row>
    <row r="335" spans="1:19" ht="15.75" customHeight="1">
      <c r="A335" s="8">
        <f t="shared" si="0"/>
        <v>45.197845462580169</v>
      </c>
      <c r="B335" s="7">
        <f>(I335*'Optimal Choice'!$B$6+J335*'Optimal Choice'!$B$11+K335*'Optimal Choice'!$B$16+L335*'Optimal Choice'!$B$21+M335*'Optimal Choice'!$B$26)*'Optimal Choice'!$B$30</f>
        <v>125837.08</v>
      </c>
      <c r="C335" s="8">
        <f>(O335/$B335)+(O335/'Optimal Choice'!$B$6)</f>
        <v>11280.321934733662</v>
      </c>
      <c r="D335" s="8">
        <f>(P335/$B335)+(P335/'Optimal Choice'!$B$11)</f>
        <v>11438.336137600947</v>
      </c>
      <c r="E335" s="8">
        <f>(Q335/$B335)+(Q335/'Optimal Choice'!$B$16)</f>
        <v>12304.732104177747</v>
      </c>
      <c r="F335" s="8">
        <f>(R335/$B335)+(R335/'Optimal Choice'!$B$21)</f>
        <v>12258.929103227423</v>
      </c>
      <c r="G335" s="8">
        <f>(S335/$B335)+(S335/'Optimal Choice'!$B$26)</f>
        <v>11248.581405483845</v>
      </c>
      <c r="I335" s="11">
        <f t="shared" ref="I335:M335" si="333">IF(MIN($C334:$G334)=C334,I334+1,I334)</f>
        <v>124</v>
      </c>
      <c r="J335" s="11">
        <f t="shared" si="333"/>
        <v>58</v>
      </c>
      <c r="K335" s="11">
        <f t="shared" si="333"/>
        <v>55</v>
      </c>
      <c r="L335" s="11">
        <f t="shared" si="333"/>
        <v>50</v>
      </c>
      <c r="M335" s="11">
        <f t="shared" si="333"/>
        <v>47</v>
      </c>
      <c r="O335" s="10">
        <f>'Optimal Choice'!$B$7*'Optimal Choice'!$B$8^(I335+1)</f>
        <v>18837.887630986592</v>
      </c>
      <c r="P335" s="10">
        <f>'Optimal Choice'!$B$12*'Optimal Choice'!$B$13^(J335+1)</f>
        <v>228730.36933864688</v>
      </c>
      <c r="Q335" s="10">
        <f>'Optimal Choice'!$B$17*'Optimal Choice'!$B$18^(K335+1)</f>
        <v>1106634.4128322399</v>
      </c>
      <c r="R335" s="10">
        <f>'Optimal Choice'!$B$22*'Optimal Choice'!$B$23^(L335+1)</f>
        <v>4400624.9845065884</v>
      </c>
      <c r="S335" s="10">
        <f>'Optimal Choice'!$B$27*'Optimal Choice'!$B$28^(M335+1)</f>
        <v>23886915.690030642</v>
      </c>
    </row>
    <row r="336" spans="1:19" ht="15.75" customHeight="1">
      <c r="A336" s="8">
        <f t="shared" si="0"/>
        <v>48.361581155592994</v>
      </c>
      <c r="B336" s="7">
        <f>(I336*'Optimal Choice'!$B$6+J336*'Optimal Choice'!$B$11+K336*'Optimal Choice'!$B$16+L336*'Optimal Choice'!$B$21+M336*'Optimal Choice'!$B$26)*'Optimal Choice'!$B$30</f>
        <v>127997.08</v>
      </c>
      <c r="C336" s="8">
        <f>(O336/$B336)+(O336/'Optimal Choice'!$B$6)</f>
        <v>11280.319408478239</v>
      </c>
      <c r="D336" s="8">
        <f>(P336/$B336)+(P336/'Optimal Choice'!$B$11)</f>
        <v>11438.305463708666</v>
      </c>
      <c r="E336" s="8">
        <f>(Q336/$B336)+(Q336/'Optimal Choice'!$B$16)</f>
        <v>12304.583698940298</v>
      </c>
      <c r="F336" s="8">
        <f>(R336/$B336)+(R336/'Optimal Choice'!$B$21)</f>
        <v>12258.338957296502</v>
      </c>
      <c r="G336" s="8">
        <f>(S336/$B336)+(S336/'Optimal Choice'!$B$26)</f>
        <v>12594.823416020297</v>
      </c>
      <c r="I336" s="11">
        <f t="shared" ref="I336:M336" si="334">IF(MIN($C335:$G335)=C335,I335+1,I335)</f>
        <v>124</v>
      </c>
      <c r="J336" s="11">
        <f t="shared" si="334"/>
        <v>58</v>
      </c>
      <c r="K336" s="11">
        <f t="shared" si="334"/>
        <v>55</v>
      </c>
      <c r="L336" s="11">
        <f t="shared" si="334"/>
        <v>50</v>
      </c>
      <c r="M336" s="11">
        <f t="shared" si="334"/>
        <v>48</v>
      </c>
      <c r="O336" s="10">
        <f>'Optimal Choice'!$B$7*'Optimal Choice'!$B$8^(I336+1)</f>
        <v>18837.887630986592</v>
      </c>
      <c r="P336" s="10">
        <f>'Optimal Choice'!$B$12*'Optimal Choice'!$B$13^(J336+1)</f>
        <v>228730.36933864688</v>
      </c>
      <c r="Q336" s="10">
        <f>'Optimal Choice'!$B$17*'Optimal Choice'!$B$18^(K336+1)</f>
        <v>1106634.4128322399</v>
      </c>
      <c r="R336" s="10">
        <f>'Optimal Choice'!$B$22*'Optimal Choice'!$B$23^(L336+1)</f>
        <v>4400624.9845065884</v>
      </c>
      <c r="S336" s="10">
        <f>'Optimal Choice'!$B$27*'Optimal Choice'!$B$28^(M336+1)</f>
        <v>26753345.57283432</v>
      </c>
    </row>
    <row r="337" spans="1:19" ht="15.75" customHeight="1">
      <c r="A337" s="8">
        <f t="shared" si="0"/>
        <v>48.364034061501862</v>
      </c>
      <c r="B337" s="7">
        <f>(I337*'Optimal Choice'!$B$6+J337*'Optimal Choice'!$B$11+K337*'Optimal Choice'!$B$16+L337*'Optimal Choice'!$B$21+M337*'Optimal Choice'!$B$26)*'Optimal Choice'!$B$30</f>
        <v>127998.75</v>
      </c>
      <c r="C337" s="8">
        <f>(O337/$B337)+(O337/'Optimal Choice'!$B$6)</f>
        <v>12069.94176501712</v>
      </c>
      <c r="D337" s="8">
        <f>(P337/$B337)+(P337/'Optimal Choice'!$B$11)</f>
        <v>11438.305440393715</v>
      </c>
      <c r="E337" s="8">
        <f>(Q337/$B337)+(Q337/'Optimal Choice'!$B$16)</f>
        <v>12304.583586138802</v>
      </c>
      <c r="F337" s="8">
        <f>(R337/$B337)+(R337/'Optimal Choice'!$B$21)</f>
        <v>12258.338508731858</v>
      </c>
      <c r="G337" s="8">
        <f>(S337/$B337)+(S337/'Optimal Choice'!$B$26)</f>
        <v>12594.82068899743</v>
      </c>
      <c r="I337" s="11">
        <f t="shared" ref="I337:M337" si="335">IF(MIN($C336:$G336)=C336,I336+1,I336)</f>
        <v>125</v>
      </c>
      <c r="J337" s="11">
        <f t="shared" si="335"/>
        <v>58</v>
      </c>
      <c r="K337" s="11">
        <f t="shared" si="335"/>
        <v>55</v>
      </c>
      <c r="L337" s="11">
        <f t="shared" si="335"/>
        <v>50</v>
      </c>
      <c r="M337" s="11">
        <f t="shared" si="335"/>
        <v>48</v>
      </c>
      <c r="O337" s="10">
        <f>'Optimal Choice'!$B$7*'Optimal Choice'!$B$8^(I337+1)</f>
        <v>20156.539765155652</v>
      </c>
      <c r="P337" s="10">
        <f>'Optimal Choice'!$B$12*'Optimal Choice'!$B$13^(J337+1)</f>
        <v>228730.36933864688</v>
      </c>
      <c r="Q337" s="10">
        <f>'Optimal Choice'!$B$17*'Optimal Choice'!$B$18^(K337+1)</f>
        <v>1106634.4128322399</v>
      </c>
      <c r="R337" s="10">
        <f>'Optimal Choice'!$B$22*'Optimal Choice'!$B$23^(L337+1)</f>
        <v>4400624.9845065884</v>
      </c>
      <c r="S337" s="10">
        <f>'Optimal Choice'!$B$27*'Optimal Choice'!$B$28^(M337+1)</f>
        <v>26753345.57283432</v>
      </c>
    </row>
    <row r="338" spans="1:19" ht="15.75" customHeight="1">
      <c r="A338" s="8">
        <f t="shared" si="0"/>
        <v>48.393816952524709</v>
      </c>
      <c r="B338" s="7">
        <f>(I338*'Optimal Choice'!$B$6+J338*'Optimal Choice'!$B$11+K338*'Optimal Choice'!$B$16+L338*'Optimal Choice'!$B$21+M338*'Optimal Choice'!$B$26)*'Optimal Choice'!$B$30</f>
        <v>128018.75</v>
      </c>
      <c r="C338" s="8">
        <f>(O338/$B338)+(O338/'Optimal Choice'!$B$6)</f>
        <v>12069.941740415332</v>
      </c>
      <c r="D338" s="8">
        <f>(P338/$B338)+(P338/'Optimal Choice'!$B$11)</f>
        <v>13154.050935403005</v>
      </c>
      <c r="E338" s="8">
        <f>(Q338/$B338)+(Q338/'Optimal Choice'!$B$16)</f>
        <v>12304.582235451378</v>
      </c>
      <c r="F338" s="8">
        <f>(R338/$B338)+(R338/'Optimal Choice'!$B$21)</f>
        <v>12258.333137609512</v>
      </c>
      <c r="G338" s="8">
        <f>(S338/$B338)+(S338/'Optimal Choice'!$B$26)</f>
        <v>12594.788035569174</v>
      </c>
      <c r="I338" s="11">
        <f t="shared" ref="I338:M338" si="336">IF(MIN($C337:$G337)=C337,I337+1,I337)</f>
        <v>125</v>
      </c>
      <c r="J338" s="11">
        <f t="shared" si="336"/>
        <v>59</v>
      </c>
      <c r="K338" s="11">
        <f t="shared" si="336"/>
        <v>55</v>
      </c>
      <c r="L338" s="11">
        <f t="shared" si="336"/>
        <v>50</v>
      </c>
      <c r="M338" s="11">
        <f t="shared" si="336"/>
        <v>48</v>
      </c>
      <c r="O338" s="10">
        <f>'Optimal Choice'!$B$7*'Optimal Choice'!$B$8^(I338+1)</f>
        <v>20156.539765155652</v>
      </c>
      <c r="P338" s="10">
        <f>'Optimal Choice'!$B$12*'Optimal Choice'!$B$13^(J338+1)</f>
        <v>263039.92473944387</v>
      </c>
      <c r="Q338" s="10">
        <f>'Optimal Choice'!$B$17*'Optimal Choice'!$B$18^(K338+1)</f>
        <v>1106634.4128322399</v>
      </c>
      <c r="R338" s="10">
        <f>'Optimal Choice'!$B$22*'Optimal Choice'!$B$23^(L338+1)</f>
        <v>4400624.9845065884</v>
      </c>
      <c r="S338" s="10">
        <f>'Optimal Choice'!$B$27*'Optimal Choice'!$B$28^(M338+1)</f>
        <v>26753345.57283432</v>
      </c>
    </row>
    <row r="339" spans="1:19" ht="15.75" customHeight="1">
      <c r="A339" s="8">
        <f t="shared" si="0"/>
        <v>48.39644111757412</v>
      </c>
      <c r="B339" s="7">
        <f>(I339*'Optimal Choice'!$B$6+J339*'Optimal Choice'!$B$11+K339*'Optimal Choice'!$B$16+L339*'Optimal Choice'!$B$21+M339*'Optimal Choice'!$B$26)*'Optimal Choice'!$B$30</f>
        <v>128020.42</v>
      </c>
      <c r="C339" s="8">
        <f>(O339/$B339)+(O339/'Optimal Choice'!$B$6)</f>
        <v>12914.837660046735</v>
      </c>
      <c r="D339" s="8">
        <f>(P339/$B339)+(P339/'Optimal Choice'!$B$11)</f>
        <v>13154.050908599887</v>
      </c>
      <c r="E339" s="8">
        <f>(Q339/$B339)+(Q339/'Optimal Choice'!$B$16)</f>
        <v>12304.582122688071</v>
      </c>
      <c r="F339" s="8">
        <f>(R339/$B339)+(R339/'Optimal Choice'!$B$21)</f>
        <v>12258.332689196712</v>
      </c>
      <c r="G339" s="8">
        <f>(S339/$B339)+(S339/'Optimal Choice'!$B$26)</f>
        <v>12594.785309469438</v>
      </c>
      <c r="I339" s="11">
        <f t="shared" ref="I339:M339" si="337">IF(MIN($C338:$G338)=C338,I338+1,I338)</f>
        <v>126</v>
      </c>
      <c r="J339" s="11">
        <f t="shared" si="337"/>
        <v>59</v>
      </c>
      <c r="K339" s="11">
        <f t="shared" si="337"/>
        <v>55</v>
      </c>
      <c r="L339" s="11">
        <f t="shared" si="337"/>
        <v>50</v>
      </c>
      <c r="M339" s="11">
        <f t="shared" si="337"/>
        <v>48</v>
      </c>
      <c r="O339" s="10">
        <f>'Optimal Choice'!$B$7*'Optimal Choice'!$B$8^(I339+1)</f>
        <v>21567.497548716554</v>
      </c>
      <c r="P339" s="10">
        <f>'Optimal Choice'!$B$12*'Optimal Choice'!$B$13^(J339+1)</f>
        <v>263039.92473944387</v>
      </c>
      <c r="Q339" s="10">
        <f>'Optimal Choice'!$B$17*'Optimal Choice'!$B$18^(K339+1)</f>
        <v>1106634.4128322399</v>
      </c>
      <c r="R339" s="10">
        <f>'Optimal Choice'!$B$22*'Optimal Choice'!$B$23^(L339+1)</f>
        <v>4400624.9845065884</v>
      </c>
      <c r="S339" s="10">
        <f>'Optimal Choice'!$B$27*'Optimal Choice'!$B$28^(M339+1)</f>
        <v>26753345.57283432</v>
      </c>
    </row>
    <row r="340" spans="1:19" ht="15.75" customHeight="1">
      <c r="A340" s="8">
        <f t="shared" si="0"/>
        <v>48.969347765918009</v>
      </c>
      <c r="B340" s="7">
        <f>(I340*'Optimal Choice'!$B$6+J340*'Optimal Choice'!$B$11+K340*'Optimal Choice'!$B$16+L340*'Optimal Choice'!$B$21+M340*'Optimal Choice'!$B$26)*'Optimal Choice'!$B$30</f>
        <v>128380.42</v>
      </c>
      <c r="C340" s="8">
        <f>(O340/$B340)+(O340/'Optimal Choice'!$B$6)</f>
        <v>12914.837187631148</v>
      </c>
      <c r="D340" s="8">
        <f>(P340/$B340)+(P340/'Optimal Choice'!$B$11)</f>
        <v>13154.04514695971</v>
      </c>
      <c r="E340" s="8">
        <f>(Q340/$B340)+(Q340/'Optimal Choice'!$B$16)</f>
        <v>12304.557882910394</v>
      </c>
      <c r="F340" s="8">
        <f>(R340/$B340)+(R340/'Optimal Choice'!$B$21)</f>
        <v>13851.807016376601</v>
      </c>
      <c r="G340" s="8">
        <f>(S340/$B340)+(S340/'Optimal Choice'!$B$26)</f>
        <v>12594.199302797992</v>
      </c>
      <c r="I340" s="11">
        <f t="shared" ref="I340:M340" si="338">IF(MIN($C339:$G339)=C339,I339+1,I339)</f>
        <v>126</v>
      </c>
      <c r="J340" s="11">
        <f t="shared" si="338"/>
        <v>59</v>
      </c>
      <c r="K340" s="11">
        <f t="shared" si="338"/>
        <v>55</v>
      </c>
      <c r="L340" s="11">
        <f t="shared" si="338"/>
        <v>51</v>
      </c>
      <c r="M340" s="11">
        <f t="shared" si="338"/>
        <v>48</v>
      </c>
      <c r="O340" s="10">
        <f>'Optimal Choice'!$B$7*'Optimal Choice'!$B$8^(I340+1)</f>
        <v>21567.497548716554</v>
      </c>
      <c r="P340" s="10">
        <f>'Optimal Choice'!$B$12*'Optimal Choice'!$B$13^(J340+1)</f>
        <v>263039.92473944387</v>
      </c>
      <c r="Q340" s="10">
        <f>'Optimal Choice'!$B$17*'Optimal Choice'!$B$18^(K340+1)</f>
        <v>1106634.4128322399</v>
      </c>
      <c r="R340" s="10">
        <f>'Optimal Choice'!$B$22*'Optimal Choice'!$B$23^(L340+1)</f>
        <v>4972706.2324924441</v>
      </c>
      <c r="S340" s="10">
        <f>'Optimal Choice'!$B$27*'Optimal Choice'!$B$28^(M340+1)</f>
        <v>26753345.57283432</v>
      </c>
    </row>
    <row r="341" spans="1:19" ht="15.75" customHeight="1">
      <c r="A341" s="8">
        <f t="shared" si="0"/>
        <v>49.113013808454227</v>
      </c>
      <c r="B341" s="7">
        <f>(I341*'Optimal Choice'!$B$6+J341*'Optimal Choice'!$B$11+K341*'Optimal Choice'!$B$16+L341*'Optimal Choice'!$B$21+M341*'Optimal Choice'!$B$26)*'Optimal Choice'!$B$30</f>
        <v>128470.42</v>
      </c>
      <c r="C341" s="8">
        <f>(O341/$B341)+(O341/'Optimal Choice'!$B$6)</f>
        <v>12914.837069940939</v>
      </c>
      <c r="D341" s="8">
        <f>(P341/$B341)+(P341/'Optimal Choice'!$B$11)</f>
        <v>13154.043711595064</v>
      </c>
      <c r="E341" s="8">
        <f>(Q341/$B341)+(Q341/'Optimal Choice'!$B$16)</f>
        <v>14027.1891023794</v>
      </c>
      <c r="F341" s="8">
        <f>(R341/$B341)+(R341/'Optimal Choice'!$B$21)</f>
        <v>13851.779881154727</v>
      </c>
      <c r="G341" s="8">
        <f>(S341/$B341)+(S341/'Optimal Choice'!$B$26)</f>
        <v>12594.053314289116</v>
      </c>
      <c r="I341" s="11">
        <f t="shared" ref="I341:M341" si="339">IF(MIN($C340:$G340)=C340,I340+1,I340)</f>
        <v>126</v>
      </c>
      <c r="J341" s="11">
        <f t="shared" si="339"/>
        <v>59</v>
      </c>
      <c r="K341" s="11">
        <f t="shared" si="339"/>
        <v>56</v>
      </c>
      <c r="L341" s="11">
        <f t="shared" si="339"/>
        <v>51</v>
      </c>
      <c r="M341" s="11">
        <f t="shared" si="339"/>
        <v>48</v>
      </c>
      <c r="O341" s="10">
        <f>'Optimal Choice'!$B$7*'Optimal Choice'!$B$8^(I341+1)</f>
        <v>21567.497548716554</v>
      </c>
      <c r="P341" s="10">
        <f>'Optimal Choice'!$B$12*'Optimal Choice'!$B$13^(J341+1)</f>
        <v>263039.92473944387</v>
      </c>
      <c r="Q341" s="10">
        <f>'Optimal Choice'!$B$17*'Optimal Choice'!$B$18^(K341+1)</f>
        <v>1261563.2306287533</v>
      </c>
      <c r="R341" s="10">
        <f>'Optimal Choice'!$B$22*'Optimal Choice'!$B$23^(L341+1)</f>
        <v>4972706.2324924441</v>
      </c>
      <c r="S341" s="10">
        <f>'Optimal Choice'!$B$27*'Optimal Choice'!$B$28^(M341+1)</f>
        <v>26753345.57283432</v>
      </c>
    </row>
    <row r="342" spans="1:19" ht="15.75" customHeight="1">
      <c r="A342" s="8">
        <f t="shared" si="0"/>
        <v>52.583766787082084</v>
      </c>
      <c r="B342" s="7">
        <f>(I342*'Optimal Choice'!$B$6+J342*'Optimal Choice'!$B$11+K342*'Optimal Choice'!$B$16+L342*'Optimal Choice'!$B$21+M342*'Optimal Choice'!$B$26)*'Optimal Choice'!$B$30</f>
        <v>130630.42</v>
      </c>
      <c r="C342" s="8">
        <f>(O342/$B342)+(O342/'Optimal Choice'!$B$6)</f>
        <v>12914.834294026721</v>
      </c>
      <c r="D342" s="8">
        <f>(P342/$B342)+(P342/'Optimal Choice'!$B$11)</f>
        <v>13154.009856194572</v>
      </c>
      <c r="E342" s="8">
        <f>(Q342/$B342)+(Q342/'Optimal Choice'!$B$16)</f>
        <v>14027.026728821622</v>
      </c>
      <c r="F342" s="8">
        <f>(R342/$B342)+(R342/'Optimal Choice'!$B$21)</f>
        <v>13851.139852987171</v>
      </c>
      <c r="G342" s="8">
        <f>(S342/$B342)+(S342/'Optimal Choice'!$B$26)</f>
        <v>14101.483131458839</v>
      </c>
      <c r="I342" s="11">
        <f t="shared" ref="I342:M342" si="340">IF(MIN($C341:$G341)=C341,I341+1,I341)</f>
        <v>126</v>
      </c>
      <c r="J342" s="11">
        <f t="shared" si="340"/>
        <v>59</v>
      </c>
      <c r="K342" s="11">
        <f t="shared" si="340"/>
        <v>56</v>
      </c>
      <c r="L342" s="11">
        <f t="shared" si="340"/>
        <v>51</v>
      </c>
      <c r="M342" s="11">
        <f t="shared" si="340"/>
        <v>49</v>
      </c>
      <c r="O342" s="10">
        <f>'Optimal Choice'!$B$7*'Optimal Choice'!$B$8^(I342+1)</f>
        <v>21567.497548716554</v>
      </c>
      <c r="P342" s="10">
        <f>'Optimal Choice'!$B$12*'Optimal Choice'!$B$13^(J342+1)</f>
        <v>263039.92473944387</v>
      </c>
      <c r="Q342" s="10">
        <f>'Optimal Choice'!$B$17*'Optimal Choice'!$B$18^(K342+1)</f>
        <v>1261563.2306287533</v>
      </c>
      <c r="R342" s="10">
        <f>'Optimal Choice'!$B$22*'Optimal Choice'!$B$23^(L342+1)</f>
        <v>4972706.2324924441</v>
      </c>
      <c r="S342" s="10">
        <f>'Optimal Choice'!$B$27*'Optimal Choice'!$B$28^(M342+1)</f>
        <v>29963747.041574445</v>
      </c>
    </row>
    <row r="343" spans="1:19" ht="15.75" customHeight="1">
      <c r="A343" s="8">
        <f t="shared" si="0"/>
        <v>52.586518506723486</v>
      </c>
      <c r="B343" s="7">
        <f>(I343*'Optimal Choice'!$B$6+J343*'Optimal Choice'!$B$11+K343*'Optimal Choice'!$B$16+L343*'Optimal Choice'!$B$21+M343*'Optimal Choice'!$B$26)*'Optimal Choice'!$B$30</f>
        <v>130632.09</v>
      </c>
      <c r="C343" s="8">
        <f>(O343/$B343)+(O343/'Optimal Choice'!$B$6)</f>
        <v>13818.872692350164</v>
      </c>
      <c r="D343" s="8">
        <f>(P343/$B343)+(P343/'Optimal Choice'!$B$11)</f>
        <v>13154.009830452474</v>
      </c>
      <c r="E343" s="8">
        <f>(Q343/$B343)+(Q343/'Optimal Choice'!$B$16)</f>
        <v>14027.026605360194</v>
      </c>
      <c r="F343" s="8">
        <f>(R343/$B343)+(R343/'Optimal Choice'!$B$21)</f>
        <v>13851.139366339023</v>
      </c>
      <c r="G343" s="8">
        <f>(S343/$B343)+(S343/'Optimal Choice'!$B$26)</f>
        <v>14101.480199091358</v>
      </c>
      <c r="I343" s="11">
        <f t="shared" ref="I343:M343" si="341">IF(MIN($C342:$G342)=C342,I342+1,I342)</f>
        <v>127</v>
      </c>
      <c r="J343" s="11">
        <f t="shared" si="341"/>
        <v>59</v>
      </c>
      <c r="K343" s="11">
        <f t="shared" si="341"/>
        <v>56</v>
      </c>
      <c r="L343" s="11">
        <f t="shared" si="341"/>
        <v>51</v>
      </c>
      <c r="M343" s="11">
        <f t="shared" si="341"/>
        <v>49</v>
      </c>
      <c r="O343" s="10">
        <f>'Optimal Choice'!$B$7*'Optimal Choice'!$B$8^(I343+1)</f>
        <v>23077.222377126709</v>
      </c>
      <c r="P343" s="10">
        <f>'Optimal Choice'!$B$12*'Optimal Choice'!$B$13^(J343+1)</f>
        <v>263039.92473944387</v>
      </c>
      <c r="Q343" s="10">
        <f>'Optimal Choice'!$B$17*'Optimal Choice'!$B$18^(K343+1)</f>
        <v>1261563.2306287533</v>
      </c>
      <c r="R343" s="10">
        <f>'Optimal Choice'!$B$22*'Optimal Choice'!$B$23^(L343+1)</f>
        <v>4972706.2324924441</v>
      </c>
      <c r="S343" s="10">
        <f>'Optimal Choice'!$B$27*'Optimal Choice'!$B$28^(M343+1)</f>
        <v>29963747.041574445</v>
      </c>
    </row>
    <row r="344" spans="1:19" ht="15.75" customHeight="1">
      <c r="A344" s="8">
        <f t="shared" si="0"/>
        <v>52.620078398061501</v>
      </c>
      <c r="B344" s="7">
        <f>(I344*'Optimal Choice'!$B$6+J344*'Optimal Choice'!$B$11+K344*'Optimal Choice'!$B$16+L344*'Optimal Choice'!$B$21+M344*'Optimal Choice'!$B$26)*'Optimal Choice'!$B$30</f>
        <v>130652.09</v>
      </c>
      <c r="C344" s="8">
        <f>(O344/$B344)+(O344/'Optimal Choice'!$B$6)</f>
        <v>13818.872665307636</v>
      </c>
      <c r="D344" s="8">
        <f>(P344/$B344)+(P344/'Optimal Choice'!$B$11)</f>
        <v>15127.110950547256</v>
      </c>
      <c r="E344" s="8">
        <f>(Q344/$B344)+(Q344/'Optimal Choice'!$B$16)</f>
        <v>14027.025127025458</v>
      </c>
      <c r="F344" s="8">
        <f>(R344/$B344)+(R344/'Optimal Choice'!$B$21)</f>
        <v>13851.133539184126</v>
      </c>
      <c r="G344" s="8">
        <f>(S344/$B344)+(S344/'Optimal Choice'!$B$26)</f>
        <v>14101.445086742639</v>
      </c>
      <c r="I344" s="11">
        <f t="shared" ref="I344:M344" si="342">IF(MIN($C343:$G343)=C343,I343+1,I343)</f>
        <v>127</v>
      </c>
      <c r="J344" s="11">
        <f t="shared" si="342"/>
        <v>60</v>
      </c>
      <c r="K344" s="11">
        <f t="shared" si="342"/>
        <v>56</v>
      </c>
      <c r="L344" s="11">
        <f t="shared" si="342"/>
        <v>51</v>
      </c>
      <c r="M344" s="11">
        <f t="shared" si="342"/>
        <v>49</v>
      </c>
      <c r="O344" s="10">
        <f>'Optimal Choice'!$B$7*'Optimal Choice'!$B$8^(I344+1)</f>
        <v>23077.222377126709</v>
      </c>
      <c r="P344" s="10">
        <f>'Optimal Choice'!$B$12*'Optimal Choice'!$B$13^(J344+1)</f>
        <v>302495.91345036047</v>
      </c>
      <c r="Q344" s="10">
        <f>'Optimal Choice'!$B$17*'Optimal Choice'!$B$18^(K344+1)</f>
        <v>1261563.2306287533</v>
      </c>
      <c r="R344" s="10">
        <f>'Optimal Choice'!$B$22*'Optimal Choice'!$B$23^(L344+1)</f>
        <v>4972706.2324924441</v>
      </c>
      <c r="S344" s="10">
        <f>'Optimal Choice'!$B$27*'Optimal Choice'!$B$28^(M344+1)</f>
        <v>29963747.041574445</v>
      </c>
    </row>
    <row r="345" spans="1:19" ht="15.75" customHeight="1">
      <c r="A345" s="8">
        <f t="shared" si="0"/>
        <v>52.623022249728564</v>
      </c>
      <c r="B345" s="7">
        <f>(I345*'Optimal Choice'!$B$6+J345*'Optimal Choice'!$B$11+K345*'Optimal Choice'!$B$16+L345*'Optimal Choice'!$B$21+M345*'Optimal Choice'!$B$26)*'Optimal Choice'!$B$30</f>
        <v>130653.76000000001</v>
      </c>
      <c r="C345" s="8">
        <f>(O345/$B345)+(O345/'Optimal Choice'!$B$6)</f>
        <v>14786.193749463455</v>
      </c>
      <c r="D345" s="8">
        <f>(P345/$B345)+(P345/'Optimal Choice'!$B$11)</f>
        <v>15127.110920953663</v>
      </c>
      <c r="E345" s="8">
        <f>(Q345/$B345)+(Q345/'Optimal Choice'!$B$16)</f>
        <v>14027.02500360498</v>
      </c>
      <c r="F345" s="8">
        <f>(R345/$B345)+(R345/'Optimal Choice'!$B$21)</f>
        <v>13851.133052697392</v>
      </c>
      <c r="G345" s="8">
        <f>(S345/$B345)+(S345/'Optimal Choice'!$B$26)</f>
        <v>14101.442155347797</v>
      </c>
      <c r="I345" s="11">
        <f t="shared" ref="I345:M345" si="343">IF(MIN($C344:$G344)=C344,I344+1,I344)</f>
        <v>128</v>
      </c>
      <c r="J345" s="11">
        <f t="shared" si="343"/>
        <v>60</v>
      </c>
      <c r="K345" s="11">
        <f t="shared" si="343"/>
        <v>56</v>
      </c>
      <c r="L345" s="11">
        <f t="shared" si="343"/>
        <v>51</v>
      </c>
      <c r="M345" s="11">
        <f t="shared" si="343"/>
        <v>49</v>
      </c>
      <c r="O345" s="10">
        <f>'Optimal Choice'!$B$7*'Optimal Choice'!$B$8^(I345+1)</f>
        <v>24692.627943525578</v>
      </c>
      <c r="P345" s="10">
        <f>'Optimal Choice'!$B$12*'Optimal Choice'!$B$13^(J345+1)</f>
        <v>302495.91345036047</v>
      </c>
      <c r="Q345" s="10">
        <f>'Optimal Choice'!$B$17*'Optimal Choice'!$B$18^(K345+1)</f>
        <v>1261563.2306287533</v>
      </c>
      <c r="R345" s="10">
        <f>'Optimal Choice'!$B$22*'Optimal Choice'!$B$23^(L345+1)</f>
        <v>4972706.2324924441</v>
      </c>
      <c r="S345" s="10">
        <f>'Optimal Choice'!$B$27*'Optimal Choice'!$B$28^(M345+1)</f>
        <v>29963747.041574445</v>
      </c>
    </row>
    <row r="346" spans="1:19" ht="15.75" customHeight="1">
      <c r="A346" s="8">
        <f t="shared" si="0"/>
        <v>53.257358660775651</v>
      </c>
      <c r="B346" s="7">
        <f>(I346*'Optimal Choice'!$B$6+J346*'Optimal Choice'!$B$11+K346*'Optimal Choice'!$B$16+L346*'Optimal Choice'!$B$21+M346*'Optimal Choice'!$B$26)*'Optimal Choice'!$B$30</f>
        <v>131013.76000000001</v>
      </c>
      <c r="C346" s="8">
        <f>(O346/$B346)+(O346/'Optimal Choice'!$B$6)</f>
        <v>14786.193230148308</v>
      </c>
      <c r="D346" s="8">
        <f>(P346/$B346)+(P346/'Optimal Choice'!$B$11)</f>
        <v>15127.104559107114</v>
      </c>
      <c r="E346" s="8">
        <f>(Q346/$B346)+(Q346/'Optimal Choice'!$B$16)</f>
        <v>14026.99847143933</v>
      </c>
      <c r="F346" s="8">
        <f>(R346/$B346)+(R346/'Optimal Choice'!$B$21)</f>
        <v>15651.662172013715</v>
      </c>
      <c r="G346" s="8">
        <f>(S346/$B346)+(S346/'Optimal Choice'!$B$26)</f>
        <v>14100.811982336481</v>
      </c>
      <c r="I346" s="11">
        <f t="shared" ref="I346:M346" si="344">IF(MIN($C345:$G345)=C345,I345+1,I345)</f>
        <v>128</v>
      </c>
      <c r="J346" s="11">
        <f t="shared" si="344"/>
        <v>60</v>
      </c>
      <c r="K346" s="11">
        <f t="shared" si="344"/>
        <v>56</v>
      </c>
      <c r="L346" s="11">
        <f t="shared" si="344"/>
        <v>52</v>
      </c>
      <c r="M346" s="11">
        <f t="shared" si="344"/>
        <v>49</v>
      </c>
      <c r="O346" s="10">
        <f>'Optimal Choice'!$B$7*'Optimal Choice'!$B$8^(I346+1)</f>
        <v>24692.627943525578</v>
      </c>
      <c r="P346" s="10">
        <f>'Optimal Choice'!$B$12*'Optimal Choice'!$B$13^(J346+1)</f>
        <v>302495.91345036047</v>
      </c>
      <c r="Q346" s="10">
        <f>'Optimal Choice'!$B$17*'Optimal Choice'!$B$18^(K346+1)</f>
        <v>1261563.2306287533</v>
      </c>
      <c r="R346" s="10">
        <f>'Optimal Choice'!$B$22*'Optimal Choice'!$B$23^(L346+1)</f>
        <v>5619158.0427164612</v>
      </c>
      <c r="S346" s="10">
        <f>'Optimal Choice'!$B$27*'Optimal Choice'!$B$28^(M346+1)</f>
        <v>29963747.041574445</v>
      </c>
    </row>
    <row r="347" spans="1:19" ht="15.75" customHeight="1">
      <c r="A347" s="8">
        <f t="shared" si="0"/>
        <v>53.417846031291639</v>
      </c>
      <c r="B347" s="7">
        <f>(I347*'Optimal Choice'!$B$6+J347*'Optimal Choice'!$B$11+K347*'Optimal Choice'!$B$16+L347*'Optimal Choice'!$B$21+M347*'Optimal Choice'!$B$26)*'Optimal Choice'!$B$30</f>
        <v>131103.76</v>
      </c>
      <c r="C347" s="8">
        <f>(O347/$B347)+(O347/'Optimal Choice'!$B$6)</f>
        <v>14786.193100765146</v>
      </c>
      <c r="D347" s="8">
        <f>(P347/$B347)+(P347/'Optimal Choice'!$B$11)</f>
        <v>15127.102974104571</v>
      </c>
      <c r="E347" s="8">
        <f>(Q347/$B347)+(Q347/'Optimal Choice'!$B$16)</f>
        <v>15990.770721728262</v>
      </c>
      <c r="F347" s="8">
        <f>(R347/$B347)+(R347/'Optimal Choice'!$B$21)</f>
        <v>15651.632729038151</v>
      </c>
      <c r="G347" s="8">
        <f>(S347/$B347)+(S347/'Optimal Choice'!$B$26)</f>
        <v>14100.654979834459</v>
      </c>
      <c r="I347" s="11">
        <f t="shared" ref="I347:M347" si="345">IF(MIN($C346:$G346)=C346,I346+1,I346)</f>
        <v>128</v>
      </c>
      <c r="J347" s="11">
        <f t="shared" si="345"/>
        <v>60</v>
      </c>
      <c r="K347" s="11">
        <f t="shared" si="345"/>
        <v>57</v>
      </c>
      <c r="L347" s="11">
        <f t="shared" si="345"/>
        <v>52</v>
      </c>
      <c r="M347" s="11">
        <f t="shared" si="345"/>
        <v>49</v>
      </c>
      <c r="O347" s="10">
        <f>'Optimal Choice'!$B$7*'Optimal Choice'!$B$8^(I347+1)</f>
        <v>24692.627943525578</v>
      </c>
      <c r="P347" s="10">
        <f>'Optimal Choice'!$B$12*'Optimal Choice'!$B$13^(J347+1)</f>
        <v>302495.91345036047</v>
      </c>
      <c r="Q347" s="10">
        <f>'Optimal Choice'!$B$17*'Optimal Choice'!$B$18^(K347+1)</f>
        <v>1438182.082916779</v>
      </c>
      <c r="R347" s="10">
        <f>'Optimal Choice'!$B$22*'Optimal Choice'!$B$23^(L347+1)</f>
        <v>5619158.0427164612</v>
      </c>
      <c r="S347" s="10">
        <f>'Optimal Choice'!$B$27*'Optimal Choice'!$B$28^(M347+1)</f>
        <v>29963747.041574445</v>
      </c>
    </row>
    <row r="348" spans="1:19" ht="15.75" customHeight="1">
      <c r="A348" s="8">
        <f t="shared" si="0"/>
        <v>57.227010497865599</v>
      </c>
      <c r="B348" s="7">
        <f>(I348*'Optimal Choice'!$B$6+J348*'Optimal Choice'!$B$11+K348*'Optimal Choice'!$B$16+L348*'Optimal Choice'!$B$21+M348*'Optimal Choice'!$B$26)*'Optimal Choice'!$B$30</f>
        <v>133263.76</v>
      </c>
      <c r="C348" s="8">
        <f>(O348/$B348)+(O348/'Optimal Choice'!$B$6)</f>
        <v>14786.19004799677</v>
      </c>
      <c r="D348" s="8">
        <f>(P348/$B348)+(P348/'Optimal Choice'!$B$11)</f>
        <v>15127.065576304696</v>
      </c>
      <c r="E348" s="8">
        <f>(Q348/$B348)+(Q348/'Optimal Choice'!$B$16)</f>
        <v>15990.592918183396</v>
      </c>
      <c r="F348" s="8">
        <f>(R348/$B348)+(R348/'Optimal Choice'!$B$21)</f>
        <v>15650.938028255105</v>
      </c>
      <c r="G348" s="8">
        <f>(S348/$B348)+(S348/'Optimal Choice'!$B$26)</f>
        <v>15788.584603675206</v>
      </c>
      <c r="I348" s="11">
        <f t="shared" ref="I348:M348" si="346">IF(MIN($C347:$G347)=C347,I347+1,I347)</f>
        <v>128</v>
      </c>
      <c r="J348" s="11">
        <f t="shared" si="346"/>
        <v>60</v>
      </c>
      <c r="K348" s="11">
        <f t="shared" si="346"/>
        <v>57</v>
      </c>
      <c r="L348" s="11">
        <f t="shared" si="346"/>
        <v>52</v>
      </c>
      <c r="M348" s="11">
        <f t="shared" si="346"/>
        <v>50</v>
      </c>
      <c r="O348" s="10">
        <f>'Optimal Choice'!$B$7*'Optimal Choice'!$B$8^(I348+1)</f>
        <v>24692.627943525578</v>
      </c>
      <c r="P348" s="10">
        <f>'Optimal Choice'!$B$12*'Optimal Choice'!$B$13^(J348+1)</f>
        <v>302495.91345036047</v>
      </c>
      <c r="Q348" s="10">
        <f>'Optimal Choice'!$B$17*'Optimal Choice'!$B$18^(K348+1)</f>
        <v>1438182.082916779</v>
      </c>
      <c r="R348" s="10">
        <f>'Optimal Choice'!$B$22*'Optimal Choice'!$B$23^(L348+1)</f>
        <v>5619158.0427164612</v>
      </c>
      <c r="S348" s="10">
        <f>'Optimal Choice'!$B$27*'Optimal Choice'!$B$28^(M348+1)</f>
        <v>33559396.68656338</v>
      </c>
    </row>
    <row r="349" spans="1:19" ht="15.75" customHeight="1">
      <c r="A349" s="8">
        <f t="shared" si="0"/>
        <v>57.230098687776035</v>
      </c>
      <c r="B349" s="7">
        <f>(I349*'Optimal Choice'!$B$6+J349*'Optimal Choice'!$B$11+K349*'Optimal Choice'!$B$16+L349*'Optimal Choice'!$B$21+M349*'Optimal Choice'!$B$26)*'Optimal Choice'!$B$30</f>
        <v>133265.43</v>
      </c>
      <c r="C349" s="8">
        <f>(O349/$B349)+(O349/'Optimal Choice'!$B$6)</f>
        <v>15821.22334887205</v>
      </c>
      <c r="D349" s="8">
        <f>(P349/$B349)+(P349/'Optimal Choice'!$B$11)</f>
        <v>15127.065547859665</v>
      </c>
      <c r="E349" s="8">
        <f>(Q349/$B349)+(Q349/'Optimal Choice'!$B$16)</f>
        <v>15990.592782944761</v>
      </c>
      <c r="F349" s="8">
        <f>(R349/$B349)+(R349/'Optimal Choice'!$B$21)</f>
        <v>15650.937499860773</v>
      </c>
      <c r="G349" s="8">
        <f>(S349/$B349)+(S349/'Optimal Choice'!$B$26)</f>
        <v>15788.581447936416</v>
      </c>
      <c r="I349" s="11">
        <f t="shared" ref="I349:M349" si="347">IF(MIN($C348:$G348)=C348,I348+1,I348)</f>
        <v>129</v>
      </c>
      <c r="J349" s="11">
        <f t="shared" si="347"/>
        <v>60</v>
      </c>
      <c r="K349" s="11">
        <f t="shared" si="347"/>
        <v>57</v>
      </c>
      <c r="L349" s="11">
        <f t="shared" si="347"/>
        <v>52</v>
      </c>
      <c r="M349" s="11">
        <f t="shared" si="347"/>
        <v>50</v>
      </c>
      <c r="O349" s="10">
        <f>'Optimal Choice'!$B$7*'Optimal Choice'!$B$8^(I349+1)</f>
        <v>26421.11189957237</v>
      </c>
      <c r="P349" s="10">
        <f>'Optimal Choice'!$B$12*'Optimal Choice'!$B$13^(J349+1)</f>
        <v>302495.91345036047</v>
      </c>
      <c r="Q349" s="10">
        <f>'Optimal Choice'!$B$17*'Optimal Choice'!$B$18^(K349+1)</f>
        <v>1438182.082916779</v>
      </c>
      <c r="R349" s="10">
        <f>'Optimal Choice'!$B$22*'Optimal Choice'!$B$23^(L349+1)</f>
        <v>5619158.0427164612</v>
      </c>
      <c r="S349" s="10">
        <f>'Optimal Choice'!$B$27*'Optimal Choice'!$B$28^(M349+1)</f>
        <v>33559396.68656338</v>
      </c>
    </row>
    <row r="350" spans="1:19" ht="15.75" customHeight="1">
      <c r="A350" s="8">
        <f t="shared" si="0"/>
        <v>57.267929943470072</v>
      </c>
      <c r="B350" s="7">
        <f>(I350*'Optimal Choice'!$B$6+J350*'Optimal Choice'!$B$11+K350*'Optimal Choice'!$B$16+L350*'Optimal Choice'!$B$21+M350*'Optimal Choice'!$B$26)*'Optimal Choice'!$B$30</f>
        <v>133285.43</v>
      </c>
      <c r="C350" s="8">
        <f>(O350/$B350)+(O350/'Optimal Choice'!$B$6)</f>
        <v>15821.223319122466</v>
      </c>
      <c r="D350" s="8">
        <f>(P350/$B350)+(P350/'Optimal Choice'!$B$11)</f>
        <v>17396.124988344396</v>
      </c>
      <c r="E350" s="8">
        <f>(Q350/$B350)+(Q350/'Optimal Choice'!$B$16)</f>
        <v>15990.591163583718</v>
      </c>
      <c r="F350" s="8">
        <f>(R350/$B350)+(R350/'Optimal Choice'!$B$21)</f>
        <v>15650.931172813776</v>
      </c>
      <c r="G350" s="8">
        <f>(S350/$B350)+(S350/'Optimal Choice'!$B$26)</f>
        <v>15788.543660802041</v>
      </c>
      <c r="I350" s="11">
        <f t="shared" ref="I350:M350" si="348">IF(MIN($C349:$G349)=C349,I349+1,I349)</f>
        <v>129</v>
      </c>
      <c r="J350" s="11">
        <f t="shared" si="348"/>
        <v>61</v>
      </c>
      <c r="K350" s="11">
        <f t="shared" si="348"/>
        <v>57</v>
      </c>
      <c r="L350" s="11">
        <f t="shared" si="348"/>
        <v>52</v>
      </c>
      <c r="M350" s="11">
        <f t="shared" si="348"/>
        <v>50</v>
      </c>
      <c r="O350" s="10">
        <f>'Optimal Choice'!$B$7*'Optimal Choice'!$B$8^(I350+1)</f>
        <v>26421.11189957237</v>
      </c>
      <c r="P350" s="10">
        <f>'Optimal Choice'!$B$12*'Optimal Choice'!$B$13^(J350+1)</f>
        <v>347870.30046791455</v>
      </c>
      <c r="Q350" s="10">
        <f>'Optimal Choice'!$B$17*'Optimal Choice'!$B$18^(K350+1)</f>
        <v>1438182.082916779</v>
      </c>
      <c r="R350" s="10">
        <f>'Optimal Choice'!$B$22*'Optimal Choice'!$B$23^(L350+1)</f>
        <v>5619158.0427164612</v>
      </c>
      <c r="S350" s="10">
        <f>'Optimal Choice'!$B$27*'Optimal Choice'!$B$28^(M350+1)</f>
        <v>33559396.68656338</v>
      </c>
    </row>
    <row r="351" spans="1:19" ht="15.75" customHeight="1">
      <c r="A351" s="8">
        <f t="shared" si="0"/>
        <v>57.97057714238202</v>
      </c>
      <c r="B351" s="7">
        <f>(I351*'Optimal Choice'!$B$6+J351*'Optimal Choice'!$B$11+K351*'Optimal Choice'!$B$16+L351*'Optimal Choice'!$B$21+M351*'Optimal Choice'!$B$26)*'Optimal Choice'!$B$30</f>
        <v>133645.43</v>
      </c>
      <c r="C351" s="8">
        <f>(O351/$B351)+(O351/'Optimal Choice'!$B$6)</f>
        <v>15821.222785152537</v>
      </c>
      <c r="D351" s="8">
        <f>(P351/$B351)+(P351/'Optimal Choice'!$B$11)</f>
        <v>17396.117957895382</v>
      </c>
      <c r="E351" s="8">
        <f>(Q351/$B351)+(Q351/'Optimal Choice'!$B$16)</f>
        <v>15990.562097964168</v>
      </c>
      <c r="F351" s="8">
        <f>(R351/$B351)+(R351/'Optimal Choice'!$B$21)</f>
        <v>17685.423899059719</v>
      </c>
      <c r="G351" s="8">
        <f>(S351/$B351)+(S351/'Optimal Choice'!$B$26)</f>
        <v>15787.86542633645</v>
      </c>
      <c r="I351" s="11">
        <f t="shared" ref="I351:M351" si="349">IF(MIN($C350:$G350)=C350,I350+1,I350)</f>
        <v>129</v>
      </c>
      <c r="J351" s="11">
        <f t="shared" si="349"/>
        <v>61</v>
      </c>
      <c r="K351" s="11">
        <f t="shared" si="349"/>
        <v>57</v>
      </c>
      <c r="L351" s="11">
        <f t="shared" si="349"/>
        <v>53</v>
      </c>
      <c r="M351" s="11">
        <f t="shared" si="349"/>
        <v>50</v>
      </c>
      <c r="O351" s="10">
        <f>'Optimal Choice'!$B$7*'Optimal Choice'!$B$8^(I351+1)</f>
        <v>26421.11189957237</v>
      </c>
      <c r="P351" s="10">
        <f>'Optimal Choice'!$B$12*'Optimal Choice'!$B$13^(J351+1)</f>
        <v>347870.30046791455</v>
      </c>
      <c r="Q351" s="10">
        <f>'Optimal Choice'!$B$17*'Optimal Choice'!$B$18^(K351+1)</f>
        <v>1438182.082916779</v>
      </c>
      <c r="R351" s="10">
        <f>'Optimal Choice'!$B$22*'Optimal Choice'!$B$23^(L351+1)</f>
        <v>6349648.5882695997</v>
      </c>
      <c r="S351" s="10">
        <f>'Optimal Choice'!$B$27*'Optimal Choice'!$B$28^(M351+1)</f>
        <v>33559396.68656338</v>
      </c>
    </row>
    <row r="352" spans="1:19" ht="15.75" customHeight="1">
      <c r="A352" s="8">
        <f t="shared" si="0"/>
        <v>62.155705493642436</v>
      </c>
      <c r="B352" s="7">
        <f>(I352*'Optimal Choice'!$B$6+J352*'Optimal Choice'!$B$11+K352*'Optimal Choice'!$B$16+L352*'Optimal Choice'!$B$21+M352*'Optimal Choice'!$B$26)*'Optimal Choice'!$B$30</f>
        <v>135805.43</v>
      </c>
      <c r="C352" s="8">
        <f>(O352/$B352)+(O352/'Optimal Choice'!$B$6)</f>
        <v>15821.2196407829</v>
      </c>
      <c r="D352" s="8">
        <f>(P352/$B352)+(P352/'Optimal Choice'!$B$11)</f>
        <v>17396.076557941644</v>
      </c>
      <c r="E352" s="8">
        <f>(Q352/$B352)+(Q352/'Optimal Choice'!$B$16)</f>
        <v>15990.390940289546</v>
      </c>
      <c r="F352" s="8">
        <f>(R352/$B352)+(R352/'Optimal Choice'!$B$21)</f>
        <v>17684.668229037161</v>
      </c>
      <c r="G352" s="8">
        <f>(S352/$B352)+(S352/'Optimal Choice'!$B$26)</f>
        <v>17677.936115043434</v>
      </c>
      <c r="I352" s="11">
        <f t="shared" ref="I352:M352" si="350">IF(MIN($C351:$G351)=C351,I351+1,I351)</f>
        <v>129</v>
      </c>
      <c r="J352" s="11">
        <f t="shared" si="350"/>
        <v>61</v>
      </c>
      <c r="K352" s="11">
        <f t="shared" si="350"/>
        <v>57</v>
      </c>
      <c r="L352" s="11">
        <f t="shared" si="350"/>
        <v>53</v>
      </c>
      <c r="M352" s="11">
        <f t="shared" si="350"/>
        <v>51</v>
      </c>
      <c r="O352" s="10">
        <f>'Optimal Choice'!$B$7*'Optimal Choice'!$B$8^(I352+1)</f>
        <v>26421.11189957237</v>
      </c>
      <c r="P352" s="10">
        <f>'Optimal Choice'!$B$12*'Optimal Choice'!$B$13^(J352+1)</f>
        <v>347870.30046791455</v>
      </c>
      <c r="Q352" s="10">
        <f>'Optimal Choice'!$B$17*'Optimal Choice'!$B$18^(K352+1)</f>
        <v>1438182.082916779</v>
      </c>
      <c r="R352" s="10">
        <f>'Optimal Choice'!$B$22*'Optimal Choice'!$B$23^(L352+1)</f>
        <v>6349648.5882695997</v>
      </c>
      <c r="S352" s="10">
        <f>'Optimal Choice'!$B$27*'Optimal Choice'!$B$28^(M352+1)</f>
        <v>37586524.288950987</v>
      </c>
    </row>
    <row r="353" spans="1:19" ht="15.75" customHeight="1">
      <c r="A353" s="8">
        <f t="shared" si="0"/>
        <v>62.158948013952504</v>
      </c>
      <c r="B353" s="7">
        <f>(I353*'Optimal Choice'!$B$6+J353*'Optimal Choice'!$B$11+K353*'Optimal Choice'!$B$16+L353*'Optimal Choice'!$B$21+M353*'Optimal Choice'!$B$26)*'Optimal Choice'!$B$30</f>
        <v>135807.1</v>
      </c>
      <c r="C353" s="8">
        <f>(O353/$B353)+(O353/'Optimal Choice'!$B$6)</f>
        <v>16928.70501307787</v>
      </c>
      <c r="D353" s="8">
        <f>(P353/$B353)+(P353/'Optimal Choice'!$B$11)</f>
        <v>17396.07652644283</v>
      </c>
      <c r="E353" s="8">
        <f>(Q353/$B353)+(Q353/'Optimal Choice'!$B$16)</f>
        <v>15990.390810065634</v>
      </c>
      <c r="F353" s="8">
        <f>(R353/$B353)+(R353/'Optimal Choice'!$B$21)</f>
        <v>17684.667654091831</v>
      </c>
      <c r="G353" s="8">
        <f>(S353/$B353)+(S353/'Optimal Choice'!$B$26)</f>
        <v>17677.932711674519</v>
      </c>
      <c r="I353" s="11">
        <f t="shared" ref="I353:M353" si="351">IF(MIN($C352:$G352)=C352,I352+1,I352)</f>
        <v>130</v>
      </c>
      <c r="J353" s="11">
        <f t="shared" si="351"/>
        <v>61</v>
      </c>
      <c r="K353" s="11">
        <f t="shared" si="351"/>
        <v>57</v>
      </c>
      <c r="L353" s="11">
        <f t="shared" si="351"/>
        <v>53</v>
      </c>
      <c r="M353" s="11">
        <f t="shared" si="351"/>
        <v>51</v>
      </c>
      <c r="O353" s="10">
        <f>'Optimal Choice'!$B$7*'Optimal Choice'!$B$8^(I353+1)</f>
        <v>28270.589732542438</v>
      </c>
      <c r="P353" s="10">
        <f>'Optimal Choice'!$B$12*'Optimal Choice'!$B$13^(J353+1)</f>
        <v>347870.30046791455</v>
      </c>
      <c r="Q353" s="10">
        <f>'Optimal Choice'!$B$17*'Optimal Choice'!$B$18^(K353+1)</f>
        <v>1438182.082916779</v>
      </c>
      <c r="R353" s="10">
        <f>'Optimal Choice'!$B$22*'Optimal Choice'!$B$23^(L353+1)</f>
        <v>6349648.5882695997</v>
      </c>
      <c r="S353" s="10">
        <f>'Optimal Choice'!$B$27*'Optimal Choice'!$B$28^(M353+1)</f>
        <v>37586524.288950987</v>
      </c>
    </row>
    <row r="354" spans="1:19" ht="15.75" customHeight="1">
      <c r="A354" s="8">
        <f t="shared" si="0"/>
        <v>62.335446160087322</v>
      </c>
      <c r="B354" s="7">
        <f>(I354*'Optimal Choice'!$B$6+J354*'Optimal Choice'!$B$11+K354*'Optimal Choice'!$B$16+L354*'Optimal Choice'!$B$21+M354*'Optimal Choice'!$B$26)*'Optimal Choice'!$B$30</f>
        <v>135897.1</v>
      </c>
      <c r="C354" s="8">
        <f>(O354/$B354)+(O354/'Optimal Choice'!$B$6)</f>
        <v>16928.704875215826</v>
      </c>
      <c r="D354" s="8">
        <f>(P354/$B354)+(P354/'Optimal Choice'!$B$11)</f>
        <v>17396.074830046997</v>
      </c>
      <c r="E354" s="8">
        <f>(Q354/$B354)+(Q354/'Optimal Choice'!$B$16)</f>
        <v>18229.037528288845</v>
      </c>
      <c r="F354" s="8">
        <f>(R354/$B354)+(R354/'Optimal Choice'!$B$21)</f>
        <v>17684.636689915253</v>
      </c>
      <c r="G354" s="8">
        <f>(S354/$B354)+(S354/'Optimal Choice'!$B$26)</f>
        <v>17677.749420306678</v>
      </c>
      <c r="I354" s="11">
        <f t="shared" ref="I354:M354" si="352">IF(MIN($C353:$G353)=C353,I353+1,I353)</f>
        <v>130</v>
      </c>
      <c r="J354" s="11">
        <f t="shared" si="352"/>
        <v>61</v>
      </c>
      <c r="K354" s="11">
        <f t="shared" si="352"/>
        <v>58</v>
      </c>
      <c r="L354" s="11">
        <f t="shared" si="352"/>
        <v>53</v>
      </c>
      <c r="M354" s="11">
        <f t="shared" si="352"/>
        <v>51</v>
      </c>
      <c r="O354" s="10">
        <f>'Optimal Choice'!$B$7*'Optimal Choice'!$B$8^(I354+1)</f>
        <v>28270.589732542438</v>
      </c>
      <c r="P354" s="10">
        <f>'Optimal Choice'!$B$12*'Optimal Choice'!$B$13^(J354+1)</f>
        <v>347870.30046791455</v>
      </c>
      <c r="Q354" s="10">
        <f>'Optimal Choice'!$B$17*'Optimal Choice'!$B$18^(K354+1)</f>
        <v>1639527.5745251277</v>
      </c>
      <c r="R354" s="10">
        <f>'Optimal Choice'!$B$22*'Optimal Choice'!$B$23^(L354+1)</f>
        <v>6349648.5882695997</v>
      </c>
      <c r="S354" s="10">
        <f>'Optimal Choice'!$B$27*'Optimal Choice'!$B$28^(M354+1)</f>
        <v>37586524.288950987</v>
      </c>
    </row>
    <row r="355" spans="1:19" ht="15.75" customHeight="1">
      <c r="A355" s="8">
        <f t="shared" si="0"/>
        <v>62.338913316454473</v>
      </c>
      <c r="B355" s="7">
        <f>(I355*'Optimal Choice'!$B$6+J355*'Optimal Choice'!$B$11+K355*'Optimal Choice'!$B$16+L355*'Optimal Choice'!$B$21+M355*'Optimal Choice'!$B$26)*'Optimal Choice'!$B$30</f>
        <v>135898.76999999999</v>
      </c>
      <c r="C355" s="8">
        <f>(O355/$B355)+(O355/'Optimal Choice'!$B$6)</f>
        <v>18113.714213745603</v>
      </c>
      <c r="D355" s="8">
        <f>(P355/$B355)+(P355/'Optimal Choice'!$B$11)</f>
        <v>17396.07479859066</v>
      </c>
      <c r="E355" s="8">
        <f>(Q355/$B355)+(Q355/'Optimal Choice'!$B$16)</f>
        <v>18229.037380033802</v>
      </c>
      <c r="F355" s="8">
        <f>(R355/$B355)+(R355/'Optimal Choice'!$B$21)</f>
        <v>17684.636115745321</v>
      </c>
      <c r="G355" s="8">
        <f>(S355/$B355)+(S355/'Optimal Choice'!$B$26)</f>
        <v>17677.746021527702</v>
      </c>
      <c r="I355" s="11">
        <f t="shared" ref="I355:M355" si="353">IF(MIN($C354:$G354)=C354,I354+1,I354)</f>
        <v>131</v>
      </c>
      <c r="J355" s="11">
        <f t="shared" si="353"/>
        <v>61</v>
      </c>
      <c r="K355" s="11">
        <f t="shared" si="353"/>
        <v>58</v>
      </c>
      <c r="L355" s="11">
        <f t="shared" si="353"/>
        <v>53</v>
      </c>
      <c r="M355" s="11">
        <f t="shared" si="353"/>
        <v>51</v>
      </c>
      <c r="O355" s="10">
        <f>'Optimal Choice'!$B$7*'Optimal Choice'!$B$8^(I355+1)</f>
        <v>30249.531013820404</v>
      </c>
      <c r="P355" s="10">
        <f>'Optimal Choice'!$B$12*'Optimal Choice'!$B$13^(J355+1)</f>
        <v>347870.30046791455</v>
      </c>
      <c r="Q355" s="10">
        <f>'Optimal Choice'!$B$17*'Optimal Choice'!$B$18^(K355+1)</f>
        <v>1639527.5745251277</v>
      </c>
      <c r="R355" s="10">
        <f>'Optimal Choice'!$B$22*'Optimal Choice'!$B$23^(L355+1)</f>
        <v>6349648.5882695997</v>
      </c>
      <c r="S355" s="10">
        <f>'Optimal Choice'!$B$27*'Optimal Choice'!$B$28^(M355+1)</f>
        <v>37586524.288950987</v>
      </c>
    </row>
    <row r="356" spans="1:19" ht="15.75" customHeight="1">
      <c r="A356" s="8">
        <f t="shared" si="0"/>
        <v>62.381576236370023</v>
      </c>
      <c r="B356" s="7">
        <f>(I356*'Optimal Choice'!$B$6+J356*'Optimal Choice'!$B$11+K356*'Optimal Choice'!$B$16+L356*'Optimal Choice'!$B$21+M356*'Optimal Choice'!$B$26)*'Optimal Choice'!$B$30</f>
        <v>135918.76999999999</v>
      </c>
      <c r="C356" s="8">
        <f>(O356/$B356)+(O356/'Optimal Choice'!$B$6)</f>
        <v>18113.714180992407</v>
      </c>
      <c r="D356" s="8">
        <f>(P356/$B356)+(P356/'Optimal Choice'!$B$11)</f>
        <v>20005.485585217379</v>
      </c>
      <c r="E356" s="8">
        <f>(Q356/$B356)+(Q356/'Optimal Choice'!$B$16)</f>
        <v>18229.035604807355</v>
      </c>
      <c r="F356" s="8">
        <f>(R356/$B356)+(R356/'Optimal Choice'!$B$21)</f>
        <v>17684.629240555005</v>
      </c>
      <c r="G356" s="8">
        <f>(S356/$B356)+(S356/'Optimal Choice'!$B$26)</f>
        <v>17677.705324077418</v>
      </c>
      <c r="I356" s="11">
        <f t="shared" ref="I356:M356" si="354">IF(MIN($C355:$G355)=C355,I355+1,I355)</f>
        <v>131</v>
      </c>
      <c r="J356" s="11">
        <f t="shared" si="354"/>
        <v>62</v>
      </c>
      <c r="K356" s="11">
        <f t="shared" si="354"/>
        <v>58</v>
      </c>
      <c r="L356" s="11">
        <f t="shared" si="354"/>
        <v>53</v>
      </c>
      <c r="M356" s="11">
        <f t="shared" si="354"/>
        <v>51</v>
      </c>
      <c r="O356" s="10">
        <f>'Optimal Choice'!$B$7*'Optimal Choice'!$B$8^(I356+1)</f>
        <v>30249.531013820404</v>
      </c>
      <c r="P356" s="10">
        <f>'Optimal Choice'!$B$12*'Optimal Choice'!$B$13^(J356+1)</f>
        <v>400050.84553810162</v>
      </c>
      <c r="Q356" s="10">
        <f>'Optimal Choice'!$B$17*'Optimal Choice'!$B$18^(K356+1)</f>
        <v>1639527.5745251277</v>
      </c>
      <c r="R356" s="10">
        <f>'Optimal Choice'!$B$22*'Optimal Choice'!$B$23^(L356+1)</f>
        <v>6349648.5882695997</v>
      </c>
      <c r="S356" s="10">
        <f>'Optimal Choice'!$B$27*'Optimal Choice'!$B$28^(M356+1)</f>
        <v>37586524.288950987</v>
      </c>
    </row>
    <row r="357" spans="1:19" ht="15.75" customHeight="1">
      <c r="A357" s="8">
        <f t="shared" si="0"/>
        <v>66.990520766124945</v>
      </c>
      <c r="B357" s="7">
        <f>(I357*'Optimal Choice'!$B$6+J357*'Optimal Choice'!$B$11+K357*'Optimal Choice'!$B$16+L357*'Optimal Choice'!$B$21+M357*'Optimal Choice'!$B$26)*'Optimal Choice'!$B$30</f>
        <v>138078.76999999999</v>
      </c>
      <c r="C357" s="8">
        <f>(O357/$B357)+(O357/'Optimal Choice'!$B$6)</f>
        <v>18113.710699495197</v>
      </c>
      <c r="D357" s="8">
        <f>(P357/$B357)+(P357/'Optimal Choice'!$B$11)</f>
        <v>20005.439542324944</v>
      </c>
      <c r="E357" s="8">
        <f>(Q357/$B357)+(Q357/'Optimal Choice'!$B$16)</f>
        <v>18228.846907314026</v>
      </c>
      <c r="F357" s="8">
        <f>(R357/$B357)+(R357/'Optimal Choice'!$B$21)</f>
        <v>17683.898442982132</v>
      </c>
      <c r="G357" s="8">
        <f>(S357/$B357)+(S357/'Optimal Choice'!$B$26)</f>
        <v>19794.184920413223</v>
      </c>
      <c r="I357" s="11">
        <f t="shared" ref="I357:M357" si="355">IF(MIN($C356:$G356)=C356,I356+1,I356)</f>
        <v>131</v>
      </c>
      <c r="J357" s="11">
        <f t="shared" si="355"/>
        <v>62</v>
      </c>
      <c r="K357" s="11">
        <f t="shared" si="355"/>
        <v>58</v>
      </c>
      <c r="L357" s="11">
        <f t="shared" si="355"/>
        <v>53</v>
      </c>
      <c r="M357" s="11">
        <f t="shared" si="355"/>
        <v>52</v>
      </c>
      <c r="O357" s="10">
        <f>'Optimal Choice'!$B$7*'Optimal Choice'!$B$8^(I357+1)</f>
        <v>30249.531013820404</v>
      </c>
      <c r="P357" s="10">
        <f>'Optimal Choice'!$B$12*'Optimal Choice'!$B$13^(J357+1)</f>
        <v>400050.84553810162</v>
      </c>
      <c r="Q357" s="10">
        <f>'Optimal Choice'!$B$17*'Optimal Choice'!$B$18^(K357+1)</f>
        <v>1639527.5745251277</v>
      </c>
      <c r="R357" s="10">
        <f>'Optimal Choice'!$B$22*'Optimal Choice'!$B$23^(L357+1)</f>
        <v>6349648.5882695997</v>
      </c>
      <c r="S357" s="10">
        <f>'Optimal Choice'!$B$27*'Optimal Choice'!$B$28^(M357+1)</f>
        <v>42096907.203625105</v>
      </c>
    </row>
    <row r="358" spans="1:19" ht="15.75" customHeight="1">
      <c r="A358" s="8">
        <f t="shared" si="0"/>
        <v>67.756949062604988</v>
      </c>
      <c r="B358" s="7">
        <f>(I358*'Optimal Choice'!$B$6+J358*'Optimal Choice'!$B$11+K358*'Optimal Choice'!$B$16+L358*'Optimal Choice'!$B$21+M358*'Optimal Choice'!$B$26)*'Optimal Choice'!$B$30</f>
        <v>138438.76999999999</v>
      </c>
      <c r="C358" s="8">
        <f>(O358/$B358)+(O358/'Optimal Choice'!$B$6)</f>
        <v>18113.71012980794</v>
      </c>
      <c r="D358" s="8">
        <f>(P358/$B358)+(P358/'Optimal Choice'!$B$11)</f>
        <v>20005.432008195949</v>
      </c>
      <c r="E358" s="8">
        <f>(Q358/$B358)+(Q358/'Optimal Choice'!$B$16)</f>
        <v>18228.816030208338</v>
      </c>
      <c r="F358" s="8">
        <f>(R358/$B358)+(R358/'Optimal Choice'!$B$21)</f>
        <v>19982.670112369378</v>
      </c>
      <c r="G358" s="8">
        <f>(S358/$B358)+(S358/'Optimal Choice'!$B$26)</f>
        <v>19793.39211236715</v>
      </c>
      <c r="I358" s="11">
        <f t="shared" ref="I358:M358" si="356">IF(MIN($C357:$G357)=C357,I357+1,I357)</f>
        <v>131</v>
      </c>
      <c r="J358" s="11">
        <f t="shared" si="356"/>
        <v>62</v>
      </c>
      <c r="K358" s="11">
        <f t="shared" si="356"/>
        <v>58</v>
      </c>
      <c r="L358" s="11">
        <f t="shared" si="356"/>
        <v>54</v>
      </c>
      <c r="M358" s="11">
        <f t="shared" si="356"/>
        <v>52</v>
      </c>
      <c r="O358" s="10">
        <f>'Optimal Choice'!$B$7*'Optimal Choice'!$B$8^(I358+1)</f>
        <v>30249.531013820404</v>
      </c>
      <c r="P358" s="10">
        <f>'Optimal Choice'!$B$12*'Optimal Choice'!$B$13^(J358+1)</f>
        <v>400050.84553810162</v>
      </c>
      <c r="Q358" s="10">
        <f>'Optimal Choice'!$B$17*'Optimal Choice'!$B$18^(K358+1)</f>
        <v>1639527.5745251277</v>
      </c>
      <c r="R358" s="10">
        <f>'Optimal Choice'!$B$22*'Optimal Choice'!$B$23^(L358+1)</f>
        <v>7175102.9047446474</v>
      </c>
      <c r="S358" s="10">
        <f>'Optimal Choice'!$B$27*'Optimal Choice'!$B$28^(M358+1)</f>
        <v>42096907.203625105</v>
      </c>
    </row>
    <row r="359" spans="1:19" ht="15.75" customHeight="1">
      <c r="A359" s="8">
        <f t="shared" si="0"/>
        <v>67.760590808701338</v>
      </c>
      <c r="B359" s="7">
        <f>(I359*'Optimal Choice'!$B$6+J359*'Optimal Choice'!$B$11+K359*'Optimal Choice'!$B$16+L359*'Optimal Choice'!$B$21+M359*'Optimal Choice'!$B$26)*'Optimal Choice'!$B$30</f>
        <v>138440.44</v>
      </c>
      <c r="C359" s="8">
        <f>(O359/$B359)+(O359/'Optimal Choice'!$B$6)</f>
        <v>19381.669836074179</v>
      </c>
      <c r="D359" s="8">
        <f>(P359/$B359)+(P359/'Optimal Choice'!$B$11)</f>
        <v>20005.431973337269</v>
      </c>
      <c r="E359" s="8">
        <f>(Q359/$B359)+(Q359/'Optimal Choice'!$B$16)</f>
        <v>18228.815887347075</v>
      </c>
      <c r="F359" s="8">
        <f>(R359/$B359)+(R359/'Optimal Choice'!$B$21)</f>
        <v>19982.669487162275</v>
      </c>
      <c r="G359" s="8">
        <f>(S359/$B359)+(S359/'Optimal Choice'!$B$26)</f>
        <v>19793.388444226683</v>
      </c>
      <c r="I359" s="11">
        <f t="shared" ref="I359:M359" si="357">IF(MIN($C358:$G358)=C358,I358+1,I358)</f>
        <v>132</v>
      </c>
      <c r="J359" s="11">
        <f t="shared" si="357"/>
        <v>62</v>
      </c>
      <c r="K359" s="11">
        <f t="shared" si="357"/>
        <v>58</v>
      </c>
      <c r="L359" s="11">
        <f t="shared" si="357"/>
        <v>54</v>
      </c>
      <c r="M359" s="11">
        <f t="shared" si="357"/>
        <v>52</v>
      </c>
      <c r="O359" s="10">
        <f>'Optimal Choice'!$B$7*'Optimal Choice'!$B$8^(I359+1)</f>
        <v>32366.998184787837</v>
      </c>
      <c r="P359" s="10">
        <f>'Optimal Choice'!$B$12*'Optimal Choice'!$B$13^(J359+1)</f>
        <v>400050.84553810162</v>
      </c>
      <c r="Q359" s="10">
        <f>'Optimal Choice'!$B$17*'Optimal Choice'!$B$18^(K359+1)</f>
        <v>1639527.5745251277</v>
      </c>
      <c r="R359" s="10">
        <f>'Optimal Choice'!$B$22*'Optimal Choice'!$B$23^(L359+1)</f>
        <v>7175102.9047446474</v>
      </c>
      <c r="S359" s="10">
        <f>'Optimal Choice'!$B$27*'Optimal Choice'!$B$28^(M359+1)</f>
        <v>42096907.203625105</v>
      </c>
    </row>
    <row r="360" spans="1:19" ht="15.75" customHeight="1">
      <c r="A360" s="8">
        <f t="shared" si="0"/>
        <v>67.957971426499284</v>
      </c>
      <c r="B360" s="7">
        <f>(I360*'Optimal Choice'!$B$6+J360*'Optimal Choice'!$B$11+K360*'Optimal Choice'!$B$16+L360*'Optimal Choice'!$B$21+M360*'Optimal Choice'!$B$26)*'Optimal Choice'!$B$30</f>
        <v>138530.44</v>
      </c>
      <c r="C360" s="8">
        <f>(O360/$B360)+(O360/'Optimal Choice'!$B$6)</f>
        <v>19381.669684181532</v>
      </c>
      <c r="D360" s="8">
        <f>(P360/$B360)+(P360/'Optimal Choice'!$B$11)</f>
        <v>20005.430095968804</v>
      </c>
      <c r="E360" s="8">
        <f>(Q360/$B360)+(Q360/'Optimal Choice'!$B$16)</f>
        <v>20780.841340398129</v>
      </c>
      <c r="F360" s="8">
        <f>(R360/$B360)+(R360/'Optimal Choice'!$B$21)</f>
        <v>19982.635815662652</v>
      </c>
      <c r="G360" s="8">
        <f>(S360/$B360)+(S360/'Optimal Choice'!$B$26)</f>
        <v>19793.190890823767</v>
      </c>
      <c r="I360" s="11">
        <f t="shared" ref="I360:M360" si="358">IF(MIN($C359:$G359)=C359,I359+1,I359)</f>
        <v>132</v>
      </c>
      <c r="J360" s="11">
        <f t="shared" si="358"/>
        <v>62</v>
      </c>
      <c r="K360" s="11">
        <f t="shared" si="358"/>
        <v>59</v>
      </c>
      <c r="L360" s="11">
        <f t="shared" si="358"/>
        <v>54</v>
      </c>
      <c r="M360" s="11">
        <f t="shared" si="358"/>
        <v>52</v>
      </c>
      <c r="O360" s="10">
        <f>'Optimal Choice'!$B$7*'Optimal Choice'!$B$8^(I360+1)</f>
        <v>32366.998184787837</v>
      </c>
      <c r="P360" s="10">
        <f>'Optimal Choice'!$B$12*'Optimal Choice'!$B$13^(J360+1)</f>
        <v>400050.84553810162</v>
      </c>
      <c r="Q360" s="10">
        <f>'Optimal Choice'!$B$17*'Optimal Choice'!$B$18^(K360+1)</f>
        <v>1869061.4349586456</v>
      </c>
      <c r="R360" s="10">
        <f>'Optimal Choice'!$B$22*'Optimal Choice'!$B$23^(L360+1)</f>
        <v>7175102.9047446474</v>
      </c>
      <c r="S360" s="10">
        <f>'Optimal Choice'!$B$27*'Optimal Choice'!$B$28^(M360+1)</f>
        <v>42096907.203625105</v>
      </c>
    </row>
    <row r="361" spans="1:19" ht="15.75" customHeight="1">
      <c r="A361" s="8">
        <f t="shared" si="0"/>
        <v>67.961865516272951</v>
      </c>
      <c r="B361" s="7">
        <f>(I361*'Optimal Choice'!$B$6+J361*'Optimal Choice'!$B$11+K361*'Optimal Choice'!$B$16+L361*'Optimal Choice'!$B$21+M361*'Optimal Choice'!$B$26)*'Optimal Choice'!$B$30</f>
        <v>138532.10999999999</v>
      </c>
      <c r="C361" s="8">
        <f>(O361/$B361)+(O361/'Optimal Choice'!$B$6)</f>
        <v>20738.386559060491</v>
      </c>
      <c r="D361" s="8">
        <f>(P361/$B361)+(P361/'Optimal Choice'!$B$11)</f>
        <v>20005.430061156243</v>
      </c>
      <c r="E361" s="8">
        <f>(Q361/$B361)+(Q361/'Optimal Choice'!$B$16)</f>
        <v>20780.841177751754</v>
      </c>
      <c r="F361" s="8">
        <f>(R361/$B361)+(R361/'Optimal Choice'!$B$21)</f>
        <v>19982.635191282709</v>
      </c>
      <c r="G361" s="8">
        <f>(S361/$B361)+(S361/'Optimal Choice'!$B$26)</f>
        <v>19793.187227536313</v>
      </c>
      <c r="I361" s="11">
        <f t="shared" ref="I361:M361" si="359">IF(MIN($C360:$G360)=C360,I360+1,I360)</f>
        <v>133</v>
      </c>
      <c r="J361" s="11">
        <f t="shared" si="359"/>
        <v>62</v>
      </c>
      <c r="K361" s="11">
        <f t="shared" si="359"/>
        <v>59</v>
      </c>
      <c r="L361" s="11">
        <f t="shared" si="359"/>
        <v>54</v>
      </c>
      <c r="M361" s="11">
        <f t="shared" si="359"/>
        <v>52</v>
      </c>
      <c r="O361" s="10">
        <f>'Optimal Choice'!$B$7*'Optimal Choice'!$B$8^(I361+1)</f>
        <v>34632.688057722982</v>
      </c>
      <c r="P361" s="10">
        <f>'Optimal Choice'!$B$12*'Optimal Choice'!$B$13^(J361+1)</f>
        <v>400050.84553810162</v>
      </c>
      <c r="Q361" s="10">
        <f>'Optimal Choice'!$B$17*'Optimal Choice'!$B$18^(K361+1)</f>
        <v>1869061.4349586456</v>
      </c>
      <c r="R361" s="10">
        <f>'Optimal Choice'!$B$22*'Optimal Choice'!$B$23^(L361+1)</f>
        <v>7175102.9047446474</v>
      </c>
      <c r="S361" s="10">
        <f>'Optimal Choice'!$B$27*'Optimal Choice'!$B$28^(M361+1)</f>
        <v>42096907.203625105</v>
      </c>
    </row>
    <row r="362" spans="1:19" ht="15.75" customHeight="1">
      <c r="A362" s="8">
        <f t="shared" si="0"/>
        <v>73.026504465758521</v>
      </c>
      <c r="B362" s="7">
        <f>(I362*'Optimal Choice'!$B$6+J362*'Optimal Choice'!$B$11+K362*'Optimal Choice'!$B$16+L362*'Optimal Choice'!$B$21+M362*'Optimal Choice'!$B$26)*'Optimal Choice'!$B$30</f>
        <v>140692.10999999999</v>
      </c>
      <c r="C362" s="8">
        <f>(O362/$B362)+(O362/'Optimal Choice'!$B$6)</f>
        <v>20738.382720929785</v>
      </c>
      <c r="D362" s="8">
        <f>(P362/$B362)+(P362/'Optimal Choice'!$B$11)</f>
        <v>20005.38572594809</v>
      </c>
      <c r="E362" s="8">
        <f>(Q362/$B362)+(Q362/'Optimal Choice'!$B$16)</f>
        <v>20780.634041012272</v>
      </c>
      <c r="F362" s="8">
        <f>(R362/$B362)+(R362/'Optimal Choice'!$B$21)</f>
        <v>19981.8400181582</v>
      </c>
      <c r="G362" s="8">
        <f>(S362/$B362)+(S362/'Optimal Choice'!$B$26)</f>
        <v>22163.144508632322</v>
      </c>
      <c r="I362" s="11">
        <f t="shared" ref="I362:M362" si="360">IF(MIN($C361:$G361)=C361,I361+1,I361)</f>
        <v>133</v>
      </c>
      <c r="J362" s="11">
        <f t="shared" si="360"/>
        <v>62</v>
      </c>
      <c r="K362" s="11">
        <f t="shared" si="360"/>
        <v>59</v>
      </c>
      <c r="L362" s="11">
        <f t="shared" si="360"/>
        <v>54</v>
      </c>
      <c r="M362" s="11">
        <f t="shared" si="360"/>
        <v>53</v>
      </c>
      <c r="O362" s="10">
        <f>'Optimal Choice'!$B$7*'Optimal Choice'!$B$8^(I362+1)</f>
        <v>34632.688057722982</v>
      </c>
      <c r="P362" s="10">
        <f>'Optimal Choice'!$B$12*'Optimal Choice'!$B$13^(J362+1)</f>
        <v>400050.84553810162</v>
      </c>
      <c r="Q362" s="10">
        <f>'Optimal Choice'!$B$17*'Optimal Choice'!$B$18^(K362+1)</f>
        <v>1869061.4349586456</v>
      </c>
      <c r="R362" s="10">
        <f>'Optimal Choice'!$B$22*'Optimal Choice'!$B$23^(L362+1)</f>
        <v>7175102.9047446474</v>
      </c>
      <c r="S362" s="10">
        <f>'Optimal Choice'!$B$27*'Optimal Choice'!$B$28^(M362+1)</f>
        <v>47148536.068060122</v>
      </c>
    </row>
    <row r="363" spans="1:19" ht="15.75" customHeight="1">
      <c r="A363" s="8">
        <f t="shared" si="0"/>
        <v>73.876481400587423</v>
      </c>
      <c r="B363" s="7">
        <f>(I363*'Optimal Choice'!$B$6+J363*'Optimal Choice'!$B$11+K363*'Optimal Choice'!$B$16+L363*'Optimal Choice'!$B$21+M363*'Optimal Choice'!$B$26)*'Optimal Choice'!$B$30</f>
        <v>141052.10999999999</v>
      </c>
      <c r="C363" s="8">
        <f>(O363/$B363)+(O363/'Optimal Choice'!$B$6)</f>
        <v>20738.382092669839</v>
      </c>
      <c r="D363" s="8">
        <f>(P363/$B363)+(P363/'Optimal Choice'!$B$11)</f>
        <v>20005.378468760264</v>
      </c>
      <c r="E363" s="8">
        <f>(Q363/$B363)+(Q363/'Optimal Choice'!$B$16)</f>
        <v>20780.600134997469</v>
      </c>
      <c r="F363" s="8">
        <f>(R363/$B363)+(R363/'Optimal Choice'!$B$21)</f>
        <v>22579.33213844374</v>
      </c>
      <c r="G363" s="8">
        <f>(S363/$B363)+(S363/'Optimal Choice'!$B$26)</f>
        <v>22162.289202898639</v>
      </c>
      <c r="I363" s="11">
        <f t="shared" ref="I363:M363" si="361">IF(MIN($C362:$G362)=C362,I362+1,I362)</f>
        <v>133</v>
      </c>
      <c r="J363" s="11">
        <f t="shared" si="361"/>
        <v>62</v>
      </c>
      <c r="K363" s="11">
        <f t="shared" si="361"/>
        <v>59</v>
      </c>
      <c r="L363" s="11">
        <f t="shared" si="361"/>
        <v>55</v>
      </c>
      <c r="M363" s="11">
        <f t="shared" si="361"/>
        <v>53</v>
      </c>
      <c r="O363" s="10">
        <f>'Optimal Choice'!$B$7*'Optimal Choice'!$B$8^(I363+1)</f>
        <v>34632.688057722982</v>
      </c>
      <c r="P363" s="10">
        <f>'Optimal Choice'!$B$12*'Optimal Choice'!$B$13^(J363+1)</f>
        <v>400050.84553810162</v>
      </c>
      <c r="Q363" s="10">
        <f>'Optimal Choice'!$B$17*'Optimal Choice'!$B$18^(K363+1)</f>
        <v>1869061.4349586456</v>
      </c>
      <c r="R363" s="10">
        <f>'Optimal Choice'!$B$22*'Optimal Choice'!$B$23^(L363+1)</f>
        <v>8107866.2823614515</v>
      </c>
      <c r="S363" s="10">
        <f>'Optimal Choice'!$B$27*'Optimal Choice'!$B$28^(M363+1)</f>
        <v>47148536.068060122</v>
      </c>
    </row>
    <row r="364" spans="1:19" ht="15.75" customHeight="1">
      <c r="A364" s="8">
        <f t="shared" si="0"/>
        <v>73.923751264840433</v>
      </c>
      <c r="B364" s="7">
        <f>(I364*'Optimal Choice'!$B$6+J364*'Optimal Choice'!$B$11+K364*'Optimal Choice'!$B$16+L364*'Optimal Choice'!$B$21+M364*'Optimal Choice'!$B$26)*'Optimal Choice'!$B$30</f>
        <v>141072.10999999999</v>
      </c>
      <c r="C364" s="8">
        <f>(O364/$B364)+(O364/'Optimal Choice'!$B$6)</f>
        <v>20738.382057860526</v>
      </c>
      <c r="D364" s="8">
        <f>(P364/$B364)+(P364/'Optimal Choice'!$B$11)</f>
        <v>23006.184776669554</v>
      </c>
      <c r="E364" s="8">
        <f>(Q364/$B364)+(Q364/'Optimal Choice'!$B$16)</f>
        <v>20780.598256403937</v>
      </c>
      <c r="F364" s="8">
        <f>(R364/$B364)+(R364/'Optimal Choice'!$B$21)</f>
        <v>22579.32398922784</v>
      </c>
      <c r="G364" s="8">
        <f>(S364/$B364)+(S364/'Optimal Choice'!$B$26)</f>
        <v>22162.241813907938</v>
      </c>
      <c r="I364" s="11">
        <f t="shared" ref="I364:M364" si="362">IF(MIN($C363:$G363)=C363,I363+1,I363)</f>
        <v>133</v>
      </c>
      <c r="J364" s="11">
        <f t="shared" si="362"/>
        <v>63</v>
      </c>
      <c r="K364" s="11">
        <f t="shared" si="362"/>
        <v>59</v>
      </c>
      <c r="L364" s="11">
        <f t="shared" si="362"/>
        <v>55</v>
      </c>
      <c r="M364" s="11">
        <f t="shared" si="362"/>
        <v>53</v>
      </c>
      <c r="O364" s="10">
        <f>'Optimal Choice'!$B$7*'Optimal Choice'!$B$8^(I364+1)</f>
        <v>34632.688057722982</v>
      </c>
      <c r="P364" s="10">
        <f>'Optimal Choice'!$B$12*'Optimal Choice'!$B$13^(J364+1)</f>
        <v>460058.47236881673</v>
      </c>
      <c r="Q364" s="10">
        <f>'Optimal Choice'!$B$17*'Optimal Choice'!$B$18^(K364+1)</f>
        <v>1869061.4349586456</v>
      </c>
      <c r="R364" s="10">
        <f>'Optimal Choice'!$B$22*'Optimal Choice'!$B$23^(L364+1)</f>
        <v>8107866.2823614515</v>
      </c>
      <c r="S364" s="10">
        <f>'Optimal Choice'!$B$27*'Optimal Choice'!$B$28^(M364+1)</f>
        <v>47148536.068060122</v>
      </c>
    </row>
    <row r="365" spans="1:19" ht="15.75" customHeight="1">
      <c r="A365" s="8">
        <f t="shared" si="0"/>
        <v>73.927842870669735</v>
      </c>
      <c r="B365" s="7">
        <f>(I365*'Optimal Choice'!$B$6+J365*'Optimal Choice'!$B$11+K365*'Optimal Choice'!$B$16+L365*'Optimal Choice'!$B$21+M365*'Optimal Choice'!$B$26)*'Optimal Choice'!$B$30</f>
        <v>141073.78</v>
      </c>
      <c r="C365" s="8">
        <f>(O365/$B365)+(O365/'Optimal Choice'!$B$6)</f>
        <v>22190.068798801203</v>
      </c>
      <c r="D365" s="8">
        <f>(P365/$B365)+(P365/'Optimal Choice'!$B$11)</f>
        <v>23006.184738064687</v>
      </c>
      <c r="E365" s="8">
        <f>(Q365/$B365)+(Q365/'Optimal Choice'!$B$16)</f>
        <v>20780.598099565472</v>
      </c>
      <c r="F365" s="8">
        <f>(R365/$B365)+(R365/'Optimal Choice'!$B$21)</f>
        <v>22579.323308872838</v>
      </c>
      <c r="G365" s="8">
        <f>(S365/$B365)+(S365/'Optimal Choice'!$B$26)</f>
        <v>22162.237857535034</v>
      </c>
      <c r="I365" s="11">
        <f t="shared" ref="I365:M365" si="363">IF(MIN($C364:$G364)=C364,I364+1,I364)</f>
        <v>134</v>
      </c>
      <c r="J365" s="11">
        <f t="shared" si="363"/>
        <v>63</v>
      </c>
      <c r="K365" s="11">
        <f t="shared" si="363"/>
        <v>59</v>
      </c>
      <c r="L365" s="11">
        <f t="shared" si="363"/>
        <v>55</v>
      </c>
      <c r="M365" s="11">
        <f t="shared" si="363"/>
        <v>53</v>
      </c>
      <c r="O365" s="10">
        <f>'Optimal Choice'!$B$7*'Optimal Choice'!$B$8^(I365+1)</f>
        <v>37056.976221763594</v>
      </c>
      <c r="P365" s="10">
        <f>'Optimal Choice'!$B$12*'Optimal Choice'!$B$13^(J365+1)</f>
        <v>460058.47236881673</v>
      </c>
      <c r="Q365" s="10">
        <f>'Optimal Choice'!$B$17*'Optimal Choice'!$B$18^(K365+1)</f>
        <v>1869061.4349586456</v>
      </c>
      <c r="R365" s="10">
        <f>'Optimal Choice'!$B$22*'Optimal Choice'!$B$23^(L365+1)</f>
        <v>8107866.2823614515</v>
      </c>
      <c r="S365" s="10">
        <f>'Optimal Choice'!$B$27*'Optimal Choice'!$B$28^(M365+1)</f>
        <v>47148536.068060122</v>
      </c>
    </row>
    <row r="366" spans="1:19" ht="15.75" customHeight="1">
      <c r="A366" s="8">
        <f t="shared" si="0"/>
        <v>74.148656574789499</v>
      </c>
      <c r="B366" s="7">
        <f>(I366*'Optimal Choice'!$B$6+J366*'Optimal Choice'!$B$11+K366*'Optimal Choice'!$B$16+L366*'Optimal Choice'!$B$21+M366*'Optimal Choice'!$B$26)*'Optimal Choice'!$B$30</f>
        <v>141163.78</v>
      </c>
      <c r="C366" s="8">
        <f>(O366/$B366)+(O366/'Optimal Choice'!$B$6)</f>
        <v>22190.068631328937</v>
      </c>
      <c r="D366" s="8">
        <f>(P366/$B366)+(P366/'Optimal Choice'!$B$11)</f>
        <v>23006.182658914029</v>
      </c>
      <c r="E366" s="8">
        <f>(Q366/$B366)+(Q366/'Optimal Choice'!$B$16)</f>
        <v>23689.872204057461</v>
      </c>
      <c r="F366" s="8">
        <f>(R366/$B366)+(R366/'Optimal Choice'!$B$21)</f>
        <v>22579.286666844633</v>
      </c>
      <c r="G366" s="8">
        <f>(S366/$B366)+(S366/'Optimal Choice'!$B$26)</f>
        <v>22162.024778294672</v>
      </c>
      <c r="I366" s="11">
        <f t="shared" ref="I366:M366" si="364">IF(MIN($C365:$G365)=C365,I365+1,I365)</f>
        <v>134</v>
      </c>
      <c r="J366" s="11">
        <f t="shared" si="364"/>
        <v>63</v>
      </c>
      <c r="K366" s="11">
        <f t="shared" si="364"/>
        <v>60</v>
      </c>
      <c r="L366" s="11">
        <f t="shared" si="364"/>
        <v>55</v>
      </c>
      <c r="M366" s="11">
        <f t="shared" si="364"/>
        <v>53</v>
      </c>
      <c r="O366" s="10">
        <f>'Optimal Choice'!$B$7*'Optimal Choice'!$B$8^(I366+1)</f>
        <v>37056.976221763594</v>
      </c>
      <c r="P366" s="10">
        <f>'Optimal Choice'!$B$12*'Optimal Choice'!$B$13^(J366+1)</f>
        <v>460058.47236881673</v>
      </c>
      <c r="Q366" s="10">
        <f>'Optimal Choice'!$B$17*'Optimal Choice'!$B$18^(K366+1)</f>
        <v>2130730.035852856</v>
      </c>
      <c r="R366" s="10">
        <f>'Optimal Choice'!$B$22*'Optimal Choice'!$B$23^(L366+1)</f>
        <v>8107866.2823614515</v>
      </c>
      <c r="S366" s="10">
        <f>'Optimal Choice'!$B$27*'Optimal Choice'!$B$28^(M366+1)</f>
        <v>47148536.068060122</v>
      </c>
    </row>
    <row r="367" spans="1:19" ht="15.75" customHeight="1">
      <c r="A367" s="8">
        <f t="shared" si="0"/>
        <v>79.715303589113347</v>
      </c>
      <c r="B367" s="7">
        <f>(I367*'Optimal Choice'!$B$6+J367*'Optimal Choice'!$B$11+K367*'Optimal Choice'!$B$16+L367*'Optimal Choice'!$B$21+M367*'Optimal Choice'!$B$26)*'Optimal Choice'!$B$30</f>
        <v>143323.78</v>
      </c>
      <c r="C367" s="8">
        <f>(O367/$B367)+(O367/'Optimal Choice'!$B$6)</f>
        <v>22190.064675092875</v>
      </c>
      <c r="D367" s="8">
        <f>(P367/$B367)+(P367/'Optimal Choice'!$B$11)</f>
        <v>23006.133542658357</v>
      </c>
      <c r="E367" s="8">
        <f>(Q367/$B367)+(Q367/'Optimal Choice'!$B$16)</f>
        <v>23689.644725405313</v>
      </c>
      <c r="F367" s="8">
        <f>(R367/$B367)+(R367/'Optimal Choice'!$B$21)</f>
        <v>22578.421063758979</v>
      </c>
      <c r="G367" s="8">
        <f>(S367/$B367)+(S367/'Optimal Choice'!$B$26)</f>
        <v>24815.830097230857</v>
      </c>
      <c r="I367" s="11">
        <f t="shared" ref="I367:M367" si="365">IF(MIN($C366:$G366)=C366,I366+1,I366)</f>
        <v>134</v>
      </c>
      <c r="J367" s="11">
        <f t="shared" si="365"/>
        <v>63</v>
      </c>
      <c r="K367" s="11">
        <f t="shared" si="365"/>
        <v>60</v>
      </c>
      <c r="L367" s="11">
        <f t="shared" si="365"/>
        <v>55</v>
      </c>
      <c r="M367" s="11">
        <f t="shared" si="365"/>
        <v>54</v>
      </c>
      <c r="O367" s="10">
        <f>'Optimal Choice'!$B$7*'Optimal Choice'!$B$8^(I367+1)</f>
        <v>37056.976221763594</v>
      </c>
      <c r="P367" s="10">
        <f>'Optimal Choice'!$B$12*'Optimal Choice'!$B$13^(J367+1)</f>
        <v>460058.47236881673</v>
      </c>
      <c r="Q367" s="10">
        <f>'Optimal Choice'!$B$17*'Optimal Choice'!$B$18^(K367+1)</f>
        <v>2130730.035852856</v>
      </c>
      <c r="R367" s="10">
        <f>'Optimal Choice'!$B$22*'Optimal Choice'!$B$23^(L367+1)</f>
        <v>8107866.2823614515</v>
      </c>
      <c r="S367" s="10">
        <f>'Optimal Choice'!$B$27*'Optimal Choice'!$B$28^(M367+1)</f>
        <v>52806360.396227337</v>
      </c>
    </row>
    <row r="368" spans="1:19" ht="15.75" customHeight="1">
      <c r="A368" s="8">
        <f t="shared" si="0"/>
        <v>79.719612827052529</v>
      </c>
      <c r="B368" s="7">
        <f>(I368*'Optimal Choice'!$B$6+J368*'Optimal Choice'!$B$11+K368*'Optimal Choice'!$B$16+L368*'Optimal Choice'!$B$21+M368*'Optimal Choice'!$B$26)*'Optimal Choice'!$B$30</f>
        <v>143325.45000000001</v>
      </c>
      <c r="C368" s="8">
        <f>(O368/$B368)+(O368/'Optimal Choice'!$B$6)</f>
        <v>23743.369199125867</v>
      </c>
      <c r="D368" s="8">
        <f>(P368/$B368)+(P368/'Optimal Choice'!$B$11)</f>
        <v>23006.133505256952</v>
      </c>
      <c r="E368" s="8">
        <f>(Q368/$B368)+(Q368/'Optimal Choice'!$B$16)</f>
        <v>23689.644552183199</v>
      </c>
      <c r="F368" s="8">
        <f>(R368/$B368)+(R368/'Optimal Choice'!$B$21)</f>
        <v>22578.420404613189</v>
      </c>
      <c r="G368" s="8">
        <f>(S368/$B368)+(S368/'Optimal Choice'!$B$26)</f>
        <v>24815.825804228381</v>
      </c>
      <c r="I368" s="11">
        <f t="shared" ref="I368:M368" si="366">IF(MIN($C367:$G367)=C367,I367+1,I367)</f>
        <v>135</v>
      </c>
      <c r="J368" s="11">
        <f t="shared" si="366"/>
        <v>63</v>
      </c>
      <c r="K368" s="11">
        <f t="shared" si="366"/>
        <v>60</v>
      </c>
      <c r="L368" s="11">
        <f t="shared" si="366"/>
        <v>55</v>
      </c>
      <c r="M368" s="11">
        <f t="shared" si="366"/>
        <v>54</v>
      </c>
      <c r="O368" s="10">
        <f>'Optimal Choice'!$B$7*'Optimal Choice'!$B$8^(I368+1)</f>
        <v>39650.964557287043</v>
      </c>
      <c r="P368" s="10">
        <f>'Optimal Choice'!$B$12*'Optimal Choice'!$B$13^(J368+1)</f>
        <v>460058.47236881673</v>
      </c>
      <c r="Q368" s="10">
        <f>'Optimal Choice'!$B$17*'Optimal Choice'!$B$18^(K368+1)</f>
        <v>2130730.035852856</v>
      </c>
      <c r="R368" s="10">
        <f>'Optimal Choice'!$B$22*'Optimal Choice'!$B$23^(L368+1)</f>
        <v>8107866.2823614515</v>
      </c>
      <c r="S368" s="10">
        <f>'Optimal Choice'!$B$27*'Optimal Choice'!$B$28^(M368+1)</f>
        <v>52806360.396227337</v>
      </c>
    </row>
    <row r="369" spans="1:19" ht="15.75" customHeight="1">
      <c r="A369" s="8">
        <f t="shared" si="0"/>
        <v>80.662439831649579</v>
      </c>
      <c r="B369" s="7">
        <f>(I369*'Optimal Choice'!$B$6+J369*'Optimal Choice'!$B$11+K369*'Optimal Choice'!$B$16+L369*'Optimal Choice'!$B$21+M369*'Optimal Choice'!$B$26)*'Optimal Choice'!$B$30</f>
        <v>143685.45000000001</v>
      </c>
      <c r="C369" s="8">
        <f>(O369/$B369)+(O369/'Optimal Choice'!$B$6)</f>
        <v>23743.36850598716</v>
      </c>
      <c r="D369" s="8">
        <f>(P369/$B369)+(P369/'Optimal Choice'!$B$11)</f>
        <v>23006.125462972548</v>
      </c>
      <c r="E369" s="8">
        <f>(Q369/$B369)+(Q369/'Optimal Choice'!$B$16)</f>
        <v>23689.607304881021</v>
      </c>
      <c r="F369" s="8">
        <f>(R369/$B369)+(R369/'Optimal Choice'!$B$21)</f>
        <v>25513.454898188258</v>
      </c>
      <c r="G369" s="8">
        <f>(S369/$B369)+(S369/'Optimal Choice'!$B$26)</f>
        <v>24814.902695984059</v>
      </c>
      <c r="I369" s="11">
        <f t="shared" ref="I369:M369" si="367">IF(MIN($C368:$G368)=C368,I368+1,I368)</f>
        <v>135</v>
      </c>
      <c r="J369" s="11">
        <f t="shared" si="367"/>
        <v>63</v>
      </c>
      <c r="K369" s="11">
        <f t="shared" si="367"/>
        <v>60</v>
      </c>
      <c r="L369" s="11">
        <f t="shared" si="367"/>
        <v>56</v>
      </c>
      <c r="M369" s="11">
        <f t="shared" si="367"/>
        <v>54</v>
      </c>
      <c r="O369" s="10">
        <f>'Optimal Choice'!$B$7*'Optimal Choice'!$B$8^(I369+1)</f>
        <v>39650.964557287043</v>
      </c>
      <c r="P369" s="10">
        <f>'Optimal Choice'!$B$12*'Optimal Choice'!$B$13^(J369+1)</f>
        <v>460058.47236881673</v>
      </c>
      <c r="Q369" s="10">
        <f>'Optimal Choice'!$B$17*'Optimal Choice'!$B$18^(K369+1)</f>
        <v>2130730.035852856</v>
      </c>
      <c r="R369" s="10">
        <f>'Optimal Choice'!$B$22*'Optimal Choice'!$B$23^(L369+1)</f>
        <v>9161888.8990684412</v>
      </c>
      <c r="S369" s="10">
        <f>'Optimal Choice'!$B$27*'Optimal Choice'!$B$28^(M369+1)</f>
        <v>52806360.396227337</v>
      </c>
    </row>
    <row r="370" spans="1:19" ht="15.75" customHeight="1">
      <c r="A370" s="8">
        <f t="shared" si="0"/>
        <v>80.715803907178085</v>
      </c>
      <c r="B370" s="7">
        <f>(I370*'Optimal Choice'!$B$6+J370*'Optimal Choice'!$B$11+K370*'Optimal Choice'!$B$16+L370*'Optimal Choice'!$B$21+M370*'Optimal Choice'!$B$26)*'Optimal Choice'!$B$30</f>
        <v>143705.45000000001</v>
      </c>
      <c r="C370" s="8">
        <f>(O370/$B370)+(O370/'Optimal Choice'!$B$6)</f>
        <v>23743.36846758128</v>
      </c>
      <c r="D370" s="8">
        <f>(P370/$B370)+(P370/'Optimal Choice'!$B$11)</f>
        <v>26457.043769964486</v>
      </c>
      <c r="E370" s="8">
        <f>(Q370/$B370)+(Q370/'Optimal Choice'!$B$16)</f>
        <v>23689.605241058289</v>
      </c>
      <c r="F370" s="8">
        <f>(R370/$B370)+(R370/'Optimal Choice'!$B$21)</f>
        <v>25513.446023992896</v>
      </c>
      <c r="G370" s="8">
        <f>(S370/$B370)+(S370/'Optimal Choice'!$B$26)</f>
        <v>24814.851547802322</v>
      </c>
      <c r="I370" s="11">
        <f t="shared" ref="I370:M370" si="368">IF(MIN($C369:$G369)=C369,I369+1,I369)</f>
        <v>135</v>
      </c>
      <c r="J370" s="11">
        <f t="shared" si="368"/>
        <v>64</v>
      </c>
      <c r="K370" s="11">
        <f t="shared" si="368"/>
        <v>60</v>
      </c>
      <c r="L370" s="11">
        <f t="shared" si="368"/>
        <v>56</v>
      </c>
      <c r="M370" s="11">
        <f t="shared" si="368"/>
        <v>54</v>
      </c>
      <c r="O370" s="10">
        <f>'Optimal Choice'!$B$7*'Optimal Choice'!$B$8^(I370+1)</f>
        <v>39650.964557287043</v>
      </c>
      <c r="P370" s="10">
        <f>'Optimal Choice'!$B$12*'Optimal Choice'!$B$13^(J370+1)</f>
        <v>529067.24322413921</v>
      </c>
      <c r="Q370" s="10">
        <f>'Optimal Choice'!$B$17*'Optimal Choice'!$B$18^(K370+1)</f>
        <v>2130730.035852856</v>
      </c>
      <c r="R370" s="10">
        <f>'Optimal Choice'!$B$22*'Optimal Choice'!$B$23^(L370+1)</f>
        <v>9161888.8990684412</v>
      </c>
      <c r="S370" s="10">
        <f>'Optimal Choice'!$B$27*'Optimal Choice'!$B$28^(M370+1)</f>
        <v>52806360.396227337</v>
      </c>
    </row>
    <row r="371" spans="1:19" ht="15.75" customHeight="1">
      <c r="A371" s="8">
        <f t="shared" si="0"/>
        <v>80.962921655768795</v>
      </c>
      <c r="B371" s="7">
        <f>(I371*'Optimal Choice'!$B$6+J371*'Optimal Choice'!$B$11+K371*'Optimal Choice'!$B$16+L371*'Optimal Choice'!$B$21+M371*'Optimal Choice'!$B$26)*'Optimal Choice'!$B$30</f>
        <v>143795.45000000001</v>
      </c>
      <c r="C371" s="8">
        <f>(O371/$B371)+(O371/'Optimal Choice'!$B$6)</f>
        <v>23743.36829488703</v>
      </c>
      <c r="D371" s="8">
        <f>(P371/$B371)+(P371/'Optimal Choice'!$B$11)</f>
        <v>26457.041465685819</v>
      </c>
      <c r="E371" s="8">
        <f>(Q371/$B371)+(Q371/'Optimal Choice'!$B$16)</f>
        <v>27006.13939549492</v>
      </c>
      <c r="F371" s="8">
        <f>(R371/$B371)+(R371/'Optimal Choice'!$B$21)</f>
        <v>25513.406120662214</v>
      </c>
      <c r="G371" s="8">
        <f>(S371/$B371)+(S371/'Optimal Choice'!$B$26)</f>
        <v>24814.621557056489</v>
      </c>
      <c r="I371" s="11">
        <f t="shared" ref="I371:M371" si="369">IF(MIN($C370:$G370)=C370,I370+1,I370)</f>
        <v>135</v>
      </c>
      <c r="J371" s="11">
        <f t="shared" si="369"/>
        <v>64</v>
      </c>
      <c r="K371" s="11">
        <f t="shared" si="369"/>
        <v>61</v>
      </c>
      <c r="L371" s="11">
        <f t="shared" si="369"/>
        <v>56</v>
      </c>
      <c r="M371" s="11">
        <f t="shared" si="369"/>
        <v>54</v>
      </c>
      <c r="O371" s="10">
        <f>'Optimal Choice'!$B$7*'Optimal Choice'!$B$8^(I371+1)</f>
        <v>39650.964557287043</v>
      </c>
      <c r="P371" s="10">
        <f>'Optimal Choice'!$B$12*'Optimal Choice'!$B$13^(J371+1)</f>
        <v>529067.24322413921</v>
      </c>
      <c r="Q371" s="10">
        <f>'Optimal Choice'!$B$17*'Optimal Choice'!$B$18^(K371+1)</f>
        <v>2429032.2408722551</v>
      </c>
      <c r="R371" s="10">
        <f>'Optimal Choice'!$B$22*'Optimal Choice'!$B$23^(L371+1)</f>
        <v>9161888.8990684412</v>
      </c>
      <c r="S371" s="10">
        <f>'Optimal Choice'!$B$27*'Optimal Choice'!$B$28^(M371+1)</f>
        <v>52806360.396227337</v>
      </c>
    </row>
    <row r="372" spans="1:19" ht="15.75" customHeight="1">
      <c r="A372" s="8">
        <f t="shared" si="0"/>
        <v>80.96751741599131</v>
      </c>
      <c r="B372" s="7">
        <f>(I372*'Optimal Choice'!$B$6+J372*'Optimal Choice'!$B$11+K372*'Optimal Choice'!$B$16+L372*'Optimal Choice'!$B$21+M372*'Optimal Choice'!$B$26)*'Optimal Choice'!$B$30</f>
        <v>143797.12</v>
      </c>
      <c r="C372" s="8">
        <f>(O372/$B372)+(O372/'Optimal Choice'!$B$6)</f>
        <v>25405.404072102567</v>
      </c>
      <c r="D372" s="8">
        <f>(P372/$B372)+(P372/'Optimal Choice'!$B$11)</f>
        <v>26457.041422955906</v>
      </c>
      <c r="E372" s="8">
        <f>(Q372/$B372)+(Q372/'Optimal Choice'!$B$16)</f>
        <v>27006.139199315061</v>
      </c>
      <c r="F372" s="8">
        <f>(R372/$B372)+(R372/'Optimal Choice'!$B$21)</f>
        <v>25513.405380705764</v>
      </c>
      <c r="G372" s="8">
        <f>(S372/$B372)+(S372/'Optimal Choice'!$B$26)</f>
        <v>24814.617292171006</v>
      </c>
      <c r="I372" s="11">
        <f t="shared" ref="I372:M372" si="370">IF(MIN($C371:$G371)=C371,I371+1,I371)</f>
        <v>136</v>
      </c>
      <c r="J372" s="11">
        <f t="shared" si="370"/>
        <v>64</v>
      </c>
      <c r="K372" s="11">
        <f t="shared" si="370"/>
        <v>61</v>
      </c>
      <c r="L372" s="11">
        <f t="shared" si="370"/>
        <v>56</v>
      </c>
      <c r="M372" s="11">
        <f t="shared" si="370"/>
        <v>54</v>
      </c>
      <c r="O372" s="10">
        <f>'Optimal Choice'!$B$7*'Optimal Choice'!$B$8^(I372+1)</f>
        <v>42426.532076297146</v>
      </c>
      <c r="P372" s="10">
        <f>'Optimal Choice'!$B$12*'Optimal Choice'!$B$13^(J372+1)</f>
        <v>529067.24322413921</v>
      </c>
      <c r="Q372" s="10">
        <f>'Optimal Choice'!$B$17*'Optimal Choice'!$B$18^(K372+1)</f>
        <v>2429032.2408722551</v>
      </c>
      <c r="R372" s="10">
        <f>'Optimal Choice'!$B$22*'Optimal Choice'!$B$23^(L372+1)</f>
        <v>9161888.8990684412</v>
      </c>
      <c r="S372" s="10">
        <f>'Optimal Choice'!$B$27*'Optimal Choice'!$B$28^(M372+1)</f>
        <v>52806360.396227337</v>
      </c>
    </row>
    <row r="373" spans="1:19" ht="15.75" customHeight="1">
      <c r="A373" s="8">
        <f t="shared" si="0"/>
        <v>87.087987746716905</v>
      </c>
      <c r="B373" s="7">
        <f>(I373*'Optimal Choice'!$B$6+J373*'Optimal Choice'!$B$11+K373*'Optimal Choice'!$B$16+L373*'Optimal Choice'!$B$21+M373*'Optimal Choice'!$B$26)*'Optimal Choice'!$B$30</f>
        <v>145957.12</v>
      </c>
      <c r="C373" s="8">
        <f>(O373/$B373)+(O373/'Optimal Choice'!$B$6)</f>
        <v>25405.399705780044</v>
      </c>
      <c r="D373" s="8">
        <f>(P373/$B373)+(P373/'Optimal Choice'!$B$11)</f>
        <v>26456.986974050789</v>
      </c>
      <c r="E373" s="8">
        <f>(Q373/$B373)+(Q373/'Optimal Choice'!$B$16)</f>
        <v>27005.889215692565</v>
      </c>
      <c r="F373" s="8">
        <f>(R373/$B373)+(R373/'Optimal Choice'!$B$21)</f>
        <v>25512.462485779404</v>
      </c>
      <c r="G373" s="8">
        <f>(S373/$B373)+(S373/'Optimal Choice'!$B$26)</f>
        <v>27786.284658275872</v>
      </c>
      <c r="I373" s="11">
        <f t="shared" ref="I373:M373" si="371">IF(MIN($C372:$G372)=C372,I372+1,I372)</f>
        <v>136</v>
      </c>
      <c r="J373" s="11">
        <f t="shared" si="371"/>
        <v>64</v>
      </c>
      <c r="K373" s="11">
        <f t="shared" si="371"/>
        <v>61</v>
      </c>
      <c r="L373" s="11">
        <f t="shared" si="371"/>
        <v>56</v>
      </c>
      <c r="M373" s="11">
        <f t="shared" si="371"/>
        <v>55</v>
      </c>
      <c r="O373" s="10">
        <f>'Optimal Choice'!$B$7*'Optimal Choice'!$B$8^(I373+1)</f>
        <v>42426.532076297146</v>
      </c>
      <c r="P373" s="10">
        <f>'Optimal Choice'!$B$12*'Optimal Choice'!$B$13^(J373+1)</f>
        <v>529067.24322413921</v>
      </c>
      <c r="Q373" s="10">
        <f>'Optimal Choice'!$B$17*'Optimal Choice'!$B$18^(K373+1)</f>
        <v>2429032.2408722551</v>
      </c>
      <c r="R373" s="10">
        <f>'Optimal Choice'!$B$22*'Optimal Choice'!$B$23^(L373+1)</f>
        <v>9161888.8990684412</v>
      </c>
      <c r="S373" s="10">
        <f>'Optimal Choice'!$B$27*'Optimal Choice'!$B$28^(M373+1)</f>
        <v>59143123.643774614</v>
      </c>
    </row>
    <row r="374" spans="1:19" ht="15.75" customHeight="1">
      <c r="A374" s="8">
        <f t="shared" si="0"/>
        <v>87.092832381003589</v>
      </c>
      <c r="B374" s="7">
        <f>(I374*'Optimal Choice'!$B$6+J374*'Optimal Choice'!$B$11+K374*'Optimal Choice'!$B$16+L374*'Optimal Choice'!$B$21+M374*'Optimal Choice'!$B$26)*'Optimal Choice'!$B$30</f>
        <v>145958.79</v>
      </c>
      <c r="C374" s="8">
        <f>(O374/$B374)+(O374/'Optimal Choice'!$B$6)</f>
        <v>27183.777681626023</v>
      </c>
      <c r="D374" s="8">
        <f>(P374/$B374)+(P374/'Optimal Choice'!$B$11)</f>
        <v>26456.986932577183</v>
      </c>
      <c r="E374" s="8">
        <f>(Q374/$B374)+(Q374/'Optimal Choice'!$B$16)</f>
        <v>27005.889025280612</v>
      </c>
      <c r="F374" s="8">
        <f>(R374/$B374)+(R374/'Optimal Choice'!$B$21)</f>
        <v>25512.461767578494</v>
      </c>
      <c r="G374" s="8">
        <f>(S374/$B374)+(S374/'Optimal Choice'!$B$26)</f>
        <v>27786.28002204356</v>
      </c>
      <c r="I374" s="11">
        <f t="shared" ref="I374:M374" si="372">IF(MIN($C373:$G373)=C373,I373+1,I373)</f>
        <v>137</v>
      </c>
      <c r="J374" s="11">
        <f t="shared" si="372"/>
        <v>64</v>
      </c>
      <c r="K374" s="11">
        <f t="shared" si="372"/>
        <v>61</v>
      </c>
      <c r="L374" s="11">
        <f t="shared" si="372"/>
        <v>56</v>
      </c>
      <c r="M374" s="11">
        <f t="shared" si="372"/>
        <v>55</v>
      </c>
      <c r="O374" s="10">
        <f>'Optimal Choice'!$B$7*'Optimal Choice'!$B$8^(I374+1)</f>
        <v>45396.389321637944</v>
      </c>
      <c r="P374" s="10">
        <f>'Optimal Choice'!$B$12*'Optimal Choice'!$B$13^(J374+1)</f>
        <v>529067.24322413921</v>
      </c>
      <c r="Q374" s="10">
        <f>'Optimal Choice'!$B$17*'Optimal Choice'!$B$18^(K374+1)</f>
        <v>2429032.2408722551</v>
      </c>
      <c r="R374" s="10">
        <f>'Optimal Choice'!$B$22*'Optimal Choice'!$B$23^(L374+1)</f>
        <v>9161888.8990684412</v>
      </c>
      <c r="S374" s="10">
        <f>'Optimal Choice'!$B$27*'Optimal Choice'!$B$28^(M374+1)</f>
        <v>59143123.643774614</v>
      </c>
    </row>
    <row r="375" spans="1:19" ht="15.75" customHeight="1">
      <c r="A375" s="8">
        <f t="shared" si="0"/>
        <v>88.13900540229136</v>
      </c>
      <c r="B375" s="7">
        <f>(I375*'Optimal Choice'!$B$6+J375*'Optimal Choice'!$B$11+K375*'Optimal Choice'!$B$16+L375*'Optimal Choice'!$B$21+M375*'Optimal Choice'!$B$26)*'Optimal Choice'!$B$30</f>
        <v>146318.79</v>
      </c>
      <c r="C375" s="8">
        <f>(O375/$B375)+(O375/'Optimal Choice'!$B$6)</f>
        <v>27183.776916393432</v>
      </c>
      <c r="D375" s="8">
        <f>(P375/$B375)+(P375/'Optimal Choice'!$B$11)</f>
        <v>26456.978014257853</v>
      </c>
      <c r="E375" s="8">
        <f>(Q375/$B375)+(Q375/'Optimal Choice'!$B$16)</f>
        <v>27005.848079851716</v>
      </c>
      <c r="F375" s="8">
        <f>(R375/$B375)+(R375/'Optimal Choice'!$B$21)</f>
        <v>28828.907281219155</v>
      </c>
      <c r="G375" s="8">
        <f>(S375/$B375)+(S375/'Optimal Choice'!$B$26)</f>
        <v>27785.283065097887</v>
      </c>
      <c r="I375" s="11">
        <f t="shared" ref="I375:M375" si="373">IF(MIN($C374:$G374)=C374,I374+1,I374)</f>
        <v>137</v>
      </c>
      <c r="J375" s="11">
        <f t="shared" si="373"/>
        <v>64</v>
      </c>
      <c r="K375" s="11">
        <f t="shared" si="373"/>
        <v>61</v>
      </c>
      <c r="L375" s="11">
        <f t="shared" si="373"/>
        <v>57</v>
      </c>
      <c r="M375" s="11">
        <f t="shared" si="373"/>
        <v>55</v>
      </c>
      <c r="O375" s="10">
        <f>'Optimal Choice'!$B$7*'Optimal Choice'!$B$8^(I375+1)</f>
        <v>45396.389321637944</v>
      </c>
      <c r="P375" s="10">
        <f>'Optimal Choice'!$B$12*'Optimal Choice'!$B$13^(J375+1)</f>
        <v>529067.24322413921</v>
      </c>
      <c r="Q375" s="10">
        <f>'Optimal Choice'!$B$17*'Optimal Choice'!$B$18^(K375+1)</f>
        <v>2429032.2408722551</v>
      </c>
      <c r="R375" s="10">
        <f>'Optimal Choice'!$B$22*'Optimal Choice'!$B$23^(L375+1)</f>
        <v>10352934.455947336</v>
      </c>
      <c r="S375" s="10">
        <f>'Optimal Choice'!$B$27*'Optimal Choice'!$B$28^(M375+1)</f>
        <v>59143123.643774614</v>
      </c>
    </row>
    <row r="376" spans="1:19" ht="15.75" customHeight="1">
      <c r="A376" s="8">
        <f t="shared" si="0"/>
        <v>88.199269619806202</v>
      </c>
      <c r="B376" s="7">
        <f>(I376*'Optimal Choice'!$B$6+J376*'Optimal Choice'!$B$11+K376*'Optimal Choice'!$B$16+L376*'Optimal Choice'!$B$21+M376*'Optimal Choice'!$B$26)*'Optimal Choice'!$B$30</f>
        <v>146338.79</v>
      </c>
      <c r="C376" s="8">
        <f>(O376/$B376)+(O376/'Optimal Choice'!$B$6)</f>
        <v>27183.776873990904</v>
      </c>
      <c r="D376" s="8">
        <f>(P376/$B376)+(P376/'Optimal Choice'!$B$11)</f>
        <v>30425.52414809457</v>
      </c>
      <c r="E376" s="8">
        <f>(Q376/$B376)+(Q376/'Optimal Choice'!$B$16)</f>
        <v>27005.845811012532</v>
      </c>
      <c r="F376" s="8">
        <f>(R376/$B376)+(R376/'Optimal Choice'!$B$21)</f>
        <v>28828.897611053821</v>
      </c>
      <c r="G376" s="8">
        <f>(S376/$B376)+(S376/'Optimal Choice'!$B$26)</f>
        <v>27785.227822423803</v>
      </c>
      <c r="I376" s="11">
        <f t="shared" ref="I376:M376" si="374">IF(MIN($C375:$G375)=C375,I375+1,I375)</f>
        <v>137</v>
      </c>
      <c r="J376" s="11">
        <f t="shared" si="374"/>
        <v>65</v>
      </c>
      <c r="K376" s="11">
        <f t="shared" si="374"/>
        <v>61</v>
      </c>
      <c r="L376" s="11">
        <f t="shared" si="374"/>
        <v>57</v>
      </c>
      <c r="M376" s="11">
        <f t="shared" si="374"/>
        <v>55</v>
      </c>
      <c r="O376" s="10">
        <f>'Optimal Choice'!$B$7*'Optimal Choice'!$B$8^(I376+1)</f>
        <v>45396.389321637944</v>
      </c>
      <c r="P376" s="10">
        <f>'Optimal Choice'!$B$12*'Optimal Choice'!$B$13^(J376+1)</f>
        <v>608427.32970776001</v>
      </c>
      <c r="Q376" s="10">
        <f>'Optimal Choice'!$B$17*'Optimal Choice'!$B$18^(K376+1)</f>
        <v>2429032.2408722551</v>
      </c>
      <c r="R376" s="10">
        <f>'Optimal Choice'!$B$22*'Optimal Choice'!$B$23^(L376+1)</f>
        <v>10352934.455947336</v>
      </c>
      <c r="S376" s="10">
        <f>'Optimal Choice'!$B$27*'Optimal Choice'!$B$28^(M376+1)</f>
        <v>59143123.643774614</v>
      </c>
    </row>
    <row r="377" spans="1:19" ht="15.75" customHeight="1">
      <c r="A377" s="8">
        <f t="shared" si="0"/>
        <v>88.475914456634527</v>
      </c>
      <c r="B377" s="7">
        <f>(I377*'Optimal Choice'!$B$6+J377*'Optimal Choice'!$B$11+K377*'Optimal Choice'!$B$16+L377*'Optimal Choice'!$B$21+M377*'Optimal Choice'!$B$26)*'Optimal Choice'!$B$30</f>
        <v>146428.79</v>
      </c>
      <c r="C377" s="8">
        <f>(O377/$B377)+(O377/'Optimal Choice'!$B$6)</f>
        <v>27183.776683322871</v>
      </c>
      <c r="D377" s="8">
        <f>(P377/$B377)+(P377/'Optimal Choice'!$B$11)</f>
        <v>30425.521592656918</v>
      </c>
      <c r="E377" s="8">
        <f>(Q377/$B377)+(Q377/'Optimal Choice'!$B$16)</f>
        <v>30786.652594152813</v>
      </c>
      <c r="F377" s="8">
        <f>(R377/$B377)+(R377/'Optimal Choice'!$B$21)</f>
        <v>28828.85412799965</v>
      </c>
      <c r="G377" s="8">
        <f>(S377/$B377)+(S377/'Optimal Choice'!$B$26)</f>
        <v>27784.979417137332</v>
      </c>
      <c r="I377" s="11">
        <f t="shared" ref="I377:M377" si="375">IF(MIN($C376:$G376)=C376,I376+1,I376)</f>
        <v>137</v>
      </c>
      <c r="J377" s="11">
        <f t="shared" si="375"/>
        <v>65</v>
      </c>
      <c r="K377" s="11">
        <f t="shared" si="375"/>
        <v>62</v>
      </c>
      <c r="L377" s="11">
        <f t="shared" si="375"/>
        <v>57</v>
      </c>
      <c r="M377" s="11">
        <f t="shared" si="375"/>
        <v>55</v>
      </c>
      <c r="O377" s="10">
        <f>'Optimal Choice'!$B$7*'Optimal Choice'!$B$8^(I377+1)</f>
        <v>45396.389321637944</v>
      </c>
      <c r="P377" s="10">
        <f>'Optimal Choice'!$B$12*'Optimal Choice'!$B$13^(J377+1)</f>
        <v>608427.32970776001</v>
      </c>
      <c r="Q377" s="10">
        <f>'Optimal Choice'!$B$17*'Optimal Choice'!$B$18^(K377+1)</f>
        <v>2769096.7545943707</v>
      </c>
      <c r="R377" s="10">
        <f>'Optimal Choice'!$B$22*'Optimal Choice'!$B$23^(L377+1)</f>
        <v>10352934.455947336</v>
      </c>
      <c r="S377" s="10">
        <f>'Optimal Choice'!$B$27*'Optimal Choice'!$B$28^(M377+1)</f>
        <v>59143123.643774614</v>
      </c>
    </row>
    <row r="378" spans="1:19" ht="15.75" customHeight="1">
      <c r="A378" s="8">
        <f t="shared" si="0"/>
        <v>88.481081517625014</v>
      </c>
      <c r="B378" s="7">
        <f>(I378*'Optimal Choice'!$B$6+J378*'Optimal Choice'!$B$11+K378*'Optimal Choice'!$B$16+L378*'Optimal Choice'!$B$21+M378*'Optimal Choice'!$B$26)*'Optimal Choice'!$B$30</f>
        <v>146430.46</v>
      </c>
      <c r="C378" s="8">
        <f>(O378/$B378)+(O378/'Optimal Choice'!$B$6)</f>
        <v>29086.641047372235</v>
      </c>
      <c r="D378" s="8">
        <f>(P378/$B378)+(P378/'Optimal Choice'!$B$11)</f>
        <v>30425.521545269035</v>
      </c>
      <c r="E378" s="8">
        <f>(Q378/$B378)+(Q378/'Optimal Choice'!$B$16)</f>
        <v>30786.652378479354</v>
      </c>
      <c r="F378" s="8">
        <f>(R378/$B378)+(R378/'Optimal Choice'!$B$21)</f>
        <v>28828.853321652536</v>
      </c>
      <c r="G378" s="8">
        <f>(S378/$B378)+(S378/'Optimal Choice'!$B$26)</f>
        <v>27784.974810724802</v>
      </c>
      <c r="I378" s="11">
        <f t="shared" ref="I378:M378" si="376">IF(MIN($C377:$G377)=C377,I377+1,I377)</f>
        <v>138</v>
      </c>
      <c r="J378" s="11">
        <f t="shared" si="376"/>
        <v>65</v>
      </c>
      <c r="K378" s="11">
        <f t="shared" si="376"/>
        <v>62</v>
      </c>
      <c r="L378" s="11">
        <f t="shared" si="376"/>
        <v>57</v>
      </c>
      <c r="M378" s="11">
        <f t="shared" si="376"/>
        <v>55</v>
      </c>
      <c r="O378" s="10">
        <f>'Optimal Choice'!$B$7*'Optimal Choice'!$B$8^(I378+1)</f>
        <v>48574.136574152602</v>
      </c>
      <c r="P378" s="10">
        <f>'Optimal Choice'!$B$12*'Optimal Choice'!$B$13^(J378+1)</f>
        <v>608427.32970776001</v>
      </c>
      <c r="Q378" s="10">
        <f>'Optimal Choice'!$B$17*'Optimal Choice'!$B$18^(K378+1)</f>
        <v>2769096.7545943707</v>
      </c>
      <c r="R378" s="10">
        <f>'Optimal Choice'!$B$22*'Optimal Choice'!$B$23^(L378+1)</f>
        <v>10352934.455947336</v>
      </c>
      <c r="S378" s="10">
        <f>'Optimal Choice'!$B$27*'Optimal Choice'!$B$28^(M378+1)</f>
        <v>59143123.643774614</v>
      </c>
    </row>
    <row r="379" spans="1:19" ht="15.75" customHeight="1">
      <c r="A379" s="8">
        <f t="shared" si="0"/>
        <v>95.212732346258917</v>
      </c>
      <c r="B379" s="7">
        <f>(I379*'Optimal Choice'!$B$6+J379*'Optimal Choice'!$B$11+K379*'Optimal Choice'!$B$16+L379*'Optimal Choice'!$B$21+M379*'Optimal Choice'!$B$26)*'Optimal Choice'!$B$30</f>
        <v>148590.46</v>
      </c>
      <c r="C379" s="8">
        <f>(O379/$B379)+(O379/'Optimal Choice'!$B$6)</f>
        <v>29086.636225269191</v>
      </c>
      <c r="D379" s="8">
        <f>(P379/$B379)+(P379/'Optimal Choice'!$B$11)</f>
        <v>30425.46114482783</v>
      </c>
      <c r="E379" s="8">
        <f>(Q379/$B379)+(Q379/'Optimal Choice'!$B$16)</f>
        <v>30786.377481778378</v>
      </c>
      <c r="F379" s="8">
        <f>(R379/$B379)+(R379/'Optimal Choice'!$B$21)</f>
        <v>28827.825554196366</v>
      </c>
      <c r="G379" s="8">
        <f>(S379/$B379)+(S379/'Optimal Choice'!$B$26)</f>
        <v>31112.595911060613</v>
      </c>
      <c r="I379" s="11">
        <f t="shared" ref="I379:M379" si="377">IF(MIN($C378:$G378)=C378,I378+1,I378)</f>
        <v>138</v>
      </c>
      <c r="J379" s="11">
        <f t="shared" si="377"/>
        <v>65</v>
      </c>
      <c r="K379" s="11">
        <f t="shared" si="377"/>
        <v>62</v>
      </c>
      <c r="L379" s="11">
        <f t="shared" si="377"/>
        <v>57</v>
      </c>
      <c r="M379" s="11">
        <f t="shared" si="377"/>
        <v>56</v>
      </c>
      <c r="O379" s="10">
        <f>'Optimal Choice'!$B$7*'Optimal Choice'!$B$8^(I379+1)</f>
        <v>48574.136574152602</v>
      </c>
      <c r="P379" s="10">
        <f>'Optimal Choice'!$B$12*'Optimal Choice'!$B$13^(J379+1)</f>
        <v>608427.32970776001</v>
      </c>
      <c r="Q379" s="10">
        <f>'Optimal Choice'!$B$17*'Optimal Choice'!$B$18^(K379+1)</f>
        <v>2769096.7545943707</v>
      </c>
      <c r="R379" s="10">
        <f>'Optimal Choice'!$B$22*'Optimal Choice'!$B$23^(L379+1)</f>
        <v>10352934.455947336</v>
      </c>
      <c r="S379" s="10">
        <f>'Optimal Choice'!$B$27*'Optimal Choice'!$B$28^(M379+1)</f>
        <v>66240298.481027588</v>
      </c>
    </row>
    <row r="380" spans="1:19" ht="15.75" customHeight="1">
      <c r="A380" s="8">
        <f t="shared" si="0"/>
        <v>96.373970474192049</v>
      </c>
      <c r="B380" s="7">
        <f>(I380*'Optimal Choice'!$B$6+J380*'Optimal Choice'!$B$11+K380*'Optimal Choice'!$B$16+L380*'Optimal Choice'!$B$21+M380*'Optimal Choice'!$B$26)*'Optimal Choice'!$B$30</f>
        <v>148950.46</v>
      </c>
      <c r="C380" s="8">
        <f>(O380/$B380)+(O380/'Optimal Choice'!$B$6)</f>
        <v>29086.635435182372</v>
      </c>
      <c r="D380" s="8">
        <f>(P380/$B380)+(P380/'Optimal Choice'!$B$11)</f>
        <v>30425.451248400532</v>
      </c>
      <c r="E380" s="8">
        <f>(Q380/$B380)+(Q380/'Optimal Choice'!$B$16)</f>
        <v>30786.332440795875</v>
      </c>
      <c r="F380" s="8">
        <f>(R380/$B380)+(R380/'Optimal Choice'!$B$21)</f>
        <v>32575.252588140545</v>
      </c>
      <c r="G380" s="8">
        <f>(S380/$B380)+(S380/'Optimal Choice'!$B$26)</f>
        <v>31111.51847376271</v>
      </c>
      <c r="I380" s="11">
        <f t="shared" ref="I380:M380" si="378">IF(MIN($C379:$G379)=C379,I379+1,I379)</f>
        <v>138</v>
      </c>
      <c r="J380" s="11">
        <f t="shared" si="378"/>
        <v>65</v>
      </c>
      <c r="K380" s="11">
        <f t="shared" si="378"/>
        <v>62</v>
      </c>
      <c r="L380" s="11">
        <f t="shared" si="378"/>
        <v>58</v>
      </c>
      <c r="M380" s="11">
        <f t="shared" si="378"/>
        <v>56</v>
      </c>
      <c r="O380" s="10">
        <f>'Optimal Choice'!$B$7*'Optimal Choice'!$B$8^(I380+1)</f>
        <v>48574.136574152602</v>
      </c>
      <c r="P380" s="10">
        <f>'Optimal Choice'!$B$12*'Optimal Choice'!$B$13^(J380+1)</f>
        <v>608427.32970776001</v>
      </c>
      <c r="Q380" s="10">
        <f>'Optimal Choice'!$B$17*'Optimal Choice'!$B$18^(K380+1)</f>
        <v>2769096.7545943707</v>
      </c>
      <c r="R380" s="10">
        <f>'Optimal Choice'!$B$22*'Optimal Choice'!$B$23^(L380+1)</f>
        <v>11698815.935220486</v>
      </c>
      <c r="S380" s="10">
        <f>'Optimal Choice'!$B$27*'Optimal Choice'!$B$28^(M380+1)</f>
        <v>66240298.481027588</v>
      </c>
    </row>
    <row r="381" spans="1:19" ht="15.75" customHeight="1">
      <c r="A381" s="8">
        <f t="shared" si="0"/>
        <v>96.379405629900219</v>
      </c>
      <c r="B381" s="7">
        <f>(I381*'Optimal Choice'!$B$6+J381*'Optimal Choice'!$B$11+K381*'Optimal Choice'!$B$16+L381*'Optimal Choice'!$B$21+M381*'Optimal Choice'!$B$26)*'Optimal Choice'!$B$30</f>
        <v>148952.13</v>
      </c>
      <c r="C381" s="8">
        <f>(O381/$B381)+(O381/'Optimal Choice'!$B$6)</f>
        <v>31122.699911732972</v>
      </c>
      <c r="D381" s="8">
        <f>(P381/$B381)+(P381/'Optimal Choice'!$B$11)</f>
        <v>30425.451202603577</v>
      </c>
      <c r="E381" s="8">
        <f>(Q381/$B381)+(Q381/'Optimal Choice'!$B$16)</f>
        <v>30786.332232363085</v>
      </c>
      <c r="F381" s="8">
        <f>(R381/$B381)+(R381/'Optimal Choice'!$B$21)</f>
        <v>32575.251707558527</v>
      </c>
      <c r="G381" s="8">
        <f>(S381/$B381)+(S381/'Optimal Choice'!$B$26)</f>
        <v>31111.513487786695</v>
      </c>
      <c r="I381" s="11">
        <f t="shared" ref="I381:M381" si="379">IF(MIN($C380:$G380)=C380,I380+1,I380)</f>
        <v>139</v>
      </c>
      <c r="J381" s="11">
        <f t="shared" si="379"/>
        <v>65</v>
      </c>
      <c r="K381" s="11">
        <f t="shared" si="379"/>
        <v>62</v>
      </c>
      <c r="L381" s="11">
        <f t="shared" si="379"/>
        <v>58</v>
      </c>
      <c r="M381" s="11">
        <f t="shared" si="379"/>
        <v>56</v>
      </c>
      <c r="O381" s="10">
        <f>'Optimal Choice'!$B$7*'Optimal Choice'!$B$8^(I381+1)</f>
        <v>51974.326134343275</v>
      </c>
      <c r="P381" s="10">
        <f>'Optimal Choice'!$B$12*'Optimal Choice'!$B$13^(J381+1)</f>
        <v>608427.32970776001</v>
      </c>
      <c r="Q381" s="10">
        <f>'Optimal Choice'!$B$17*'Optimal Choice'!$B$18^(K381+1)</f>
        <v>2769096.7545943707</v>
      </c>
      <c r="R381" s="10">
        <f>'Optimal Choice'!$B$22*'Optimal Choice'!$B$23^(L381+1)</f>
        <v>11698815.935220486</v>
      </c>
      <c r="S381" s="10">
        <f>'Optimal Choice'!$B$27*'Optimal Choice'!$B$28^(M381+1)</f>
        <v>66240298.481027588</v>
      </c>
    </row>
    <row r="382" spans="1:19" ht="15.75" customHeight="1">
      <c r="A382" s="8">
        <f t="shared" si="0"/>
        <v>96.447484250159818</v>
      </c>
      <c r="B382" s="7">
        <f>(I382*'Optimal Choice'!$B$6+J382*'Optimal Choice'!$B$11+K382*'Optimal Choice'!$B$16+L382*'Optimal Choice'!$B$21+M382*'Optimal Choice'!$B$26)*'Optimal Choice'!$B$30</f>
        <v>148972.13</v>
      </c>
      <c r="C382" s="8">
        <f>(O382/$B382)+(O382/'Optimal Choice'!$B$6)</f>
        <v>31122.699864887552</v>
      </c>
      <c r="D382" s="8">
        <f>(P382/$B382)+(P382/'Optimal Choice'!$B$11)</f>
        <v>34989.268252349328</v>
      </c>
      <c r="E382" s="8">
        <f>(Q382/$B382)+(Q382/'Optimal Choice'!$B$16)</f>
        <v>30786.329736525153</v>
      </c>
      <c r="F382" s="8">
        <f>(R382/$B382)+(R382/'Optimal Choice'!$B$21)</f>
        <v>32575.241163200142</v>
      </c>
      <c r="G382" s="8">
        <f>(S382/$B382)+(S382/'Optimal Choice'!$B$26)</f>
        <v>31111.453784185025</v>
      </c>
      <c r="I382" s="11">
        <f t="shared" ref="I382:M382" si="380">IF(MIN($C381:$G381)=C381,I381+1,I381)</f>
        <v>139</v>
      </c>
      <c r="J382" s="11">
        <f t="shared" si="380"/>
        <v>66</v>
      </c>
      <c r="K382" s="11">
        <f t="shared" si="380"/>
        <v>62</v>
      </c>
      <c r="L382" s="11">
        <f t="shared" si="380"/>
        <v>58</v>
      </c>
      <c r="M382" s="11">
        <f t="shared" si="380"/>
        <v>56</v>
      </c>
      <c r="O382" s="10">
        <f>'Optimal Choice'!$B$7*'Optimal Choice'!$B$8^(I382+1)</f>
        <v>51974.326134343275</v>
      </c>
      <c r="P382" s="10">
        <f>'Optimal Choice'!$B$12*'Optimal Choice'!$B$13^(J382+1)</f>
        <v>699691.42916392395</v>
      </c>
      <c r="Q382" s="10">
        <f>'Optimal Choice'!$B$17*'Optimal Choice'!$B$18^(K382+1)</f>
        <v>2769096.7545943707</v>
      </c>
      <c r="R382" s="10">
        <f>'Optimal Choice'!$B$22*'Optimal Choice'!$B$23^(L382+1)</f>
        <v>11698815.935220486</v>
      </c>
      <c r="S382" s="10">
        <f>'Optimal Choice'!$B$27*'Optimal Choice'!$B$28^(M382+1)</f>
        <v>66240298.481027588</v>
      </c>
    </row>
    <row r="383" spans="1:19" ht="15.75" customHeight="1">
      <c r="A383" s="8">
        <f t="shared" si="0"/>
        <v>96.757284563658544</v>
      </c>
      <c r="B383" s="7">
        <f>(I383*'Optimal Choice'!$B$6+J383*'Optimal Choice'!$B$11+K383*'Optimal Choice'!$B$16+L383*'Optimal Choice'!$B$21+M383*'Optimal Choice'!$B$26)*'Optimal Choice'!$B$30</f>
        <v>149062.13</v>
      </c>
      <c r="C383" s="8">
        <f>(O383/$B383)+(O383/'Optimal Choice'!$B$6)</f>
        <v>31122.699654238735</v>
      </c>
      <c r="D383" s="8">
        <f>(P383/$B383)+(P383/'Optimal Choice'!$B$11)</f>
        <v>34989.265416542046</v>
      </c>
      <c r="E383" s="8">
        <f>(Q383/$B383)+(Q383/'Optimal Choice'!$B$16)</f>
        <v>35096.403105438512</v>
      </c>
      <c r="F383" s="8">
        <f>(R383/$B383)+(R383/'Optimal Choice'!$B$21)</f>
        <v>32575.193748602735</v>
      </c>
      <c r="G383" s="8">
        <f>(S383/$B383)+(S383/'Optimal Choice'!$B$26)</f>
        <v>31111.185316239029</v>
      </c>
      <c r="I383" s="11">
        <f t="shared" ref="I383:M383" si="381">IF(MIN($C382:$G382)=C382,I382+1,I382)</f>
        <v>139</v>
      </c>
      <c r="J383" s="11">
        <f t="shared" si="381"/>
        <v>66</v>
      </c>
      <c r="K383" s="11">
        <f t="shared" si="381"/>
        <v>63</v>
      </c>
      <c r="L383" s="11">
        <f t="shared" si="381"/>
        <v>58</v>
      </c>
      <c r="M383" s="11">
        <f t="shared" si="381"/>
        <v>56</v>
      </c>
      <c r="O383" s="10">
        <f>'Optimal Choice'!$B$7*'Optimal Choice'!$B$8^(I383+1)</f>
        <v>51974.326134343275</v>
      </c>
      <c r="P383" s="10">
        <f>'Optimal Choice'!$B$12*'Optimal Choice'!$B$13^(J383+1)</f>
        <v>699691.42916392395</v>
      </c>
      <c r="Q383" s="10">
        <f>'Optimal Choice'!$B$17*'Optimal Choice'!$B$18^(K383+1)</f>
        <v>3156770.3002375835</v>
      </c>
      <c r="R383" s="10">
        <f>'Optimal Choice'!$B$22*'Optimal Choice'!$B$23^(L383+1)</f>
        <v>11698815.935220486</v>
      </c>
      <c r="S383" s="10">
        <f>'Optimal Choice'!$B$27*'Optimal Choice'!$B$28^(M383+1)</f>
        <v>66240298.481027588</v>
      </c>
    </row>
    <row r="384" spans="1:19" ht="15.75" customHeight="1">
      <c r="A384" s="8">
        <f t="shared" si="0"/>
        <v>104.16362562884923</v>
      </c>
      <c r="B384" s="7">
        <f>(I384*'Optimal Choice'!$B$6+J384*'Optimal Choice'!$B$11+K384*'Optimal Choice'!$B$16+L384*'Optimal Choice'!$B$21+M384*'Optimal Choice'!$B$26)*'Optimal Choice'!$B$30</f>
        <v>151222.13</v>
      </c>
      <c r="C384" s="8">
        <f>(O384/$B384)+(O384/'Optimal Choice'!$B$6)</f>
        <v>31122.694673887814</v>
      </c>
      <c r="D384" s="8">
        <f>(P384/$B384)+(P384/'Optimal Choice'!$B$11)</f>
        <v>34989.198369807375</v>
      </c>
      <c r="E384" s="8">
        <f>(Q384/$B384)+(Q384/'Optimal Choice'!$B$16)</f>
        <v>35096.1006133228</v>
      </c>
      <c r="F384" s="8">
        <f>(R384/$B384)+(R384/'Optimal Choice'!$B$21)</f>
        <v>32574.072729571599</v>
      </c>
      <c r="G384" s="8">
        <f>(S384/$B384)+(S384/'Optimal Choice'!$B$26)</f>
        <v>34837.418507262533</v>
      </c>
      <c r="I384" s="11">
        <f t="shared" ref="I384:M384" si="382">IF(MIN($C383:$G383)=C383,I383+1,I383)</f>
        <v>139</v>
      </c>
      <c r="J384" s="11">
        <f t="shared" si="382"/>
        <v>66</v>
      </c>
      <c r="K384" s="11">
        <f t="shared" si="382"/>
        <v>63</v>
      </c>
      <c r="L384" s="11">
        <f t="shared" si="382"/>
        <v>58</v>
      </c>
      <c r="M384" s="11">
        <f t="shared" si="382"/>
        <v>57</v>
      </c>
      <c r="O384" s="10">
        <f>'Optimal Choice'!$B$7*'Optimal Choice'!$B$8^(I384+1)</f>
        <v>51974.326134343275</v>
      </c>
      <c r="P384" s="10">
        <f>'Optimal Choice'!$B$12*'Optimal Choice'!$B$13^(J384+1)</f>
        <v>699691.42916392395</v>
      </c>
      <c r="Q384" s="10">
        <f>'Optimal Choice'!$B$17*'Optimal Choice'!$B$18^(K384+1)</f>
        <v>3156770.3002375835</v>
      </c>
      <c r="R384" s="10">
        <f>'Optimal Choice'!$B$22*'Optimal Choice'!$B$23^(L384+1)</f>
        <v>11698815.935220486</v>
      </c>
      <c r="S384" s="10">
        <f>'Optimal Choice'!$B$27*'Optimal Choice'!$B$28^(M384+1)</f>
        <v>74189134.298750892</v>
      </c>
    </row>
    <row r="385" spans="1:19" ht="15.75" customHeight="1">
      <c r="A385" s="8">
        <f t="shared" si="0"/>
        <v>104.16935388283498</v>
      </c>
      <c r="B385" s="7">
        <f>(I385*'Optimal Choice'!$B$6+J385*'Optimal Choice'!$B$11+K385*'Optimal Choice'!$B$16+L385*'Optimal Choice'!$B$21+M385*'Optimal Choice'!$B$26)*'Optimal Choice'!$B$30</f>
        <v>151223.79999999999</v>
      </c>
      <c r="C385" s="8">
        <f>(O385/$B385)+(O385/'Optimal Choice'!$B$6)</f>
        <v>33301.283296998772</v>
      </c>
      <c r="D385" s="8">
        <f>(P385/$B385)+(P385/'Optimal Choice'!$B$11)</f>
        <v>34989.1983187113</v>
      </c>
      <c r="E385" s="8">
        <f>(Q385/$B385)+(Q385/'Optimal Choice'!$B$16)</f>
        <v>35096.100382794655</v>
      </c>
      <c r="F385" s="8">
        <f>(R385/$B385)+(R385/'Optimal Choice'!$B$21)</f>
        <v>32574.071875247057</v>
      </c>
      <c r="G385" s="8">
        <f>(S385/$B385)+(S385/'Optimal Choice'!$B$26)</f>
        <v>34837.413089483642</v>
      </c>
      <c r="I385" s="11">
        <f t="shared" ref="I385:M385" si="383">IF(MIN($C384:$G384)=C384,I384+1,I384)</f>
        <v>140</v>
      </c>
      <c r="J385" s="11">
        <f t="shared" si="383"/>
        <v>66</v>
      </c>
      <c r="K385" s="11">
        <f t="shared" si="383"/>
        <v>63</v>
      </c>
      <c r="L385" s="11">
        <f t="shared" si="383"/>
        <v>58</v>
      </c>
      <c r="M385" s="11">
        <f t="shared" si="383"/>
        <v>57</v>
      </c>
      <c r="O385" s="10">
        <f>'Optimal Choice'!$B$7*'Optimal Choice'!$B$8^(I385+1)</f>
        <v>55612.528963747311</v>
      </c>
      <c r="P385" s="10">
        <f>'Optimal Choice'!$B$12*'Optimal Choice'!$B$13^(J385+1)</f>
        <v>699691.42916392395</v>
      </c>
      <c r="Q385" s="10">
        <f>'Optimal Choice'!$B$17*'Optimal Choice'!$B$18^(K385+1)</f>
        <v>3156770.3002375835</v>
      </c>
      <c r="R385" s="10">
        <f>'Optimal Choice'!$B$22*'Optimal Choice'!$B$23^(L385+1)</f>
        <v>11698815.935220486</v>
      </c>
      <c r="S385" s="10">
        <f>'Optimal Choice'!$B$27*'Optimal Choice'!$B$28^(M385+1)</f>
        <v>74189134.298750892</v>
      </c>
    </row>
    <row r="386" spans="1:19" ht="15.75" customHeight="1">
      <c r="A386" s="8">
        <f t="shared" si="0"/>
        <v>105.45870295081905</v>
      </c>
      <c r="B386" s="7">
        <f>(I386*'Optimal Choice'!$B$6+J386*'Optimal Choice'!$B$11+K386*'Optimal Choice'!$B$16+L386*'Optimal Choice'!$B$21+M386*'Optimal Choice'!$B$26)*'Optimal Choice'!$B$30</f>
        <v>151583.79999999999</v>
      </c>
      <c r="C386" s="8">
        <f>(O386/$B386)+(O386/'Optimal Choice'!$B$6)</f>
        <v>33301.282423620854</v>
      </c>
      <c r="D386" s="8">
        <f>(P386/$B386)+(P386/'Optimal Choice'!$B$11)</f>
        <v>34989.187330269357</v>
      </c>
      <c r="E386" s="8">
        <f>(Q386/$B386)+(Q386/'Optimal Choice'!$B$16)</f>
        <v>35096.05080667336</v>
      </c>
      <c r="F386" s="8">
        <f>(R386/$B386)+(R386/'Optimal Choice'!$B$21)</f>
        <v>36808.49360824193</v>
      </c>
      <c r="G386" s="8">
        <f>(S386/$B386)+(S386/'Optimal Choice'!$B$26)</f>
        <v>34836.247971603269</v>
      </c>
      <c r="I386" s="11">
        <f t="shared" ref="I386:M386" si="384">IF(MIN($C385:$G385)=C385,I385+1,I385)</f>
        <v>140</v>
      </c>
      <c r="J386" s="11">
        <f t="shared" si="384"/>
        <v>66</v>
      </c>
      <c r="K386" s="11">
        <f t="shared" si="384"/>
        <v>63</v>
      </c>
      <c r="L386" s="11">
        <f t="shared" si="384"/>
        <v>59</v>
      </c>
      <c r="M386" s="11">
        <f t="shared" si="384"/>
        <v>57</v>
      </c>
      <c r="O386" s="10">
        <f>'Optimal Choice'!$B$7*'Optimal Choice'!$B$8^(I386+1)</f>
        <v>55612.528963747311</v>
      </c>
      <c r="P386" s="10">
        <f>'Optimal Choice'!$B$12*'Optimal Choice'!$B$13^(J386+1)</f>
        <v>699691.42916392395</v>
      </c>
      <c r="Q386" s="10">
        <f>'Optimal Choice'!$B$17*'Optimal Choice'!$B$18^(K386+1)</f>
        <v>3156770.3002375835</v>
      </c>
      <c r="R386" s="10">
        <f>'Optimal Choice'!$B$22*'Optimal Choice'!$B$23^(L386+1)</f>
        <v>13219662.006799148</v>
      </c>
      <c r="S386" s="10">
        <f>'Optimal Choice'!$B$27*'Optimal Choice'!$B$28^(M386+1)</f>
        <v>74189134.298750892</v>
      </c>
    </row>
    <row r="387" spans="1:19" ht="15.75" customHeight="1">
      <c r="A387" s="8">
        <f t="shared" si="0"/>
        <v>105.46481755859857</v>
      </c>
      <c r="B387" s="7">
        <f>(I387*'Optimal Choice'!$B$6+J387*'Optimal Choice'!$B$11+K387*'Optimal Choice'!$B$16+L387*'Optimal Choice'!$B$21+M387*'Optimal Choice'!$B$26)*'Optimal Choice'!$B$30</f>
        <v>151585.47</v>
      </c>
      <c r="C387" s="8">
        <f>(O387/$B387)+(O387/'Optimal Choice'!$B$6)</f>
        <v>35632.37218894955</v>
      </c>
      <c r="D387" s="8">
        <f>(P387/$B387)+(P387/'Optimal Choice'!$B$11)</f>
        <v>34989.187279416816</v>
      </c>
      <c r="E387" s="8">
        <f>(Q387/$B387)+(Q387/'Optimal Choice'!$B$16)</f>
        <v>35096.05057724395</v>
      </c>
      <c r="F387" s="8">
        <f>(R387/$B387)+(R387/'Optimal Choice'!$B$21)</f>
        <v>36808.492647456391</v>
      </c>
      <c r="G387" s="8">
        <f>(S387/$B387)+(S387/'Optimal Choice'!$B$26)</f>
        <v>34836.242579646394</v>
      </c>
      <c r="I387" s="11">
        <f t="shared" ref="I387:M387" si="385">IF(MIN($C386:$G386)=C386,I386+1,I386)</f>
        <v>141</v>
      </c>
      <c r="J387" s="11">
        <f t="shared" si="385"/>
        <v>66</v>
      </c>
      <c r="K387" s="11">
        <f t="shared" si="385"/>
        <v>63</v>
      </c>
      <c r="L387" s="11">
        <f t="shared" si="385"/>
        <v>59</v>
      </c>
      <c r="M387" s="11">
        <f t="shared" si="385"/>
        <v>57</v>
      </c>
      <c r="O387" s="10">
        <f>'Optimal Choice'!$B$7*'Optimal Choice'!$B$8^(I387+1)</f>
        <v>59505.40599120962</v>
      </c>
      <c r="P387" s="10">
        <f>'Optimal Choice'!$B$12*'Optimal Choice'!$B$13^(J387+1)</f>
        <v>699691.42916392395</v>
      </c>
      <c r="Q387" s="10">
        <f>'Optimal Choice'!$B$17*'Optimal Choice'!$B$18^(K387+1)</f>
        <v>3156770.3002375835</v>
      </c>
      <c r="R387" s="10">
        <f>'Optimal Choice'!$B$22*'Optimal Choice'!$B$23^(L387+1)</f>
        <v>13219662.006799148</v>
      </c>
      <c r="S387" s="10">
        <f>'Optimal Choice'!$B$27*'Optimal Choice'!$B$28^(M387+1)</f>
        <v>74189134.298750892</v>
      </c>
    </row>
    <row r="388" spans="1:19" ht="15.75" customHeight="1">
      <c r="A388" s="8">
        <f t="shared" si="0"/>
        <v>113.62183664259025</v>
      </c>
      <c r="B388" s="7">
        <f>(I388*'Optimal Choice'!$B$6+J388*'Optimal Choice'!$B$11+K388*'Optimal Choice'!$B$16+L388*'Optimal Choice'!$B$21+M388*'Optimal Choice'!$B$26)*'Optimal Choice'!$B$30</f>
        <v>153745.47</v>
      </c>
      <c r="C388" s="8">
        <f>(O388/$B388)+(O388/'Optimal Choice'!$B$6)</f>
        <v>35632.366673889177</v>
      </c>
      <c r="D388" s="8">
        <f>(P388/$B388)+(P388/'Optimal Choice'!$B$11)</f>
        <v>34989.122430847056</v>
      </c>
      <c r="E388" s="8">
        <f>(Q388/$B388)+(Q388/'Optimal Choice'!$B$16)</f>
        <v>35095.758002502429</v>
      </c>
      <c r="F388" s="8">
        <f>(R388/$B388)+(R388/'Optimal Choice'!$B$21)</f>
        <v>36807.267427111947</v>
      </c>
      <c r="G388" s="8">
        <f>(S388/$B388)+(S388/'Optimal Choice'!$B$26)</f>
        <v>39008.890599642902</v>
      </c>
      <c r="I388" s="11">
        <f t="shared" ref="I388:M388" si="386">IF(MIN($C387:$G387)=C387,I387+1,I387)</f>
        <v>141</v>
      </c>
      <c r="J388" s="11">
        <f t="shared" si="386"/>
        <v>66</v>
      </c>
      <c r="K388" s="11">
        <f t="shared" si="386"/>
        <v>63</v>
      </c>
      <c r="L388" s="11">
        <f t="shared" si="386"/>
        <v>59</v>
      </c>
      <c r="M388" s="11">
        <f t="shared" si="386"/>
        <v>58</v>
      </c>
      <c r="O388" s="10">
        <f>'Optimal Choice'!$B$7*'Optimal Choice'!$B$8^(I388+1)</f>
        <v>59505.40599120962</v>
      </c>
      <c r="P388" s="10">
        <f>'Optimal Choice'!$B$12*'Optimal Choice'!$B$13^(J388+1)</f>
        <v>699691.42916392395</v>
      </c>
      <c r="Q388" s="10">
        <f>'Optimal Choice'!$B$17*'Optimal Choice'!$B$18^(K388+1)</f>
        <v>3156770.3002375835</v>
      </c>
      <c r="R388" s="10">
        <f>'Optimal Choice'!$B$22*'Optimal Choice'!$B$23^(L388+1)</f>
        <v>13219662.006799148</v>
      </c>
      <c r="S388" s="10">
        <f>'Optimal Choice'!$B$27*'Optimal Choice'!$B$28^(M388+1)</f>
        <v>83091830.414601028</v>
      </c>
    </row>
    <row r="389" spans="1:19" ht="15.75" customHeight="1">
      <c r="A389" s="8">
        <f t="shared" si="0"/>
        <v>113.69768618677129</v>
      </c>
      <c r="B389" s="7">
        <f>(I389*'Optimal Choice'!$B$6+J389*'Optimal Choice'!$B$11+K389*'Optimal Choice'!$B$16+L389*'Optimal Choice'!$B$21+M389*'Optimal Choice'!$B$26)*'Optimal Choice'!$B$30</f>
        <v>153765.47</v>
      </c>
      <c r="C389" s="8">
        <f>(O389/$B389)+(O389/'Optimal Choice'!$B$6)</f>
        <v>35632.366623547779</v>
      </c>
      <c r="D389" s="8">
        <f>(P389/$B389)+(P389/'Optimal Choice'!$B$11)</f>
        <v>40237.490114746695</v>
      </c>
      <c r="E389" s="8">
        <f>(Q389/$B389)+(Q389/'Optimal Choice'!$B$16)</f>
        <v>35095.75533188408</v>
      </c>
      <c r="F389" s="8">
        <f>(R389/$B389)+(R389/'Optimal Choice'!$B$21)</f>
        <v>36807.256243316922</v>
      </c>
      <c r="G389" s="8">
        <f>(S389/$B389)+(S389/'Optimal Choice'!$B$26)</f>
        <v>39008.820304199733</v>
      </c>
      <c r="I389" s="11">
        <f t="shared" ref="I389:M389" si="387">IF(MIN($C388:$G388)=C388,I388+1,I388)</f>
        <v>141</v>
      </c>
      <c r="J389" s="11">
        <f t="shared" si="387"/>
        <v>67</v>
      </c>
      <c r="K389" s="11">
        <f t="shared" si="387"/>
        <v>63</v>
      </c>
      <c r="L389" s="11">
        <f t="shared" si="387"/>
        <v>59</v>
      </c>
      <c r="M389" s="11">
        <f t="shared" si="387"/>
        <v>58</v>
      </c>
      <c r="O389" s="10">
        <f>'Optimal Choice'!$B$7*'Optimal Choice'!$B$8^(I389+1)</f>
        <v>59505.40599120962</v>
      </c>
      <c r="P389" s="10">
        <f>'Optimal Choice'!$B$12*'Optimal Choice'!$B$13^(J389+1)</f>
        <v>804645.14353851241</v>
      </c>
      <c r="Q389" s="10">
        <f>'Optimal Choice'!$B$17*'Optimal Choice'!$B$18^(K389+1)</f>
        <v>3156770.3002375835</v>
      </c>
      <c r="R389" s="10">
        <f>'Optimal Choice'!$B$22*'Optimal Choice'!$B$23^(L389+1)</f>
        <v>13219662.006799148</v>
      </c>
      <c r="S389" s="10">
        <f>'Optimal Choice'!$B$27*'Optimal Choice'!$B$28^(M389+1)</f>
        <v>83091830.414601028</v>
      </c>
    </row>
    <row r="390" spans="1:19" ht="15.75" customHeight="1">
      <c r="A390" s="8">
        <f t="shared" si="0"/>
        <v>114.03984908158307</v>
      </c>
      <c r="B390" s="7">
        <f>(I390*'Optimal Choice'!$B$6+J390*'Optimal Choice'!$B$11+K390*'Optimal Choice'!$B$16+L390*'Optimal Choice'!$B$21+M390*'Optimal Choice'!$B$26)*'Optimal Choice'!$B$30</f>
        <v>153855.47</v>
      </c>
      <c r="C390" s="8">
        <f>(O390/$B390)+(O390/'Optimal Choice'!$B$6)</f>
        <v>35632.366397173457</v>
      </c>
      <c r="D390" s="8">
        <f>(P390/$B390)+(P390/'Optimal Choice'!$B$11)</f>
        <v>40237.487053663433</v>
      </c>
      <c r="E390" s="8">
        <f>(Q390/$B390)+(Q390/'Optimal Choice'!$B$16)</f>
        <v>40009.147387870798</v>
      </c>
      <c r="F390" s="8">
        <f>(R390/$B390)+(R390/'Optimal Choice'!$B$21)</f>
        <v>36807.205952221011</v>
      </c>
      <c r="G390" s="8">
        <f>(S390/$B390)+(S390/'Optimal Choice'!$B$26)</f>
        <v>39008.50420086737</v>
      </c>
      <c r="I390" s="11">
        <f t="shared" ref="I390:M390" si="388">IF(MIN($C389:$G389)=C389,I389+1,I389)</f>
        <v>141</v>
      </c>
      <c r="J390" s="11">
        <f t="shared" si="388"/>
        <v>67</v>
      </c>
      <c r="K390" s="11">
        <f t="shared" si="388"/>
        <v>64</v>
      </c>
      <c r="L390" s="11">
        <f t="shared" si="388"/>
        <v>59</v>
      </c>
      <c r="M390" s="11">
        <f t="shared" si="388"/>
        <v>58</v>
      </c>
      <c r="O390" s="10">
        <f>'Optimal Choice'!$B$7*'Optimal Choice'!$B$8^(I390+1)</f>
        <v>59505.40599120962</v>
      </c>
      <c r="P390" s="10">
        <f>'Optimal Choice'!$B$12*'Optimal Choice'!$B$13^(J390+1)</f>
        <v>804645.14353851241</v>
      </c>
      <c r="Q390" s="10">
        <f>'Optimal Choice'!$B$17*'Optimal Choice'!$B$18^(K390+1)</f>
        <v>3598718.1422708449</v>
      </c>
      <c r="R390" s="10">
        <f>'Optimal Choice'!$B$22*'Optimal Choice'!$B$23^(L390+1)</f>
        <v>13219662.006799148</v>
      </c>
      <c r="S390" s="10">
        <f>'Optimal Choice'!$B$27*'Optimal Choice'!$B$28^(M390+1)</f>
        <v>83091830.414601028</v>
      </c>
    </row>
    <row r="391" spans="1:19" ht="15.75" customHeight="1">
      <c r="A391" s="8">
        <f t="shared" si="0"/>
        <v>114.04629511022618</v>
      </c>
      <c r="B391" s="7">
        <f>(I391*'Optimal Choice'!$B$6+J391*'Optimal Choice'!$B$11+K391*'Optimal Choice'!$B$16+L391*'Optimal Choice'!$B$21+M391*'Optimal Choice'!$B$26)*'Optimal Choice'!$B$30</f>
        <v>153857.14000000001</v>
      </c>
      <c r="C391" s="8">
        <f>(O391/$B391)+(O391/'Optimal Choice'!$B$6)</f>
        <v>38126.632040483732</v>
      </c>
      <c r="D391" s="8">
        <f>(P391/$B391)+(P391/'Optimal Choice'!$B$11)</f>
        <v>40237.486996897176</v>
      </c>
      <c r="E391" s="8">
        <f>(Q391/$B391)+(Q391/'Optimal Choice'!$B$16)</f>
        <v>40009.147133987746</v>
      </c>
      <c r="F391" s="8">
        <f>(R391/$B391)+(R391/'Optimal Choice'!$B$21)</f>
        <v>36807.205019597786</v>
      </c>
      <c r="G391" s="8">
        <f>(S391/$B391)+(S391/'Optimal Choice'!$B$26)</f>
        <v>39008.498338889149</v>
      </c>
      <c r="I391" s="11">
        <f t="shared" ref="I391:M391" si="389">IF(MIN($C390:$G390)=C390,I390+1,I390)</f>
        <v>142</v>
      </c>
      <c r="J391" s="11">
        <f t="shared" si="389"/>
        <v>67</v>
      </c>
      <c r="K391" s="11">
        <f t="shared" si="389"/>
        <v>64</v>
      </c>
      <c r="L391" s="11">
        <f t="shared" si="389"/>
        <v>59</v>
      </c>
      <c r="M391" s="11">
        <f t="shared" si="389"/>
        <v>58</v>
      </c>
      <c r="O391" s="10">
        <f>'Optimal Choice'!$B$7*'Optimal Choice'!$B$8^(I391+1)</f>
        <v>63670.7844105943</v>
      </c>
      <c r="P391" s="10">
        <f>'Optimal Choice'!$B$12*'Optimal Choice'!$B$13^(J391+1)</f>
        <v>804645.14353851241</v>
      </c>
      <c r="Q391" s="10">
        <f>'Optimal Choice'!$B$17*'Optimal Choice'!$B$18^(K391+1)</f>
        <v>3598718.1422708449</v>
      </c>
      <c r="R391" s="10">
        <f>'Optimal Choice'!$B$22*'Optimal Choice'!$B$23^(L391+1)</f>
        <v>13219662.006799148</v>
      </c>
      <c r="S391" s="10">
        <f>'Optimal Choice'!$B$27*'Optimal Choice'!$B$28^(M391+1)</f>
        <v>83091830.414601028</v>
      </c>
    </row>
    <row r="392" spans="1:19" ht="15.75" customHeight="1">
      <c r="A392" s="8">
        <f t="shared" si="0"/>
        <v>115.4783228998583</v>
      </c>
      <c r="B392" s="7">
        <f>(I392*'Optimal Choice'!$B$6+J392*'Optimal Choice'!$B$11+K392*'Optimal Choice'!$B$16+L392*'Optimal Choice'!$B$21+M392*'Optimal Choice'!$B$26)*'Optimal Choice'!$B$30</f>
        <v>154217.14000000001</v>
      </c>
      <c r="C392" s="8">
        <f>(O392/$B392)+(O392/'Optimal Choice'!$B$6)</f>
        <v>38126.63107444976</v>
      </c>
      <c r="D392" s="8">
        <f>(P392/$B392)+(P392/'Optimal Choice'!$B$11)</f>
        <v>40237.474788557753</v>
      </c>
      <c r="E392" s="8">
        <f>(Q392/$B392)+(Q392/'Optimal Choice'!$B$16)</f>
        <v>40009.092533058487</v>
      </c>
      <c r="F392" s="8">
        <f>(R392/$B392)+(R392/'Optimal Choice'!$B$21)</f>
        <v>41591.915024612739</v>
      </c>
      <c r="G392" s="8">
        <f>(S392/$B392)+(S392/'Optimal Choice'!$B$26)</f>
        <v>39007.237642447966</v>
      </c>
      <c r="I392" s="11">
        <f t="shared" ref="I392:M392" si="390">IF(MIN($C391:$G391)=C391,I391+1,I391)</f>
        <v>142</v>
      </c>
      <c r="J392" s="11">
        <f t="shared" si="390"/>
        <v>67</v>
      </c>
      <c r="K392" s="11">
        <f t="shared" si="390"/>
        <v>64</v>
      </c>
      <c r="L392" s="11">
        <f t="shared" si="390"/>
        <v>60</v>
      </c>
      <c r="M392" s="11">
        <f t="shared" si="390"/>
        <v>58</v>
      </c>
      <c r="O392" s="10">
        <f>'Optimal Choice'!$B$7*'Optimal Choice'!$B$8^(I392+1)</f>
        <v>63670.7844105943</v>
      </c>
      <c r="P392" s="10">
        <f>'Optimal Choice'!$B$12*'Optimal Choice'!$B$13^(J392+1)</f>
        <v>804645.14353851241</v>
      </c>
      <c r="Q392" s="10">
        <f>'Optimal Choice'!$B$17*'Optimal Choice'!$B$18^(K392+1)</f>
        <v>3598718.1422708449</v>
      </c>
      <c r="R392" s="10">
        <f>'Optimal Choice'!$B$22*'Optimal Choice'!$B$23^(L392+1)</f>
        <v>14938218.067683037</v>
      </c>
      <c r="S392" s="10">
        <f>'Optimal Choice'!$B$27*'Optimal Choice'!$B$28^(M392+1)</f>
        <v>83091830.414601028</v>
      </c>
    </row>
    <row r="393" spans="1:19" ht="15.75" customHeight="1">
      <c r="A393" s="8">
        <f t="shared" si="0"/>
        <v>115.48520397507586</v>
      </c>
      <c r="B393" s="7">
        <f>(I393*'Optimal Choice'!$B$6+J393*'Optimal Choice'!$B$11+K393*'Optimal Choice'!$B$16+L393*'Optimal Choice'!$B$21+M393*'Optimal Choice'!$B$26)*'Optimal Choice'!$B$30</f>
        <v>154218.81</v>
      </c>
      <c r="C393" s="8">
        <f>(O393/$B393)+(O393/'Optimal Choice'!$B$6)</f>
        <v>40795.495244877464</v>
      </c>
      <c r="D393" s="8">
        <f>(P393/$B393)+(P393/'Optimal Choice'!$B$11)</f>
        <v>40237.474732057439</v>
      </c>
      <c r="E393" s="8">
        <f>(Q393/$B393)+(Q393/'Optimal Choice'!$B$16)</f>
        <v>40009.092280364843</v>
      </c>
      <c r="F393" s="8">
        <f>(R393/$B393)+(R393/'Optimal Choice'!$B$21)</f>
        <v>41591.913975685718</v>
      </c>
      <c r="G393" s="8">
        <f>(S393/$B393)+(S393/'Optimal Choice'!$B$26)</f>
        <v>39007.231807932374</v>
      </c>
      <c r="I393" s="11">
        <f t="shared" ref="I393:M393" si="391">IF(MIN($C392:$G392)=C392,I392+1,I392)</f>
        <v>143</v>
      </c>
      <c r="J393" s="11">
        <f t="shared" si="391"/>
        <v>67</v>
      </c>
      <c r="K393" s="11">
        <f t="shared" si="391"/>
        <v>64</v>
      </c>
      <c r="L393" s="11">
        <f t="shared" si="391"/>
        <v>60</v>
      </c>
      <c r="M393" s="11">
        <f t="shared" si="391"/>
        <v>58</v>
      </c>
      <c r="O393" s="10">
        <f>'Optimal Choice'!$B$7*'Optimal Choice'!$B$8^(I393+1)</f>
        <v>68127.739319335888</v>
      </c>
      <c r="P393" s="10">
        <f>'Optimal Choice'!$B$12*'Optimal Choice'!$B$13^(J393+1)</f>
        <v>804645.14353851241</v>
      </c>
      <c r="Q393" s="10">
        <f>'Optimal Choice'!$B$17*'Optimal Choice'!$B$18^(K393+1)</f>
        <v>3598718.1422708449</v>
      </c>
      <c r="R393" s="10">
        <f>'Optimal Choice'!$B$22*'Optimal Choice'!$B$23^(L393+1)</f>
        <v>14938218.067683037</v>
      </c>
      <c r="S393" s="10">
        <f>'Optimal Choice'!$B$27*'Optimal Choice'!$B$28^(M393+1)</f>
        <v>83091830.414601028</v>
      </c>
    </row>
    <row r="394" spans="1:19" ht="15.75" customHeight="1">
      <c r="A394" s="8">
        <f t="shared" si="0"/>
        <v>124.46506732795318</v>
      </c>
      <c r="B394" s="7">
        <f>(I394*'Optimal Choice'!$B$6+J394*'Optimal Choice'!$B$11+K394*'Optimal Choice'!$B$16+L394*'Optimal Choice'!$B$21+M394*'Optimal Choice'!$B$26)*'Optimal Choice'!$B$30</f>
        <v>156378.81</v>
      </c>
      <c r="C394" s="8">
        <f>(O394/$B394)+(O394/'Optimal Choice'!$B$6)</f>
        <v>40795.489143014114</v>
      </c>
      <c r="D394" s="8">
        <f>(P394/$B394)+(P394/'Optimal Choice'!$B$11)</f>
        <v>40237.402663987057</v>
      </c>
      <c r="E394" s="8">
        <f>(Q394/$B394)+(Q394/'Optimal Choice'!$B$16)</f>
        <v>40008.769961048769</v>
      </c>
      <c r="F394" s="8">
        <f>(R394/$B394)+(R394/'Optimal Choice'!$B$21)</f>
        <v>41590.576033662859</v>
      </c>
      <c r="G394" s="8">
        <f>(S394/$B394)+(S394/'Optimal Choice'!$B$26)</f>
        <v>43679.764447468617</v>
      </c>
      <c r="I394" s="11">
        <f t="shared" ref="I394:M394" si="392">IF(MIN($C393:$G393)=C393,I393+1,I393)</f>
        <v>143</v>
      </c>
      <c r="J394" s="11">
        <f t="shared" si="392"/>
        <v>67</v>
      </c>
      <c r="K394" s="11">
        <f t="shared" si="392"/>
        <v>64</v>
      </c>
      <c r="L394" s="11">
        <f t="shared" si="392"/>
        <v>60</v>
      </c>
      <c r="M394" s="11">
        <f t="shared" si="392"/>
        <v>59</v>
      </c>
      <c r="O394" s="10">
        <f>'Optimal Choice'!$B$7*'Optimal Choice'!$B$8^(I394+1)</f>
        <v>68127.739319335888</v>
      </c>
      <c r="P394" s="10">
        <f>'Optimal Choice'!$B$12*'Optimal Choice'!$B$13^(J394+1)</f>
        <v>804645.14353851241</v>
      </c>
      <c r="Q394" s="10">
        <f>'Optimal Choice'!$B$17*'Optimal Choice'!$B$18^(K394+1)</f>
        <v>3598718.1422708449</v>
      </c>
      <c r="R394" s="10">
        <f>'Optimal Choice'!$B$22*'Optimal Choice'!$B$23^(L394+1)</f>
        <v>14938218.067683037</v>
      </c>
      <c r="S394" s="10">
        <f>'Optimal Choice'!$B$27*'Optimal Choice'!$B$28^(M394+1)</f>
        <v>93062850.064353138</v>
      </c>
    </row>
    <row r="395" spans="1:19" ht="15.75" customHeight="1">
      <c r="A395" s="8">
        <f t="shared" si="0"/>
        <v>124.84861440638736</v>
      </c>
      <c r="B395" s="7">
        <f>(I395*'Optimal Choice'!$B$6+J395*'Optimal Choice'!$B$11+K395*'Optimal Choice'!$B$16+L395*'Optimal Choice'!$B$21+M395*'Optimal Choice'!$B$26)*'Optimal Choice'!$B$30</f>
        <v>156468.81</v>
      </c>
      <c r="C395" s="8">
        <f>(O395/$B395)+(O395/'Optimal Choice'!$B$6)</f>
        <v>40795.488892425805</v>
      </c>
      <c r="D395" s="8">
        <f>(P395/$B395)+(P395/'Optimal Choice'!$B$11)</f>
        <v>40237.399704331168</v>
      </c>
      <c r="E395" s="8">
        <f>(Q395/$B395)+(Q395/'Optimal Choice'!$B$16)</f>
        <v>45609.982665586191</v>
      </c>
      <c r="F395" s="8">
        <f>(R395/$B395)+(R395/'Optimal Choice'!$B$21)</f>
        <v>41590.521087721179</v>
      </c>
      <c r="G395" s="8">
        <f>(S395/$B395)+(S395/'Optimal Choice'!$B$26)</f>
        <v>43679.422142522402</v>
      </c>
      <c r="I395" s="11">
        <f t="shared" ref="I395:M395" si="393">IF(MIN($C394:$G394)=C394,I394+1,I394)</f>
        <v>143</v>
      </c>
      <c r="J395" s="11">
        <f t="shared" si="393"/>
        <v>67</v>
      </c>
      <c r="K395" s="11">
        <f t="shared" si="393"/>
        <v>65</v>
      </c>
      <c r="L395" s="11">
        <f t="shared" si="393"/>
        <v>60</v>
      </c>
      <c r="M395" s="11">
        <f t="shared" si="393"/>
        <v>59</v>
      </c>
      <c r="O395" s="10">
        <f>'Optimal Choice'!$B$7*'Optimal Choice'!$B$8^(I395+1)</f>
        <v>68127.739319335888</v>
      </c>
      <c r="P395" s="10">
        <f>'Optimal Choice'!$B$12*'Optimal Choice'!$B$13^(J395+1)</f>
        <v>804645.14353851241</v>
      </c>
      <c r="Q395" s="10">
        <f>'Optimal Choice'!$B$17*'Optimal Choice'!$B$18^(K395+1)</f>
        <v>4102538.6821887633</v>
      </c>
      <c r="R395" s="10">
        <f>'Optimal Choice'!$B$22*'Optimal Choice'!$B$23^(L395+1)</f>
        <v>14938218.067683037</v>
      </c>
      <c r="S395" s="10">
        <f>'Optimal Choice'!$B$27*'Optimal Choice'!$B$28^(M395+1)</f>
        <v>93062850.064353138</v>
      </c>
    </row>
    <row r="396" spans="1:19" ht="15.75" customHeight="1">
      <c r="A396" s="8">
        <f t="shared" si="0"/>
        <v>124.93432319647982</v>
      </c>
      <c r="B396" s="7">
        <f>(I396*'Optimal Choice'!$B$6+J396*'Optimal Choice'!$B$11+K396*'Optimal Choice'!$B$16+L396*'Optimal Choice'!$B$21+M396*'Optimal Choice'!$B$26)*'Optimal Choice'!$B$30</f>
        <v>156488.81</v>
      </c>
      <c r="C396" s="8">
        <f>(O396/$B396)+(O396/'Optimal Choice'!$B$6)</f>
        <v>40795.488836778655</v>
      </c>
      <c r="D396" s="8">
        <f>(P396/$B396)+(P396/'Optimal Choice'!$B$11)</f>
        <v>46273.008904156006</v>
      </c>
      <c r="E396" s="8">
        <f>(Q396/$B396)+(Q396/'Optimal Choice'!$B$16)</f>
        <v>45609.979314607917</v>
      </c>
      <c r="F396" s="8">
        <f>(R396/$B396)+(R396/'Optimal Choice'!$B$21)</f>
        <v>41590.508886094787</v>
      </c>
      <c r="G396" s="8">
        <f>(S396/$B396)+(S396/'Optimal Choice'!$B$26)</f>
        <v>43679.346128226563</v>
      </c>
      <c r="I396" s="11">
        <f t="shared" ref="I396:M396" si="394">IF(MIN($C395:$G395)=C395,I395+1,I395)</f>
        <v>143</v>
      </c>
      <c r="J396" s="11">
        <f t="shared" si="394"/>
        <v>68</v>
      </c>
      <c r="K396" s="11">
        <f t="shared" si="394"/>
        <v>65</v>
      </c>
      <c r="L396" s="11">
        <f t="shared" si="394"/>
        <v>60</v>
      </c>
      <c r="M396" s="11">
        <f t="shared" si="394"/>
        <v>59</v>
      </c>
      <c r="O396" s="10">
        <f>'Optimal Choice'!$B$7*'Optimal Choice'!$B$8^(I396+1)</f>
        <v>68127.739319335888</v>
      </c>
      <c r="P396" s="10">
        <f>'Optimal Choice'!$B$12*'Optimal Choice'!$B$13^(J396+1)</f>
        <v>925341.91506928939</v>
      </c>
      <c r="Q396" s="10">
        <f>'Optimal Choice'!$B$17*'Optimal Choice'!$B$18^(K396+1)</f>
        <v>4102538.6821887633</v>
      </c>
      <c r="R396" s="10">
        <f>'Optimal Choice'!$B$22*'Optimal Choice'!$B$23^(L396+1)</f>
        <v>14938218.067683037</v>
      </c>
      <c r="S396" s="10">
        <f>'Optimal Choice'!$B$27*'Optimal Choice'!$B$28^(M396+1)</f>
        <v>93062850.064353138</v>
      </c>
    </row>
    <row r="397" spans="1:19" ht="15.75" customHeight="1">
      <c r="A397" s="8">
        <f t="shared" si="0"/>
        <v>124.94157906558631</v>
      </c>
      <c r="B397" s="7">
        <f>(I397*'Optimal Choice'!$B$6+J397*'Optimal Choice'!$B$11+K397*'Optimal Choice'!$B$16+L397*'Optimal Choice'!$B$21+M397*'Optimal Choice'!$B$26)*'Optimal Choice'!$B$30</f>
        <v>156490.48000000001</v>
      </c>
      <c r="C397" s="8">
        <f>(O397/$B397)+(O397/'Optimal Choice'!$B$6)</f>
        <v>43651.173050382058</v>
      </c>
      <c r="D397" s="8">
        <f>(P397/$B397)+(P397/'Optimal Choice'!$B$11)</f>
        <v>46273.008841053372</v>
      </c>
      <c r="E397" s="8">
        <f>(Q397/$B397)+(Q397/'Optimal Choice'!$B$16)</f>
        <v>45609.979034839977</v>
      </c>
      <c r="F397" s="8">
        <f>(R397/$B397)+(R397/'Optimal Choice'!$B$21)</f>
        <v>41590.507867400069</v>
      </c>
      <c r="G397" s="8">
        <f>(S397/$B397)+(S397/'Optimal Choice'!$B$26)</f>
        <v>43679.339781911789</v>
      </c>
      <c r="I397" s="11">
        <f t="shared" ref="I397:M397" si="395">IF(MIN($C396:$G396)=C396,I396+1,I396)</f>
        <v>144</v>
      </c>
      <c r="J397" s="11">
        <f t="shared" si="395"/>
        <v>68</v>
      </c>
      <c r="K397" s="11">
        <f t="shared" si="395"/>
        <v>65</v>
      </c>
      <c r="L397" s="11">
        <f t="shared" si="395"/>
        <v>60</v>
      </c>
      <c r="M397" s="11">
        <f t="shared" si="395"/>
        <v>59</v>
      </c>
      <c r="O397" s="10">
        <f>'Optimal Choice'!$B$7*'Optimal Choice'!$B$8^(I397+1)</f>
        <v>72896.681071689396</v>
      </c>
      <c r="P397" s="10">
        <f>'Optimal Choice'!$B$12*'Optimal Choice'!$B$13^(J397+1)</f>
        <v>925341.91506928939</v>
      </c>
      <c r="Q397" s="10">
        <f>'Optimal Choice'!$B$17*'Optimal Choice'!$B$18^(K397+1)</f>
        <v>4102538.6821887633</v>
      </c>
      <c r="R397" s="10">
        <f>'Optimal Choice'!$B$22*'Optimal Choice'!$B$23^(L397+1)</f>
        <v>14938218.067683037</v>
      </c>
      <c r="S397" s="10">
        <f>'Optimal Choice'!$B$27*'Optimal Choice'!$B$28^(M397+1)</f>
        <v>93062850.064353138</v>
      </c>
    </row>
    <row r="398" spans="1:19" ht="15.75" customHeight="1">
      <c r="A398" s="8">
        <f t="shared" si="0"/>
        <v>126.53254038878022</v>
      </c>
      <c r="B398" s="7">
        <f>(I398*'Optimal Choice'!$B$6+J398*'Optimal Choice'!$B$11+K398*'Optimal Choice'!$B$16+L398*'Optimal Choice'!$B$21+M398*'Optimal Choice'!$B$26)*'Optimal Choice'!$B$30</f>
        <v>156850.48000000001</v>
      </c>
      <c r="C398" s="8">
        <f>(O398/$B398)+(O398/'Optimal Choice'!$B$6)</f>
        <v>43651.171981237378</v>
      </c>
      <c r="D398" s="8">
        <f>(P398/$B398)+(P398/'Optimal Choice'!$B$11)</f>
        <v>46272.995269456194</v>
      </c>
      <c r="E398" s="8">
        <f>(Q398/$B398)+(Q398/'Optimal Choice'!$B$16)</f>
        <v>45609.918864646119</v>
      </c>
      <c r="F398" s="8">
        <f>(R398/$B398)+(R398/'Optimal Choice'!$B$21)</f>
        <v>46997.026315631374</v>
      </c>
      <c r="G398" s="8">
        <f>(S398/$B398)+(S398/'Optimal Choice'!$B$26)</f>
        <v>43677.9748685831</v>
      </c>
      <c r="I398" s="11">
        <f t="shared" ref="I398:M398" si="396">IF(MIN($C397:$G397)=C397,I397+1,I397)</f>
        <v>144</v>
      </c>
      <c r="J398" s="11">
        <f t="shared" si="396"/>
        <v>68</v>
      </c>
      <c r="K398" s="11">
        <f t="shared" si="396"/>
        <v>65</v>
      </c>
      <c r="L398" s="11">
        <f t="shared" si="396"/>
        <v>61</v>
      </c>
      <c r="M398" s="11">
        <f t="shared" si="396"/>
        <v>59</v>
      </c>
      <c r="O398" s="10">
        <f>'Optimal Choice'!$B$7*'Optimal Choice'!$B$8^(I398+1)</f>
        <v>72896.681071689396</v>
      </c>
      <c r="P398" s="10">
        <f>'Optimal Choice'!$B$12*'Optimal Choice'!$B$13^(J398+1)</f>
        <v>925341.91506928939</v>
      </c>
      <c r="Q398" s="10">
        <f>'Optimal Choice'!$B$17*'Optimal Choice'!$B$18^(K398+1)</f>
        <v>4102538.6821887633</v>
      </c>
      <c r="R398" s="10">
        <f>'Optimal Choice'!$B$22*'Optimal Choice'!$B$23^(L398+1)</f>
        <v>16880186.41648183</v>
      </c>
      <c r="S398" s="10">
        <f>'Optimal Choice'!$B$27*'Optimal Choice'!$B$28^(M398+1)</f>
        <v>93062850.064353138</v>
      </c>
    </row>
    <row r="399" spans="1:19" ht="15.75" customHeight="1">
      <c r="A399" s="8">
        <f t="shared" si="0"/>
        <v>126.54028626679428</v>
      </c>
      <c r="B399" s="7">
        <f>(I399*'Optimal Choice'!$B$6+J399*'Optimal Choice'!$B$11+K399*'Optimal Choice'!$B$16+L399*'Optimal Choice'!$B$21+M399*'Optimal Choice'!$B$26)*'Optimal Choice'!$B$30</f>
        <v>156852.15</v>
      </c>
      <c r="C399" s="8">
        <f>(O399/$B399)+(O399/'Optimal Choice'!$B$6)</f>
        <v>46706.754014629412</v>
      </c>
      <c r="D399" s="8">
        <f>(P399/$B399)+(P399/'Optimal Choice'!$B$11)</f>
        <v>46272.995206644227</v>
      </c>
      <c r="E399" s="8">
        <f>(Q399/$B399)+(Q399/'Optimal Choice'!$B$16)</f>
        <v>45609.918586166881</v>
      </c>
      <c r="F399" s="8">
        <f>(R399/$B399)+(R399/'Optimal Choice'!$B$21)</f>
        <v>46997.025169808781</v>
      </c>
      <c r="G399" s="8">
        <f>(S399/$B399)+(S399/'Optimal Choice'!$B$26)</f>
        <v>43677.968551501428</v>
      </c>
      <c r="I399" s="11">
        <f t="shared" ref="I399:M399" si="397">IF(MIN($C398:$G398)=C398,I398+1,I398)</f>
        <v>145</v>
      </c>
      <c r="J399" s="11">
        <f t="shared" si="397"/>
        <v>68</v>
      </c>
      <c r="K399" s="11">
        <f t="shared" si="397"/>
        <v>65</v>
      </c>
      <c r="L399" s="11">
        <f t="shared" si="397"/>
        <v>61</v>
      </c>
      <c r="M399" s="11">
        <f t="shared" si="397"/>
        <v>59</v>
      </c>
      <c r="O399" s="10">
        <f>'Optimal Choice'!$B$7*'Optimal Choice'!$B$8^(I399+1)</f>
        <v>77999.448746707669</v>
      </c>
      <c r="P399" s="10">
        <f>'Optimal Choice'!$B$12*'Optimal Choice'!$B$13^(J399+1)</f>
        <v>925341.91506928939</v>
      </c>
      <c r="Q399" s="10">
        <f>'Optimal Choice'!$B$17*'Optimal Choice'!$B$18^(K399+1)</f>
        <v>4102538.6821887633</v>
      </c>
      <c r="R399" s="10">
        <f>'Optimal Choice'!$B$22*'Optimal Choice'!$B$23^(L399+1)</f>
        <v>16880186.41648183</v>
      </c>
      <c r="S399" s="10">
        <f>'Optimal Choice'!$B$27*'Optimal Choice'!$B$28^(M399+1)</f>
        <v>93062850.064353138</v>
      </c>
    </row>
    <row r="400" spans="1:19" ht="15.75" customHeight="1">
      <c r="A400" s="8">
        <f t="shared" si="0"/>
        <v>136.42888199896979</v>
      </c>
      <c r="B400" s="7">
        <f>(I400*'Optimal Choice'!$B$6+J400*'Optimal Choice'!$B$11+K400*'Optimal Choice'!$B$16+L400*'Optimal Choice'!$B$21+M400*'Optimal Choice'!$B$26)*'Optimal Choice'!$B$30</f>
        <v>159012.15</v>
      </c>
      <c r="C400" s="8">
        <f>(O400/$B400)+(O400/'Optimal Choice'!$B$6)</f>
        <v>46706.747259642703</v>
      </c>
      <c r="D400" s="8">
        <f>(P400/$B400)+(P400/'Optimal Choice'!$B$11)</f>
        <v>46272.915069253038</v>
      </c>
      <c r="E400" s="8">
        <f>(Q400/$B400)+(Q400/'Optimal Choice'!$B$16)</f>
        <v>45609.563293985811</v>
      </c>
      <c r="F400" s="8">
        <f>(R400/$B400)+(R400/'Optimal Choice'!$B$21)</f>
        <v>46995.563294927546</v>
      </c>
      <c r="G400" s="8">
        <f>(S400/$B400)+(S400/'Optimal Choice'!$B$26)</f>
        <v>48910.298112437995</v>
      </c>
      <c r="I400" s="11">
        <f t="shared" ref="I400:M400" si="398">IF(MIN($C399:$G399)=C399,I399+1,I399)</f>
        <v>145</v>
      </c>
      <c r="J400" s="11">
        <f t="shared" si="398"/>
        <v>68</v>
      </c>
      <c r="K400" s="11">
        <f t="shared" si="398"/>
        <v>65</v>
      </c>
      <c r="L400" s="11">
        <f t="shared" si="398"/>
        <v>61</v>
      </c>
      <c r="M400" s="11">
        <f t="shared" si="398"/>
        <v>60</v>
      </c>
      <c r="O400" s="10">
        <f>'Optimal Choice'!$B$7*'Optimal Choice'!$B$8^(I400+1)</f>
        <v>77999.448746707669</v>
      </c>
      <c r="P400" s="10">
        <f>'Optimal Choice'!$B$12*'Optimal Choice'!$B$13^(J400+1)</f>
        <v>925341.91506928939</v>
      </c>
      <c r="Q400" s="10">
        <f>'Optimal Choice'!$B$17*'Optimal Choice'!$B$18^(K400+1)</f>
        <v>4102538.6821887633</v>
      </c>
      <c r="R400" s="10">
        <f>'Optimal Choice'!$B$22*'Optimal Choice'!$B$23^(L400+1)</f>
        <v>16880186.41648183</v>
      </c>
      <c r="S400" s="10">
        <f>'Optimal Choice'!$B$27*'Optimal Choice'!$B$28^(M400+1)</f>
        <v>104230392.07207553</v>
      </c>
    </row>
    <row r="401" spans="1:19" ht="15.75" customHeight="1">
      <c r="A401" s="8">
        <f t="shared" si="0"/>
        <v>136.85888464155494</v>
      </c>
      <c r="B401" s="7">
        <f>(I401*'Optimal Choice'!$B$6+J401*'Optimal Choice'!$B$11+K401*'Optimal Choice'!$B$16+L401*'Optimal Choice'!$B$21+M401*'Optimal Choice'!$B$26)*'Optimal Choice'!$B$30</f>
        <v>159102.15</v>
      </c>
      <c r="C401" s="8">
        <f>(O401/$B401)+(O401/'Optimal Choice'!$B$6)</f>
        <v>46706.746982165263</v>
      </c>
      <c r="D401" s="8">
        <f>(P401/$B401)+(P401/'Optimal Choice'!$B$11)</f>
        <v>46272.911777415553</v>
      </c>
      <c r="E401" s="8">
        <f>(Q401/$B401)+(Q401/'Optimal Choice'!$B$16)</f>
        <v>51994.885517428564</v>
      </c>
      <c r="F401" s="8">
        <f>(R401/$B401)+(R401/'Optimal Choice'!$B$21)</f>
        <v>46995.503244875275</v>
      </c>
      <c r="G401" s="8">
        <f>(S401/$B401)+(S401/'Optimal Choice'!$B$26)</f>
        <v>48909.927320295239</v>
      </c>
      <c r="I401" s="11">
        <f t="shared" ref="I401:M401" si="399">IF(MIN($C400:$G400)=C400,I400+1,I400)</f>
        <v>145</v>
      </c>
      <c r="J401" s="11">
        <f t="shared" si="399"/>
        <v>68</v>
      </c>
      <c r="K401" s="11">
        <f t="shared" si="399"/>
        <v>66</v>
      </c>
      <c r="L401" s="11">
        <f t="shared" si="399"/>
        <v>61</v>
      </c>
      <c r="M401" s="11">
        <f t="shared" si="399"/>
        <v>60</v>
      </c>
      <c r="O401" s="10">
        <f>'Optimal Choice'!$B$7*'Optimal Choice'!$B$8^(I401+1)</f>
        <v>77999.448746707669</v>
      </c>
      <c r="P401" s="10">
        <f>'Optimal Choice'!$B$12*'Optimal Choice'!$B$13^(J401+1)</f>
        <v>925341.91506928939</v>
      </c>
      <c r="Q401" s="10">
        <f>'Optimal Choice'!$B$17*'Optimal Choice'!$B$18^(K401+1)</f>
        <v>4676894.0976951895</v>
      </c>
      <c r="R401" s="10">
        <f>'Optimal Choice'!$B$22*'Optimal Choice'!$B$23^(L401+1)</f>
        <v>16880186.41648183</v>
      </c>
      <c r="S401" s="10">
        <f>'Optimal Choice'!$B$27*'Optimal Choice'!$B$28^(M401+1)</f>
        <v>104230392.07207553</v>
      </c>
    </row>
    <row r="402" spans="1:19" ht="15.75" customHeight="1">
      <c r="A402" s="8">
        <f t="shared" si="0"/>
        <v>136.95581837407303</v>
      </c>
      <c r="B402" s="7">
        <f>(I402*'Optimal Choice'!$B$6+J402*'Optimal Choice'!$B$11+K402*'Optimal Choice'!$B$16+L402*'Optimal Choice'!$B$21+M402*'Optimal Choice'!$B$26)*'Optimal Choice'!$B$30</f>
        <v>159122.15</v>
      </c>
      <c r="C402" s="8">
        <f>(O402/$B402)+(O402/'Optimal Choice'!$B$6)</f>
        <v>46706.746920546233</v>
      </c>
      <c r="D402" s="8">
        <f>(P402/$B402)+(P402/'Optimal Choice'!$B$11)</f>
        <v>53213.847703362073</v>
      </c>
      <c r="E402" s="8">
        <f>(Q402/$B402)+(Q402/'Optimal Choice'!$B$16)</f>
        <v>51994.8818227144</v>
      </c>
      <c r="F402" s="8">
        <f>(R402/$B402)+(R402/'Optimal Choice'!$B$21)</f>
        <v>46995.489909644144</v>
      </c>
      <c r="G402" s="8">
        <f>(S402/$B402)+(S402/'Optimal Choice'!$B$26)</f>
        <v>48909.844979002613</v>
      </c>
      <c r="I402" s="11">
        <f t="shared" ref="I402:M402" si="400">IF(MIN($C401:$G401)=C401,I401+1,I401)</f>
        <v>145</v>
      </c>
      <c r="J402" s="11">
        <f t="shared" si="400"/>
        <v>69</v>
      </c>
      <c r="K402" s="11">
        <f t="shared" si="400"/>
        <v>66</v>
      </c>
      <c r="L402" s="11">
        <f t="shared" si="400"/>
        <v>61</v>
      </c>
      <c r="M402" s="11">
        <f t="shared" si="400"/>
        <v>60</v>
      </c>
      <c r="O402" s="10">
        <f>'Optimal Choice'!$B$7*'Optimal Choice'!$B$8^(I402+1)</f>
        <v>77999.448746707669</v>
      </c>
      <c r="P402" s="10">
        <f>'Optimal Choice'!$B$12*'Optimal Choice'!$B$13^(J402+1)</f>
        <v>1064143.2023296827</v>
      </c>
      <c r="Q402" s="10">
        <f>'Optimal Choice'!$B$17*'Optimal Choice'!$B$18^(K402+1)</f>
        <v>4676894.0976951895</v>
      </c>
      <c r="R402" s="10">
        <f>'Optimal Choice'!$B$22*'Optimal Choice'!$B$23^(L402+1)</f>
        <v>16880186.41648183</v>
      </c>
      <c r="S402" s="10">
        <f>'Optimal Choice'!$B$27*'Optimal Choice'!$B$28^(M402+1)</f>
        <v>104230392.07207553</v>
      </c>
    </row>
    <row r="403" spans="1:19" ht="15.75" customHeight="1">
      <c r="A403" s="8">
        <f t="shared" si="0"/>
        <v>136.9639881405854</v>
      </c>
      <c r="B403" s="7">
        <f>(I403*'Optimal Choice'!$B$6+J403*'Optimal Choice'!$B$11+K403*'Optimal Choice'!$B$16+L403*'Optimal Choice'!$B$21+M403*'Optimal Choice'!$B$26)*'Optimal Choice'!$B$30</f>
        <v>159123.82</v>
      </c>
      <c r="C403" s="8">
        <f>(O403/$B403)+(O403/'Optimal Choice'!$B$6)</f>
        <v>49976.21919947987</v>
      </c>
      <c r="D403" s="8">
        <f>(P403/$B403)+(P403/'Optimal Choice'!$B$11)</f>
        <v>53213.847633176039</v>
      </c>
      <c r="E403" s="8">
        <f>(Q403/$B403)+(Q403/'Optimal Choice'!$B$16)</f>
        <v>51994.881514247783</v>
      </c>
      <c r="F403" s="8">
        <f>(R403/$B403)+(R403/'Optimal Choice'!$B$21)</f>
        <v>46995.488796303987</v>
      </c>
      <c r="G403" s="8">
        <f>(S403/$B403)+(S403/'Optimal Choice'!$B$26)</f>
        <v>48909.838104441005</v>
      </c>
      <c r="I403" s="11">
        <f t="shared" ref="I403:M403" si="401">IF(MIN($C402:$G402)=C402,I402+1,I402)</f>
        <v>146</v>
      </c>
      <c r="J403" s="11">
        <f t="shared" si="401"/>
        <v>69</v>
      </c>
      <c r="K403" s="11">
        <f t="shared" si="401"/>
        <v>66</v>
      </c>
      <c r="L403" s="11">
        <f t="shared" si="401"/>
        <v>61</v>
      </c>
      <c r="M403" s="11">
        <f t="shared" si="401"/>
        <v>60</v>
      </c>
      <c r="O403" s="10">
        <f>'Optimal Choice'!$B$7*'Optimal Choice'!$B$8^(I403+1)</f>
        <v>83459.410158977204</v>
      </c>
      <c r="P403" s="10">
        <f>'Optimal Choice'!$B$12*'Optimal Choice'!$B$13^(J403+1)</f>
        <v>1064143.2023296827</v>
      </c>
      <c r="Q403" s="10">
        <f>'Optimal Choice'!$B$17*'Optimal Choice'!$B$18^(K403+1)</f>
        <v>4676894.0976951895</v>
      </c>
      <c r="R403" s="10">
        <f>'Optimal Choice'!$B$22*'Optimal Choice'!$B$23^(L403+1)</f>
        <v>16880186.41648183</v>
      </c>
      <c r="S403" s="10">
        <f>'Optimal Choice'!$B$27*'Optimal Choice'!$B$28^(M403+1)</f>
        <v>104230392.07207553</v>
      </c>
    </row>
    <row r="404" spans="1:19" ht="15.75" customHeight="1">
      <c r="A404" s="8">
        <f t="shared" si="0"/>
        <v>138.73202287149306</v>
      </c>
      <c r="B404" s="7">
        <f>(I404*'Optimal Choice'!$B$6+J404*'Optimal Choice'!$B$11+K404*'Optimal Choice'!$B$16+L404*'Optimal Choice'!$B$21+M404*'Optimal Choice'!$B$26)*'Optimal Choice'!$B$30</f>
        <v>159483.82</v>
      </c>
      <c r="C404" s="8">
        <f>(O404/$B404)+(O404/'Optimal Choice'!$B$6)</f>
        <v>49976.218015549974</v>
      </c>
      <c r="D404" s="8">
        <f>(P404/$B404)+(P404/'Optimal Choice'!$B$11)</f>
        <v>53213.832537563147</v>
      </c>
      <c r="E404" s="8">
        <f>(Q404/$B404)+(Q404/'Optimal Choice'!$B$16)</f>
        <v>51994.815169245841</v>
      </c>
      <c r="F404" s="8">
        <f>(R404/$B404)+(R404/'Optimal Choice'!$B$21)</f>
        <v>53104.631753178961</v>
      </c>
      <c r="G404" s="8">
        <f>(S404/$B404)+(S404/'Optimal Choice'!$B$26)</f>
        <v>48908.35952369478</v>
      </c>
      <c r="I404" s="11">
        <f t="shared" ref="I404:M404" si="402">IF(MIN($C403:$G403)=C403,I403+1,I403)</f>
        <v>146</v>
      </c>
      <c r="J404" s="11">
        <f t="shared" si="402"/>
        <v>69</v>
      </c>
      <c r="K404" s="11">
        <f t="shared" si="402"/>
        <v>66</v>
      </c>
      <c r="L404" s="11">
        <f t="shared" si="402"/>
        <v>62</v>
      </c>
      <c r="M404" s="11">
        <f t="shared" si="402"/>
        <v>60</v>
      </c>
      <c r="O404" s="10">
        <f>'Optimal Choice'!$B$7*'Optimal Choice'!$B$8^(I404+1)</f>
        <v>83459.410158977204</v>
      </c>
      <c r="P404" s="10">
        <f>'Optimal Choice'!$B$12*'Optimal Choice'!$B$13^(J404+1)</f>
        <v>1064143.2023296827</v>
      </c>
      <c r="Q404" s="10">
        <f>'Optimal Choice'!$B$17*'Optimal Choice'!$B$18^(K404+1)</f>
        <v>4676894.0976951895</v>
      </c>
      <c r="R404" s="10">
        <f>'Optimal Choice'!$B$22*'Optimal Choice'!$B$23^(L404+1)</f>
        <v>19074610.650624465</v>
      </c>
      <c r="S404" s="10">
        <f>'Optimal Choice'!$B$27*'Optimal Choice'!$B$28^(M404+1)</f>
        <v>104230392.07207553</v>
      </c>
    </row>
    <row r="405" spans="1:19" ht="15.75" customHeight="1">
      <c r="A405" s="8">
        <f t="shared" si="0"/>
        <v>149.62449585841586</v>
      </c>
      <c r="B405" s="7">
        <f>(I405*'Optimal Choice'!$B$6+J405*'Optimal Choice'!$B$11+K405*'Optimal Choice'!$B$16+L405*'Optimal Choice'!$B$21+M405*'Optimal Choice'!$B$26)*'Optimal Choice'!$B$30</f>
        <v>161643.82</v>
      </c>
      <c r="C405" s="8">
        <f>(O405/$B405)+(O405/'Optimal Choice'!$B$6)</f>
        <v>49976.211022714226</v>
      </c>
      <c r="D405" s="8">
        <f>(P405/$B405)+(P405/'Optimal Choice'!$B$11)</f>
        <v>53213.743375914215</v>
      </c>
      <c r="E405" s="8">
        <f>(Q405/$B405)+(Q405/'Optimal Choice'!$B$16)</f>
        <v>51994.423305078766</v>
      </c>
      <c r="F405" s="8">
        <f>(R405/$B405)+(R405/'Optimal Choice'!$B$21)</f>
        <v>53103.033543713733</v>
      </c>
      <c r="G405" s="8">
        <f>(S405/$B405)+(S405/'Optimal Choice'!$B$26)</f>
        <v>54767.581505470589</v>
      </c>
      <c r="I405" s="11">
        <f t="shared" ref="I405:M405" si="403">IF(MIN($C404:$G404)=C404,I404+1,I404)</f>
        <v>146</v>
      </c>
      <c r="J405" s="11">
        <f t="shared" si="403"/>
        <v>69</v>
      </c>
      <c r="K405" s="11">
        <f t="shared" si="403"/>
        <v>66</v>
      </c>
      <c r="L405" s="11">
        <f t="shared" si="403"/>
        <v>62</v>
      </c>
      <c r="M405" s="11">
        <f t="shared" si="403"/>
        <v>61</v>
      </c>
      <c r="O405" s="10">
        <f>'Optimal Choice'!$B$7*'Optimal Choice'!$B$8^(I405+1)</f>
        <v>83459.410158977204</v>
      </c>
      <c r="P405" s="10">
        <f>'Optimal Choice'!$B$12*'Optimal Choice'!$B$13^(J405+1)</f>
        <v>1064143.2023296827</v>
      </c>
      <c r="Q405" s="10">
        <f>'Optimal Choice'!$B$17*'Optimal Choice'!$B$18^(K405+1)</f>
        <v>4676894.0976951895</v>
      </c>
      <c r="R405" s="10">
        <f>'Optimal Choice'!$B$22*'Optimal Choice'!$B$23^(L405+1)</f>
        <v>19074610.650624465</v>
      </c>
      <c r="S405" s="10">
        <f>'Optimal Choice'!$B$27*'Optimal Choice'!$B$28^(M405+1)</f>
        <v>116738039.1207246</v>
      </c>
    </row>
    <row r="406" spans="1:19" ht="15.75" customHeight="1">
      <c r="A406" s="8">
        <f t="shared" si="0"/>
        <v>149.63310113741332</v>
      </c>
      <c r="B406" s="7">
        <f>(I406*'Optimal Choice'!$B$6+J406*'Optimal Choice'!$B$11+K406*'Optimal Choice'!$B$16+L406*'Optimal Choice'!$B$21+M406*'Optimal Choice'!$B$26)*'Optimal Choice'!$B$30</f>
        <v>161645.49</v>
      </c>
      <c r="C406" s="8">
        <f>(O406/$B406)+(O406/'Optimal Choice'!$B$6)</f>
        <v>53474.545788596624</v>
      </c>
      <c r="D406" s="8">
        <f>(P406/$B406)+(P406/'Optimal Choice'!$B$11)</f>
        <v>53213.743307900921</v>
      </c>
      <c r="E406" s="8">
        <f>(Q406/$B406)+(Q406/'Optimal Choice'!$B$16)</f>
        <v>51994.423006161291</v>
      </c>
      <c r="F406" s="8">
        <f>(R406/$B406)+(R406/'Optimal Choice'!$B$21)</f>
        <v>53103.032324585314</v>
      </c>
      <c r="G406" s="8">
        <f>(S406/$B406)+(S406/'Optimal Choice'!$B$26)</f>
        <v>54767.574044313769</v>
      </c>
      <c r="I406" s="11">
        <f t="shared" ref="I406:M406" si="404">IF(MIN($C405:$G405)=C405,I405+1,I405)</f>
        <v>147</v>
      </c>
      <c r="J406" s="11">
        <f t="shared" si="404"/>
        <v>69</v>
      </c>
      <c r="K406" s="11">
        <f t="shared" si="404"/>
        <v>66</v>
      </c>
      <c r="L406" s="11">
        <f t="shared" si="404"/>
        <v>62</v>
      </c>
      <c r="M406" s="11">
        <f t="shared" si="404"/>
        <v>61</v>
      </c>
      <c r="O406" s="10">
        <f>'Optimal Choice'!$B$7*'Optimal Choice'!$B$8^(I406+1)</f>
        <v>89301.568870105606</v>
      </c>
      <c r="P406" s="10">
        <f>'Optimal Choice'!$B$12*'Optimal Choice'!$B$13^(J406+1)</f>
        <v>1064143.2023296827</v>
      </c>
      <c r="Q406" s="10">
        <f>'Optimal Choice'!$B$17*'Optimal Choice'!$B$18^(K406+1)</f>
        <v>4676894.0976951895</v>
      </c>
      <c r="R406" s="10">
        <f>'Optimal Choice'!$B$22*'Optimal Choice'!$B$23^(L406+1)</f>
        <v>19074610.650624465</v>
      </c>
      <c r="S406" s="10">
        <f>'Optimal Choice'!$B$27*'Optimal Choice'!$B$28^(M406+1)</f>
        <v>116738039.1207246</v>
      </c>
    </row>
    <row r="407" spans="1:19" ht="15.75" customHeight="1">
      <c r="A407" s="8">
        <f t="shared" si="0"/>
        <v>150.11531833358492</v>
      </c>
      <c r="B407" s="7">
        <f>(I407*'Optimal Choice'!$B$6+J407*'Optimal Choice'!$B$11+K407*'Optimal Choice'!$B$16+L407*'Optimal Choice'!$B$21+M407*'Optimal Choice'!$B$26)*'Optimal Choice'!$B$30</f>
        <v>161735.49</v>
      </c>
      <c r="C407" s="8">
        <f>(O407/$B407)+(O407/'Optimal Choice'!$B$6)</f>
        <v>53474.545481176232</v>
      </c>
      <c r="D407" s="8">
        <f>(P407/$B407)+(P407/'Optimal Choice'!$B$11)</f>
        <v>53213.739644590984</v>
      </c>
      <c r="E407" s="8">
        <f>(Q407/$B407)+(Q407/'Optimal Choice'!$B$16)</f>
        <v>59273.623872802047</v>
      </c>
      <c r="F407" s="8">
        <f>(R407/$B407)+(R407/'Optimal Choice'!$B$21)</f>
        <v>53102.966660292601</v>
      </c>
      <c r="G407" s="8">
        <f>(S407/$B407)+(S407/'Optimal Choice'!$B$26)</f>
        <v>54767.17217394738</v>
      </c>
      <c r="I407" s="11">
        <f t="shared" ref="I407:M407" si="405">IF(MIN($C406:$G406)=C406,I406+1,I406)</f>
        <v>147</v>
      </c>
      <c r="J407" s="11">
        <f t="shared" si="405"/>
        <v>69</v>
      </c>
      <c r="K407" s="11">
        <f t="shared" si="405"/>
        <v>67</v>
      </c>
      <c r="L407" s="11">
        <f t="shared" si="405"/>
        <v>62</v>
      </c>
      <c r="M407" s="11">
        <f t="shared" si="405"/>
        <v>61</v>
      </c>
      <c r="O407" s="10">
        <f>'Optimal Choice'!$B$7*'Optimal Choice'!$B$8^(I407+1)</f>
        <v>89301.568870105606</v>
      </c>
      <c r="P407" s="10">
        <f>'Optimal Choice'!$B$12*'Optimal Choice'!$B$13^(J407+1)</f>
        <v>1064143.2023296827</v>
      </c>
      <c r="Q407" s="10">
        <f>'Optimal Choice'!$B$17*'Optimal Choice'!$B$18^(K407+1)</f>
        <v>5331659.2713725157</v>
      </c>
      <c r="R407" s="10">
        <f>'Optimal Choice'!$B$22*'Optimal Choice'!$B$23^(L407+1)</f>
        <v>19074610.650624465</v>
      </c>
      <c r="S407" s="10">
        <f>'Optimal Choice'!$B$27*'Optimal Choice'!$B$28^(M407+1)</f>
        <v>116738039.1207246</v>
      </c>
    </row>
    <row r="408" spans="1:19" ht="15.75" customHeight="1">
      <c r="A408" s="8">
        <f t="shared" si="0"/>
        <v>152.08093625399565</v>
      </c>
      <c r="B408" s="7">
        <f>(I408*'Optimal Choice'!$B$6+J408*'Optimal Choice'!$B$11+K408*'Optimal Choice'!$B$16+L408*'Optimal Choice'!$B$21+M408*'Optimal Choice'!$B$26)*'Optimal Choice'!$B$30</f>
        <v>162095.49</v>
      </c>
      <c r="C408" s="8">
        <f>(O408/$B408)+(O408/'Optimal Choice'!$B$6)</f>
        <v>53474.544254908418</v>
      </c>
      <c r="D408" s="8">
        <f>(P408/$B408)+(P408/'Optimal Choice'!$B$11)</f>
        <v>53213.725032030699</v>
      </c>
      <c r="E408" s="8">
        <f>(Q408/$B408)+(Q408/'Optimal Choice'!$B$16)</f>
        <v>59273.550659730427</v>
      </c>
      <c r="F408" s="8">
        <f>(R408/$B408)+(R408/'Optimal Choice'!$B$21)</f>
        <v>60006.056347493592</v>
      </c>
      <c r="G408" s="8">
        <f>(S408/$B408)+(S408/'Optimal Choice'!$B$26)</f>
        <v>54765.569155077654</v>
      </c>
      <c r="I408" s="11">
        <f t="shared" ref="I408:M408" si="406">IF(MIN($C407:$G407)=C407,I407+1,I407)</f>
        <v>147</v>
      </c>
      <c r="J408" s="11">
        <f t="shared" si="406"/>
        <v>69</v>
      </c>
      <c r="K408" s="11">
        <f t="shared" si="406"/>
        <v>67</v>
      </c>
      <c r="L408" s="11">
        <f t="shared" si="406"/>
        <v>63</v>
      </c>
      <c r="M408" s="11">
        <f t="shared" si="406"/>
        <v>61</v>
      </c>
      <c r="O408" s="10">
        <f>'Optimal Choice'!$B$7*'Optimal Choice'!$B$8^(I408+1)</f>
        <v>89301.568870105606</v>
      </c>
      <c r="P408" s="10">
        <f>'Optimal Choice'!$B$12*'Optimal Choice'!$B$13^(J408+1)</f>
        <v>1064143.2023296827</v>
      </c>
      <c r="Q408" s="10">
        <f>'Optimal Choice'!$B$17*'Optimal Choice'!$B$18^(K408+1)</f>
        <v>5331659.2713725157</v>
      </c>
      <c r="R408" s="10">
        <f>'Optimal Choice'!$B$22*'Optimal Choice'!$B$23^(L408+1)</f>
        <v>21554310.035205644</v>
      </c>
      <c r="S408" s="10">
        <f>'Optimal Choice'!$B$27*'Optimal Choice'!$B$28^(M408+1)</f>
        <v>116738039.1207246</v>
      </c>
    </row>
    <row r="409" spans="1:19" ht="15.75" customHeight="1">
      <c r="A409" s="8">
        <f t="shared" si="0"/>
        <v>152.19035151310513</v>
      </c>
      <c r="B409" s="7">
        <f>(I409*'Optimal Choice'!$B$6+J409*'Optimal Choice'!$B$11+K409*'Optimal Choice'!$B$16+L409*'Optimal Choice'!$B$21+M409*'Optimal Choice'!$B$26)*'Optimal Choice'!$B$30</f>
        <v>162115.49</v>
      </c>
      <c r="C409" s="8">
        <f>(O409/$B409)+(O409/'Optimal Choice'!$B$6)</f>
        <v>53474.544186942119</v>
      </c>
      <c r="D409" s="8">
        <f>(P409/$B409)+(P409/'Optimal Choice'!$B$11)</f>
        <v>61195.78285544338</v>
      </c>
      <c r="E409" s="8">
        <f>(Q409/$B409)+(Q409/'Optimal Choice'!$B$16)</f>
        <v>59273.546601871567</v>
      </c>
      <c r="F409" s="8">
        <f>(R409/$B409)+(R409/'Optimal Choice'!$B$21)</f>
        <v>60006.039942779105</v>
      </c>
      <c r="G409" s="8">
        <f>(S409/$B409)+(S409/'Optimal Choice'!$B$26)</f>
        <v>54765.480307223173</v>
      </c>
      <c r="I409" s="11">
        <f t="shared" ref="I409:M409" si="407">IF(MIN($C408:$G408)=C408,I408+1,I408)</f>
        <v>147</v>
      </c>
      <c r="J409" s="11">
        <f t="shared" si="407"/>
        <v>70</v>
      </c>
      <c r="K409" s="11">
        <f t="shared" si="407"/>
        <v>67</v>
      </c>
      <c r="L409" s="11">
        <f t="shared" si="407"/>
        <v>63</v>
      </c>
      <c r="M409" s="11">
        <f t="shared" si="407"/>
        <v>61</v>
      </c>
      <c r="O409" s="10">
        <f>'Optimal Choice'!$B$7*'Optimal Choice'!$B$8^(I409+1)</f>
        <v>89301.568870105606</v>
      </c>
      <c r="P409" s="10">
        <f>'Optimal Choice'!$B$12*'Optimal Choice'!$B$13^(J409+1)</f>
        <v>1223764.6826791349</v>
      </c>
      <c r="Q409" s="10">
        <f>'Optimal Choice'!$B$17*'Optimal Choice'!$B$18^(K409+1)</f>
        <v>5331659.2713725157</v>
      </c>
      <c r="R409" s="10">
        <f>'Optimal Choice'!$B$22*'Optimal Choice'!$B$23^(L409+1)</f>
        <v>21554310.035205644</v>
      </c>
      <c r="S409" s="10">
        <f>'Optimal Choice'!$B$27*'Optimal Choice'!$B$28^(M409+1)</f>
        <v>116738039.1207246</v>
      </c>
    </row>
    <row r="410" spans="1:19" ht="15.75" customHeight="1">
      <c r="A410" s="8">
        <f t="shared" si="0"/>
        <v>152.19953237226403</v>
      </c>
      <c r="B410" s="7">
        <f>(I410*'Optimal Choice'!$B$6+J410*'Optimal Choice'!$B$11+K410*'Optimal Choice'!$B$16+L410*'Optimal Choice'!$B$21+M410*'Optimal Choice'!$B$26)*'Optimal Choice'!$B$30</f>
        <v>162117.16</v>
      </c>
      <c r="C410" s="8">
        <f>(O410/$B410)+(O410/'Optimal Choice'!$B$6)</f>
        <v>57217.762273956432</v>
      </c>
      <c r="D410" s="8">
        <f>(P410/$B410)+(P410/'Optimal Choice'!$B$11)</f>
        <v>61195.782777682543</v>
      </c>
      <c r="E410" s="8">
        <f>(Q410/$B410)+(Q410/'Optimal Choice'!$B$16)</f>
        <v>59273.546263085642</v>
      </c>
      <c r="F410" s="8">
        <f>(R410/$B410)+(R410/'Optimal Choice'!$B$21)</f>
        <v>60006.038573168546</v>
      </c>
      <c r="G410" s="8">
        <f>(S410/$B410)+(S410/'Optimal Choice'!$B$26)</f>
        <v>54765.472889418983</v>
      </c>
      <c r="I410" s="11">
        <f t="shared" ref="I410:M410" si="408">IF(MIN($C409:$G409)=C409,I409+1,I409)</f>
        <v>148</v>
      </c>
      <c r="J410" s="11">
        <f t="shared" si="408"/>
        <v>70</v>
      </c>
      <c r="K410" s="11">
        <f t="shared" si="408"/>
        <v>67</v>
      </c>
      <c r="L410" s="11">
        <f t="shared" si="408"/>
        <v>63</v>
      </c>
      <c r="M410" s="11">
        <f t="shared" si="408"/>
        <v>61</v>
      </c>
      <c r="O410" s="10">
        <f>'Optimal Choice'!$B$7*'Optimal Choice'!$B$8^(I410+1)</f>
        <v>95552.678691013003</v>
      </c>
      <c r="P410" s="10">
        <f>'Optimal Choice'!$B$12*'Optimal Choice'!$B$13^(J410+1)</f>
        <v>1223764.6826791349</v>
      </c>
      <c r="Q410" s="10">
        <f>'Optimal Choice'!$B$17*'Optimal Choice'!$B$18^(K410+1)</f>
        <v>5331659.2713725157</v>
      </c>
      <c r="R410" s="10">
        <f>'Optimal Choice'!$B$22*'Optimal Choice'!$B$23^(L410+1)</f>
        <v>21554310.035205644</v>
      </c>
      <c r="S410" s="10">
        <f>'Optimal Choice'!$B$27*'Optimal Choice'!$B$28^(M410+1)</f>
        <v>116738039.1207246</v>
      </c>
    </row>
    <row r="411" spans="1:19" ht="15.75" customHeight="1">
      <c r="A411" s="8">
        <f t="shared" si="0"/>
        <v>164.2009391656313</v>
      </c>
      <c r="B411" s="7">
        <f>(I411*'Optimal Choice'!$B$6+J411*'Optimal Choice'!$B$11+K411*'Optimal Choice'!$B$16+L411*'Optimal Choice'!$B$21+M411*'Optimal Choice'!$B$26)*'Optimal Choice'!$B$30</f>
        <v>164277.16</v>
      </c>
      <c r="C411" s="8">
        <f>(O411/$B411)+(O411/'Optimal Choice'!$B$6)</f>
        <v>57217.754524157332</v>
      </c>
      <c r="D411" s="8">
        <f>(P411/$B411)+(P411/'Optimal Choice'!$B$11)</f>
        <v>61195.683524259563</v>
      </c>
      <c r="E411" s="8">
        <f>(Q411/$B411)+(Q411/'Optimal Choice'!$B$16)</f>
        <v>59273.113838911006</v>
      </c>
      <c r="F411" s="8">
        <f>(R411/$B411)+(R411/'Optimal Choice'!$B$21)</f>
        <v>60004.290411057569</v>
      </c>
      <c r="G411" s="8">
        <f>(S411/$B411)+(S411/'Optimal Choice'!$B$26)</f>
        <v>61326.725434086889</v>
      </c>
      <c r="I411" s="11">
        <f t="shared" ref="I411:M411" si="409">IF(MIN($C410:$G410)=C410,I410+1,I410)</f>
        <v>148</v>
      </c>
      <c r="J411" s="11">
        <f t="shared" si="409"/>
        <v>70</v>
      </c>
      <c r="K411" s="11">
        <f t="shared" si="409"/>
        <v>67</v>
      </c>
      <c r="L411" s="11">
        <f t="shared" si="409"/>
        <v>63</v>
      </c>
      <c r="M411" s="11">
        <f t="shared" si="409"/>
        <v>62</v>
      </c>
      <c r="O411" s="10">
        <f>'Optimal Choice'!$B$7*'Optimal Choice'!$B$8^(I411+1)</f>
        <v>95552.678691013003</v>
      </c>
      <c r="P411" s="10">
        <f>'Optimal Choice'!$B$12*'Optimal Choice'!$B$13^(J411+1)</f>
        <v>1223764.6826791349</v>
      </c>
      <c r="Q411" s="10">
        <f>'Optimal Choice'!$B$17*'Optimal Choice'!$B$18^(K411+1)</f>
        <v>5331659.2713725157</v>
      </c>
      <c r="R411" s="10">
        <f>'Optimal Choice'!$B$22*'Optimal Choice'!$B$23^(L411+1)</f>
        <v>21554310.035205644</v>
      </c>
      <c r="S411" s="10">
        <f>'Optimal Choice'!$B$27*'Optimal Choice'!$B$28^(M411+1)</f>
        <v>130746603.81521153</v>
      </c>
    </row>
    <row r="412" spans="1:19" ht="15.75" customHeight="1">
      <c r="A412" s="8">
        <f t="shared" si="0"/>
        <v>164.21063342041907</v>
      </c>
      <c r="B412" s="7">
        <f>(I412*'Optimal Choice'!$B$6+J412*'Optimal Choice'!$B$11+K412*'Optimal Choice'!$B$16+L412*'Optimal Choice'!$B$21+M412*'Optimal Choice'!$B$26)*'Optimal Choice'!$B$30</f>
        <v>164278.83000000002</v>
      </c>
      <c r="C412" s="8">
        <f>(O412/$B412)+(O412/'Optimal Choice'!$B$6)</f>
        <v>61222.997334521533</v>
      </c>
      <c r="D412" s="8">
        <f>(P412/$B412)+(P412/'Optimal Choice'!$B$11)</f>
        <v>61195.683448531723</v>
      </c>
      <c r="E412" s="8">
        <f>(Q412/$B412)+(Q412/'Optimal Choice'!$B$16)</f>
        <v>59273.113508982322</v>
      </c>
      <c r="F412" s="8">
        <f>(R412/$B412)+(R412/'Optimal Choice'!$B$21)</f>
        <v>60004.289077254201</v>
      </c>
      <c r="G412" s="8">
        <f>(S412/$B412)+(S412/'Optimal Choice'!$B$26)</f>
        <v>61326.717343349585</v>
      </c>
      <c r="I412" s="11">
        <f t="shared" ref="I412:M412" si="410">IF(MIN($C411:$G411)=C411,I411+1,I411)</f>
        <v>149</v>
      </c>
      <c r="J412" s="11">
        <f t="shared" si="410"/>
        <v>70</v>
      </c>
      <c r="K412" s="11">
        <f t="shared" si="410"/>
        <v>67</v>
      </c>
      <c r="L412" s="11">
        <f t="shared" si="410"/>
        <v>63</v>
      </c>
      <c r="M412" s="11">
        <f t="shared" si="410"/>
        <v>62</v>
      </c>
      <c r="O412" s="10">
        <f>'Optimal Choice'!$B$7*'Optimal Choice'!$B$8^(I412+1)</f>
        <v>102241.36619938391</v>
      </c>
      <c r="P412" s="10">
        <f>'Optimal Choice'!$B$12*'Optimal Choice'!$B$13^(J412+1)</f>
        <v>1223764.6826791349</v>
      </c>
      <c r="Q412" s="10">
        <f>'Optimal Choice'!$B$17*'Optimal Choice'!$B$18^(K412+1)</f>
        <v>5331659.2713725157</v>
      </c>
      <c r="R412" s="10">
        <f>'Optimal Choice'!$B$22*'Optimal Choice'!$B$23^(L412+1)</f>
        <v>21554310.035205644</v>
      </c>
      <c r="S412" s="10">
        <f>'Optimal Choice'!$B$27*'Optimal Choice'!$B$28^(M412+1)</f>
        <v>130746603.81521153</v>
      </c>
    </row>
    <row r="413" spans="1:19" ht="15.75" customHeight="1">
      <c r="A413" s="8">
        <f t="shared" si="0"/>
        <v>164.75154905669558</v>
      </c>
      <c r="B413" s="7">
        <f>(I413*'Optimal Choice'!$B$6+J413*'Optimal Choice'!$B$11+K413*'Optimal Choice'!$B$16+L413*'Optimal Choice'!$B$21+M413*'Optimal Choice'!$B$26)*'Optimal Choice'!$B$30</f>
        <v>164368.83000000002</v>
      </c>
      <c r="C413" s="8">
        <f>(O413/$B413)+(O413/'Optimal Choice'!$B$6)</f>
        <v>61222.996993746252</v>
      </c>
      <c r="D413" s="8">
        <f>(P413/$B413)+(P413/'Optimal Choice'!$B$11)</f>
        <v>61195.679369666454</v>
      </c>
      <c r="E413" s="8">
        <f>(Q413/$B413)+(Q413/'Optimal Choice'!$B$16)</f>
        <v>67571.329141674665</v>
      </c>
      <c r="F413" s="8">
        <f>(R413/$B413)+(R413/'Optimal Choice'!$B$21)</f>
        <v>60004.217235724689</v>
      </c>
      <c r="G413" s="8">
        <f>(S413/$B413)+(S413/'Optimal Choice'!$B$26)</f>
        <v>61326.281558767223</v>
      </c>
      <c r="I413" s="11">
        <f t="shared" ref="I413:M413" si="411">IF(MIN($C412:$G412)=C412,I412+1,I412)</f>
        <v>149</v>
      </c>
      <c r="J413" s="11">
        <f t="shared" si="411"/>
        <v>70</v>
      </c>
      <c r="K413" s="11">
        <f t="shared" si="411"/>
        <v>68</v>
      </c>
      <c r="L413" s="11">
        <f t="shared" si="411"/>
        <v>63</v>
      </c>
      <c r="M413" s="11">
        <f t="shared" si="411"/>
        <v>62</v>
      </c>
      <c r="O413" s="10">
        <f>'Optimal Choice'!$B$7*'Optimal Choice'!$B$8^(I413+1)</f>
        <v>102241.36619938391</v>
      </c>
      <c r="P413" s="10">
        <f>'Optimal Choice'!$B$12*'Optimal Choice'!$B$13^(J413+1)</f>
        <v>1223764.6826791349</v>
      </c>
      <c r="Q413" s="10">
        <f>'Optimal Choice'!$B$17*'Optimal Choice'!$B$18^(K413+1)</f>
        <v>6078091.5693646679</v>
      </c>
      <c r="R413" s="10">
        <f>'Optimal Choice'!$B$22*'Optimal Choice'!$B$23^(L413+1)</f>
        <v>21554310.035205644</v>
      </c>
      <c r="S413" s="10">
        <f>'Optimal Choice'!$B$27*'Optimal Choice'!$B$28^(M413+1)</f>
        <v>130746603.81521153</v>
      </c>
    </row>
    <row r="414" spans="1:19" ht="15.75" customHeight="1">
      <c r="A414" s="8">
        <f t="shared" si="0"/>
        <v>166.93711246666061</v>
      </c>
      <c r="B414" s="7">
        <f>(I414*'Optimal Choice'!$B$6+J414*'Optimal Choice'!$B$11+K414*'Optimal Choice'!$B$16+L414*'Optimal Choice'!$B$21+M414*'Optimal Choice'!$B$26)*'Optimal Choice'!$B$30</f>
        <v>164728.83000000002</v>
      </c>
      <c r="C414" s="8">
        <f>(O414/$B414)+(O414/'Optimal Choice'!$B$6)</f>
        <v>61222.995634368781</v>
      </c>
      <c r="D414" s="8">
        <f>(P414/$B414)+(P414/'Optimal Choice'!$B$11)</f>
        <v>61195.663098775345</v>
      </c>
      <c r="E414" s="8">
        <f>(Q414/$B414)+(Q414/'Optimal Choice'!$B$16)</f>
        <v>67571.248328780261</v>
      </c>
      <c r="F414" s="8">
        <f>(R414/$B414)+(R414/'Optimal Choice'!$B$21)</f>
        <v>67804.441639723489</v>
      </c>
      <c r="G414" s="8">
        <f>(S414/$B414)+(S414/'Optimal Choice'!$B$26)</f>
        <v>61324.543182277281</v>
      </c>
      <c r="I414" s="11">
        <f t="shared" ref="I414:M414" si="412">IF(MIN($C413:$G413)=C413,I413+1,I413)</f>
        <v>149</v>
      </c>
      <c r="J414" s="11">
        <f t="shared" si="412"/>
        <v>70</v>
      </c>
      <c r="K414" s="11">
        <f t="shared" si="412"/>
        <v>68</v>
      </c>
      <c r="L414" s="11">
        <f t="shared" si="412"/>
        <v>64</v>
      </c>
      <c r="M414" s="11">
        <f t="shared" si="412"/>
        <v>62</v>
      </c>
      <c r="O414" s="10">
        <f>'Optimal Choice'!$B$7*'Optimal Choice'!$B$8^(I414+1)</f>
        <v>102241.36619938391</v>
      </c>
      <c r="P414" s="10">
        <f>'Optimal Choice'!$B$12*'Optimal Choice'!$B$13^(J414+1)</f>
        <v>1223764.6826791349</v>
      </c>
      <c r="Q414" s="10">
        <f>'Optimal Choice'!$B$17*'Optimal Choice'!$B$18^(K414+1)</f>
        <v>6078091.5693646679</v>
      </c>
      <c r="R414" s="10">
        <f>'Optimal Choice'!$B$22*'Optimal Choice'!$B$23^(L414+1)</f>
        <v>24356370.339782376</v>
      </c>
      <c r="S414" s="10">
        <f>'Optimal Choice'!$B$27*'Optimal Choice'!$B$28^(M414+1)</f>
        <v>130746603.81521153</v>
      </c>
    </row>
    <row r="415" spans="1:19" ht="15.75" customHeight="1">
      <c r="A415" s="8">
        <f t="shared" si="0"/>
        <v>167.06092854697062</v>
      </c>
      <c r="B415" s="7">
        <f>(I415*'Optimal Choice'!$B$6+J415*'Optimal Choice'!$B$11+K415*'Optimal Choice'!$B$16+L415*'Optimal Choice'!$B$21+M415*'Optimal Choice'!$B$26)*'Optimal Choice'!$B$30</f>
        <v>164748.83000000002</v>
      </c>
      <c r="C415" s="8">
        <f>(O415/$B415)+(O415/'Optimal Choice'!$B$6)</f>
        <v>61222.995559022005</v>
      </c>
      <c r="D415" s="8">
        <f>(P415/$B415)+(P415/'Optimal Choice'!$B$11)</f>
        <v>70375.011526460206</v>
      </c>
      <c r="E415" s="8">
        <f>(Q415/$B415)+(Q415/'Optimal Choice'!$B$16)</f>
        <v>67571.243849530467</v>
      </c>
      <c r="F415" s="8">
        <f>(R415/$B415)+(R415/'Optimal Choice'!$B$21)</f>
        <v>67804.423690295545</v>
      </c>
      <c r="G415" s="8">
        <f>(S415/$B415)+(S415/'Optimal Choice'!$B$26)</f>
        <v>61324.446828563254</v>
      </c>
      <c r="I415" s="11">
        <f t="shared" ref="I415:M415" si="413">IF(MIN($C414:$G414)=C414,I414+1,I414)</f>
        <v>149</v>
      </c>
      <c r="J415" s="11">
        <f t="shared" si="413"/>
        <v>71</v>
      </c>
      <c r="K415" s="11">
        <f t="shared" si="413"/>
        <v>68</v>
      </c>
      <c r="L415" s="11">
        <f t="shared" si="413"/>
        <v>64</v>
      </c>
      <c r="M415" s="11">
        <f t="shared" si="413"/>
        <v>62</v>
      </c>
      <c r="O415" s="10">
        <f>'Optimal Choice'!$B$7*'Optimal Choice'!$B$8^(I415+1)</f>
        <v>102241.36619938391</v>
      </c>
      <c r="P415" s="10">
        <f>'Optimal Choice'!$B$12*'Optimal Choice'!$B$13^(J415+1)</f>
        <v>1407329.385081005</v>
      </c>
      <c r="Q415" s="10">
        <f>'Optimal Choice'!$B$17*'Optimal Choice'!$B$18^(K415+1)</f>
        <v>6078091.5693646679</v>
      </c>
      <c r="R415" s="10">
        <f>'Optimal Choice'!$B$22*'Optimal Choice'!$B$23^(L415+1)</f>
        <v>24356370.339782376</v>
      </c>
      <c r="S415" s="10">
        <f>'Optimal Choice'!$B$27*'Optimal Choice'!$B$28^(M415+1)</f>
        <v>130746603.81521153</v>
      </c>
    </row>
    <row r="416" spans="1:19" ht="15.75" customHeight="1">
      <c r="A416" s="8">
        <f t="shared" si="0"/>
        <v>167.07127170248796</v>
      </c>
      <c r="B416" s="7">
        <f>(I416*'Optimal Choice'!$B$6+J416*'Optimal Choice'!$B$11+K416*'Optimal Choice'!$B$16+L416*'Optimal Choice'!$B$21+M416*'Optimal Choice'!$B$26)*'Optimal Choice'!$B$30</f>
        <v>164750.5</v>
      </c>
      <c r="C416" s="8">
        <f>(O416/$B416)+(O416/'Optimal Choice'!$B$6)</f>
        <v>65508.605241422578</v>
      </c>
      <c r="D416" s="8">
        <f>(P416/$B416)+(P416/'Optimal Choice'!$B$11)</f>
        <v>70375.01143987113</v>
      </c>
      <c r="E416" s="8">
        <f>(Q416/$B416)+(Q416/'Optimal Choice'!$B$16)</f>
        <v>67571.243475562311</v>
      </c>
      <c r="F416" s="8">
        <f>(R416/$B416)+(R416/'Optimal Choice'!$B$21)</f>
        <v>67804.42219171545</v>
      </c>
      <c r="G416" s="8">
        <f>(S416/$B416)+(S416/'Optimal Choice'!$B$26)</f>
        <v>61324.438784086378</v>
      </c>
      <c r="I416" s="11">
        <f t="shared" ref="I416:M416" si="414">IF(MIN($C415:$G415)=C415,I415+1,I415)</f>
        <v>150</v>
      </c>
      <c r="J416" s="11">
        <f t="shared" si="414"/>
        <v>71</v>
      </c>
      <c r="K416" s="11">
        <f t="shared" si="414"/>
        <v>68</v>
      </c>
      <c r="L416" s="11">
        <f t="shared" si="414"/>
        <v>64</v>
      </c>
      <c r="M416" s="11">
        <f t="shared" si="414"/>
        <v>62</v>
      </c>
      <c r="O416" s="10">
        <f>'Optimal Choice'!$B$7*'Optimal Choice'!$B$8^(I416+1)</f>
        <v>109398.26183334079</v>
      </c>
      <c r="P416" s="10">
        <f>'Optimal Choice'!$B$12*'Optimal Choice'!$B$13^(J416+1)</f>
        <v>1407329.385081005</v>
      </c>
      <c r="Q416" s="10">
        <f>'Optimal Choice'!$B$17*'Optimal Choice'!$B$18^(K416+1)</f>
        <v>6078091.5693646679</v>
      </c>
      <c r="R416" s="10">
        <f>'Optimal Choice'!$B$22*'Optimal Choice'!$B$23^(L416+1)</f>
        <v>24356370.339782376</v>
      </c>
      <c r="S416" s="10">
        <f>'Optimal Choice'!$B$27*'Optimal Choice'!$B$28^(M416+1)</f>
        <v>130746603.81521153</v>
      </c>
    </row>
    <row r="417" spans="1:19" ht="15.75" customHeight="1">
      <c r="A417" s="8">
        <f t="shared" si="0"/>
        <v>180.29799977667807</v>
      </c>
      <c r="B417" s="7">
        <f>(I417*'Optimal Choice'!$B$6+J417*'Optimal Choice'!$B$11+K417*'Optimal Choice'!$B$16+L417*'Optimal Choice'!$B$21+M417*'Optimal Choice'!$B$26)*'Optimal Choice'!$B$30</f>
        <v>166910.5</v>
      </c>
      <c r="C417" s="8">
        <f>(O417/$B417)+(O417/'Optimal Choice'!$B$6)</f>
        <v>65508.596648245257</v>
      </c>
      <c r="D417" s="8">
        <f>(P417/$B417)+(P417/'Optimal Choice'!$B$11)</f>
        <v>70374.900894870225</v>
      </c>
      <c r="E417" s="8">
        <f>(Q417/$B417)+(Q417/'Optimal Choice'!$B$16)</f>
        <v>67570.766044589051</v>
      </c>
      <c r="F417" s="8">
        <f>(R417/$B417)+(R417/'Optimal Choice'!$B$21)</f>
        <v>67802.509011325907</v>
      </c>
      <c r="G417" s="8">
        <f>(S417/$B417)+(S417/'Optimal Choice'!$B$26)</f>
        <v>68671.868950116244</v>
      </c>
      <c r="I417" s="11">
        <f t="shared" ref="I417:M417" si="415">IF(MIN($C416:$G416)=C416,I416+1,I416)</f>
        <v>150</v>
      </c>
      <c r="J417" s="11">
        <f t="shared" si="415"/>
        <v>71</v>
      </c>
      <c r="K417" s="11">
        <f t="shared" si="415"/>
        <v>68</v>
      </c>
      <c r="L417" s="11">
        <f t="shared" si="415"/>
        <v>64</v>
      </c>
      <c r="M417" s="11">
        <f t="shared" si="415"/>
        <v>63</v>
      </c>
      <c r="O417" s="10">
        <f>'Optimal Choice'!$B$7*'Optimal Choice'!$B$8^(I417+1)</f>
        <v>109398.26183334079</v>
      </c>
      <c r="P417" s="10">
        <f>'Optimal Choice'!$B$12*'Optimal Choice'!$B$13^(J417+1)</f>
        <v>1407329.385081005</v>
      </c>
      <c r="Q417" s="10">
        <f>'Optimal Choice'!$B$17*'Optimal Choice'!$B$18^(K417+1)</f>
        <v>6078091.5693646679</v>
      </c>
      <c r="R417" s="10">
        <f>'Optimal Choice'!$B$22*'Optimal Choice'!$B$23^(L417+1)</f>
        <v>24356370.339782376</v>
      </c>
      <c r="S417" s="10">
        <f>'Optimal Choice'!$B$27*'Optimal Choice'!$B$28^(M417+1)</f>
        <v>146436196.27303696</v>
      </c>
    </row>
    <row r="418" spans="1:19" ht="15.75" customHeight="1">
      <c r="A418" s="8">
        <f t="shared" si="0"/>
        <v>180.30892362127676</v>
      </c>
      <c r="B418" s="7">
        <f>(I418*'Optimal Choice'!$B$6+J418*'Optimal Choice'!$B$11+K418*'Optimal Choice'!$B$16+L418*'Optimal Choice'!$B$21+M418*'Optimal Choice'!$B$26)*'Optimal Choice'!$B$30</f>
        <v>166912.16999999998</v>
      </c>
      <c r="C418" s="8">
        <f>(O418/$B418)+(O418/'Optimal Choice'!$B$6)</f>
        <v>70094.198406605617</v>
      </c>
      <c r="D418" s="8">
        <f>(P418/$B418)+(P418/'Optimal Choice'!$B$11)</f>
        <v>70374.900810509454</v>
      </c>
      <c r="E418" s="8">
        <f>(Q418/$B418)+(Q418/'Optimal Choice'!$B$16)</f>
        <v>67570.765680244687</v>
      </c>
      <c r="F418" s="8">
        <f>(R418/$B418)+(R418/'Optimal Choice'!$B$21)</f>
        <v>67802.5075513107</v>
      </c>
      <c r="G418" s="8">
        <f>(S418/$B418)+(S418/'Optimal Choice'!$B$26)</f>
        <v>68671.860172163288</v>
      </c>
      <c r="I418" s="11">
        <f t="shared" ref="I418:M418" si="416">IF(MIN($C417:$G417)=C417,I417+1,I417)</f>
        <v>151</v>
      </c>
      <c r="J418" s="11">
        <f t="shared" si="416"/>
        <v>71</v>
      </c>
      <c r="K418" s="11">
        <f t="shared" si="416"/>
        <v>68</v>
      </c>
      <c r="L418" s="11">
        <f t="shared" si="416"/>
        <v>64</v>
      </c>
      <c r="M418" s="11">
        <f t="shared" si="416"/>
        <v>63</v>
      </c>
      <c r="O418" s="10">
        <f>'Optimal Choice'!$B$7*'Optimal Choice'!$B$8^(I418+1)</f>
        <v>117056.14016167464</v>
      </c>
      <c r="P418" s="10">
        <f>'Optimal Choice'!$B$12*'Optimal Choice'!$B$13^(J418+1)</f>
        <v>1407329.385081005</v>
      </c>
      <c r="Q418" s="10">
        <f>'Optimal Choice'!$B$17*'Optimal Choice'!$B$18^(K418+1)</f>
        <v>6078091.5693646679</v>
      </c>
      <c r="R418" s="10">
        <f>'Optimal Choice'!$B$22*'Optimal Choice'!$B$23^(L418+1)</f>
        <v>24356370.339782376</v>
      </c>
      <c r="S418" s="10">
        <f>'Optimal Choice'!$B$27*'Optimal Choice'!$B$28^(M418+1)</f>
        <v>146436196.27303696</v>
      </c>
    </row>
    <row r="419" spans="1:19" ht="15.75" customHeight="1">
      <c r="A419" s="8">
        <f t="shared" si="0"/>
        <v>180.91583878004604</v>
      </c>
      <c r="B419" s="7">
        <f>(I419*'Optimal Choice'!$B$6+J419*'Optimal Choice'!$B$11+K419*'Optimal Choice'!$B$16+L419*'Optimal Choice'!$B$21+M419*'Optimal Choice'!$B$26)*'Optimal Choice'!$B$30</f>
        <v>167002.16999999998</v>
      </c>
      <c r="C419" s="8">
        <f>(O419/$B419)+(O419/'Optimal Choice'!$B$6)</f>
        <v>70094.198028662373</v>
      </c>
      <c r="D419" s="8">
        <f>(P419/$B419)+(P419/'Optimal Choice'!$B$11)</f>
        <v>70374.896266615906</v>
      </c>
      <c r="E419" s="8">
        <f>(Q419/$B419)+(Q419/'Optimal Choice'!$B$16)</f>
        <v>77030.650503495883</v>
      </c>
      <c r="F419" s="8">
        <f>(R419/$B419)+(R419/'Optimal Choice'!$B$21)</f>
        <v>67802.428911047085</v>
      </c>
      <c r="G419" s="8">
        <f>(S419/$B419)+(S419/'Optimal Choice'!$B$26)</f>
        <v>68671.387368501804</v>
      </c>
      <c r="I419" s="11">
        <f t="shared" ref="I419:M419" si="417">IF(MIN($C418:$G418)=C418,I418+1,I418)</f>
        <v>151</v>
      </c>
      <c r="J419" s="11">
        <f t="shared" si="417"/>
        <v>71</v>
      </c>
      <c r="K419" s="11">
        <f t="shared" si="417"/>
        <v>69</v>
      </c>
      <c r="L419" s="11">
        <f t="shared" si="417"/>
        <v>64</v>
      </c>
      <c r="M419" s="11">
        <f t="shared" si="417"/>
        <v>63</v>
      </c>
      <c r="O419" s="10">
        <f>'Optimal Choice'!$B$7*'Optimal Choice'!$B$8^(I419+1)</f>
        <v>117056.14016167464</v>
      </c>
      <c r="P419" s="10">
        <f>'Optimal Choice'!$B$12*'Optimal Choice'!$B$13^(J419+1)</f>
        <v>1407329.385081005</v>
      </c>
      <c r="Q419" s="10">
        <f>'Optimal Choice'!$B$17*'Optimal Choice'!$B$18^(K419+1)</f>
        <v>6929024.3890757207</v>
      </c>
      <c r="R419" s="10">
        <f>'Optimal Choice'!$B$22*'Optimal Choice'!$B$23^(L419+1)</f>
        <v>24356370.339782376</v>
      </c>
      <c r="S419" s="10">
        <f>'Optimal Choice'!$B$27*'Optimal Choice'!$B$28^(M419+1)</f>
        <v>146436196.27303696</v>
      </c>
    </row>
    <row r="420" spans="1:19" ht="15.75" customHeight="1">
      <c r="A420" s="8">
        <f t="shared" si="0"/>
        <v>183.34658267794293</v>
      </c>
      <c r="B420" s="7">
        <f>(I420*'Optimal Choice'!$B$6+J420*'Optimal Choice'!$B$11+K420*'Optimal Choice'!$B$16+L420*'Optimal Choice'!$B$21+M420*'Optimal Choice'!$B$26)*'Optimal Choice'!$B$30</f>
        <v>167362.16999999998</v>
      </c>
      <c r="C420" s="8">
        <f>(O420/$B420)+(O420/'Optimal Choice'!$B$6)</f>
        <v>70094.19652095421</v>
      </c>
      <c r="D420" s="8">
        <f>(P420/$B420)+(P420/'Optimal Choice'!$B$11)</f>
        <v>70374.87813991186</v>
      </c>
      <c r="E420" s="8">
        <f>(Q420/$B420)+(Q420/'Optimal Choice'!$B$16)</f>
        <v>77030.561256176996</v>
      </c>
      <c r="F420" s="8">
        <f>(R420/$B420)+(R420/'Optimal Choice'!$B$21)</f>
        <v>76616.390171229141</v>
      </c>
      <c r="G420" s="8">
        <f>(S420/$B420)+(S420/'Optimal Choice'!$B$26)</f>
        <v>68669.501238915371</v>
      </c>
      <c r="I420" s="11">
        <f t="shared" ref="I420:M420" si="418">IF(MIN($C419:$G419)=C419,I419+1,I419)</f>
        <v>151</v>
      </c>
      <c r="J420" s="11">
        <f t="shared" si="418"/>
        <v>71</v>
      </c>
      <c r="K420" s="11">
        <f t="shared" si="418"/>
        <v>69</v>
      </c>
      <c r="L420" s="11">
        <f t="shared" si="418"/>
        <v>65</v>
      </c>
      <c r="M420" s="11">
        <f t="shared" si="418"/>
        <v>63</v>
      </c>
      <c r="O420" s="10">
        <f>'Optimal Choice'!$B$7*'Optimal Choice'!$B$8^(I420+1)</f>
        <v>117056.14016167464</v>
      </c>
      <c r="P420" s="10">
        <f>'Optimal Choice'!$B$12*'Optimal Choice'!$B$13^(J420+1)</f>
        <v>1407329.385081005</v>
      </c>
      <c r="Q420" s="10">
        <f>'Optimal Choice'!$B$17*'Optimal Choice'!$B$18^(K420+1)</f>
        <v>6929024.3890757207</v>
      </c>
      <c r="R420" s="10">
        <f>'Optimal Choice'!$B$22*'Optimal Choice'!$B$23^(L420+1)</f>
        <v>27522698.483954083</v>
      </c>
      <c r="S420" s="10">
        <f>'Optimal Choice'!$B$27*'Optimal Choice'!$B$28^(M420+1)</f>
        <v>146436196.27303696</v>
      </c>
    </row>
    <row r="421" spans="1:19" ht="15.75" customHeight="1">
      <c r="A421" s="8">
        <f t="shared" si="0"/>
        <v>197.92934813334591</v>
      </c>
      <c r="B421" s="7">
        <f>(I421*'Optimal Choice'!$B$6+J421*'Optimal Choice'!$B$11+K421*'Optimal Choice'!$B$16+L421*'Optimal Choice'!$B$21+M421*'Optimal Choice'!$B$26)*'Optimal Choice'!$B$30</f>
        <v>169522.16999999998</v>
      </c>
      <c r="C421" s="8">
        <f>(O421/$B421)+(O421/'Optimal Choice'!$B$6)</f>
        <v>70094.187609180517</v>
      </c>
      <c r="D421" s="8">
        <f>(P421/$B421)+(P421/'Optimal Choice'!$B$11)</f>
        <v>70374.770996442312</v>
      </c>
      <c r="E421" s="8">
        <f>(Q421/$B421)+(Q421/'Optimal Choice'!$B$16)</f>
        <v>77030.033732399272</v>
      </c>
      <c r="F421" s="8">
        <f>(R421/$B421)+(R421/'Optimal Choice'!$B$21)</f>
        <v>76614.294800068354</v>
      </c>
      <c r="G421" s="8">
        <f>(S421/$B421)+(S421/'Optimal Choice'!$B$26)</f>
        <v>76897.355011488311</v>
      </c>
      <c r="I421" s="11">
        <f t="shared" ref="I421:M421" si="419">IF(MIN($C420:$G420)=C420,I420+1,I420)</f>
        <v>151</v>
      </c>
      <c r="J421" s="11">
        <f t="shared" si="419"/>
        <v>71</v>
      </c>
      <c r="K421" s="11">
        <f t="shared" si="419"/>
        <v>69</v>
      </c>
      <c r="L421" s="11">
        <f t="shared" si="419"/>
        <v>65</v>
      </c>
      <c r="M421" s="11">
        <f t="shared" si="419"/>
        <v>64</v>
      </c>
      <c r="O421" s="10">
        <f>'Optimal Choice'!$B$7*'Optimal Choice'!$B$8^(I421+1)</f>
        <v>117056.14016167464</v>
      </c>
      <c r="P421" s="10">
        <f>'Optimal Choice'!$B$12*'Optimal Choice'!$B$13^(J421+1)</f>
        <v>1407329.385081005</v>
      </c>
      <c r="Q421" s="10">
        <f>'Optimal Choice'!$B$17*'Optimal Choice'!$B$18^(K421+1)</f>
        <v>6929024.3890757207</v>
      </c>
      <c r="R421" s="10">
        <f>'Optimal Choice'!$B$22*'Optimal Choice'!$B$23^(L421+1)</f>
        <v>27522698.483954083</v>
      </c>
      <c r="S421" s="10">
        <f>'Optimal Choice'!$B$27*'Optimal Choice'!$B$28^(M421+1)</f>
        <v>164008539.8258014</v>
      </c>
    </row>
    <row r="422" spans="1:19" ht="15.75" customHeight="1">
      <c r="A422" s="8">
        <f t="shared" si="0"/>
        <v>197.94085657303472</v>
      </c>
      <c r="B422" s="7">
        <f>(I422*'Optimal Choice'!$B$6+J422*'Optimal Choice'!$B$11+K422*'Optimal Choice'!$B$16+L422*'Optimal Choice'!$B$21+M422*'Optimal Choice'!$B$26)*'Optimal Choice'!$B$30</f>
        <v>169523.84</v>
      </c>
      <c r="C422" s="8">
        <f>(O422/$B422)+(O422/'Optimal Choice'!$B$6)</f>
        <v>75000.780734544736</v>
      </c>
      <c r="D422" s="8">
        <f>(P422/$B422)+(P422/'Optimal Choice'!$B$11)</f>
        <v>70374.770914660825</v>
      </c>
      <c r="E422" s="8">
        <f>(Q422/$B422)+(Q422/'Optimal Choice'!$B$16)</f>
        <v>77030.033329745973</v>
      </c>
      <c r="F422" s="8">
        <f>(R422/$B422)+(R422/'Optimal Choice'!$B$21)</f>
        <v>76614.293200693734</v>
      </c>
      <c r="G422" s="8">
        <f>(S422/$B422)+(S422/'Optimal Choice'!$B$26)</f>
        <v>76897.345480769669</v>
      </c>
      <c r="I422" s="11">
        <f t="shared" ref="I422:M422" si="420">IF(MIN($C421:$G421)=C421,I421+1,I421)</f>
        <v>152</v>
      </c>
      <c r="J422" s="11">
        <f t="shared" si="420"/>
        <v>71</v>
      </c>
      <c r="K422" s="11">
        <f t="shared" si="420"/>
        <v>69</v>
      </c>
      <c r="L422" s="11">
        <f t="shared" si="420"/>
        <v>65</v>
      </c>
      <c r="M422" s="11">
        <f t="shared" si="420"/>
        <v>64</v>
      </c>
      <c r="O422" s="10">
        <f>'Optimal Choice'!$B$7*'Optimal Choice'!$B$8^(I422+1)</f>
        <v>125250.06997299187</v>
      </c>
      <c r="P422" s="10">
        <f>'Optimal Choice'!$B$12*'Optimal Choice'!$B$13^(J422+1)</f>
        <v>1407329.385081005</v>
      </c>
      <c r="Q422" s="10">
        <f>'Optimal Choice'!$B$17*'Optimal Choice'!$B$18^(K422+1)</f>
        <v>6929024.3890757207</v>
      </c>
      <c r="R422" s="10">
        <f>'Optimal Choice'!$B$22*'Optimal Choice'!$B$23^(L422+1)</f>
        <v>27522698.483954083</v>
      </c>
      <c r="S422" s="10">
        <f>'Optimal Choice'!$B$27*'Optimal Choice'!$B$28^(M422+1)</f>
        <v>164008539.8258014</v>
      </c>
    </row>
    <row r="423" spans="1:19" ht="15.75" customHeight="1">
      <c r="A423" s="8">
        <f t="shared" si="0"/>
        <v>198.07921758321092</v>
      </c>
      <c r="B423" s="7">
        <f>(I423*'Optimal Choice'!$B$6+J423*'Optimal Choice'!$B$11+K423*'Optimal Choice'!$B$16+L423*'Optimal Choice'!$B$21+M423*'Optimal Choice'!$B$26)*'Optimal Choice'!$B$30</f>
        <v>169543.84</v>
      </c>
      <c r="C423" s="8">
        <f>(O423/$B423)+(O423/'Optimal Choice'!$B$6)</f>
        <v>75000.780647389154</v>
      </c>
      <c r="D423" s="8">
        <f>(P423/$B423)+(P423/'Optimal Choice'!$B$11)</f>
        <v>80930.985425672203</v>
      </c>
      <c r="E423" s="8">
        <f>(Q423/$B423)+(Q423/'Optimal Choice'!$B$16)</f>
        <v>77030.028508166943</v>
      </c>
      <c r="F423" s="8">
        <f>(R423/$B423)+(R423/'Optimal Choice'!$B$21)</f>
        <v>76614.274048954874</v>
      </c>
      <c r="G423" s="8">
        <f>(S423/$B423)+(S423/'Optimal Choice'!$B$26)</f>
        <v>76897.231355015319</v>
      </c>
      <c r="I423" s="11">
        <f t="shared" ref="I423:M423" si="421">IF(MIN($C422:$G422)=C422,I422+1,I422)</f>
        <v>152</v>
      </c>
      <c r="J423" s="11">
        <f t="shared" si="421"/>
        <v>72</v>
      </c>
      <c r="K423" s="11">
        <f t="shared" si="421"/>
        <v>69</v>
      </c>
      <c r="L423" s="11">
        <f t="shared" si="421"/>
        <v>65</v>
      </c>
      <c r="M423" s="11">
        <f t="shared" si="421"/>
        <v>64</v>
      </c>
      <c r="O423" s="10">
        <f>'Optimal Choice'!$B$7*'Optimal Choice'!$B$8^(I423+1)</f>
        <v>125250.06997299187</v>
      </c>
      <c r="P423" s="10">
        <f>'Optimal Choice'!$B$12*'Optimal Choice'!$B$13^(J423+1)</f>
        <v>1618428.7928431556</v>
      </c>
      <c r="Q423" s="10">
        <f>'Optimal Choice'!$B$17*'Optimal Choice'!$B$18^(K423+1)</f>
        <v>6929024.3890757207</v>
      </c>
      <c r="R423" s="10">
        <f>'Optimal Choice'!$B$22*'Optimal Choice'!$B$23^(L423+1)</f>
        <v>27522698.483954083</v>
      </c>
      <c r="S423" s="10">
        <f>'Optimal Choice'!$B$27*'Optimal Choice'!$B$28^(M423+1)</f>
        <v>164008539.8258014</v>
      </c>
    </row>
    <row r="424" spans="1:19" ht="15.75" customHeight="1">
      <c r="A424" s="8">
        <f t="shared" si="0"/>
        <v>198.09153003977801</v>
      </c>
      <c r="B424" s="7">
        <f>(I424*'Optimal Choice'!$B$6+J424*'Optimal Choice'!$B$11+K424*'Optimal Choice'!$B$16+L424*'Optimal Choice'!$B$21+M424*'Optimal Choice'!$B$26)*'Optimal Choice'!$B$30</f>
        <v>169545.51</v>
      </c>
      <c r="C424" s="8">
        <f>(O424/$B424)+(O424/'Optimal Choice'!$B$6)</f>
        <v>80250.835284920482</v>
      </c>
      <c r="D424" s="8">
        <f>(P424/$B424)+(P424/'Optimal Choice'!$B$11)</f>
        <v>80930.985331647549</v>
      </c>
      <c r="E424" s="8">
        <f>(Q424/$B424)+(Q424/'Optimal Choice'!$B$16)</f>
        <v>77030.028105616555</v>
      </c>
      <c r="F424" s="8">
        <f>(R424/$B424)+(R424/'Optimal Choice'!$B$21)</f>
        <v>76614.272449989076</v>
      </c>
      <c r="G424" s="8">
        <f>(S424/$B424)+(S424/'Optimal Choice'!$B$26)</f>
        <v>76897.221826732813</v>
      </c>
      <c r="I424" s="11">
        <f t="shared" ref="I424:M424" si="422">IF(MIN($C423:$G423)=C423,I423+1,I423)</f>
        <v>153</v>
      </c>
      <c r="J424" s="11">
        <f t="shared" si="422"/>
        <v>72</v>
      </c>
      <c r="K424" s="11">
        <f t="shared" si="422"/>
        <v>69</v>
      </c>
      <c r="L424" s="11">
        <f t="shared" si="422"/>
        <v>65</v>
      </c>
      <c r="M424" s="11">
        <f t="shared" si="422"/>
        <v>64</v>
      </c>
      <c r="O424" s="10">
        <f>'Optimal Choice'!$B$7*'Optimal Choice'!$B$8^(I424+1)</f>
        <v>134017.5748711013</v>
      </c>
      <c r="P424" s="10">
        <f>'Optimal Choice'!$B$12*'Optimal Choice'!$B$13^(J424+1)</f>
        <v>1618428.7928431556</v>
      </c>
      <c r="Q424" s="10">
        <f>'Optimal Choice'!$B$17*'Optimal Choice'!$B$18^(K424+1)</f>
        <v>6929024.3890757207</v>
      </c>
      <c r="R424" s="10">
        <f>'Optimal Choice'!$B$22*'Optimal Choice'!$B$23^(L424+1)</f>
        <v>27522698.483954083</v>
      </c>
      <c r="S424" s="10">
        <f>'Optimal Choice'!$B$27*'Optimal Choice'!$B$28^(M424+1)</f>
        <v>164008539.8258014</v>
      </c>
    </row>
    <row r="425" spans="1:19" ht="15.75" customHeight="1">
      <c r="A425" s="8">
        <f t="shared" si="0"/>
        <v>200.79706698616624</v>
      </c>
      <c r="B425" s="7">
        <f>(I425*'Optimal Choice'!$B$6+J425*'Optimal Choice'!$B$11+K425*'Optimal Choice'!$B$16+L425*'Optimal Choice'!$B$21+M425*'Optimal Choice'!$B$26)*'Optimal Choice'!$B$30</f>
        <v>169905.51</v>
      </c>
      <c r="C425" s="8">
        <f>(O425/$B425)+(O425/'Optimal Choice'!$B$6)</f>
        <v>80250.833610091373</v>
      </c>
      <c r="D425" s="8">
        <f>(P425/$B425)+(P425/'Optimal Choice'!$B$11)</f>
        <v>80930.965106004383</v>
      </c>
      <c r="E425" s="8">
        <f>(Q425/$B425)+(Q425/'Optimal Choice'!$B$16)</f>
        <v>77029.941513005644</v>
      </c>
      <c r="F425" s="8">
        <f>(R425/$B425)+(R425/'Optimal Choice'!$B$21)</f>
        <v>86573.739201011296</v>
      </c>
      <c r="G425" s="8">
        <f>(S425/$B425)+(S425/'Optimal Choice'!$B$26)</f>
        <v>76895.172197971566</v>
      </c>
      <c r="I425" s="11">
        <f t="shared" ref="I425:M425" si="423">IF(MIN($C424:$G424)=C424,I424+1,I424)</f>
        <v>153</v>
      </c>
      <c r="J425" s="11">
        <f t="shared" si="423"/>
        <v>72</v>
      </c>
      <c r="K425" s="11">
        <f t="shared" si="423"/>
        <v>69</v>
      </c>
      <c r="L425" s="11">
        <f t="shared" si="423"/>
        <v>66</v>
      </c>
      <c r="M425" s="11">
        <f t="shared" si="423"/>
        <v>64</v>
      </c>
      <c r="O425" s="10">
        <f>'Optimal Choice'!$B$7*'Optimal Choice'!$B$8^(I425+1)</f>
        <v>134017.5748711013</v>
      </c>
      <c r="P425" s="10">
        <f>'Optimal Choice'!$B$12*'Optimal Choice'!$B$13^(J425+1)</f>
        <v>1618428.7928431556</v>
      </c>
      <c r="Q425" s="10">
        <f>'Optimal Choice'!$B$17*'Optimal Choice'!$B$18^(K425+1)</f>
        <v>6929024.3890757207</v>
      </c>
      <c r="R425" s="10">
        <f>'Optimal Choice'!$B$22*'Optimal Choice'!$B$23^(L425+1)</f>
        <v>31100649.286868107</v>
      </c>
      <c r="S425" s="10">
        <f>'Optimal Choice'!$B$27*'Optimal Choice'!$B$28^(M425+1)</f>
        <v>164008539.8258014</v>
      </c>
    </row>
    <row r="426" spans="1:19" ht="15.75" customHeight="1">
      <c r="A426" s="8">
        <f t="shared" si="0"/>
        <v>216.88527780265687</v>
      </c>
      <c r="B426" s="7">
        <f>(I426*'Optimal Choice'!$B$6+J426*'Optimal Choice'!$B$11+K426*'Optimal Choice'!$B$16+L426*'Optimal Choice'!$B$21+M426*'Optimal Choice'!$B$26)*'Optimal Choice'!$B$30</f>
        <v>172065.51</v>
      </c>
      <c r="C426" s="8">
        <f>(O426/$B426)+(O426/'Optimal Choice'!$B$6)</f>
        <v>80250.823708289856</v>
      </c>
      <c r="D426" s="8">
        <f>(P426/$B426)+(P426/'Optimal Choice'!$B$11)</f>
        <v>80930.845529443643</v>
      </c>
      <c r="E426" s="8">
        <f>(Q426/$B426)+(Q426/'Optimal Choice'!$B$16)</f>
        <v>77029.429566536681</v>
      </c>
      <c r="F426" s="8">
        <f>(R426/$B426)+(R426/'Optimal Choice'!$B$21)</f>
        <v>86571.441349727931</v>
      </c>
      <c r="G426" s="8">
        <f>(S426/$B426)+(S426/'Optimal Choice'!$B$26)</f>
        <v>86109.021077490659</v>
      </c>
      <c r="I426" s="11">
        <f t="shared" ref="I426:M426" si="424">IF(MIN($C425:$G425)=C425,I425+1,I425)</f>
        <v>153</v>
      </c>
      <c r="J426" s="11">
        <f t="shared" si="424"/>
        <v>72</v>
      </c>
      <c r="K426" s="11">
        <f t="shared" si="424"/>
        <v>69</v>
      </c>
      <c r="L426" s="11">
        <f t="shared" si="424"/>
        <v>66</v>
      </c>
      <c r="M426" s="11">
        <f t="shared" si="424"/>
        <v>65</v>
      </c>
      <c r="O426" s="10">
        <f>'Optimal Choice'!$B$7*'Optimal Choice'!$B$8^(I426+1)</f>
        <v>134017.5748711013</v>
      </c>
      <c r="P426" s="10">
        <f>'Optimal Choice'!$B$12*'Optimal Choice'!$B$13^(J426+1)</f>
        <v>1618428.7928431556</v>
      </c>
      <c r="Q426" s="10">
        <f>'Optimal Choice'!$B$17*'Optimal Choice'!$B$18^(K426+1)</f>
        <v>6929024.3890757207</v>
      </c>
      <c r="R426" s="10">
        <f>'Optimal Choice'!$B$22*'Optimal Choice'!$B$23^(L426+1)</f>
        <v>31100649.286868107</v>
      </c>
      <c r="S426" s="10">
        <f>'Optimal Choice'!$B$27*'Optimal Choice'!$B$28^(M426+1)</f>
        <v>183689564.60489759</v>
      </c>
    </row>
    <row r="427" spans="1:19" ht="15.75" customHeight="1">
      <c r="A427" s="8">
        <f t="shared" si="0"/>
        <v>217.55643926794954</v>
      </c>
      <c r="B427" s="7">
        <f>(I427*'Optimal Choice'!$B$6+J427*'Optimal Choice'!$B$11+K427*'Optimal Choice'!$B$16+L427*'Optimal Choice'!$B$21+M427*'Optimal Choice'!$B$26)*'Optimal Choice'!$B$30</f>
        <v>172155.51</v>
      </c>
      <c r="C427" s="8">
        <f>(O427/$B427)+(O427/'Optimal Choice'!$B$6)</f>
        <v>80250.823301106982</v>
      </c>
      <c r="D427" s="8">
        <f>(P427/$B427)+(P427/'Optimal Choice'!$B$11)</f>
        <v>80930.840612204251</v>
      </c>
      <c r="E427" s="8">
        <f>(Q427/$B427)+(Q427/'Optimal Choice'!$B$16)</f>
        <v>87813.525706213462</v>
      </c>
      <c r="F427" s="8">
        <f>(R427/$B427)+(R427/'Optimal Choice'!$B$21)</f>
        <v>86571.346857255645</v>
      </c>
      <c r="G427" s="8">
        <f>(S427/$B427)+(S427/'Optimal Choice'!$B$26)</f>
        <v>86108.46297721006</v>
      </c>
      <c r="I427" s="11">
        <f t="shared" ref="I427:M427" si="425">IF(MIN($C426:$G426)=C426,I426+1,I426)</f>
        <v>153</v>
      </c>
      <c r="J427" s="11">
        <f t="shared" si="425"/>
        <v>72</v>
      </c>
      <c r="K427" s="11">
        <f t="shared" si="425"/>
        <v>70</v>
      </c>
      <c r="L427" s="11">
        <f t="shared" si="425"/>
        <v>66</v>
      </c>
      <c r="M427" s="11">
        <f t="shared" si="425"/>
        <v>65</v>
      </c>
      <c r="O427" s="10">
        <f>'Optimal Choice'!$B$7*'Optimal Choice'!$B$8^(I427+1)</f>
        <v>134017.5748711013</v>
      </c>
      <c r="P427" s="10">
        <f>'Optimal Choice'!$B$12*'Optimal Choice'!$B$13^(J427+1)</f>
        <v>1618428.7928431556</v>
      </c>
      <c r="Q427" s="10">
        <f>'Optimal Choice'!$B$17*'Optimal Choice'!$B$18^(K427+1)</f>
        <v>7899087.8035463216</v>
      </c>
      <c r="R427" s="10">
        <f>'Optimal Choice'!$B$22*'Optimal Choice'!$B$23^(L427+1)</f>
        <v>31100649.286868107</v>
      </c>
      <c r="S427" s="10">
        <f>'Optimal Choice'!$B$27*'Optimal Choice'!$B$28^(M427+1)</f>
        <v>183689564.60489759</v>
      </c>
    </row>
    <row r="428" spans="1:19" ht="15.75" customHeight="1">
      <c r="A428" s="8">
        <f t="shared" si="0"/>
        <v>217.56941373648587</v>
      </c>
      <c r="B428" s="7">
        <f>(I428*'Optimal Choice'!$B$6+J428*'Optimal Choice'!$B$11+K428*'Optimal Choice'!$B$16+L428*'Optimal Choice'!$B$21+M428*'Optimal Choice'!$B$26)*'Optimal Choice'!$B$30</f>
        <v>172157.18</v>
      </c>
      <c r="C428" s="8">
        <f>(O428/$B428)+(O428/'Optimal Choice'!$B$6)</f>
        <v>85868.380924104378</v>
      </c>
      <c r="D428" s="8">
        <f>(P428/$B428)+(P428/'Optimal Choice'!$B$11)</f>
        <v>80930.840521010716</v>
      </c>
      <c r="E428" s="8">
        <f>(Q428/$B428)+(Q428/'Optimal Choice'!$B$16)</f>
        <v>87813.525261123956</v>
      </c>
      <c r="F428" s="8">
        <f>(R428/$B428)+(R428/'Optimal Choice'!$B$21)</f>
        <v>86571.345104828957</v>
      </c>
      <c r="G428" s="8">
        <f>(S428/$B428)+(S428/'Optimal Choice'!$B$26)</f>
        <v>86108.452626863582</v>
      </c>
      <c r="I428" s="11">
        <f t="shared" ref="I428:M428" si="426">IF(MIN($C427:$G427)=C427,I427+1,I427)</f>
        <v>154</v>
      </c>
      <c r="J428" s="11">
        <f t="shared" si="426"/>
        <v>72</v>
      </c>
      <c r="K428" s="11">
        <f t="shared" si="426"/>
        <v>70</v>
      </c>
      <c r="L428" s="11">
        <f t="shared" si="426"/>
        <v>66</v>
      </c>
      <c r="M428" s="11">
        <f t="shared" si="426"/>
        <v>65</v>
      </c>
      <c r="O428" s="10">
        <f>'Optimal Choice'!$B$7*'Optimal Choice'!$B$8^(I428+1)</f>
        <v>143398.80511207841</v>
      </c>
      <c r="P428" s="10">
        <f>'Optimal Choice'!$B$12*'Optimal Choice'!$B$13^(J428+1)</f>
        <v>1618428.7928431556</v>
      </c>
      <c r="Q428" s="10">
        <f>'Optimal Choice'!$B$17*'Optimal Choice'!$B$18^(K428+1)</f>
        <v>7899087.8035463216</v>
      </c>
      <c r="R428" s="10">
        <f>'Optimal Choice'!$B$22*'Optimal Choice'!$B$23^(L428+1)</f>
        <v>31100649.286868107</v>
      </c>
      <c r="S428" s="10">
        <f>'Optimal Choice'!$B$27*'Optimal Choice'!$B$28^(M428+1)</f>
        <v>183689564.60489759</v>
      </c>
    </row>
    <row r="429" spans="1:19" ht="15.75" customHeight="1">
      <c r="A429" s="8">
        <f t="shared" si="0"/>
        <v>217.72609505070147</v>
      </c>
      <c r="B429" s="7">
        <f>(I429*'Optimal Choice'!$B$6+J429*'Optimal Choice'!$B$11+K429*'Optimal Choice'!$B$16+L429*'Optimal Choice'!$B$21+M429*'Optimal Choice'!$B$26)*'Optimal Choice'!$B$30</f>
        <v>172177.18</v>
      </c>
      <c r="C429" s="8">
        <f>(O429/$B429)+(O429/'Optimal Choice'!$B$6)</f>
        <v>85868.380827349072</v>
      </c>
      <c r="D429" s="8">
        <f>(P429/$B429)+(P429/'Optimal Choice'!$B$11)</f>
        <v>93070.465343361662</v>
      </c>
      <c r="E429" s="8">
        <f>(Q429/$B429)+(Q429/'Optimal Choice'!$B$16)</f>
        <v>87813.519931381714</v>
      </c>
      <c r="F429" s="8">
        <f>(R429/$B429)+(R429/'Optimal Choice'!$B$21)</f>
        <v>86571.324120324352</v>
      </c>
      <c r="G429" s="8">
        <f>(S429/$B429)+(S429/'Optimal Choice'!$B$26)</f>
        <v>86108.328686219174</v>
      </c>
      <c r="I429" s="11">
        <f t="shared" ref="I429:M429" si="427">IF(MIN($C428:$G428)=C428,I428+1,I428)</f>
        <v>154</v>
      </c>
      <c r="J429" s="11">
        <f t="shared" si="427"/>
        <v>73</v>
      </c>
      <c r="K429" s="11">
        <f t="shared" si="427"/>
        <v>70</v>
      </c>
      <c r="L429" s="11">
        <f t="shared" si="427"/>
        <v>66</v>
      </c>
      <c r="M429" s="11">
        <f t="shared" si="427"/>
        <v>65</v>
      </c>
      <c r="O429" s="10">
        <f>'Optimal Choice'!$B$7*'Optimal Choice'!$B$8^(I429+1)</f>
        <v>143398.80511207841</v>
      </c>
      <c r="P429" s="10">
        <f>'Optimal Choice'!$B$12*'Optimal Choice'!$B$13^(J429+1)</f>
        <v>1861193.1117696287</v>
      </c>
      <c r="Q429" s="10">
        <f>'Optimal Choice'!$B$17*'Optimal Choice'!$B$18^(K429+1)</f>
        <v>7899087.8035463216</v>
      </c>
      <c r="R429" s="10">
        <f>'Optimal Choice'!$B$22*'Optimal Choice'!$B$23^(L429+1)</f>
        <v>31100649.286868107</v>
      </c>
      <c r="S429" s="10">
        <f>'Optimal Choice'!$B$27*'Optimal Choice'!$B$28^(M429+1)</f>
        <v>183689564.60489759</v>
      </c>
    </row>
    <row r="430" spans="1:19" ht="15.75" customHeight="1">
      <c r="A430" s="8">
        <f t="shared" si="0"/>
        <v>217.73997598477879</v>
      </c>
      <c r="B430" s="7">
        <f>(I430*'Optimal Choice'!$B$6+J430*'Optimal Choice'!$B$11+K430*'Optimal Choice'!$B$16+L430*'Optimal Choice'!$B$21+M430*'Optimal Choice'!$B$26)*'Optimal Choice'!$B$30</f>
        <v>172178.85</v>
      </c>
      <c r="C430" s="8">
        <f>(O430/$B430)+(O430/'Optimal Choice'!$B$6)</f>
        <v>91879.167476619987</v>
      </c>
      <c r="D430" s="8">
        <f>(P430/$B430)+(P430/'Optimal Choice'!$B$11)</f>
        <v>93070.465238515506</v>
      </c>
      <c r="E430" s="8">
        <f>(Q430/$B430)+(Q430/'Optimal Choice'!$B$16)</f>
        <v>87813.519486404242</v>
      </c>
      <c r="F430" s="8">
        <f>(R430/$B430)+(R430/'Optimal Choice'!$B$21)</f>
        <v>86571.322368338748</v>
      </c>
      <c r="G430" s="8">
        <f>(S430/$B430)+(S430/'Optimal Choice'!$B$26)</f>
        <v>86108.318338477882</v>
      </c>
      <c r="I430" s="11">
        <f t="shared" ref="I430:M430" si="428">IF(MIN($C429:$G429)=C429,I429+1,I429)</f>
        <v>155</v>
      </c>
      <c r="J430" s="11">
        <f t="shared" si="428"/>
        <v>73</v>
      </c>
      <c r="K430" s="11">
        <f t="shared" si="428"/>
        <v>70</v>
      </c>
      <c r="L430" s="11">
        <f t="shared" si="428"/>
        <v>66</v>
      </c>
      <c r="M430" s="11">
        <f t="shared" si="428"/>
        <v>65</v>
      </c>
      <c r="O430" s="10">
        <f>'Optimal Choice'!$B$7*'Optimal Choice'!$B$8^(I430+1)</f>
        <v>153436.72146992388</v>
      </c>
      <c r="P430" s="10">
        <f>'Optimal Choice'!$B$12*'Optimal Choice'!$B$13^(J430+1)</f>
        <v>1861193.1117696287</v>
      </c>
      <c r="Q430" s="10">
        <f>'Optimal Choice'!$B$17*'Optimal Choice'!$B$18^(K430+1)</f>
        <v>7899087.8035463216</v>
      </c>
      <c r="R430" s="10">
        <f>'Optimal Choice'!$B$22*'Optimal Choice'!$B$23^(L430+1)</f>
        <v>31100649.286868107</v>
      </c>
      <c r="S430" s="10">
        <f>'Optimal Choice'!$B$27*'Optimal Choice'!$B$28^(M430+1)</f>
        <v>183689564.60489759</v>
      </c>
    </row>
    <row r="431" spans="1:19" ht="15.75" customHeight="1">
      <c r="A431" s="8">
        <f t="shared" si="0"/>
        <v>235.52086337841024</v>
      </c>
      <c r="B431" s="7">
        <f>(I431*'Optimal Choice'!$B$6+J431*'Optimal Choice'!$B$11+K431*'Optimal Choice'!$B$16+L431*'Optimal Choice'!$B$21+M431*'Optimal Choice'!$B$26)*'Optimal Choice'!$B$30</f>
        <v>174338.85</v>
      </c>
      <c r="C431" s="8">
        <f>(O431/$B431)+(O431/'Optimal Choice'!$B$6)</f>
        <v>91879.156435602912</v>
      </c>
      <c r="D431" s="8">
        <f>(P431/$B431)+(P431/'Optimal Choice'!$B$11)</f>
        <v>93070.331310569585</v>
      </c>
      <c r="E431" s="8">
        <f>(Q431/$B431)+(Q431/'Optimal Choice'!$B$16)</f>
        <v>87812.951082944433</v>
      </c>
      <c r="F431" s="8">
        <f>(R431/$B431)+(R431/'Optimal Choice'!$B$21)</f>
        <v>86569.084424275206</v>
      </c>
      <c r="G431" s="8">
        <f>(S431/$B431)+(S431/'Optimal Choice'!$B$26)</f>
        <v>96426.512429931041</v>
      </c>
      <c r="I431" s="11">
        <f t="shared" ref="I431:M431" si="429">IF(MIN($C430:$G430)=C430,I430+1,I430)</f>
        <v>155</v>
      </c>
      <c r="J431" s="11">
        <f t="shared" si="429"/>
        <v>73</v>
      </c>
      <c r="K431" s="11">
        <f t="shared" si="429"/>
        <v>70</v>
      </c>
      <c r="L431" s="11">
        <f t="shared" si="429"/>
        <v>66</v>
      </c>
      <c r="M431" s="11">
        <f t="shared" si="429"/>
        <v>66</v>
      </c>
      <c r="O431" s="10">
        <f>'Optimal Choice'!$B$7*'Optimal Choice'!$B$8^(I431+1)</f>
        <v>153436.72146992388</v>
      </c>
      <c r="P431" s="10">
        <f>'Optimal Choice'!$B$12*'Optimal Choice'!$B$13^(J431+1)</f>
        <v>1861193.1117696287</v>
      </c>
      <c r="Q431" s="10">
        <f>'Optimal Choice'!$B$17*'Optimal Choice'!$B$18^(K431+1)</f>
        <v>7899087.8035463216</v>
      </c>
      <c r="R431" s="10">
        <f>'Optimal Choice'!$B$22*'Optimal Choice'!$B$23^(L431+1)</f>
        <v>31100649.286868107</v>
      </c>
      <c r="S431" s="10">
        <f>'Optimal Choice'!$B$27*'Optimal Choice'!$B$28^(M431+1)</f>
        <v>205732312.35748532</v>
      </c>
    </row>
    <row r="432" spans="1:19" ht="15.75" customHeight="1">
      <c r="A432" s="8">
        <f t="shared" si="0"/>
        <v>238.49406272428831</v>
      </c>
      <c r="B432" s="7">
        <f>(I432*'Optimal Choice'!$B$6+J432*'Optimal Choice'!$B$11+K432*'Optimal Choice'!$B$16+L432*'Optimal Choice'!$B$21+M432*'Optimal Choice'!$B$26)*'Optimal Choice'!$B$30</f>
        <v>174698.85</v>
      </c>
      <c r="C432" s="8">
        <f>(O432/$B432)+(O432/'Optimal Choice'!$B$6)</f>
        <v>91879.154621977519</v>
      </c>
      <c r="D432" s="8">
        <f>(P432/$B432)+(P432/'Optimal Choice'!$B$11)</f>
        <v>93070.309311226432</v>
      </c>
      <c r="E432" s="8">
        <f>(Q432/$B432)+(Q432/'Optimal Choice'!$B$16)</f>
        <v>87812.857715554346</v>
      </c>
      <c r="F432" s="8">
        <f>(R432/$B432)+(R432/'Optimal Choice'!$B$21)</f>
        <v>97822.649999732384</v>
      </c>
      <c r="G432" s="8">
        <f>(S432/$B432)+(S432/'Optimal Choice'!$B$26)</f>
        <v>96424.080669512885</v>
      </c>
      <c r="I432" s="11">
        <f t="shared" ref="I432:M432" si="430">IF(MIN($C431:$G431)=C431,I431+1,I431)</f>
        <v>155</v>
      </c>
      <c r="J432" s="11">
        <f t="shared" si="430"/>
        <v>73</v>
      </c>
      <c r="K432" s="11">
        <f t="shared" si="430"/>
        <v>70</v>
      </c>
      <c r="L432" s="11">
        <f t="shared" si="430"/>
        <v>67</v>
      </c>
      <c r="M432" s="11">
        <f t="shared" si="430"/>
        <v>66</v>
      </c>
      <c r="O432" s="10">
        <f>'Optimal Choice'!$B$7*'Optimal Choice'!$B$8^(I432+1)</f>
        <v>153436.72146992388</v>
      </c>
      <c r="P432" s="10">
        <f>'Optimal Choice'!$B$12*'Optimal Choice'!$B$13^(J432+1)</f>
        <v>1861193.1117696287</v>
      </c>
      <c r="Q432" s="10">
        <f>'Optimal Choice'!$B$17*'Optimal Choice'!$B$18^(K432+1)</f>
        <v>7899087.8035463216</v>
      </c>
      <c r="R432" s="10">
        <f>'Optimal Choice'!$B$22*'Optimal Choice'!$B$23^(L432+1)</f>
        <v>35143733.694160961</v>
      </c>
      <c r="S432" s="10">
        <f>'Optimal Choice'!$B$27*'Optimal Choice'!$B$28^(M432+1)</f>
        <v>205732312.35748532</v>
      </c>
    </row>
    <row r="433" spans="1:19" ht="15.75" customHeight="1">
      <c r="A433" s="8">
        <f t="shared" si="0"/>
        <v>239.24765362309753</v>
      </c>
      <c r="B433" s="7">
        <f>(I433*'Optimal Choice'!$B$6+J433*'Optimal Choice'!$B$11+K433*'Optimal Choice'!$B$16+L433*'Optimal Choice'!$B$21+M433*'Optimal Choice'!$B$26)*'Optimal Choice'!$B$30</f>
        <v>174788.85</v>
      </c>
      <c r="C433" s="8">
        <f>(O433/$B433)+(O433/'Optimal Choice'!$B$6)</f>
        <v>91879.154169738482</v>
      </c>
      <c r="D433" s="8">
        <f>(P433/$B433)+(P433/'Optimal Choice'!$B$11)</f>
        <v>93070.30382555016</v>
      </c>
      <c r="E433" s="8">
        <f>(Q433/$B433)+(Q433/'Optimal Choice'!$B$16)</f>
        <v>100106.63125453341</v>
      </c>
      <c r="F433" s="8">
        <f>(R433/$B433)+(R433/'Optimal Choice'!$B$21)</f>
        <v>97822.546417172998</v>
      </c>
      <c r="G433" s="8">
        <f>(S433/$B433)+(S433/'Optimal Choice'!$B$26)</f>
        <v>96423.474294571381</v>
      </c>
      <c r="I433" s="11">
        <f t="shared" ref="I433:M433" si="431">IF(MIN($C432:$G432)=C432,I432+1,I432)</f>
        <v>155</v>
      </c>
      <c r="J433" s="11">
        <f t="shared" si="431"/>
        <v>73</v>
      </c>
      <c r="K433" s="11">
        <f t="shared" si="431"/>
        <v>71</v>
      </c>
      <c r="L433" s="11">
        <f t="shared" si="431"/>
        <v>67</v>
      </c>
      <c r="M433" s="11">
        <f t="shared" si="431"/>
        <v>66</v>
      </c>
      <c r="O433" s="10">
        <f>'Optimal Choice'!$B$7*'Optimal Choice'!$B$8^(I433+1)</f>
        <v>153436.72146992388</v>
      </c>
      <c r="P433" s="10">
        <f>'Optimal Choice'!$B$12*'Optimal Choice'!$B$13^(J433+1)</f>
        <v>1861193.1117696287</v>
      </c>
      <c r="Q433" s="10">
        <f>'Optimal Choice'!$B$17*'Optimal Choice'!$B$18^(K433+1)</f>
        <v>9004960.0960428081</v>
      </c>
      <c r="R433" s="10">
        <f>'Optimal Choice'!$B$22*'Optimal Choice'!$B$23^(L433+1)</f>
        <v>35143733.694160961</v>
      </c>
      <c r="S433" s="10">
        <f>'Optimal Choice'!$B$27*'Optimal Choice'!$B$28^(M433+1)</f>
        <v>205732312.35748532</v>
      </c>
    </row>
    <row r="434" spans="1:19" ht="15.75" customHeight="1">
      <c r="A434" s="8">
        <f t="shared" si="0"/>
        <v>239.2622842971432</v>
      </c>
      <c r="B434" s="7">
        <f>(I434*'Optimal Choice'!$B$6+J434*'Optimal Choice'!$B$11+K434*'Optimal Choice'!$B$16+L434*'Optimal Choice'!$B$21+M434*'Optimal Choice'!$B$26)*'Optimal Choice'!$B$30</f>
        <v>174790.52</v>
      </c>
      <c r="C434" s="8">
        <f>(O434/$B434)+(O434/'Optimal Choice'!$B$6)</f>
        <v>98310.694952645921</v>
      </c>
      <c r="D434" s="8">
        <f>(P434/$B434)+(P434/'Optimal Choice'!$B$11)</f>
        <v>93070.303723813762</v>
      </c>
      <c r="E434" s="8">
        <f>(Q434/$B434)+(Q434/'Optimal Choice'!$B$16)</f>
        <v>100106.63076230502</v>
      </c>
      <c r="F434" s="8">
        <f>(R434/$B434)+(R434/'Optimal Choice'!$B$21)</f>
        <v>97822.544496149087</v>
      </c>
      <c r="G434" s="8">
        <f>(S434/$B434)+(S434/'Optimal Choice'!$B$26)</f>
        <v>96423.463048848454</v>
      </c>
      <c r="I434" s="11">
        <f t="shared" ref="I434:M434" si="432">IF(MIN($C433:$G433)=C433,I433+1,I433)</f>
        <v>156</v>
      </c>
      <c r="J434" s="11">
        <f t="shared" si="432"/>
        <v>73</v>
      </c>
      <c r="K434" s="11">
        <f t="shared" si="432"/>
        <v>71</v>
      </c>
      <c r="L434" s="11">
        <f t="shared" si="432"/>
        <v>67</v>
      </c>
      <c r="M434" s="11">
        <f t="shared" si="432"/>
        <v>66</v>
      </c>
      <c r="O434" s="10">
        <f>'Optimal Choice'!$B$7*'Optimal Choice'!$B$8^(I434+1)</f>
        <v>164177.29197281855</v>
      </c>
      <c r="P434" s="10">
        <f>'Optimal Choice'!$B$12*'Optimal Choice'!$B$13^(J434+1)</f>
        <v>1861193.1117696287</v>
      </c>
      <c r="Q434" s="10">
        <f>'Optimal Choice'!$B$17*'Optimal Choice'!$B$18^(K434+1)</f>
        <v>9004960.0960428081</v>
      </c>
      <c r="R434" s="10">
        <f>'Optimal Choice'!$B$22*'Optimal Choice'!$B$23^(L434+1)</f>
        <v>35143733.694160961</v>
      </c>
      <c r="S434" s="10">
        <f>'Optimal Choice'!$B$27*'Optimal Choice'!$B$28^(M434+1)</f>
        <v>205732312.35748532</v>
      </c>
    </row>
    <row r="435" spans="1:19" ht="15.75" customHeight="1">
      <c r="A435" s="8">
        <f t="shared" si="0"/>
        <v>239.43975321934883</v>
      </c>
      <c r="B435" s="7">
        <f>(I435*'Optimal Choice'!$B$6+J435*'Optimal Choice'!$B$11+K435*'Optimal Choice'!$B$16+L435*'Optimal Choice'!$B$21+M435*'Optimal Choice'!$B$26)*'Optimal Choice'!$B$30</f>
        <v>174810.52</v>
      </c>
      <c r="C435" s="8">
        <f>(O435/$B435)+(O435/'Optimal Choice'!$B$6)</f>
        <v>98310.694845183243</v>
      </c>
      <c r="D435" s="8">
        <f>(P435/$B435)+(P435/'Optimal Choice'!$B$11)</f>
        <v>107030.84788139972</v>
      </c>
      <c r="E435" s="8">
        <f>(Q435/$B435)+(Q435/'Optimal Choice'!$B$16)</f>
        <v>100106.62486808491</v>
      </c>
      <c r="F435" s="8">
        <f>(R435/$B435)+(R435/'Optimal Choice'!$B$21)</f>
        <v>97822.521492726592</v>
      </c>
      <c r="G435" s="8">
        <f>(S435/$B435)+(S435/'Optimal Choice'!$B$26)</f>
        <v>96423.328386227164</v>
      </c>
      <c r="I435" s="11">
        <f t="shared" ref="I435:M435" si="433">IF(MIN($C434:$G434)=C434,I434+1,I434)</f>
        <v>156</v>
      </c>
      <c r="J435" s="11">
        <f t="shared" si="433"/>
        <v>74</v>
      </c>
      <c r="K435" s="11">
        <f t="shared" si="433"/>
        <v>71</v>
      </c>
      <c r="L435" s="11">
        <f t="shared" si="433"/>
        <v>67</v>
      </c>
      <c r="M435" s="11">
        <f t="shared" si="433"/>
        <v>66</v>
      </c>
      <c r="O435" s="10">
        <f>'Optimal Choice'!$B$7*'Optimal Choice'!$B$8^(I435+1)</f>
        <v>164177.29197281855</v>
      </c>
      <c r="P435" s="10">
        <f>'Optimal Choice'!$B$12*'Optimal Choice'!$B$13^(J435+1)</f>
        <v>2140372.078535073</v>
      </c>
      <c r="Q435" s="10">
        <f>'Optimal Choice'!$B$17*'Optimal Choice'!$B$18^(K435+1)</f>
        <v>9004960.0960428081</v>
      </c>
      <c r="R435" s="10">
        <f>'Optimal Choice'!$B$22*'Optimal Choice'!$B$23^(L435+1)</f>
        <v>35143733.694160961</v>
      </c>
      <c r="S435" s="10">
        <f>'Optimal Choice'!$B$27*'Optimal Choice'!$B$28^(M435+1)</f>
        <v>205732312.35748532</v>
      </c>
    </row>
    <row r="436" spans="1:19" ht="15.75" customHeight="1">
      <c r="A436" s="8">
        <f t="shared" si="0"/>
        <v>259.05454455241482</v>
      </c>
      <c r="B436" s="7">
        <f>(I436*'Optimal Choice'!$B$6+J436*'Optimal Choice'!$B$11+K436*'Optimal Choice'!$B$16+L436*'Optimal Choice'!$B$21+M436*'Optimal Choice'!$B$26)*'Optimal Choice'!$B$30</f>
        <v>176970.52</v>
      </c>
      <c r="C436" s="8">
        <f>(O436/$B436)+(O436/'Optimal Choice'!$B$6)</f>
        <v>98310.6833821818</v>
      </c>
      <c r="D436" s="8">
        <f>(P436/$B436)+(P436/'Optimal Choice'!$B$11)</f>
        <v>107030.69843875789</v>
      </c>
      <c r="E436" s="8">
        <f>(Q436/$B436)+(Q436/'Optimal Choice'!$B$16)</f>
        <v>100105.99613393169</v>
      </c>
      <c r="F436" s="8">
        <f>(R436/$B436)+(R436/'Optimal Choice'!$B$21)</f>
        <v>97820.067726645531</v>
      </c>
      <c r="G436" s="8">
        <f>(S436/$B436)+(S436/'Optimal Choice'!$B$26)</f>
        <v>107978.03965432642</v>
      </c>
      <c r="I436" s="11">
        <f t="shared" ref="I436:M436" si="434">IF(MIN($C435:$G435)=C435,I435+1,I435)</f>
        <v>156</v>
      </c>
      <c r="J436" s="11">
        <f t="shared" si="434"/>
        <v>74</v>
      </c>
      <c r="K436" s="11">
        <f t="shared" si="434"/>
        <v>71</v>
      </c>
      <c r="L436" s="11">
        <f t="shared" si="434"/>
        <v>67</v>
      </c>
      <c r="M436" s="11">
        <f t="shared" si="434"/>
        <v>67</v>
      </c>
      <c r="O436" s="10">
        <f>'Optimal Choice'!$B$7*'Optimal Choice'!$B$8^(I436+1)</f>
        <v>164177.29197281855</v>
      </c>
      <c r="P436" s="10">
        <f>'Optimal Choice'!$B$12*'Optimal Choice'!$B$13^(J436+1)</f>
        <v>2140372.078535073</v>
      </c>
      <c r="Q436" s="10">
        <f>'Optimal Choice'!$B$17*'Optimal Choice'!$B$18^(K436+1)</f>
        <v>9004960.0960428081</v>
      </c>
      <c r="R436" s="10">
        <f>'Optimal Choice'!$B$22*'Optimal Choice'!$B$23^(L436+1)</f>
        <v>35143733.694160961</v>
      </c>
      <c r="S436" s="10">
        <f>'Optimal Choice'!$B$27*'Optimal Choice'!$B$28^(M436+1)</f>
        <v>230420189.84038353</v>
      </c>
    </row>
    <row r="437" spans="1:19" ht="15.75" customHeight="1">
      <c r="A437" s="8">
        <f t="shared" si="0"/>
        <v>262.36429860016631</v>
      </c>
      <c r="B437" s="7">
        <f>(I437*'Optimal Choice'!$B$6+J437*'Optimal Choice'!$B$11+K437*'Optimal Choice'!$B$16+L437*'Optimal Choice'!$B$21+M437*'Optimal Choice'!$B$26)*'Optimal Choice'!$B$30</f>
        <v>177330.52</v>
      </c>
      <c r="C437" s="8">
        <f>(O437/$B437)+(O437/'Optimal Choice'!$B$6)</f>
        <v>98310.681498831196</v>
      </c>
      <c r="D437" s="8">
        <f>(P437/$B437)+(P437/'Optimal Choice'!$B$11)</f>
        <v>107030.67388559962</v>
      </c>
      <c r="E437" s="8">
        <f>(Q437/$B437)+(Q437/'Optimal Choice'!$B$16)</f>
        <v>100105.89283403699</v>
      </c>
      <c r="F437" s="8">
        <f>(R437/$B437)+(R437/'Optimal Choice'!$B$21)</f>
        <v>110536.22097232126</v>
      </c>
      <c r="G437" s="8">
        <f>(S437/$B437)+(S437/'Optimal Choice'!$B$26)</f>
        <v>107975.39640204159</v>
      </c>
      <c r="I437" s="11">
        <f t="shared" ref="I437:M437" si="435">IF(MIN($C436:$G436)=C436,I436+1,I436)</f>
        <v>156</v>
      </c>
      <c r="J437" s="11">
        <f t="shared" si="435"/>
        <v>74</v>
      </c>
      <c r="K437" s="11">
        <f t="shared" si="435"/>
        <v>71</v>
      </c>
      <c r="L437" s="11">
        <f t="shared" si="435"/>
        <v>68</v>
      </c>
      <c r="M437" s="11">
        <f t="shared" si="435"/>
        <v>67</v>
      </c>
      <c r="O437" s="10">
        <f>'Optimal Choice'!$B$7*'Optimal Choice'!$B$8^(I437+1)</f>
        <v>164177.29197281855</v>
      </c>
      <c r="P437" s="10">
        <f>'Optimal Choice'!$B$12*'Optimal Choice'!$B$13^(J437+1)</f>
        <v>2140372.078535073</v>
      </c>
      <c r="Q437" s="10">
        <f>'Optimal Choice'!$B$17*'Optimal Choice'!$B$18^(K437+1)</f>
        <v>9004960.0960428081</v>
      </c>
      <c r="R437" s="10">
        <f>'Optimal Choice'!$B$22*'Optimal Choice'!$B$23^(L437+1)</f>
        <v>39712419.074401878</v>
      </c>
      <c r="S437" s="10">
        <f>'Optimal Choice'!$B$27*'Optimal Choice'!$B$28^(M437+1)</f>
        <v>230420189.84038353</v>
      </c>
    </row>
    <row r="438" spans="1:19" ht="15.75" customHeight="1">
      <c r="A438" s="8">
        <f t="shared" si="0"/>
        <v>262.37972904157903</v>
      </c>
      <c r="B438" s="7">
        <f>(I438*'Optimal Choice'!$B$6+J438*'Optimal Choice'!$B$11+K438*'Optimal Choice'!$B$16+L438*'Optimal Choice'!$B$21+M438*'Optimal Choice'!$B$26)*'Optimal Choice'!$B$30</f>
        <v>177332.19</v>
      </c>
      <c r="C438" s="8">
        <f>(O438/$B438)+(O438/'Optimal Choice'!$B$6)</f>
        <v>105192.42919442023</v>
      </c>
      <c r="D438" s="8">
        <f>(P438/$B438)+(P438/'Optimal Choice'!$B$11)</f>
        <v>107030.67377193255</v>
      </c>
      <c r="E438" s="8">
        <f>(Q438/$B438)+(Q438/'Optimal Choice'!$B$16)</f>
        <v>100105.89235581759</v>
      </c>
      <c r="F438" s="8">
        <f>(R438/$B438)+(R438/'Optimal Choice'!$B$21)</f>
        <v>110536.21886334472</v>
      </c>
      <c r="G438" s="8">
        <f>(S438/$B438)+(S438/'Optimal Choice'!$B$26)</f>
        <v>107975.38416529585</v>
      </c>
      <c r="I438" s="11">
        <f t="shared" ref="I438:M438" si="436">IF(MIN($C437:$G437)=C437,I437+1,I437)</f>
        <v>157</v>
      </c>
      <c r="J438" s="11">
        <f t="shared" si="436"/>
        <v>74</v>
      </c>
      <c r="K438" s="11">
        <f t="shared" si="436"/>
        <v>71</v>
      </c>
      <c r="L438" s="11">
        <f t="shared" si="436"/>
        <v>68</v>
      </c>
      <c r="M438" s="11">
        <f t="shared" si="436"/>
        <v>67</v>
      </c>
      <c r="O438" s="10">
        <f>'Optimal Choice'!$B$7*'Optimal Choice'!$B$8^(I438+1)</f>
        <v>175669.70241091584</v>
      </c>
      <c r="P438" s="10">
        <f>'Optimal Choice'!$B$12*'Optimal Choice'!$B$13^(J438+1)</f>
        <v>2140372.078535073</v>
      </c>
      <c r="Q438" s="10">
        <f>'Optimal Choice'!$B$17*'Optimal Choice'!$B$18^(K438+1)</f>
        <v>9004960.0960428081</v>
      </c>
      <c r="R438" s="10">
        <f>'Optimal Choice'!$B$22*'Optimal Choice'!$B$23^(L438+1)</f>
        <v>39712419.074401878</v>
      </c>
      <c r="S438" s="10">
        <f>'Optimal Choice'!$B$27*'Optimal Choice'!$B$28^(M438+1)</f>
        <v>230420189.84038353</v>
      </c>
    </row>
    <row r="439" spans="1:19" ht="15.75" customHeight="1">
      <c r="A439" s="8">
        <f t="shared" si="0"/>
        <v>263.22606533431514</v>
      </c>
      <c r="B439" s="7">
        <f>(I439*'Optimal Choice'!$B$6+J439*'Optimal Choice'!$B$11+K439*'Optimal Choice'!$B$16+L439*'Optimal Choice'!$B$21+M439*'Optimal Choice'!$B$26)*'Optimal Choice'!$B$30</f>
        <v>177422.19</v>
      </c>
      <c r="C439" s="8">
        <f>(O439/$B439)+(O439/'Optimal Choice'!$B$6)</f>
        <v>105192.42869191121</v>
      </c>
      <c r="D439" s="8">
        <f>(P439/$B439)+(P439/'Optimal Choice'!$B$11)</f>
        <v>107030.66764932711</v>
      </c>
      <c r="E439" s="8">
        <f>(Q439/$B439)+(Q439/'Optimal Choice'!$B$16)</f>
        <v>114120.68792038623</v>
      </c>
      <c r="F439" s="8">
        <f>(R439/$B439)+(R439/'Optimal Choice'!$B$21)</f>
        <v>110536.10526465054</v>
      </c>
      <c r="G439" s="8">
        <f>(S439/$B439)+(S439/'Optimal Choice'!$B$26)</f>
        <v>107974.72504068734</v>
      </c>
      <c r="I439" s="11">
        <f t="shared" ref="I439:M439" si="437">IF(MIN($C438:$G438)=C438,I438+1,I438)</f>
        <v>157</v>
      </c>
      <c r="J439" s="11">
        <f t="shared" si="437"/>
        <v>74</v>
      </c>
      <c r="K439" s="11">
        <f t="shared" si="437"/>
        <v>72</v>
      </c>
      <c r="L439" s="11">
        <f t="shared" si="437"/>
        <v>68</v>
      </c>
      <c r="M439" s="11">
        <f t="shared" si="437"/>
        <v>67</v>
      </c>
      <c r="O439" s="10">
        <f>'Optimal Choice'!$B$7*'Optimal Choice'!$B$8^(I439+1)</f>
        <v>175669.70241091584</v>
      </c>
      <c r="P439" s="10">
        <f>'Optimal Choice'!$B$12*'Optimal Choice'!$B$13^(J439+1)</f>
        <v>2140372.078535073</v>
      </c>
      <c r="Q439" s="10">
        <f>'Optimal Choice'!$B$17*'Optimal Choice'!$B$18^(K439+1)</f>
        <v>10265654.509488799</v>
      </c>
      <c r="R439" s="10">
        <f>'Optimal Choice'!$B$22*'Optimal Choice'!$B$23^(L439+1)</f>
        <v>39712419.074401878</v>
      </c>
      <c r="S439" s="10">
        <f>'Optimal Choice'!$B$27*'Optimal Choice'!$B$28^(M439+1)</f>
        <v>230420189.84038353</v>
      </c>
    </row>
    <row r="440" spans="1:19" ht="15.75" customHeight="1">
      <c r="A440" s="8">
        <f t="shared" si="0"/>
        <v>263.24256737599052</v>
      </c>
      <c r="B440" s="7">
        <f>(I440*'Optimal Choice'!$B$6+J440*'Optimal Choice'!$B$11+K440*'Optimal Choice'!$B$16+L440*'Optimal Choice'!$B$21+M440*'Optimal Choice'!$B$26)*'Optimal Choice'!$B$30</f>
        <v>177423.86</v>
      </c>
      <c r="C440" s="8">
        <f>(O440/$B440)+(O440/'Optimal Choice'!$B$6)</f>
        <v>112555.89869037314</v>
      </c>
      <c r="D440" s="8">
        <f>(P440/$B440)+(P440/'Optimal Choice'!$B$11)</f>
        <v>107030.66753577747</v>
      </c>
      <c r="E440" s="8">
        <f>(Q440/$B440)+(Q440/'Optimal Choice'!$B$16)</f>
        <v>114120.68737577931</v>
      </c>
      <c r="F440" s="8">
        <f>(R440/$B440)+(R440/'Optimal Choice'!$B$21)</f>
        <v>110536.10315785275</v>
      </c>
      <c r="G440" s="8">
        <f>(S440/$B440)+(S440/'Optimal Choice'!$B$26)</f>
        <v>107974.71281658317</v>
      </c>
      <c r="I440" s="11">
        <f t="shared" ref="I440:M440" si="438">IF(MIN($C439:$G439)=C439,I439+1,I439)</f>
        <v>158</v>
      </c>
      <c r="J440" s="11">
        <f t="shared" si="438"/>
        <v>74</v>
      </c>
      <c r="K440" s="11">
        <f t="shared" si="438"/>
        <v>72</v>
      </c>
      <c r="L440" s="11">
        <f t="shared" si="438"/>
        <v>68</v>
      </c>
      <c r="M440" s="11">
        <f t="shared" si="438"/>
        <v>67</v>
      </c>
      <c r="O440" s="10">
        <f>'Optimal Choice'!$B$7*'Optimal Choice'!$B$8^(I440+1)</f>
        <v>187966.58157968</v>
      </c>
      <c r="P440" s="10">
        <f>'Optimal Choice'!$B$12*'Optimal Choice'!$B$13^(J440+1)</f>
        <v>2140372.078535073</v>
      </c>
      <c r="Q440" s="10">
        <f>'Optimal Choice'!$B$17*'Optimal Choice'!$B$18^(K440+1)</f>
        <v>10265654.509488799</v>
      </c>
      <c r="R440" s="10">
        <f>'Optimal Choice'!$B$22*'Optimal Choice'!$B$23^(L440+1)</f>
        <v>39712419.074401878</v>
      </c>
      <c r="S440" s="10">
        <f>'Optimal Choice'!$B$27*'Optimal Choice'!$B$28^(M440+1)</f>
        <v>230420189.84038353</v>
      </c>
    </row>
    <row r="441" spans="1:19" ht="15.75" customHeight="1">
      <c r="A441" s="8">
        <f t="shared" si="0"/>
        <v>263.44362752638733</v>
      </c>
      <c r="B441" s="7">
        <f>(I441*'Optimal Choice'!$B$6+J441*'Optimal Choice'!$B$11+K441*'Optimal Choice'!$B$16+L441*'Optimal Choice'!$B$21+M441*'Optimal Choice'!$B$26)*'Optimal Choice'!$B$30</f>
        <v>177443.86</v>
      </c>
      <c r="C441" s="8">
        <f>(O441/$B441)+(O441/'Optimal Choice'!$B$6)</f>
        <v>112555.89857096398</v>
      </c>
      <c r="D441" s="8">
        <f>(P441/$B441)+(P441/'Optimal Choice'!$B$11)</f>
        <v>123085.26610247762</v>
      </c>
      <c r="E441" s="8">
        <f>(Q441/$B441)+(Q441/'Optimal Choice'!$B$16)</f>
        <v>114120.68085433725</v>
      </c>
      <c r="F441" s="8">
        <f>(R441/$B441)+(R441/'Optimal Choice'!$B$21)</f>
        <v>110536.07792982276</v>
      </c>
      <c r="G441" s="8">
        <f>(S441/$B441)+(S441/'Optimal Choice'!$B$26)</f>
        <v>107974.56643800443</v>
      </c>
      <c r="I441" s="11">
        <f t="shared" ref="I441:M441" si="439">IF(MIN($C440:$G440)=C440,I440+1,I440)</f>
        <v>158</v>
      </c>
      <c r="J441" s="11">
        <f t="shared" si="439"/>
        <v>75</v>
      </c>
      <c r="K441" s="11">
        <f t="shared" si="439"/>
        <v>72</v>
      </c>
      <c r="L441" s="11">
        <f t="shared" si="439"/>
        <v>68</v>
      </c>
      <c r="M441" s="11">
        <f t="shared" si="439"/>
        <v>67</v>
      </c>
      <c r="O441" s="10">
        <f>'Optimal Choice'!$B$7*'Optimal Choice'!$B$8^(I441+1)</f>
        <v>187966.58157968</v>
      </c>
      <c r="P441" s="10">
        <f>'Optimal Choice'!$B$12*'Optimal Choice'!$B$13^(J441+1)</f>
        <v>2461427.8903153334</v>
      </c>
      <c r="Q441" s="10">
        <f>'Optimal Choice'!$B$17*'Optimal Choice'!$B$18^(K441+1)</f>
        <v>10265654.509488799</v>
      </c>
      <c r="R441" s="10">
        <f>'Optimal Choice'!$B$22*'Optimal Choice'!$B$23^(L441+1)</f>
        <v>39712419.074401878</v>
      </c>
      <c r="S441" s="10">
        <f>'Optimal Choice'!$B$27*'Optimal Choice'!$B$28^(M441+1)</f>
        <v>230420189.84038353</v>
      </c>
    </row>
    <row r="442" spans="1:19" ht="15.75" customHeight="1">
      <c r="A442" s="8">
        <f t="shared" si="0"/>
        <v>285.08617124325491</v>
      </c>
      <c r="B442" s="7">
        <f>(I442*'Optimal Choice'!$B$6+J442*'Optimal Choice'!$B$11+K442*'Optimal Choice'!$B$16+L442*'Optimal Choice'!$B$21+M442*'Optimal Choice'!$B$26)*'Optimal Choice'!$B$30</f>
        <v>179603.86</v>
      </c>
      <c r="C442" s="8">
        <f>(O442/$B442)+(O442/'Optimal Choice'!$B$6)</f>
        <v>112555.88583130648</v>
      </c>
      <c r="D442" s="8">
        <f>(P442/$B442)+(P442/'Optimal Choice'!$B$11)</f>
        <v>123085.09927628972</v>
      </c>
      <c r="E442" s="8">
        <f>(Q442/$B442)+(Q442/'Optimal Choice'!$B$16)</f>
        <v>114119.98508745542</v>
      </c>
      <c r="F442" s="8">
        <f>(R442/$B442)+(R442/'Optimal Choice'!$B$21)</f>
        <v>110533.38637362789</v>
      </c>
      <c r="G442" s="8">
        <f>(S442/$B442)+(S442/'Optimal Choice'!$B$26)</f>
        <v>120914.02336941702</v>
      </c>
      <c r="I442" s="11">
        <f t="shared" ref="I442:M442" si="440">IF(MIN($C441:$G441)=C441,I441+1,I441)</f>
        <v>158</v>
      </c>
      <c r="J442" s="11">
        <f t="shared" si="440"/>
        <v>75</v>
      </c>
      <c r="K442" s="11">
        <f t="shared" si="440"/>
        <v>72</v>
      </c>
      <c r="L442" s="11">
        <f t="shared" si="440"/>
        <v>68</v>
      </c>
      <c r="M442" s="11">
        <f t="shared" si="440"/>
        <v>68</v>
      </c>
      <c r="O442" s="10">
        <f>'Optimal Choice'!$B$7*'Optimal Choice'!$B$8^(I442+1)</f>
        <v>187966.58157968</v>
      </c>
      <c r="P442" s="10">
        <f>'Optimal Choice'!$B$12*'Optimal Choice'!$B$13^(J442+1)</f>
        <v>2461427.8903153334</v>
      </c>
      <c r="Q442" s="10">
        <f>'Optimal Choice'!$B$17*'Optimal Choice'!$B$18^(K442+1)</f>
        <v>10265654.509488799</v>
      </c>
      <c r="R442" s="10">
        <f>'Optimal Choice'!$B$22*'Optimal Choice'!$B$23^(L442+1)</f>
        <v>39712419.074401878</v>
      </c>
      <c r="S442" s="10">
        <f>'Optimal Choice'!$B$27*'Optimal Choice'!$B$28^(M442+1)</f>
        <v>258070612.62122959</v>
      </c>
    </row>
    <row r="443" spans="1:19" ht="15.75" customHeight="1">
      <c r="A443" s="8">
        <f t="shared" si="0"/>
        <v>288.77135735918824</v>
      </c>
      <c r="B443" s="7">
        <f>(I443*'Optimal Choice'!$B$6+J443*'Optimal Choice'!$B$11+K443*'Optimal Choice'!$B$16+L443*'Optimal Choice'!$B$21+M443*'Optimal Choice'!$B$26)*'Optimal Choice'!$B$30</f>
        <v>179963.86</v>
      </c>
      <c r="C443" s="8">
        <f>(O443/$B443)+(O443/'Optimal Choice'!$B$6)</f>
        <v>112555.88373776208</v>
      </c>
      <c r="D443" s="8">
        <f>(P443/$B443)+(P443/'Optimal Choice'!$B$11)</f>
        <v>123085.07186126435</v>
      </c>
      <c r="E443" s="8">
        <f>(Q443/$B443)+(Q443/'Optimal Choice'!$B$16)</f>
        <v>114119.87075009053</v>
      </c>
      <c r="F443" s="8">
        <f>(R443/$B443)+(R443/'Optimal Choice'!$B$21)</f>
        <v>124902.22679061109</v>
      </c>
      <c r="G443" s="8">
        <f>(S443/$B443)+(S443/'Optimal Choice'!$B$26)</f>
        <v>120911.14901651758</v>
      </c>
      <c r="I443" s="11">
        <f t="shared" ref="I443:M443" si="441">IF(MIN($C442:$G442)=C442,I442+1,I442)</f>
        <v>158</v>
      </c>
      <c r="J443" s="11">
        <f t="shared" si="441"/>
        <v>75</v>
      </c>
      <c r="K443" s="11">
        <f t="shared" si="441"/>
        <v>72</v>
      </c>
      <c r="L443" s="11">
        <f t="shared" si="441"/>
        <v>69</v>
      </c>
      <c r="M443" s="11">
        <f t="shared" si="441"/>
        <v>68</v>
      </c>
      <c r="O443" s="10">
        <f>'Optimal Choice'!$B$7*'Optimal Choice'!$B$8^(I443+1)</f>
        <v>187966.58157968</v>
      </c>
      <c r="P443" s="10">
        <f>'Optimal Choice'!$B$12*'Optimal Choice'!$B$13^(J443+1)</f>
        <v>2461427.8903153334</v>
      </c>
      <c r="Q443" s="10">
        <f>'Optimal Choice'!$B$17*'Optimal Choice'!$B$18^(K443+1)</f>
        <v>10265654.509488799</v>
      </c>
      <c r="R443" s="10">
        <f>'Optimal Choice'!$B$22*'Optimal Choice'!$B$23^(L443+1)</f>
        <v>44875033.554074109</v>
      </c>
      <c r="S443" s="10">
        <f>'Optimal Choice'!$B$27*'Optimal Choice'!$B$28^(M443+1)</f>
        <v>258070612.62122959</v>
      </c>
    </row>
    <row r="444" spans="1:19" ht="15.75" customHeight="1">
      <c r="A444" s="8">
        <f t="shared" si="0"/>
        <v>288.78876516739854</v>
      </c>
      <c r="B444" s="7">
        <f>(I444*'Optimal Choice'!$B$6+J444*'Optimal Choice'!$B$11+K444*'Optimal Choice'!$B$16+L444*'Optimal Choice'!$B$21+M444*'Optimal Choice'!$B$26)*'Optimal Choice'!$B$30</f>
        <v>179965.53</v>
      </c>
      <c r="C444" s="8">
        <f>(O444/$B444)+(O444/'Optimal Choice'!$B$6)</f>
        <v>120434.79558903475</v>
      </c>
      <c r="D444" s="8">
        <f>(P444/$B444)+(P444/'Optimal Choice'!$B$11)</f>
        <v>123085.07173434467</v>
      </c>
      <c r="E444" s="8">
        <f>(Q444/$B444)+(Q444/'Optimal Choice'!$B$16)</f>
        <v>114119.87022075811</v>
      </c>
      <c r="F444" s="8">
        <f>(R444/$B444)+(R444/'Optimal Choice'!$B$21)</f>
        <v>124902.22447670021</v>
      </c>
      <c r="G444" s="8">
        <f>(S444/$B444)+(S444/'Optimal Choice'!$B$26)</f>
        <v>120911.1357095103</v>
      </c>
      <c r="I444" s="11">
        <f t="shared" ref="I444:M444" si="442">IF(MIN($C443:$G443)=C443,I443+1,I443)</f>
        <v>159</v>
      </c>
      <c r="J444" s="11">
        <f t="shared" si="442"/>
        <v>75</v>
      </c>
      <c r="K444" s="11">
        <f t="shared" si="442"/>
        <v>72</v>
      </c>
      <c r="L444" s="11">
        <f t="shared" si="442"/>
        <v>69</v>
      </c>
      <c r="M444" s="11">
        <f t="shared" si="442"/>
        <v>68</v>
      </c>
      <c r="O444" s="10">
        <f>'Optimal Choice'!$B$7*'Optimal Choice'!$B$8^(I444+1)</f>
        <v>201124.24229025756</v>
      </c>
      <c r="P444" s="10">
        <f>'Optimal Choice'!$B$12*'Optimal Choice'!$B$13^(J444+1)</f>
        <v>2461427.8903153334</v>
      </c>
      <c r="Q444" s="10">
        <f>'Optimal Choice'!$B$17*'Optimal Choice'!$B$18^(K444+1)</f>
        <v>10265654.509488799</v>
      </c>
      <c r="R444" s="10">
        <f>'Optimal Choice'!$B$22*'Optimal Choice'!$B$23^(L444+1)</f>
        <v>44875033.554074109</v>
      </c>
      <c r="S444" s="10">
        <f>'Optimal Choice'!$B$27*'Optimal Choice'!$B$28^(M444+1)</f>
        <v>258070612.62122959</v>
      </c>
    </row>
    <row r="445" spans="1:19" ht="15.75" customHeight="1">
      <c r="A445" s="8">
        <f t="shared" si="0"/>
        <v>289.73947079321931</v>
      </c>
      <c r="B445" s="7">
        <f>(I445*'Optimal Choice'!$B$6+J445*'Optimal Choice'!$B$11+K445*'Optimal Choice'!$B$16+L445*'Optimal Choice'!$B$21+M445*'Optimal Choice'!$B$26)*'Optimal Choice'!$B$30</f>
        <v>180055.53</v>
      </c>
      <c r="C445" s="8">
        <f>(O445/$B445)+(O445/'Optimal Choice'!$B$6)</f>
        <v>120434.79503042164</v>
      </c>
      <c r="D445" s="8">
        <f>(P445/$B445)+(P445/'Optimal Choice'!$B$11)</f>
        <v>123085.06489784445</v>
      </c>
      <c r="E445" s="8">
        <f>(Q445/$B445)+(Q445/'Optimal Choice'!$B$16)</f>
        <v>130096.61954755937</v>
      </c>
      <c r="F445" s="8">
        <f>(R445/$B445)+(R445/'Optimal Choice'!$B$21)</f>
        <v>124902.09983840455</v>
      </c>
      <c r="G445" s="8">
        <f>(S445/$B445)+(S445/'Optimal Choice'!$B$26)</f>
        <v>120910.41893051827</v>
      </c>
      <c r="I445" s="11">
        <f t="shared" ref="I445:M445" si="443">IF(MIN($C444:$G444)=C444,I444+1,I444)</f>
        <v>159</v>
      </c>
      <c r="J445" s="11">
        <f t="shared" si="443"/>
        <v>75</v>
      </c>
      <c r="K445" s="11">
        <f t="shared" si="443"/>
        <v>73</v>
      </c>
      <c r="L445" s="11">
        <f t="shared" si="443"/>
        <v>69</v>
      </c>
      <c r="M445" s="11">
        <f t="shared" si="443"/>
        <v>68</v>
      </c>
      <c r="O445" s="10">
        <f>'Optimal Choice'!$B$7*'Optimal Choice'!$B$8^(I445+1)</f>
        <v>201124.24229025756</v>
      </c>
      <c r="P445" s="10">
        <f>'Optimal Choice'!$B$12*'Optimal Choice'!$B$13^(J445+1)</f>
        <v>2461427.8903153334</v>
      </c>
      <c r="Q445" s="10">
        <f>'Optimal Choice'!$B$17*'Optimal Choice'!$B$18^(K445+1)</f>
        <v>11702846.140817231</v>
      </c>
      <c r="R445" s="10">
        <f>'Optimal Choice'!$B$22*'Optimal Choice'!$B$23^(L445+1)</f>
        <v>44875033.554074109</v>
      </c>
      <c r="S445" s="10">
        <f>'Optimal Choice'!$B$27*'Optimal Choice'!$B$28^(M445+1)</f>
        <v>258070612.62122959</v>
      </c>
    </row>
    <row r="446" spans="1:19" ht="15.75" customHeight="1">
      <c r="A446" s="8">
        <f t="shared" si="0"/>
        <v>289.75808766494129</v>
      </c>
      <c r="B446" s="7">
        <f>(I446*'Optimal Choice'!$B$6+J446*'Optimal Choice'!$B$11+K446*'Optimal Choice'!$B$16+L446*'Optimal Choice'!$B$21+M446*'Optimal Choice'!$B$26)*'Optimal Choice'!$B$30</f>
        <v>180057.2</v>
      </c>
      <c r="C446" s="8">
        <f>(O446/$B446)+(O446/'Optimal Choice'!$B$6)</f>
        <v>128865.23067146585</v>
      </c>
      <c r="D446" s="8">
        <f>(P446/$B446)+(P446/'Optimal Choice'!$B$11)</f>
        <v>123085.06477105396</v>
      </c>
      <c r="E446" s="8">
        <f>(Q446/$B446)+(Q446/'Optimal Choice'!$B$16)</f>
        <v>130096.61894473471</v>
      </c>
      <c r="F446" s="8">
        <f>(R446/$B446)+(R446/'Optimal Choice'!$B$21)</f>
        <v>124902.09752684917</v>
      </c>
      <c r="G446" s="8">
        <f>(S446/$B446)+(S446/'Optimal Choice'!$B$26)</f>
        <v>120910.40563705722</v>
      </c>
      <c r="I446" s="11">
        <f t="shared" ref="I446:M446" si="444">IF(MIN($C445:$G445)=C445,I445+1,I445)</f>
        <v>160</v>
      </c>
      <c r="J446" s="11">
        <f t="shared" si="444"/>
        <v>75</v>
      </c>
      <c r="K446" s="11">
        <f t="shared" si="444"/>
        <v>73</v>
      </c>
      <c r="L446" s="11">
        <f t="shared" si="444"/>
        <v>69</v>
      </c>
      <c r="M446" s="11">
        <f t="shared" si="444"/>
        <v>68</v>
      </c>
      <c r="O446" s="10">
        <f>'Optimal Choice'!$B$7*'Optimal Choice'!$B$8^(I446+1)</f>
        <v>215202.93925057561</v>
      </c>
      <c r="P446" s="10">
        <f>'Optimal Choice'!$B$12*'Optimal Choice'!$B$13^(J446+1)</f>
        <v>2461427.8903153334</v>
      </c>
      <c r="Q446" s="10">
        <f>'Optimal Choice'!$B$17*'Optimal Choice'!$B$18^(K446+1)</f>
        <v>11702846.140817231</v>
      </c>
      <c r="R446" s="10">
        <f>'Optimal Choice'!$B$22*'Optimal Choice'!$B$23^(L446+1)</f>
        <v>44875033.554074109</v>
      </c>
      <c r="S446" s="10">
        <f>'Optimal Choice'!$B$27*'Optimal Choice'!$B$28^(M446+1)</f>
        <v>258070612.62122959</v>
      </c>
    </row>
    <row r="447" spans="1:19" ht="15.75" customHeight="1">
      <c r="A447" s="8">
        <f t="shared" si="0"/>
        <v>313.64592373603699</v>
      </c>
      <c r="B447" s="7">
        <f>(I447*'Optimal Choice'!$B$6+J447*'Optimal Choice'!$B$11+K447*'Optimal Choice'!$B$16+L447*'Optimal Choice'!$B$21+M447*'Optimal Choice'!$B$26)*'Optimal Choice'!$B$30</f>
        <v>182217.2</v>
      </c>
      <c r="C447" s="8">
        <f>(O447/$B447)+(O447/'Optimal Choice'!$B$6)</f>
        <v>128865.21650367657</v>
      </c>
      <c r="D447" s="8">
        <f>(P447/$B447)+(P447/'Optimal Choice'!$B$11)</f>
        <v>123084.90272404951</v>
      </c>
      <c r="E447" s="8">
        <f>(Q447/$B447)+(Q447/'Optimal Choice'!$B$16)</f>
        <v>130095.84849309232</v>
      </c>
      <c r="F447" s="8">
        <f>(R447/$B447)+(R447/'Optimal Choice'!$B$21)</f>
        <v>124899.14319908236</v>
      </c>
      <c r="G447" s="8">
        <f>(S447/$B447)+(S447/'Optimal Choice'!$B$26)</f>
        <v>135400.62555452093</v>
      </c>
      <c r="I447" s="11">
        <f t="shared" ref="I447:M447" si="445">IF(MIN($C446:$G446)=C446,I446+1,I446)</f>
        <v>160</v>
      </c>
      <c r="J447" s="11">
        <f t="shared" si="445"/>
        <v>75</v>
      </c>
      <c r="K447" s="11">
        <f t="shared" si="445"/>
        <v>73</v>
      </c>
      <c r="L447" s="11">
        <f t="shared" si="445"/>
        <v>69</v>
      </c>
      <c r="M447" s="11">
        <f t="shared" si="445"/>
        <v>69</v>
      </c>
      <c r="O447" s="10">
        <f>'Optimal Choice'!$B$7*'Optimal Choice'!$B$8^(I447+1)</f>
        <v>215202.93925057561</v>
      </c>
      <c r="P447" s="10">
        <f>'Optimal Choice'!$B$12*'Optimal Choice'!$B$13^(J447+1)</f>
        <v>2461427.8903153334</v>
      </c>
      <c r="Q447" s="10">
        <f>'Optimal Choice'!$B$17*'Optimal Choice'!$B$18^(K447+1)</f>
        <v>11702846.140817231</v>
      </c>
      <c r="R447" s="10">
        <f>'Optimal Choice'!$B$22*'Optimal Choice'!$B$23^(L447+1)</f>
        <v>44875033.554074109</v>
      </c>
      <c r="S447" s="10">
        <f>'Optimal Choice'!$B$27*'Optimal Choice'!$B$28^(M447+1)</f>
        <v>289039086.13577718</v>
      </c>
    </row>
    <row r="448" spans="1:19" ht="15.75" customHeight="1">
      <c r="A448" s="8">
        <f t="shared" si="0"/>
        <v>313.87106054075093</v>
      </c>
      <c r="B448" s="7">
        <f>(I448*'Optimal Choice'!$B$6+J448*'Optimal Choice'!$B$11+K448*'Optimal Choice'!$B$16+L448*'Optimal Choice'!$B$21+M448*'Optimal Choice'!$B$26)*'Optimal Choice'!$B$30</f>
        <v>182237.2</v>
      </c>
      <c r="C448" s="8">
        <f>(O448/$B448)+(O448/'Optimal Choice'!$B$6)</f>
        <v>128865.21637406261</v>
      </c>
      <c r="D448" s="8">
        <f>(P448/$B448)+(P448/'Optimal Choice'!$B$11)</f>
        <v>141547.63642779761</v>
      </c>
      <c r="E448" s="8">
        <f>(Q448/$B448)+(Q448/'Optimal Choice'!$B$16)</f>
        <v>130095.84144461855</v>
      </c>
      <c r="F448" s="8">
        <f>(R448/$B448)+(R448/'Optimal Choice'!$B$21)</f>
        <v>124899.11617142659</v>
      </c>
      <c r="G448" s="8">
        <f>(S448/$B448)+(S448/'Optimal Choice'!$B$26)</f>
        <v>135400.45146999537</v>
      </c>
      <c r="I448" s="11">
        <f t="shared" ref="I448:M448" si="446">IF(MIN($C447:$G447)=C447,I447+1,I447)</f>
        <v>160</v>
      </c>
      <c r="J448" s="11">
        <f t="shared" si="446"/>
        <v>76</v>
      </c>
      <c r="K448" s="11">
        <f t="shared" si="446"/>
        <v>73</v>
      </c>
      <c r="L448" s="11">
        <f t="shared" si="446"/>
        <v>69</v>
      </c>
      <c r="M448" s="11">
        <f t="shared" si="446"/>
        <v>69</v>
      </c>
      <c r="O448" s="10">
        <f>'Optimal Choice'!$B$7*'Optimal Choice'!$B$8^(I448+1)</f>
        <v>215202.93925057561</v>
      </c>
      <c r="P448" s="10">
        <f>'Optimal Choice'!$B$12*'Optimal Choice'!$B$13^(J448+1)</f>
        <v>2830642.0738626337</v>
      </c>
      <c r="Q448" s="10">
        <f>'Optimal Choice'!$B$17*'Optimal Choice'!$B$18^(K448+1)</f>
        <v>11702846.140817231</v>
      </c>
      <c r="R448" s="10">
        <f>'Optimal Choice'!$B$22*'Optimal Choice'!$B$23^(L448+1)</f>
        <v>44875033.554074109</v>
      </c>
      <c r="S448" s="10">
        <f>'Optimal Choice'!$B$27*'Optimal Choice'!$B$28^(M448+1)</f>
        <v>289039086.13577718</v>
      </c>
    </row>
    <row r="449" spans="1:19" ht="15.75" customHeight="1">
      <c r="A449" s="8">
        <f t="shared" si="0"/>
        <v>317.97514700554098</v>
      </c>
      <c r="B449" s="7">
        <f>(I449*'Optimal Choice'!$B$6+J449*'Optimal Choice'!$B$11+K449*'Optimal Choice'!$B$16+L449*'Optimal Choice'!$B$21+M449*'Optimal Choice'!$B$26)*'Optimal Choice'!$B$30</f>
        <v>182597.2</v>
      </c>
      <c r="C449" s="8">
        <f>(O449/$B449)+(O449/'Optimal Choice'!$B$6)</f>
        <v>128865.21404586654</v>
      </c>
      <c r="D449" s="8">
        <f>(P449/$B449)+(P449/'Optimal Choice'!$B$11)</f>
        <v>141547.60580419286</v>
      </c>
      <c r="E449" s="8">
        <f>(Q449/$B449)+(Q449/'Optimal Choice'!$B$16)</f>
        <v>130095.71483612293</v>
      </c>
      <c r="F449" s="8">
        <f>(R449/$B449)+(R449/'Optimal Choice'!$B$21)</f>
        <v>141135.45267525362</v>
      </c>
      <c r="G449" s="8">
        <f>(S449/$B449)+(S449/'Optimal Choice'!$B$26)</f>
        <v>135397.32446965491</v>
      </c>
      <c r="I449" s="11">
        <f t="shared" ref="I449:M449" si="447">IF(MIN($C448:$G448)=C448,I448+1,I448)</f>
        <v>160</v>
      </c>
      <c r="J449" s="11">
        <f t="shared" si="447"/>
        <v>76</v>
      </c>
      <c r="K449" s="11">
        <f t="shared" si="447"/>
        <v>73</v>
      </c>
      <c r="L449" s="11">
        <f t="shared" si="447"/>
        <v>70</v>
      </c>
      <c r="M449" s="11">
        <f t="shared" si="447"/>
        <v>69</v>
      </c>
      <c r="O449" s="10">
        <f>'Optimal Choice'!$B$7*'Optimal Choice'!$B$8^(I449+1)</f>
        <v>215202.93925057561</v>
      </c>
      <c r="P449" s="10">
        <f>'Optimal Choice'!$B$12*'Optimal Choice'!$B$13^(J449+1)</f>
        <v>2830642.0738626337</v>
      </c>
      <c r="Q449" s="10">
        <f>'Optimal Choice'!$B$17*'Optimal Choice'!$B$18^(K449+1)</f>
        <v>11702846.140817231</v>
      </c>
      <c r="R449" s="10">
        <f>'Optimal Choice'!$B$22*'Optimal Choice'!$B$23^(L449+1)</f>
        <v>50708787.916103743</v>
      </c>
      <c r="S449" s="10">
        <f>'Optimal Choice'!$B$27*'Optimal Choice'!$B$28^(M449+1)</f>
        <v>289039086.13577718</v>
      </c>
    </row>
    <row r="450" spans="1:19" ht="15.75" customHeight="1">
      <c r="A450" s="8">
        <f t="shared" si="0"/>
        <v>317.99478978020659</v>
      </c>
      <c r="B450" s="7">
        <f>(I450*'Optimal Choice'!$B$6+J450*'Optimal Choice'!$B$11+K450*'Optimal Choice'!$B$16+L450*'Optimal Choice'!$B$21+M450*'Optimal Choice'!$B$26)*'Optimal Choice'!$B$30</f>
        <v>182598.87</v>
      </c>
      <c r="C450" s="8">
        <f>(O450/$B450)+(O450/'Optimal Choice'!$B$6)</f>
        <v>137885.7790175438</v>
      </c>
      <c r="D450" s="8">
        <f>(P450/$B450)+(P450/'Optimal Choice'!$B$11)</f>
        <v>141547.60566241475</v>
      </c>
      <c r="E450" s="8">
        <f>(Q450/$B450)+(Q450/'Optimal Choice'!$B$16)</f>
        <v>130095.71424996349</v>
      </c>
      <c r="F450" s="8">
        <f>(R450/$B450)+(R450/'Optimal Choice'!$B$21)</f>
        <v>141135.45013540695</v>
      </c>
      <c r="G450" s="8">
        <f>(S450/$B450)+(S450/'Optimal Choice'!$B$26)</f>
        <v>135397.30999257913</v>
      </c>
      <c r="I450" s="11">
        <f t="shared" ref="I450:M450" si="448">IF(MIN($C449:$G449)=C449,I449+1,I449)</f>
        <v>161</v>
      </c>
      <c r="J450" s="11">
        <f t="shared" si="448"/>
        <v>76</v>
      </c>
      <c r="K450" s="11">
        <f t="shared" si="448"/>
        <v>73</v>
      </c>
      <c r="L450" s="11">
        <f t="shared" si="448"/>
        <v>70</v>
      </c>
      <c r="M450" s="11">
        <f t="shared" si="448"/>
        <v>69</v>
      </c>
      <c r="O450" s="10">
        <f>'Optimal Choice'!$B$7*'Optimal Choice'!$B$8^(I450+1)</f>
        <v>230267.14499811587</v>
      </c>
      <c r="P450" s="10">
        <f>'Optimal Choice'!$B$12*'Optimal Choice'!$B$13^(J450+1)</f>
        <v>2830642.0738626337</v>
      </c>
      <c r="Q450" s="10">
        <f>'Optimal Choice'!$B$17*'Optimal Choice'!$B$18^(K450+1)</f>
        <v>11702846.140817231</v>
      </c>
      <c r="R450" s="10">
        <f>'Optimal Choice'!$B$22*'Optimal Choice'!$B$23^(L450+1)</f>
        <v>50708787.916103743</v>
      </c>
      <c r="S450" s="10">
        <f>'Optimal Choice'!$B$27*'Optimal Choice'!$B$28^(M450+1)</f>
        <v>289039086.13577718</v>
      </c>
    </row>
    <row r="451" spans="1:19" ht="15.75" customHeight="1">
      <c r="A451" s="8">
        <f t="shared" si="0"/>
        <v>319.06296416529608</v>
      </c>
      <c r="B451" s="7">
        <f>(I451*'Optimal Choice'!$B$6+J451*'Optimal Choice'!$B$11+K451*'Optimal Choice'!$B$16+L451*'Optimal Choice'!$B$21+M451*'Optimal Choice'!$B$26)*'Optimal Choice'!$B$30</f>
        <v>182688.87</v>
      </c>
      <c r="C451" s="8">
        <f>(O451/$B451)+(O451/'Optimal Choice'!$B$6)</f>
        <v>137885.77839629681</v>
      </c>
      <c r="D451" s="8">
        <f>(P451/$B451)+(P451/'Optimal Choice'!$B$11)</f>
        <v>141547.59802551143</v>
      </c>
      <c r="E451" s="8">
        <f>(Q451/$B451)+(Q451/'Optimal Choice'!$B$16)</f>
        <v>148309.07825107704</v>
      </c>
      <c r="F451" s="8">
        <f>(R451/$B451)+(R451/'Optimal Choice'!$B$21)</f>
        <v>141135.3133261248</v>
      </c>
      <c r="G451" s="8">
        <f>(S451/$B451)+(S451/'Optimal Choice'!$B$26)</f>
        <v>135396.5301823823</v>
      </c>
      <c r="I451" s="11">
        <f t="shared" ref="I451:M451" si="449">IF(MIN($C450:$G450)=C450,I450+1,I450)</f>
        <v>161</v>
      </c>
      <c r="J451" s="11">
        <f t="shared" si="449"/>
        <v>76</v>
      </c>
      <c r="K451" s="11">
        <f t="shared" si="449"/>
        <v>74</v>
      </c>
      <c r="L451" s="11">
        <f t="shared" si="449"/>
        <v>70</v>
      </c>
      <c r="M451" s="11">
        <f t="shared" si="449"/>
        <v>69</v>
      </c>
      <c r="O451" s="10">
        <f>'Optimal Choice'!$B$7*'Optimal Choice'!$B$8^(I451+1)</f>
        <v>230267.14499811587</v>
      </c>
      <c r="P451" s="10">
        <f>'Optimal Choice'!$B$12*'Optimal Choice'!$B$13^(J451+1)</f>
        <v>2830642.0738626337</v>
      </c>
      <c r="Q451" s="10">
        <f>'Optimal Choice'!$B$17*'Optimal Choice'!$B$18^(K451+1)</f>
        <v>13341244.600531645</v>
      </c>
      <c r="R451" s="10">
        <f>'Optimal Choice'!$B$22*'Optimal Choice'!$B$23^(L451+1)</f>
        <v>50708787.916103743</v>
      </c>
      <c r="S451" s="10">
        <f>'Optimal Choice'!$B$27*'Optimal Choice'!$B$28^(M451+1)</f>
        <v>289039086.13577718</v>
      </c>
    </row>
    <row r="452" spans="1:19" ht="15.75" customHeight="1">
      <c r="A452" s="8">
        <f t="shared" si="0"/>
        <v>345.43193837955965</v>
      </c>
      <c r="B452" s="7">
        <f>(I452*'Optimal Choice'!$B$6+J452*'Optimal Choice'!$B$11+K452*'Optimal Choice'!$B$16+L452*'Optimal Choice'!$B$21+M452*'Optimal Choice'!$B$26)*'Optimal Choice'!$B$30</f>
        <v>184848.87</v>
      </c>
      <c r="C452" s="8">
        <f>(O452/$B452)+(O452/'Optimal Choice'!$B$6)</f>
        <v>137885.76366785381</v>
      </c>
      <c r="D452" s="8">
        <f>(P452/$B452)+(P452/'Optimal Choice'!$B$11)</f>
        <v>141547.41697080474</v>
      </c>
      <c r="E452" s="8">
        <f>(Q452/$B452)+(Q452/'Optimal Choice'!$B$16)</f>
        <v>148308.22491283607</v>
      </c>
      <c r="F452" s="8">
        <f>(R452/$B452)+(R452/'Optimal Choice'!$B$21)</f>
        <v>141132.06986952262</v>
      </c>
      <c r="G452" s="8">
        <f>(S452/$B452)+(S452/'Optimal Choice'!$B$26)</f>
        <v>151623.40764931493</v>
      </c>
      <c r="I452" s="11">
        <f t="shared" ref="I452:M452" si="450">IF(MIN($C451:$G451)=C451,I451+1,I451)</f>
        <v>161</v>
      </c>
      <c r="J452" s="11">
        <f t="shared" si="450"/>
        <v>76</v>
      </c>
      <c r="K452" s="11">
        <f t="shared" si="450"/>
        <v>74</v>
      </c>
      <c r="L452" s="11">
        <f t="shared" si="450"/>
        <v>70</v>
      </c>
      <c r="M452" s="11">
        <f t="shared" si="450"/>
        <v>70</v>
      </c>
      <c r="O452" s="10">
        <f>'Optimal Choice'!$B$7*'Optimal Choice'!$B$8^(I452+1)</f>
        <v>230267.14499811587</v>
      </c>
      <c r="P452" s="10">
        <f>'Optimal Choice'!$B$12*'Optimal Choice'!$B$13^(J452+1)</f>
        <v>2830642.0738626337</v>
      </c>
      <c r="Q452" s="10">
        <f>'Optimal Choice'!$B$17*'Optimal Choice'!$B$18^(K452+1)</f>
        <v>13341244.600531645</v>
      </c>
      <c r="R452" s="10">
        <f>'Optimal Choice'!$B$22*'Optimal Choice'!$B$23^(L452+1)</f>
        <v>50708787.916103743</v>
      </c>
      <c r="S452" s="10">
        <f>'Optimal Choice'!$B$27*'Optimal Choice'!$B$28^(M452+1)</f>
        <v>323723776.47207046</v>
      </c>
    </row>
    <row r="453" spans="1:19" ht="15.75" customHeight="1">
      <c r="A453" s="8">
        <f t="shared" si="0"/>
        <v>345.45270012806247</v>
      </c>
      <c r="B453" s="7">
        <f>(I453*'Optimal Choice'!$B$6+J453*'Optimal Choice'!$B$11+K453*'Optimal Choice'!$B$16+L453*'Optimal Choice'!$B$21+M453*'Optimal Choice'!$B$26)*'Optimal Choice'!$B$30</f>
        <v>184850.54</v>
      </c>
      <c r="C453" s="8">
        <f>(O453/$B453)+(O453/'Optimal Choice'!$B$6)</f>
        <v>147537.76711256171</v>
      </c>
      <c r="D453" s="8">
        <f>(P453/$B453)+(P453/'Optimal Choice'!$B$11)</f>
        <v>141547.4168324596</v>
      </c>
      <c r="E453" s="8">
        <f>(Q453/$B453)+(Q453/'Optimal Choice'!$B$16)</f>
        <v>148308.22426079449</v>
      </c>
      <c r="F453" s="8">
        <f>(R453/$B453)+(R453/'Optimal Choice'!$B$21)</f>
        <v>141132.06739117525</v>
      </c>
      <c r="G453" s="8">
        <f>(S453/$B453)+(S453/'Optimal Choice'!$B$26)</f>
        <v>151623.39182760037</v>
      </c>
      <c r="I453" s="11">
        <f t="shared" ref="I453:M453" si="451">IF(MIN($C452:$G452)=C452,I452+1,I452)</f>
        <v>162</v>
      </c>
      <c r="J453" s="11">
        <f t="shared" si="451"/>
        <v>76</v>
      </c>
      <c r="K453" s="11">
        <f t="shared" si="451"/>
        <v>74</v>
      </c>
      <c r="L453" s="11">
        <f t="shared" si="451"/>
        <v>70</v>
      </c>
      <c r="M453" s="11">
        <f t="shared" si="451"/>
        <v>70</v>
      </c>
      <c r="O453" s="10">
        <f>'Optimal Choice'!$B$7*'Optimal Choice'!$B$8^(I453+1)</f>
        <v>246385.84514798402</v>
      </c>
      <c r="P453" s="10">
        <f>'Optimal Choice'!$B$12*'Optimal Choice'!$B$13^(J453+1)</f>
        <v>2830642.0738626337</v>
      </c>
      <c r="Q453" s="10">
        <f>'Optimal Choice'!$B$17*'Optimal Choice'!$B$18^(K453+1)</f>
        <v>13341244.600531645</v>
      </c>
      <c r="R453" s="10">
        <f>'Optimal Choice'!$B$22*'Optimal Choice'!$B$23^(L453+1)</f>
        <v>50708787.916103743</v>
      </c>
      <c r="S453" s="10">
        <f>'Optimal Choice'!$B$27*'Optimal Choice'!$B$28^(M453+1)</f>
        <v>323723776.47207046</v>
      </c>
    </row>
    <row r="454" spans="1:19" ht="15.75" customHeight="1">
      <c r="A454" s="8">
        <f t="shared" si="0"/>
        <v>350.02475312432853</v>
      </c>
      <c r="B454" s="7">
        <f>(I454*'Optimal Choice'!$B$6+J454*'Optimal Choice'!$B$11+K454*'Optimal Choice'!$B$16+L454*'Optimal Choice'!$B$21+M454*'Optimal Choice'!$B$26)*'Optimal Choice'!$B$30</f>
        <v>185210.54</v>
      </c>
      <c r="C454" s="8">
        <f>(O454/$B454)+(O454/'Optimal Choice'!$B$6)</f>
        <v>147537.76452177396</v>
      </c>
      <c r="D454" s="8">
        <f>(P454/$B454)+(P454/'Optimal Choice'!$B$11)</f>
        <v>141547.38706779201</v>
      </c>
      <c r="E454" s="8">
        <f>(Q454/$B454)+(Q454/'Optimal Choice'!$B$16)</f>
        <v>148308.08397541029</v>
      </c>
      <c r="F454" s="8">
        <f>(R454/$B454)+(R454/'Optimal Choice'!$B$21)</f>
        <v>159478.63362330836</v>
      </c>
      <c r="G454" s="8">
        <f>(S454/$B454)+(S454/'Optimal Choice'!$B$26)</f>
        <v>151619.98781877564</v>
      </c>
      <c r="I454" s="11">
        <f t="shared" ref="I454:M454" si="452">IF(MIN($C453:$G453)=C453,I453+1,I453)</f>
        <v>162</v>
      </c>
      <c r="J454" s="11">
        <f t="shared" si="452"/>
        <v>76</v>
      </c>
      <c r="K454" s="11">
        <f t="shared" si="452"/>
        <v>74</v>
      </c>
      <c r="L454" s="11">
        <f t="shared" si="452"/>
        <v>71</v>
      </c>
      <c r="M454" s="11">
        <f t="shared" si="452"/>
        <v>70</v>
      </c>
      <c r="O454" s="10">
        <f>'Optimal Choice'!$B$7*'Optimal Choice'!$B$8^(I454+1)</f>
        <v>246385.84514798402</v>
      </c>
      <c r="P454" s="10">
        <f>'Optimal Choice'!$B$12*'Optimal Choice'!$B$13^(J454+1)</f>
        <v>2830642.0738626337</v>
      </c>
      <c r="Q454" s="10">
        <f>'Optimal Choice'!$B$17*'Optimal Choice'!$B$18^(K454+1)</f>
        <v>13341244.600531645</v>
      </c>
      <c r="R454" s="10">
        <f>'Optimal Choice'!$B$22*'Optimal Choice'!$B$23^(L454+1)</f>
        <v>57300930.345197223</v>
      </c>
      <c r="S454" s="10">
        <f>'Optimal Choice'!$B$27*'Optimal Choice'!$B$28^(M454+1)</f>
        <v>323723776.47207046</v>
      </c>
    </row>
    <row r="455" spans="1:19" ht="15.75" customHeight="1">
      <c r="A455" s="8">
        <f t="shared" si="0"/>
        <v>350.27947603533408</v>
      </c>
      <c r="B455" s="7">
        <f>(I455*'Optimal Choice'!$B$6+J455*'Optimal Choice'!$B$11+K455*'Optimal Choice'!$B$16+L455*'Optimal Choice'!$B$21+M455*'Optimal Choice'!$B$26)*'Optimal Choice'!$B$30</f>
        <v>185230.54</v>
      </c>
      <c r="C455" s="8">
        <f>(O455/$B455)+(O455/'Optimal Choice'!$B$6)</f>
        <v>147537.76437813658</v>
      </c>
      <c r="D455" s="8">
        <f>(P455/$B455)+(P455/'Optimal Choice'!$B$11)</f>
        <v>162779.49323023047</v>
      </c>
      <c r="E455" s="8">
        <f>(Q455/$B455)+(Q455/'Optimal Choice'!$B$16)</f>
        <v>148308.07619776647</v>
      </c>
      <c r="F455" s="8">
        <f>(R455/$B455)+(R455/'Optimal Choice'!$B$21)</f>
        <v>159478.60021816206</v>
      </c>
      <c r="G455" s="8">
        <f>(S455/$B455)+(S455/'Optimal Choice'!$B$26)</f>
        <v>151619.79909513626</v>
      </c>
      <c r="I455" s="11">
        <f t="shared" ref="I455:M455" si="453">IF(MIN($C454:$G454)=C454,I454+1,I454)</f>
        <v>162</v>
      </c>
      <c r="J455" s="11">
        <f t="shared" si="453"/>
        <v>77</v>
      </c>
      <c r="K455" s="11">
        <f t="shared" si="453"/>
        <v>74</v>
      </c>
      <c r="L455" s="11">
        <f t="shared" si="453"/>
        <v>71</v>
      </c>
      <c r="M455" s="11">
        <f t="shared" si="453"/>
        <v>70</v>
      </c>
      <c r="O455" s="10">
        <f>'Optimal Choice'!$B$7*'Optimal Choice'!$B$8^(I455+1)</f>
        <v>246385.84514798402</v>
      </c>
      <c r="P455" s="10">
        <f>'Optimal Choice'!$B$12*'Optimal Choice'!$B$13^(J455+1)</f>
        <v>3255238.3849420287</v>
      </c>
      <c r="Q455" s="10">
        <f>'Optimal Choice'!$B$17*'Optimal Choice'!$B$18^(K455+1)</f>
        <v>13341244.600531645</v>
      </c>
      <c r="R455" s="10">
        <f>'Optimal Choice'!$B$22*'Optimal Choice'!$B$23^(L455+1)</f>
        <v>57300930.345197223</v>
      </c>
      <c r="S455" s="10">
        <f>'Optimal Choice'!$B$27*'Optimal Choice'!$B$28^(M455+1)</f>
        <v>323723776.47207046</v>
      </c>
    </row>
    <row r="456" spans="1:19" ht="15.75" customHeight="1">
      <c r="A456" s="8">
        <f t="shared" si="0"/>
        <v>350.30164533178197</v>
      </c>
      <c r="B456" s="7">
        <f>(I456*'Optimal Choice'!$B$6+J456*'Optimal Choice'!$B$11+K456*'Optimal Choice'!$B$16+L456*'Optimal Choice'!$B$21+M456*'Optimal Choice'!$B$26)*'Optimal Choice'!$B$30</f>
        <v>185232.21</v>
      </c>
      <c r="C456" s="8">
        <f>(O456/$B456)+(O456/'Optimal Choice'!$B$6)</f>
        <v>157865.4078717744</v>
      </c>
      <c r="D456" s="8">
        <f>(P456/$B456)+(P456/'Optimal Choice'!$B$11)</f>
        <v>162779.49307178851</v>
      </c>
      <c r="E456" s="8">
        <f>(Q456/$B456)+(Q456/'Optimal Choice'!$B$16)</f>
        <v>148308.07554840919</v>
      </c>
      <c r="F456" s="8">
        <f>(R456/$B456)+(R456/'Optimal Choice'!$B$21)</f>
        <v>159478.59742915866</v>
      </c>
      <c r="G456" s="8">
        <f>(S456/$B456)+(S456/'Optimal Choice'!$B$26)</f>
        <v>151619.78333855592</v>
      </c>
      <c r="I456" s="11">
        <f t="shared" ref="I456:M456" si="454">IF(MIN($C455:$G455)=C455,I455+1,I455)</f>
        <v>163</v>
      </c>
      <c r="J456" s="11">
        <f t="shared" si="454"/>
        <v>77</v>
      </c>
      <c r="K456" s="11">
        <f t="shared" si="454"/>
        <v>74</v>
      </c>
      <c r="L456" s="11">
        <f t="shared" si="454"/>
        <v>71</v>
      </c>
      <c r="M456" s="11">
        <f t="shared" si="454"/>
        <v>70</v>
      </c>
      <c r="O456" s="10">
        <f>'Optimal Choice'!$B$7*'Optimal Choice'!$B$8^(I456+1)</f>
        <v>263632.85430834291</v>
      </c>
      <c r="P456" s="10">
        <f>'Optimal Choice'!$B$12*'Optimal Choice'!$B$13^(J456+1)</f>
        <v>3255238.3849420287</v>
      </c>
      <c r="Q456" s="10">
        <f>'Optimal Choice'!$B$17*'Optimal Choice'!$B$18^(K456+1)</f>
        <v>13341244.600531645</v>
      </c>
      <c r="R456" s="10">
        <f>'Optimal Choice'!$B$22*'Optimal Choice'!$B$23^(L456+1)</f>
        <v>57300930.345197223</v>
      </c>
      <c r="S456" s="10">
        <f>'Optimal Choice'!$B$27*'Optimal Choice'!$B$28^(M456+1)</f>
        <v>323723776.47207046</v>
      </c>
    </row>
    <row r="457" spans="1:19" ht="15.75" customHeight="1">
      <c r="A457" s="8">
        <f t="shared" si="0"/>
        <v>351.50205252163045</v>
      </c>
      <c r="B457" s="7">
        <f>(I457*'Optimal Choice'!$B$6+J457*'Optimal Choice'!$B$11+K457*'Optimal Choice'!$B$16+L457*'Optimal Choice'!$B$21+M457*'Optimal Choice'!$B$26)*'Optimal Choice'!$B$30</f>
        <v>185322.21</v>
      </c>
      <c r="C457" s="8">
        <f>(O457/$B457)+(O457/'Optimal Choice'!$B$6)</f>
        <v>157865.4071805834</v>
      </c>
      <c r="D457" s="8">
        <f>(P457/$B457)+(P457/'Optimal Choice'!$B$11)</f>
        <v>162779.48453722475</v>
      </c>
      <c r="E457" s="8">
        <f>(Q457/$B457)+(Q457/'Optimal Choice'!$B$16)</f>
        <v>169071.16625027527</v>
      </c>
      <c r="F457" s="8">
        <f>(R457/$B457)+(R457/'Optimal Choice'!$B$21)</f>
        <v>159478.44719793528</v>
      </c>
      <c r="G457" s="8">
        <f>(S457/$B457)+(S457/'Optimal Choice'!$B$26)</f>
        <v>151618.93460156897</v>
      </c>
      <c r="I457" s="11">
        <f t="shared" ref="I457:M457" si="455">IF(MIN($C456:$G456)=C456,I456+1,I456)</f>
        <v>163</v>
      </c>
      <c r="J457" s="11">
        <f t="shared" si="455"/>
        <v>77</v>
      </c>
      <c r="K457" s="11">
        <f t="shared" si="455"/>
        <v>75</v>
      </c>
      <c r="L457" s="11">
        <f t="shared" si="455"/>
        <v>71</v>
      </c>
      <c r="M457" s="11">
        <f t="shared" si="455"/>
        <v>70</v>
      </c>
      <c r="O457" s="10">
        <f>'Optimal Choice'!$B$7*'Optimal Choice'!$B$8^(I457+1)</f>
        <v>263632.85430834291</v>
      </c>
      <c r="P457" s="10">
        <f>'Optimal Choice'!$B$12*'Optimal Choice'!$B$13^(J457+1)</f>
        <v>3255238.3849420287</v>
      </c>
      <c r="Q457" s="10">
        <f>'Optimal Choice'!$B$17*'Optimal Choice'!$B$18^(K457+1)</f>
        <v>15209018.844606072</v>
      </c>
      <c r="R457" s="10">
        <f>'Optimal Choice'!$B$22*'Optimal Choice'!$B$23^(L457+1)</f>
        <v>57300930.345197223</v>
      </c>
      <c r="S457" s="10">
        <f>'Optimal Choice'!$B$27*'Optimal Choice'!$B$28^(M457+1)</f>
        <v>323723776.47207046</v>
      </c>
    </row>
    <row r="458" spans="1:19" ht="15.75" customHeight="1">
      <c r="A458" s="8">
        <f t="shared" si="0"/>
        <v>380.61565026328543</v>
      </c>
      <c r="B458" s="7">
        <f>(I458*'Optimal Choice'!$B$6+J458*'Optimal Choice'!$B$11+K458*'Optimal Choice'!$B$16+L458*'Optimal Choice'!$B$21+M458*'Optimal Choice'!$B$26)*'Optimal Choice'!$B$30</f>
        <v>187482.21</v>
      </c>
      <c r="C458" s="8">
        <f>(O458/$B458)+(O458/'Optimal Choice'!$B$6)</f>
        <v>157865.39079108177</v>
      </c>
      <c r="D458" s="8">
        <f>(P458/$B458)+(P458/'Optimal Choice'!$B$11)</f>
        <v>162779.28216588154</v>
      </c>
      <c r="E458" s="8">
        <f>(Q458/$B458)+(Q458/'Optimal Choice'!$B$16)</f>
        <v>169070.22073747142</v>
      </c>
      <c r="F458" s="8">
        <f>(R458/$B458)+(R458/'Optimal Choice'!$B$21)</f>
        <v>159474.88491927239</v>
      </c>
      <c r="G458" s="8">
        <f>(S458/$B458)+(S458/'Optimal Choice'!$B$26)</f>
        <v>169790.66649812768</v>
      </c>
      <c r="I458" s="11">
        <f t="shared" ref="I458:M458" si="456">IF(MIN($C457:$G457)=C457,I457+1,I457)</f>
        <v>163</v>
      </c>
      <c r="J458" s="11">
        <f t="shared" si="456"/>
        <v>77</v>
      </c>
      <c r="K458" s="11">
        <f t="shared" si="456"/>
        <v>75</v>
      </c>
      <c r="L458" s="11">
        <f t="shared" si="456"/>
        <v>71</v>
      </c>
      <c r="M458" s="11">
        <f t="shared" si="456"/>
        <v>71</v>
      </c>
      <c r="O458" s="10">
        <f>'Optimal Choice'!$B$7*'Optimal Choice'!$B$8^(I458+1)</f>
        <v>263632.85430834291</v>
      </c>
      <c r="P458" s="10">
        <f>'Optimal Choice'!$B$12*'Optimal Choice'!$B$13^(J458+1)</f>
        <v>3255238.3849420287</v>
      </c>
      <c r="Q458" s="10">
        <f>'Optimal Choice'!$B$17*'Optimal Choice'!$B$18^(K458+1)</f>
        <v>15209018.844606072</v>
      </c>
      <c r="R458" s="10">
        <f>'Optimal Choice'!$B$22*'Optimal Choice'!$B$23^(L458+1)</f>
        <v>57300930.345197223</v>
      </c>
      <c r="S458" s="10">
        <f>'Optimal Choice'!$B$27*'Optimal Choice'!$B$28^(M458+1)</f>
        <v>362570629.64871895</v>
      </c>
    </row>
    <row r="459" spans="1:19" ht="15.75" customHeight="1">
      <c r="A459" s="8">
        <f t="shared" si="0"/>
        <v>380.63908651841137</v>
      </c>
      <c r="B459" s="7">
        <f>(I459*'Optimal Choice'!$B$6+J459*'Optimal Choice'!$B$11+K459*'Optimal Choice'!$B$16+L459*'Optimal Choice'!$B$21+M459*'Optimal Choice'!$B$26)*'Optimal Choice'!$B$30</f>
        <v>187483.88</v>
      </c>
      <c r="C459" s="8">
        <f>(O459/$B459)+(O459/'Optimal Choice'!$B$6)</f>
        <v>168915.96813305528</v>
      </c>
      <c r="D459" s="8">
        <f>(P459/$B459)+(P459/'Optimal Choice'!$B$11)</f>
        <v>162779.2820112225</v>
      </c>
      <c r="E459" s="8">
        <f>(Q459/$B459)+(Q459/'Optimal Choice'!$B$16)</f>
        <v>169070.22001487855</v>
      </c>
      <c r="F459" s="8">
        <f>(R459/$B459)+(R459/'Optimal Choice'!$B$21)</f>
        <v>159474.88219685853</v>
      </c>
      <c r="G459" s="8">
        <f>(S459/$B459)+(S459/'Optimal Choice'!$B$26)</f>
        <v>169790.64927210181</v>
      </c>
      <c r="I459" s="11">
        <f t="shared" ref="I459:M459" si="457">IF(MIN($C458:$G458)=C458,I458+1,I458)</f>
        <v>164</v>
      </c>
      <c r="J459" s="11">
        <f t="shared" si="457"/>
        <v>77</v>
      </c>
      <c r="K459" s="11">
        <f t="shared" si="457"/>
        <v>75</v>
      </c>
      <c r="L459" s="11">
        <f t="shared" si="457"/>
        <v>71</v>
      </c>
      <c r="M459" s="11">
        <f t="shared" si="457"/>
        <v>71</v>
      </c>
      <c r="O459" s="10">
        <f>'Optimal Choice'!$B$7*'Optimal Choice'!$B$8^(I459+1)</f>
        <v>282087.15410992689</v>
      </c>
      <c r="P459" s="10">
        <f>'Optimal Choice'!$B$12*'Optimal Choice'!$B$13^(J459+1)</f>
        <v>3255238.3849420287</v>
      </c>
      <c r="Q459" s="10">
        <f>'Optimal Choice'!$B$17*'Optimal Choice'!$B$18^(K459+1)</f>
        <v>15209018.844606072</v>
      </c>
      <c r="R459" s="10">
        <f>'Optimal Choice'!$B$22*'Optimal Choice'!$B$23^(L459+1)</f>
        <v>57300930.345197223</v>
      </c>
      <c r="S459" s="10">
        <f>'Optimal Choice'!$B$27*'Optimal Choice'!$B$28^(M459+1)</f>
        <v>362570629.64871895</v>
      </c>
    </row>
    <row r="460" spans="1:19" ht="15.75" customHeight="1">
      <c r="A460" s="8">
        <f t="shared" si="0"/>
        <v>385.73294048470058</v>
      </c>
      <c r="B460" s="7">
        <f>(I460*'Optimal Choice'!$B$6+J460*'Optimal Choice'!$B$11+K460*'Optimal Choice'!$B$16+L460*'Optimal Choice'!$B$21+M460*'Optimal Choice'!$B$26)*'Optimal Choice'!$B$30</f>
        <v>187843.88</v>
      </c>
      <c r="C460" s="8">
        <f>(O460/$B460)+(O460/'Optimal Choice'!$B$6)</f>
        <v>168915.96524952294</v>
      </c>
      <c r="D460" s="8">
        <f>(P460/$B460)+(P460/'Optimal Choice'!$B$11)</f>
        <v>162779.24873574352</v>
      </c>
      <c r="E460" s="8">
        <f>(Q460/$B460)+(Q460/'Optimal Choice'!$B$16)</f>
        <v>169070.06454626849</v>
      </c>
      <c r="F460" s="8">
        <f>(R460/$B460)+(R460/'Optimal Choice'!$B$21)</f>
        <v>180205.95499882844</v>
      </c>
      <c r="G460" s="8">
        <f>(S460/$B460)+(S460/'Optimal Choice'!$B$26)</f>
        <v>169786.94302698396</v>
      </c>
      <c r="I460" s="11">
        <f t="shared" ref="I460:M460" si="458">IF(MIN($C459:$G459)=C459,I459+1,I459)</f>
        <v>164</v>
      </c>
      <c r="J460" s="11">
        <f t="shared" si="458"/>
        <v>77</v>
      </c>
      <c r="K460" s="11">
        <f t="shared" si="458"/>
        <v>75</v>
      </c>
      <c r="L460" s="11">
        <f t="shared" si="458"/>
        <v>72</v>
      </c>
      <c r="M460" s="11">
        <f t="shared" si="458"/>
        <v>71</v>
      </c>
      <c r="O460" s="10">
        <f>'Optimal Choice'!$B$7*'Optimal Choice'!$B$8^(I460+1)</f>
        <v>282087.15410992689</v>
      </c>
      <c r="P460" s="10">
        <f>'Optimal Choice'!$B$12*'Optimal Choice'!$B$13^(J460+1)</f>
        <v>3255238.3849420287</v>
      </c>
      <c r="Q460" s="10">
        <f>'Optimal Choice'!$B$17*'Optimal Choice'!$B$18^(K460+1)</f>
        <v>15209018.844606072</v>
      </c>
      <c r="R460" s="10">
        <f>'Optimal Choice'!$B$22*'Optimal Choice'!$B$23^(L460+1)</f>
        <v>64750051.290072866</v>
      </c>
      <c r="S460" s="10">
        <f>'Optimal Choice'!$B$27*'Optimal Choice'!$B$28^(M460+1)</f>
        <v>362570629.64871895</v>
      </c>
    </row>
    <row r="461" spans="1:19" ht="15.75" customHeight="1">
      <c r="A461" s="8">
        <f t="shared" si="0"/>
        <v>386.02176529540174</v>
      </c>
      <c r="B461" s="7">
        <f>(I461*'Optimal Choice'!$B$6+J461*'Optimal Choice'!$B$11+K461*'Optimal Choice'!$B$16+L461*'Optimal Choice'!$B$21+M461*'Optimal Choice'!$B$26)*'Optimal Choice'!$B$30</f>
        <v>187863.88</v>
      </c>
      <c r="C461" s="8">
        <f>(O461/$B461)+(O461/'Optimal Choice'!$B$6)</f>
        <v>168915.96508965074</v>
      </c>
      <c r="D461" s="8">
        <f>(P461/$B461)+(P461/'Optimal Choice'!$B$11)</f>
        <v>187196.1339244718</v>
      </c>
      <c r="E461" s="8">
        <f>(Q461/$B461)+(Q461/'Optimal Choice'!$B$16)</f>
        <v>169070.05592659418</v>
      </c>
      <c r="F461" s="8">
        <f>(R461/$B461)+(R461/'Optimal Choice'!$B$21)</f>
        <v>180205.91830189497</v>
      </c>
      <c r="G461" s="8">
        <f>(S461/$B461)+(S461/'Optimal Choice'!$B$26)</f>
        <v>169786.73754096488</v>
      </c>
      <c r="I461" s="11">
        <f t="shared" ref="I461:M461" si="459">IF(MIN($C460:$G460)=C460,I460+1,I460)</f>
        <v>164</v>
      </c>
      <c r="J461" s="11">
        <f t="shared" si="459"/>
        <v>78</v>
      </c>
      <c r="K461" s="11">
        <f t="shared" si="459"/>
        <v>75</v>
      </c>
      <c r="L461" s="11">
        <f t="shared" si="459"/>
        <v>72</v>
      </c>
      <c r="M461" s="11">
        <f t="shared" si="459"/>
        <v>71</v>
      </c>
      <c r="O461" s="10">
        <f>'Optimal Choice'!$B$7*'Optimal Choice'!$B$8^(I461+1)</f>
        <v>282087.15410992689</v>
      </c>
      <c r="P461" s="10">
        <f>'Optimal Choice'!$B$12*'Optimal Choice'!$B$13^(J461+1)</f>
        <v>3743524.1426833319</v>
      </c>
      <c r="Q461" s="10">
        <f>'Optimal Choice'!$B$17*'Optimal Choice'!$B$18^(K461+1)</f>
        <v>15209018.844606072</v>
      </c>
      <c r="R461" s="10">
        <f>'Optimal Choice'!$B$22*'Optimal Choice'!$B$23^(L461+1)</f>
        <v>64750051.290072866</v>
      </c>
      <c r="S461" s="10">
        <f>'Optimal Choice'!$B$27*'Optimal Choice'!$B$28^(M461+1)</f>
        <v>362570629.64871895</v>
      </c>
    </row>
    <row r="462" spans="1:19" ht="15.75" customHeight="1">
      <c r="A462" s="8">
        <f t="shared" si="0"/>
        <v>386.04679114160751</v>
      </c>
      <c r="B462" s="7">
        <f>(I462*'Optimal Choice'!$B$6+J462*'Optimal Choice'!$B$11+K462*'Optimal Choice'!$B$16+L462*'Optimal Choice'!$B$21+M462*'Optimal Choice'!$B$26)*'Optimal Choice'!$B$30</f>
        <v>187865.55</v>
      </c>
      <c r="C462" s="8">
        <f>(O462/$B462)+(O462/'Optimal Choice'!$B$6)</f>
        <v>180740.08263164418</v>
      </c>
      <c r="D462" s="8">
        <f>(P462/$B462)+(P462/'Optimal Choice'!$B$11)</f>
        <v>187196.13374733587</v>
      </c>
      <c r="E462" s="8">
        <f>(Q462/$B462)+(Q462/'Optimal Choice'!$B$16)</f>
        <v>169070.05520693443</v>
      </c>
      <c r="F462" s="8">
        <f>(R462/$B462)+(R462/'Optimal Choice'!$B$21)</f>
        <v>180205.91523805447</v>
      </c>
      <c r="G462" s="8">
        <f>(S462/$B462)+(S462/'Optimal Choice'!$B$26)</f>
        <v>169786.72038486146</v>
      </c>
      <c r="I462" s="11">
        <f t="shared" ref="I462:M462" si="460">IF(MIN($C461:$G461)=C461,I461+1,I461)</f>
        <v>165</v>
      </c>
      <c r="J462" s="11">
        <f t="shared" si="460"/>
        <v>78</v>
      </c>
      <c r="K462" s="11">
        <f t="shared" si="460"/>
        <v>75</v>
      </c>
      <c r="L462" s="11">
        <f t="shared" si="460"/>
        <v>72</v>
      </c>
      <c r="M462" s="11">
        <f t="shared" si="460"/>
        <v>71</v>
      </c>
      <c r="O462" s="10">
        <f>'Optimal Choice'!$B$7*'Optimal Choice'!$B$8^(I462+1)</f>
        <v>301833.25489762181</v>
      </c>
      <c r="P462" s="10">
        <f>'Optimal Choice'!$B$12*'Optimal Choice'!$B$13^(J462+1)</f>
        <v>3743524.1426833319</v>
      </c>
      <c r="Q462" s="10">
        <f>'Optimal Choice'!$B$17*'Optimal Choice'!$B$18^(K462+1)</f>
        <v>15209018.844606072</v>
      </c>
      <c r="R462" s="10">
        <f>'Optimal Choice'!$B$22*'Optimal Choice'!$B$23^(L462+1)</f>
        <v>64750051.290072866</v>
      </c>
      <c r="S462" s="10">
        <f>'Optimal Choice'!$B$27*'Optimal Choice'!$B$28^(M462+1)</f>
        <v>362570629.64871895</v>
      </c>
    </row>
    <row r="463" spans="1:19" ht="15.75" customHeight="1">
      <c r="A463" s="8">
        <f t="shared" si="0"/>
        <v>387.39607336716779</v>
      </c>
      <c r="B463" s="7">
        <f>(I463*'Optimal Choice'!$B$6+J463*'Optimal Choice'!$B$11+K463*'Optimal Choice'!$B$16+L463*'Optimal Choice'!$B$21+M463*'Optimal Choice'!$B$26)*'Optimal Choice'!$B$30</f>
        <v>187955.55</v>
      </c>
      <c r="C463" s="8">
        <f>(O463/$B463)+(O463/'Optimal Choice'!$B$6)</f>
        <v>180740.08186232368</v>
      </c>
      <c r="D463" s="8">
        <f>(P463/$B463)+(P463/'Optimal Choice'!$B$11)</f>
        <v>187196.12420574381</v>
      </c>
      <c r="E463" s="8">
        <f>(Q463/$B463)+(Q463/'Optimal Choice'!$B$16)</f>
        <v>192739.81874364076</v>
      </c>
      <c r="F463" s="8">
        <f>(R463/$B463)+(R463/'Optimal Choice'!$B$21)</f>
        <v>180205.75020143329</v>
      </c>
      <c r="G463" s="8">
        <f>(S463/$B463)+(S463/'Optimal Choice'!$B$26)</f>
        <v>169785.79625537476</v>
      </c>
      <c r="I463" s="11">
        <f t="shared" ref="I463:M463" si="461">IF(MIN($C462:$G462)=C462,I462+1,I462)</f>
        <v>165</v>
      </c>
      <c r="J463" s="11">
        <f t="shared" si="461"/>
        <v>78</v>
      </c>
      <c r="K463" s="11">
        <f t="shared" si="461"/>
        <v>76</v>
      </c>
      <c r="L463" s="11">
        <f t="shared" si="461"/>
        <v>72</v>
      </c>
      <c r="M463" s="11">
        <f t="shared" si="461"/>
        <v>71</v>
      </c>
      <c r="O463" s="10">
        <f>'Optimal Choice'!$B$7*'Optimal Choice'!$B$8^(I463+1)</f>
        <v>301833.25489762181</v>
      </c>
      <c r="P463" s="10">
        <f>'Optimal Choice'!$B$12*'Optimal Choice'!$B$13^(J463+1)</f>
        <v>3743524.1426833319</v>
      </c>
      <c r="Q463" s="10">
        <f>'Optimal Choice'!$B$17*'Optimal Choice'!$B$18^(K463+1)</f>
        <v>17338281.482850924</v>
      </c>
      <c r="R463" s="10">
        <f>'Optimal Choice'!$B$22*'Optimal Choice'!$B$23^(L463+1)</f>
        <v>64750051.290072866</v>
      </c>
      <c r="S463" s="10">
        <f>'Optimal Choice'!$B$27*'Optimal Choice'!$B$28^(M463+1)</f>
        <v>362570629.64871895</v>
      </c>
    </row>
    <row r="464" spans="1:19" ht="15.75" customHeight="1">
      <c r="A464" s="8">
        <f t="shared" si="0"/>
        <v>419.54646119811321</v>
      </c>
      <c r="B464" s="7">
        <f>(I464*'Optimal Choice'!$B$6+J464*'Optimal Choice'!$B$11+K464*'Optimal Choice'!$B$16+L464*'Optimal Choice'!$B$21+M464*'Optimal Choice'!$B$26)*'Optimal Choice'!$B$30</f>
        <v>190115.55</v>
      </c>
      <c r="C464" s="8">
        <f>(O464/$B464)+(O464/'Optimal Choice'!$B$6)</f>
        <v>180740.06361714826</v>
      </c>
      <c r="D464" s="8">
        <f>(P464/$B464)+(P464/'Optimal Choice'!$B$11)</f>
        <v>187195.89791770684</v>
      </c>
      <c r="E464" s="8">
        <f>(Q464/$B464)+(Q464/'Optimal Choice'!$B$16)</f>
        <v>192738.77068156566</v>
      </c>
      <c r="F464" s="8">
        <f>(R464/$B464)+(R464/'Optimal Choice'!$B$21)</f>
        <v>180201.83619916119</v>
      </c>
      <c r="G464" s="8">
        <f>(S464/$B464)+(S464/'Optimal Choice'!$B$26)</f>
        <v>190135.54519163474</v>
      </c>
      <c r="I464" s="11">
        <f t="shared" ref="I464:M464" si="462">IF(MIN($C463:$G463)=C463,I463+1,I463)</f>
        <v>165</v>
      </c>
      <c r="J464" s="11">
        <f t="shared" si="462"/>
        <v>78</v>
      </c>
      <c r="K464" s="11">
        <f t="shared" si="462"/>
        <v>76</v>
      </c>
      <c r="L464" s="11">
        <f t="shared" si="462"/>
        <v>72</v>
      </c>
      <c r="M464" s="11">
        <f t="shared" si="462"/>
        <v>72</v>
      </c>
      <c r="O464" s="10">
        <f>'Optimal Choice'!$B$7*'Optimal Choice'!$B$8^(I464+1)</f>
        <v>301833.25489762181</v>
      </c>
      <c r="P464" s="10">
        <f>'Optimal Choice'!$B$12*'Optimal Choice'!$B$13^(J464+1)</f>
        <v>3743524.1426833319</v>
      </c>
      <c r="Q464" s="10">
        <f>'Optimal Choice'!$B$17*'Optimal Choice'!$B$18^(K464+1)</f>
        <v>17338281.482850924</v>
      </c>
      <c r="R464" s="10">
        <f>'Optimal Choice'!$B$22*'Optimal Choice'!$B$23^(L464+1)</f>
        <v>64750051.290072866</v>
      </c>
      <c r="S464" s="10">
        <f>'Optimal Choice'!$B$27*'Optimal Choice'!$B$28^(M464+1)</f>
        <v>406079105.2065652</v>
      </c>
    </row>
    <row r="465" spans="1:19" ht="15.75" customHeight="1">
      <c r="A465" s="8">
        <f t="shared" si="0"/>
        <v>425.22283812520419</v>
      </c>
      <c r="B465" s="7">
        <f>(I465*'Optimal Choice'!$B$6+J465*'Optimal Choice'!$B$11+K465*'Optimal Choice'!$B$16+L465*'Optimal Choice'!$B$21+M465*'Optimal Choice'!$B$26)*'Optimal Choice'!$B$30</f>
        <v>190475.55</v>
      </c>
      <c r="C465" s="8">
        <f>(O465/$B465)+(O465/'Optimal Choice'!$B$6)</f>
        <v>180740.06061651642</v>
      </c>
      <c r="D465" s="8">
        <f>(P465/$B465)+(P465/'Optimal Choice'!$B$11)</f>
        <v>187195.86070200079</v>
      </c>
      <c r="E465" s="8">
        <f>(Q465/$B465)+(Q465/'Optimal Choice'!$B$16)</f>
        <v>192738.59831553779</v>
      </c>
      <c r="F465" s="8">
        <f>(R465/$B465)+(R465/'Optimal Choice'!$B$21)</f>
        <v>203627.3475203141</v>
      </c>
      <c r="G465" s="8">
        <f>(S465/$B465)+(S465/'Optimal Choice'!$B$26)</f>
        <v>190131.50821470396</v>
      </c>
      <c r="I465" s="11">
        <f t="shared" ref="I465:M465" si="463">IF(MIN($C464:$G464)=C464,I464+1,I464)</f>
        <v>165</v>
      </c>
      <c r="J465" s="11">
        <f t="shared" si="463"/>
        <v>78</v>
      </c>
      <c r="K465" s="11">
        <f t="shared" si="463"/>
        <v>76</v>
      </c>
      <c r="L465" s="11">
        <f t="shared" si="463"/>
        <v>73</v>
      </c>
      <c r="M465" s="11">
        <f t="shared" si="463"/>
        <v>72</v>
      </c>
      <c r="O465" s="10">
        <f>'Optimal Choice'!$B$7*'Optimal Choice'!$B$8^(I465+1)</f>
        <v>301833.25489762181</v>
      </c>
      <c r="P465" s="10">
        <f>'Optimal Choice'!$B$12*'Optimal Choice'!$B$13^(J465+1)</f>
        <v>3743524.1426833319</v>
      </c>
      <c r="Q465" s="10">
        <f>'Optimal Choice'!$B$17*'Optimal Choice'!$B$18^(K465+1)</f>
        <v>17338281.482850924</v>
      </c>
      <c r="R465" s="10">
        <f>'Optimal Choice'!$B$22*'Optimal Choice'!$B$23^(L465+1)</f>
        <v>73167557.957782328</v>
      </c>
      <c r="S465" s="10">
        <f>'Optimal Choice'!$B$27*'Optimal Choice'!$B$28^(M465+1)</f>
        <v>406079105.2065652</v>
      </c>
    </row>
    <row r="466" spans="1:19" ht="15.75" customHeight="1">
      <c r="A466" s="8">
        <f t="shared" si="0"/>
        <v>425.24924862381306</v>
      </c>
      <c r="B466" s="7">
        <f>(I466*'Optimal Choice'!$B$6+J466*'Optimal Choice'!$B$11+K466*'Optimal Choice'!$B$16+L466*'Optimal Choice'!$B$21+M466*'Optimal Choice'!$B$26)*'Optimal Choice'!$B$30</f>
        <v>190477.22</v>
      </c>
      <c r="C466" s="8">
        <f>(O466/$B466)+(O466/'Optimal Choice'!$B$6)</f>
        <v>193391.8648448069</v>
      </c>
      <c r="D466" s="8">
        <f>(P466/$B466)+(P466/'Optimal Choice'!$B$11)</f>
        <v>187195.86052968906</v>
      </c>
      <c r="E466" s="8">
        <f>(Q466/$B466)+(Q466/'Optimal Choice'!$B$16)</f>
        <v>192738.59751746917</v>
      </c>
      <c r="F466" s="8">
        <f>(R466/$B466)+(R466/'Optimal Choice'!$B$21)</f>
        <v>203627.34415246401</v>
      </c>
      <c r="G466" s="8">
        <f>(S466/$B466)+(S466/'Optimal Choice'!$B$26)</f>
        <v>190131.48952317474</v>
      </c>
      <c r="I466" s="11">
        <f t="shared" ref="I466:M466" si="464">IF(MIN($C465:$G465)=C465,I465+1,I465)</f>
        <v>166</v>
      </c>
      <c r="J466" s="11">
        <f t="shared" si="464"/>
        <v>78</v>
      </c>
      <c r="K466" s="11">
        <f t="shared" si="464"/>
        <v>76</v>
      </c>
      <c r="L466" s="11">
        <f t="shared" si="464"/>
        <v>73</v>
      </c>
      <c r="M466" s="11">
        <f t="shared" si="464"/>
        <v>72</v>
      </c>
      <c r="O466" s="10">
        <f>'Optimal Choice'!$B$7*'Optimal Choice'!$B$8^(I466+1)</f>
        <v>322961.58274045534</v>
      </c>
      <c r="P466" s="10">
        <f>'Optimal Choice'!$B$12*'Optimal Choice'!$B$13^(J466+1)</f>
        <v>3743524.1426833319</v>
      </c>
      <c r="Q466" s="10">
        <f>'Optimal Choice'!$B$17*'Optimal Choice'!$B$18^(K466+1)</f>
        <v>17338281.482850924</v>
      </c>
      <c r="R466" s="10">
        <f>'Optimal Choice'!$B$22*'Optimal Choice'!$B$23^(L466+1)</f>
        <v>73167557.957782328</v>
      </c>
      <c r="S466" s="10">
        <f>'Optimal Choice'!$B$27*'Optimal Choice'!$B$28^(M466+1)</f>
        <v>406079105.2065652</v>
      </c>
    </row>
    <row r="467" spans="1:19" ht="15.75" customHeight="1">
      <c r="A467" s="8">
        <f t="shared" si="0"/>
        <v>425.57680521585445</v>
      </c>
      <c r="B467" s="7">
        <f>(I467*'Optimal Choice'!$B$6+J467*'Optimal Choice'!$B$11+K467*'Optimal Choice'!$B$16+L467*'Optimal Choice'!$B$21+M467*'Optimal Choice'!$B$26)*'Optimal Choice'!$B$30</f>
        <v>190497.22</v>
      </c>
      <c r="C467" s="8">
        <f>(O467/$B467)+(O467/'Optimal Choice'!$B$6)</f>
        <v>193391.86466679495</v>
      </c>
      <c r="D467" s="8">
        <f>(P467/$B467)+(P467/'Optimal Choice'!$B$11)</f>
        <v>215275.23723625689</v>
      </c>
      <c r="E467" s="8">
        <f>(Q467/$B467)+(Q467/'Optimal Choice'!$B$16)</f>
        <v>192738.58796084826</v>
      </c>
      <c r="F467" s="8">
        <f>(R467/$B467)+(R467/'Optimal Choice'!$B$21)</f>
        <v>203627.30382351822</v>
      </c>
      <c r="G467" s="8">
        <f>(S467/$B467)+(S467/'Optimal Choice'!$B$26)</f>
        <v>190131.26569798932</v>
      </c>
      <c r="I467" s="11">
        <f t="shared" ref="I467:M467" si="465">IF(MIN($C466:$G466)=C466,I466+1,I466)</f>
        <v>166</v>
      </c>
      <c r="J467" s="11">
        <f t="shared" si="465"/>
        <v>79</v>
      </c>
      <c r="K467" s="11">
        <f t="shared" si="465"/>
        <v>76</v>
      </c>
      <c r="L467" s="11">
        <f t="shared" si="465"/>
        <v>73</v>
      </c>
      <c r="M467" s="11">
        <f t="shared" si="465"/>
        <v>72</v>
      </c>
      <c r="O467" s="10">
        <f>'Optimal Choice'!$B$7*'Optimal Choice'!$B$8^(I467+1)</f>
        <v>322961.58274045534</v>
      </c>
      <c r="P467" s="10">
        <f>'Optimal Choice'!$B$12*'Optimal Choice'!$B$13^(J467+1)</f>
        <v>4305052.7640858311</v>
      </c>
      <c r="Q467" s="10">
        <f>'Optimal Choice'!$B$17*'Optimal Choice'!$B$18^(K467+1)</f>
        <v>17338281.482850924</v>
      </c>
      <c r="R467" s="10">
        <f>'Optimal Choice'!$B$22*'Optimal Choice'!$B$23^(L467+1)</f>
        <v>73167557.957782328</v>
      </c>
      <c r="S467" s="10">
        <f>'Optimal Choice'!$B$27*'Optimal Choice'!$B$28^(M467+1)</f>
        <v>406079105.2065652</v>
      </c>
    </row>
    <row r="468" spans="1:19" ht="15.75" customHeight="1">
      <c r="A468" s="8">
        <f t="shared" si="0"/>
        <v>461.10480445267319</v>
      </c>
      <c r="B468" s="7">
        <f>(I468*'Optimal Choice'!$B$6+J468*'Optimal Choice'!$B$11+K468*'Optimal Choice'!$B$16+L468*'Optimal Choice'!$B$21+M468*'Optimal Choice'!$B$26)*'Optimal Choice'!$B$30</f>
        <v>192657.22</v>
      </c>
      <c r="C468" s="8">
        <f>(O468/$B468)+(O468/'Optimal Choice'!$B$6)</f>
        <v>193391.84565904611</v>
      </c>
      <c r="D468" s="8">
        <f>(P468/$B468)+(P468/'Optimal Choice'!$B$11)</f>
        <v>215274.98386444425</v>
      </c>
      <c r="E468" s="8">
        <f>(Q468/$B468)+(Q468/'Optimal Choice'!$B$16)</f>
        <v>192737.56752461955</v>
      </c>
      <c r="F468" s="8">
        <f>(R468/$B468)+(R468/'Optimal Choice'!$B$21)</f>
        <v>203622.99758203863</v>
      </c>
      <c r="G468" s="8">
        <f>(S468/$B468)+(S468/'Optimal Choice'!$B$26)</f>
        <v>212920.25004017746</v>
      </c>
      <c r="I468" s="11">
        <f t="shared" ref="I468:M468" si="466">IF(MIN($C467:$G467)=C467,I467+1,I467)</f>
        <v>166</v>
      </c>
      <c r="J468" s="11">
        <f t="shared" si="466"/>
        <v>79</v>
      </c>
      <c r="K468" s="11">
        <f t="shared" si="466"/>
        <v>76</v>
      </c>
      <c r="L468" s="11">
        <f t="shared" si="466"/>
        <v>73</v>
      </c>
      <c r="M468" s="11">
        <f t="shared" si="466"/>
        <v>73</v>
      </c>
      <c r="O468" s="10">
        <f>'Optimal Choice'!$B$7*'Optimal Choice'!$B$8^(I468+1)</f>
        <v>322961.58274045534</v>
      </c>
      <c r="P468" s="10">
        <f>'Optimal Choice'!$B$12*'Optimal Choice'!$B$13^(J468+1)</f>
        <v>4305052.7640858311</v>
      </c>
      <c r="Q468" s="10">
        <f>'Optimal Choice'!$B$17*'Optimal Choice'!$B$18^(K468+1)</f>
        <v>17338281.482850924</v>
      </c>
      <c r="R468" s="10">
        <f>'Optimal Choice'!$B$22*'Optimal Choice'!$B$23^(L468+1)</f>
        <v>73167557.957782328</v>
      </c>
      <c r="S468" s="10">
        <f>'Optimal Choice'!$B$27*'Optimal Choice'!$B$28^(M468+1)</f>
        <v>454808597.83135307</v>
      </c>
    </row>
    <row r="469" spans="1:19" ht="15.75" customHeight="1">
      <c r="A469" s="8">
        <f t="shared" si="0"/>
        <v>462.60472933504985</v>
      </c>
      <c r="B469" s="7">
        <f>(I469*'Optimal Choice'!$B$6+J469*'Optimal Choice'!$B$11+K469*'Optimal Choice'!$B$16+L469*'Optimal Choice'!$B$21+M469*'Optimal Choice'!$B$26)*'Optimal Choice'!$B$30</f>
        <v>192747.22</v>
      </c>
      <c r="C469" s="8">
        <f>(O469/$B469)+(O469/'Optimal Choice'!$B$6)</f>
        <v>193391.84487630174</v>
      </c>
      <c r="D469" s="8">
        <f>(P469/$B469)+(P469/'Optimal Choice'!$B$11)</f>
        <v>215274.97343052248</v>
      </c>
      <c r="E469" s="8">
        <f>(Q469/$B469)+(Q469/'Optimal Choice'!$B$16)</f>
        <v>219720.77907315962</v>
      </c>
      <c r="F469" s="8">
        <f>(R469/$B469)+(R469/'Optimal Choice'!$B$21)</f>
        <v>203622.82024981594</v>
      </c>
      <c r="G469" s="8">
        <f>(S469/$B469)+(S469/'Optimal Choice'!$B$26)</f>
        <v>212919.14774536542</v>
      </c>
      <c r="I469" s="11">
        <f t="shared" ref="I469:M469" si="467">IF(MIN($C468:$G468)=C468,I468+1,I468)</f>
        <v>166</v>
      </c>
      <c r="J469" s="11">
        <f t="shared" si="467"/>
        <v>79</v>
      </c>
      <c r="K469" s="11">
        <f t="shared" si="467"/>
        <v>77</v>
      </c>
      <c r="L469" s="11">
        <f t="shared" si="467"/>
        <v>73</v>
      </c>
      <c r="M469" s="11">
        <f t="shared" si="467"/>
        <v>73</v>
      </c>
      <c r="O469" s="10">
        <f>'Optimal Choice'!$B$7*'Optimal Choice'!$B$8^(I469+1)</f>
        <v>322961.58274045534</v>
      </c>
      <c r="P469" s="10">
        <f>'Optimal Choice'!$B$12*'Optimal Choice'!$B$13^(J469+1)</f>
        <v>4305052.7640858311</v>
      </c>
      <c r="Q469" s="10">
        <f>'Optimal Choice'!$B$17*'Optimal Choice'!$B$18^(K469+1)</f>
        <v>19765640.890450049</v>
      </c>
      <c r="R469" s="10">
        <f>'Optimal Choice'!$B$22*'Optimal Choice'!$B$23^(L469+1)</f>
        <v>73167557.957782328</v>
      </c>
      <c r="S469" s="10">
        <f>'Optimal Choice'!$B$27*'Optimal Choice'!$B$28^(M469+1)</f>
        <v>454808597.83135307</v>
      </c>
    </row>
    <row r="470" spans="1:19" ht="15.75" customHeight="1">
      <c r="A470" s="8">
        <f t="shared" si="0"/>
        <v>462.63265551238032</v>
      </c>
      <c r="B470" s="7">
        <f>(I470*'Optimal Choice'!$B$6+J470*'Optimal Choice'!$B$11+K470*'Optimal Choice'!$B$16+L470*'Optimal Choice'!$B$21+M470*'Optimal Choice'!$B$26)*'Optimal Choice'!$B$30</f>
        <v>192748.89</v>
      </c>
      <c r="C470" s="8">
        <f>(O470/$B470)+(O470/'Optimal Choice'!$B$6)</f>
        <v>206929.27400210925</v>
      </c>
      <c r="D470" s="8">
        <f>(P470/$B470)+(P470/'Optimal Choice'!$B$11)</f>
        <v>215274.97323700736</v>
      </c>
      <c r="E470" s="8">
        <f>(Q470/$B470)+(Q470/'Optimal Choice'!$B$16)</f>
        <v>219720.77818468021</v>
      </c>
      <c r="F470" s="8">
        <f>(R470/$B470)+(R470/'Optimal Choice'!$B$21)</f>
        <v>203622.81696088298</v>
      </c>
      <c r="G470" s="8">
        <f>(S470/$B470)+(S470/'Optimal Choice'!$B$26)</f>
        <v>212919.12730140041</v>
      </c>
      <c r="I470" s="11">
        <f t="shared" ref="I470:M470" si="468">IF(MIN($C469:$G469)=C469,I469+1,I469)</f>
        <v>167</v>
      </c>
      <c r="J470" s="11">
        <f t="shared" si="468"/>
        <v>79</v>
      </c>
      <c r="K470" s="11">
        <f t="shared" si="468"/>
        <v>77</v>
      </c>
      <c r="L470" s="11">
        <f t="shared" si="468"/>
        <v>73</v>
      </c>
      <c r="M470" s="11">
        <f t="shared" si="468"/>
        <v>73</v>
      </c>
      <c r="O470" s="10">
        <f>'Optimal Choice'!$B$7*'Optimal Choice'!$B$8^(I470+1)</f>
        <v>345568.89353228715</v>
      </c>
      <c r="P470" s="10">
        <f>'Optimal Choice'!$B$12*'Optimal Choice'!$B$13^(J470+1)</f>
        <v>4305052.7640858311</v>
      </c>
      <c r="Q470" s="10">
        <f>'Optimal Choice'!$B$17*'Optimal Choice'!$B$18^(K470+1)</f>
        <v>19765640.890450049</v>
      </c>
      <c r="R470" s="10">
        <f>'Optimal Choice'!$B$22*'Optimal Choice'!$B$23^(L470+1)</f>
        <v>73167557.957782328</v>
      </c>
      <c r="S470" s="10">
        <f>'Optimal Choice'!$B$27*'Optimal Choice'!$B$28^(M470+1)</f>
        <v>454808597.83135307</v>
      </c>
    </row>
    <row r="471" spans="1:19" ht="15.75" customHeight="1">
      <c r="A471" s="8">
        <f t="shared" si="0"/>
        <v>468.95932903717403</v>
      </c>
      <c r="B471" s="7">
        <f>(I471*'Optimal Choice'!$B$6+J471*'Optimal Choice'!$B$11+K471*'Optimal Choice'!$B$16+L471*'Optimal Choice'!$B$21+M471*'Optimal Choice'!$B$26)*'Optimal Choice'!$B$30</f>
        <v>193108.89</v>
      </c>
      <c r="C471" s="8">
        <f>(O471/$B471)+(O471/'Optimal Choice'!$B$6)</f>
        <v>206929.27065982801</v>
      </c>
      <c r="D471" s="8">
        <f>(P471/$B471)+(P471/'Optimal Choice'!$B$11)</f>
        <v>215274.93159929832</v>
      </c>
      <c r="E471" s="8">
        <f>(Q471/$B471)+(Q471/'Optimal Choice'!$B$16)</f>
        <v>219720.58701489677</v>
      </c>
      <c r="F471" s="8">
        <f>(R471/$B471)+(R471/'Optimal Choice'!$B$21)</f>
        <v>230092.98350583701</v>
      </c>
      <c r="G471" s="8">
        <f>(S471/$B471)+(S471/'Optimal Choice'!$B$26)</f>
        <v>212914.72847306781</v>
      </c>
      <c r="I471" s="11">
        <f t="shared" ref="I471:M471" si="469">IF(MIN($C470:$G470)=C470,I470+1,I470)</f>
        <v>167</v>
      </c>
      <c r="J471" s="11">
        <f t="shared" si="469"/>
        <v>79</v>
      </c>
      <c r="K471" s="11">
        <f t="shared" si="469"/>
        <v>77</v>
      </c>
      <c r="L471" s="11">
        <f t="shared" si="469"/>
        <v>74</v>
      </c>
      <c r="M471" s="11">
        <f t="shared" si="469"/>
        <v>73</v>
      </c>
      <c r="O471" s="10">
        <f>'Optimal Choice'!$B$7*'Optimal Choice'!$B$8^(I471+1)</f>
        <v>345568.89353228715</v>
      </c>
      <c r="P471" s="10">
        <f>'Optimal Choice'!$B$12*'Optimal Choice'!$B$13^(J471+1)</f>
        <v>4305052.7640858311</v>
      </c>
      <c r="Q471" s="10">
        <f>'Optimal Choice'!$B$17*'Optimal Choice'!$B$18^(K471+1)</f>
        <v>19765640.890450049</v>
      </c>
      <c r="R471" s="10">
        <f>'Optimal Choice'!$B$22*'Optimal Choice'!$B$23^(L471+1)</f>
        <v>82679340.492294014</v>
      </c>
      <c r="S471" s="10">
        <f>'Optimal Choice'!$B$27*'Optimal Choice'!$B$28^(M471+1)</f>
        <v>454808597.83135307</v>
      </c>
    </row>
    <row r="472" spans="1:19" ht="15.75" customHeight="1">
      <c r="A472" s="8">
        <f t="shared" si="0"/>
        <v>468.98915408333772</v>
      </c>
      <c r="B472" s="7">
        <f>(I472*'Optimal Choice'!$B$6+J472*'Optimal Choice'!$B$11+K472*'Optimal Choice'!$B$16+L472*'Optimal Choice'!$B$21+M472*'Optimal Choice'!$B$26)*'Optimal Choice'!$B$30</f>
        <v>193110.56</v>
      </c>
      <c r="C472" s="8">
        <f>(O472/$B472)+(O472/'Optimal Choice'!$B$6)</f>
        <v>221414.31958945727</v>
      </c>
      <c r="D472" s="8">
        <f>(P472/$B472)+(P472/'Optimal Choice'!$B$11)</f>
        <v>215274.93140650736</v>
      </c>
      <c r="E472" s="8">
        <f>(Q472/$B472)+(Q472/'Optimal Choice'!$B$16)</f>
        <v>219720.58612974227</v>
      </c>
      <c r="F472" s="8">
        <f>(R472/$B472)+(R472/'Optimal Choice'!$B$21)</f>
        <v>230092.97980325075</v>
      </c>
      <c r="G472" s="8">
        <f>(S472/$B472)+(S472/'Optimal Choice'!$B$26)</f>
        <v>212914.708105609</v>
      </c>
      <c r="I472" s="11">
        <f t="shared" ref="I472:M472" si="470">IF(MIN($C471:$G471)=C471,I471+1,I471)</f>
        <v>168</v>
      </c>
      <c r="J472" s="11">
        <f t="shared" si="470"/>
        <v>79</v>
      </c>
      <c r="K472" s="11">
        <f t="shared" si="470"/>
        <v>77</v>
      </c>
      <c r="L472" s="11">
        <f t="shared" si="470"/>
        <v>74</v>
      </c>
      <c r="M472" s="11">
        <f t="shared" si="470"/>
        <v>73</v>
      </c>
      <c r="O472" s="10">
        <f>'Optimal Choice'!$B$7*'Optimal Choice'!$B$8^(I472+1)</f>
        <v>369758.7160795473</v>
      </c>
      <c r="P472" s="10">
        <f>'Optimal Choice'!$B$12*'Optimal Choice'!$B$13^(J472+1)</f>
        <v>4305052.7640858311</v>
      </c>
      <c r="Q472" s="10">
        <f>'Optimal Choice'!$B$17*'Optimal Choice'!$B$18^(K472+1)</f>
        <v>19765640.890450049</v>
      </c>
      <c r="R472" s="10">
        <f>'Optimal Choice'!$B$22*'Optimal Choice'!$B$23^(L472+1)</f>
        <v>82679340.492294014</v>
      </c>
      <c r="S472" s="10">
        <f>'Optimal Choice'!$B$27*'Optimal Choice'!$B$28^(M472+1)</f>
        <v>454808597.83135307</v>
      </c>
    </row>
    <row r="473" spans="1:19" ht="15.75" customHeight="1">
      <c r="A473" s="8">
        <f t="shared" si="0"/>
        <v>508.24202195959066</v>
      </c>
      <c r="B473" s="7">
        <f>(I473*'Optimal Choice'!$B$6+J473*'Optimal Choice'!$B$11+K473*'Optimal Choice'!$B$16+L473*'Optimal Choice'!$B$21+M473*'Optimal Choice'!$B$26)*'Optimal Choice'!$B$30</f>
        <v>195270.56</v>
      </c>
      <c r="C473" s="8">
        <f>(O473/$B473)+(O473/'Optimal Choice'!$B$6)</f>
        <v>221414.29840929047</v>
      </c>
      <c r="D473" s="8">
        <f>(P473/$B473)+(P473/'Optimal Choice'!$B$11)</f>
        <v>215274.68480857273</v>
      </c>
      <c r="E473" s="8">
        <f>(Q473/$B473)+(Q473/'Optimal Choice'!$B$16)</f>
        <v>219719.45393311497</v>
      </c>
      <c r="F473" s="8">
        <f>(R473/$B473)+(R473/'Optimal Choice'!$B$21)</f>
        <v>230088.24384396811</v>
      </c>
      <c r="G473" s="8">
        <f>(S473/$B473)+(S473/'Optimal Choice'!$B$26)</f>
        <v>238435.29493551463</v>
      </c>
      <c r="I473" s="11">
        <f t="shared" ref="I473:M473" si="471">IF(MIN($C472:$G472)=C472,I472+1,I472)</f>
        <v>168</v>
      </c>
      <c r="J473" s="11">
        <f t="shared" si="471"/>
        <v>79</v>
      </c>
      <c r="K473" s="11">
        <f t="shared" si="471"/>
        <v>77</v>
      </c>
      <c r="L473" s="11">
        <f t="shared" si="471"/>
        <v>74</v>
      </c>
      <c r="M473" s="11">
        <f t="shared" si="471"/>
        <v>74</v>
      </c>
      <c r="O473" s="10">
        <f>'Optimal Choice'!$B$7*'Optimal Choice'!$B$8^(I473+1)</f>
        <v>369758.7160795473</v>
      </c>
      <c r="P473" s="10">
        <f>'Optimal Choice'!$B$12*'Optimal Choice'!$B$13^(J473+1)</f>
        <v>4305052.7640858311</v>
      </c>
      <c r="Q473" s="10">
        <f>'Optimal Choice'!$B$17*'Optimal Choice'!$B$18^(K473+1)</f>
        <v>19765640.890450049</v>
      </c>
      <c r="R473" s="10">
        <f>'Optimal Choice'!$B$22*'Optimal Choice'!$B$23^(L473+1)</f>
        <v>82679340.492294014</v>
      </c>
      <c r="S473" s="10">
        <f>'Optimal Choice'!$B$27*'Optimal Choice'!$B$28^(M473+1)</f>
        <v>509385629.57111555</v>
      </c>
    </row>
    <row r="474" spans="1:19" ht="15.75" customHeight="1">
      <c r="A474" s="8">
        <f t="shared" si="0"/>
        <v>508.60946536427713</v>
      </c>
      <c r="B474" s="7">
        <f>(I474*'Optimal Choice'!$B$6+J474*'Optimal Choice'!$B$11+K474*'Optimal Choice'!$B$16+L474*'Optimal Choice'!$B$21+M474*'Optimal Choice'!$B$26)*'Optimal Choice'!$B$30</f>
        <v>195290.56</v>
      </c>
      <c r="C474" s="8">
        <f>(O474/$B474)+(O474/'Optimal Choice'!$B$6)</f>
        <v>221414.29821536699</v>
      </c>
      <c r="D474" s="8">
        <f>(P474/$B474)+(P474/'Optimal Choice'!$B$11)</f>
        <v>247565.88493335882</v>
      </c>
      <c r="E474" s="8">
        <f>(Q474/$B474)+(Q474/'Optimal Choice'!$B$16)</f>
        <v>219719.44356683642</v>
      </c>
      <c r="F474" s="8">
        <f>(R474/$B474)+(R474/'Optimal Choice'!$B$21)</f>
        <v>230088.20048200089</v>
      </c>
      <c r="G474" s="8">
        <f>(S474/$B474)+(S474/'Optimal Choice'!$B$26)</f>
        <v>238435.02778337183</v>
      </c>
      <c r="I474" s="11">
        <f t="shared" ref="I474:M474" si="472">IF(MIN($C473:$G473)=C473,I473+1,I473)</f>
        <v>168</v>
      </c>
      <c r="J474" s="11">
        <f t="shared" si="472"/>
        <v>80</v>
      </c>
      <c r="K474" s="11">
        <f t="shared" si="472"/>
        <v>77</v>
      </c>
      <c r="L474" s="11">
        <f t="shared" si="472"/>
        <v>74</v>
      </c>
      <c r="M474" s="11">
        <f t="shared" si="472"/>
        <v>74</v>
      </c>
      <c r="O474" s="10">
        <f>'Optimal Choice'!$B$7*'Optimal Choice'!$B$8^(I474+1)</f>
        <v>369758.7160795473</v>
      </c>
      <c r="P474" s="10">
        <f>'Optimal Choice'!$B$12*'Optimal Choice'!$B$13^(J474+1)</f>
        <v>4950810.6786987046</v>
      </c>
      <c r="Q474" s="10">
        <f>'Optimal Choice'!$B$17*'Optimal Choice'!$B$18^(K474+1)</f>
        <v>19765640.890450049</v>
      </c>
      <c r="R474" s="10">
        <f>'Optimal Choice'!$B$22*'Optimal Choice'!$B$23^(L474+1)</f>
        <v>82679340.492294014</v>
      </c>
      <c r="S474" s="10">
        <f>'Optimal Choice'!$B$27*'Optimal Choice'!$B$28^(M474+1)</f>
        <v>509385629.57111555</v>
      </c>
    </row>
    <row r="475" spans="1:19" ht="15.75" customHeight="1">
      <c r="A475" s="8">
        <f t="shared" si="0"/>
        <v>510.29632287635638</v>
      </c>
      <c r="B475" s="7">
        <f>(I475*'Optimal Choice'!$B$6+J475*'Optimal Choice'!$B$11+K475*'Optimal Choice'!$B$16+L475*'Optimal Choice'!$B$21+M475*'Optimal Choice'!$B$26)*'Optimal Choice'!$B$30</f>
        <v>195380.56</v>
      </c>
      <c r="C475" s="8">
        <f>(O475/$B475)+(O475/'Optimal Choice'!$B$6)</f>
        <v>221414.29734320263</v>
      </c>
      <c r="D475" s="8">
        <f>(P475/$B475)+(P475/'Optimal Choice'!$B$11)</f>
        <v>247565.87325568803</v>
      </c>
      <c r="E475" s="8">
        <f>(Q475/$B475)+(Q475/'Optimal Choice'!$B$16)</f>
        <v>250480.11251712457</v>
      </c>
      <c r="F475" s="8">
        <f>(R475/$B475)+(R475/'Optimal Choice'!$B$21)</f>
        <v>230088.00546300664</v>
      </c>
      <c r="G475" s="8">
        <f>(S475/$B475)+(S475/'Optimal Choice'!$B$26)</f>
        <v>238433.82627556383</v>
      </c>
      <c r="I475" s="11">
        <f t="shared" ref="I475:M475" si="473">IF(MIN($C474:$G474)=C474,I474+1,I474)</f>
        <v>168</v>
      </c>
      <c r="J475" s="11">
        <f t="shared" si="473"/>
        <v>80</v>
      </c>
      <c r="K475" s="11">
        <f t="shared" si="473"/>
        <v>78</v>
      </c>
      <c r="L475" s="11">
        <f t="shared" si="473"/>
        <v>74</v>
      </c>
      <c r="M475" s="11">
        <f t="shared" si="473"/>
        <v>74</v>
      </c>
      <c r="O475" s="10">
        <f>'Optimal Choice'!$B$7*'Optimal Choice'!$B$8^(I475+1)</f>
        <v>369758.7160795473</v>
      </c>
      <c r="P475" s="10">
        <f>'Optimal Choice'!$B$12*'Optimal Choice'!$B$13^(J475+1)</f>
        <v>4950810.6786987046</v>
      </c>
      <c r="Q475" s="10">
        <f>'Optimal Choice'!$B$17*'Optimal Choice'!$B$18^(K475+1)</f>
        <v>22532830.615113053</v>
      </c>
      <c r="R475" s="10">
        <f>'Optimal Choice'!$B$22*'Optimal Choice'!$B$23^(L475+1)</f>
        <v>82679340.492294014</v>
      </c>
      <c r="S475" s="10">
        <f>'Optimal Choice'!$B$27*'Optimal Choice'!$B$28^(M475+1)</f>
        <v>509385629.57111555</v>
      </c>
    </row>
    <row r="476" spans="1:19" ht="15.75" customHeight="1">
      <c r="A476" s="8">
        <f t="shared" si="0"/>
        <v>510.3278646288623</v>
      </c>
      <c r="B476" s="7">
        <f>(I476*'Optimal Choice'!$B$6+J476*'Optimal Choice'!$B$11+K476*'Optimal Choice'!$B$16+L476*'Optimal Choice'!$B$21+M476*'Optimal Choice'!$B$26)*'Optimal Choice'!$B$30</f>
        <v>195382.22999999998</v>
      </c>
      <c r="C476" s="8">
        <f>(O476/$B476)+(O476/'Optimal Choice'!$B$6)</f>
        <v>236913.2981399186</v>
      </c>
      <c r="D476" s="8">
        <f>(P476/$B476)+(P476/'Optimal Choice'!$B$11)</f>
        <v>247565.87303910402</v>
      </c>
      <c r="E476" s="8">
        <f>(Q476/$B476)+(Q476/'Optimal Choice'!$B$16)</f>
        <v>250480.11153137678</v>
      </c>
      <c r="F476" s="8">
        <f>(R476/$B476)+(R476/'Optimal Choice'!$B$21)</f>
        <v>230088.00184601868</v>
      </c>
      <c r="G476" s="8">
        <f>(S476/$B476)+(S476/'Optimal Choice'!$B$26)</f>
        <v>238433.80399137919</v>
      </c>
      <c r="I476" s="11">
        <f t="shared" ref="I476:M476" si="474">IF(MIN($C475:$G475)=C475,I475+1,I475)</f>
        <v>169</v>
      </c>
      <c r="J476" s="11">
        <f t="shared" si="474"/>
        <v>80</v>
      </c>
      <c r="K476" s="11">
        <f t="shared" si="474"/>
        <v>78</v>
      </c>
      <c r="L476" s="11">
        <f t="shared" si="474"/>
        <v>74</v>
      </c>
      <c r="M476" s="11">
        <f t="shared" si="474"/>
        <v>74</v>
      </c>
      <c r="O476" s="10">
        <f>'Optimal Choice'!$B$7*'Optimal Choice'!$B$8^(I476+1)</f>
        <v>395641.82620511559</v>
      </c>
      <c r="P476" s="10">
        <f>'Optimal Choice'!$B$12*'Optimal Choice'!$B$13^(J476+1)</f>
        <v>4950810.6786987046</v>
      </c>
      <c r="Q476" s="10">
        <f>'Optimal Choice'!$B$17*'Optimal Choice'!$B$18^(K476+1)</f>
        <v>22532830.615113053</v>
      </c>
      <c r="R476" s="10">
        <f>'Optimal Choice'!$B$22*'Optimal Choice'!$B$23^(L476+1)</f>
        <v>82679340.492294014</v>
      </c>
      <c r="S476" s="10">
        <f>'Optimal Choice'!$B$27*'Optimal Choice'!$B$28^(M476+1)</f>
        <v>509385629.57111555</v>
      </c>
    </row>
    <row r="477" spans="1:19" ht="15.75" customHeight="1">
      <c r="A477" s="8">
        <f t="shared" si="0"/>
        <v>517.3806503822284</v>
      </c>
      <c r="B477" s="7">
        <f>(I477*'Optimal Choice'!$B$6+J477*'Optimal Choice'!$B$11+K477*'Optimal Choice'!$B$16+L477*'Optimal Choice'!$B$21+M477*'Optimal Choice'!$B$26)*'Optimal Choice'!$B$30</f>
        <v>195742.22999999998</v>
      </c>
      <c r="C477" s="8">
        <f>(O477/$B477)+(O477/'Optimal Choice'!$B$6)</f>
        <v>236913.29441570051</v>
      </c>
      <c r="D477" s="8">
        <f>(P477/$B477)+(P477/'Optimal Choice'!$B$11)</f>
        <v>247565.82643660286</v>
      </c>
      <c r="E477" s="8">
        <f>(Q477/$B477)+(Q477/'Optimal Choice'!$B$16)</f>
        <v>250479.89942747442</v>
      </c>
      <c r="F477" s="8">
        <f>(R477/$B477)+(R477/'Optimal Choice'!$B$21)</f>
        <v>259998.56264166924</v>
      </c>
      <c r="G477" s="8">
        <f>(S477/$B477)+(S477/'Optimal Choice'!$B$26)</f>
        <v>238429.00909092068</v>
      </c>
      <c r="I477" s="11">
        <f t="shared" ref="I477:M477" si="475">IF(MIN($C476:$G476)=C476,I476+1,I476)</f>
        <v>169</v>
      </c>
      <c r="J477" s="11">
        <f t="shared" si="475"/>
        <v>80</v>
      </c>
      <c r="K477" s="11">
        <f t="shared" si="475"/>
        <v>78</v>
      </c>
      <c r="L477" s="11">
        <f t="shared" si="475"/>
        <v>75</v>
      </c>
      <c r="M477" s="11">
        <f t="shared" si="475"/>
        <v>74</v>
      </c>
      <c r="O477" s="10">
        <f>'Optimal Choice'!$B$7*'Optimal Choice'!$B$8^(I477+1)</f>
        <v>395641.82620511559</v>
      </c>
      <c r="P477" s="10">
        <f>'Optimal Choice'!$B$12*'Optimal Choice'!$B$13^(J477+1)</f>
        <v>4950810.6786987046</v>
      </c>
      <c r="Q477" s="10">
        <f>'Optimal Choice'!$B$17*'Optimal Choice'!$B$18^(K477+1)</f>
        <v>22532830.615113053</v>
      </c>
      <c r="R477" s="10">
        <f>'Optimal Choice'!$B$22*'Optimal Choice'!$B$23^(L477+1)</f>
        <v>93427654.756292209</v>
      </c>
      <c r="S477" s="10">
        <f>'Optimal Choice'!$B$27*'Optimal Choice'!$B$28^(M477+1)</f>
        <v>509385629.57111555</v>
      </c>
    </row>
    <row r="478" spans="1:19" ht="15.75" customHeight="1">
      <c r="A478" s="8">
        <f t="shared" si="0"/>
        <v>517.41433769863806</v>
      </c>
      <c r="B478" s="7">
        <f>(I478*'Optimal Choice'!$B$6+J478*'Optimal Choice'!$B$11+K478*'Optimal Choice'!$B$16+L478*'Optimal Choice'!$B$21+M478*'Optimal Choice'!$B$26)*'Optimal Choice'!$B$30</f>
        <v>195743.9</v>
      </c>
      <c r="C478" s="8">
        <f>(O478/$B478)+(O478/'Optimal Choice'!$B$6)</f>
        <v>253497.22500634816</v>
      </c>
      <c r="D478" s="8">
        <f>(P478/$B478)+(P478/'Optimal Choice'!$B$11)</f>
        <v>247565.82622081845</v>
      </c>
      <c r="E478" s="8">
        <f>(Q478/$B478)+(Q478/'Optimal Choice'!$B$16)</f>
        <v>250479.89844536595</v>
      </c>
      <c r="F478" s="8">
        <f>(R478/$B478)+(R478/'Optimal Choice'!$B$21)</f>
        <v>259998.55856956253</v>
      </c>
      <c r="G478" s="8">
        <f>(S478/$B478)+(S478/'Optimal Choice'!$B$26)</f>
        <v>238428.98688900797</v>
      </c>
      <c r="I478" s="11">
        <f t="shared" ref="I478:M478" si="476">IF(MIN($C477:$G477)=C477,I477+1,I477)</f>
        <v>170</v>
      </c>
      <c r="J478" s="11">
        <f t="shared" si="476"/>
        <v>80</v>
      </c>
      <c r="K478" s="11">
        <f t="shared" si="476"/>
        <v>78</v>
      </c>
      <c r="L478" s="11">
        <f t="shared" si="476"/>
        <v>75</v>
      </c>
      <c r="M478" s="11">
        <f t="shared" si="476"/>
        <v>74</v>
      </c>
      <c r="O478" s="10">
        <f>'Optimal Choice'!$B$7*'Optimal Choice'!$B$8^(I478+1)</f>
        <v>423336.75403947372</v>
      </c>
      <c r="P478" s="10">
        <f>'Optimal Choice'!$B$12*'Optimal Choice'!$B$13^(J478+1)</f>
        <v>4950810.6786987046</v>
      </c>
      <c r="Q478" s="10">
        <f>'Optimal Choice'!$B$17*'Optimal Choice'!$B$18^(K478+1)</f>
        <v>22532830.615113053</v>
      </c>
      <c r="R478" s="10">
        <f>'Optimal Choice'!$B$22*'Optimal Choice'!$B$23^(L478+1)</f>
        <v>93427654.756292209</v>
      </c>
      <c r="S478" s="10">
        <f>'Optimal Choice'!$B$27*'Optimal Choice'!$B$28^(M478+1)</f>
        <v>509385629.57111555</v>
      </c>
    </row>
    <row r="479" spans="1:19" ht="15.75" customHeight="1">
      <c r="A479" s="8">
        <f t="shared" si="0"/>
        <v>560.7861132321384</v>
      </c>
      <c r="B479" s="7">
        <f>(I479*'Optimal Choice'!$B$6+J479*'Optimal Choice'!$B$11+K479*'Optimal Choice'!$B$16+L479*'Optimal Choice'!$B$21+M479*'Optimal Choice'!$B$26)*'Optimal Choice'!$B$30</f>
        <v>197903.9</v>
      </c>
      <c r="C479" s="8">
        <f>(O479/$B479)+(O479/'Optimal Choice'!$B$6)</f>
        <v>253497.20140172145</v>
      </c>
      <c r="D479" s="8">
        <f>(P479/$B479)+(P479/'Optimal Choice'!$B$11)</f>
        <v>247565.5501709907</v>
      </c>
      <c r="E479" s="8">
        <f>(Q479/$B479)+(Q479/'Optimal Choice'!$B$16)</f>
        <v>250478.6420483001</v>
      </c>
      <c r="F479" s="8">
        <f>(R479/$B479)+(R479/'Optimal Choice'!$B$21)</f>
        <v>259993.34918272123</v>
      </c>
      <c r="G479" s="8">
        <f>(S479/$B479)+(S479/'Optimal Choice'!$B$26)</f>
        <v>267008.6544218043</v>
      </c>
      <c r="I479" s="11">
        <f t="shared" ref="I479:M479" si="477">IF(MIN($C478:$G478)=C478,I478+1,I478)</f>
        <v>170</v>
      </c>
      <c r="J479" s="11">
        <f t="shared" si="477"/>
        <v>80</v>
      </c>
      <c r="K479" s="11">
        <f t="shared" si="477"/>
        <v>78</v>
      </c>
      <c r="L479" s="11">
        <f t="shared" si="477"/>
        <v>75</v>
      </c>
      <c r="M479" s="11">
        <f t="shared" si="477"/>
        <v>75</v>
      </c>
      <c r="O479" s="10">
        <f>'Optimal Choice'!$B$7*'Optimal Choice'!$B$8^(I479+1)</f>
        <v>423336.75403947372</v>
      </c>
      <c r="P479" s="10">
        <f>'Optimal Choice'!$B$12*'Optimal Choice'!$B$13^(J479+1)</f>
        <v>4950810.6786987046</v>
      </c>
      <c r="Q479" s="10">
        <f>'Optimal Choice'!$B$17*'Optimal Choice'!$B$18^(K479+1)</f>
        <v>22532830.615113053</v>
      </c>
      <c r="R479" s="10">
        <f>'Optimal Choice'!$B$22*'Optimal Choice'!$B$23^(L479+1)</f>
        <v>93427654.756292209</v>
      </c>
      <c r="S479" s="10">
        <f>'Optimal Choice'!$B$27*'Optimal Choice'!$B$28^(M479+1)</f>
        <v>570511905.11964929</v>
      </c>
    </row>
    <row r="480" spans="1:19" ht="15.75" customHeight="1">
      <c r="A480" s="8">
        <f t="shared" si="0"/>
        <v>561.20305049972967</v>
      </c>
      <c r="B480" s="7">
        <f>(I480*'Optimal Choice'!$B$6+J480*'Optimal Choice'!$B$11+K480*'Optimal Choice'!$B$16+L480*'Optimal Choice'!$B$21+M480*'Optimal Choice'!$B$26)*'Optimal Choice'!$B$30</f>
        <v>197923.9</v>
      </c>
      <c r="C480" s="8">
        <f>(O480/$B480)+(O480/'Optimal Choice'!$B$6)</f>
        <v>253497.20118556739</v>
      </c>
      <c r="D480" s="8">
        <f>(P480/$B480)+(P480/'Optimal Choice'!$B$11)</f>
        <v>284700.37978959555</v>
      </c>
      <c r="E480" s="8">
        <f>(Q480/$B480)+(Q480/'Optimal Choice'!$B$16)</f>
        <v>250478.63054312707</v>
      </c>
      <c r="F480" s="8">
        <f>(R480/$B480)+(R480/'Optimal Choice'!$B$21)</f>
        <v>259993.301478935</v>
      </c>
      <c r="G480" s="8">
        <f>(S480/$B480)+(S480/'Optimal Choice'!$B$26)</f>
        <v>267008.36312071112</v>
      </c>
      <c r="I480" s="11">
        <f t="shared" ref="I480:M480" si="478">IF(MIN($C479:$G479)=C479,I479+1,I479)</f>
        <v>170</v>
      </c>
      <c r="J480" s="11">
        <f t="shared" si="478"/>
        <v>81</v>
      </c>
      <c r="K480" s="11">
        <f t="shared" si="478"/>
        <v>78</v>
      </c>
      <c r="L480" s="11">
        <f t="shared" si="478"/>
        <v>75</v>
      </c>
      <c r="M480" s="11">
        <f t="shared" si="478"/>
        <v>75</v>
      </c>
      <c r="O480" s="10">
        <f>'Optimal Choice'!$B$7*'Optimal Choice'!$B$8^(I480+1)</f>
        <v>423336.75403947372</v>
      </c>
      <c r="P480" s="10">
        <f>'Optimal Choice'!$B$12*'Optimal Choice'!$B$13^(J480+1)</f>
        <v>5693432.2805035096</v>
      </c>
      <c r="Q480" s="10">
        <f>'Optimal Choice'!$B$17*'Optimal Choice'!$B$18^(K480+1)</f>
        <v>22532830.615113053</v>
      </c>
      <c r="R480" s="10">
        <f>'Optimal Choice'!$B$22*'Optimal Choice'!$B$23^(L480+1)</f>
        <v>93427654.756292209</v>
      </c>
      <c r="S480" s="10">
        <f>'Optimal Choice'!$B$27*'Optimal Choice'!$B$28^(M480+1)</f>
        <v>570511905.11964929</v>
      </c>
    </row>
    <row r="481" spans="1:19" ht="15.75" customHeight="1">
      <c r="A481" s="8">
        <f t="shared" si="0"/>
        <v>563.10048267905995</v>
      </c>
      <c r="B481" s="7">
        <f>(I481*'Optimal Choice'!$B$6+J481*'Optimal Choice'!$B$11+K481*'Optimal Choice'!$B$16+L481*'Optimal Choice'!$B$21+M481*'Optimal Choice'!$B$26)*'Optimal Choice'!$B$30</f>
        <v>198013.9</v>
      </c>
      <c r="C481" s="8">
        <f>(O481/$B481)+(O481/'Optimal Choice'!$B$6)</f>
        <v>253497.2002134145</v>
      </c>
      <c r="D481" s="8">
        <f>(P481/$B481)+(P481/'Optimal Choice'!$B$11)</f>
        <v>284700.3667151659</v>
      </c>
      <c r="E481" s="8">
        <f>(Q481/$B481)+(Q481/'Optimal Choice'!$B$16)</f>
        <v>285545.57983041467</v>
      </c>
      <c r="F481" s="8">
        <f>(R481/$B481)+(R481/'Optimal Choice'!$B$21)</f>
        <v>259993.08693114802</v>
      </c>
      <c r="G481" s="8">
        <f>(S481/$B481)+(S481/'Optimal Choice'!$B$26)</f>
        <v>267007.05299399333</v>
      </c>
      <c r="I481" s="11">
        <f t="shared" ref="I481:M481" si="479">IF(MIN($C480:$G480)=C480,I480+1,I480)</f>
        <v>170</v>
      </c>
      <c r="J481" s="11">
        <f t="shared" si="479"/>
        <v>81</v>
      </c>
      <c r="K481" s="11">
        <f t="shared" si="479"/>
        <v>79</v>
      </c>
      <c r="L481" s="11">
        <f t="shared" si="479"/>
        <v>75</v>
      </c>
      <c r="M481" s="11">
        <f t="shared" si="479"/>
        <v>75</v>
      </c>
      <c r="O481" s="10">
        <f>'Optimal Choice'!$B$7*'Optimal Choice'!$B$8^(I481+1)</f>
        <v>423336.75403947372</v>
      </c>
      <c r="P481" s="10">
        <f>'Optimal Choice'!$B$12*'Optimal Choice'!$B$13^(J481+1)</f>
        <v>5693432.2805035096</v>
      </c>
      <c r="Q481" s="10">
        <f>'Optimal Choice'!$B$17*'Optimal Choice'!$B$18^(K481+1)</f>
        <v>25687426.90122889</v>
      </c>
      <c r="R481" s="10">
        <f>'Optimal Choice'!$B$22*'Optimal Choice'!$B$23^(L481+1)</f>
        <v>93427654.756292209</v>
      </c>
      <c r="S481" s="10">
        <f>'Optimal Choice'!$B$27*'Optimal Choice'!$B$28^(M481+1)</f>
        <v>570511905.11964929</v>
      </c>
    </row>
    <row r="482" spans="1:19" ht="15.75" customHeight="1">
      <c r="A482" s="8">
        <f t="shared" si="0"/>
        <v>563.13611458453386</v>
      </c>
      <c r="B482" s="7">
        <f>(I482*'Optimal Choice'!$B$6+J482*'Optimal Choice'!$B$11+K482*'Optimal Choice'!$B$16+L482*'Optimal Choice'!$B$21+M482*'Optimal Choice'!$B$26)*'Optimal Choice'!$B$30</f>
        <v>198015.57</v>
      </c>
      <c r="C482" s="8">
        <f>(O482/$B482)+(O482/'Optimal Choice'!$B$6)</f>
        <v>271242.00420906086</v>
      </c>
      <c r="D482" s="8">
        <f>(P482/$B482)+(P482/'Optimal Choice'!$B$11)</f>
        <v>284700.36647267494</v>
      </c>
      <c r="E482" s="8">
        <f>(Q482/$B482)+(Q482/'Optimal Choice'!$B$16)</f>
        <v>285545.57873635239</v>
      </c>
      <c r="F482" s="8">
        <f>(R482/$B482)+(R482/'Optimal Choice'!$B$21)</f>
        <v>259993.08295193766</v>
      </c>
      <c r="G482" s="8">
        <f>(S482/$B482)+(S482/'Optimal Choice'!$B$26)</f>
        <v>267007.0286951185</v>
      </c>
      <c r="I482" s="11">
        <f t="shared" ref="I482:M482" si="480">IF(MIN($C481:$G481)=C481,I481+1,I481)</f>
        <v>171</v>
      </c>
      <c r="J482" s="11">
        <f t="shared" si="480"/>
        <v>81</v>
      </c>
      <c r="K482" s="11">
        <f t="shared" si="480"/>
        <v>79</v>
      </c>
      <c r="L482" s="11">
        <f t="shared" si="480"/>
        <v>75</v>
      </c>
      <c r="M482" s="11">
        <f t="shared" si="480"/>
        <v>75</v>
      </c>
      <c r="O482" s="10">
        <f>'Optimal Choice'!$B$7*'Optimal Choice'!$B$8^(I482+1)</f>
        <v>452970.32682223682</v>
      </c>
      <c r="P482" s="10">
        <f>'Optimal Choice'!$B$12*'Optimal Choice'!$B$13^(J482+1)</f>
        <v>5693432.2805035096</v>
      </c>
      <c r="Q482" s="10">
        <f>'Optimal Choice'!$B$17*'Optimal Choice'!$B$18^(K482+1)</f>
        <v>25687426.90122889</v>
      </c>
      <c r="R482" s="10">
        <f>'Optimal Choice'!$B$22*'Optimal Choice'!$B$23^(L482+1)</f>
        <v>93427654.756292209</v>
      </c>
      <c r="S482" s="10">
        <f>'Optimal Choice'!$B$27*'Optimal Choice'!$B$28^(M482+1)</f>
        <v>570511905.11964929</v>
      </c>
    </row>
    <row r="483" spans="1:19" ht="15.75" customHeight="1">
      <c r="A483" s="8">
        <f t="shared" si="0"/>
        <v>570.99977691811466</v>
      </c>
      <c r="B483" s="7">
        <f>(I483*'Optimal Choice'!$B$6+J483*'Optimal Choice'!$B$11+K483*'Optimal Choice'!$B$16+L483*'Optimal Choice'!$B$21+M483*'Optimal Choice'!$B$26)*'Optimal Choice'!$B$30</f>
        <v>198375.57</v>
      </c>
      <c r="C483" s="8">
        <f>(O483/$B483)+(O483/'Optimal Choice'!$B$6)</f>
        <v>271242.00005775504</v>
      </c>
      <c r="D483" s="8">
        <f>(P483/$B483)+(P483/'Optimal Choice'!$B$11)</f>
        <v>284700.31429447024</v>
      </c>
      <c r="E483" s="8">
        <f>(Q483/$B483)+(Q483/'Optimal Choice'!$B$16)</f>
        <v>285545.3433205692</v>
      </c>
      <c r="F483" s="8">
        <f>(R483/$B483)+(R483/'Optimal Choice'!$B$21)</f>
        <v>293791.21619583457</v>
      </c>
      <c r="G483" s="8">
        <f>(S483/$B483)+(S483/'Optimal Choice'!$B$26)</f>
        <v>267001.80016415421</v>
      </c>
      <c r="I483" s="11">
        <f t="shared" ref="I483:M483" si="481">IF(MIN($C482:$G482)=C482,I482+1,I482)</f>
        <v>171</v>
      </c>
      <c r="J483" s="11">
        <f t="shared" si="481"/>
        <v>81</v>
      </c>
      <c r="K483" s="11">
        <f t="shared" si="481"/>
        <v>79</v>
      </c>
      <c r="L483" s="11">
        <f t="shared" si="481"/>
        <v>76</v>
      </c>
      <c r="M483" s="11">
        <f t="shared" si="481"/>
        <v>75</v>
      </c>
      <c r="O483" s="10">
        <f>'Optimal Choice'!$B$7*'Optimal Choice'!$B$8^(I483+1)</f>
        <v>452970.32682223682</v>
      </c>
      <c r="P483" s="10">
        <f>'Optimal Choice'!$B$12*'Optimal Choice'!$B$13^(J483+1)</f>
        <v>5693432.2805035096</v>
      </c>
      <c r="Q483" s="10">
        <f>'Optimal Choice'!$B$17*'Optimal Choice'!$B$18^(K483+1)</f>
        <v>25687426.90122889</v>
      </c>
      <c r="R483" s="10">
        <f>'Optimal Choice'!$B$22*'Optimal Choice'!$B$23^(L483+1)</f>
        <v>105573249.87461022</v>
      </c>
      <c r="S483" s="10">
        <f>'Optimal Choice'!$B$27*'Optimal Choice'!$B$28^(M483+1)</f>
        <v>570511905.11964929</v>
      </c>
    </row>
    <row r="484" spans="1:19" ht="15.75" customHeight="1">
      <c r="A484" s="8">
        <f t="shared" si="0"/>
        <v>618.93174632339048</v>
      </c>
      <c r="B484" s="7">
        <f>(I484*'Optimal Choice'!$B$6+J484*'Optimal Choice'!$B$11+K484*'Optimal Choice'!$B$16+L484*'Optimal Choice'!$B$21+M484*'Optimal Choice'!$B$26)*'Optimal Choice'!$B$30</f>
        <v>200535.57</v>
      </c>
      <c r="C484" s="8">
        <f>(O484/$B484)+(O484/'Optimal Choice'!$B$6)</f>
        <v>271241.97546292079</v>
      </c>
      <c r="D484" s="8">
        <f>(P484/$B484)+(P484/'Optimal Choice'!$B$11)</f>
        <v>284700.00515937922</v>
      </c>
      <c r="E484" s="8">
        <f>(Q484/$B484)+(Q484/'Optimal Choice'!$B$16)</f>
        <v>285543.94857577188</v>
      </c>
      <c r="F484" s="8">
        <f>(R484/$B484)+(R484/'Optimal Choice'!$B$21)</f>
        <v>293785.48390736658</v>
      </c>
      <c r="G484" s="8">
        <f>(S484/$B484)+(S484/'Optimal Choice'!$B$26)</f>
        <v>299007.32198360132</v>
      </c>
      <c r="I484" s="11">
        <f t="shared" ref="I484:M484" si="482">IF(MIN($C483:$G483)=C483,I483+1,I483)</f>
        <v>171</v>
      </c>
      <c r="J484" s="11">
        <f t="shared" si="482"/>
        <v>81</v>
      </c>
      <c r="K484" s="11">
        <f t="shared" si="482"/>
        <v>79</v>
      </c>
      <c r="L484" s="11">
        <f t="shared" si="482"/>
        <v>76</v>
      </c>
      <c r="M484" s="11">
        <f t="shared" si="482"/>
        <v>76</v>
      </c>
      <c r="O484" s="10">
        <f>'Optimal Choice'!$B$7*'Optimal Choice'!$B$8^(I484+1)</f>
        <v>452970.32682223682</v>
      </c>
      <c r="P484" s="10">
        <f>'Optimal Choice'!$B$12*'Optimal Choice'!$B$13^(J484+1)</f>
        <v>5693432.2805035096</v>
      </c>
      <c r="Q484" s="10">
        <f>'Optimal Choice'!$B$17*'Optimal Choice'!$B$18^(K484+1)</f>
        <v>25687426.90122889</v>
      </c>
      <c r="R484" s="10">
        <f>'Optimal Choice'!$B$22*'Optimal Choice'!$B$23^(L484+1)</f>
        <v>105573249.87461022</v>
      </c>
      <c r="S484" s="10">
        <f>'Optimal Choice'!$B$27*'Optimal Choice'!$B$28^(M484+1)</f>
        <v>638973333.73400736</v>
      </c>
    </row>
    <row r="485" spans="1:19" ht="15.75" customHeight="1">
      <c r="A485" s="8">
        <f t="shared" si="0"/>
        <v>618.96939303836996</v>
      </c>
      <c r="B485" s="7">
        <f>(I485*'Optimal Choice'!$B$6+J485*'Optimal Choice'!$B$11+K485*'Optimal Choice'!$B$16+L485*'Optimal Choice'!$B$21+M485*'Optimal Choice'!$B$26)*'Optimal Choice'!$B$30</f>
        <v>200537.24</v>
      </c>
      <c r="C485" s="8">
        <f>(O485/$B485)+(O485/'Optimal Choice'!$B$6)</f>
        <v>290228.91372519807</v>
      </c>
      <c r="D485" s="8">
        <f>(P485/$B485)+(P485/'Optimal Choice'!$B$11)</f>
        <v>284700.00492294837</v>
      </c>
      <c r="E485" s="8">
        <f>(Q485/$B485)+(Q485/'Optimal Choice'!$B$16)</f>
        <v>285543.94750905142</v>
      </c>
      <c r="F485" s="8">
        <f>(R485/$B485)+(R485/'Optimal Choice'!$B$21)</f>
        <v>293785.47952323162</v>
      </c>
      <c r="G485" s="8">
        <f>(S485/$B485)+(S485/'Optimal Choice'!$B$26)</f>
        <v>299007.2954489885</v>
      </c>
      <c r="I485" s="11">
        <f t="shared" ref="I485:M485" si="483">IF(MIN($C484:$G484)=C484,I484+1,I484)</f>
        <v>172</v>
      </c>
      <c r="J485" s="11">
        <f t="shared" si="483"/>
        <v>81</v>
      </c>
      <c r="K485" s="11">
        <f t="shared" si="483"/>
        <v>79</v>
      </c>
      <c r="L485" s="11">
        <f t="shared" si="483"/>
        <v>76</v>
      </c>
      <c r="M485" s="11">
        <f t="shared" si="483"/>
        <v>76</v>
      </c>
      <c r="O485" s="10">
        <f>'Optimal Choice'!$B$7*'Optimal Choice'!$B$8^(I485+1)</f>
        <v>484678.24969979341</v>
      </c>
      <c r="P485" s="10">
        <f>'Optimal Choice'!$B$12*'Optimal Choice'!$B$13^(J485+1)</f>
        <v>5693432.2805035096</v>
      </c>
      <c r="Q485" s="10">
        <f>'Optimal Choice'!$B$17*'Optimal Choice'!$B$18^(K485+1)</f>
        <v>25687426.90122889</v>
      </c>
      <c r="R485" s="10">
        <f>'Optimal Choice'!$B$22*'Optimal Choice'!$B$23^(L485+1)</f>
        <v>105573249.87461022</v>
      </c>
      <c r="S485" s="10">
        <f>'Optimal Choice'!$B$27*'Optimal Choice'!$B$28^(M485+1)</f>
        <v>638973333.73400736</v>
      </c>
    </row>
    <row r="486" spans="1:19" ht="15.75" customHeight="1">
      <c r="A486" s="8">
        <f t="shared" si="0"/>
        <v>619.44257466791862</v>
      </c>
      <c r="B486" s="7">
        <f>(I486*'Optimal Choice'!$B$6+J486*'Optimal Choice'!$B$11+K486*'Optimal Choice'!$B$16+L486*'Optimal Choice'!$B$21+M486*'Optimal Choice'!$B$26)*'Optimal Choice'!$B$30</f>
        <v>200557.24</v>
      </c>
      <c r="C486" s="8">
        <f>(O486/$B486)+(O486/'Optimal Choice'!$B$6)</f>
        <v>290228.91348417971</v>
      </c>
      <c r="D486" s="8">
        <f>(P486/$B486)+(P486/'Optimal Choice'!$B$11)</f>
        <v>327405.002405509</v>
      </c>
      <c r="E486" s="8">
        <f>(Q486/$B486)+(Q486/'Optimal Choice'!$B$16)</f>
        <v>285543.93473533646</v>
      </c>
      <c r="F486" s="8">
        <f>(R486/$B486)+(R486/'Optimal Choice'!$B$21)</f>
        <v>293785.4270242948</v>
      </c>
      <c r="G486" s="8">
        <f>(S486/$B486)+(S486/'Optimal Choice'!$B$26)</f>
        <v>299006.97770352999</v>
      </c>
      <c r="I486" s="11">
        <f t="shared" ref="I486:M486" si="484">IF(MIN($C485:$G485)=C485,I485+1,I485)</f>
        <v>172</v>
      </c>
      <c r="J486" s="11">
        <f t="shared" si="484"/>
        <v>82</v>
      </c>
      <c r="K486" s="11">
        <f t="shared" si="484"/>
        <v>79</v>
      </c>
      <c r="L486" s="11">
        <f t="shared" si="484"/>
        <v>76</v>
      </c>
      <c r="M486" s="11">
        <f t="shared" si="484"/>
        <v>76</v>
      </c>
      <c r="O486" s="10">
        <f>'Optimal Choice'!$B$7*'Optimal Choice'!$B$8^(I486+1)</f>
        <v>484678.24969979341</v>
      </c>
      <c r="P486" s="10">
        <f>'Optimal Choice'!$B$12*'Optimal Choice'!$B$13^(J486+1)</f>
        <v>6547447.1225790363</v>
      </c>
      <c r="Q486" s="10">
        <f>'Optimal Choice'!$B$17*'Optimal Choice'!$B$18^(K486+1)</f>
        <v>25687426.90122889</v>
      </c>
      <c r="R486" s="10">
        <f>'Optimal Choice'!$B$22*'Optimal Choice'!$B$23^(L486+1)</f>
        <v>105573249.87461022</v>
      </c>
      <c r="S486" s="10">
        <f>'Optimal Choice'!$B$27*'Optimal Choice'!$B$28^(M486+1)</f>
        <v>638973333.73400736</v>
      </c>
    </row>
    <row r="487" spans="1:19" ht="15.75" customHeight="1">
      <c r="A487" s="8">
        <f t="shared" si="0"/>
        <v>621.5772459552137</v>
      </c>
      <c r="B487" s="7">
        <f>(I487*'Optimal Choice'!$B$6+J487*'Optimal Choice'!$B$11+K487*'Optimal Choice'!$B$16+L487*'Optimal Choice'!$B$21+M487*'Optimal Choice'!$B$26)*'Optimal Choice'!$B$30</f>
        <v>200647.24</v>
      </c>
      <c r="C487" s="8">
        <f>(O487/$B487)+(O487/'Optimal Choice'!$B$6)</f>
        <v>290228.91240019165</v>
      </c>
      <c r="D487" s="8">
        <f>(P487/$B487)+(P487/'Optimal Choice'!$B$11)</f>
        <v>327404.98776207364</v>
      </c>
      <c r="E487" s="8">
        <f>(Q487/$B487)+(Q487/'Optimal Choice'!$B$16)</f>
        <v>325520.02010505047</v>
      </c>
      <c r="F487" s="8">
        <f>(R487/$B487)+(R487/'Optimal Choice'!$B$21)</f>
        <v>293785.19090859476</v>
      </c>
      <c r="G487" s="8">
        <f>(S487/$B487)+(S487/'Optimal Choice'!$B$26)</f>
        <v>299005.54863284988</v>
      </c>
      <c r="I487" s="11">
        <f t="shared" ref="I487:M487" si="485">IF(MIN($C486:$G486)=C486,I486+1,I486)</f>
        <v>172</v>
      </c>
      <c r="J487" s="11">
        <f t="shared" si="485"/>
        <v>82</v>
      </c>
      <c r="K487" s="11">
        <f t="shared" si="485"/>
        <v>80</v>
      </c>
      <c r="L487" s="11">
        <f t="shared" si="485"/>
        <v>76</v>
      </c>
      <c r="M487" s="11">
        <f t="shared" si="485"/>
        <v>76</v>
      </c>
      <c r="O487" s="10">
        <f>'Optimal Choice'!$B$7*'Optimal Choice'!$B$8^(I487+1)</f>
        <v>484678.24969979341</v>
      </c>
      <c r="P487" s="10">
        <f>'Optimal Choice'!$B$12*'Optimal Choice'!$B$13^(J487+1)</f>
        <v>6547447.1225790363</v>
      </c>
      <c r="Q487" s="10">
        <f>'Optimal Choice'!$B$17*'Optimal Choice'!$B$18^(K487+1)</f>
        <v>29283666.667400923</v>
      </c>
      <c r="R487" s="10">
        <f>'Optimal Choice'!$B$22*'Optimal Choice'!$B$23^(L487+1)</f>
        <v>105573249.87461022</v>
      </c>
      <c r="S487" s="10">
        <f>'Optimal Choice'!$B$27*'Optimal Choice'!$B$28^(M487+1)</f>
        <v>638973333.73400736</v>
      </c>
    </row>
    <row r="488" spans="1:19" ht="15.75" customHeight="1">
      <c r="A488" s="8">
        <f t="shared" si="0"/>
        <v>621.61750552134743</v>
      </c>
      <c r="B488" s="7">
        <f>(I488*'Optimal Choice'!$B$6+J488*'Optimal Choice'!$B$11+K488*'Optimal Choice'!$B$16+L488*'Optimal Choice'!$B$21+M488*'Optimal Choice'!$B$26)*'Optimal Choice'!$B$30</f>
        <v>200648.91</v>
      </c>
      <c r="C488" s="8">
        <f>(O488/$B488)+(O488/'Optimal Choice'!$B$6)</f>
        <v>310544.9362466929</v>
      </c>
      <c r="D488" s="8">
        <f>(P488/$B488)+(P488/'Optimal Choice'!$B$11)</f>
        <v>327404.98749048065</v>
      </c>
      <c r="E488" s="8">
        <f>(Q488/$B488)+(Q488/'Optimal Choice'!$B$16)</f>
        <v>325520.01889034233</v>
      </c>
      <c r="F488" s="8">
        <f>(R488/$B488)+(R488/'Optimal Choice'!$B$21)</f>
        <v>293785.18652933842</v>
      </c>
      <c r="G488" s="8">
        <f>(S488/$B488)+(S488/'Optimal Choice'!$B$26)</f>
        <v>299005.5221277643</v>
      </c>
      <c r="I488" s="11">
        <f t="shared" ref="I488:M488" si="486">IF(MIN($C487:$G487)=C487,I487+1,I487)</f>
        <v>173</v>
      </c>
      <c r="J488" s="11">
        <f t="shared" si="486"/>
        <v>82</v>
      </c>
      <c r="K488" s="11">
        <f t="shared" si="486"/>
        <v>80</v>
      </c>
      <c r="L488" s="11">
        <f t="shared" si="486"/>
        <v>76</v>
      </c>
      <c r="M488" s="11">
        <f t="shared" si="486"/>
        <v>76</v>
      </c>
      <c r="O488" s="10">
        <f>'Optimal Choice'!$B$7*'Optimal Choice'!$B$8^(I488+1)</f>
        <v>518605.72717877902</v>
      </c>
      <c r="P488" s="10">
        <f>'Optimal Choice'!$B$12*'Optimal Choice'!$B$13^(J488+1)</f>
        <v>6547447.1225790363</v>
      </c>
      <c r="Q488" s="10">
        <f>'Optimal Choice'!$B$17*'Optimal Choice'!$B$18^(K488+1)</f>
        <v>29283666.667400923</v>
      </c>
      <c r="R488" s="10">
        <f>'Optimal Choice'!$B$22*'Optimal Choice'!$B$23^(L488+1)</f>
        <v>105573249.87461022</v>
      </c>
      <c r="S488" s="10">
        <f>'Optimal Choice'!$B$27*'Optimal Choice'!$B$28^(M488+1)</f>
        <v>638973333.73400736</v>
      </c>
    </row>
    <row r="489" spans="1:19" ht="15.75" customHeight="1">
      <c r="A489" s="8">
        <f t="shared" si="0"/>
        <v>630.38682385244044</v>
      </c>
      <c r="B489" s="7">
        <f>(I489*'Optimal Choice'!$B$6+J489*'Optimal Choice'!$B$11+K489*'Optimal Choice'!$B$16+L489*'Optimal Choice'!$B$21+M489*'Optimal Choice'!$B$26)*'Optimal Choice'!$B$30</f>
        <v>201008.91</v>
      </c>
      <c r="C489" s="8">
        <f>(O489/$B489)+(O489/'Optimal Choice'!$B$6)</f>
        <v>310544.9316176874</v>
      </c>
      <c r="D489" s="8">
        <f>(P489/$B489)+(P489/'Optimal Choice'!$B$11)</f>
        <v>327404.9290488417</v>
      </c>
      <c r="E489" s="8">
        <f>(Q489/$B489)+(Q489/'Optimal Choice'!$B$16)</f>
        <v>325519.75750824279</v>
      </c>
      <c r="F489" s="8">
        <f>(R489/$B489)+(R489/'Optimal Choice'!$B$21)</f>
        <v>331976.1959421616</v>
      </c>
      <c r="G489" s="8">
        <f>(S489/$B489)+(S489/'Optimal Choice'!$B$26)</f>
        <v>298999.81873708544</v>
      </c>
      <c r="I489" s="11">
        <f t="shared" ref="I489:M489" si="487">IF(MIN($C488:$G488)=C488,I488+1,I488)</f>
        <v>173</v>
      </c>
      <c r="J489" s="11">
        <f t="shared" si="487"/>
        <v>82</v>
      </c>
      <c r="K489" s="11">
        <f t="shared" si="487"/>
        <v>80</v>
      </c>
      <c r="L489" s="11">
        <f t="shared" si="487"/>
        <v>77</v>
      </c>
      <c r="M489" s="11">
        <f t="shared" si="487"/>
        <v>76</v>
      </c>
      <c r="O489" s="10">
        <f>'Optimal Choice'!$B$7*'Optimal Choice'!$B$8^(I489+1)</f>
        <v>518605.72717877902</v>
      </c>
      <c r="P489" s="10">
        <f>'Optimal Choice'!$B$12*'Optimal Choice'!$B$13^(J489+1)</f>
        <v>6547447.1225790363</v>
      </c>
      <c r="Q489" s="10">
        <f>'Optimal Choice'!$B$17*'Optimal Choice'!$B$18^(K489+1)</f>
        <v>29283666.667400923</v>
      </c>
      <c r="R489" s="10">
        <f>'Optimal Choice'!$B$22*'Optimal Choice'!$B$23^(L489+1)</f>
        <v>119297772.35830951</v>
      </c>
      <c r="S489" s="10">
        <f>'Optimal Choice'!$B$27*'Optimal Choice'!$B$28^(M489+1)</f>
        <v>638973333.73400736</v>
      </c>
    </row>
    <row r="490" spans="1:19" ht="15.75" customHeight="1">
      <c r="A490" s="8">
        <f t="shared" si="0"/>
        <v>683.36733880689428</v>
      </c>
      <c r="B490" s="7">
        <f>(I490*'Optimal Choice'!$B$6+J490*'Optimal Choice'!$B$11+K490*'Optimal Choice'!$B$16+L490*'Optimal Choice'!$B$21+M490*'Optimal Choice'!$B$26)*'Optimal Choice'!$B$30</f>
        <v>203168.91</v>
      </c>
      <c r="C490" s="8">
        <f>(O490/$B490)+(O490/'Optimal Choice'!$B$6)</f>
        <v>310544.90418814891</v>
      </c>
      <c r="D490" s="8">
        <f>(P490/$B490)+(P490/'Optimal Choice'!$B$11)</f>
        <v>327404.5827482834</v>
      </c>
      <c r="E490" s="8">
        <f>(Q490/$B490)+(Q490/'Optimal Choice'!$B$16)</f>
        <v>325518.20866791985</v>
      </c>
      <c r="F490" s="8">
        <f>(R490/$B490)+(R490/'Optimal Choice'!$B$21)</f>
        <v>331969.88617220114</v>
      </c>
      <c r="G490" s="8">
        <f>(S490/$B490)+(S490/'Optimal Choice'!$B$26)</f>
        <v>334841.94558540435</v>
      </c>
      <c r="I490" s="11">
        <f t="shared" ref="I490:M490" si="488">IF(MIN($C489:$G489)=C489,I489+1,I489)</f>
        <v>173</v>
      </c>
      <c r="J490" s="11">
        <f t="shared" si="488"/>
        <v>82</v>
      </c>
      <c r="K490" s="11">
        <f t="shared" si="488"/>
        <v>80</v>
      </c>
      <c r="L490" s="11">
        <f t="shared" si="488"/>
        <v>77</v>
      </c>
      <c r="M490" s="11">
        <f t="shared" si="488"/>
        <v>77</v>
      </c>
      <c r="O490" s="10">
        <f>'Optimal Choice'!$B$7*'Optimal Choice'!$B$8^(I490+1)</f>
        <v>518605.72717877902</v>
      </c>
      <c r="P490" s="10">
        <f>'Optimal Choice'!$B$12*'Optimal Choice'!$B$13^(J490+1)</f>
        <v>6547447.1225790363</v>
      </c>
      <c r="Q490" s="10">
        <f>'Optimal Choice'!$B$17*'Optimal Choice'!$B$18^(K490+1)</f>
        <v>29283666.667400923</v>
      </c>
      <c r="R490" s="10">
        <f>'Optimal Choice'!$B$22*'Optimal Choice'!$B$23^(L490+1)</f>
        <v>119297772.35830951</v>
      </c>
      <c r="S490" s="10">
        <f>'Optimal Choice'!$B$27*'Optimal Choice'!$B$28^(M490+1)</f>
        <v>715650133.78208828</v>
      </c>
    </row>
    <row r="491" spans="1:19" ht="15.75" customHeight="1">
      <c r="A491" s="8">
        <f t="shared" si="0"/>
        <v>683.40988187505525</v>
      </c>
      <c r="B491" s="7">
        <f>(I491*'Optimal Choice'!$B$6+J491*'Optimal Choice'!$B$11+K491*'Optimal Choice'!$B$16+L491*'Optimal Choice'!$B$21+M491*'Optimal Choice'!$B$26)*'Optimal Choice'!$B$30</f>
        <v>203170.58000000002</v>
      </c>
      <c r="C491" s="8">
        <f>(O491/$B491)+(O491/'Optimal Choice'!$B$6)</f>
        <v>332283.04745886923</v>
      </c>
      <c r="D491" s="8">
        <f>(P491/$B491)+(P491/'Optimal Choice'!$B$11)</f>
        <v>327404.58248339046</v>
      </c>
      <c r="E491" s="8">
        <f>(Q491/$B491)+(Q491/'Optimal Choice'!$B$16)</f>
        <v>325518.20748317766</v>
      </c>
      <c r="F491" s="8">
        <f>(R491/$B491)+(R491/'Optimal Choice'!$B$21)</f>
        <v>331969.88134571869</v>
      </c>
      <c r="G491" s="8">
        <f>(S491/$B491)+(S491/'Optimal Choice'!$B$26)</f>
        <v>334841.91663203191</v>
      </c>
      <c r="I491" s="11">
        <f t="shared" ref="I491:M491" si="489">IF(MIN($C490:$G490)=C490,I490+1,I490)</f>
        <v>174</v>
      </c>
      <c r="J491" s="11">
        <f t="shared" si="489"/>
        <v>82</v>
      </c>
      <c r="K491" s="11">
        <f t="shared" si="489"/>
        <v>80</v>
      </c>
      <c r="L491" s="11">
        <f t="shared" si="489"/>
        <v>77</v>
      </c>
      <c r="M491" s="11">
        <f t="shared" si="489"/>
        <v>77</v>
      </c>
      <c r="O491" s="10">
        <f>'Optimal Choice'!$B$7*'Optimal Choice'!$B$8^(I491+1)</f>
        <v>554908.12808129354</v>
      </c>
      <c r="P491" s="10">
        <f>'Optimal Choice'!$B$12*'Optimal Choice'!$B$13^(J491+1)</f>
        <v>6547447.1225790363</v>
      </c>
      <c r="Q491" s="10">
        <f>'Optimal Choice'!$B$17*'Optimal Choice'!$B$18^(K491+1)</f>
        <v>29283666.667400923</v>
      </c>
      <c r="R491" s="10">
        <f>'Optimal Choice'!$B$22*'Optimal Choice'!$B$23^(L491+1)</f>
        <v>119297772.35830951</v>
      </c>
      <c r="S491" s="10">
        <f>'Optimal Choice'!$B$27*'Optimal Choice'!$B$28^(M491+1)</f>
        <v>715650133.78208828</v>
      </c>
    </row>
    <row r="492" spans="1:19" ht="15.75" customHeight="1">
      <c r="A492" s="8">
        <f t="shared" si="0"/>
        <v>685.81210522414131</v>
      </c>
      <c r="B492" s="7">
        <f>(I492*'Optimal Choice'!$B$6+J492*'Optimal Choice'!$B$11+K492*'Optimal Choice'!$B$16+L492*'Optimal Choice'!$B$21+M492*'Optimal Choice'!$B$26)*'Optimal Choice'!$B$30</f>
        <v>203260.58000000002</v>
      </c>
      <c r="C492" s="8">
        <f>(O492/$B492)+(O492/'Optimal Choice'!$B$6)</f>
        <v>332283.04624952585</v>
      </c>
      <c r="D492" s="8">
        <f>(P492/$B492)+(P492/'Optimal Choice'!$B$11)</f>
        <v>327404.56821416074</v>
      </c>
      <c r="E492" s="8">
        <f>(Q492/$B492)+(Q492/'Optimal Choice'!$B$16)</f>
        <v>371090.68377649435</v>
      </c>
      <c r="F492" s="8">
        <f>(R492/$B492)+(R492/'Optimal Choice'!$B$21)</f>
        <v>331969.62135319313</v>
      </c>
      <c r="G492" s="8">
        <f>(S492/$B492)+(S492/'Optimal Choice'!$B$26)</f>
        <v>334840.35697436176</v>
      </c>
      <c r="I492" s="11">
        <f t="shared" ref="I492:M492" si="490">IF(MIN($C491:$G491)=C491,I491+1,I491)</f>
        <v>174</v>
      </c>
      <c r="J492" s="11">
        <f t="shared" si="490"/>
        <v>82</v>
      </c>
      <c r="K492" s="11">
        <f t="shared" si="490"/>
        <v>81</v>
      </c>
      <c r="L492" s="11">
        <f t="shared" si="490"/>
        <v>77</v>
      </c>
      <c r="M492" s="11">
        <f t="shared" si="490"/>
        <v>77</v>
      </c>
      <c r="O492" s="10">
        <f>'Optimal Choice'!$B$7*'Optimal Choice'!$B$8^(I492+1)</f>
        <v>554908.12808129354</v>
      </c>
      <c r="P492" s="10">
        <f>'Optimal Choice'!$B$12*'Optimal Choice'!$B$13^(J492+1)</f>
        <v>6547447.1225790363</v>
      </c>
      <c r="Q492" s="10">
        <f>'Optimal Choice'!$B$17*'Optimal Choice'!$B$18^(K492+1)</f>
        <v>33383380.000837054</v>
      </c>
      <c r="R492" s="10">
        <f>'Optimal Choice'!$B$22*'Optimal Choice'!$B$23^(L492+1)</f>
        <v>119297772.35830951</v>
      </c>
      <c r="S492" s="10">
        <f>'Optimal Choice'!$B$27*'Optimal Choice'!$B$28^(M492+1)</f>
        <v>715650133.78208828</v>
      </c>
    </row>
    <row r="493" spans="1:19" ht="15.75" customHeight="1">
      <c r="A493" s="8">
        <f t="shared" si="0"/>
        <v>686.34897331095704</v>
      </c>
      <c r="B493" s="7">
        <f>(I493*'Optimal Choice'!$B$6+J493*'Optimal Choice'!$B$11+K493*'Optimal Choice'!$B$16+L493*'Optimal Choice'!$B$21+M493*'Optimal Choice'!$B$26)*'Optimal Choice'!$B$30</f>
        <v>203280.58000000002</v>
      </c>
      <c r="C493" s="8">
        <f>(O493/$B493)+(O493/'Optimal Choice'!$B$6)</f>
        <v>332283.04598092835</v>
      </c>
      <c r="D493" s="8">
        <f>(P493/$B493)+(P493/'Optimal Choice'!$B$11)</f>
        <v>376515.24980167719</v>
      </c>
      <c r="E493" s="8">
        <f>(Q493/$B493)+(Q493/'Optimal Choice'!$B$16)</f>
        <v>371090.66761761456</v>
      </c>
      <c r="F493" s="8">
        <f>(R493/$B493)+(R493/'Optimal Choice'!$B$21)</f>
        <v>331969.5636083404</v>
      </c>
      <c r="G493" s="8">
        <f>(S493/$B493)+(S493/'Optimal Choice'!$B$26)</f>
        <v>334840.01057131693</v>
      </c>
      <c r="I493" s="11">
        <f t="shared" ref="I493:M493" si="491">IF(MIN($C492:$G492)=C492,I492+1,I492)</f>
        <v>174</v>
      </c>
      <c r="J493" s="11">
        <f t="shared" si="491"/>
        <v>83</v>
      </c>
      <c r="K493" s="11">
        <f t="shared" si="491"/>
        <v>81</v>
      </c>
      <c r="L493" s="11">
        <f t="shared" si="491"/>
        <v>77</v>
      </c>
      <c r="M493" s="11">
        <f t="shared" si="491"/>
        <v>77</v>
      </c>
      <c r="O493" s="10">
        <f>'Optimal Choice'!$B$7*'Optimal Choice'!$B$8^(I493+1)</f>
        <v>554908.12808129354</v>
      </c>
      <c r="P493" s="10">
        <f>'Optimal Choice'!$B$12*'Optimal Choice'!$B$13^(J493+1)</f>
        <v>7529564.1909658909</v>
      </c>
      <c r="Q493" s="10">
        <f>'Optimal Choice'!$B$17*'Optimal Choice'!$B$18^(K493+1)</f>
        <v>33383380.000837054</v>
      </c>
      <c r="R493" s="10">
        <f>'Optimal Choice'!$B$22*'Optimal Choice'!$B$23^(L493+1)</f>
        <v>119297772.35830951</v>
      </c>
      <c r="S493" s="10">
        <f>'Optimal Choice'!$B$27*'Optimal Choice'!$B$28^(M493+1)</f>
        <v>715650133.78208828</v>
      </c>
    </row>
    <row r="494" spans="1:19" ht="15.75" customHeight="1">
      <c r="A494" s="8">
        <f t="shared" si="0"/>
        <v>696.13001686155997</v>
      </c>
      <c r="B494" s="7">
        <f>(I494*'Optimal Choice'!$B$6+J494*'Optimal Choice'!$B$11+K494*'Optimal Choice'!$B$16+L494*'Optimal Choice'!$B$21+M494*'Optimal Choice'!$B$26)*'Optimal Choice'!$B$30</f>
        <v>203640.58000000002</v>
      </c>
      <c r="C494" s="8">
        <f>(O494/$B494)+(O494/'Optimal Choice'!$B$6)</f>
        <v>332283.04115519446</v>
      </c>
      <c r="D494" s="8">
        <f>(P494/$B494)+(P494/'Optimal Choice'!$B$11)</f>
        <v>376515.18432115647</v>
      </c>
      <c r="E494" s="8">
        <f>(Q494/$B494)+(Q494/'Optimal Choice'!$B$16)</f>
        <v>371090.37730053242</v>
      </c>
      <c r="F494" s="8">
        <f>(R494/$B494)+(R494/'Optimal Choice'!$B$21)</f>
        <v>375124.43453883188</v>
      </c>
      <c r="G494" s="8">
        <f>(S494/$B494)+(S494/'Optimal Choice'!$B$26)</f>
        <v>334833.78695169912</v>
      </c>
      <c r="I494" s="11">
        <f t="shared" ref="I494:M494" si="492">IF(MIN($C493:$G493)=C493,I493+1,I493)</f>
        <v>174</v>
      </c>
      <c r="J494" s="11">
        <f t="shared" si="492"/>
        <v>83</v>
      </c>
      <c r="K494" s="11">
        <f t="shared" si="492"/>
        <v>81</v>
      </c>
      <c r="L494" s="11">
        <f t="shared" si="492"/>
        <v>78</v>
      </c>
      <c r="M494" s="11">
        <f t="shared" si="492"/>
        <v>77</v>
      </c>
      <c r="O494" s="10">
        <f>'Optimal Choice'!$B$7*'Optimal Choice'!$B$8^(I494+1)</f>
        <v>554908.12808129354</v>
      </c>
      <c r="P494" s="10">
        <f>'Optimal Choice'!$B$12*'Optimal Choice'!$B$13^(J494+1)</f>
        <v>7529564.1909658909</v>
      </c>
      <c r="Q494" s="10">
        <f>'Optimal Choice'!$B$17*'Optimal Choice'!$B$18^(K494+1)</f>
        <v>33383380.000837054</v>
      </c>
      <c r="R494" s="10">
        <f>'Optimal Choice'!$B$22*'Optimal Choice'!$B$23^(L494+1)</f>
        <v>134806482.76488975</v>
      </c>
      <c r="S494" s="10">
        <f>'Optimal Choice'!$B$27*'Optimal Choice'!$B$28^(M494+1)</f>
        <v>715650133.78208828</v>
      </c>
    </row>
    <row r="495" spans="1:19" ht="15.75" customHeight="1">
      <c r="A495" s="8">
        <f t="shared" si="0"/>
        <v>696.17543250907659</v>
      </c>
      <c r="B495" s="7">
        <f>(I495*'Optimal Choice'!$B$6+J495*'Optimal Choice'!$B$11+K495*'Optimal Choice'!$B$16+L495*'Optimal Choice'!$B$21+M495*'Optimal Choice'!$B$26)*'Optimal Choice'!$B$30</f>
        <v>203642.25</v>
      </c>
      <c r="C495" s="8">
        <f>(O495/$B495)+(O495/'Optimal Choice'!$B$6)</f>
        <v>355542.85401214752</v>
      </c>
      <c r="D495" s="8">
        <f>(P495/$B495)+(P495/'Optimal Choice'!$B$11)</f>
        <v>376515.18401793909</v>
      </c>
      <c r="E495" s="8">
        <f>(Q495/$B495)+(Q495/'Optimal Choice'!$B$16)</f>
        <v>371090.37595617556</v>
      </c>
      <c r="F495" s="8">
        <f>(R495/$B495)+(R495/'Optimal Choice'!$B$21)</f>
        <v>375124.42911014194</v>
      </c>
      <c r="G495" s="8">
        <f>(S495/$B495)+(S495/'Optimal Choice'!$B$26)</f>
        <v>334833.75813229376</v>
      </c>
      <c r="I495" s="11">
        <f t="shared" ref="I495:M495" si="493">IF(MIN($C494:$G494)=C494,I494+1,I494)</f>
        <v>175</v>
      </c>
      <c r="J495" s="11">
        <f t="shared" si="493"/>
        <v>83</v>
      </c>
      <c r="K495" s="11">
        <f t="shared" si="493"/>
        <v>81</v>
      </c>
      <c r="L495" s="11">
        <f t="shared" si="493"/>
        <v>78</v>
      </c>
      <c r="M495" s="11">
        <f t="shared" si="493"/>
        <v>77</v>
      </c>
      <c r="O495" s="10">
        <f>'Optimal Choice'!$B$7*'Optimal Choice'!$B$8^(I495+1)</f>
        <v>593751.6970469841</v>
      </c>
      <c r="P495" s="10">
        <f>'Optimal Choice'!$B$12*'Optimal Choice'!$B$13^(J495+1)</f>
        <v>7529564.1909658909</v>
      </c>
      <c r="Q495" s="10">
        <f>'Optimal Choice'!$B$17*'Optimal Choice'!$B$18^(K495+1)</f>
        <v>33383380.000837054</v>
      </c>
      <c r="R495" s="10">
        <f>'Optimal Choice'!$B$22*'Optimal Choice'!$B$23^(L495+1)</f>
        <v>134806482.76488975</v>
      </c>
      <c r="S495" s="10">
        <f>'Optimal Choice'!$B$27*'Optimal Choice'!$B$28^(M495+1)</f>
        <v>715650133.78208828</v>
      </c>
    </row>
    <row r="496" spans="1:19" ht="15.75" customHeight="1">
      <c r="A496" s="8">
        <f t="shared" si="0"/>
        <v>754.7462950373656</v>
      </c>
      <c r="B496" s="7">
        <f>(I496*'Optimal Choice'!$B$6+J496*'Optimal Choice'!$B$11+K496*'Optimal Choice'!$B$16+L496*'Optimal Choice'!$B$21+M496*'Optimal Choice'!$B$26)*'Optimal Choice'!$B$30</f>
        <v>205802.25</v>
      </c>
      <c r="C496" s="8">
        <f>(O496/$B496)+(O496/'Optimal Choice'!$B$6)</f>
        <v>355542.82341079589</v>
      </c>
      <c r="D496" s="8">
        <f>(P496/$B496)+(P496/'Optimal Choice'!$B$11)</f>
        <v>376514.79595194641</v>
      </c>
      <c r="E496" s="8">
        <f>(Q496/$B496)+(Q496/'Optimal Choice'!$B$16)</f>
        <v>371088.6554111123</v>
      </c>
      <c r="F496" s="8">
        <f>(R496/$B496)+(R496/'Optimal Choice'!$B$21)</f>
        <v>375117.4813226976</v>
      </c>
      <c r="G496" s="8">
        <f>(S496/$B496)+(S496/'Optimal Choice'!$B$26)</f>
        <v>374972.49917186995</v>
      </c>
      <c r="I496" s="11">
        <f t="shared" ref="I496:M496" si="494">IF(MIN($C495:$G495)=C495,I495+1,I495)</f>
        <v>175</v>
      </c>
      <c r="J496" s="11">
        <f t="shared" si="494"/>
        <v>83</v>
      </c>
      <c r="K496" s="11">
        <f t="shared" si="494"/>
        <v>81</v>
      </c>
      <c r="L496" s="11">
        <f t="shared" si="494"/>
        <v>78</v>
      </c>
      <c r="M496" s="11">
        <f t="shared" si="494"/>
        <v>78</v>
      </c>
      <c r="O496" s="10">
        <f>'Optimal Choice'!$B$7*'Optimal Choice'!$B$8^(I496+1)</f>
        <v>593751.6970469841</v>
      </c>
      <c r="P496" s="10">
        <f>'Optimal Choice'!$B$12*'Optimal Choice'!$B$13^(J496+1)</f>
        <v>7529564.1909658909</v>
      </c>
      <c r="Q496" s="10">
        <f>'Optimal Choice'!$B$17*'Optimal Choice'!$B$18^(K496+1)</f>
        <v>33383380.000837054</v>
      </c>
      <c r="R496" s="10">
        <f>'Optimal Choice'!$B$22*'Optimal Choice'!$B$23^(L496+1)</f>
        <v>134806482.76488975</v>
      </c>
      <c r="S496" s="10">
        <f>'Optimal Choice'!$B$27*'Optimal Choice'!$B$28^(M496+1)</f>
        <v>801528149.83593893</v>
      </c>
    </row>
    <row r="497" spans="1:19" ht="15.75" customHeight="1">
      <c r="A497" s="8">
        <f t="shared" si="0"/>
        <v>754.7943793591719</v>
      </c>
      <c r="B497" s="7">
        <f>(I497*'Optimal Choice'!$B$6+J497*'Optimal Choice'!$B$11+K497*'Optimal Choice'!$B$16+L497*'Optimal Choice'!$B$21+M497*'Optimal Choice'!$B$26)*'Optimal Choice'!$B$30</f>
        <v>205803.91999999998</v>
      </c>
      <c r="C497" s="8">
        <f>(O497/$B497)+(O497/'Optimal Choice'!$B$6)</f>
        <v>380430.82102450193</v>
      </c>
      <c r="D497" s="8">
        <f>(P497/$B497)+(P497/'Optimal Choice'!$B$11)</f>
        <v>376514.79565506533</v>
      </c>
      <c r="E497" s="8">
        <f>(Q497/$B497)+(Q497/'Optimal Choice'!$B$16)</f>
        <v>371088.65409484826</v>
      </c>
      <c r="F497" s="8">
        <f>(R497/$B497)+(R497/'Optimal Choice'!$B$21)</f>
        <v>375117.47600745014</v>
      </c>
      <c r="G497" s="8">
        <f>(S497/$B497)+(S497/'Optimal Choice'!$B$26)</f>
        <v>374972.46756863868</v>
      </c>
      <c r="I497" s="11">
        <f t="shared" ref="I497:M497" si="495">IF(MIN($C496:$G496)=C496,I496+1,I496)</f>
        <v>176</v>
      </c>
      <c r="J497" s="11">
        <f t="shared" si="495"/>
        <v>83</v>
      </c>
      <c r="K497" s="11">
        <f t="shared" si="495"/>
        <v>81</v>
      </c>
      <c r="L497" s="11">
        <f t="shared" si="495"/>
        <v>78</v>
      </c>
      <c r="M497" s="11">
        <f t="shared" si="495"/>
        <v>78</v>
      </c>
      <c r="O497" s="10">
        <f>'Optimal Choice'!$B$7*'Optimal Choice'!$B$8^(I497+1)</f>
        <v>635314.31584027293</v>
      </c>
      <c r="P497" s="10">
        <f>'Optimal Choice'!$B$12*'Optimal Choice'!$B$13^(J497+1)</f>
        <v>7529564.1909658909</v>
      </c>
      <c r="Q497" s="10">
        <f>'Optimal Choice'!$B$17*'Optimal Choice'!$B$18^(K497+1)</f>
        <v>33383380.000837054</v>
      </c>
      <c r="R497" s="10">
        <f>'Optimal Choice'!$B$22*'Optimal Choice'!$B$23^(L497+1)</f>
        <v>134806482.76488975</v>
      </c>
      <c r="S497" s="10">
        <f>'Optimal Choice'!$B$27*'Optimal Choice'!$B$28^(M497+1)</f>
        <v>801528149.83593893</v>
      </c>
    </row>
    <row r="498" spans="1:19" ht="15.75" customHeight="1">
      <c r="A498" s="8">
        <f t="shared" si="0"/>
        <v>757.49787337755902</v>
      </c>
      <c r="B498" s="7">
        <f>(I498*'Optimal Choice'!$B$6+J498*'Optimal Choice'!$B$11+K498*'Optimal Choice'!$B$16+L498*'Optimal Choice'!$B$21+M498*'Optimal Choice'!$B$26)*'Optimal Choice'!$B$30</f>
        <v>205893.91999999998</v>
      </c>
      <c r="C498" s="8">
        <f>(O498/$B498)+(O498/'Optimal Choice'!$B$6)</f>
        <v>380430.8196751228</v>
      </c>
      <c r="D498" s="8">
        <f>(P498/$B498)+(P498/'Optimal Choice'!$B$11)</f>
        <v>376514.77966260858</v>
      </c>
      <c r="E498" s="8">
        <f>(Q498/$B498)+(Q498/'Optimal Choice'!$B$16)</f>
        <v>423040.98483665241</v>
      </c>
      <c r="F498" s="8">
        <f>(R498/$B498)+(R498/'Optimal Choice'!$B$21)</f>
        <v>375117.18968452496</v>
      </c>
      <c r="G498" s="8">
        <f>(S498/$B498)+(S498/'Optimal Choice'!$B$26)</f>
        <v>374970.76515878597</v>
      </c>
      <c r="I498" s="11">
        <f t="shared" ref="I498:M498" si="496">IF(MIN($C497:$G497)=C497,I497+1,I497)</f>
        <v>176</v>
      </c>
      <c r="J498" s="11">
        <f t="shared" si="496"/>
        <v>83</v>
      </c>
      <c r="K498" s="11">
        <f t="shared" si="496"/>
        <v>82</v>
      </c>
      <c r="L498" s="11">
        <f t="shared" si="496"/>
        <v>78</v>
      </c>
      <c r="M498" s="11">
        <f t="shared" si="496"/>
        <v>78</v>
      </c>
      <c r="O498" s="10">
        <f>'Optimal Choice'!$B$7*'Optimal Choice'!$B$8^(I498+1)</f>
        <v>635314.31584027293</v>
      </c>
      <c r="P498" s="10">
        <f>'Optimal Choice'!$B$12*'Optimal Choice'!$B$13^(J498+1)</f>
        <v>7529564.1909658909</v>
      </c>
      <c r="Q498" s="10">
        <f>'Optimal Choice'!$B$17*'Optimal Choice'!$B$18^(K498+1)</f>
        <v>38057053.200954244</v>
      </c>
      <c r="R498" s="10">
        <f>'Optimal Choice'!$B$22*'Optimal Choice'!$B$23^(L498+1)</f>
        <v>134806482.76488975</v>
      </c>
      <c r="S498" s="10">
        <f>'Optimal Choice'!$B$27*'Optimal Choice'!$B$28^(M498+1)</f>
        <v>801528149.83593893</v>
      </c>
    </row>
    <row r="499" spans="1:19" ht="15.75" customHeight="1">
      <c r="A499" s="8">
        <f t="shared" si="0"/>
        <v>822.37984025285891</v>
      </c>
      <c r="B499" s="7">
        <f>(I499*'Optimal Choice'!$B$6+J499*'Optimal Choice'!$B$11+K499*'Optimal Choice'!$B$16+L499*'Optimal Choice'!$B$21+M499*'Optimal Choice'!$B$26)*'Optimal Choice'!$B$30</f>
        <v>208053.91999999998</v>
      </c>
      <c r="C499" s="8">
        <f>(O499/$B499)+(O499/'Optimal Choice'!$B$6)</f>
        <v>380430.78764025267</v>
      </c>
      <c r="D499" s="8">
        <f>(P499/$B499)+(P499/'Optimal Choice'!$B$11)</f>
        <v>376514.39999445854</v>
      </c>
      <c r="E499" s="8">
        <f>(Q499/$B499)+(Q499/'Optimal Choice'!$B$16)</f>
        <v>423039.06586091634</v>
      </c>
      <c r="F499" s="8">
        <f>(R499/$B499)+(R499/'Optimal Choice'!$B$21)</f>
        <v>375110.39224889275</v>
      </c>
      <c r="G499" s="8">
        <f>(S499/$B499)+(S499/'Optimal Choice'!$B$26)</f>
        <v>419921.99108111573</v>
      </c>
      <c r="I499" s="11">
        <f t="shared" ref="I499:M499" si="497">IF(MIN($C498:$G498)=C498,I498+1,I498)</f>
        <v>176</v>
      </c>
      <c r="J499" s="11">
        <f t="shared" si="497"/>
        <v>83</v>
      </c>
      <c r="K499" s="11">
        <f t="shared" si="497"/>
        <v>82</v>
      </c>
      <c r="L499" s="11">
        <f t="shared" si="497"/>
        <v>78</v>
      </c>
      <c r="M499" s="11">
        <f t="shared" si="497"/>
        <v>79</v>
      </c>
      <c r="O499" s="10">
        <f>'Optimal Choice'!$B$7*'Optimal Choice'!$B$8^(I499+1)</f>
        <v>635314.31584027293</v>
      </c>
      <c r="P499" s="10">
        <f>'Optimal Choice'!$B$12*'Optimal Choice'!$B$13^(J499+1)</f>
        <v>7529564.1909658909</v>
      </c>
      <c r="Q499" s="10">
        <f>'Optimal Choice'!$B$17*'Optimal Choice'!$B$18^(K499+1)</f>
        <v>38057053.200954244</v>
      </c>
      <c r="R499" s="10">
        <f>'Optimal Choice'!$B$22*'Optimal Choice'!$B$23^(L499+1)</f>
        <v>134806482.76488975</v>
      </c>
      <c r="S499" s="10">
        <f>'Optimal Choice'!$B$27*'Optimal Choice'!$B$28^(M499+1)</f>
        <v>897711527.81625164</v>
      </c>
    </row>
    <row r="500" spans="1:19" ht="15.75" customHeight="1">
      <c r="A500" s="8">
        <f t="shared" si="0"/>
        <v>833.17884232284234</v>
      </c>
      <c r="B500" s="7">
        <f>(I500*'Optimal Choice'!$B$6+J500*'Optimal Choice'!$B$11+K500*'Optimal Choice'!$B$16+L500*'Optimal Choice'!$B$21+M500*'Optimal Choice'!$B$26)*'Optimal Choice'!$B$30</f>
        <v>208413.91999999998</v>
      </c>
      <c r="C500" s="8">
        <f>(O500/$B500)+(O500/'Optimal Choice'!$B$6)</f>
        <v>380430.78236566496</v>
      </c>
      <c r="D500" s="8">
        <f>(P500/$B500)+(P500/'Optimal Choice'!$B$11)</f>
        <v>376514.33748154854</v>
      </c>
      <c r="E500" s="8">
        <f>(Q500/$B500)+(Q500/'Optimal Choice'!$B$16)</f>
        <v>423038.74989878619</v>
      </c>
      <c r="F500" s="8">
        <f>(R500/$B500)+(R500/'Optimal Choice'!$B$21)</f>
        <v>423873.47853665252</v>
      </c>
      <c r="G500" s="8">
        <f>(S500/$B500)+(S500/'Optimal Choice'!$B$26)</f>
        <v>419914.53798575705</v>
      </c>
      <c r="I500" s="11">
        <f t="shared" ref="I500:M500" si="498">IF(MIN($C499:$G499)=C499,I499+1,I499)</f>
        <v>176</v>
      </c>
      <c r="J500" s="11">
        <f t="shared" si="498"/>
        <v>83</v>
      </c>
      <c r="K500" s="11">
        <f t="shared" si="498"/>
        <v>82</v>
      </c>
      <c r="L500" s="11">
        <f t="shared" si="498"/>
        <v>79</v>
      </c>
      <c r="M500" s="11">
        <f t="shared" si="498"/>
        <v>79</v>
      </c>
      <c r="O500" s="10">
        <f>'Optimal Choice'!$B$7*'Optimal Choice'!$B$8^(I500+1)</f>
        <v>635314.31584027293</v>
      </c>
      <c r="P500" s="10">
        <f>'Optimal Choice'!$B$12*'Optimal Choice'!$B$13^(J500+1)</f>
        <v>7529564.1909658909</v>
      </c>
      <c r="Q500" s="10">
        <f>'Optimal Choice'!$B$17*'Optimal Choice'!$B$18^(K500+1)</f>
        <v>38057053.200954244</v>
      </c>
      <c r="R500" s="10">
        <f>'Optimal Choice'!$B$22*'Optimal Choice'!$B$23^(L500+1)</f>
        <v>152331325.52432537</v>
      </c>
      <c r="S500" s="10">
        <f>'Optimal Choice'!$B$27*'Optimal Choice'!$B$28^(M500+1)</f>
        <v>897711527.81625164</v>
      </c>
    </row>
    <row r="501" spans="1:19" ht="15.75" customHeight="1">
      <c r="A501" s="8">
        <f t="shared" si="0"/>
        <v>833.78097454374245</v>
      </c>
      <c r="B501" s="7">
        <f>(I501*'Optimal Choice'!$B$6+J501*'Optimal Choice'!$B$11+K501*'Optimal Choice'!$B$16+L501*'Optimal Choice'!$B$21+M501*'Optimal Choice'!$B$26)*'Optimal Choice'!$B$30</f>
        <v>208433.91999999998</v>
      </c>
      <c r="C501" s="8">
        <f>(O501/$B501)+(O501/'Optimal Choice'!$B$6)</f>
        <v>380430.78207316657</v>
      </c>
      <c r="D501" s="8">
        <f>(P501/$B501)+(P501/'Optimal Choice'!$B$11)</f>
        <v>432991.4841171818</v>
      </c>
      <c r="E501" s="8">
        <f>(Q501/$B501)+(Q501/'Optimal Choice'!$B$16)</f>
        <v>423038.73237733659</v>
      </c>
      <c r="F501" s="8">
        <f>(R501/$B501)+(R501/'Optimal Choice'!$B$21)</f>
        <v>423873.40840338095</v>
      </c>
      <c r="G501" s="8">
        <f>(S501/$B501)+(S501/'Optimal Choice'!$B$26)</f>
        <v>419914.12467978633</v>
      </c>
      <c r="I501" s="11">
        <f t="shared" ref="I501:M501" si="499">IF(MIN($C500:$G500)=C500,I500+1,I500)</f>
        <v>176</v>
      </c>
      <c r="J501" s="11">
        <f t="shared" si="499"/>
        <v>84</v>
      </c>
      <c r="K501" s="11">
        <f t="shared" si="499"/>
        <v>82</v>
      </c>
      <c r="L501" s="11">
        <f t="shared" si="499"/>
        <v>79</v>
      </c>
      <c r="M501" s="11">
        <f t="shared" si="499"/>
        <v>79</v>
      </c>
      <c r="O501" s="10">
        <f>'Optimal Choice'!$B$7*'Optimal Choice'!$B$8^(I501+1)</f>
        <v>635314.31584027293</v>
      </c>
      <c r="P501" s="10">
        <f>'Optimal Choice'!$B$12*'Optimal Choice'!$B$13^(J501+1)</f>
        <v>8658998.8196107745</v>
      </c>
      <c r="Q501" s="10">
        <f>'Optimal Choice'!$B$17*'Optimal Choice'!$B$18^(K501+1)</f>
        <v>38057053.200954244</v>
      </c>
      <c r="R501" s="10">
        <f>'Optimal Choice'!$B$22*'Optimal Choice'!$B$23^(L501+1)</f>
        <v>152331325.52432537</v>
      </c>
      <c r="S501" s="10">
        <f>'Optimal Choice'!$B$27*'Optimal Choice'!$B$28^(M501+1)</f>
        <v>897711527.81625164</v>
      </c>
    </row>
    <row r="502" spans="1:19" ht="15.75" customHeight="1">
      <c r="A502" s="8">
        <f t="shared" si="0"/>
        <v>833.83177516165858</v>
      </c>
      <c r="B502" s="7">
        <f>(I502*'Optimal Choice'!$B$6+J502*'Optimal Choice'!$B$11+K502*'Optimal Choice'!$B$16+L502*'Optimal Choice'!$B$21+M502*'Optimal Choice'!$B$26)*'Optimal Choice'!$B$30</f>
        <v>208435.59</v>
      </c>
      <c r="C502" s="8">
        <f>(O502/$B502)+(O502/'Optimal Choice'!$B$6)</f>
        <v>407060.93679215765</v>
      </c>
      <c r="D502" s="8">
        <f>(P502/$B502)+(P502/'Optimal Choice'!$B$11)</f>
        <v>432991.48378433537</v>
      </c>
      <c r="E502" s="8">
        <f>(Q502/$B502)+(Q502/'Optimal Choice'!$B$16)</f>
        <v>423038.73091444763</v>
      </c>
      <c r="F502" s="8">
        <f>(R502/$B502)+(R502/'Optimal Choice'!$B$21)</f>
        <v>423873.40254786162</v>
      </c>
      <c r="G502" s="8">
        <f>(S502/$B502)+(S502/'Optimal Choice'!$B$26)</f>
        <v>419914.09017232573</v>
      </c>
      <c r="I502" s="11">
        <f t="shared" ref="I502:M502" si="500">IF(MIN($C501:$G501)=C501,I501+1,I501)</f>
        <v>177</v>
      </c>
      <c r="J502" s="11">
        <f t="shared" si="500"/>
        <v>84</v>
      </c>
      <c r="K502" s="11">
        <f t="shared" si="500"/>
        <v>82</v>
      </c>
      <c r="L502" s="11">
        <f t="shared" si="500"/>
        <v>79</v>
      </c>
      <c r="M502" s="11">
        <f t="shared" si="500"/>
        <v>79</v>
      </c>
      <c r="O502" s="10">
        <f>'Optimal Choice'!$B$7*'Optimal Choice'!$B$8^(I502+1)</f>
        <v>679786.31794909202</v>
      </c>
      <c r="P502" s="10">
        <f>'Optimal Choice'!$B$12*'Optimal Choice'!$B$13^(J502+1)</f>
        <v>8658998.8196107745</v>
      </c>
      <c r="Q502" s="10">
        <f>'Optimal Choice'!$B$17*'Optimal Choice'!$B$18^(K502+1)</f>
        <v>38057053.200954244</v>
      </c>
      <c r="R502" s="10">
        <f>'Optimal Choice'!$B$22*'Optimal Choice'!$B$23^(L502+1)</f>
        <v>152331325.52432537</v>
      </c>
      <c r="S502" s="10">
        <f>'Optimal Choice'!$B$27*'Optimal Choice'!$B$28^(M502+1)</f>
        <v>897711527.81625164</v>
      </c>
    </row>
    <row r="503" spans="1:19" ht="15.75" customHeight="1">
      <c r="A503" s="8">
        <f t="shared" si="0"/>
        <v>833.88613138731955</v>
      </c>
      <c r="B503" s="7">
        <f>(I503*'Optimal Choice'!$B$6+J503*'Optimal Choice'!$B$11+K503*'Optimal Choice'!$B$16+L503*'Optimal Choice'!$B$21+M503*'Optimal Choice'!$B$26)*'Optimal Choice'!$B$30</f>
        <v>208437.26</v>
      </c>
      <c r="C503" s="8">
        <f>(O503/$B503)+(O503/'Optimal Choice'!$B$6)</f>
        <v>435555.20233964949</v>
      </c>
      <c r="D503" s="8">
        <f>(P503/$B503)+(P503/'Optimal Choice'!$B$11)</f>
        <v>432991.48345149431</v>
      </c>
      <c r="E503" s="8">
        <f>(Q503/$B503)+(Q503/'Optimal Choice'!$B$16)</f>
        <v>423038.72945158213</v>
      </c>
      <c r="F503" s="8">
        <f>(R503/$B503)+(R503/'Optimal Choice'!$B$21)</f>
        <v>423873.39669243607</v>
      </c>
      <c r="G503" s="8">
        <f>(S503/$B503)+(S503/'Optimal Choice'!$B$26)</f>
        <v>419914.05566541804</v>
      </c>
      <c r="I503" s="11">
        <f t="shared" ref="I503:M503" si="501">IF(MIN($C502:$G502)=C502,I502+1,I502)</f>
        <v>178</v>
      </c>
      <c r="J503" s="11">
        <f t="shared" si="501"/>
        <v>84</v>
      </c>
      <c r="K503" s="11">
        <f t="shared" si="501"/>
        <v>82</v>
      </c>
      <c r="L503" s="11">
        <f t="shared" si="501"/>
        <v>79</v>
      </c>
      <c r="M503" s="11">
        <f t="shared" si="501"/>
        <v>79</v>
      </c>
      <c r="O503" s="10">
        <f>'Optimal Choice'!$B$7*'Optimal Choice'!$B$8^(I503+1)</f>
        <v>727371.36020552856</v>
      </c>
      <c r="P503" s="10">
        <f>'Optimal Choice'!$B$12*'Optimal Choice'!$B$13^(J503+1)</f>
        <v>8658998.8196107745</v>
      </c>
      <c r="Q503" s="10">
        <f>'Optimal Choice'!$B$17*'Optimal Choice'!$B$18^(K503+1)</f>
        <v>38057053.200954244</v>
      </c>
      <c r="R503" s="10">
        <f>'Optimal Choice'!$B$22*'Optimal Choice'!$B$23^(L503+1)</f>
        <v>152331325.52432537</v>
      </c>
      <c r="S503" s="10">
        <f>'Optimal Choice'!$B$27*'Optimal Choice'!$B$28^(M503+1)</f>
        <v>897711527.81625164</v>
      </c>
    </row>
    <row r="504" spans="1:19" ht="15.75" customHeight="1">
      <c r="A504" s="8">
        <f t="shared" si="0"/>
        <v>905.66724574728346</v>
      </c>
      <c r="B504" s="7">
        <f>(I504*'Optimal Choice'!$B$6+J504*'Optimal Choice'!$B$11+K504*'Optimal Choice'!$B$16+L504*'Optimal Choice'!$B$21+M504*'Optimal Choice'!$B$26)*'Optimal Choice'!$B$30</f>
        <v>210597.26</v>
      </c>
      <c r="C504" s="8">
        <f>(O504/$B504)+(O504/'Optimal Choice'!$B$6)</f>
        <v>435555.16654798662</v>
      </c>
      <c r="D504" s="8">
        <f>(P504/$B504)+(P504/'Optimal Choice'!$B$11)</f>
        <v>432991.0573693256</v>
      </c>
      <c r="E504" s="8">
        <f>(Q504/$B504)+(Q504/'Optimal Choice'!$B$16)</f>
        <v>423036.85678337881</v>
      </c>
      <c r="F504" s="8">
        <f>(R504/$B504)+(R504/'Optimal Choice'!$B$21)</f>
        <v>423865.90094576916</v>
      </c>
      <c r="G504" s="8">
        <f>(S504/$B504)+(S504/'Optimal Choice'!$B$26)</f>
        <v>470254.26794891764</v>
      </c>
      <c r="I504" s="11">
        <f t="shared" ref="I504:M504" si="502">IF(MIN($C503:$G503)=C503,I503+1,I503)</f>
        <v>178</v>
      </c>
      <c r="J504" s="11">
        <f t="shared" si="502"/>
        <v>84</v>
      </c>
      <c r="K504" s="11">
        <f t="shared" si="502"/>
        <v>82</v>
      </c>
      <c r="L504" s="11">
        <f t="shared" si="502"/>
        <v>79</v>
      </c>
      <c r="M504" s="11">
        <f t="shared" si="502"/>
        <v>80</v>
      </c>
      <c r="O504" s="10">
        <f>'Optimal Choice'!$B$7*'Optimal Choice'!$B$8^(I504+1)</f>
        <v>727371.36020552856</v>
      </c>
      <c r="P504" s="10">
        <f>'Optimal Choice'!$B$12*'Optimal Choice'!$B$13^(J504+1)</f>
        <v>8658998.8196107745</v>
      </c>
      <c r="Q504" s="10">
        <f>'Optimal Choice'!$B$17*'Optimal Choice'!$B$18^(K504+1)</f>
        <v>38057053.200954244</v>
      </c>
      <c r="R504" s="10">
        <f>'Optimal Choice'!$B$22*'Optimal Choice'!$B$23^(L504+1)</f>
        <v>152331325.52432537</v>
      </c>
      <c r="S504" s="10">
        <f>'Optimal Choice'!$B$27*'Optimal Choice'!$B$28^(M504+1)</f>
        <v>1005436911.1542019</v>
      </c>
    </row>
    <row r="505" spans="1:19" ht="15.75" customHeight="1">
      <c r="A505" s="8">
        <f t="shared" si="0"/>
        <v>908.67908084910721</v>
      </c>
      <c r="B505" s="7">
        <f>(I505*'Optimal Choice'!$B$6+J505*'Optimal Choice'!$B$11+K505*'Optimal Choice'!$B$16+L505*'Optimal Choice'!$B$21+M505*'Optimal Choice'!$B$26)*'Optimal Choice'!$B$30</f>
        <v>210687.26</v>
      </c>
      <c r="C505" s="8">
        <f>(O505/$B505)+(O505/'Optimal Choice'!$B$6)</f>
        <v>435555.16507259366</v>
      </c>
      <c r="D505" s="8">
        <f>(P505/$B505)+(P505/'Optimal Choice'!$B$11)</f>
        <v>432991.03980549669</v>
      </c>
      <c r="E505" s="8">
        <f>(Q505/$B505)+(Q505/'Optimal Choice'!$B$16)</f>
        <v>482261.92873125768</v>
      </c>
      <c r="F505" s="8">
        <f>(R505/$B505)+(R505/'Optimal Choice'!$B$21)</f>
        <v>423865.59195839119</v>
      </c>
      <c r="G505" s="8">
        <f>(S505/$B505)+(S505/'Optimal Choice'!$B$26)</f>
        <v>470252.2285304736</v>
      </c>
      <c r="I505" s="11">
        <f t="shared" ref="I505:M505" si="503">IF(MIN($C504:$G504)=C504,I504+1,I504)</f>
        <v>178</v>
      </c>
      <c r="J505" s="11">
        <f t="shared" si="503"/>
        <v>84</v>
      </c>
      <c r="K505" s="11">
        <f t="shared" si="503"/>
        <v>83</v>
      </c>
      <c r="L505" s="11">
        <f t="shared" si="503"/>
        <v>79</v>
      </c>
      <c r="M505" s="11">
        <f t="shared" si="503"/>
        <v>80</v>
      </c>
      <c r="O505" s="10">
        <f>'Optimal Choice'!$B$7*'Optimal Choice'!$B$8^(I505+1)</f>
        <v>727371.36020552856</v>
      </c>
      <c r="P505" s="10">
        <f>'Optimal Choice'!$B$12*'Optimal Choice'!$B$13^(J505+1)</f>
        <v>8658998.8196107745</v>
      </c>
      <c r="Q505" s="10">
        <f>'Optimal Choice'!$B$17*'Optimal Choice'!$B$18^(K505+1)</f>
        <v>43385040.649087839</v>
      </c>
      <c r="R505" s="10">
        <f>'Optimal Choice'!$B$22*'Optimal Choice'!$B$23^(L505+1)</f>
        <v>152331325.52432537</v>
      </c>
      <c r="S505" s="10">
        <f>'Optimal Choice'!$B$27*'Optimal Choice'!$B$28^(M505+1)</f>
        <v>1005436911.1542019</v>
      </c>
    </row>
    <row r="506" spans="1:19" ht="15.75" customHeight="1">
      <c r="A506" s="8">
        <f t="shared" si="0"/>
        <v>920.72943180723075</v>
      </c>
      <c r="B506" s="7">
        <f>(I506*'Optimal Choice'!$B$6+J506*'Optimal Choice'!$B$11+K506*'Optimal Choice'!$B$16+L506*'Optimal Choice'!$B$21+M506*'Optimal Choice'!$B$26)*'Optimal Choice'!$B$30</f>
        <v>211047.26</v>
      </c>
      <c r="C506" s="8">
        <f>(O506/$B506)+(O506/'Optimal Choice'!$B$6)</f>
        <v>435555.15918360517</v>
      </c>
      <c r="D506" s="8">
        <f>(P506/$B506)+(P506/'Optimal Choice'!$B$11)</f>
        <v>432990.96969998104</v>
      </c>
      <c r="E506" s="8">
        <f>(Q506/$B506)+(Q506/'Optimal Choice'!$B$16)</f>
        <v>482261.57747463917</v>
      </c>
      <c r="F506" s="8">
        <f>(R506/$B506)+(R506/'Optimal Choice'!$B$21)</f>
        <v>478966.72526794649</v>
      </c>
      <c r="G506" s="8">
        <f>(S506/$B506)+(S506/'Optimal Choice'!$B$26)</f>
        <v>470244.0882506838</v>
      </c>
      <c r="I506" s="11">
        <f t="shared" ref="I506:M506" si="504">IF(MIN($C505:$G505)=C505,I505+1,I505)</f>
        <v>178</v>
      </c>
      <c r="J506" s="11">
        <f t="shared" si="504"/>
        <v>84</v>
      </c>
      <c r="K506" s="11">
        <f t="shared" si="504"/>
        <v>83</v>
      </c>
      <c r="L506" s="11">
        <f t="shared" si="504"/>
        <v>80</v>
      </c>
      <c r="M506" s="11">
        <f t="shared" si="504"/>
        <v>80</v>
      </c>
      <c r="O506" s="10">
        <f>'Optimal Choice'!$B$7*'Optimal Choice'!$B$8^(I506+1)</f>
        <v>727371.36020552856</v>
      </c>
      <c r="P506" s="10">
        <f>'Optimal Choice'!$B$12*'Optimal Choice'!$B$13^(J506+1)</f>
        <v>8658998.8196107745</v>
      </c>
      <c r="Q506" s="10">
        <f>'Optimal Choice'!$B$17*'Optimal Choice'!$B$18^(K506+1)</f>
        <v>43385040.649087839</v>
      </c>
      <c r="R506" s="10">
        <f>'Optimal Choice'!$B$22*'Optimal Choice'!$B$23^(L506+1)</f>
        <v>172134397.84248769</v>
      </c>
      <c r="S506" s="10">
        <f>'Optimal Choice'!$B$27*'Optimal Choice'!$B$28^(M506+1)</f>
        <v>1005436911.1542019</v>
      </c>
    </row>
    <row r="507" spans="1:19" ht="15.75" customHeight="1">
      <c r="A507" s="8">
        <f t="shared" si="0"/>
        <v>921.41324379793616</v>
      </c>
      <c r="B507" s="7">
        <f>(I507*'Optimal Choice'!$B$6+J507*'Optimal Choice'!$B$11+K507*'Optimal Choice'!$B$16+L507*'Optimal Choice'!$B$21+M507*'Optimal Choice'!$B$26)*'Optimal Choice'!$B$30</f>
        <v>211067.26</v>
      </c>
      <c r="C507" s="8">
        <f>(O507/$B507)+(O507/'Optimal Choice'!$B$6)</f>
        <v>435555.15885702817</v>
      </c>
      <c r="D507" s="8">
        <f>(P507/$B507)+(P507/'Optimal Choice'!$B$11)</f>
        <v>497939.61068407848</v>
      </c>
      <c r="E507" s="8">
        <f>(Q507/$B507)+(Q507/'Optimal Choice'!$B$16)</f>
        <v>482261.55799551553</v>
      </c>
      <c r="F507" s="8">
        <f>(R507/$B507)+(R507/'Optimal Choice'!$B$21)</f>
        <v>478966.64798261574</v>
      </c>
      <c r="G507" s="8">
        <f>(S507/$B507)+(S507/'Optimal Choice'!$B$26)</f>
        <v>470243.63682711479</v>
      </c>
      <c r="I507" s="11">
        <f t="shared" ref="I507:M507" si="505">IF(MIN($C506:$G506)=C506,I506+1,I506)</f>
        <v>178</v>
      </c>
      <c r="J507" s="11">
        <f t="shared" si="505"/>
        <v>85</v>
      </c>
      <c r="K507" s="11">
        <f t="shared" si="505"/>
        <v>83</v>
      </c>
      <c r="L507" s="11">
        <f t="shared" si="505"/>
        <v>80</v>
      </c>
      <c r="M507" s="11">
        <f t="shared" si="505"/>
        <v>80</v>
      </c>
      <c r="O507" s="10">
        <f>'Optimal Choice'!$B$7*'Optimal Choice'!$B$8^(I507+1)</f>
        <v>727371.36020552856</v>
      </c>
      <c r="P507" s="10">
        <f>'Optimal Choice'!$B$12*'Optimal Choice'!$B$13^(J507+1)</f>
        <v>9957848.6425523907</v>
      </c>
      <c r="Q507" s="10">
        <f>'Optimal Choice'!$B$17*'Optimal Choice'!$B$18^(K507+1)</f>
        <v>43385040.649087839</v>
      </c>
      <c r="R507" s="10">
        <f>'Optimal Choice'!$B$22*'Optimal Choice'!$B$23^(L507+1)</f>
        <v>172134397.84248769</v>
      </c>
      <c r="S507" s="10">
        <f>'Optimal Choice'!$B$27*'Optimal Choice'!$B$28^(M507+1)</f>
        <v>1005436911.1542019</v>
      </c>
    </row>
    <row r="508" spans="1:19" ht="15.75" customHeight="1">
      <c r="A508" s="8">
        <f t="shared" si="0"/>
        <v>921.47067978305017</v>
      </c>
      <c r="B508" s="7">
        <f>(I508*'Optimal Choice'!$B$6+J508*'Optimal Choice'!$B$11+K508*'Optimal Choice'!$B$16+L508*'Optimal Choice'!$B$21+M508*'Optimal Choice'!$B$26)*'Optimal Choice'!$B$30</f>
        <v>211068.93</v>
      </c>
      <c r="C508" s="8">
        <f>(O508/$B508)+(O508/'Optimal Choice'!$B$6)</f>
        <v>466044.01994784508</v>
      </c>
      <c r="D508" s="8">
        <f>(P508/$B508)+(P508/'Optimal Choice'!$B$11)</f>
        <v>497939.61031079671</v>
      </c>
      <c r="E508" s="8">
        <f>(Q508/$B508)+(Q508/'Optimal Choice'!$B$16)</f>
        <v>482261.55636917567</v>
      </c>
      <c r="F508" s="8">
        <f>(R508/$B508)+(R508/'Optimal Choice'!$B$21)</f>
        <v>478966.64152995317</v>
      </c>
      <c r="G508" s="8">
        <f>(S508/$B508)+(S508/'Optimal Choice'!$B$26)</f>
        <v>470243.59913711675</v>
      </c>
      <c r="I508" s="11">
        <f t="shared" ref="I508:M508" si="506">IF(MIN($C507:$G507)=C507,I507+1,I507)</f>
        <v>179</v>
      </c>
      <c r="J508" s="11">
        <f t="shared" si="506"/>
        <v>85</v>
      </c>
      <c r="K508" s="11">
        <f t="shared" si="506"/>
        <v>83</v>
      </c>
      <c r="L508" s="11">
        <f t="shared" si="506"/>
        <v>80</v>
      </c>
      <c r="M508" s="11">
        <f t="shared" si="506"/>
        <v>80</v>
      </c>
      <c r="O508" s="10">
        <f>'Optimal Choice'!$B$7*'Optimal Choice'!$B$8^(I508+1)</f>
        <v>778287.35541991552</v>
      </c>
      <c r="P508" s="10">
        <f>'Optimal Choice'!$B$12*'Optimal Choice'!$B$13^(J508+1)</f>
        <v>9957848.6425523907</v>
      </c>
      <c r="Q508" s="10">
        <f>'Optimal Choice'!$B$17*'Optimal Choice'!$B$18^(K508+1)</f>
        <v>43385040.649087839</v>
      </c>
      <c r="R508" s="10">
        <f>'Optimal Choice'!$B$22*'Optimal Choice'!$B$23^(L508+1)</f>
        <v>172134397.84248769</v>
      </c>
      <c r="S508" s="10">
        <f>'Optimal Choice'!$B$27*'Optimal Choice'!$B$28^(M508+1)</f>
        <v>1005436911.1542019</v>
      </c>
    </row>
    <row r="509" spans="1:19" ht="15.75" customHeight="1">
      <c r="A509" s="8">
        <f t="shared" si="0"/>
        <v>921.53213580087174</v>
      </c>
      <c r="B509" s="7">
        <f>(I509*'Optimal Choice'!$B$6+J509*'Optimal Choice'!$B$11+K509*'Optimal Choice'!$B$16+L509*'Optimal Choice'!$B$21+M509*'Optimal Choice'!$B$26)*'Optimal Choice'!$B$30</f>
        <v>211070.6</v>
      </c>
      <c r="C509" s="8">
        <f>(O509/$B509)+(O509/'Optimal Choice'!$B$6)</f>
        <v>498667.10131297749</v>
      </c>
      <c r="D509" s="8">
        <f>(P509/$B509)+(P509/'Optimal Choice'!$B$11)</f>
        <v>497939.60993752081</v>
      </c>
      <c r="E509" s="8">
        <f>(Q509/$B509)+(Q509/'Optimal Choice'!$B$16)</f>
        <v>482261.5547428616</v>
      </c>
      <c r="F509" s="8">
        <f>(R509/$B509)+(R509/'Optimal Choice'!$B$21)</f>
        <v>478966.63507739274</v>
      </c>
      <c r="G509" s="8">
        <f>(S509/$B509)+(S509/'Optimal Choice'!$B$26)</f>
        <v>470243.5614477151</v>
      </c>
      <c r="I509" s="11">
        <f t="shared" ref="I509:M509" si="507">IF(MIN($C508:$G508)=C508,I508+1,I508)</f>
        <v>180</v>
      </c>
      <c r="J509" s="11">
        <f t="shared" si="507"/>
        <v>85</v>
      </c>
      <c r="K509" s="11">
        <f t="shared" si="507"/>
        <v>83</v>
      </c>
      <c r="L509" s="11">
        <f t="shared" si="507"/>
        <v>80</v>
      </c>
      <c r="M509" s="11">
        <f t="shared" si="507"/>
        <v>80</v>
      </c>
      <c r="O509" s="10">
        <f>'Optimal Choice'!$B$7*'Optimal Choice'!$B$8^(I509+1)</f>
        <v>832767.4702993097</v>
      </c>
      <c r="P509" s="10">
        <f>'Optimal Choice'!$B$12*'Optimal Choice'!$B$13^(J509+1)</f>
        <v>9957848.6425523907</v>
      </c>
      <c r="Q509" s="10">
        <f>'Optimal Choice'!$B$17*'Optimal Choice'!$B$18^(K509+1)</f>
        <v>43385040.649087839</v>
      </c>
      <c r="R509" s="10">
        <f>'Optimal Choice'!$B$22*'Optimal Choice'!$B$23^(L509+1)</f>
        <v>172134397.84248769</v>
      </c>
      <c r="S509" s="10">
        <f>'Optimal Choice'!$B$27*'Optimal Choice'!$B$28^(M509+1)</f>
        <v>1005436911.1542019</v>
      </c>
    </row>
    <row r="510" spans="1:19" ht="15.75" customHeight="1">
      <c r="A510" s="8">
        <f t="shared" si="0"/>
        <v>1000.9239689248124</v>
      </c>
      <c r="B510" s="7">
        <f>(I510*'Optimal Choice'!$B$6+J510*'Optimal Choice'!$B$11+K510*'Optimal Choice'!$B$16+L510*'Optimal Choice'!$B$21+M510*'Optimal Choice'!$B$26)*'Optimal Choice'!$B$30</f>
        <v>213230.6</v>
      </c>
      <c r="C510" s="8">
        <f>(O510/$B510)+(O510/'Optimal Choice'!$B$6)</f>
        <v>498667.06134609901</v>
      </c>
      <c r="D510" s="8">
        <f>(P510/$B510)+(P510/'Optimal Choice'!$B$11)</f>
        <v>497939.13203205419</v>
      </c>
      <c r="E510" s="8">
        <f>(Q510/$B510)+(Q510/'Optimal Choice'!$B$16)</f>
        <v>482259.47257141682</v>
      </c>
      <c r="F510" s="8">
        <f>(R510/$B510)+(R510/'Optimal Choice'!$B$21)</f>
        <v>478958.37385826075</v>
      </c>
      <c r="G510" s="8">
        <f>(S510/$B510)+(S510/'Optimal Choice'!$B$26)</f>
        <v>526618.74459250947</v>
      </c>
      <c r="I510" s="11">
        <f t="shared" ref="I510:M510" si="508">IF(MIN($C509:$G509)=C509,I509+1,I509)</f>
        <v>180</v>
      </c>
      <c r="J510" s="11">
        <f t="shared" si="508"/>
        <v>85</v>
      </c>
      <c r="K510" s="11">
        <f t="shared" si="508"/>
        <v>83</v>
      </c>
      <c r="L510" s="11">
        <f t="shared" si="508"/>
        <v>80</v>
      </c>
      <c r="M510" s="11">
        <f t="shared" si="508"/>
        <v>81</v>
      </c>
      <c r="O510" s="10">
        <f>'Optimal Choice'!$B$7*'Optimal Choice'!$B$8^(I510+1)</f>
        <v>832767.4702993097</v>
      </c>
      <c r="P510" s="10">
        <f>'Optimal Choice'!$B$12*'Optimal Choice'!$B$13^(J510+1)</f>
        <v>9957848.6425523907</v>
      </c>
      <c r="Q510" s="10">
        <f>'Optimal Choice'!$B$17*'Optimal Choice'!$B$18^(K510+1)</f>
        <v>43385040.649087839</v>
      </c>
      <c r="R510" s="10">
        <f>'Optimal Choice'!$B$22*'Optimal Choice'!$B$23^(L510+1)</f>
        <v>172134397.84248769</v>
      </c>
      <c r="S510" s="10">
        <f>'Optimal Choice'!$B$27*'Optimal Choice'!$B$28^(M510+1)</f>
        <v>1126089340.4927063</v>
      </c>
    </row>
    <row r="511" spans="1:19" ht="15.75" customHeight="1">
      <c r="A511" s="8">
        <f t="shared" si="0"/>
        <v>1014.3784479288021</v>
      </c>
      <c r="B511" s="7">
        <f>(I511*'Optimal Choice'!$B$6+J511*'Optimal Choice'!$B$11+K511*'Optimal Choice'!$B$16+L511*'Optimal Choice'!$B$21+M511*'Optimal Choice'!$B$26)*'Optimal Choice'!$B$30</f>
        <v>213590.6</v>
      </c>
      <c r="C511" s="8">
        <f>(O511/$B511)+(O511/'Optimal Choice'!$B$6)</f>
        <v>498667.0547635426</v>
      </c>
      <c r="D511" s="8">
        <f>(P511/$B511)+(P511/'Optimal Choice'!$B$11)</f>
        <v>497939.05332088622</v>
      </c>
      <c r="E511" s="8">
        <f>(Q511/$B511)+(Q511/'Optimal Choice'!$B$16)</f>
        <v>482259.12963718019</v>
      </c>
      <c r="F511" s="8">
        <f>(R511/$B511)+(R511/'Optimal Choice'!$B$21)</f>
        <v>541221.42495339212</v>
      </c>
      <c r="G511" s="8">
        <f>(S511/$B511)+(S511/'Optimal Choice'!$B$26)</f>
        <v>526609.84349243995</v>
      </c>
      <c r="I511" s="11">
        <f t="shared" ref="I511:M511" si="509">IF(MIN($C510:$G510)=C510,I510+1,I510)</f>
        <v>180</v>
      </c>
      <c r="J511" s="11">
        <f t="shared" si="509"/>
        <v>85</v>
      </c>
      <c r="K511" s="11">
        <f t="shared" si="509"/>
        <v>83</v>
      </c>
      <c r="L511" s="11">
        <f t="shared" si="509"/>
        <v>81</v>
      </c>
      <c r="M511" s="11">
        <f t="shared" si="509"/>
        <v>81</v>
      </c>
      <c r="O511" s="10">
        <f>'Optimal Choice'!$B$7*'Optimal Choice'!$B$8^(I511+1)</f>
        <v>832767.4702993097</v>
      </c>
      <c r="P511" s="10">
        <f>'Optimal Choice'!$B$12*'Optimal Choice'!$B$13^(J511+1)</f>
        <v>9957848.6425523907</v>
      </c>
      <c r="Q511" s="10">
        <f>'Optimal Choice'!$B$17*'Optimal Choice'!$B$18^(K511+1)</f>
        <v>43385040.649087839</v>
      </c>
      <c r="R511" s="10">
        <f>'Optimal Choice'!$B$22*'Optimal Choice'!$B$23^(L511+1)</f>
        <v>194511869.56201103</v>
      </c>
      <c r="S511" s="10">
        <f>'Optimal Choice'!$B$27*'Optimal Choice'!$B$28^(M511+1)</f>
        <v>1126089340.4927063</v>
      </c>
    </row>
    <row r="512" spans="1:19" ht="15.75" customHeight="1">
      <c r="A512" s="8">
        <f t="shared" si="0"/>
        <v>1017.7638216803535</v>
      </c>
      <c r="B512" s="7">
        <f>(I512*'Optimal Choice'!$B$6+J512*'Optimal Choice'!$B$11+K512*'Optimal Choice'!$B$16+L512*'Optimal Choice'!$B$21+M512*'Optimal Choice'!$B$26)*'Optimal Choice'!$B$30</f>
        <v>213680.6</v>
      </c>
      <c r="C512" s="8">
        <f>(O512/$B512)+(O512/'Optimal Choice'!$B$6)</f>
        <v>498667.05312136916</v>
      </c>
      <c r="D512" s="8">
        <f>(P512/$B512)+(P512/'Optimal Choice'!$B$11)</f>
        <v>497939.0336845346</v>
      </c>
      <c r="E512" s="8">
        <f>(Q512/$B512)+(Q512/'Optimal Choice'!$B$16)</f>
        <v>549775.31025595532</v>
      </c>
      <c r="F512" s="8">
        <f>(R512/$B512)+(R512/'Optimal Choice'!$B$21)</f>
        <v>541221.04138625821</v>
      </c>
      <c r="G512" s="8">
        <f>(S512/$B512)+(S512/'Optimal Choice'!$B$26)</f>
        <v>526607.62290373351</v>
      </c>
      <c r="I512" s="11">
        <f t="shared" ref="I512:M512" si="510">IF(MIN($C511:$G511)=C511,I511+1,I511)</f>
        <v>180</v>
      </c>
      <c r="J512" s="11">
        <f t="shared" si="510"/>
        <v>85</v>
      </c>
      <c r="K512" s="11">
        <f t="shared" si="510"/>
        <v>84</v>
      </c>
      <c r="L512" s="11">
        <f t="shared" si="510"/>
        <v>81</v>
      </c>
      <c r="M512" s="11">
        <f t="shared" si="510"/>
        <v>81</v>
      </c>
      <c r="O512" s="10">
        <f>'Optimal Choice'!$B$7*'Optimal Choice'!$B$8^(I512+1)</f>
        <v>832767.4702993097</v>
      </c>
      <c r="P512" s="10">
        <f>'Optimal Choice'!$B$12*'Optimal Choice'!$B$13^(J512+1)</f>
        <v>9957848.6425523907</v>
      </c>
      <c r="Q512" s="10">
        <f>'Optimal Choice'!$B$17*'Optimal Choice'!$B$18^(K512+1)</f>
        <v>49458946.339960128</v>
      </c>
      <c r="R512" s="10">
        <f>'Optimal Choice'!$B$22*'Optimal Choice'!$B$23^(L512+1)</f>
        <v>194511869.56201103</v>
      </c>
      <c r="S512" s="10">
        <f>'Optimal Choice'!$B$27*'Optimal Choice'!$B$28^(M512+1)</f>
        <v>1126089340.4927063</v>
      </c>
    </row>
    <row r="513" spans="1:19" ht="15.75" customHeight="1">
      <c r="A513" s="8">
        <f t="shared" si="0"/>
        <v>1018.5405142956051</v>
      </c>
      <c r="B513" s="7">
        <f>(I513*'Optimal Choice'!$B$6+J513*'Optimal Choice'!$B$11+K513*'Optimal Choice'!$B$16+L513*'Optimal Choice'!$B$21+M513*'Optimal Choice'!$B$26)*'Optimal Choice'!$B$30</f>
        <v>213700.6</v>
      </c>
      <c r="C513" s="8">
        <f>(O513/$B513)+(O513/'Optimal Choice'!$B$6)</f>
        <v>498667.05275662953</v>
      </c>
      <c r="D513" s="8">
        <f>(P513/$B513)+(P513/'Optimal Choice'!$B$11)</f>
        <v>572629.88372161903</v>
      </c>
      <c r="E513" s="8">
        <f>(Q513/$B513)+(Q513/'Optimal Choice'!$B$16)</f>
        <v>549775.28859368258</v>
      </c>
      <c r="F513" s="8">
        <f>(R513/$B513)+(R513/'Optimal Choice'!$B$21)</f>
        <v>541220.95619299228</v>
      </c>
      <c r="G513" s="8">
        <f>(S513/$B513)+(S513/'Optimal Choice'!$B$26)</f>
        <v>526607.12969358172</v>
      </c>
      <c r="I513" s="11">
        <f t="shared" ref="I513:M513" si="511">IF(MIN($C512:$G512)=C512,I512+1,I512)</f>
        <v>180</v>
      </c>
      <c r="J513" s="11">
        <f t="shared" si="511"/>
        <v>86</v>
      </c>
      <c r="K513" s="11">
        <f t="shared" si="511"/>
        <v>84</v>
      </c>
      <c r="L513" s="11">
        <f t="shared" si="511"/>
        <v>81</v>
      </c>
      <c r="M513" s="11">
        <f t="shared" si="511"/>
        <v>81</v>
      </c>
      <c r="O513" s="10">
        <f>'Optimal Choice'!$B$7*'Optimal Choice'!$B$8^(I513+1)</f>
        <v>832767.4702993097</v>
      </c>
      <c r="P513" s="10">
        <f>'Optimal Choice'!$B$12*'Optimal Choice'!$B$13^(J513+1)</f>
        <v>11451525.938935246</v>
      </c>
      <c r="Q513" s="10">
        <f>'Optimal Choice'!$B$17*'Optimal Choice'!$B$18^(K513+1)</f>
        <v>49458946.339960128</v>
      </c>
      <c r="R513" s="10">
        <f>'Optimal Choice'!$B$22*'Optimal Choice'!$B$23^(L513+1)</f>
        <v>194511869.56201103</v>
      </c>
      <c r="S513" s="10">
        <f>'Optimal Choice'!$B$27*'Optimal Choice'!$B$28^(M513+1)</f>
        <v>1126089340.4927063</v>
      </c>
    </row>
    <row r="514" spans="1:19" ht="15.75" customHeight="1">
      <c r="A514" s="8">
        <f t="shared" si="0"/>
        <v>1018.6054624419291</v>
      </c>
      <c r="B514" s="7">
        <f>(I514*'Optimal Choice'!$B$6+J514*'Optimal Choice'!$B$11+K514*'Optimal Choice'!$B$16+L514*'Optimal Choice'!$B$21+M514*'Optimal Choice'!$B$26)*'Optimal Choice'!$B$30</f>
        <v>213702.27000000002</v>
      </c>
      <c r="C514" s="8">
        <f>(O514/$B514)+(O514/'Optimal Choice'!$B$6)</f>
        <v>533573.74641700916</v>
      </c>
      <c r="D514" s="8">
        <f>(P514/$B514)+(P514/'Optimal Choice'!$B$11)</f>
        <v>572629.88330285926</v>
      </c>
      <c r="E514" s="8">
        <f>(Q514/$B514)+(Q514/'Optimal Choice'!$B$16)</f>
        <v>549775.28678506613</v>
      </c>
      <c r="F514" s="8">
        <f>(R514/$B514)+(R514/'Optimal Choice'!$B$21)</f>
        <v>541220.94908007584</v>
      </c>
      <c r="G514" s="8">
        <f>(S514/$B514)+(S514/'Optimal Choice'!$B$26)</f>
        <v>526607.08851471019</v>
      </c>
      <c r="I514" s="11">
        <f t="shared" ref="I514:M514" si="512">IF(MIN($C513:$G513)=C513,I513+1,I513)</f>
        <v>181</v>
      </c>
      <c r="J514" s="11">
        <f t="shared" si="512"/>
        <v>86</v>
      </c>
      <c r="K514" s="11">
        <f t="shared" si="512"/>
        <v>84</v>
      </c>
      <c r="L514" s="11">
        <f t="shared" si="512"/>
        <v>81</v>
      </c>
      <c r="M514" s="11">
        <f t="shared" si="512"/>
        <v>81</v>
      </c>
      <c r="O514" s="10">
        <f>'Optimal Choice'!$B$7*'Optimal Choice'!$B$8^(I514+1)</f>
        <v>891061.19322026125</v>
      </c>
      <c r="P514" s="10">
        <f>'Optimal Choice'!$B$12*'Optimal Choice'!$B$13^(J514+1)</f>
        <v>11451525.938935246</v>
      </c>
      <c r="Q514" s="10">
        <f>'Optimal Choice'!$B$17*'Optimal Choice'!$B$18^(K514+1)</f>
        <v>49458946.339960128</v>
      </c>
      <c r="R514" s="10">
        <f>'Optimal Choice'!$B$22*'Optimal Choice'!$B$23^(L514+1)</f>
        <v>194511869.56201103</v>
      </c>
      <c r="S514" s="10">
        <f>'Optimal Choice'!$B$27*'Optimal Choice'!$B$28^(M514+1)</f>
        <v>1126089340.4927063</v>
      </c>
    </row>
    <row r="515" spans="1:19" ht="15.75" customHeight="1">
      <c r="A515" s="8">
        <f t="shared" si="0"/>
        <v>1106.4293104285623</v>
      </c>
      <c r="B515" s="7">
        <f>(I515*'Optimal Choice'!$B$6+J515*'Optimal Choice'!$B$11+K515*'Optimal Choice'!$B$16+L515*'Optimal Choice'!$B$21+M515*'Optimal Choice'!$B$26)*'Optimal Choice'!$B$30</f>
        <v>215862.27000000002</v>
      </c>
      <c r="C515" s="8">
        <f>(O515/$B515)+(O515/'Optimal Choice'!$B$6)</f>
        <v>533573.70469402091</v>
      </c>
      <c r="D515" s="8">
        <f>(P515/$B515)+(P515/'Optimal Choice'!$B$11)</f>
        <v>572629.34709739278</v>
      </c>
      <c r="E515" s="8">
        <f>(Q515/$B515)+(Q515/'Optimal Choice'!$B$16)</f>
        <v>549772.97092274937</v>
      </c>
      <c r="F515" s="8">
        <f>(R515/$B515)+(R515/'Optimal Choice'!$B$21)</f>
        <v>541211.84126961464</v>
      </c>
      <c r="G515" s="8">
        <f>(S515/$B515)+(S515/'Optimal Choice'!$B$26)</f>
        <v>589740.88385468419</v>
      </c>
      <c r="I515" s="11">
        <f t="shared" ref="I515:M515" si="513">IF(MIN($C514:$G514)=C514,I514+1,I514)</f>
        <v>181</v>
      </c>
      <c r="J515" s="11">
        <f t="shared" si="513"/>
        <v>86</v>
      </c>
      <c r="K515" s="11">
        <f t="shared" si="513"/>
        <v>84</v>
      </c>
      <c r="L515" s="11">
        <f t="shared" si="513"/>
        <v>81</v>
      </c>
      <c r="M515" s="11">
        <f t="shared" si="513"/>
        <v>82</v>
      </c>
      <c r="O515" s="10">
        <f>'Optimal Choice'!$B$7*'Optimal Choice'!$B$8^(I515+1)</f>
        <v>891061.19322026125</v>
      </c>
      <c r="P515" s="10">
        <f>'Optimal Choice'!$B$12*'Optimal Choice'!$B$13^(J515+1)</f>
        <v>11451525.938935246</v>
      </c>
      <c r="Q515" s="10">
        <f>'Optimal Choice'!$B$17*'Optimal Choice'!$B$18^(K515+1)</f>
        <v>49458946.339960128</v>
      </c>
      <c r="R515" s="10">
        <f>'Optimal Choice'!$B$22*'Optimal Choice'!$B$23^(L515+1)</f>
        <v>194511869.56201103</v>
      </c>
      <c r="S515" s="10">
        <f>'Optimal Choice'!$B$27*'Optimal Choice'!$B$28^(M515+1)</f>
        <v>1261220061.3518312</v>
      </c>
    </row>
    <row r="516" spans="1:19" ht="15.75" customHeight="1">
      <c r="A516" s="8">
        <f t="shared" si="0"/>
        <v>1106.4981090189181</v>
      </c>
      <c r="B516" s="7">
        <f>(I516*'Optimal Choice'!$B$6+J516*'Optimal Choice'!$B$11+K516*'Optimal Choice'!$B$16+L516*'Optimal Choice'!$B$21+M516*'Optimal Choice'!$B$26)*'Optimal Choice'!$B$30</f>
        <v>215863.94</v>
      </c>
      <c r="C516" s="8">
        <f>(O516/$B516)+(O516/'Optimal Choice'!$B$6)</f>
        <v>570923.86398843199</v>
      </c>
      <c r="D516" s="8">
        <f>(P516/$B516)+(P516/'Optimal Choice'!$B$11)</f>
        <v>572629.34668697801</v>
      </c>
      <c r="E516" s="8">
        <f>(Q516/$B516)+(Q516/'Optimal Choice'!$B$16)</f>
        <v>549772.96915017499</v>
      </c>
      <c r="F516" s="8">
        <f>(R516/$B516)+(R516/'Optimal Choice'!$B$21)</f>
        <v>541211.83429844351</v>
      </c>
      <c r="G516" s="8">
        <f>(S516/$B516)+(S516/'Optimal Choice'!$B$26)</f>
        <v>589740.83865342825</v>
      </c>
      <c r="I516" s="11">
        <f t="shared" ref="I516:M516" si="514">IF(MIN($C515:$G515)=C515,I515+1,I515)</f>
        <v>182</v>
      </c>
      <c r="J516" s="11">
        <f t="shared" si="514"/>
        <v>86</v>
      </c>
      <c r="K516" s="11">
        <f t="shared" si="514"/>
        <v>84</v>
      </c>
      <c r="L516" s="11">
        <f t="shared" si="514"/>
        <v>81</v>
      </c>
      <c r="M516" s="11">
        <f t="shared" si="514"/>
        <v>82</v>
      </c>
      <c r="O516" s="10">
        <f>'Optimal Choice'!$B$7*'Optimal Choice'!$B$8^(I516+1)</f>
        <v>953435.47674567963</v>
      </c>
      <c r="P516" s="10">
        <f>'Optimal Choice'!$B$12*'Optimal Choice'!$B$13^(J516+1)</f>
        <v>11451525.938935246</v>
      </c>
      <c r="Q516" s="10">
        <f>'Optimal Choice'!$B$17*'Optimal Choice'!$B$18^(K516+1)</f>
        <v>49458946.339960128</v>
      </c>
      <c r="R516" s="10">
        <f>'Optimal Choice'!$B$22*'Optimal Choice'!$B$23^(L516+1)</f>
        <v>194511869.56201103</v>
      </c>
      <c r="S516" s="10">
        <f>'Optimal Choice'!$B$27*'Optimal Choice'!$B$28^(M516+1)</f>
        <v>1261220061.3518312</v>
      </c>
    </row>
    <row r="517" spans="1:19" ht="15.75" customHeight="1">
      <c r="A517" s="8">
        <f t="shared" si="0"/>
        <v>1121.5162009369112</v>
      </c>
      <c r="B517" s="7">
        <f>(I517*'Optimal Choice'!$B$6+J517*'Optimal Choice'!$B$11+K517*'Optimal Choice'!$B$16+L517*'Optimal Choice'!$B$21+M517*'Optimal Choice'!$B$26)*'Optimal Choice'!$B$30</f>
        <v>216223.94</v>
      </c>
      <c r="C517" s="8">
        <f>(O517/$B517)+(O517/'Optimal Choice'!$B$6)</f>
        <v>570923.85663466377</v>
      </c>
      <c r="D517" s="8">
        <f>(P517/$B517)+(P517/'Optimal Choice'!$B$11)</f>
        <v>572629.25836231583</v>
      </c>
      <c r="E517" s="8">
        <f>(Q517/$B517)+(Q517/'Optimal Choice'!$B$16)</f>
        <v>549772.58767745632</v>
      </c>
      <c r="F517" s="8">
        <f>(R517/$B517)+(R517/'Optimal Choice'!$B$21)</f>
        <v>611567.67747045879</v>
      </c>
      <c r="G517" s="8">
        <f>(S517/$B517)+(S517/'Optimal Choice'!$B$26)</f>
        <v>589731.11096852622</v>
      </c>
      <c r="I517" s="11">
        <f t="shared" ref="I517:M517" si="515">IF(MIN($C516:$G516)=C516,I516+1,I516)</f>
        <v>182</v>
      </c>
      <c r="J517" s="11">
        <f t="shared" si="515"/>
        <v>86</v>
      </c>
      <c r="K517" s="11">
        <f t="shared" si="515"/>
        <v>84</v>
      </c>
      <c r="L517" s="11">
        <f t="shared" si="515"/>
        <v>82</v>
      </c>
      <c r="M517" s="11">
        <f t="shared" si="515"/>
        <v>82</v>
      </c>
      <c r="O517" s="10">
        <f>'Optimal Choice'!$B$7*'Optimal Choice'!$B$8^(I517+1)</f>
        <v>953435.47674567963</v>
      </c>
      <c r="P517" s="10">
        <f>'Optimal Choice'!$B$12*'Optimal Choice'!$B$13^(J517+1)</f>
        <v>11451525.938935246</v>
      </c>
      <c r="Q517" s="10">
        <f>'Optimal Choice'!$B$17*'Optimal Choice'!$B$18^(K517+1)</f>
        <v>49458946.339960128</v>
      </c>
      <c r="R517" s="10">
        <f>'Optimal Choice'!$B$22*'Optimal Choice'!$B$23^(L517+1)</f>
        <v>219798412.60507244</v>
      </c>
      <c r="S517" s="10">
        <f>'Optimal Choice'!$B$27*'Optimal Choice'!$B$28^(M517+1)</f>
        <v>1261220061.3518312</v>
      </c>
    </row>
    <row r="518" spans="1:19" ht="15.75" customHeight="1">
      <c r="A518" s="8">
        <f t="shared" si="0"/>
        <v>1125.3285251981963</v>
      </c>
      <c r="B518" s="7">
        <f>(I518*'Optimal Choice'!$B$6+J518*'Optimal Choice'!$B$11+K518*'Optimal Choice'!$B$16+L518*'Optimal Choice'!$B$21+M518*'Optimal Choice'!$B$26)*'Optimal Choice'!$B$30</f>
        <v>216313.94</v>
      </c>
      <c r="C518" s="8">
        <f>(O518/$B518)+(O518/'Optimal Choice'!$B$6)</f>
        <v>570923.85480004631</v>
      </c>
      <c r="D518" s="8">
        <f>(P518/$B518)+(P518/'Optimal Choice'!$B$11)</f>
        <v>572629.23632708588</v>
      </c>
      <c r="E518" s="8">
        <f>(Q518/$B518)+(Q518/'Optimal Choice'!$B$16)</f>
        <v>626740.64145874593</v>
      </c>
      <c r="F518" s="8">
        <f>(R518/$B518)+(R518/'Optimal Choice'!$B$21)</f>
        <v>611567.25453044358</v>
      </c>
      <c r="G518" s="8">
        <f>(S518/$B518)+(S518/'Optimal Choice'!$B$26)</f>
        <v>589728.68410645018</v>
      </c>
      <c r="I518" s="11">
        <f t="shared" ref="I518:M518" si="516">IF(MIN($C517:$G517)=C517,I517+1,I517)</f>
        <v>182</v>
      </c>
      <c r="J518" s="11">
        <f t="shared" si="516"/>
        <v>86</v>
      </c>
      <c r="K518" s="11">
        <f t="shared" si="516"/>
        <v>85</v>
      </c>
      <c r="L518" s="11">
        <f t="shared" si="516"/>
        <v>82</v>
      </c>
      <c r="M518" s="11">
        <f t="shared" si="516"/>
        <v>82</v>
      </c>
      <c r="O518" s="10">
        <f>'Optimal Choice'!$B$7*'Optimal Choice'!$B$8^(I518+1)</f>
        <v>953435.47674567963</v>
      </c>
      <c r="P518" s="10">
        <f>'Optimal Choice'!$B$12*'Optimal Choice'!$B$13^(J518+1)</f>
        <v>11451525.938935246</v>
      </c>
      <c r="Q518" s="10">
        <f>'Optimal Choice'!$B$17*'Optimal Choice'!$B$18^(K518+1)</f>
        <v>56383198.827554531</v>
      </c>
      <c r="R518" s="10">
        <f>'Optimal Choice'!$B$22*'Optimal Choice'!$B$23^(L518+1)</f>
        <v>219798412.60507244</v>
      </c>
      <c r="S518" s="10">
        <f>'Optimal Choice'!$B$27*'Optimal Choice'!$B$28^(M518+1)</f>
        <v>1261220061.3518312</v>
      </c>
    </row>
    <row r="519" spans="1:19" ht="15.75" customHeight="1">
      <c r="A519" s="8">
        <f t="shared" si="0"/>
        <v>1125.4019859806087</v>
      </c>
      <c r="B519" s="7">
        <f>(I519*'Optimal Choice'!$B$6+J519*'Optimal Choice'!$B$11+K519*'Optimal Choice'!$B$16+L519*'Optimal Choice'!$B$21+M519*'Optimal Choice'!$B$26)*'Optimal Choice'!$B$30</f>
        <v>216315.61</v>
      </c>
      <c r="C519" s="8">
        <f>(O519/$B519)+(O519/'Optimal Choice'!$B$6)</f>
        <v>610888.5245996397</v>
      </c>
      <c r="D519" s="8">
        <f>(P519/$B519)+(P519/'Optimal Choice'!$B$11)</f>
        <v>572629.23591838323</v>
      </c>
      <c r="E519" s="8">
        <f>(Q519/$B519)+(Q519/'Optimal Choice'!$B$16)</f>
        <v>626740.63944644097</v>
      </c>
      <c r="F519" s="8">
        <f>(R519/$B519)+(R519/'Optimal Choice'!$B$21)</f>
        <v>611567.24668588233</v>
      </c>
      <c r="G519" s="8">
        <f>(S519/$B519)+(S519/'Optimal Choice'!$B$26)</f>
        <v>589728.63909375959</v>
      </c>
      <c r="I519" s="11">
        <f t="shared" ref="I519:M519" si="517">IF(MIN($C518:$G518)=C518,I518+1,I518)</f>
        <v>183</v>
      </c>
      <c r="J519" s="11">
        <f t="shared" si="517"/>
        <v>86</v>
      </c>
      <c r="K519" s="11">
        <f t="shared" si="517"/>
        <v>85</v>
      </c>
      <c r="L519" s="11">
        <f t="shared" si="517"/>
        <v>82</v>
      </c>
      <c r="M519" s="11">
        <f t="shared" si="517"/>
        <v>82</v>
      </c>
      <c r="O519" s="10">
        <f>'Optimal Choice'!$B$7*'Optimal Choice'!$B$8^(I519+1)</f>
        <v>1020175.9601178771</v>
      </c>
      <c r="P519" s="10">
        <f>'Optimal Choice'!$B$12*'Optimal Choice'!$B$13^(J519+1)</f>
        <v>11451525.938935246</v>
      </c>
      <c r="Q519" s="10">
        <f>'Optimal Choice'!$B$17*'Optimal Choice'!$B$18^(K519+1)</f>
        <v>56383198.827554531</v>
      </c>
      <c r="R519" s="10">
        <f>'Optimal Choice'!$B$22*'Optimal Choice'!$B$23^(L519+1)</f>
        <v>219798412.60507244</v>
      </c>
      <c r="S519" s="10">
        <f>'Optimal Choice'!$B$27*'Optimal Choice'!$B$28^(M519+1)</f>
        <v>1261220061.3518312</v>
      </c>
    </row>
    <row r="520" spans="1:19" ht="15.75" customHeight="1">
      <c r="A520" s="8">
        <f t="shared" si="0"/>
        <v>1126.2843021742895</v>
      </c>
      <c r="B520" s="7">
        <f>(I520*'Optimal Choice'!$B$6+J520*'Optimal Choice'!$B$11+K520*'Optimal Choice'!$B$16+L520*'Optimal Choice'!$B$21+M520*'Optimal Choice'!$B$26)*'Optimal Choice'!$B$30</f>
        <v>216335.61</v>
      </c>
      <c r="C520" s="8">
        <f>(O520/$B520)+(O520/'Optimal Choice'!$B$6)</f>
        <v>610888.52416363696</v>
      </c>
      <c r="D520" s="8">
        <f>(P520/$B520)+(P520/'Optimal Choice'!$B$11)</f>
        <v>658523.61567786534</v>
      </c>
      <c r="E520" s="8">
        <f>(Q520/$B520)+(Q520/'Optimal Choice'!$B$16)</f>
        <v>626740.61534939345</v>
      </c>
      <c r="F520" s="8">
        <f>(R520/$B520)+(R520/'Optimal Choice'!$B$21)</f>
        <v>611567.15274845238</v>
      </c>
      <c r="G520" s="8">
        <f>(S520/$B520)+(S520/'Optimal Choice'!$B$26)</f>
        <v>589728.1000736194</v>
      </c>
      <c r="I520" s="11">
        <f t="shared" ref="I520:M520" si="518">IF(MIN($C519:$G519)=C519,I519+1,I519)</f>
        <v>183</v>
      </c>
      <c r="J520" s="11">
        <f t="shared" si="518"/>
        <v>87</v>
      </c>
      <c r="K520" s="11">
        <f t="shared" si="518"/>
        <v>85</v>
      </c>
      <c r="L520" s="11">
        <f t="shared" si="518"/>
        <v>82</v>
      </c>
      <c r="M520" s="11">
        <f t="shared" si="518"/>
        <v>82</v>
      </c>
      <c r="O520" s="10">
        <f>'Optimal Choice'!$B$7*'Optimal Choice'!$B$8^(I520+1)</f>
        <v>1020175.9601178771</v>
      </c>
      <c r="P520" s="10">
        <f>'Optimal Choice'!$B$12*'Optimal Choice'!$B$13^(J520+1)</f>
        <v>13169254.829775531</v>
      </c>
      <c r="Q520" s="10">
        <f>'Optimal Choice'!$B$17*'Optimal Choice'!$B$18^(K520+1)</f>
        <v>56383198.827554531</v>
      </c>
      <c r="R520" s="10">
        <f>'Optimal Choice'!$B$22*'Optimal Choice'!$B$23^(L520+1)</f>
        <v>219798412.60507244</v>
      </c>
      <c r="S520" s="10">
        <f>'Optimal Choice'!$B$27*'Optimal Choice'!$B$28^(M520+1)</f>
        <v>1261220061.3518312</v>
      </c>
    </row>
    <row r="521" spans="1:19" ht="15.75" customHeight="1">
      <c r="A521" s="8">
        <f t="shared" si="0"/>
        <v>1223.4496942050507</v>
      </c>
      <c r="B521" s="7">
        <f>(I521*'Optimal Choice'!$B$6+J521*'Optimal Choice'!$B$11+K521*'Optimal Choice'!$B$16+L521*'Optimal Choice'!$B$21+M521*'Optimal Choice'!$B$26)*'Optimal Choice'!$B$30</f>
        <v>218495.61</v>
      </c>
      <c r="C521" s="8">
        <f>(O521/$B521)+(O521/'Optimal Choice'!$B$6)</f>
        <v>610888.47754515696</v>
      </c>
      <c r="D521" s="8">
        <f>(P521/$B521)+(P521/'Optimal Choice'!$B$11)</f>
        <v>658523.01388889377</v>
      </c>
      <c r="E521" s="8">
        <f>(Q521/$B521)+(Q521/'Optimal Choice'!$B$16)</f>
        <v>626738.03883404203</v>
      </c>
      <c r="F521" s="8">
        <f>(R521/$B521)+(R521/'Optimal Choice'!$B$21)</f>
        <v>611557.10872831754</v>
      </c>
      <c r="G521" s="8">
        <f>(S521/$B521)+(S521/'Optimal Choice'!$B$26)</f>
        <v>660430.92272613454</v>
      </c>
      <c r="I521" s="11">
        <f t="shared" ref="I521:M521" si="519">IF(MIN($C520:$G520)=C520,I520+1,I520)</f>
        <v>183</v>
      </c>
      <c r="J521" s="11">
        <f t="shared" si="519"/>
        <v>87</v>
      </c>
      <c r="K521" s="11">
        <f t="shared" si="519"/>
        <v>85</v>
      </c>
      <c r="L521" s="11">
        <f t="shared" si="519"/>
        <v>82</v>
      </c>
      <c r="M521" s="11">
        <f t="shared" si="519"/>
        <v>83</v>
      </c>
      <c r="O521" s="10">
        <f>'Optimal Choice'!$B$7*'Optimal Choice'!$B$8^(I521+1)</f>
        <v>1020175.9601178771</v>
      </c>
      <c r="P521" s="10">
        <f>'Optimal Choice'!$B$12*'Optimal Choice'!$B$13^(J521+1)</f>
        <v>13169254.829775531</v>
      </c>
      <c r="Q521" s="10">
        <f>'Optimal Choice'!$B$17*'Optimal Choice'!$B$18^(K521+1)</f>
        <v>56383198.827554531</v>
      </c>
      <c r="R521" s="10">
        <f>'Optimal Choice'!$B$22*'Optimal Choice'!$B$23^(L521+1)</f>
        <v>219798412.60507244</v>
      </c>
      <c r="S521" s="10">
        <f>'Optimal Choice'!$B$27*'Optimal Choice'!$B$28^(M521+1)</f>
        <v>1412566468.7140508</v>
      </c>
    </row>
    <row r="522" spans="1:19" ht="15.75" customHeight="1">
      <c r="A522" s="8">
        <f t="shared" si="0"/>
        <v>1223.5275123940232</v>
      </c>
      <c r="B522" s="7">
        <f>(I522*'Optimal Choice'!$B$6+J522*'Optimal Choice'!$B$11+K522*'Optimal Choice'!$B$16+L522*'Optimal Choice'!$B$21+M522*'Optimal Choice'!$B$26)*'Optimal Choice'!$B$30</f>
        <v>218497.28</v>
      </c>
      <c r="C522" s="8">
        <f>(O522/$B522)+(O522/'Optimal Choice'!$B$6)</f>
        <v>653650.6709351337</v>
      </c>
      <c r="D522" s="8">
        <f>(P522/$B522)+(P522/'Optimal Choice'!$B$11)</f>
        <v>658523.01342822483</v>
      </c>
      <c r="E522" s="8">
        <f>(Q522/$B522)+(Q522/'Optimal Choice'!$B$16)</f>
        <v>626738.03686172178</v>
      </c>
      <c r="F522" s="8">
        <f>(R522/$B522)+(R522/'Optimal Choice'!$B$21)</f>
        <v>611557.10103962885</v>
      </c>
      <c r="G522" s="8">
        <f>(S522/$B522)+(S522/'Optimal Choice'!$B$26)</f>
        <v>660430.87331365887</v>
      </c>
      <c r="I522" s="11">
        <f t="shared" ref="I522:M522" si="520">IF(MIN($C521:$G521)=C521,I521+1,I521)</f>
        <v>184</v>
      </c>
      <c r="J522" s="11">
        <f t="shared" si="520"/>
        <v>87</v>
      </c>
      <c r="K522" s="11">
        <f t="shared" si="520"/>
        <v>85</v>
      </c>
      <c r="L522" s="11">
        <f t="shared" si="520"/>
        <v>82</v>
      </c>
      <c r="M522" s="11">
        <f t="shared" si="520"/>
        <v>83</v>
      </c>
      <c r="O522" s="10">
        <f>'Optimal Choice'!$B$7*'Optimal Choice'!$B$8^(I522+1)</f>
        <v>1091588.2773261287</v>
      </c>
      <c r="P522" s="10">
        <f>'Optimal Choice'!$B$12*'Optimal Choice'!$B$13^(J522+1)</f>
        <v>13169254.829775531</v>
      </c>
      <c r="Q522" s="10">
        <f>'Optimal Choice'!$B$17*'Optimal Choice'!$B$18^(K522+1)</f>
        <v>56383198.827554531</v>
      </c>
      <c r="R522" s="10">
        <f>'Optimal Choice'!$B$22*'Optimal Choice'!$B$23^(L522+1)</f>
        <v>219798412.60507244</v>
      </c>
      <c r="S522" s="10">
        <f>'Optimal Choice'!$B$27*'Optimal Choice'!$B$28^(M522+1)</f>
        <v>1412566468.7140508</v>
      </c>
    </row>
    <row r="523" spans="1:19" ht="15.75" customHeight="1">
      <c r="A523" s="8">
        <f t="shared" si="0"/>
        <v>1240.293427634484</v>
      </c>
      <c r="B523" s="7">
        <f>(I523*'Optimal Choice'!$B$6+J523*'Optimal Choice'!$B$11+K523*'Optimal Choice'!$B$16+L523*'Optimal Choice'!$B$21+M523*'Optimal Choice'!$B$26)*'Optimal Choice'!$B$30</f>
        <v>218857.28</v>
      </c>
      <c r="C523" s="8">
        <f>(O523/$B523)+(O523/'Optimal Choice'!$B$6)</f>
        <v>653650.66271735705</v>
      </c>
      <c r="D523" s="8">
        <f>(P523/$B523)+(P523/'Optimal Choice'!$B$11)</f>
        <v>658522.91428645444</v>
      </c>
      <c r="E523" s="8">
        <f>(Q523/$B523)+(Q523/'Optimal Choice'!$B$16)</f>
        <v>626737.61239350215</v>
      </c>
      <c r="F523" s="8">
        <f>(R523/$B523)+(R523/'Optimal Choice'!$B$21)</f>
        <v>691057.65436053823</v>
      </c>
      <c r="G523" s="8">
        <f>(S523/$B523)+(S523/'Optimal Choice'!$B$26)</f>
        <v>660420.23912498925</v>
      </c>
      <c r="I523" s="11">
        <f t="shared" ref="I523:M523" si="521">IF(MIN($C522:$G522)=C522,I522+1,I522)</f>
        <v>184</v>
      </c>
      <c r="J523" s="11">
        <f t="shared" si="521"/>
        <v>87</v>
      </c>
      <c r="K523" s="11">
        <f t="shared" si="521"/>
        <v>85</v>
      </c>
      <c r="L523" s="11">
        <f t="shared" si="521"/>
        <v>83</v>
      </c>
      <c r="M523" s="11">
        <f t="shared" si="521"/>
        <v>83</v>
      </c>
      <c r="O523" s="10">
        <f>'Optimal Choice'!$B$7*'Optimal Choice'!$B$8^(I523+1)</f>
        <v>1091588.2773261287</v>
      </c>
      <c r="P523" s="10">
        <f>'Optimal Choice'!$B$12*'Optimal Choice'!$B$13^(J523+1)</f>
        <v>13169254.829775531</v>
      </c>
      <c r="Q523" s="10">
        <f>'Optimal Choice'!$B$17*'Optimal Choice'!$B$18^(K523+1)</f>
        <v>56383198.827554531</v>
      </c>
      <c r="R523" s="10">
        <f>'Optimal Choice'!$B$22*'Optimal Choice'!$B$23^(L523+1)</f>
        <v>248372206.24373183</v>
      </c>
      <c r="S523" s="10">
        <f>'Optimal Choice'!$B$27*'Optimal Choice'!$B$28^(M523+1)</f>
        <v>1412566468.7140508</v>
      </c>
    </row>
    <row r="524" spans="1:19" ht="15.75" customHeight="1">
      <c r="A524" s="8">
        <f t="shared" si="0"/>
        <v>1244.5871846457164</v>
      </c>
      <c r="B524" s="7">
        <f>(I524*'Optimal Choice'!$B$6+J524*'Optimal Choice'!$B$11+K524*'Optimal Choice'!$B$16+L524*'Optimal Choice'!$B$21+M524*'Optimal Choice'!$B$26)*'Optimal Choice'!$B$30</f>
        <v>218947.28</v>
      </c>
      <c r="C524" s="8">
        <f>(O524/$B524)+(O524/'Optimal Choice'!$B$6)</f>
        <v>653650.66066713538</v>
      </c>
      <c r="D524" s="8">
        <f>(P524/$B524)+(P524/'Optimal Choice'!$B$11)</f>
        <v>658522.88955195306</v>
      </c>
      <c r="E524" s="8">
        <f>(Q524/$B524)+(Q524/'Optimal Choice'!$B$16)</f>
        <v>714480.75740378525</v>
      </c>
      <c r="F524" s="8">
        <f>(R524/$B524)+(R524/'Optimal Choice'!$B$21)</f>
        <v>691057.18786772992</v>
      </c>
      <c r="G524" s="8">
        <f>(S524/$B524)+(S524/'Optimal Choice'!$B$26)</f>
        <v>660417.58604190534</v>
      </c>
      <c r="I524" s="11">
        <f t="shared" ref="I524:M524" si="522">IF(MIN($C523:$G523)=C523,I523+1,I523)</f>
        <v>184</v>
      </c>
      <c r="J524" s="11">
        <f t="shared" si="522"/>
        <v>87</v>
      </c>
      <c r="K524" s="11">
        <f t="shared" si="522"/>
        <v>86</v>
      </c>
      <c r="L524" s="11">
        <f t="shared" si="522"/>
        <v>83</v>
      </c>
      <c r="M524" s="11">
        <f t="shared" si="522"/>
        <v>83</v>
      </c>
      <c r="O524" s="10">
        <f>'Optimal Choice'!$B$7*'Optimal Choice'!$B$8^(I524+1)</f>
        <v>1091588.2773261287</v>
      </c>
      <c r="P524" s="10">
        <f>'Optimal Choice'!$B$12*'Optimal Choice'!$B$13^(J524+1)</f>
        <v>13169254.829775531</v>
      </c>
      <c r="Q524" s="10">
        <f>'Optimal Choice'!$B$17*'Optimal Choice'!$B$18^(K524+1)</f>
        <v>64276846.663412169</v>
      </c>
      <c r="R524" s="10">
        <f>'Optimal Choice'!$B$22*'Optimal Choice'!$B$23^(L524+1)</f>
        <v>248372206.24373183</v>
      </c>
      <c r="S524" s="10">
        <f>'Optimal Choice'!$B$27*'Optimal Choice'!$B$28^(M524+1)</f>
        <v>1412566468.7140508</v>
      </c>
    </row>
    <row r="525" spans="1:19" ht="15.75" customHeight="1">
      <c r="A525" s="8">
        <f t="shared" si="0"/>
        <v>1244.6702783382045</v>
      </c>
      <c r="B525" s="7">
        <f>(I525*'Optimal Choice'!$B$6+J525*'Optimal Choice'!$B$11+K525*'Optimal Choice'!$B$16+L525*'Optimal Choice'!$B$21+M525*'Optimal Choice'!$B$26)*'Optimal Choice'!$B$30</f>
        <v>218948.95</v>
      </c>
      <c r="C525" s="8">
        <f>(O525/$B525)+(O525/'Optimal Choice'!$B$6)</f>
        <v>699406.20687314577</v>
      </c>
      <c r="D525" s="8">
        <f>(P525/$B525)+(P525/'Optimal Choice'!$B$11)</f>
        <v>658522.88909318286</v>
      </c>
      <c r="E525" s="8">
        <f>(Q525/$B525)+(Q525/'Optimal Choice'!$B$16)</f>
        <v>714480.75516460731</v>
      </c>
      <c r="F525" s="8">
        <f>(R525/$B525)+(R525/'Optimal Choice'!$B$21)</f>
        <v>691057.17921532085</v>
      </c>
      <c r="G525" s="8">
        <f>(S525/$B525)+(S525/'Optimal Choice'!$B$26)</f>
        <v>660417.53683308628</v>
      </c>
      <c r="I525" s="11">
        <f t="shared" ref="I525:M525" si="523">IF(MIN($C524:$G524)=C524,I524+1,I524)</f>
        <v>185</v>
      </c>
      <c r="J525" s="11">
        <f t="shared" si="523"/>
        <v>87</v>
      </c>
      <c r="K525" s="11">
        <f t="shared" si="523"/>
        <v>86</v>
      </c>
      <c r="L525" s="11">
        <f t="shared" si="523"/>
        <v>83</v>
      </c>
      <c r="M525" s="11">
        <f t="shared" si="523"/>
        <v>83</v>
      </c>
      <c r="O525" s="10">
        <f>'Optimal Choice'!$B$7*'Optimal Choice'!$B$8^(I525+1)</f>
        <v>1167999.4567389574</v>
      </c>
      <c r="P525" s="10">
        <f>'Optimal Choice'!$B$12*'Optimal Choice'!$B$13^(J525+1)</f>
        <v>13169254.829775531</v>
      </c>
      <c r="Q525" s="10">
        <f>'Optimal Choice'!$B$17*'Optimal Choice'!$B$18^(K525+1)</f>
        <v>64276846.663412169</v>
      </c>
      <c r="R525" s="10">
        <f>'Optimal Choice'!$B$22*'Optimal Choice'!$B$23^(L525+1)</f>
        <v>248372206.24373183</v>
      </c>
      <c r="S525" s="10">
        <f>'Optimal Choice'!$B$27*'Optimal Choice'!$B$28^(M525+1)</f>
        <v>1412566468.7140508</v>
      </c>
    </row>
    <row r="526" spans="1:19" ht="15.75" customHeight="1">
      <c r="A526" s="8">
        <f t="shared" si="0"/>
        <v>1245.672738411643</v>
      </c>
      <c r="B526" s="7">
        <f>(I526*'Optimal Choice'!$B$6+J526*'Optimal Choice'!$B$11+K526*'Optimal Choice'!$B$16+L526*'Optimal Choice'!$B$21+M526*'Optimal Choice'!$B$26)*'Optimal Choice'!$B$30</f>
        <v>218968.95</v>
      </c>
      <c r="C526" s="8">
        <f>(O526/$B526)+(O526/'Optimal Choice'!$B$6)</f>
        <v>699406.20638590096</v>
      </c>
      <c r="D526" s="8">
        <f>(P526/$B526)+(P526/'Optimal Choice'!$B$11)</f>
        <v>757301.31613939279</v>
      </c>
      <c r="E526" s="8">
        <f>(Q526/$B526)+(Q526/'Optimal Choice'!$B$16)</f>
        <v>714480.72835075844</v>
      </c>
      <c r="F526" s="8">
        <f>(R526/$B526)+(R526/'Optimal Choice'!$B$21)</f>
        <v>691057.07560390979</v>
      </c>
      <c r="G526" s="8">
        <f>(S526/$B526)+(S526/'Optimal Choice'!$B$26)</f>
        <v>660416.94756423379</v>
      </c>
      <c r="I526" s="11">
        <f t="shared" ref="I526:M526" si="524">IF(MIN($C525:$G525)=C525,I525+1,I525)</f>
        <v>185</v>
      </c>
      <c r="J526" s="11">
        <f t="shared" si="524"/>
        <v>88</v>
      </c>
      <c r="K526" s="11">
        <f t="shared" si="524"/>
        <v>86</v>
      </c>
      <c r="L526" s="11">
        <f t="shared" si="524"/>
        <v>83</v>
      </c>
      <c r="M526" s="11">
        <f t="shared" si="524"/>
        <v>83</v>
      </c>
      <c r="O526" s="10">
        <f>'Optimal Choice'!$B$7*'Optimal Choice'!$B$8^(I526+1)</f>
        <v>1167999.4567389574</v>
      </c>
      <c r="P526" s="10">
        <f>'Optimal Choice'!$B$12*'Optimal Choice'!$B$13^(J526+1)</f>
        <v>15144643.05424186</v>
      </c>
      <c r="Q526" s="10">
        <f>'Optimal Choice'!$B$17*'Optimal Choice'!$B$18^(K526+1)</f>
        <v>64276846.663412169</v>
      </c>
      <c r="R526" s="10">
        <f>'Optimal Choice'!$B$22*'Optimal Choice'!$B$23^(L526+1)</f>
        <v>248372206.24373183</v>
      </c>
      <c r="S526" s="10">
        <f>'Optimal Choice'!$B$27*'Optimal Choice'!$B$28^(M526+1)</f>
        <v>1412566468.7140508</v>
      </c>
    </row>
    <row r="527" spans="1:19" ht="15.75" customHeight="1">
      <c r="A527" s="8">
        <f t="shared" si="0"/>
        <v>1353.1892355157645</v>
      </c>
      <c r="B527" s="7">
        <f>(I527*'Optimal Choice'!$B$6+J527*'Optimal Choice'!$B$11+K527*'Optimal Choice'!$B$16+L527*'Optimal Choice'!$B$21+M527*'Optimal Choice'!$B$26)*'Optimal Choice'!$B$30</f>
        <v>221128.95</v>
      </c>
      <c r="C527" s="8">
        <f>(O527/$B527)+(O527/'Optimal Choice'!$B$6)</f>
        <v>699406.15428223845</v>
      </c>
      <c r="D527" s="8">
        <f>(P527/$B527)+(P527/'Optimal Choice'!$B$11)</f>
        <v>757300.64054715144</v>
      </c>
      <c r="E527" s="8">
        <f>(Q527/$B527)+(Q527/'Optimal Choice'!$B$16)</f>
        <v>714477.86100428144</v>
      </c>
      <c r="F527" s="8">
        <f>(R527/$B527)+(R527/'Optimal Choice'!$B$21)</f>
        <v>691045.99588846753</v>
      </c>
      <c r="G527" s="8">
        <f>(S527/$B527)+(S527/'Optimal Choice'!$B$26)</f>
        <v>739596.4060053943</v>
      </c>
      <c r="I527" s="11">
        <f t="shared" ref="I527:M527" si="525">IF(MIN($C526:$G526)=C526,I526+1,I526)</f>
        <v>185</v>
      </c>
      <c r="J527" s="11">
        <f t="shared" si="525"/>
        <v>88</v>
      </c>
      <c r="K527" s="11">
        <f t="shared" si="525"/>
        <v>86</v>
      </c>
      <c r="L527" s="11">
        <f t="shared" si="525"/>
        <v>83</v>
      </c>
      <c r="M527" s="11">
        <f t="shared" si="525"/>
        <v>84</v>
      </c>
      <c r="O527" s="10">
        <f>'Optimal Choice'!$B$7*'Optimal Choice'!$B$8^(I527+1)</f>
        <v>1167999.4567389574</v>
      </c>
      <c r="P527" s="10">
        <f>'Optimal Choice'!$B$12*'Optimal Choice'!$B$13^(J527+1)</f>
        <v>15144643.05424186</v>
      </c>
      <c r="Q527" s="10">
        <f>'Optimal Choice'!$B$17*'Optimal Choice'!$B$18^(K527+1)</f>
        <v>64276846.663412169</v>
      </c>
      <c r="R527" s="10">
        <f>'Optimal Choice'!$B$22*'Optimal Choice'!$B$23^(L527+1)</f>
        <v>248372206.24373183</v>
      </c>
      <c r="S527" s="10">
        <f>'Optimal Choice'!$B$27*'Optimal Choice'!$B$28^(M527+1)</f>
        <v>1582074444.9597371</v>
      </c>
    </row>
    <row r="528" spans="1:19" ht="15.75" customHeight="1">
      <c r="A528" s="8">
        <f t="shared" si="0"/>
        <v>1371.909248298934</v>
      </c>
      <c r="B528" s="7">
        <f>(I528*'Optimal Choice'!$B$6+J528*'Optimal Choice'!$B$11+K528*'Optimal Choice'!$B$16+L528*'Optimal Choice'!$B$21+M528*'Optimal Choice'!$B$26)*'Optimal Choice'!$B$30</f>
        <v>221488.95</v>
      </c>
      <c r="C528" s="8">
        <f>(O528/$B528)+(O528/'Optimal Choice'!$B$6)</f>
        <v>699406.1456970966</v>
      </c>
      <c r="D528" s="8">
        <f>(P528/$B528)+(P528/'Optimal Choice'!$B$11)</f>
        <v>757300.52922954108</v>
      </c>
      <c r="E528" s="8">
        <f>(Q528/$B528)+(Q528/'Optimal Choice'!$B$16)</f>
        <v>714477.38855042821</v>
      </c>
      <c r="F528" s="8">
        <f>(R528/$B528)+(R528/'Optimal Choice'!$B$21)</f>
        <v>780879.91241551458</v>
      </c>
      <c r="G528" s="8">
        <f>(S528/$B528)+(S528/'Optimal Choice'!$B$26)</f>
        <v>739584.77728982188</v>
      </c>
      <c r="I528" s="11">
        <f t="shared" ref="I528:M528" si="526">IF(MIN($C527:$G527)=C527,I527+1,I527)</f>
        <v>185</v>
      </c>
      <c r="J528" s="11">
        <f t="shared" si="526"/>
        <v>88</v>
      </c>
      <c r="K528" s="11">
        <f t="shared" si="526"/>
        <v>86</v>
      </c>
      <c r="L528" s="11">
        <f t="shared" si="526"/>
        <v>84</v>
      </c>
      <c r="M528" s="11">
        <f t="shared" si="526"/>
        <v>84</v>
      </c>
      <c r="O528" s="10">
        <f>'Optimal Choice'!$B$7*'Optimal Choice'!$B$8^(I528+1)</f>
        <v>1167999.4567389574</v>
      </c>
      <c r="P528" s="10">
        <f>'Optimal Choice'!$B$12*'Optimal Choice'!$B$13^(J528+1)</f>
        <v>15144643.05424186</v>
      </c>
      <c r="Q528" s="10">
        <f>'Optimal Choice'!$B$17*'Optimal Choice'!$B$18^(K528+1)</f>
        <v>64276846.663412169</v>
      </c>
      <c r="R528" s="10">
        <f>'Optimal Choice'!$B$22*'Optimal Choice'!$B$23^(L528+1)</f>
        <v>280660593.05541694</v>
      </c>
      <c r="S528" s="10">
        <f>'Optimal Choice'!$B$27*'Optimal Choice'!$B$28^(M528+1)</f>
        <v>1582074444.9597371</v>
      </c>
    </row>
    <row r="529" spans="1:19" ht="15.75" customHeight="1">
      <c r="A529" s="8">
        <f t="shared" si="0"/>
        <v>1371.9971382709273</v>
      </c>
      <c r="B529" s="7">
        <f>(I529*'Optimal Choice'!$B$6+J529*'Optimal Choice'!$B$11+K529*'Optimal Choice'!$B$16+L529*'Optimal Choice'!$B$21+M529*'Optimal Choice'!$B$26)*'Optimal Choice'!$B$30</f>
        <v>221490.62</v>
      </c>
      <c r="C529" s="8">
        <f>(O529/$B529)+(O529/'Optimal Choice'!$B$6)</f>
        <v>748364.57585334976</v>
      </c>
      <c r="D529" s="8">
        <f>(P529/$B529)+(P529/'Optimal Choice'!$B$11)</f>
        <v>757300.52871399431</v>
      </c>
      <c r="E529" s="8">
        <f>(Q529/$B529)+(Q529/'Optimal Choice'!$B$16)</f>
        <v>714477.38636234601</v>
      </c>
      <c r="F529" s="8">
        <f>(R529/$B529)+(R529/'Optimal Choice'!$B$21)</f>
        <v>780879.90286139864</v>
      </c>
      <c r="G529" s="8">
        <f>(S529/$B529)+(S529/'Optimal Choice'!$B$26)</f>
        <v>739584.72343358758</v>
      </c>
      <c r="I529" s="11">
        <f t="shared" ref="I529:M529" si="527">IF(MIN($C528:$G528)=C528,I528+1,I528)</f>
        <v>186</v>
      </c>
      <c r="J529" s="11">
        <f t="shared" si="527"/>
        <v>88</v>
      </c>
      <c r="K529" s="11">
        <f t="shared" si="527"/>
        <v>86</v>
      </c>
      <c r="L529" s="11">
        <f t="shared" si="527"/>
        <v>84</v>
      </c>
      <c r="M529" s="11">
        <f t="shared" si="527"/>
        <v>84</v>
      </c>
      <c r="O529" s="10">
        <f>'Optimal Choice'!$B$7*'Optimal Choice'!$B$8^(I529+1)</f>
        <v>1249759.4187106849</v>
      </c>
      <c r="P529" s="10">
        <f>'Optimal Choice'!$B$12*'Optimal Choice'!$B$13^(J529+1)</f>
        <v>15144643.05424186</v>
      </c>
      <c r="Q529" s="10">
        <f>'Optimal Choice'!$B$17*'Optimal Choice'!$B$18^(K529+1)</f>
        <v>64276846.663412169</v>
      </c>
      <c r="R529" s="10">
        <f>'Optimal Choice'!$B$22*'Optimal Choice'!$B$23^(L529+1)</f>
        <v>280660593.05541694</v>
      </c>
      <c r="S529" s="10">
        <f>'Optimal Choice'!$B$27*'Optimal Choice'!$B$28^(M529+1)</f>
        <v>1582074444.9597371</v>
      </c>
    </row>
    <row r="530" spans="1:19" ht="15.75" customHeight="1">
      <c r="A530" s="8">
        <f t="shared" si="0"/>
        <v>1376.8338251596251</v>
      </c>
      <c r="B530" s="7">
        <f>(I530*'Optimal Choice'!$B$6+J530*'Optimal Choice'!$B$11+K530*'Optimal Choice'!$B$16+L530*'Optimal Choice'!$B$21+M530*'Optimal Choice'!$B$26)*'Optimal Choice'!$B$30</f>
        <v>221580.62</v>
      </c>
      <c r="C530" s="8">
        <f>(O530/$B530)+(O530/'Optimal Choice'!$B$6)</f>
        <v>748364.57356152288</v>
      </c>
      <c r="D530" s="8">
        <f>(P530/$B530)+(P530/'Optimal Choice'!$B$11)</f>
        <v>757300.50094152859</v>
      </c>
      <c r="E530" s="8">
        <f>(Q530/$B530)+(Q530/'Optimal Choice'!$B$16)</f>
        <v>814504.086079209</v>
      </c>
      <c r="F530" s="8">
        <f>(R530/$B530)+(R530/'Optimal Choice'!$B$21)</f>
        <v>780879.38818193937</v>
      </c>
      <c r="G530" s="8">
        <f>(S530/$B530)+(S530/'Optimal Choice'!$B$26)</f>
        <v>739581.82220256364</v>
      </c>
      <c r="I530" s="11">
        <f t="shared" ref="I530:M530" si="528">IF(MIN($C529:$G529)=C529,I529+1,I529)</f>
        <v>186</v>
      </c>
      <c r="J530" s="11">
        <f t="shared" si="528"/>
        <v>88</v>
      </c>
      <c r="K530" s="11">
        <f t="shared" si="528"/>
        <v>87</v>
      </c>
      <c r="L530" s="11">
        <f t="shared" si="528"/>
        <v>84</v>
      </c>
      <c r="M530" s="11">
        <f t="shared" si="528"/>
        <v>84</v>
      </c>
      <c r="O530" s="10">
        <f>'Optimal Choice'!$B$7*'Optimal Choice'!$B$8^(I530+1)</f>
        <v>1249759.4187106849</v>
      </c>
      <c r="P530" s="10">
        <f>'Optimal Choice'!$B$12*'Optimal Choice'!$B$13^(J530+1)</f>
        <v>15144643.05424186</v>
      </c>
      <c r="Q530" s="10">
        <f>'Optimal Choice'!$B$17*'Optimal Choice'!$B$18^(K530+1)</f>
        <v>73275605.196289897</v>
      </c>
      <c r="R530" s="10">
        <f>'Optimal Choice'!$B$22*'Optimal Choice'!$B$23^(L530+1)</f>
        <v>280660593.05541694</v>
      </c>
      <c r="S530" s="10">
        <f>'Optimal Choice'!$B$27*'Optimal Choice'!$B$28^(M530+1)</f>
        <v>1582074444.9597371</v>
      </c>
    </row>
    <row r="531" spans="1:19" ht="15.75" customHeight="1">
      <c r="A531" s="8">
        <f t="shared" si="0"/>
        <v>1495.8329840932702</v>
      </c>
      <c r="B531" s="7">
        <f>(I531*'Optimal Choice'!$B$6+J531*'Optimal Choice'!$B$11+K531*'Optimal Choice'!$B$16+L531*'Optimal Choice'!$B$21+M531*'Optimal Choice'!$B$26)*'Optimal Choice'!$B$30</f>
        <v>223740.62</v>
      </c>
      <c r="C531" s="8">
        <f>(O531/$B531)+(O531/'Optimal Choice'!$B$6)</f>
        <v>748364.51911081129</v>
      </c>
      <c r="D531" s="8">
        <f>(P531/$B531)+(P531/'Optimal Choice'!$B$11)</f>
        <v>757299.84110526112</v>
      </c>
      <c r="E531" s="8">
        <f>(Q531/$B531)+(Q531/'Optimal Choice'!$B$16)</f>
        <v>814500.89353768411</v>
      </c>
      <c r="F531" s="8">
        <f>(R531/$B531)+(R531/'Optimal Choice'!$B$21)</f>
        <v>780867.16009326919</v>
      </c>
      <c r="G531" s="8">
        <f>(S531/$B531)+(S531/'Optimal Choice'!$B$26)</f>
        <v>828254.44001743454</v>
      </c>
      <c r="I531" s="11">
        <f t="shared" ref="I531:M531" si="529">IF(MIN($C530:$G530)=C530,I530+1,I530)</f>
        <v>186</v>
      </c>
      <c r="J531" s="11">
        <f t="shared" si="529"/>
        <v>88</v>
      </c>
      <c r="K531" s="11">
        <f t="shared" si="529"/>
        <v>87</v>
      </c>
      <c r="L531" s="11">
        <f t="shared" si="529"/>
        <v>84</v>
      </c>
      <c r="M531" s="11">
        <f t="shared" si="529"/>
        <v>85</v>
      </c>
      <c r="O531" s="10">
        <f>'Optimal Choice'!$B$7*'Optimal Choice'!$B$8^(I531+1)</f>
        <v>1249759.4187106849</v>
      </c>
      <c r="P531" s="10">
        <f>'Optimal Choice'!$B$12*'Optimal Choice'!$B$13^(J531+1)</f>
        <v>15144643.05424186</v>
      </c>
      <c r="Q531" s="10">
        <f>'Optimal Choice'!$B$17*'Optimal Choice'!$B$18^(K531+1)</f>
        <v>73275605.196289897</v>
      </c>
      <c r="R531" s="10">
        <f>'Optimal Choice'!$B$22*'Optimal Choice'!$B$23^(L531+1)</f>
        <v>280660593.05541694</v>
      </c>
      <c r="S531" s="10">
        <f>'Optimal Choice'!$B$27*'Optimal Choice'!$B$28^(M531+1)</f>
        <v>1771923378.3549058</v>
      </c>
    </row>
    <row r="532" spans="1:19" ht="15.75" customHeight="1">
      <c r="A532" s="8">
        <f t="shared" si="0"/>
        <v>1495.926079945267</v>
      </c>
      <c r="B532" s="7">
        <f>(I532*'Optimal Choice'!$B$6+J532*'Optimal Choice'!$B$11+K532*'Optimal Choice'!$B$16+L532*'Optimal Choice'!$B$21+M532*'Optimal Choice'!$B$26)*'Optimal Choice'!$B$30</f>
        <v>223742.29</v>
      </c>
      <c r="C532" s="8">
        <f>(O532/$B532)+(O532/'Optimal Choice'!$B$6)</f>
        <v>800750.03540395782</v>
      </c>
      <c r="D532" s="8">
        <f>(P532/$B532)+(P532/'Optimal Choice'!$B$11)</f>
        <v>757299.84060003865</v>
      </c>
      <c r="E532" s="8">
        <f>(Q532/$B532)+(Q532/'Optimal Choice'!$B$16)</f>
        <v>814500.89109322394</v>
      </c>
      <c r="F532" s="8">
        <f>(R532/$B532)+(R532/'Optimal Choice'!$B$21)</f>
        <v>780867.15073048545</v>
      </c>
      <c r="G532" s="8">
        <f>(S532/$B532)+(S532/'Optimal Choice'!$B$26)</f>
        <v>828254.38090640912</v>
      </c>
      <c r="I532" s="11">
        <f t="shared" ref="I532:M532" si="530">IF(MIN($C531:$G531)=C531,I531+1,I531)</f>
        <v>187</v>
      </c>
      <c r="J532" s="11">
        <f t="shared" si="530"/>
        <v>88</v>
      </c>
      <c r="K532" s="11">
        <f t="shared" si="530"/>
        <v>87</v>
      </c>
      <c r="L532" s="11">
        <f t="shared" si="530"/>
        <v>84</v>
      </c>
      <c r="M532" s="11">
        <f t="shared" si="530"/>
        <v>85</v>
      </c>
      <c r="O532" s="10">
        <f>'Optimal Choice'!$B$7*'Optimal Choice'!$B$8^(I532+1)</f>
        <v>1337242.5780204325</v>
      </c>
      <c r="P532" s="10">
        <f>'Optimal Choice'!$B$12*'Optimal Choice'!$B$13^(J532+1)</f>
        <v>15144643.05424186</v>
      </c>
      <c r="Q532" s="10">
        <f>'Optimal Choice'!$B$17*'Optimal Choice'!$B$18^(K532+1)</f>
        <v>73275605.196289897</v>
      </c>
      <c r="R532" s="10">
        <f>'Optimal Choice'!$B$22*'Optimal Choice'!$B$23^(L532+1)</f>
        <v>280660593.05541694</v>
      </c>
      <c r="S532" s="10">
        <f>'Optimal Choice'!$B$27*'Optimal Choice'!$B$28^(M532+1)</f>
        <v>1771923378.3549058</v>
      </c>
    </row>
    <row r="533" spans="1:19" ht="15.75" customHeight="1">
      <c r="A533" s="8">
        <f t="shared" si="0"/>
        <v>1497.0542114110292</v>
      </c>
      <c r="B533" s="7">
        <f>(I533*'Optimal Choice'!$B$6+J533*'Optimal Choice'!$B$11+K533*'Optimal Choice'!$B$16+L533*'Optimal Choice'!$B$21+M533*'Optimal Choice'!$B$26)*'Optimal Choice'!$B$30</f>
        <v>223762.29</v>
      </c>
      <c r="C533" s="8">
        <f>(O533/$B533)+(O533/'Optimal Choice'!$B$6)</f>
        <v>800750.03486975608</v>
      </c>
      <c r="D533" s="8">
        <f>(P533/$B533)+(P533/'Optimal Choice'!$B$11)</f>
        <v>870894.80973256566</v>
      </c>
      <c r="E533" s="8">
        <f>(Q533/$B533)+(Q533/'Optimal Choice'!$B$16)</f>
        <v>814500.86182108673</v>
      </c>
      <c r="F533" s="8">
        <f>(R533/$B533)+(R533/'Optimal Choice'!$B$21)</f>
        <v>780867.0386121975</v>
      </c>
      <c r="G533" s="8">
        <f>(S533/$B533)+(S533/'Optimal Choice'!$B$26)</f>
        <v>828253.67305849434</v>
      </c>
      <c r="I533" s="11">
        <f t="shared" ref="I533:M533" si="531">IF(MIN($C532:$G532)=C532,I532+1,I532)</f>
        <v>187</v>
      </c>
      <c r="J533" s="11">
        <f t="shared" si="531"/>
        <v>89</v>
      </c>
      <c r="K533" s="11">
        <f t="shared" si="531"/>
        <v>87</v>
      </c>
      <c r="L533" s="11">
        <f t="shared" si="531"/>
        <v>84</v>
      </c>
      <c r="M533" s="11">
        <f t="shared" si="531"/>
        <v>85</v>
      </c>
      <c r="O533" s="10">
        <f>'Optimal Choice'!$B$7*'Optimal Choice'!$B$8^(I533+1)</f>
        <v>1337242.5780204325</v>
      </c>
      <c r="P533" s="10">
        <f>'Optimal Choice'!$B$12*'Optimal Choice'!$B$13^(J533+1)</f>
        <v>17416339.512378141</v>
      </c>
      <c r="Q533" s="10">
        <f>'Optimal Choice'!$B$17*'Optimal Choice'!$B$18^(K533+1)</f>
        <v>73275605.196289897</v>
      </c>
      <c r="R533" s="10">
        <f>'Optimal Choice'!$B$22*'Optimal Choice'!$B$23^(L533+1)</f>
        <v>280660593.05541694</v>
      </c>
      <c r="S533" s="10">
        <f>'Optimal Choice'!$B$27*'Optimal Choice'!$B$28^(M533+1)</f>
        <v>1771923378.3549058</v>
      </c>
    </row>
    <row r="534" spans="1:19" ht="15.75" customHeight="1">
      <c r="A534" s="8">
        <f t="shared" si="0"/>
        <v>1517.9588801598322</v>
      </c>
      <c r="B534" s="7">
        <f>(I534*'Optimal Choice'!$B$6+J534*'Optimal Choice'!$B$11+K534*'Optimal Choice'!$B$16+L534*'Optimal Choice'!$B$21+M534*'Optimal Choice'!$B$26)*'Optimal Choice'!$B$30</f>
        <v>224122.29</v>
      </c>
      <c r="C534" s="8">
        <f>(O534/$B534)+(O534/'Optimal Choice'!$B$6)</f>
        <v>800750.02527043002</v>
      </c>
      <c r="D534" s="8">
        <f>(P534/$B534)+(P534/'Optimal Choice'!$B$11)</f>
        <v>870894.68471028015</v>
      </c>
      <c r="E534" s="8">
        <f>(Q534/$B534)+(Q534/'Optimal Choice'!$B$16)</f>
        <v>814500.33581597393</v>
      </c>
      <c r="F534" s="8">
        <f>(R534/$B534)+(R534/'Optimal Choice'!$B$21)</f>
        <v>882377.47701237653</v>
      </c>
      <c r="G534" s="8">
        <f>(S534/$B534)+(S534/'Optimal Choice'!$B$26)</f>
        <v>828240.95339887496</v>
      </c>
      <c r="I534" s="11">
        <f t="shared" ref="I534:M534" si="532">IF(MIN($C533:$G533)=C533,I533+1,I533)</f>
        <v>187</v>
      </c>
      <c r="J534" s="11">
        <f t="shared" si="532"/>
        <v>89</v>
      </c>
      <c r="K534" s="11">
        <f t="shared" si="532"/>
        <v>87</v>
      </c>
      <c r="L534" s="11">
        <f t="shared" si="532"/>
        <v>85</v>
      </c>
      <c r="M534" s="11">
        <f t="shared" si="532"/>
        <v>85</v>
      </c>
      <c r="O534" s="10">
        <f>'Optimal Choice'!$B$7*'Optimal Choice'!$B$8^(I534+1)</f>
        <v>1337242.5780204325</v>
      </c>
      <c r="P534" s="10">
        <f>'Optimal Choice'!$B$12*'Optimal Choice'!$B$13^(J534+1)</f>
        <v>17416339.512378141</v>
      </c>
      <c r="Q534" s="10">
        <f>'Optimal Choice'!$B$17*'Optimal Choice'!$B$18^(K534+1)</f>
        <v>73275605.196289897</v>
      </c>
      <c r="R534" s="10">
        <f>'Optimal Choice'!$B$22*'Optimal Choice'!$B$23^(L534+1)</f>
        <v>317146470.15262109</v>
      </c>
      <c r="S534" s="10">
        <f>'Optimal Choice'!$B$27*'Optimal Choice'!$B$28^(M534+1)</f>
        <v>1771923378.3549058</v>
      </c>
    </row>
    <row r="535" spans="1:19" ht="15.75" customHeight="1">
      <c r="A535" s="8">
        <f t="shared" si="0"/>
        <v>1518.0583230858363</v>
      </c>
      <c r="B535" s="7">
        <f>(I535*'Optimal Choice'!$B$6+J535*'Optimal Choice'!$B$11+K535*'Optimal Choice'!$B$16+L535*'Optimal Choice'!$B$21+M535*'Optimal Choice'!$B$26)*'Optimal Choice'!$B$30</f>
        <v>224123.96</v>
      </c>
      <c r="C535" s="8">
        <f>(O535/$B535)+(O535/'Optimal Choice'!$B$6)</f>
        <v>856802.52699178969</v>
      </c>
      <c r="D535" s="8">
        <f>(P535/$B535)+(P535/'Optimal Choice'!$B$11)</f>
        <v>870894.68413125165</v>
      </c>
      <c r="E535" s="8">
        <f>(Q535/$B535)+(Q535/'Optimal Choice'!$B$16)</f>
        <v>814500.33337983221</v>
      </c>
      <c r="F535" s="8">
        <f>(R535/$B535)+(R535/'Optimal Choice'!$B$21)</f>
        <v>882377.46646843443</v>
      </c>
      <c r="G535" s="8">
        <f>(S535/$B535)+(S535/'Optimal Choice'!$B$26)</f>
        <v>828240.89448900416</v>
      </c>
      <c r="I535" s="11">
        <f t="shared" ref="I535:M535" si="533">IF(MIN($C534:$G534)=C534,I534+1,I534)</f>
        <v>188</v>
      </c>
      <c r="J535" s="11">
        <f t="shared" si="533"/>
        <v>89</v>
      </c>
      <c r="K535" s="11">
        <f t="shared" si="533"/>
        <v>87</v>
      </c>
      <c r="L535" s="11">
        <f t="shared" si="533"/>
        <v>85</v>
      </c>
      <c r="M535" s="11">
        <f t="shared" si="533"/>
        <v>85</v>
      </c>
      <c r="O535" s="10">
        <f>'Optimal Choice'!$B$7*'Optimal Choice'!$B$8^(I535+1)</f>
        <v>1430849.5584818628</v>
      </c>
      <c r="P535" s="10">
        <f>'Optimal Choice'!$B$12*'Optimal Choice'!$B$13^(J535+1)</f>
        <v>17416339.512378141</v>
      </c>
      <c r="Q535" s="10">
        <f>'Optimal Choice'!$B$17*'Optimal Choice'!$B$18^(K535+1)</f>
        <v>73275605.196289897</v>
      </c>
      <c r="R535" s="10">
        <f>'Optimal Choice'!$B$22*'Optimal Choice'!$B$23^(L535+1)</f>
        <v>317146470.15262109</v>
      </c>
      <c r="S535" s="10">
        <f>'Optimal Choice'!$B$27*'Optimal Choice'!$B$28^(M535+1)</f>
        <v>1771923378.3549058</v>
      </c>
    </row>
    <row r="536" spans="1:19" ht="15.75" customHeight="1">
      <c r="A536" s="8">
        <f t="shared" si="0"/>
        <v>1523.5073615849099</v>
      </c>
      <c r="B536" s="7">
        <f>(I536*'Optimal Choice'!$B$6+J536*'Optimal Choice'!$B$11+K536*'Optimal Choice'!$B$16+L536*'Optimal Choice'!$B$21+M536*'Optimal Choice'!$B$26)*'Optimal Choice'!$B$30</f>
        <v>224213.96</v>
      </c>
      <c r="C536" s="8">
        <f>(O536/$B536)+(O536/'Optimal Choice'!$B$6)</f>
        <v>856802.5244291618</v>
      </c>
      <c r="D536" s="8">
        <f>(P536/$B536)+(P536/'Optimal Choice'!$B$11)</f>
        <v>870894.65293887572</v>
      </c>
      <c r="E536" s="8">
        <f>(Q536/$B536)+(Q536/'Optimal Choice'!$B$16)</f>
        <v>928530.23044465657</v>
      </c>
      <c r="F536" s="8">
        <f>(R536/$B536)+(R536/'Optimal Choice'!$B$21)</f>
        <v>882376.89846435469</v>
      </c>
      <c r="G536" s="8">
        <f>(S536/$B536)+(S536/'Optimal Choice'!$B$26)</f>
        <v>828237.72100355651</v>
      </c>
      <c r="I536" s="11">
        <f t="shared" ref="I536:M536" si="534">IF(MIN($C535:$G535)=C535,I535+1,I535)</f>
        <v>188</v>
      </c>
      <c r="J536" s="11">
        <f t="shared" si="534"/>
        <v>89</v>
      </c>
      <c r="K536" s="11">
        <f t="shared" si="534"/>
        <v>88</v>
      </c>
      <c r="L536" s="11">
        <f t="shared" si="534"/>
        <v>85</v>
      </c>
      <c r="M536" s="11">
        <f t="shared" si="534"/>
        <v>85</v>
      </c>
      <c r="O536" s="10">
        <f>'Optimal Choice'!$B$7*'Optimal Choice'!$B$8^(I536+1)</f>
        <v>1430849.5584818628</v>
      </c>
      <c r="P536" s="10">
        <f>'Optimal Choice'!$B$12*'Optimal Choice'!$B$13^(J536+1)</f>
        <v>17416339.512378141</v>
      </c>
      <c r="Q536" s="10">
        <f>'Optimal Choice'!$B$17*'Optimal Choice'!$B$18^(K536+1)</f>
        <v>83534189.923770458</v>
      </c>
      <c r="R536" s="10">
        <f>'Optimal Choice'!$B$22*'Optimal Choice'!$B$23^(L536+1)</f>
        <v>317146470.15262109</v>
      </c>
      <c r="S536" s="10">
        <f>'Optimal Choice'!$B$27*'Optimal Choice'!$B$28^(M536+1)</f>
        <v>1771923378.3549058</v>
      </c>
    </row>
    <row r="537" spans="1:19" ht="15.75" customHeight="1">
      <c r="A537" s="8">
        <f t="shared" si="0"/>
        <v>1655.221088535342</v>
      </c>
      <c r="B537" s="7">
        <f>(I537*'Optimal Choice'!$B$6+J537*'Optimal Choice'!$B$11+K537*'Optimal Choice'!$B$16+L537*'Optimal Choice'!$B$21+M537*'Optimal Choice'!$B$26)*'Optimal Choice'!$B$30</f>
        <v>226373.96</v>
      </c>
      <c r="C537" s="8">
        <f>(O537/$B537)+(O537/'Optimal Choice'!$B$6)</f>
        <v>856802.46353739046</v>
      </c>
      <c r="D537" s="8">
        <f>(P537/$B537)+(P537/'Optimal Choice'!$B$11)</f>
        <v>870893.91176258877</v>
      </c>
      <c r="E537" s="8">
        <f>(Q537/$B537)+(Q537/'Optimal Choice'!$B$16)</f>
        <v>928526.67553228955</v>
      </c>
      <c r="F537" s="8">
        <f>(R537/$B537)+(R537/'Optimal Choice'!$B$21)</f>
        <v>882363.40186003118</v>
      </c>
      <c r="G537" s="8">
        <f>(S537/$B537)+(S537/'Optimal Choice'!$B$26)</f>
        <v>927541.7920906184</v>
      </c>
      <c r="I537" s="11">
        <f t="shared" ref="I537:M537" si="535">IF(MIN($C536:$G536)=C536,I536+1,I536)</f>
        <v>188</v>
      </c>
      <c r="J537" s="11">
        <f t="shared" si="535"/>
        <v>89</v>
      </c>
      <c r="K537" s="11">
        <f t="shared" si="535"/>
        <v>88</v>
      </c>
      <c r="L537" s="11">
        <f t="shared" si="535"/>
        <v>85</v>
      </c>
      <c r="M537" s="11">
        <f t="shared" si="535"/>
        <v>86</v>
      </c>
      <c r="O537" s="10">
        <f>'Optimal Choice'!$B$7*'Optimal Choice'!$B$8^(I537+1)</f>
        <v>1430849.5584818628</v>
      </c>
      <c r="P537" s="10">
        <f>'Optimal Choice'!$B$12*'Optimal Choice'!$B$13^(J537+1)</f>
        <v>17416339.512378141</v>
      </c>
      <c r="Q537" s="10">
        <f>'Optimal Choice'!$B$17*'Optimal Choice'!$B$18^(K537+1)</f>
        <v>83534189.923770458</v>
      </c>
      <c r="R537" s="10">
        <f>'Optimal Choice'!$B$22*'Optimal Choice'!$B$23^(L537+1)</f>
        <v>317146470.15262109</v>
      </c>
      <c r="S537" s="10">
        <f>'Optimal Choice'!$B$27*'Optimal Choice'!$B$28^(M537+1)</f>
        <v>1984554183.7574944</v>
      </c>
    </row>
    <row r="538" spans="1:19" ht="15.75" customHeight="1">
      <c r="A538" s="8">
        <f t="shared" si="0"/>
        <v>1655.3264341000058</v>
      </c>
      <c r="B538" s="7">
        <f>(I538*'Optimal Choice'!$B$6+J538*'Optimal Choice'!$B$11+K538*'Optimal Choice'!$B$16+L538*'Optimal Choice'!$B$21+M538*'Optimal Choice'!$B$26)*'Optimal Choice'!$B$30</f>
        <v>226375.63</v>
      </c>
      <c r="C538" s="8">
        <f>(O538/$B538)+(O538/'Optimal Choice'!$B$6)</f>
        <v>916778.63593511493</v>
      </c>
      <c r="D538" s="8">
        <f>(P538/$B538)+(P538/'Optimal Choice'!$B$11)</f>
        <v>870893.9111950217</v>
      </c>
      <c r="E538" s="8">
        <f>(Q538/$B538)+(Q538/'Optimal Choice'!$B$16)</f>
        <v>928526.6728100609</v>
      </c>
      <c r="F538" s="8">
        <f>(R538/$B538)+(R538/'Optimal Choice'!$B$21)</f>
        <v>882363.39152479952</v>
      </c>
      <c r="G538" s="8">
        <f>(S538/$B538)+(S538/'Optimal Choice'!$B$26)</f>
        <v>927541.72741757589</v>
      </c>
      <c r="I538" s="11">
        <f t="shared" ref="I538:M538" si="536">IF(MIN($C537:$G537)=C537,I537+1,I537)</f>
        <v>189</v>
      </c>
      <c r="J538" s="11">
        <f t="shared" si="536"/>
        <v>89</v>
      </c>
      <c r="K538" s="11">
        <f t="shared" si="536"/>
        <v>88</v>
      </c>
      <c r="L538" s="11">
        <f t="shared" si="536"/>
        <v>85</v>
      </c>
      <c r="M538" s="11">
        <f t="shared" si="536"/>
        <v>86</v>
      </c>
      <c r="O538" s="10">
        <f>'Optimal Choice'!$B$7*'Optimal Choice'!$B$8^(I538+1)</f>
        <v>1531009.027575593</v>
      </c>
      <c r="P538" s="10">
        <f>'Optimal Choice'!$B$12*'Optimal Choice'!$B$13^(J538+1)</f>
        <v>17416339.512378141</v>
      </c>
      <c r="Q538" s="10">
        <f>'Optimal Choice'!$B$17*'Optimal Choice'!$B$18^(K538+1)</f>
        <v>83534189.923770458</v>
      </c>
      <c r="R538" s="10">
        <f>'Optimal Choice'!$B$22*'Optimal Choice'!$B$23^(L538+1)</f>
        <v>317146470.15262109</v>
      </c>
      <c r="S538" s="10">
        <f>'Optimal Choice'!$B$27*'Optimal Choice'!$B$28^(M538+1)</f>
        <v>1984554183.7574944</v>
      </c>
    </row>
    <row r="539" spans="1:19" ht="15.75" customHeight="1">
      <c r="A539" s="8">
        <f t="shared" si="0"/>
        <v>1656.6086937019174</v>
      </c>
      <c r="B539" s="7">
        <f>(I539*'Optimal Choice'!$B$6+J539*'Optimal Choice'!$B$11+K539*'Optimal Choice'!$B$16+L539*'Optimal Choice'!$B$21+M539*'Optimal Choice'!$B$26)*'Optimal Choice'!$B$30</f>
        <v>226395.63</v>
      </c>
      <c r="C539" s="8">
        <f>(O539/$B539)+(O539/'Optimal Choice'!$B$6)</f>
        <v>916778.63533765334</v>
      </c>
      <c r="D539" s="8">
        <f>(P539/$B539)+(P539/'Optimal Choice'!$B$11)</f>
        <v>1001527.9900582305</v>
      </c>
      <c r="E539" s="8">
        <f>(Q539/$B539)+(Q539/'Optimal Choice'!$B$16)</f>
        <v>928526.64021164109</v>
      </c>
      <c r="F539" s="8">
        <f>(R539/$B539)+(R539/'Optimal Choice'!$B$21)</f>
        <v>882363.26776141825</v>
      </c>
      <c r="G539" s="8">
        <f>(S539/$B539)+(S539/'Optimal Choice'!$B$26)</f>
        <v>927540.95296425768</v>
      </c>
      <c r="I539" s="11">
        <f t="shared" ref="I539:M539" si="537">IF(MIN($C538:$G538)=C538,I538+1,I538)</f>
        <v>189</v>
      </c>
      <c r="J539" s="11">
        <f t="shared" si="537"/>
        <v>90</v>
      </c>
      <c r="K539" s="11">
        <f t="shared" si="537"/>
        <v>88</v>
      </c>
      <c r="L539" s="11">
        <f t="shared" si="537"/>
        <v>85</v>
      </c>
      <c r="M539" s="11">
        <f t="shared" si="537"/>
        <v>86</v>
      </c>
      <c r="O539" s="10">
        <f>'Optimal Choice'!$B$7*'Optimal Choice'!$B$8^(I539+1)</f>
        <v>1531009.027575593</v>
      </c>
      <c r="P539" s="10">
        <f>'Optimal Choice'!$B$12*'Optimal Choice'!$B$13^(J539+1)</f>
        <v>20028790.439234857</v>
      </c>
      <c r="Q539" s="10">
        <f>'Optimal Choice'!$B$17*'Optimal Choice'!$B$18^(K539+1)</f>
        <v>83534189.923770458</v>
      </c>
      <c r="R539" s="10">
        <f>'Optimal Choice'!$B$22*'Optimal Choice'!$B$23^(L539+1)</f>
        <v>317146470.15262109</v>
      </c>
      <c r="S539" s="10">
        <f>'Optimal Choice'!$B$27*'Optimal Choice'!$B$28^(M539+1)</f>
        <v>1984554183.7574944</v>
      </c>
    </row>
    <row r="540" spans="1:19" ht="15.75" customHeight="1">
      <c r="A540" s="8">
        <f t="shared" si="0"/>
        <v>1679.9562048819862</v>
      </c>
      <c r="B540" s="7">
        <f>(I540*'Optimal Choice'!$B$6+J540*'Optimal Choice'!$B$11+K540*'Optimal Choice'!$B$16+L540*'Optimal Choice'!$B$21+M540*'Optimal Choice'!$B$26)*'Optimal Choice'!$B$30</f>
        <v>226755.63</v>
      </c>
      <c r="C540" s="8">
        <f>(O540/$B540)+(O540/'Optimal Choice'!$B$6)</f>
        <v>916778.62460136577</v>
      </c>
      <c r="D540" s="8">
        <f>(P540/$B540)+(P540/'Optimal Choice'!$B$11)</f>
        <v>1001527.849605203</v>
      </c>
      <c r="E540" s="8">
        <f>(Q540/$B540)+(Q540/'Optimal Choice'!$B$16)</f>
        <v>928526.05442340241</v>
      </c>
      <c r="F540" s="8">
        <f>(R540/$B540)+(R540/'Optimal Choice'!$B$21)</f>
        <v>997067.97944182937</v>
      </c>
      <c r="G540" s="8">
        <f>(S540/$B540)+(S540/'Optimal Choice'!$B$26)</f>
        <v>927527.03616562788</v>
      </c>
      <c r="I540" s="11">
        <f t="shared" ref="I540:M540" si="538">IF(MIN($C539:$G539)=C539,I539+1,I539)</f>
        <v>189</v>
      </c>
      <c r="J540" s="11">
        <f t="shared" si="538"/>
        <v>90</v>
      </c>
      <c r="K540" s="11">
        <f t="shared" si="538"/>
        <v>88</v>
      </c>
      <c r="L540" s="11">
        <f t="shared" si="538"/>
        <v>86</v>
      </c>
      <c r="M540" s="11">
        <f t="shared" si="538"/>
        <v>86</v>
      </c>
      <c r="O540" s="10">
        <f>'Optimal Choice'!$B$7*'Optimal Choice'!$B$8^(I540+1)</f>
        <v>1531009.027575593</v>
      </c>
      <c r="P540" s="10">
        <f>'Optimal Choice'!$B$12*'Optimal Choice'!$B$13^(J540+1)</f>
        <v>20028790.439234857</v>
      </c>
      <c r="Q540" s="10">
        <f>'Optimal Choice'!$B$17*'Optimal Choice'!$B$18^(K540+1)</f>
        <v>83534189.923770458</v>
      </c>
      <c r="R540" s="10">
        <f>'Optimal Choice'!$B$22*'Optimal Choice'!$B$23^(L540+1)</f>
        <v>358375511.27246183</v>
      </c>
      <c r="S540" s="10">
        <f>'Optimal Choice'!$B$27*'Optimal Choice'!$B$28^(M540+1)</f>
        <v>1984554183.7574944</v>
      </c>
    </row>
    <row r="541" spans="1:19" ht="15.75" customHeight="1">
      <c r="A541" s="8">
        <f t="shared" si="0"/>
        <v>1680.0687349088096</v>
      </c>
      <c r="B541" s="7">
        <f>(I541*'Optimal Choice'!$B$6+J541*'Optimal Choice'!$B$11+K541*'Optimal Choice'!$B$16+L541*'Optimal Choice'!$B$21+M541*'Optimal Choice'!$B$26)*'Optimal Choice'!$B$30</f>
        <v>226757.3</v>
      </c>
      <c r="C541" s="8">
        <f>(O541/$B541)+(O541/'Optimal Choice'!$B$6)</f>
        <v>980953.12827025575</v>
      </c>
      <c r="D541" s="8">
        <f>(P541/$B541)+(P541/'Optimal Choice'!$B$11)</f>
        <v>1001527.8489546962</v>
      </c>
      <c r="E541" s="8">
        <f>(Q541/$B541)+(Q541/'Optimal Choice'!$B$16)</f>
        <v>928526.05171032995</v>
      </c>
      <c r="F541" s="8">
        <f>(R541/$B541)+(R541/'Optimal Choice'!$B$21)</f>
        <v>997067.96780229954</v>
      </c>
      <c r="G541" s="8">
        <f>(S541/$B541)+(S541/'Optimal Choice'!$B$26)</f>
        <v>927526.97171011392</v>
      </c>
      <c r="I541" s="11">
        <f t="shared" ref="I541:M541" si="539">IF(MIN($C540:$G540)=C540,I540+1,I540)</f>
        <v>190</v>
      </c>
      <c r="J541" s="11">
        <f t="shared" si="539"/>
        <v>90</v>
      </c>
      <c r="K541" s="11">
        <f t="shared" si="539"/>
        <v>88</v>
      </c>
      <c r="L541" s="11">
        <f t="shared" si="539"/>
        <v>86</v>
      </c>
      <c r="M541" s="11">
        <f t="shared" si="539"/>
        <v>86</v>
      </c>
      <c r="O541" s="10">
        <f>'Optimal Choice'!$B$7*'Optimal Choice'!$B$8^(I541+1)</f>
        <v>1638179.6595058849</v>
      </c>
      <c r="P541" s="10">
        <f>'Optimal Choice'!$B$12*'Optimal Choice'!$B$13^(J541+1)</f>
        <v>20028790.439234857</v>
      </c>
      <c r="Q541" s="10">
        <f>'Optimal Choice'!$B$17*'Optimal Choice'!$B$18^(K541+1)</f>
        <v>83534189.923770458</v>
      </c>
      <c r="R541" s="10">
        <f>'Optimal Choice'!$B$22*'Optimal Choice'!$B$23^(L541+1)</f>
        <v>358375511.27246183</v>
      </c>
      <c r="S541" s="10">
        <f>'Optimal Choice'!$B$27*'Optimal Choice'!$B$28^(M541+1)</f>
        <v>1984554183.7574944</v>
      </c>
    </row>
    <row r="542" spans="1:19" ht="15.75" customHeight="1">
      <c r="A542" s="8">
        <f t="shared" si="0"/>
        <v>1825.9335121954721</v>
      </c>
      <c r="B542" s="7">
        <f>(I542*'Optimal Choice'!$B$6+J542*'Optimal Choice'!$B$11+K542*'Optimal Choice'!$B$16+L542*'Optimal Choice'!$B$21+M542*'Optimal Choice'!$B$26)*'Optimal Choice'!$B$30</f>
        <v>228917.3</v>
      </c>
      <c r="C542" s="8">
        <f>(O542/$B542)+(O542/'Optimal Choice'!$B$6)</f>
        <v>980953.06010306638</v>
      </c>
      <c r="D542" s="8">
        <f>(P542/$B542)+(P542/'Optimal Choice'!$B$11)</f>
        <v>1001527.0155257471</v>
      </c>
      <c r="E542" s="8">
        <f>(Q542/$B542)+(Q542/'Optimal Choice'!$B$16)</f>
        <v>928522.57572348311</v>
      </c>
      <c r="F542" s="8">
        <f>(R542/$B542)+(R542/'Optimal Choice'!$B$21)</f>
        <v>997053.05524296826</v>
      </c>
      <c r="G542" s="8">
        <f>(S542/$B542)+(S542/'Optimal Choice'!$B$26)</f>
        <v>1038737.7183018916</v>
      </c>
      <c r="I542" s="11">
        <f t="shared" ref="I542:M542" si="540">IF(MIN($C541:$G541)=C541,I541+1,I541)</f>
        <v>190</v>
      </c>
      <c r="J542" s="11">
        <f t="shared" si="540"/>
        <v>90</v>
      </c>
      <c r="K542" s="11">
        <f t="shared" si="540"/>
        <v>88</v>
      </c>
      <c r="L542" s="11">
        <f t="shared" si="540"/>
        <v>86</v>
      </c>
      <c r="M542" s="11">
        <f t="shared" si="540"/>
        <v>87</v>
      </c>
      <c r="O542" s="10">
        <f>'Optimal Choice'!$B$7*'Optimal Choice'!$B$8^(I542+1)</f>
        <v>1638179.6595058849</v>
      </c>
      <c r="P542" s="10">
        <f>'Optimal Choice'!$B$12*'Optimal Choice'!$B$13^(J542+1)</f>
        <v>20028790.439234857</v>
      </c>
      <c r="Q542" s="10">
        <f>'Optimal Choice'!$B$17*'Optimal Choice'!$B$18^(K542+1)</f>
        <v>83534189.923770458</v>
      </c>
      <c r="R542" s="10">
        <f>'Optimal Choice'!$B$22*'Optimal Choice'!$B$23^(L542+1)</f>
        <v>358375511.27246183</v>
      </c>
      <c r="S542" s="10">
        <f>'Optimal Choice'!$B$27*'Optimal Choice'!$B$28^(M542+1)</f>
        <v>2222700685.808394</v>
      </c>
    </row>
    <row r="543" spans="1:19" ht="15.75" customHeight="1">
      <c r="A543" s="8">
        <f t="shared" si="0"/>
        <v>1832.0153439256624</v>
      </c>
      <c r="B543" s="7">
        <f>(I543*'Optimal Choice'!$B$6+J543*'Optimal Choice'!$B$11+K543*'Optimal Choice'!$B$16+L543*'Optimal Choice'!$B$21+M543*'Optimal Choice'!$B$26)*'Optimal Choice'!$B$30</f>
        <v>229007.3</v>
      </c>
      <c r="C543" s="8">
        <f>(O543/$B543)+(O543/'Optimal Choice'!$B$6)</f>
        <v>980953.05729067279</v>
      </c>
      <c r="D543" s="8">
        <f>(P543/$B543)+(P543/'Optimal Choice'!$B$11)</f>
        <v>1001526.9811407264</v>
      </c>
      <c r="E543" s="8">
        <f>(Q543/$B543)+(Q543/'Optimal Choice'!$B$16)</f>
        <v>1058515.5728375977</v>
      </c>
      <c r="F543" s="8">
        <f>(R543/$B543)+(R543/'Optimal Choice'!$B$21)</f>
        <v>997052.4399911674</v>
      </c>
      <c r="G543" s="8">
        <f>(S543/$B543)+(S543/'Optimal Choice'!$B$26)</f>
        <v>1038733.9024144862</v>
      </c>
      <c r="I543" s="11">
        <f t="shared" ref="I543:M543" si="541">IF(MIN($C542:$G542)=C542,I542+1,I542)</f>
        <v>190</v>
      </c>
      <c r="J543" s="11">
        <f t="shared" si="541"/>
        <v>90</v>
      </c>
      <c r="K543" s="11">
        <f t="shared" si="541"/>
        <v>89</v>
      </c>
      <c r="L543" s="11">
        <f t="shared" si="541"/>
        <v>86</v>
      </c>
      <c r="M543" s="11">
        <f t="shared" si="541"/>
        <v>87</v>
      </c>
      <c r="O543" s="10">
        <f>'Optimal Choice'!$B$7*'Optimal Choice'!$B$8^(I543+1)</f>
        <v>1638179.6595058849</v>
      </c>
      <c r="P543" s="10">
        <f>'Optimal Choice'!$B$12*'Optimal Choice'!$B$13^(J543+1)</f>
        <v>20028790.439234857</v>
      </c>
      <c r="Q543" s="10">
        <f>'Optimal Choice'!$B$17*'Optimal Choice'!$B$18^(K543+1)</f>
        <v>95228976.513098329</v>
      </c>
      <c r="R543" s="10">
        <f>'Optimal Choice'!$B$22*'Optimal Choice'!$B$23^(L543+1)</f>
        <v>358375511.27246183</v>
      </c>
      <c r="S543" s="10">
        <f>'Optimal Choice'!$B$27*'Optimal Choice'!$B$28^(M543+1)</f>
        <v>2222700685.808394</v>
      </c>
    </row>
    <row r="544" spans="1:19" ht="15.75" customHeight="1">
      <c r="A544" s="8">
        <f t="shared" si="0"/>
        <v>1832.1345671745505</v>
      </c>
      <c r="B544" s="7">
        <f>(I544*'Optimal Choice'!$B$6+J544*'Optimal Choice'!$B$11+K544*'Optimal Choice'!$B$16+L544*'Optimal Choice'!$B$21+M544*'Optimal Choice'!$B$26)*'Optimal Choice'!$B$30</f>
        <v>229008.97</v>
      </c>
      <c r="C544" s="8">
        <f>(O544/$B544)+(O544/'Optimal Choice'!$B$6)</f>
        <v>1049619.7712452037</v>
      </c>
      <c r="D544" s="8">
        <f>(P544/$B544)+(P544/'Optimal Choice'!$B$11)</f>
        <v>1001526.9805029485</v>
      </c>
      <c r="E544" s="8">
        <f>(Q544/$B544)+(Q544/'Optimal Choice'!$B$16)</f>
        <v>1058515.5698052167</v>
      </c>
      <c r="F544" s="8">
        <f>(R544/$B544)+(R544/'Optimal Choice'!$B$21)</f>
        <v>997052.4285793982</v>
      </c>
      <c r="G544" s="8">
        <f>(S544/$B544)+(S544/'Optimal Choice'!$B$26)</f>
        <v>1038733.8316369184</v>
      </c>
      <c r="I544" s="11">
        <f t="shared" ref="I544:M544" si="542">IF(MIN($C543:$G543)=C543,I543+1,I543)</f>
        <v>191</v>
      </c>
      <c r="J544" s="11">
        <f t="shared" si="542"/>
        <v>90</v>
      </c>
      <c r="K544" s="11">
        <f t="shared" si="542"/>
        <v>89</v>
      </c>
      <c r="L544" s="11">
        <f t="shared" si="542"/>
        <v>86</v>
      </c>
      <c r="M544" s="11">
        <f t="shared" si="542"/>
        <v>87</v>
      </c>
      <c r="O544" s="10">
        <f>'Optimal Choice'!$B$7*'Optimal Choice'!$B$8^(I544+1)</f>
        <v>1752852.2356712967</v>
      </c>
      <c r="P544" s="10">
        <f>'Optimal Choice'!$B$12*'Optimal Choice'!$B$13^(J544+1)</f>
        <v>20028790.439234857</v>
      </c>
      <c r="Q544" s="10">
        <f>'Optimal Choice'!$B$17*'Optimal Choice'!$B$18^(K544+1)</f>
        <v>95228976.513098329</v>
      </c>
      <c r="R544" s="10">
        <f>'Optimal Choice'!$B$22*'Optimal Choice'!$B$23^(L544+1)</f>
        <v>358375511.27246183</v>
      </c>
      <c r="S544" s="10">
        <f>'Optimal Choice'!$B$27*'Optimal Choice'!$B$28^(M544+1)</f>
        <v>2222700685.808394</v>
      </c>
    </row>
    <row r="545" spans="1:19" ht="15.75" customHeight="1">
      <c r="A545" s="8">
        <f t="shared" si="0"/>
        <v>1858.2161882912883</v>
      </c>
      <c r="B545" s="7">
        <f>(I545*'Optimal Choice'!$B$6+J545*'Optimal Choice'!$B$11+K545*'Optimal Choice'!$B$16+L545*'Optimal Choice'!$B$21+M545*'Optimal Choice'!$B$26)*'Optimal Choice'!$B$30</f>
        <v>229368.97</v>
      </c>
      <c r="C545" s="8">
        <f>(O545/$B545)+(O545/'Optimal Choice'!$B$6)</f>
        <v>1049619.7592319499</v>
      </c>
      <c r="D545" s="8">
        <f>(P545/$B545)+(P545/'Optimal Choice'!$B$11)</f>
        <v>1001526.8432347085</v>
      </c>
      <c r="E545" s="8">
        <f>(Q545/$B545)+(Q545/'Optimal Choice'!$B$16)</f>
        <v>1058514.9171490292</v>
      </c>
      <c r="F545" s="8">
        <f>(R545/$B545)+(R545/'Optimal Choice'!$B$21)</f>
        <v>1126666.4688530017</v>
      </c>
      <c r="G545" s="8">
        <f>(S545/$B545)+(S545/'Optimal Choice'!$B$26)</f>
        <v>1038718.5982551409</v>
      </c>
      <c r="I545" s="11">
        <f t="shared" ref="I545:M545" si="543">IF(MIN($C544:$G544)=C544,I544+1,I544)</f>
        <v>191</v>
      </c>
      <c r="J545" s="11">
        <f t="shared" si="543"/>
        <v>90</v>
      </c>
      <c r="K545" s="11">
        <f t="shared" si="543"/>
        <v>89</v>
      </c>
      <c r="L545" s="11">
        <f t="shared" si="543"/>
        <v>87</v>
      </c>
      <c r="M545" s="11">
        <f t="shared" si="543"/>
        <v>87</v>
      </c>
      <c r="O545" s="10">
        <f>'Optimal Choice'!$B$7*'Optimal Choice'!$B$8^(I545+1)</f>
        <v>1752852.2356712967</v>
      </c>
      <c r="P545" s="10">
        <f>'Optimal Choice'!$B$12*'Optimal Choice'!$B$13^(J545+1)</f>
        <v>20028790.439234857</v>
      </c>
      <c r="Q545" s="10">
        <f>'Optimal Choice'!$B$17*'Optimal Choice'!$B$18^(K545+1)</f>
        <v>95228976.513098329</v>
      </c>
      <c r="R545" s="10">
        <f>'Optimal Choice'!$B$22*'Optimal Choice'!$B$23^(L545+1)</f>
        <v>404964327.73788184</v>
      </c>
      <c r="S545" s="10">
        <f>'Optimal Choice'!$B$27*'Optimal Choice'!$B$28^(M545+1)</f>
        <v>2222700685.808394</v>
      </c>
    </row>
    <row r="546" spans="1:19" ht="15.75" customHeight="1">
      <c r="A546" s="8">
        <f t="shared" si="0"/>
        <v>1859.6715428407169</v>
      </c>
      <c r="B546" s="7">
        <f>(I546*'Optimal Choice'!$B$6+J546*'Optimal Choice'!$B$11+K546*'Optimal Choice'!$B$16+L546*'Optimal Choice'!$B$21+M546*'Optimal Choice'!$B$26)*'Optimal Choice'!$B$30</f>
        <v>229388.97</v>
      </c>
      <c r="C546" s="8">
        <f>(O546/$B546)+(O546/'Optimal Choice'!$B$6)</f>
        <v>1049619.7585656524</v>
      </c>
      <c r="D546" s="8">
        <f>(P546/$B546)+(P546/'Optimal Choice'!$B$11)</f>
        <v>1151755.8609645276</v>
      </c>
      <c r="E546" s="8">
        <f>(Q546/$B546)+(Q546/'Optimal Choice'!$B$16)</f>
        <v>1058514.8809504174</v>
      </c>
      <c r="F546" s="8">
        <f>(R546/$B546)+(R546/'Optimal Choice'!$B$21)</f>
        <v>1126666.3149172245</v>
      </c>
      <c r="G546" s="8">
        <f>(S546/$B546)+(S546/'Optimal Choice'!$B$26)</f>
        <v>1038717.753358111</v>
      </c>
      <c r="I546" s="11">
        <f t="shared" ref="I546:M546" si="544">IF(MIN($C545:$G545)=C545,I545+1,I545)</f>
        <v>191</v>
      </c>
      <c r="J546" s="11">
        <f t="shared" si="544"/>
        <v>91</v>
      </c>
      <c r="K546" s="11">
        <f t="shared" si="544"/>
        <v>89</v>
      </c>
      <c r="L546" s="11">
        <f t="shared" si="544"/>
        <v>87</v>
      </c>
      <c r="M546" s="11">
        <f t="shared" si="544"/>
        <v>87</v>
      </c>
      <c r="O546" s="10">
        <f>'Optimal Choice'!$B$7*'Optimal Choice'!$B$8^(I546+1)</f>
        <v>1752852.2356712967</v>
      </c>
      <c r="P546" s="10">
        <f>'Optimal Choice'!$B$12*'Optimal Choice'!$B$13^(J546+1)</f>
        <v>23033109.005120084</v>
      </c>
      <c r="Q546" s="10">
        <f>'Optimal Choice'!$B$17*'Optimal Choice'!$B$18^(K546+1)</f>
        <v>95228976.513098329</v>
      </c>
      <c r="R546" s="10">
        <f>'Optimal Choice'!$B$22*'Optimal Choice'!$B$23^(L546+1)</f>
        <v>404964327.73788184</v>
      </c>
      <c r="S546" s="10">
        <f>'Optimal Choice'!$B$27*'Optimal Choice'!$B$28^(M546+1)</f>
        <v>2222700685.808394</v>
      </c>
    </row>
    <row r="547" spans="1:19" ht="15.75" customHeight="1">
      <c r="A547" s="8">
        <f t="shared" si="0"/>
        <v>2021.1658441148361</v>
      </c>
      <c r="B547" s="7">
        <f>(I547*'Optimal Choice'!$B$6+J547*'Optimal Choice'!$B$11+K547*'Optimal Choice'!$B$16+L547*'Optimal Choice'!$B$21+M547*'Optimal Choice'!$B$26)*'Optimal Choice'!$B$30</f>
        <v>231548.97</v>
      </c>
      <c r="C547" s="8">
        <f>(O547/$B547)+(O547/'Optimal Choice'!$B$6)</f>
        <v>1049619.6872830293</v>
      </c>
      <c r="D547" s="8">
        <f>(P547/$B547)+(P547/'Optimal Choice'!$B$11)</f>
        <v>1151754.9242852132</v>
      </c>
      <c r="E547" s="8">
        <f>(Q547/$B547)+(Q547/'Optimal Choice'!$B$16)</f>
        <v>1058511.0083072416</v>
      </c>
      <c r="F547" s="8">
        <f>(R547/$B547)+(R547/'Optimal Choice'!$B$21)</f>
        <v>1126649.8463758444</v>
      </c>
      <c r="G547" s="8">
        <f>(S547/$B547)+(S547/'Optimal Choice'!$B$26)</f>
        <v>1163262.6472027074</v>
      </c>
      <c r="I547" s="11">
        <f t="shared" ref="I547:M547" si="545">IF(MIN($C546:$G546)=C546,I546+1,I546)</f>
        <v>191</v>
      </c>
      <c r="J547" s="11">
        <f t="shared" si="545"/>
        <v>91</v>
      </c>
      <c r="K547" s="11">
        <f t="shared" si="545"/>
        <v>89</v>
      </c>
      <c r="L547" s="11">
        <f t="shared" si="545"/>
        <v>87</v>
      </c>
      <c r="M547" s="11">
        <f t="shared" si="545"/>
        <v>88</v>
      </c>
      <c r="O547" s="10">
        <f>'Optimal Choice'!$B$7*'Optimal Choice'!$B$8^(I547+1)</f>
        <v>1752852.2356712967</v>
      </c>
      <c r="P547" s="10">
        <f>'Optimal Choice'!$B$12*'Optimal Choice'!$B$13^(J547+1)</f>
        <v>23033109.005120084</v>
      </c>
      <c r="Q547" s="10">
        <f>'Optimal Choice'!$B$17*'Optimal Choice'!$B$18^(K547+1)</f>
        <v>95228976.513098329</v>
      </c>
      <c r="R547" s="10">
        <f>'Optimal Choice'!$B$22*'Optimal Choice'!$B$23^(L547+1)</f>
        <v>404964327.73788184</v>
      </c>
      <c r="S547" s="10">
        <f>'Optimal Choice'!$B$27*'Optimal Choice'!$B$28^(M547+1)</f>
        <v>2489424768.1054015</v>
      </c>
    </row>
    <row r="548" spans="1:19" ht="15.75" customHeight="1">
      <c r="A548" s="8">
        <f t="shared" si="0"/>
        <v>2021.2920126913054</v>
      </c>
      <c r="B548" s="7">
        <f>(I548*'Optimal Choice'!$B$6+J548*'Optimal Choice'!$B$11+K548*'Optimal Choice'!$B$16+L548*'Optimal Choice'!$B$21+M548*'Optimal Choice'!$B$26)*'Optimal Choice'!$B$30</f>
        <v>231550.64</v>
      </c>
      <c r="C548" s="8">
        <f>(O548/$B548)+(O548/'Optimal Choice'!$B$6)</f>
        <v>1123093.065334422</v>
      </c>
      <c r="D548" s="8">
        <f>(P548/$B548)+(P548/'Optimal Choice'!$B$11)</f>
        <v>1151754.9235677822</v>
      </c>
      <c r="E548" s="8">
        <f>(Q548/$B548)+(Q548/'Optimal Choice'!$B$16)</f>
        <v>1058511.0053410667</v>
      </c>
      <c r="F548" s="8">
        <f>(R548/$B548)+(R548/'Optimal Choice'!$B$21)</f>
        <v>1126649.8337620893</v>
      </c>
      <c r="G548" s="8">
        <f>(S548/$B548)+(S548/'Optimal Choice'!$B$26)</f>
        <v>1163262.5696625572</v>
      </c>
      <c r="I548" s="11">
        <f t="shared" ref="I548:M548" si="546">IF(MIN($C547:$G547)=C547,I547+1,I547)</f>
        <v>192</v>
      </c>
      <c r="J548" s="11">
        <f t="shared" si="546"/>
        <v>91</v>
      </c>
      <c r="K548" s="11">
        <f t="shared" si="546"/>
        <v>89</v>
      </c>
      <c r="L548" s="11">
        <f t="shared" si="546"/>
        <v>87</v>
      </c>
      <c r="M548" s="11">
        <f t="shared" si="546"/>
        <v>88</v>
      </c>
      <c r="O548" s="10">
        <f>'Optimal Choice'!$B$7*'Optimal Choice'!$B$8^(I548+1)</f>
        <v>1875551.8921682874</v>
      </c>
      <c r="P548" s="10">
        <f>'Optimal Choice'!$B$12*'Optimal Choice'!$B$13^(J548+1)</f>
        <v>23033109.005120084</v>
      </c>
      <c r="Q548" s="10">
        <f>'Optimal Choice'!$B$17*'Optimal Choice'!$B$18^(K548+1)</f>
        <v>95228976.513098329</v>
      </c>
      <c r="R548" s="10">
        <f>'Optimal Choice'!$B$22*'Optimal Choice'!$B$23^(L548+1)</f>
        <v>404964327.73788184</v>
      </c>
      <c r="S548" s="10">
        <f>'Optimal Choice'!$B$27*'Optimal Choice'!$B$28^(M548+1)</f>
        <v>2489424768.1054015</v>
      </c>
    </row>
    <row r="549" spans="1:19" ht="15.75" customHeight="1">
      <c r="A549" s="8">
        <f t="shared" si="0"/>
        <v>2028.1464511353176</v>
      </c>
      <c r="B549" s="7">
        <f>(I549*'Optimal Choice'!$B$6+J549*'Optimal Choice'!$B$11+K549*'Optimal Choice'!$B$16+L549*'Optimal Choice'!$B$21+M549*'Optimal Choice'!$B$26)*'Optimal Choice'!$B$30</f>
        <v>231640.64</v>
      </c>
      <c r="C549" s="8">
        <f>(O549/$B549)+(O549/'Optimal Choice'!$B$6)</f>
        <v>1123093.0621873199</v>
      </c>
      <c r="D549" s="8">
        <f>(P549/$B549)+(P549/'Optimal Choice'!$B$11)</f>
        <v>1151754.8849191321</v>
      </c>
      <c r="E549" s="8">
        <f>(Q549/$B549)+(Q549/'Optimal Choice'!$B$16)</f>
        <v>1206702.3639276759</v>
      </c>
      <c r="F549" s="8">
        <f>(R549/$B549)+(R549/'Optimal Choice'!$B$21)</f>
        <v>1126649.1542478895</v>
      </c>
      <c r="G549" s="8">
        <f>(S549/$B549)+(S549/'Optimal Choice'!$B$26)</f>
        <v>1163258.3925057973</v>
      </c>
      <c r="I549" s="11">
        <f t="shared" ref="I549:M549" si="547">IF(MIN($C548:$G548)=C548,I548+1,I548)</f>
        <v>192</v>
      </c>
      <c r="J549" s="11">
        <f t="shared" si="547"/>
        <v>91</v>
      </c>
      <c r="K549" s="11">
        <f t="shared" si="547"/>
        <v>90</v>
      </c>
      <c r="L549" s="11">
        <f t="shared" si="547"/>
        <v>87</v>
      </c>
      <c r="M549" s="11">
        <f t="shared" si="547"/>
        <v>88</v>
      </c>
      <c r="O549" s="10">
        <f>'Optimal Choice'!$B$7*'Optimal Choice'!$B$8^(I549+1)</f>
        <v>1875551.8921682874</v>
      </c>
      <c r="P549" s="10">
        <f>'Optimal Choice'!$B$12*'Optimal Choice'!$B$13^(J549+1)</f>
        <v>23033109.005120084</v>
      </c>
      <c r="Q549" s="10">
        <f>'Optimal Choice'!$B$17*'Optimal Choice'!$B$18^(K549+1)</f>
        <v>108561033.2249321</v>
      </c>
      <c r="R549" s="10">
        <f>'Optimal Choice'!$B$22*'Optimal Choice'!$B$23^(L549+1)</f>
        <v>404964327.73788184</v>
      </c>
      <c r="S549" s="10">
        <f>'Optimal Choice'!$B$27*'Optimal Choice'!$B$28^(M549+1)</f>
        <v>2489424768.1054015</v>
      </c>
    </row>
    <row r="550" spans="1:19" ht="15.75" customHeight="1">
      <c r="A550" s="8">
        <f t="shared" si="0"/>
        <v>2028.28139808678</v>
      </c>
      <c r="B550" s="7">
        <f>(I550*'Optimal Choice'!$B$6+J550*'Optimal Choice'!$B$11+K550*'Optimal Choice'!$B$16+L550*'Optimal Choice'!$B$21+M550*'Optimal Choice'!$B$26)*'Optimal Choice'!$B$30</f>
        <v>231642.31</v>
      </c>
      <c r="C550" s="8">
        <f>(O550/$B550)+(O550/'Optimal Choice'!$B$6)</f>
        <v>1201709.576477973</v>
      </c>
      <c r="D550" s="8">
        <f>(P550/$B550)+(P550/'Optimal Choice'!$B$11)</f>
        <v>1151754.8842022687</v>
      </c>
      <c r="E550" s="8">
        <f>(Q550/$B550)+(Q550/'Optimal Choice'!$B$16)</f>
        <v>1206702.3605489123</v>
      </c>
      <c r="F550" s="8">
        <f>(R550/$B550)+(R550/'Optimal Choice'!$B$21)</f>
        <v>1126649.1416441158</v>
      </c>
      <c r="G550" s="8">
        <f>(S550/$B550)+(S550/'Optimal Choice'!$B$26)</f>
        <v>1163258.3150270067</v>
      </c>
      <c r="I550" s="11">
        <f t="shared" ref="I550:M550" si="548">IF(MIN($C549:$G549)=C549,I549+1,I549)</f>
        <v>193</v>
      </c>
      <c r="J550" s="11">
        <f t="shared" si="548"/>
        <v>91</v>
      </c>
      <c r="K550" s="11">
        <f t="shared" si="548"/>
        <v>90</v>
      </c>
      <c r="L550" s="11">
        <f t="shared" si="548"/>
        <v>87</v>
      </c>
      <c r="M550" s="11">
        <f t="shared" si="548"/>
        <v>88</v>
      </c>
      <c r="O550" s="10">
        <f>'Optimal Choice'!$B$7*'Optimal Choice'!$B$8^(I550+1)</f>
        <v>2006840.5246200676</v>
      </c>
      <c r="P550" s="10">
        <f>'Optimal Choice'!$B$12*'Optimal Choice'!$B$13^(J550+1)</f>
        <v>23033109.005120084</v>
      </c>
      <c r="Q550" s="10">
        <f>'Optimal Choice'!$B$17*'Optimal Choice'!$B$18^(K550+1)</f>
        <v>108561033.2249321</v>
      </c>
      <c r="R550" s="10">
        <f>'Optimal Choice'!$B$22*'Optimal Choice'!$B$23^(L550+1)</f>
        <v>404964327.73788184</v>
      </c>
      <c r="S550" s="10">
        <f>'Optimal Choice'!$B$27*'Optimal Choice'!$B$28^(M550+1)</f>
        <v>2489424768.1054015</v>
      </c>
    </row>
    <row r="551" spans="1:19" ht="15.75" customHeight="1">
      <c r="A551" s="8">
        <f t="shared" si="0"/>
        <v>2057.4185857719572</v>
      </c>
      <c r="B551" s="7">
        <f>(I551*'Optimal Choice'!$B$6+J551*'Optimal Choice'!$B$11+K551*'Optimal Choice'!$B$16+L551*'Optimal Choice'!$B$21+M551*'Optimal Choice'!$B$26)*'Optimal Choice'!$B$30</f>
        <v>232002.31</v>
      </c>
      <c r="C551" s="8">
        <f>(O551/$B551)+(O551/'Optimal Choice'!$B$6)</f>
        <v>1201709.5630346953</v>
      </c>
      <c r="D551" s="8">
        <f>(P551/$B551)+(P551/'Optimal Choice'!$B$11)</f>
        <v>1151754.7299097504</v>
      </c>
      <c r="E551" s="8">
        <f>(Q551/$B551)+(Q551/'Optimal Choice'!$B$16)</f>
        <v>1206701.6333281451</v>
      </c>
      <c r="F551" s="8">
        <f>(R551/$B551)+(R551/'Optimal Choice'!$B$21)</f>
        <v>1273110.464655282</v>
      </c>
      <c r="G551" s="8">
        <f>(S551/$B551)+(S551/'Optimal Choice'!$B$26)</f>
        <v>1163241.6390491158</v>
      </c>
      <c r="I551" s="11">
        <f t="shared" ref="I551:M551" si="549">IF(MIN($C550:$G550)=C550,I550+1,I550)</f>
        <v>193</v>
      </c>
      <c r="J551" s="11">
        <f t="shared" si="549"/>
        <v>91</v>
      </c>
      <c r="K551" s="11">
        <f t="shared" si="549"/>
        <v>90</v>
      </c>
      <c r="L551" s="11">
        <f t="shared" si="549"/>
        <v>88</v>
      </c>
      <c r="M551" s="11">
        <f t="shared" si="549"/>
        <v>88</v>
      </c>
      <c r="O551" s="10">
        <f>'Optimal Choice'!$B$7*'Optimal Choice'!$B$8^(I551+1)</f>
        <v>2006840.5246200676</v>
      </c>
      <c r="P551" s="10">
        <f>'Optimal Choice'!$B$12*'Optimal Choice'!$B$13^(J551+1)</f>
        <v>23033109.005120084</v>
      </c>
      <c r="Q551" s="10">
        <f>'Optimal Choice'!$B$17*'Optimal Choice'!$B$18^(K551+1)</f>
        <v>108561033.2249321</v>
      </c>
      <c r="R551" s="10">
        <f>'Optimal Choice'!$B$22*'Optimal Choice'!$B$23^(L551+1)</f>
        <v>457609690.34380645</v>
      </c>
      <c r="S551" s="10">
        <f>'Optimal Choice'!$B$27*'Optimal Choice'!$B$28^(M551+1)</f>
        <v>2489424768.1054015</v>
      </c>
    </row>
    <row r="552" spans="1:19" ht="15.75" customHeight="1">
      <c r="A552" s="8">
        <f t="shared" si="0"/>
        <v>2059.0732466677273</v>
      </c>
      <c r="B552" s="7">
        <f>(I552*'Optimal Choice'!$B$6+J552*'Optimal Choice'!$B$11+K552*'Optimal Choice'!$B$16+L552*'Optimal Choice'!$B$21+M552*'Optimal Choice'!$B$26)*'Optimal Choice'!$B$30</f>
        <v>232022.31</v>
      </c>
      <c r="C552" s="8">
        <f>(O552/$B552)+(O552/'Optimal Choice'!$B$6)</f>
        <v>1201709.5622890699</v>
      </c>
      <c r="D552" s="8">
        <f>(P552/$B552)+(P552/'Optimal Choice'!$B$11)</f>
        <v>1324517.92955478</v>
      </c>
      <c r="E552" s="8">
        <f>(Q552/$B552)+(Q552/'Optimal Choice'!$B$16)</f>
        <v>1206701.5929931593</v>
      </c>
      <c r="F552" s="8">
        <f>(R552/$B552)+(R552/'Optimal Choice'!$B$21)</f>
        <v>1273110.2946340523</v>
      </c>
      <c r="G552" s="8">
        <f>(S552/$B552)+(S552/'Optimal Choice'!$B$26)</f>
        <v>1163240.7141232039</v>
      </c>
      <c r="I552" s="11">
        <f t="shared" ref="I552:M552" si="550">IF(MIN($C551:$G551)=C551,I551+1,I551)</f>
        <v>193</v>
      </c>
      <c r="J552" s="11">
        <f t="shared" si="550"/>
        <v>92</v>
      </c>
      <c r="K552" s="11">
        <f t="shared" si="550"/>
        <v>90</v>
      </c>
      <c r="L552" s="11">
        <f t="shared" si="550"/>
        <v>88</v>
      </c>
      <c r="M552" s="11">
        <f t="shared" si="550"/>
        <v>88</v>
      </c>
      <c r="O552" s="10">
        <f>'Optimal Choice'!$B$7*'Optimal Choice'!$B$8^(I552+1)</f>
        <v>2006840.5246200676</v>
      </c>
      <c r="P552" s="10">
        <f>'Optimal Choice'!$B$12*'Optimal Choice'!$B$13^(J552+1)</f>
        <v>26488075.355888098</v>
      </c>
      <c r="Q552" s="10">
        <f>'Optimal Choice'!$B$17*'Optimal Choice'!$B$18^(K552+1)</f>
        <v>108561033.2249321</v>
      </c>
      <c r="R552" s="10">
        <f>'Optimal Choice'!$B$22*'Optimal Choice'!$B$23^(L552+1)</f>
        <v>457609690.34380645</v>
      </c>
      <c r="S552" s="10">
        <f>'Optimal Choice'!$B$27*'Optimal Choice'!$B$28^(M552+1)</f>
        <v>2489424768.1054015</v>
      </c>
    </row>
    <row r="553" spans="1:19" ht="15.75" customHeight="1">
      <c r="A553" s="8">
        <f t="shared" si="0"/>
        <v>2237.8940367967311</v>
      </c>
      <c r="B553" s="7">
        <f>(I553*'Optimal Choice'!$B$6+J553*'Optimal Choice'!$B$11+K553*'Optimal Choice'!$B$16+L553*'Optimal Choice'!$B$21+M553*'Optimal Choice'!$B$26)*'Optimal Choice'!$B$30</f>
        <v>234182.31</v>
      </c>
      <c r="C553" s="8">
        <f>(O553/$B553)+(O553/'Optimal Choice'!$B$6)</f>
        <v>1201709.4825111364</v>
      </c>
      <c r="D553" s="8">
        <f>(P553/$B553)+(P553/'Optimal Choice'!$B$11)</f>
        <v>1324516.8765742946</v>
      </c>
      <c r="E553" s="8">
        <f>(Q553/$B553)+(Q553/'Optimal Choice'!$B$16)</f>
        <v>1206697.2773663008</v>
      </c>
      <c r="F553" s="8">
        <f>(R553/$B553)+(R553/'Optimal Choice'!$B$21)</f>
        <v>1273092.1032755901</v>
      </c>
      <c r="G553" s="8">
        <f>(S553/$B553)+(S553/'Optimal Choice'!$B$26)</f>
        <v>1302718.7622601523</v>
      </c>
      <c r="I553" s="11">
        <f t="shared" ref="I553:M553" si="551">IF(MIN($C552:$G552)=C552,I552+1,I552)</f>
        <v>193</v>
      </c>
      <c r="J553" s="11">
        <f t="shared" si="551"/>
        <v>92</v>
      </c>
      <c r="K553" s="11">
        <f t="shared" si="551"/>
        <v>90</v>
      </c>
      <c r="L553" s="11">
        <f t="shared" si="551"/>
        <v>88</v>
      </c>
      <c r="M553" s="11">
        <f t="shared" si="551"/>
        <v>89</v>
      </c>
      <c r="O553" s="10">
        <f>'Optimal Choice'!$B$7*'Optimal Choice'!$B$8^(I553+1)</f>
        <v>2006840.5246200676</v>
      </c>
      <c r="P553" s="10">
        <f>'Optimal Choice'!$B$12*'Optimal Choice'!$B$13^(J553+1)</f>
        <v>26488075.355888098</v>
      </c>
      <c r="Q553" s="10">
        <f>'Optimal Choice'!$B$17*'Optimal Choice'!$B$18^(K553+1)</f>
        <v>108561033.2249321</v>
      </c>
      <c r="R553" s="10">
        <f>'Optimal Choice'!$B$22*'Optimal Choice'!$B$23^(L553+1)</f>
        <v>457609690.34380645</v>
      </c>
      <c r="S553" s="10">
        <f>'Optimal Choice'!$B$27*'Optimal Choice'!$B$28^(M553+1)</f>
        <v>2788155740.2780495</v>
      </c>
    </row>
    <row r="554" spans="1:19" ht="15.75" customHeight="1">
      <c r="A554" s="8">
        <f t="shared" si="0"/>
        <v>2238.0368628798669</v>
      </c>
      <c r="B554" s="7">
        <f>(I554*'Optimal Choice'!$B$6+J554*'Optimal Choice'!$B$11+K554*'Optimal Choice'!$B$16+L554*'Optimal Choice'!$B$21+M554*'Optimal Choice'!$B$26)*'Optimal Choice'!$B$30</f>
        <v>234183.97999999998</v>
      </c>
      <c r="C554" s="8">
        <f>(O554/$B554)+(O554/'Optimal Choice'!$B$6)</f>
        <v>1285829.1462215274</v>
      </c>
      <c r="D554" s="8">
        <f>(P554/$B554)+(P554/'Optimal Choice'!$B$11)</f>
        <v>1324516.8757676997</v>
      </c>
      <c r="E554" s="8">
        <f>(Q554/$B554)+(Q554/'Optimal Choice'!$B$16)</f>
        <v>1206697.274060481</v>
      </c>
      <c r="F554" s="8">
        <f>(R554/$B554)+(R554/'Optimal Choice'!$B$21)</f>
        <v>1273092.0893408007</v>
      </c>
      <c r="G554" s="8">
        <f>(S554/$B554)+(S554/'Optimal Choice'!$B$26)</f>
        <v>1302718.6773573095</v>
      </c>
      <c r="I554" s="11">
        <f t="shared" ref="I554:M554" si="552">IF(MIN($C553:$G553)=C553,I553+1,I553)</f>
        <v>194</v>
      </c>
      <c r="J554" s="11">
        <f t="shared" si="552"/>
        <v>92</v>
      </c>
      <c r="K554" s="11">
        <f t="shared" si="552"/>
        <v>90</v>
      </c>
      <c r="L554" s="11">
        <f t="shared" si="552"/>
        <v>88</v>
      </c>
      <c r="M554" s="11">
        <f t="shared" si="552"/>
        <v>89</v>
      </c>
      <c r="O554" s="10">
        <f>'Optimal Choice'!$B$7*'Optimal Choice'!$B$8^(I554+1)</f>
        <v>2147319.3613434723</v>
      </c>
      <c r="P554" s="10">
        <f>'Optimal Choice'!$B$12*'Optimal Choice'!$B$13^(J554+1)</f>
        <v>26488075.355888098</v>
      </c>
      <c r="Q554" s="10">
        <f>'Optimal Choice'!$B$17*'Optimal Choice'!$B$18^(K554+1)</f>
        <v>108561033.2249321</v>
      </c>
      <c r="R554" s="10">
        <f>'Optimal Choice'!$B$22*'Optimal Choice'!$B$23^(L554+1)</f>
        <v>457609690.34380645</v>
      </c>
      <c r="S554" s="10">
        <f>'Optimal Choice'!$B$27*'Optimal Choice'!$B$28^(M554+1)</f>
        <v>2788155740.2780495</v>
      </c>
    </row>
    <row r="555" spans="1:19" ht="15.75" customHeight="1">
      <c r="A555" s="8">
        <f t="shared" si="0"/>
        <v>2245.7630555671244</v>
      </c>
      <c r="B555" s="7">
        <f>(I555*'Optimal Choice'!$B$6+J555*'Optimal Choice'!$B$11+K555*'Optimal Choice'!$B$16+L555*'Optimal Choice'!$B$21+M555*'Optimal Choice'!$B$26)*'Optimal Choice'!$B$30</f>
        <v>234273.97999999998</v>
      </c>
      <c r="C555" s="8">
        <f>(O555/$B555)+(O555/'Optimal Choice'!$B$6)</f>
        <v>1285829.1426989713</v>
      </c>
      <c r="D555" s="8">
        <f>(P555/$B555)+(P555/'Optimal Choice'!$B$11)</f>
        <v>1324516.8323155092</v>
      </c>
      <c r="E555" s="8">
        <f>(Q555/$B555)+(Q555/'Optimal Choice'!$B$16)</f>
        <v>1375634.6894083559</v>
      </c>
      <c r="F555" s="8">
        <f>(R555/$B555)+(R555/'Optimal Choice'!$B$21)</f>
        <v>1273091.3386579689</v>
      </c>
      <c r="G555" s="8">
        <f>(S555/$B555)+(S555/'Optimal Choice'!$B$26)</f>
        <v>1302714.103545411</v>
      </c>
      <c r="I555" s="11">
        <f t="shared" ref="I555:M555" si="553">IF(MIN($C554:$G554)=C554,I554+1,I554)</f>
        <v>194</v>
      </c>
      <c r="J555" s="11">
        <f t="shared" si="553"/>
        <v>92</v>
      </c>
      <c r="K555" s="11">
        <f t="shared" si="553"/>
        <v>91</v>
      </c>
      <c r="L555" s="11">
        <f t="shared" si="553"/>
        <v>88</v>
      </c>
      <c r="M555" s="11">
        <f t="shared" si="553"/>
        <v>89</v>
      </c>
      <c r="O555" s="10">
        <f>'Optimal Choice'!$B$7*'Optimal Choice'!$B$8^(I555+1)</f>
        <v>2147319.3613434723</v>
      </c>
      <c r="P555" s="10">
        <f>'Optimal Choice'!$B$12*'Optimal Choice'!$B$13^(J555+1)</f>
        <v>26488075.355888098</v>
      </c>
      <c r="Q555" s="10">
        <f>'Optimal Choice'!$B$17*'Optimal Choice'!$B$18^(K555+1)</f>
        <v>123759577.87642258</v>
      </c>
      <c r="R555" s="10">
        <f>'Optimal Choice'!$B$22*'Optimal Choice'!$B$23^(L555+1)</f>
        <v>457609690.34380645</v>
      </c>
      <c r="S555" s="10">
        <f>'Optimal Choice'!$B$27*'Optimal Choice'!$B$28^(M555+1)</f>
        <v>2788155740.2780495</v>
      </c>
    </row>
    <row r="556" spans="1:19" ht="15.75" customHeight="1">
      <c r="A556" s="8">
        <f t="shared" si="0"/>
        <v>2278.3182209866764</v>
      </c>
      <c r="B556" s="7">
        <f>(I556*'Optimal Choice'!$B$6+J556*'Optimal Choice'!$B$11+K556*'Optimal Choice'!$B$16+L556*'Optimal Choice'!$B$21+M556*'Optimal Choice'!$B$26)*'Optimal Choice'!$B$30</f>
        <v>234633.97999999998</v>
      </c>
      <c r="C556" s="8">
        <f>(O556/$B556)+(O556/'Optimal Choice'!$B$6)</f>
        <v>1285829.1286357704</v>
      </c>
      <c r="D556" s="8">
        <f>(P556/$B556)+(P556/'Optimal Choice'!$B$11)</f>
        <v>1324516.6588400919</v>
      </c>
      <c r="E556" s="8">
        <f>(Q556/$B556)+(Q556/'Optimal Choice'!$B$16)</f>
        <v>1375633.8788834638</v>
      </c>
      <c r="F556" s="8">
        <f>(R556/$B556)+(R556/'Optimal Choice'!$B$21)</f>
        <v>1438589.8261046403</v>
      </c>
      <c r="G556" s="8">
        <f>(S556/$B556)+(S556/'Optimal Choice'!$B$26)</f>
        <v>1302695.8433859206</v>
      </c>
      <c r="I556" s="11">
        <f t="shared" ref="I556:M556" si="554">IF(MIN($C555:$G555)=C555,I555+1,I555)</f>
        <v>194</v>
      </c>
      <c r="J556" s="11">
        <f t="shared" si="554"/>
        <v>92</v>
      </c>
      <c r="K556" s="11">
        <f t="shared" si="554"/>
        <v>91</v>
      </c>
      <c r="L556" s="11">
        <f t="shared" si="554"/>
        <v>89</v>
      </c>
      <c r="M556" s="11">
        <f t="shared" si="554"/>
        <v>89</v>
      </c>
      <c r="O556" s="10">
        <f>'Optimal Choice'!$B$7*'Optimal Choice'!$B$8^(I556+1)</f>
        <v>2147319.3613434723</v>
      </c>
      <c r="P556" s="10">
        <f>'Optimal Choice'!$B$12*'Optimal Choice'!$B$13^(J556+1)</f>
        <v>26488075.355888098</v>
      </c>
      <c r="Q556" s="10">
        <f>'Optimal Choice'!$B$17*'Optimal Choice'!$B$18^(K556+1)</f>
        <v>123759577.87642258</v>
      </c>
      <c r="R556" s="10">
        <f>'Optimal Choice'!$B$22*'Optimal Choice'!$B$23^(L556+1)</f>
        <v>517098950.08850121</v>
      </c>
      <c r="S556" s="10">
        <f>'Optimal Choice'!$B$27*'Optimal Choice'!$B$28^(M556+1)</f>
        <v>2788155740.2780495</v>
      </c>
    </row>
    <row r="557" spans="1:19" ht="15.75" customHeight="1">
      <c r="A557" s="8">
        <f t="shared" si="0"/>
        <v>2278.4707507098751</v>
      </c>
      <c r="B557" s="7">
        <f>(I557*'Optimal Choice'!$B$6+J557*'Optimal Choice'!$B$11+K557*'Optimal Choice'!$B$16+L557*'Optimal Choice'!$B$21+M557*'Optimal Choice'!$B$26)*'Optimal Choice'!$B$30</f>
        <v>234635.65</v>
      </c>
      <c r="C557" s="8">
        <f>(O557/$B557)+(O557/'Optimal Choice'!$B$6)</f>
        <v>1375837.1675705779</v>
      </c>
      <c r="D557" s="8">
        <f>(P557/$B557)+(P557/'Optimal Choice'!$B$11)</f>
        <v>1324516.6580365992</v>
      </c>
      <c r="E557" s="8">
        <f>(Q557/$B557)+(Q557/'Optimal Choice'!$B$16)</f>
        <v>1375633.8751293246</v>
      </c>
      <c r="F557" s="8">
        <f>(R557/$B557)+(R557/'Optimal Choice'!$B$21)</f>
        <v>1438589.8104188927</v>
      </c>
      <c r="G557" s="8">
        <f>(S557/$B557)+(S557/'Optimal Choice'!$B$26)</f>
        <v>1302695.7588096377</v>
      </c>
      <c r="I557" s="11">
        <f t="shared" ref="I557:M557" si="555">IF(MIN($C556:$G556)=C556,I556+1,I556)</f>
        <v>195</v>
      </c>
      <c r="J557" s="11">
        <f t="shared" si="555"/>
        <v>92</v>
      </c>
      <c r="K557" s="11">
        <f t="shared" si="555"/>
        <v>91</v>
      </c>
      <c r="L557" s="11">
        <f t="shared" si="555"/>
        <v>89</v>
      </c>
      <c r="M557" s="11">
        <f t="shared" si="555"/>
        <v>89</v>
      </c>
      <c r="O557" s="10">
        <f>'Optimal Choice'!$B$7*'Optimal Choice'!$B$8^(I557+1)</f>
        <v>2297631.7166375155</v>
      </c>
      <c r="P557" s="10">
        <f>'Optimal Choice'!$B$12*'Optimal Choice'!$B$13^(J557+1)</f>
        <v>26488075.355888098</v>
      </c>
      <c r="Q557" s="10">
        <f>'Optimal Choice'!$B$17*'Optimal Choice'!$B$18^(K557+1)</f>
        <v>123759577.87642258</v>
      </c>
      <c r="R557" s="10">
        <f>'Optimal Choice'!$B$22*'Optimal Choice'!$B$23^(L557+1)</f>
        <v>517098950.08850121</v>
      </c>
      <c r="S557" s="10">
        <f>'Optimal Choice'!$B$27*'Optimal Choice'!$B$28^(M557+1)</f>
        <v>2788155740.2780495</v>
      </c>
    </row>
    <row r="558" spans="1:19" ht="15.75" customHeight="1">
      <c r="A558" s="8">
        <f t="shared" si="0"/>
        <v>2476.5193521818487</v>
      </c>
      <c r="B558" s="7">
        <f>(I558*'Optimal Choice'!$B$6+J558*'Optimal Choice'!$B$11+K558*'Optimal Choice'!$B$16+L558*'Optimal Choice'!$B$21+M558*'Optimal Choice'!$B$26)*'Optimal Choice'!$B$30</f>
        <v>236795.65</v>
      </c>
      <c r="C558" s="8">
        <f>(O558/$B558)+(O558/'Optimal Choice'!$B$6)</f>
        <v>1375837.0782469301</v>
      </c>
      <c r="D558" s="8">
        <f>(P558/$B558)+(P558/'Optimal Choice'!$B$11)</f>
        <v>1324515.6282756084</v>
      </c>
      <c r="E558" s="8">
        <f>(Q558/$B558)+(Q558/'Optimal Choice'!$B$16)</f>
        <v>1375629.0638025743</v>
      </c>
      <c r="F558" s="8">
        <f>(R558/$B558)+(R558/'Optimal Choice'!$B$21)</f>
        <v>1438569.7074736999</v>
      </c>
      <c r="G558" s="8">
        <f>(S558/$B558)+(S558/'Optimal Choice'!$B$26)</f>
        <v>1458897.849196635</v>
      </c>
      <c r="I558" s="11">
        <f t="shared" ref="I558:M558" si="556">IF(MIN($C557:$G557)=C557,I557+1,I557)</f>
        <v>195</v>
      </c>
      <c r="J558" s="11">
        <f t="shared" si="556"/>
        <v>92</v>
      </c>
      <c r="K558" s="11">
        <f t="shared" si="556"/>
        <v>91</v>
      </c>
      <c r="L558" s="11">
        <f t="shared" si="556"/>
        <v>89</v>
      </c>
      <c r="M558" s="11">
        <f t="shared" si="556"/>
        <v>90</v>
      </c>
      <c r="O558" s="10">
        <f>'Optimal Choice'!$B$7*'Optimal Choice'!$B$8^(I558+1)</f>
        <v>2297631.7166375155</v>
      </c>
      <c r="P558" s="10">
        <f>'Optimal Choice'!$B$12*'Optimal Choice'!$B$13^(J558+1)</f>
        <v>26488075.355888098</v>
      </c>
      <c r="Q558" s="10">
        <f>'Optimal Choice'!$B$17*'Optimal Choice'!$B$18^(K558+1)</f>
        <v>123759577.87642258</v>
      </c>
      <c r="R558" s="10">
        <f>'Optimal Choice'!$B$22*'Optimal Choice'!$B$23^(L558+1)</f>
        <v>517098950.08850121</v>
      </c>
      <c r="S558" s="10">
        <f>'Optimal Choice'!$B$27*'Optimal Choice'!$B$28^(M558+1)</f>
        <v>3122734429.1114163</v>
      </c>
    </row>
    <row r="559" spans="1:19" ht="15.75" customHeight="1">
      <c r="A559" s="8">
        <f t="shared" si="0"/>
        <v>2478.3836935352397</v>
      </c>
      <c r="B559" s="7">
        <f>(I559*'Optimal Choice'!$B$6+J559*'Optimal Choice'!$B$11+K559*'Optimal Choice'!$B$16+L559*'Optimal Choice'!$B$21+M559*'Optimal Choice'!$B$26)*'Optimal Choice'!$B$30</f>
        <v>236815.65</v>
      </c>
      <c r="C559" s="8">
        <f>(O559/$B559)+(O559/'Optimal Choice'!$B$6)</f>
        <v>1375837.0774274729</v>
      </c>
      <c r="D559" s="8">
        <f>(P559/$B559)+(P559/'Optimal Choice'!$B$11)</f>
        <v>1523192.9616528407</v>
      </c>
      <c r="E559" s="8">
        <f>(Q559/$B559)+(Q559/'Optimal Choice'!$B$16)</f>
        <v>1375629.01966335</v>
      </c>
      <c r="F559" s="8">
        <f>(R559/$B559)+(R559/'Optimal Choice'!$B$21)</f>
        <v>1438569.5230488104</v>
      </c>
      <c r="G559" s="8">
        <f>(S559/$B559)+(S559/'Optimal Choice'!$B$26)</f>
        <v>1458896.735464046</v>
      </c>
      <c r="I559" s="11">
        <f t="shared" ref="I559:M559" si="557">IF(MIN($C558:$G558)=C558,I558+1,I558)</f>
        <v>195</v>
      </c>
      <c r="J559" s="11">
        <f t="shared" si="557"/>
        <v>93</v>
      </c>
      <c r="K559" s="11">
        <f t="shared" si="557"/>
        <v>91</v>
      </c>
      <c r="L559" s="11">
        <f t="shared" si="557"/>
        <v>89</v>
      </c>
      <c r="M559" s="11">
        <f t="shared" si="557"/>
        <v>90</v>
      </c>
      <c r="O559" s="10">
        <f>'Optimal Choice'!$B$7*'Optimal Choice'!$B$8^(I559+1)</f>
        <v>2297631.7166375155</v>
      </c>
      <c r="P559" s="10">
        <f>'Optimal Choice'!$B$12*'Optimal Choice'!$B$13^(J559+1)</f>
        <v>30461286.659271315</v>
      </c>
      <c r="Q559" s="10">
        <f>'Optimal Choice'!$B$17*'Optimal Choice'!$B$18^(K559+1)</f>
        <v>123759577.87642258</v>
      </c>
      <c r="R559" s="10">
        <f>'Optimal Choice'!$B$22*'Optimal Choice'!$B$23^(L559+1)</f>
        <v>517098950.08850121</v>
      </c>
      <c r="S559" s="10">
        <f>'Optimal Choice'!$B$27*'Optimal Choice'!$B$28^(M559+1)</f>
        <v>3122734429.1114163</v>
      </c>
    </row>
    <row r="560" spans="1:19" ht="15.75" customHeight="1">
      <c r="A560" s="8">
        <f t="shared" si="0"/>
        <v>2487.0936737720767</v>
      </c>
      <c r="B560" s="7">
        <f>(I560*'Optimal Choice'!$B$6+J560*'Optimal Choice'!$B$11+K560*'Optimal Choice'!$B$16+L560*'Optimal Choice'!$B$21+M560*'Optimal Choice'!$B$26)*'Optimal Choice'!$B$30</f>
        <v>236905.65</v>
      </c>
      <c r="C560" s="8">
        <f>(O560/$B560)+(O560/'Optimal Choice'!$B$6)</f>
        <v>1375837.0737416276</v>
      </c>
      <c r="D560" s="8">
        <f>(P560/$B560)+(P560/'Optimal Choice'!$B$11)</f>
        <v>1523192.9127870495</v>
      </c>
      <c r="E560" s="8">
        <f>(Q560/$B560)+(Q560/'Optimal Choice'!$B$16)</f>
        <v>1568216.8560871368</v>
      </c>
      <c r="F560" s="8">
        <f>(R560/$B560)+(R560/'Optimal Choice'!$B$21)</f>
        <v>1438568.6935221518</v>
      </c>
      <c r="G560" s="8">
        <f>(S560/$B560)+(S560/'Optimal Choice'!$B$26)</f>
        <v>1458891.7259944726</v>
      </c>
      <c r="I560" s="11">
        <f t="shared" ref="I560:M560" si="558">IF(MIN($C559:$G559)=C559,I559+1,I559)</f>
        <v>195</v>
      </c>
      <c r="J560" s="11">
        <f t="shared" si="558"/>
        <v>93</v>
      </c>
      <c r="K560" s="11">
        <f t="shared" si="558"/>
        <v>92</v>
      </c>
      <c r="L560" s="11">
        <f t="shared" si="558"/>
        <v>89</v>
      </c>
      <c r="M560" s="11">
        <f t="shared" si="558"/>
        <v>90</v>
      </c>
      <c r="O560" s="10">
        <f>'Optimal Choice'!$B$7*'Optimal Choice'!$B$8^(I560+1)</f>
        <v>2297631.7166375155</v>
      </c>
      <c r="P560" s="10">
        <f>'Optimal Choice'!$B$12*'Optimal Choice'!$B$13^(J560+1)</f>
        <v>30461286.659271315</v>
      </c>
      <c r="Q560" s="10">
        <f>'Optimal Choice'!$B$17*'Optimal Choice'!$B$18^(K560+1)</f>
        <v>141085918.77912173</v>
      </c>
      <c r="R560" s="10">
        <f>'Optimal Choice'!$B$22*'Optimal Choice'!$B$23^(L560+1)</f>
        <v>517098950.08850121</v>
      </c>
      <c r="S560" s="10">
        <f>'Optimal Choice'!$B$27*'Optimal Choice'!$B$28^(M560+1)</f>
        <v>3122734429.1114163</v>
      </c>
    </row>
    <row r="561" spans="1:19" ht="15.75" customHeight="1">
      <c r="A561" s="8">
        <f t="shared" si="0"/>
        <v>2487.2553155984492</v>
      </c>
      <c r="B561" s="7">
        <f>(I561*'Optimal Choice'!$B$6+J561*'Optimal Choice'!$B$11+K561*'Optimal Choice'!$B$16+L561*'Optimal Choice'!$B$21+M561*'Optimal Choice'!$B$26)*'Optimal Choice'!$B$30</f>
        <v>236907.32</v>
      </c>
      <c r="C561" s="8">
        <f>(O561/$B561)+(O561/'Optimal Choice'!$B$6)</f>
        <v>1472145.6688303896</v>
      </c>
      <c r="D561" s="8">
        <f>(P561/$B561)+(P561/'Optimal Choice'!$B$11)</f>
        <v>1523192.9118806685</v>
      </c>
      <c r="E561" s="8">
        <f>(Q561/$B561)+(Q561/'Optimal Choice'!$B$16)</f>
        <v>1568216.8518890999</v>
      </c>
      <c r="F561" s="8">
        <f>(R561/$B561)+(R561/'Optimal Choice'!$B$21)</f>
        <v>1438568.6781357797</v>
      </c>
      <c r="G561" s="8">
        <f>(S561/$B561)+(S561/'Optimal Choice'!$B$26)</f>
        <v>1458891.6330769495</v>
      </c>
      <c r="I561" s="11">
        <f t="shared" ref="I561:M561" si="559">IF(MIN($C560:$G560)=C560,I560+1,I560)</f>
        <v>196</v>
      </c>
      <c r="J561" s="11">
        <f t="shared" si="559"/>
        <v>93</v>
      </c>
      <c r="K561" s="11">
        <f t="shared" si="559"/>
        <v>92</v>
      </c>
      <c r="L561" s="11">
        <f t="shared" si="559"/>
        <v>89</v>
      </c>
      <c r="M561" s="11">
        <f t="shared" si="559"/>
        <v>90</v>
      </c>
      <c r="O561" s="10">
        <f>'Optimal Choice'!$B$7*'Optimal Choice'!$B$8^(I561+1)</f>
        <v>2458465.9368021418</v>
      </c>
      <c r="P561" s="10">
        <f>'Optimal Choice'!$B$12*'Optimal Choice'!$B$13^(J561+1)</f>
        <v>30461286.659271315</v>
      </c>
      <c r="Q561" s="10">
        <f>'Optimal Choice'!$B$17*'Optimal Choice'!$B$18^(K561+1)</f>
        <v>141085918.77912173</v>
      </c>
      <c r="R561" s="10">
        <f>'Optimal Choice'!$B$22*'Optimal Choice'!$B$23^(L561+1)</f>
        <v>517098950.08850121</v>
      </c>
      <c r="S561" s="10">
        <f>'Optimal Choice'!$B$27*'Optimal Choice'!$B$28^(M561+1)</f>
        <v>3122734429.1114163</v>
      </c>
    </row>
    <row r="562" spans="1:19" ht="15.75" customHeight="1">
      <c r="A562" s="8">
        <f t="shared" si="0"/>
        <v>2523.6337433937929</v>
      </c>
      <c r="B562" s="7">
        <f>(I562*'Optimal Choice'!$B$6+J562*'Optimal Choice'!$B$11+K562*'Optimal Choice'!$B$16+L562*'Optimal Choice'!$B$21+M562*'Optimal Choice'!$B$26)*'Optimal Choice'!$B$30</f>
        <v>237267.32</v>
      </c>
      <c r="C562" s="8">
        <f>(O562/$B562)+(O562/'Optimal Choice'!$B$6)</f>
        <v>1472145.653085113</v>
      </c>
      <c r="D562" s="8">
        <f>(P562/$B562)+(P562/'Optimal Choice'!$B$11)</f>
        <v>1523192.716790969</v>
      </c>
      <c r="E562" s="8">
        <f>(Q562/$B562)+(Q562/'Optimal Choice'!$B$16)</f>
        <v>1568215.9483025309</v>
      </c>
      <c r="F562" s="8">
        <f>(R562/$B562)+(R562/'Optimal Choice'!$B$21)</f>
        <v>1625578.8639969118</v>
      </c>
      <c r="G562" s="8">
        <f>(S562/$B562)+(S562/'Optimal Choice'!$B$26)</f>
        <v>1458871.633484412</v>
      </c>
      <c r="I562" s="11">
        <f t="shared" ref="I562:M562" si="560">IF(MIN($C561:$G561)=C561,I561+1,I561)</f>
        <v>196</v>
      </c>
      <c r="J562" s="11">
        <f t="shared" si="560"/>
        <v>93</v>
      </c>
      <c r="K562" s="11">
        <f t="shared" si="560"/>
        <v>92</v>
      </c>
      <c r="L562" s="11">
        <f t="shared" si="560"/>
        <v>90</v>
      </c>
      <c r="M562" s="11">
        <f t="shared" si="560"/>
        <v>90</v>
      </c>
      <c r="O562" s="10">
        <f>'Optimal Choice'!$B$7*'Optimal Choice'!$B$8^(I562+1)</f>
        <v>2458465.9368021418</v>
      </c>
      <c r="P562" s="10">
        <f>'Optimal Choice'!$B$12*'Optimal Choice'!$B$13^(J562+1)</f>
        <v>30461286.659271315</v>
      </c>
      <c r="Q562" s="10">
        <f>'Optimal Choice'!$B$17*'Optimal Choice'!$B$18^(K562+1)</f>
        <v>141085918.77912173</v>
      </c>
      <c r="R562" s="10">
        <f>'Optimal Choice'!$B$22*'Optimal Choice'!$B$23^(L562+1)</f>
        <v>584321813.60000622</v>
      </c>
      <c r="S562" s="10">
        <f>'Optimal Choice'!$B$27*'Optimal Choice'!$B$28^(M562+1)</f>
        <v>3122734429.1114163</v>
      </c>
    </row>
    <row r="563" spans="1:19" ht="15.75" customHeight="1">
      <c r="A563" s="8">
        <f t="shared" si="0"/>
        <v>2742.9879040026944</v>
      </c>
      <c r="B563" s="7">
        <f>(I563*'Optimal Choice'!$B$6+J563*'Optimal Choice'!$B$11+K563*'Optimal Choice'!$B$16+L563*'Optimal Choice'!$B$21+M563*'Optimal Choice'!$B$26)*'Optimal Choice'!$B$30</f>
        <v>239427.32</v>
      </c>
      <c r="C563" s="8">
        <f>(O563/$B563)+(O563/'Optimal Choice'!$B$6)</f>
        <v>1472145.5596077791</v>
      </c>
      <c r="D563" s="8">
        <f>(P563/$B563)+(P563/'Optimal Choice'!$B$11)</f>
        <v>1523191.5585728209</v>
      </c>
      <c r="E563" s="8">
        <f>(Q563/$B563)+(Q563/'Optimal Choice'!$B$16)</f>
        <v>1568210.5838452312</v>
      </c>
      <c r="F563" s="8">
        <f>(R563/$B563)+(R563/'Optimal Choice'!$B$21)</f>
        <v>1625556.6465463999</v>
      </c>
      <c r="G563" s="8">
        <f>(S563/$B563)+(S563/'Optimal Choice'!$B$26)</f>
        <v>1633803.2467872829</v>
      </c>
      <c r="I563" s="11">
        <f t="shared" ref="I563:M563" si="561">IF(MIN($C562:$G562)=C562,I562+1,I562)</f>
        <v>196</v>
      </c>
      <c r="J563" s="11">
        <f t="shared" si="561"/>
        <v>93</v>
      </c>
      <c r="K563" s="11">
        <f t="shared" si="561"/>
        <v>92</v>
      </c>
      <c r="L563" s="11">
        <f t="shared" si="561"/>
        <v>90</v>
      </c>
      <c r="M563" s="11">
        <f t="shared" si="561"/>
        <v>91</v>
      </c>
      <c r="O563" s="10">
        <f>'Optimal Choice'!$B$7*'Optimal Choice'!$B$8^(I563+1)</f>
        <v>2458465.9368021418</v>
      </c>
      <c r="P563" s="10">
        <f>'Optimal Choice'!$B$12*'Optimal Choice'!$B$13^(J563+1)</f>
        <v>30461286.659271315</v>
      </c>
      <c r="Q563" s="10">
        <f>'Optimal Choice'!$B$17*'Optimal Choice'!$B$18^(K563+1)</f>
        <v>141085918.77912173</v>
      </c>
      <c r="R563" s="10">
        <f>'Optimal Choice'!$B$22*'Optimal Choice'!$B$23^(L563+1)</f>
        <v>584321813.60000622</v>
      </c>
      <c r="S563" s="10">
        <f>'Optimal Choice'!$B$27*'Optimal Choice'!$B$28^(M563+1)</f>
        <v>3497462560.6047864</v>
      </c>
    </row>
    <row r="564" spans="1:19" ht="15.75" customHeight="1">
      <c r="A564" s="8">
        <f t="shared" si="0"/>
        <v>2743.1590391608711</v>
      </c>
      <c r="B564" s="7">
        <f>(I564*'Optimal Choice'!$B$6+J564*'Optimal Choice'!$B$11+K564*'Optimal Choice'!$B$16+L564*'Optimal Choice'!$B$21+M564*'Optimal Choice'!$B$26)*'Optimal Choice'!$B$30</f>
        <v>239428.99</v>
      </c>
      <c r="C564" s="8">
        <f>(O564/$B564)+(O564/'Optimal Choice'!$B$6)</f>
        <v>1575195.7487036907</v>
      </c>
      <c r="D564" s="8">
        <f>(P564/$B564)+(P564/'Optimal Choice'!$B$11)</f>
        <v>1523191.5576854313</v>
      </c>
      <c r="E564" s="8">
        <f>(Q564/$B564)+(Q564/'Optimal Choice'!$B$16)</f>
        <v>1568210.5797351566</v>
      </c>
      <c r="F564" s="8">
        <f>(R564/$B564)+(R564/'Optimal Choice'!$B$21)</f>
        <v>1625556.6295241043</v>
      </c>
      <c r="G564" s="8">
        <f>(S564/$B564)+(S564/'Optimal Choice'!$B$26)</f>
        <v>1633803.1449002048</v>
      </c>
      <c r="I564" s="11">
        <f t="shared" ref="I564:M564" si="562">IF(MIN($C563:$G563)=C563,I563+1,I563)</f>
        <v>197</v>
      </c>
      <c r="J564" s="11">
        <f t="shared" si="562"/>
        <v>93</v>
      </c>
      <c r="K564" s="11">
        <f t="shared" si="562"/>
        <v>92</v>
      </c>
      <c r="L564" s="11">
        <f t="shared" si="562"/>
        <v>90</v>
      </c>
      <c r="M564" s="11">
        <f t="shared" si="562"/>
        <v>91</v>
      </c>
      <c r="O564" s="10">
        <f>'Optimal Choice'!$B$7*'Optimal Choice'!$B$8^(I564+1)</f>
        <v>2630558.5523782913</v>
      </c>
      <c r="P564" s="10">
        <f>'Optimal Choice'!$B$12*'Optimal Choice'!$B$13^(J564+1)</f>
        <v>30461286.659271315</v>
      </c>
      <c r="Q564" s="10">
        <f>'Optimal Choice'!$B$17*'Optimal Choice'!$B$18^(K564+1)</f>
        <v>141085918.77912173</v>
      </c>
      <c r="R564" s="10">
        <f>'Optimal Choice'!$B$22*'Optimal Choice'!$B$23^(L564+1)</f>
        <v>584321813.60000622</v>
      </c>
      <c r="S564" s="10">
        <f>'Optimal Choice'!$B$27*'Optimal Choice'!$B$28^(M564+1)</f>
        <v>3497462560.6047864</v>
      </c>
    </row>
    <row r="565" spans="1:19" ht="15.75" customHeight="1">
      <c r="A565" s="8">
        <f t="shared" si="0"/>
        <v>2745.2794511919615</v>
      </c>
      <c r="B565" s="7">
        <f>(I565*'Optimal Choice'!$B$6+J565*'Optimal Choice'!$B$11+K565*'Optimal Choice'!$B$16+L565*'Optimal Choice'!$B$21+M565*'Optimal Choice'!$B$26)*'Optimal Choice'!$B$30</f>
        <v>239448.99</v>
      </c>
      <c r="C565" s="8">
        <f>(O565/$B565)+(O565/'Optimal Choice'!$B$6)</f>
        <v>1575195.7477860171</v>
      </c>
      <c r="D565" s="8">
        <f>(P565/$B565)+(P565/'Optimal Choice'!$B$11)</f>
        <v>1751670.2791178194</v>
      </c>
      <c r="E565" s="8">
        <f>(Q565/$B565)+(Q565/'Optimal Choice'!$B$16)</f>
        <v>1568210.5305171609</v>
      </c>
      <c r="F565" s="8">
        <f>(R565/$B565)+(R565/'Optimal Choice'!$B$21)</f>
        <v>1625556.4256827235</v>
      </c>
      <c r="G565" s="8">
        <f>(S565/$B565)+(S565/'Optimal Choice'!$B$26)</f>
        <v>1633801.9248061054</v>
      </c>
      <c r="I565" s="11">
        <f t="shared" ref="I565:M565" si="563">IF(MIN($C564:$G564)=C564,I564+1,I564)</f>
        <v>197</v>
      </c>
      <c r="J565" s="11">
        <f t="shared" si="563"/>
        <v>94</v>
      </c>
      <c r="K565" s="11">
        <f t="shared" si="563"/>
        <v>92</v>
      </c>
      <c r="L565" s="11">
        <f t="shared" si="563"/>
        <v>90</v>
      </c>
      <c r="M565" s="11">
        <f t="shared" si="563"/>
        <v>91</v>
      </c>
      <c r="O565" s="10">
        <f>'Optimal Choice'!$B$7*'Optimal Choice'!$B$8^(I565+1)</f>
        <v>2630558.5523782913</v>
      </c>
      <c r="P565" s="10">
        <f>'Optimal Choice'!$B$12*'Optimal Choice'!$B$13^(J565+1)</f>
        <v>35030479.658161998</v>
      </c>
      <c r="Q565" s="10">
        <f>'Optimal Choice'!$B$17*'Optimal Choice'!$B$18^(K565+1)</f>
        <v>141085918.77912173</v>
      </c>
      <c r="R565" s="10">
        <f>'Optimal Choice'!$B$22*'Optimal Choice'!$B$23^(L565+1)</f>
        <v>584321813.60000622</v>
      </c>
      <c r="S565" s="10">
        <f>'Optimal Choice'!$B$27*'Optimal Choice'!$B$28^(M565+1)</f>
        <v>3497462560.6047864</v>
      </c>
    </row>
    <row r="566" spans="1:19" ht="15.75" customHeight="1">
      <c r="A566" s="8">
        <f t="shared" si="0"/>
        <v>2755.099630344323</v>
      </c>
      <c r="B566" s="7">
        <f>(I566*'Optimal Choice'!$B$6+J566*'Optimal Choice'!$B$11+K566*'Optimal Choice'!$B$16+L566*'Optimal Choice'!$B$21+M566*'Optimal Choice'!$B$26)*'Optimal Choice'!$B$30</f>
        <v>239538.99</v>
      </c>
      <c r="C566" s="8">
        <f>(O566/$B566)+(O566/'Optimal Choice'!$B$6)</f>
        <v>1575195.7436583824</v>
      </c>
      <c r="D566" s="8">
        <f>(P566/$B566)+(P566/'Optimal Choice'!$B$11)</f>
        <v>1751670.2241511566</v>
      </c>
      <c r="E566" s="8">
        <f>(Q566/$B566)+(Q566/'Optimal Choice'!$B$16)</f>
        <v>1787759.7524171921</v>
      </c>
      <c r="F566" s="8">
        <f>(R566/$B566)+(R566/'Optimal Choice'!$B$21)</f>
        <v>1625555.5088177428</v>
      </c>
      <c r="G566" s="8">
        <f>(S566/$B566)+(S566/'Optimal Choice'!$B$26)</f>
        <v>1633796.4369039452</v>
      </c>
      <c r="I566" s="11">
        <f t="shared" ref="I566:M566" si="564">IF(MIN($C565:$G565)=C565,I565+1,I565)</f>
        <v>197</v>
      </c>
      <c r="J566" s="11">
        <f t="shared" si="564"/>
        <v>94</v>
      </c>
      <c r="K566" s="11">
        <f t="shared" si="564"/>
        <v>93</v>
      </c>
      <c r="L566" s="11">
        <f t="shared" si="564"/>
        <v>90</v>
      </c>
      <c r="M566" s="11">
        <f t="shared" si="564"/>
        <v>91</v>
      </c>
      <c r="O566" s="10">
        <f>'Optimal Choice'!$B$7*'Optimal Choice'!$B$8^(I566+1)</f>
        <v>2630558.5523782913</v>
      </c>
      <c r="P566" s="10">
        <f>'Optimal Choice'!$B$12*'Optimal Choice'!$B$13^(J566+1)</f>
        <v>35030479.658161998</v>
      </c>
      <c r="Q566" s="10">
        <f>'Optimal Choice'!$B$17*'Optimal Choice'!$B$18^(K566+1)</f>
        <v>160837947.40819874</v>
      </c>
      <c r="R566" s="10">
        <f>'Optimal Choice'!$B$22*'Optimal Choice'!$B$23^(L566+1)</f>
        <v>584321813.60000622</v>
      </c>
      <c r="S566" s="10">
        <f>'Optimal Choice'!$B$27*'Optimal Choice'!$B$28^(M566+1)</f>
        <v>3497462560.6047864</v>
      </c>
    </row>
    <row r="567" spans="1:19" ht="15.75" customHeight="1">
      <c r="A567" s="8">
        <f t="shared" si="0"/>
        <v>2755.2826595978891</v>
      </c>
      <c r="B567" s="7">
        <f>(I567*'Optimal Choice'!$B$6+J567*'Optimal Choice'!$B$11+K567*'Optimal Choice'!$B$16+L567*'Optimal Choice'!$B$21+M567*'Optimal Choice'!$B$26)*'Optimal Choice'!$B$30</f>
        <v>239540.66</v>
      </c>
      <c r="C567" s="8">
        <f>(O567/$B567)+(O567/'Optimal Choice'!$B$6)</f>
        <v>1685459.4456325488</v>
      </c>
      <c r="D567" s="8">
        <f>(P567/$B567)+(P567/'Optimal Choice'!$B$11)</f>
        <v>1751670.2231316101</v>
      </c>
      <c r="E567" s="8">
        <f>(Q567/$B567)+(Q567/'Optimal Choice'!$B$16)</f>
        <v>1787759.7477360747</v>
      </c>
      <c r="F567" s="8">
        <f>(R567/$B567)+(R567/'Optimal Choice'!$B$21)</f>
        <v>1625555.4918113146</v>
      </c>
      <c r="G567" s="8">
        <f>(S567/$B567)+(S567/'Optimal Choice'!$B$26)</f>
        <v>1633796.3351118416</v>
      </c>
      <c r="I567" s="11">
        <f t="shared" ref="I567:M567" si="565">IF(MIN($C566:$G566)=C566,I566+1,I566)</f>
        <v>198</v>
      </c>
      <c r="J567" s="11">
        <f t="shared" si="565"/>
        <v>94</v>
      </c>
      <c r="K567" s="11">
        <f t="shared" si="565"/>
        <v>93</v>
      </c>
      <c r="L567" s="11">
        <f t="shared" si="565"/>
        <v>90</v>
      </c>
      <c r="M567" s="11">
        <f t="shared" si="565"/>
        <v>91</v>
      </c>
      <c r="O567" s="10">
        <f>'Optimal Choice'!$B$7*'Optimal Choice'!$B$8^(I567+1)</f>
        <v>2814697.651044772</v>
      </c>
      <c r="P567" s="10">
        <f>'Optimal Choice'!$B$12*'Optimal Choice'!$B$13^(J567+1)</f>
        <v>35030479.658161998</v>
      </c>
      <c r="Q567" s="10">
        <f>'Optimal Choice'!$B$17*'Optimal Choice'!$B$18^(K567+1)</f>
        <v>160837947.40819874</v>
      </c>
      <c r="R567" s="10">
        <f>'Optimal Choice'!$B$22*'Optimal Choice'!$B$23^(L567+1)</f>
        <v>584321813.60000622</v>
      </c>
      <c r="S567" s="10">
        <f>'Optimal Choice'!$B$27*'Optimal Choice'!$B$28^(M567+1)</f>
        <v>3497462560.6047864</v>
      </c>
    </row>
    <row r="568" spans="1:19" ht="15.75" customHeight="1">
      <c r="A568" s="8">
        <f t="shared" si="0"/>
        <v>2795.9383749713602</v>
      </c>
      <c r="B568" s="7">
        <f>(I568*'Optimal Choice'!$B$6+J568*'Optimal Choice'!$B$11+K568*'Optimal Choice'!$B$16+L568*'Optimal Choice'!$B$21+M568*'Optimal Choice'!$B$26)*'Optimal Choice'!$B$30</f>
        <v>239900.66</v>
      </c>
      <c r="C568" s="8">
        <f>(O568/$B568)+(O568/'Optimal Choice'!$B$6)</f>
        <v>1685459.4279996562</v>
      </c>
      <c r="D568" s="8">
        <f>(P568/$B568)+(P568/'Optimal Choice'!$B$11)</f>
        <v>1751670.0036804404</v>
      </c>
      <c r="E568" s="8">
        <f>(Q568/$B568)+(Q568/'Optimal Choice'!$B$16)</f>
        <v>1787758.7401542191</v>
      </c>
      <c r="F568" s="8">
        <f>(R568/$B568)+(R568/'Optimal Choice'!$B$21)</f>
        <v>1836873.5693484074</v>
      </c>
      <c r="G568" s="8">
        <f>(S568/$B568)+(S568/'Optimal Choice'!$B$26)</f>
        <v>1633774.4249850716</v>
      </c>
      <c r="I568" s="11">
        <f t="shared" ref="I568:M568" si="566">IF(MIN($C567:$G567)=C567,I567+1,I567)</f>
        <v>198</v>
      </c>
      <c r="J568" s="11">
        <f t="shared" si="566"/>
        <v>94</v>
      </c>
      <c r="K568" s="11">
        <f t="shared" si="566"/>
        <v>93</v>
      </c>
      <c r="L568" s="11">
        <f t="shared" si="566"/>
        <v>91</v>
      </c>
      <c r="M568" s="11">
        <f t="shared" si="566"/>
        <v>91</v>
      </c>
      <c r="O568" s="10">
        <f>'Optimal Choice'!$B$7*'Optimal Choice'!$B$8^(I568+1)</f>
        <v>2814697.651044772</v>
      </c>
      <c r="P568" s="10">
        <f>'Optimal Choice'!$B$12*'Optimal Choice'!$B$13^(J568+1)</f>
        <v>35030479.658161998</v>
      </c>
      <c r="Q568" s="10">
        <f>'Optimal Choice'!$B$17*'Optimal Choice'!$B$18^(K568+1)</f>
        <v>160837947.40819874</v>
      </c>
      <c r="R568" s="10">
        <f>'Optimal Choice'!$B$22*'Optimal Choice'!$B$23^(L568+1)</f>
        <v>660283649.36800694</v>
      </c>
      <c r="S568" s="10">
        <f>'Optimal Choice'!$B$27*'Optimal Choice'!$B$28^(M568+1)</f>
        <v>3497462560.6047864</v>
      </c>
    </row>
    <row r="569" spans="1:19" ht="15.75" customHeight="1">
      <c r="A569" s="8">
        <f t="shared" si="0"/>
        <v>3038.9182928954979</v>
      </c>
      <c r="B569" s="7">
        <f>(I569*'Optimal Choice'!$B$6+J569*'Optimal Choice'!$B$11+K569*'Optimal Choice'!$B$16+L569*'Optimal Choice'!$B$21+M569*'Optimal Choice'!$B$26)*'Optimal Choice'!$B$30</f>
        <v>242060.66</v>
      </c>
      <c r="C569" s="8">
        <f>(O569/$B569)+(O569/'Optimal Choice'!$B$6)</f>
        <v>1685459.3233037149</v>
      </c>
      <c r="D569" s="8">
        <f>(P569/$B569)+(P569/'Optimal Choice'!$B$11)</f>
        <v>1751668.7006811497</v>
      </c>
      <c r="E569" s="8">
        <f>(Q569/$B569)+(Q569/'Optimal Choice'!$B$16)</f>
        <v>1787752.7576003568</v>
      </c>
      <c r="F569" s="8">
        <f>(R569/$B569)+(R569/'Optimal Choice'!$B$21)</f>
        <v>1836849.0093328124</v>
      </c>
      <c r="G569" s="8">
        <f>(S569/$B569)+(S569/'Optimal Choice'!$B$26)</f>
        <v>1829681.6527490309</v>
      </c>
      <c r="I569" s="11">
        <f t="shared" ref="I569:M569" si="567">IF(MIN($C568:$G568)=C568,I568+1,I568)</f>
        <v>198</v>
      </c>
      <c r="J569" s="11">
        <f t="shared" si="567"/>
        <v>94</v>
      </c>
      <c r="K569" s="11">
        <f t="shared" si="567"/>
        <v>93</v>
      </c>
      <c r="L569" s="11">
        <f t="shared" si="567"/>
        <v>91</v>
      </c>
      <c r="M569" s="11">
        <f t="shared" si="567"/>
        <v>92</v>
      </c>
      <c r="O569" s="10">
        <f>'Optimal Choice'!$B$7*'Optimal Choice'!$B$8^(I569+1)</f>
        <v>2814697.651044772</v>
      </c>
      <c r="P569" s="10">
        <f>'Optimal Choice'!$B$12*'Optimal Choice'!$B$13^(J569+1)</f>
        <v>35030479.658161998</v>
      </c>
      <c r="Q569" s="10">
        <f>'Optimal Choice'!$B$17*'Optimal Choice'!$B$18^(K569+1)</f>
        <v>160837947.40819874</v>
      </c>
      <c r="R569" s="10">
        <f>'Optimal Choice'!$B$22*'Optimal Choice'!$B$23^(L569+1)</f>
        <v>660283649.36800694</v>
      </c>
      <c r="S569" s="10">
        <f>'Optimal Choice'!$B$27*'Optimal Choice'!$B$28^(M569+1)</f>
        <v>3917158067.8773608</v>
      </c>
    </row>
    <row r="570" spans="1:19" ht="15.75" customHeight="1">
      <c r="A570" s="8">
        <f t="shared" si="0"/>
        <v>3039.1120940175697</v>
      </c>
      <c r="B570" s="7">
        <f>(I570*'Optimal Choice'!$B$6+J570*'Optimal Choice'!$B$11+K570*'Optimal Choice'!$B$16+L570*'Optimal Choice'!$B$21+M570*'Optimal Choice'!$B$26)*'Optimal Choice'!$B$30</f>
        <v>242062.33000000002</v>
      </c>
      <c r="C570" s="8">
        <f>(O570/$B570)+(O570/'Optimal Choice'!$B$6)</f>
        <v>1803441.4758491365</v>
      </c>
      <c r="D570" s="8">
        <f>(P570/$B570)+(P570/'Optimal Choice'!$B$11)</f>
        <v>1751668.6996827347</v>
      </c>
      <c r="E570" s="8">
        <f>(Q570/$B570)+(Q570/'Optimal Choice'!$B$16)</f>
        <v>1787752.7530162623</v>
      </c>
      <c r="F570" s="8">
        <f>(R570/$B570)+(R570/'Optimal Choice'!$B$21)</f>
        <v>1836848.9905138535</v>
      </c>
      <c r="G570" s="8">
        <f>(S570/$B570)+(S570/'Optimal Choice'!$B$26)</f>
        <v>1829681.5411048362</v>
      </c>
      <c r="I570" s="11">
        <f t="shared" ref="I570:M570" si="568">IF(MIN($C569:$G569)=C569,I569+1,I569)</f>
        <v>199</v>
      </c>
      <c r="J570" s="11">
        <f t="shared" si="568"/>
        <v>94</v>
      </c>
      <c r="K570" s="11">
        <f t="shared" si="568"/>
        <v>93</v>
      </c>
      <c r="L570" s="11">
        <f t="shared" si="568"/>
        <v>91</v>
      </c>
      <c r="M570" s="11">
        <f t="shared" si="568"/>
        <v>92</v>
      </c>
      <c r="O570" s="10">
        <f>'Optimal Choice'!$B$7*'Optimal Choice'!$B$8^(I570+1)</f>
        <v>3011726.486617906</v>
      </c>
      <c r="P570" s="10">
        <f>'Optimal Choice'!$B$12*'Optimal Choice'!$B$13^(J570+1)</f>
        <v>35030479.658161998</v>
      </c>
      <c r="Q570" s="10">
        <f>'Optimal Choice'!$B$17*'Optimal Choice'!$B$18^(K570+1)</f>
        <v>160837947.40819874</v>
      </c>
      <c r="R570" s="10">
        <f>'Optimal Choice'!$B$22*'Optimal Choice'!$B$23^(L570+1)</f>
        <v>660283649.36800694</v>
      </c>
      <c r="S570" s="10">
        <f>'Optimal Choice'!$B$27*'Optimal Choice'!$B$28^(M570+1)</f>
        <v>3917158067.8773608</v>
      </c>
    </row>
    <row r="571" spans="1:19" ht="15.75" customHeight="1">
      <c r="A571" s="8">
        <f t="shared" si="0"/>
        <v>3041.5240402614813</v>
      </c>
      <c r="B571" s="7">
        <f>(I571*'Optimal Choice'!$B$6+J571*'Optimal Choice'!$B$11+K571*'Optimal Choice'!$B$16+L571*'Optimal Choice'!$B$21+M571*'Optimal Choice'!$B$26)*'Optimal Choice'!$B$30</f>
        <v>242082.33000000002</v>
      </c>
      <c r="C571" s="8">
        <f>(O571/$B571)+(O571/'Optimal Choice'!$B$6)</f>
        <v>1803441.4748212262</v>
      </c>
      <c r="D571" s="8">
        <f>(P571/$B571)+(P571/'Optimal Choice'!$B$11)</f>
        <v>2014418.9908857483</v>
      </c>
      <c r="E571" s="8">
        <f>(Q571/$B571)+(Q571/'Optimal Choice'!$B$16)</f>
        <v>1787752.6981218401</v>
      </c>
      <c r="F571" s="8">
        <f>(R571/$B571)+(R571/'Optimal Choice'!$B$21)</f>
        <v>1836848.7651572761</v>
      </c>
      <c r="G571" s="8">
        <f>(S571/$B571)+(S571/'Optimal Choice'!$B$26)</f>
        <v>1829680.2041682985</v>
      </c>
      <c r="I571" s="11">
        <f t="shared" ref="I571:M571" si="569">IF(MIN($C570:$G570)=C570,I570+1,I570)</f>
        <v>199</v>
      </c>
      <c r="J571" s="11">
        <f t="shared" si="569"/>
        <v>95</v>
      </c>
      <c r="K571" s="11">
        <f t="shared" si="569"/>
        <v>93</v>
      </c>
      <c r="L571" s="11">
        <f t="shared" si="569"/>
        <v>91</v>
      </c>
      <c r="M571" s="11">
        <f t="shared" si="569"/>
        <v>92</v>
      </c>
      <c r="O571" s="10">
        <f>'Optimal Choice'!$B$7*'Optimal Choice'!$B$8^(I571+1)</f>
        <v>3011726.486617906</v>
      </c>
      <c r="P571" s="10">
        <f>'Optimal Choice'!$B$12*'Optimal Choice'!$B$13^(J571+1)</f>
        <v>40285051.60688629</v>
      </c>
      <c r="Q571" s="10">
        <f>'Optimal Choice'!$B$17*'Optimal Choice'!$B$18^(K571+1)</f>
        <v>160837947.40819874</v>
      </c>
      <c r="R571" s="10">
        <f>'Optimal Choice'!$B$22*'Optimal Choice'!$B$23^(L571+1)</f>
        <v>660283649.36800694</v>
      </c>
      <c r="S571" s="10">
        <f>'Optimal Choice'!$B$27*'Optimal Choice'!$B$28^(M571+1)</f>
        <v>3917158067.8773608</v>
      </c>
    </row>
    <row r="572" spans="1:19" ht="15.75" customHeight="1">
      <c r="A572" s="8">
        <f t="shared" si="0"/>
        <v>3052.59726669979</v>
      </c>
      <c r="B572" s="7">
        <f>(I572*'Optimal Choice'!$B$6+J572*'Optimal Choice'!$B$11+K572*'Optimal Choice'!$B$16+L572*'Optimal Choice'!$B$21+M572*'Optimal Choice'!$B$26)*'Optimal Choice'!$B$30</f>
        <v>242172.33000000002</v>
      </c>
      <c r="C572" s="8">
        <f>(O572/$B572)+(O572/'Optimal Choice'!$B$6)</f>
        <v>1803441.4701977309</v>
      </c>
      <c r="D572" s="8">
        <f>(P572/$B572)+(P572/'Optimal Choice'!$B$11)</f>
        <v>2014418.9290415703</v>
      </c>
      <c r="E572" s="8">
        <f>(Q572/$B572)+(Q572/'Optimal Choice'!$B$16)</f>
        <v>2038037.7943784248</v>
      </c>
      <c r="F572" s="8">
        <f>(R572/$B572)+(R572/'Optimal Choice'!$B$21)</f>
        <v>1836847.7515133054</v>
      </c>
      <c r="G572" s="8">
        <f>(S572/$B572)+(S572/'Optimal Choice'!$B$26)</f>
        <v>1829674.1906865754</v>
      </c>
      <c r="I572" s="11">
        <f t="shared" ref="I572:M572" si="570">IF(MIN($C571:$G571)=C571,I571+1,I571)</f>
        <v>199</v>
      </c>
      <c r="J572" s="11">
        <f t="shared" si="570"/>
        <v>95</v>
      </c>
      <c r="K572" s="11">
        <f t="shared" si="570"/>
        <v>94</v>
      </c>
      <c r="L572" s="11">
        <f t="shared" si="570"/>
        <v>91</v>
      </c>
      <c r="M572" s="11">
        <f t="shared" si="570"/>
        <v>92</v>
      </c>
      <c r="O572" s="10">
        <f>'Optimal Choice'!$B$7*'Optimal Choice'!$B$8^(I572+1)</f>
        <v>3011726.486617906</v>
      </c>
      <c r="P572" s="10">
        <f>'Optimal Choice'!$B$12*'Optimal Choice'!$B$13^(J572+1)</f>
        <v>40285051.60688629</v>
      </c>
      <c r="Q572" s="10">
        <f>'Optimal Choice'!$B$17*'Optimal Choice'!$B$18^(K572+1)</f>
        <v>183355260.04534656</v>
      </c>
      <c r="R572" s="10">
        <f>'Optimal Choice'!$B$22*'Optimal Choice'!$B$23^(L572+1)</f>
        <v>660283649.36800694</v>
      </c>
      <c r="S572" s="10">
        <f>'Optimal Choice'!$B$27*'Optimal Choice'!$B$28^(M572+1)</f>
        <v>3917158067.8773608</v>
      </c>
    </row>
    <row r="573" spans="1:19" ht="15.75" customHeight="1">
      <c r="A573" s="8">
        <f t="shared" si="0"/>
        <v>3052.8045382796754</v>
      </c>
      <c r="B573" s="7">
        <f>(I573*'Optimal Choice'!$B$6+J573*'Optimal Choice'!$B$11+K573*'Optimal Choice'!$B$16+L573*'Optimal Choice'!$B$21+M573*'Optimal Choice'!$B$26)*'Optimal Choice'!$B$30</f>
        <v>242174</v>
      </c>
      <c r="C573" s="8">
        <f>(O573/$B573)+(O573/'Optimal Choice'!$B$6)</f>
        <v>1929682.3730198103</v>
      </c>
      <c r="D573" s="8">
        <f>(P573/$B573)+(P573/'Optimal Choice'!$B$11)</f>
        <v>2014418.9278944514</v>
      </c>
      <c r="E573" s="8">
        <f>(Q573/$B573)+(Q573/'Optimal Choice'!$B$16)</f>
        <v>2038037.7891573755</v>
      </c>
      <c r="F573" s="8">
        <f>(R573/$B573)+(R573/'Optimal Choice'!$B$21)</f>
        <v>1836847.7327116979</v>
      </c>
      <c r="G573" s="8">
        <f>(S573/$B573)+(S573/'Optimal Choice'!$B$26)</f>
        <v>1829674.0791453188</v>
      </c>
      <c r="I573" s="11">
        <f t="shared" ref="I573:M573" si="571">IF(MIN($C572:$G572)=C572,I572+1,I572)</f>
        <v>200</v>
      </c>
      <c r="J573" s="11">
        <f t="shared" si="571"/>
        <v>95</v>
      </c>
      <c r="K573" s="11">
        <f t="shared" si="571"/>
        <v>94</v>
      </c>
      <c r="L573" s="11">
        <f t="shared" si="571"/>
        <v>91</v>
      </c>
      <c r="M573" s="11">
        <f t="shared" si="571"/>
        <v>92</v>
      </c>
      <c r="O573" s="10">
        <f>'Optimal Choice'!$B$7*'Optimal Choice'!$B$8^(I573+1)</f>
        <v>3222547.3406811599</v>
      </c>
      <c r="P573" s="10">
        <f>'Optimal Choice'!$B$12*'Optimal Choice'!$B$13^(J573+1)</f>
        <v>40285051.60688629</v>
      </c>
      <c r="Q573" s="10">
        <f>'Optimal Choice'!$B$17*'Optimal Choice'!$B$18^(K573+1)</f>
        <v>183355260.04534656</v>
      </c>
      <c r="R573" s="10">
        <f>'Optimal Choice'!$B$22*'Optimal Choice'!$B$23^(L573+1)</f>
        <v>660283649.36800694</v>
      </c>
      <c r="S573" s="10">
        <f>'Optimal Choice'!$B$27*'Optimal Choice'!$B$28^(M573+1)</f>
        <v>3917158067.8773608</v>
      </c>
    </row>
    <row r="574" spans="1:19" ht="15.75" customHeight="1">
      <c r="A574" s="8">
        <f t="shared" si="0"/>
        <v>3322.387432388688</v>
      </c>
      <c r="B574" s="7">
        <f>(I574*'Optimal Choice'!$B$6+J574*'Optimal Choice'!$B$11+K574*'Optimal Choice'!$B$16+L574*'Optimal Choice'!$B$21+M574*'Optimal Choice'!$B$26)*'Optimal Choice'!$B$30</f>
        <v>244334</v>
      </c>
      <c r="C574" s="8">
        <f>(O574/$B574)+(O574/'Optimal Choice'!$B$6)</f>
        <v>1929682.2553834342</v>
      </c>
      <c r="D574" s="8">
        <f>(P574/$B574)+(P574/'Optimal Choice'!$B$11)</f>
        <v>2014417.4573225772</v>
      </c>
      <c r="E574" s="8">
        <f>(Q574/$B574)+(Q574/'Optimal Choice'!$B$16)</f>
        <v>2038031.0959280597</v>
      </c>
      <c r="F574" s="8">
        <f>(R574/$B574)+(R574/'Optimal Choice'!$B$21)</f>
        <v>1836823.6296132784</v>
      </c>
      <c r="G574" s="8">
        <f>(S574/$B574)+(S574/'Optimal Choice'!$B$26)</f>
        <v>2049074.8169805009</v>
      </c>
      <c r="I574" s="11">
        <f t="shared" ref="I574:M574" si="572">IF(MIN($C573:$G573)=C573,I573+1,I573)</f>
        <v>200</v>
      </c>
      <c r="J574" s="11">
        <f t="shared" si="572"/>
        <v>95</v>
      </c>
      <c r="K574" s="11">
        <f t="shared" si="572"/>
        <v>94</v>
      </c>
      <c r="L574" s="11">
        <f t="shared" si="572"/>
        <v>91</v>
      </c>
      <c r="M574" s="11">
        <f t="shared" si="572"/>
        <v>93</v>
      </c>
      <c r="O574" s="10">
        <f>'Optimal Choice'!$B$7*'Optimal Choice'!$B$8^(I574+1)</f>
        <v>3222547.3406811599</v>
      </c>
      <c r="P574" s="10">
        <f>'Optimal Choice'!$B$12*'Optimal Choice'!$B$13^(J574+1)</f>
        <v>40285051.60688629</v>
      </c>
      <c r="Q574" s="10">
        <f>'Optimal Choice'!$B$17*'Optimal Choice'!$B$18^(K574+1)</f>
        <v>183355260.04534656</v>
      </c>
      <c r="R574" s="10">
        <f>'Optimal Choice'!$B$22*'Optimal Choice'!$B$23^(L574+1)</f>
        <v>660283649.36800694</v>
      </c>
      <c r="S574" s="10">
        <f>'Optimal Choice'!$B$27*'Optimal Choice'!$B$28^(M574+1)</f>
        <v>4387217036.022644</v>
      </c>
    </row>
    <row r="575" spans="1:19" ht="15.75" customHeight="1">
      <c r="A575" s="8">
        <f t="shared" si="0"/>
        <v>3367.4271218689355</v>
      </c>
      <c r="B575" s="7">
        <f>(I575*'Optimal Choice'!$B$6+J575*'Optimal Choice'!$B$11+K575*'Optimal Choice'!$B$16+L575*'Optimal Choice'!$B$21+M575*'Optimal Choice'!$B$26)*'Optimal Choice'!$B$30</f>
        <v>244694</v>
      </c>
      <c r="C575" s="8">
        <f>(O575/$B575)+(O575/'Optimal Choice'!$B$6)</f>
        <v>1929682.235979286</v>
      </c>
      <c r="D575" s="8">
        <f>(P575/$B575)+(P575/'Optimal Choice'!$B$11)</f>
        <v>2014417.214751398</v>
      </c>
      <c r="E575" s="8">
        <f>(Q575/$B575)+(Q575/'Optimal Choice'!$B$16)</f>
        <v>2038029.9918782967</v>
      </c>
      <c r="F575" s="8">
        <f>(R575/$B575)+(R575/'Optimal Choice'!$B$21)</f>
        <v>2075606.2087956702</v>
      </c>
      <c r="G575" s="8">
        <f>(S575/$B575)+(S575/'Optimal Choice'!$B$26)</f>
        <v>2049048.3999258291</v>
      </c>
      <c r="I575" s="11">
        <f t="shared" ref="I575:M575" si="573">IF(MIN($C574:$G574)=C574,I574+1,I574)</f>
        <v>200</v>
      </c>
      <c r="J575" s="11">
        <f t="shared" si="573"/>
        <v>95</v>
      </c>
      <c r="K575" s="11">
        <f t="shared" si="573"/>
        <v>94</v>
      </c>
      <c r="L575" s="11">
        <f t="shared" si="573"/>
        <v>92</v>
      </c>
      <c r="M575" s="11">
        <f t="shared" si="573"/>
        <v>93</v>
      </c>
      <c r="O575" s="10">
        <f>'Optimal Choice'!$B$7*'Optimal Choice'!$B$8^(I575+1)</f>
        <v>3222547.3406811599</v>
      </c>
      <c r="P575" s="10">
        <f>'Optimal Choice'!$B$12*'Optimal Choice'!$B$13^(J575+1)</f>
        <v>40285051.60688629</v>
      </c>
      <c r="Q575" s="10">
        <f>'Optimal Choice'!$B$17*'Optimal Choice'!$B$18^(K575+1)</f>
        <v>183355260.04534656</v>
      </c>
      <c r="R575" s="10">
        <f>'Optimal Choice'!$B$22*'Optimal Choice'!$B$23^(L575+1)</f>
        <v>746120523.7858479</v>
      </c>
      <c r="S575" s="10">
        <f>'Optimal Choice'!$B$27*'Optimal Choice'!$B$28^(M575+1)</f>
        <v>4387217036.022644</v>
      </c>
    </row>
    <row r="576" spans="1:19" ht="15.75" customHeight="1">
      <c r="A576" s="8">
        <f t="shared" si="0"/>
        <v>3367.6466169213058</v>
      </c>
      <c r="B576" s="7">
        <f>(I576*'Optimal Choice'!$B$6+J576*'Optimal Choice'!$B$11+K576*'Optimal Choice'!$B$16+L576*'Optimal Choice'!$B$21+M576*'Optimal Choice'!$B$26)*'Optimal Choice'!$B$30</f>
        <v>244695.66999999998</v>
      </c>
      <c r="C576" s="8">
        <f>(O576/$B576)+(O576/'Optimal Choice'!$B$6)</f>
        <v>2064759.9924016637</v>
      </c>
      <c r="D576" s="8">
        <f>(P576/$B576)+(P576/'Optimal Choice'!$B$11)</f>
        <v>2014417.2136278003</v>
      </c>
      <c r="E576" s="8">
        <f>(Q576/$B576)+(Q576/'Optimal Choice'!$B$16)</f>
        <v>2038029.9867643025</v>
      </c>
      <c r="F576" s="8">
        <f>(R576/$B576)+(R576/'Optimal Choice'!$B$21)</f>
        <v>2075606.1879854894</v>
      </c>
      <c r="G576" s="8">
        <f>(S576/$B576)+(S576/'Optimal Choice'!$B$26)</f>
        <v>2049048.2775611754</v>
      </c>
      <c r="I576" s="11">
        <f t="shared" ref="I576:M576" si="574">IF(MIN($C575:$G575)=C575,I575+1,I575)</f>
        <v>201</v>
      </c>
      <c r="J576" s="11">
        <f t="shared" si="574"/>
        <v>95</v>
      </c>
      <c r="K576" s="11">
        <f t="shared" si="574"/>
        <v>94</v>
      </c>
      <c r="L576" s="11">
        <f t="shared" si="574"/>
        <v>92</v>
      </c>
      <c r="M576" s="11">
        <f t="shared" si="574"/>
        <v>93</v>
      </c>
      <c r="O576" s="10">
        <f>'Optimal Choice'!$B$7*'Optimal Choice'!$B$8^(I576+1)</f>
        <v>3448125.6545288409</v>
      </c>
      <c r="P576" s="10">
        <f>'Optimal Choice'!$B$12*'Optimal Choice'!$B$13^(J576+1)</f>
        <v>40285051.60688629</v>
      </c>
      <c r="Q576" s="10">
        <f>'Optimal Choice'!$B$17*'Optimal Choice'!$B$18^(K576+1)</f>
        <v>183355260.04534656</v>
      </c>
      <c r="R576" s="10">
        <f>'Optimal Choice'!$B$22*'Optimal Choice'!$B$23^(L576+1)</f>
        <v>746120523.7858479</v>
      </c>
      <c r="S576" s="10">
        <f>'Optimal Choice'!$B$27*'Optimal Choice'!$B$28^(M576+1)</f>
        <v>4387217036.022644</v>
      </c>
    </row>
    <row r="577" spans="1:19" ht="15.75" customHeight="1">
      <c r="A577" s="8">
        <f t="shared" si="0"/>
        <v>3370.3905049794043</v>
      </c>
      <c r="B577" s="7">
        <f>(I577*'Optimal Choice'!$B$6+J577*'Optimal Choice'!$B$11+K577*'Optimal Choice'!$B$16+L577*'Optimal Choice'!$B$21+M577*'Optimal Choice'!$B$26)*'Optimal Choice'!$B$30</f>
        <v>244715.66999999998</v>
      </c>
      <c r="C577" s="8">
        <f>(O577/$B577)+(O577/'Optimal Choice'!$B$6)</f>
        <v>2064759.9912500016</v>
      </c>
      <c r="D577" s="8">
        <f>(P577/$B577)+(P577/'Optimal Choice'!$B$11)</f>
        <v>2316579.7801986439</v>
      </c>
      <c r="E577" s="8">
        <f>(Q577/$B577)+(Q577/'Optimal Choice'!$B$16)</f>
        <v>2038029.9255242851</v>
      </c>
      <c r="F577" s="8">
        <f>(R577/$B577)+(R577/'Optimal Choice'!$B$21)</f>
        <v>2075605.9387838368</v>
      </c>
      <c r="G577" s="8">
        <f>(S577/$B577)+(S577/'Optimal Choice'!$B$26)</f>
        <v>2049046.8122459871</v>
      </c>
      <c r="I577" s="11">
        <f t="shared" ref="I577:M577" si="575">IF(MIN($C576:$G576)=C576,I576+1,I576)</f>
        <v>201</v>
      </c>
      <c r="J577" s="11">
        <f t="shared" si="575"/>
        <v>96</v>
      </c>
      <c r="K577" s="11">
        <f t="shared" si="575"/>
        <v>94</v>
      </c>
      <c r="L577" s="11">
        <f t="shared" si="575"/>
        <v>92</v>
      </c>
      <c r="M577" s="11">
        <f t="shared" si="575"/>
        <v>93</v>
      </c>
      <c r="O577" s="10">
        <f>'Optimal Choice'!$B$7*'Optimal Choice'!$B$8^(I577+1)</f>
        <v>3448125.6545288409</v>
      </c>
      <c r="P577" s="10">
        <f>'Optimal Choice'!$B$12*'Optimal Choice'!$B$13^(J577+1)</f>
        <v>46327809.347919233</v>
      </c>
      <c r="Q577" s="10">
        <f>'Optimal Choice'!$B$17*'Optimal Choice'!$B$18^(K577+1)</f>
        <v>183355260.04534656</v>
      </c>
      <c r="R577" s="10">
        <f>'Optimal Choice'!$B$22*'Optimal Choice'!$B$23^(L577+1)</f>
        <v>746120523.7858479</v>
      </c>
      <c r="S577" s="10">
        <f>'Optimal Choice'!$B$27*'Optimal Choice'!$B$28^(M577+1)</f>
        <v>4387217036.022644</v>
      </c>
    </row>
    <row r="578" spans="1:19" ht="15.75" customHeight="1">
      <c r="A578" s="8">
        <f t="shared" si="0"/>
        <v>3382.8781442088653</v>
      </c>
      <c r="B578" s="7">
        <f>(I578*'Optimal Choice'!$B$6+J578*'Optimal Choice'!$B$11+K578*'Optimal Choice'!$B$16+L578*'Optimal Choice'!$B$21+M578*'Optimal Choice'!$B$26)*'Optimal Choice'!$B$30</f>
        <v>244805.66999999998</v>
      </c>
      <c r="C578" s="8">
        <f>(O578/$B578)+(O578/'Optimal Choice'!$B$6)</f>
        <v>2064759.9860698516</v>
      </c>
      <c r="D578" s="8">
        <f>(P578/$B578)+(P578/'Optimal Choice'!$B$11)</f>
        <v>2316579.7105999608</v>
      </c>
      <c r="E578" s="8">
        <f>(Q578/$B578)+(Q578/'Optimal Choice'!$B$16)</f>
        <v>2323353.8010775605</v>
      </c>
      <c r="F578" s="8">
        <f>(R578/$B578)+(R578/'Optimal Choice'!$B$21)</f>
        <v>2075604.8178802887</v>
      </c>
      <c r="G578" s="8">
        <f>(S578/$B578)+(S578/'Optimal Choice'!$B$26)</f>
        <v>2049040.221290525</v>
      </c>
      <c r="I578" s="11">
        <f t="shared" ref="I578:M578" si="576">IF(MIN($C577:$G577)=C577,I577+1,I577)</f>
        <v>201</v>
      </c>
      <c r="J578" s="11">
        <f t="shared" si="576"/>
        <v>96</v>
      </c>
      <c r="K578" s="11">
        <f t="shared" si="576"/>
        <v>95</v>
      </c>
      <c r="L578" s="11">
        <f t="shared" si="576"/>
        <v>92</v>
      </c>
      <c r="M578" s="11">
        <f t="shared" si="576"/>
        <v>93</v>
      </c>
      <c r="O578" s="10">
        <f>'Optimal Choice'!$B$7*'Optimal Choice'!$B$8^(I578+1)</f>
        <v>3448125.6545288409</v>
      </c>
      <c r="P578" s="10">
        <f>'Optimal Choice'!$B$12*'Optimal Choice'!$B$13^(J578+1)</f>
        <v>46327809.347919233</v>
      </c>
      <c r="Q578" s="10">
        <f>'Optimal Choice'!$B$17*'Optimal Choice'!$B$18^(K578+1)</f>
        <v>209024996.45169514</v>
      </c>
      <c r="R578" s="10">
        <f>'Optimal Choice'!$B$22*'Optimal Choice'!$B$23^(L578+1)</f>
        <v>746120523.7858479</v>
      </c>
      <c r="S578" s="10">
        <f>'Optimal Choice'!$B$27*'Optimal Choice'!$B$28^(M578+1)</f>
        <v>4387217036.022644</v>
      </c>
    </row>
    <row r="579" spans="1:19" ht="15.75" customHeight="1">
      <c r="A579" s="8">
        <f t="shared" si="0"/>
        <v>3681.5651964070876</v>
      </c>
      <c r="B579" s="7">
        <f>(I579*'Optimal Choice'!$B$6+J579*'Optimal Choice'!$B$11+K579*'Optimal Choice'!$B$16+L579*'Optimal Choice'!$B$21+M579*'Optimal Choice'!$B$26)*'Optimal Choice'!$B$30</f>
        <v>246965.66999999998</v>
      </c>
      <c r="C579" s="8">
        <f>(O579/$B579)+(O579/'Optimal Choice'!$B$6)</f>
        <v>2064759.8628789098</v>
      </c>
      <c r="D579" s="8">
        <f>(P579/$B579)+(P579/'Optimal Choice'!$B$11)</f>
        <v>2316578.0554495887</v>
      </c>
      <c r="E579" s="8">
        <f>(Q579/$B579)+(Q579/'Optimal Choice'!$B$16)</f>
        <v>2323346.3332562763</v>
      </c>
      <c r="F579" s="8">
        <f>(R579/$B579)+(R579/'Optimal Choice'!$B$21)</f>
        <v>2075578.1612850367</v>
      </c>
      <c r="G579" s="8">
        <f>(S579/$B579)+(S579/'Optimal Choice'!$B$26)</f>
        <v>2294749.4970370475</v>
      </c>
      <c r="I579" s="11">
        <f t="shared" ref="I579:M579" si="577">IF(MIN($C578:$G578)=C578,I578+1,I578)</f>
        <v>201</v>
      </c>
      <c r="J579" s="11">
        <f t="shared" si="577"/>
        <v>96</v>
      </c>
      <c r="K579" s="11">
        <f t="shared" si="577"/>
        <v>95</v>
      </c>
      <c r="L579" s="11">
        <f t="shared" si="577"/>
        <v>92</v>
      </c>
      <c r="M579" s="11">
        <f t="shared" si="577"/>
        <v>94</v>
      </c>
      <c r="O579" s="10">
        <f>'Optimal Choice'!$B$7*'Optimal Choice'!$B$8^(I579+1)</f>
        <v>3448125.6545288409</v>
      </c>
      <c r="P579" s="10">
        <f>'Optimal Choice'!$B$12*'Optimal Choice'!$B$13^(J579+1)</f>
        <v>46327809.347919233</v>
      </c>
      <c r="Q579" s="10">
        <f>'Optimal Choice'!$B$17*'Optimal Choice'!$B$18^(K579+1)</f>
        <v>209024996.45169514</v>
      </c>
      <c r="R579" s="10">
        <f>'Optimal Choice'!$B$22*'Optimal Choice'!$B$23^(L579+1)</f>
        <v>746120523.7858479</v>
      </c>
      <c r="S579" s="10">
        <f>'Optimal Choice'!$B$27*'Optimal Choice'!$B$28^(M579+1)</f>
        <v>4913683080.3453608</v>
      </c>
    </row>
    <row r="580" spans="1:19" ht="15.75" customHeight="1">
      <c r="A580" s="8">
        <f t="shared" si="0"/>
        <v>3681.7978957976902</v>
      </c>
      <c r="B580" s="7">
        <f>(I580*'Optimal Choice'!$B$6+J580*'Optimal Choice'!$B$11+K580*'Optimal Choice'!$B$16+L580*'Optimal Choice'!$B$21+M580*'Optimal Choice'!$B$26)*'Optimal Choice'!$B$30</f>
        <v>246967.34</v>
      </c>
      <c r="C580" s="8">
        <f>(O580/$B580)+(O580/'Optimal Choice'!$B$6)</f>
        <v>2209293.053179414</v>
      </c>
      <c r="D580" s="8">
        <f>(P580/$B580)+(P580/'Optimal Choice'!$B$11)</f>
        <v>2316578.0541811129</v>
      </c>
      <c r="E580" s="8">
        <f>(Q580/$B580)+(Q580/'Optimal Choice'!$B$16)</f>
        <v>2323346.3275330807</v>
      </c>
      <c r="F580" s="8">
        <f>(R580/$B580)+(R580/'Optimal Choice'!$B$21)</f>
        <v>2075578.1408559314</v>
      </c>
      <c r="G580" s="8">
        <f>(S580/$B580)+(S580/'Optimal Choice'!$B$26)</f>
        <v>2294749.3624982624</v>
      </c>
      <c r="I580" s="11">
        <f t="shared" ref="I580:M580" si="578">IF(MIN($C579:$G579)=C579,I579+1,I579)</f>
        <v>202</v>
      </c>
      <c r="J580" s="11">
        <f t="shared" si="578"/>
        <v>96</v>
      </c>
      <c r="K580" s="11">
        <f t="shared" si="578"/>
        <v>95</v>
      </c>
      <c r="L580" s="11">
        <f t="shared" si="578"/>
        <v>92</v>
      </c>
      <c r="M580" s="11">
        <f t="shared" si="578"/>
        <v>94</v>
      </c>
      <c r="O580" s="10">
        <f>'Optimal Choice'!$B$7*'Optimal Choice'!$B$8^(I580+1)</f>
        <v>3689494.4503458603</v>
      </c>
      <c r="P580" s="10">
        <f>'Optimal Choice'!$B$12*'Optimal Choice'!$B$13^(J580+1)</f>
        <v>46327809.347919233</v>
      </c>
      <c r="Q580" s="10">
        <f>'Optimal Choice'!$B$17*'Optimal Choice'!$B$18^(K580+1)</f>
        <v>209024996.45169514</v>
      </c>
      <c r="R580" s="10">
        <f>'Optimal Choice'!$B$22*'Optimal Choice'!$B$23^(L580+1)</f>
        <v>746120523.7858479</v>
      </c>
      <c r="S580" s="10">
        <f>'Optimal Choice'!$B$27*'Optimal Choice'!$B$28^(M580+1)</f>
        <v>4913683080.3453608</v>
      </c>
    </row>
    <row r="581" spans="1:19" ht="15.75" customHeight="1">
      <c r="A581" s="8">
        <f t="shared" si="0"/>
        <v>3732.1500681258103</v>
      </c>
      <c r="B581" s="7">
        <f>(I581*'Optimal Choice'!$B$6+J581*'Optimal Choice'!$B$11+K581*'Optimal Choice'!$B$16+L581*'Optimal Choice'!$B$21+M581*'Optimal Choice'!$B$26)*'Optimal Choice'!$B$30</f>
        <v>247327.34</v>
      </c>
      <c r="C581" s="8">
        <f>(O581/$B581)+(O581/'Optimal Choice'!$B$6)</f>
        <v>2209293.0314344987</v>
      </c>
      <c r="D581" s="8">
        <f>(P581/$B581)+(P581/'Optimal Choice'!$B$11)</f>
        <v>2316577.7811371274</v>
      </c>
      <c r="E581" s="8">
        <f>(Q581/$B581)+(Q581/'Optimal Choice'!$B$16)</f>
        <v>2323345.095594448</v>
      </c>
      <c r="F581" s="8">
        <f>(R581/$B581)+(R581/'Optimal Choice'!$B$21)</f>
        <v>2345398.3300609877</v>
      </c>
      <c r="G581" s="8">
        <f>(S581/$B581)+(S581/'Optimal Choice'!$B$26)</f>
        <v>2294720.4025359638</v>
      </c>
      <c r="I581" s="11">
        <f t="shared" ref="I581:M581" si="579">IF(MIN($C580:$G580)=C580,I580+1,I580)</f>
        <v>202</v>
      </c>
      <c r="J581" s="11">
        <f t="shared" si="579"/>
        <v>96</v>
      </c>
      <c r="K581" s="11">
        <f t="shared" si="579"/>
        <v>95</v>
      </c>
      <c r="L581" s="11">
        <f t="shared" si="579"/>
        <v>93</v>
      </c>
      <c r="M581" s="11">
        <f t="shared" si="579"/>
        <v>94</v>
      </c>
      <c r="O581" s="10">
        <f>'Optimal Choice'!$B$7*'Optimal Choice'!$B$8^(I581+1)</f>
        <v>3689494.4503458603</v>
      </c>
      <c r="P581" s="10">
        <f>'Optimal Choice'!$B$12*'Optimal Choice'!$B$13^(J581+1)</f>
        <v>46327809.347919233</v>
      </c>
      <c r="Q581" s="10">
        <f>'Optimal Choice'!$B$17*'Optimal Choice'!$B$18^(K581+1)</f>
        <v>209024996.45169514</v>
      </c>
      <c r="R581" s="10">
        <f>'Optimal Choice'!$B$22*'Optimal Choice'!$B$23^(L581+1)</f>
        <v>843116191.87800789</v>
      </c>
      <c r="S581" s="10">
        <f>'Optimal Choice'!$B$27*'Optimal Choice'!$B$28^(M581+1)</f>
        <v>4913683080.3453608</v>
      </c>
    </row>
    <row r="582" spans="1:19" ht="15.75" customHeight="1">
      <c r="A582" s="8">
        <f t="shared" si="0"/>
        <v>3732.3986923748416</v>
      </c>
      <c r="B582" s="7">
        <f>(I582*'Optimal Choice'!$B$6+J582*'Optimal Choice'!$B$11+K582*'Optimal Choice'!$B$16+L582*'Optimal Choice'!$B$21+M582*'Optimal Choice'!$B$26)*'Optimal Choice'!$B$30</f>
        <v>247329.01</v>
      </c>
      <c r="C582" s="8">
        <f>(O582/$B582)+(O582/'Optimal Choice'!$B$6)</f>
        <v>2363943.543527138</v>
      </c>
      <c r="D582" s="8">
        <f>(P582/$B582)+(P582/'Optimal Choice'!$B$11)</f>
        <v>2316577.7798723588</v>
      </c>
      <c r="E582" s="8">
        <f>(Q582/$B582)+(Q582/'Optimal Choice'!$B$16)</f>
        <v>2323345.0898879785</v>
      </c>
      <c r="F582" s="8">
        <f>(R582/$B582)+(R582/'Optimal Choice'!$B$21)</f>
        <v>2345398.3070435636</v>
      </c>
      <c r="G582" s="8">
        <f>(S582/$B582)+(S582/'Optimal Choice'!$B$26)</f>
        <v>2294720.2683903654</v>
      </c>
      <c r="I582" s="11">
        <f t="shared" ref="I582:M582" si="580">IF(MIN($C581:$G581)=C581,I581+1,I581)</f>
        <v>203</v>
      </c>
      <c r="J582" s="11">
        <f t="shared" si="580"/>
        <v>96</v>
      </c>
      <c r="K582" s="11">
        <f t="shared" si="580"/>
        <v>95</v>
      </c>
      <c r="L582" s="11">
        <f t="shared" si="580"/>
        <v>93</v>
      </c>
      <c r="M582" s="11">
        <f t="shared" si="580"/>
        <v>94</v>
      </c>
      <c r="O582" s="10">
        <f>'Optimal Choice'!$B$7*'Optimal Choice'!$B$8^(I582+1)</f>
        <v>3947759.0618700697</v>
      </c>
      <c r="P582" s="10">
        <f>'Optimal Choice'!$B$12*'Optimal Choice'!$B$13^(J582+1)</f>
        <v>46327809.347919233</v>
      </c>
      <c r="Q582" s="10">
        <f>'Optimal Choice'!$B$17*'Optimal Choice'!$B$18^(K582+1)</f>
        <v>209024996.45169514</v>
      </c>
      <c r="R582" s="10">
        <f>'Optimal Choice'!$B$22*'Optimal Choice'!$B$23^(L582+1)</f>
        <v>843116191.87800789</v>
      </c>
      <c r="S582" s="10">
        <f>'Optimal Choice'!$B$27*'Optimal Choice'!$B$28^(M582+1)</f>
        <v>4913683080.3453608</v>
      </c>
    </row>
    <row r="583" spans="1:19" ht="15.75" customHeight="1">
      <c r="A583" s="8">
        <f t="shared" si="0"/>
        <v>4063.515199919816</v>
      </c>
      <c r="B583" s="7">
        <f>(I583*'Optimal Choice'!$B$6+J583*'Optimal Choice'!$B$11+K583*'Optimal Choice'!$B$16+L583*'Optimal Choice'!$B$21+M583*'Optimal Choice'!$B$26)*'Optimal Choice'!$B$30</f>
        <v>249489.01</v>
      </c>
      <c r="C583" s="8">
        <f>(O583/$B583)+(O583/'Optimal Choice'!$B$6)</f>
        <v>2363943.405336726</v>
      </c>
      <c r="D583" s="8">
        <f>(P583/$B583)+(P583/'Optimal Choice'!$B$11)</f>
        <v>2316576.1581778838</v>
      </c>
      <c r="E583" s="8">
        <f>(Q583/$B583)+(Q583/'Optimal Choice'!$B$16)</f>
        <v>2323337.7730153138</v>
      </c>
      <c r="F583" s="8">
        <f>(R583/$B583)+(R583/'Optimal Choice'!$B$21)</f>
        <v>2345368.793952201</v>
      </c>
      <c r="G583" s="8">
        <f>(S583/$B583)+(S583/'Optimal Choice'!$B$26)</f>
        <v>2569894.0579501335</v>
      </c>
      <c r="I583" s="11">
        <f t="shared" ref="I583:M583" si="581">IF(MIN($C582:$G582)=C582,I582+1,I582)</f>
        <v>203</v>
      </c>
      <c r="J583" s="11">
        <f t="shared" si="581"/>
        <v>96</v>
      </c>
      <c r="K583" s="11">
        <f t="shared" si="581"/>
        <v>95</v>
      </c>
      <c r="L583" s="11">
        <f t="shared" si="581"/>
        <v>93</v>
      </c>
      <c r="M583" s="11">
        <f t="shared" si="581"/>
        <v>95</v>
      </c>
      <c r="O583" s="10">
        <f>'Optimal Choice'!$B$7*'Optimal Choice'!$B$8^(I583+1)</f>
        <v>3947759.0618700697</v>
      </c>
      <c r="P583" s="10">
        <f>'Optimal Choice'!$B$12*'Optimal Choice'!$B$13^(J583+1)</f>
        <v>46327809.347919233</v>
      </c>
      <c r="Q583" s="10">
        <f>'Optimal Choice'!$B$17*'Optimal Choice'!$B$18^(K583+1)</f>
        <v>209024996.45169514</v>
      </c>
      <c r="R583" s="10">
        <f>'Optimal Choice'!$B$22*'Optimal Choice'!$B$23^(L583+1)</f>
        <v>843116191.87800789</v>
      </c>
      <c r="S583" s="10">
        <f>'Optimal Choice'!$B$27*'Optimal Choice'!$B$28^(M583+1)</f>
        <v>5503325049.9868069</v>
      </c>
    </row>
    <row r="584" spans="1:19" ht="15.75" customHeight="1">
      <c r="A584" s="8">
        <f t="shared" si="0"/>
        <v>4066.6100462851878</v>
      </c>
      <c r="B584" s="7">
        <f>(I584*'Optimal Choice'!$B$6+J584*'Optimal Choice'!$B$11+K584*'Optimal Choice'!$B$16+L584*'Optimal Choice'!$B$21+M584*'Optimal Choice'!$B$26)*'Optimal Choice'!$B$30</f>
        <v>249509.01</v>
      </c>
      <c r="C584" s="8">
        <f>(O584/$B584)+(O584/'Optimal Choice'!$B$6)</f>
        <v>2363943.4040683648</v>
      </c>
      <c r="D584" s="8">
        <f>(P584/$B584)+(P584/'Optimal Choice'!$B$11)</f>
        <v>2664062.5647873972</v>
      </c>
      <c r="E584" s="8">
        <f>(Q584/$B584)+(Q584/'Optimal Choice'!$B$16)</f>
        <v>2323337.7058584252</v>
      </c>
      <c r="F584" s="8">
        <f>(R584/$B584)+(R584/'Optimal Choice'!$B$21)</f>
        <v>2345368.5230704346</v>
      </c>
      <c r="G584" s="8">
        <f>(S584/$B584)+(S584/'Optimal Choice'!$B$26)</f>
        <v>2569892.2898066374</v>
      </c>
      <c r="I584" s="11">
        <f t="shared" ref="I584:M584" si="582">IF(MIN($C583:$G583)=C583,I583+1,I583)</f>
        <v>203</v>
      </c>
      <c r="J584" s="11">
        <f t="shared" si="582"/>
        <v>97</v>
      </c>
      <c r="K584" s="11">
        <f t="shared" si="582"/>
        <v>95</v>
      </c>
      <c r="L584" s="11">
        <f t="shared" si="582"/>
        <v>93</v>
      </c>
      <c r="M584" s="11">
        <f t="shared" si="582"/>
        <v>95</v>
      </c>
      <c r="O584" s="10">
        <f>'Optimal Choice'!$B$7*'Optimal Choice'!$B$8^(I584+1)</f>
        <v>3947759.0618700697</v>
      </c>
      <c r="P584" s="10">
        <f>'Optimal Choice'!$B$12*'Optimal Choice'!$B$13^(J584+1)</f>
        <v>53276980.750107117</v>
      </c>
      <c r="Q584" s="10">
        <f>'Optimal Choice'!$B$17*'Optimal Choice'!$B$18^(K584+1)</f>
        <v>209024996.45169514</v>
      </c>
      <c r="R584" s="10">
        <f>'Optimal Choice'!$B$22*'Optimal Choice'!$B$23^(L584+1)</f>
        <v>843116191.87800789</v>
      </c>
      <c r="S584" s="10">
        <f>'Optimal Choice'!$B$27*'Optimal Choice'!$B$28^(M584+1)</f>
        <v>5503325049.9868069</v>
      </c>
    </row>
    <row r="585" spans="1:19" ht="15.75" customHeight="1">
      <c r="A585" s="8">
        <f t="shared" si="0"/>
        <v>4080.5724676857681</v>
      </c>
      <c r="B585" s="7">
        <f>(I585*'Optimal Choice'!$B$6+J585*'Optimal Choice'!$B$11+K585*'Optimal Choice'!$B$16+L585*'Optimal Choice'!$B$21+M585*'Optimal Choice'!$B$26)*'Optimal Choice'!$B$30</f>
        <v>249599.01</v>
      </c>
      <c r="C585" s="8">
        <f>(O585/$B585)+(O585/'Optimal Choice'!$B$6)</f>
        <v>2363943.3983632545</v>
      </c>
      <c r="D585" s="8">
        <f>(P585/$B585)+(P585/'Optimal Choice'!$B$11)</f>
        <v>2664062.4877940812</v>
      </c>
      <c r="E585" s="8">
        <f>(Q585/$B585)+(Q585/'Optimal Choice'!$B$16)</f>
        <v>2648604.6403155955</v>
      </c>
      <c r="F585" s="8">
        <f>(R585/$B585)+(R585/'Optimal Choice'!$B$21)</f>
        <v>2345367.3046396933</v>
      </c>
      <c r="G585" s="8">
        <f>(S585/$B585)+(S585/'Optimal Choice'!$B$26)</f>
        <v>2569884.3366674543</v>
      </c>
      <c r="I585" s="11">
        <f t="shared" ref="I585:M585" si="583">IF(MIN($C584:$G584)=C584,I584+1,I584)</f>
        <v>203</v>
      </c>
      <c r="J585" s="11">
        <f t="shared" si="583"/>
        <v>97</v>
      </c>
      <c r="K585" s="11">
        <f t="shared" si="583"/>
        <v>96</v>
      </c>
      <c r="L585" s="11">
        <f t="shared" si="583"/>
        <v>93</v>
      </c>
      <c r="M585" s="11">
        <f t="shared" si="583"/>
        <v>95</v>
      </c>
      <c r="O585" s="10">
        <f>'Optimal Choice'!$B$7*'Optimal Choice'!$B$8^(I585+1)</f>
        <v>3947759.0618700697</v>
      </c>
      <c r="P585" s="10">
        <f>'Optimal Choice'!$B$12*'Optimal Choice'!$B$13^(J585+1)</f>
        <v>53276980.750107117</v>
      </c>
      <c r="Q585" s="10">
        <f>'Optimal Choice'!$B$17*'Optimal Choice'!$B$18^(K585+1)</f>
        <v>238288495.95493245</v>
      </c>
      <c r="R585" s="10">
        <f>'Optimal Choice'!$B$22*'Optimal Choice'!$B$23^(L585+1)</f>
        <v>843116191.87800789</v>
      </c>
      <c r="S585" s="10">
        <f>'Optimal Choice'!$B$27*'Optimal Choice'!$B$28^(M585+1)</f>
        <v>5503325049.9868069</v>
      </c>
    </row>
    <row r="586" spans="1:19" ht="15.75" customHeight="1">
      <c r="A586" s="8">
        <f t="shared" si="0"/>
        <v>4136.8705136247327</v>
      </c>
      <c r="B586" s="7">
        <f>(I586*'Optimal Choice'!$B$6+J586*'Optimal Choice'!$B$11+K586*'Optimal Choice'!$B$16+L586*'Optimal Choice'!$B$21+M586*'Optimal Choice'!$B$26)*'Optimal Choice'!$B$30</f>
        <v>249959.01</v>
      </c>
      <c r="C586" s="8">
        <f>(O586/$B586)+(O586/'Optimal Choice'!$B$6)</f>
        <v>2363943.3755838959</v>
      </c>
      <c r="D586" s="8">
        <f>(P586/$B586)+(P586/'Optimal Choice'!$B$11)</f>
        <v>2664062.1803752612</v>
      </c>
      <c r="E586" s="8">
        <f>(Q586/$B586)+(Q586/'Optimal Choice'!$B$16)</f>
        <v>2648603.2653433797</v>
      </c>
      <c r="F586" s="8">
        <f>(R586/$B586)+(R586/'Optimal Choice'!$B$21)</f>
        <v>2650259.5568506797</v>
      </c>
      <c r="G586" s="8">
        <f>(S586/$B586)+(S586/'Optimal Choice'!$B$26)</f>
        <v>2569852.5813827147</v>
      </c>
      <c r="I586" s="11">
        <f t="shared" ref="I586:M586" si="584">IF(MIN($C585:$G585)=C585,I585+1,I585)</f>
        <v>203</v>
      </c>
      <c r="J586" s="11">
        <f t="shared" si="584"/>
        <v>97</v>
      </c>
      <c r="K586" s="11">
        <f t="shared" si="584"/>
        <v>96</v>
      </c>
      <c r="L586" s="11">
        <f t="shared" si="584"/>
        <v>94</v>
      </c>
      <c r="M586" s="11">
        <f t="shared" si="584"/>
        <v>95</v>
      </c>
      <c r="O586" s="10">
        <f>'Optimal Choice'!$B$7*'Optimal Choice'!$B$8^(I586+1)</f>
        <v>3947759.0618700697</v>
      </c>
      <c r="P586" s="10">
        <f>'Optimal Choice'!$B$12*'Optimal Choice'!$B$13^(J586+1)</f>
        <v>53276980.750107117</v>
      </c>
      <c r="Q586" s="10">
        <f>'Optimal Choice'!$B$17*'Optimal Choice'!$B$18^(K586+1)</f>
        <v>238288495.95493245</v>
      </c>
      <c r="R586" s="10">
        <f>'Optimal Choice'!$B$22*'Optimal Choice'!$B$23^(L586+1)</f>
        <v>952721296.82214892</v>
      </c>
      <c r="S586" s="10">
        <f>'Optimal Choice'!$B$27*'Optimal Choice'!$B$28^(M586+1)</f>
        <v>5503325049.9868069</v>
      </c>
    </row>
    <row r="587" spans="1:19" ht="15.75" customHeight="1">
      <c r="A587" s="8">
        <f t="shared" si="0"/>
        <v>4137.1337407209057</v>
      </c>
      <c r="B587" s="7">
        <f>(I587*'Optimal Choice'!$B$6+J587*'Optimal Choice'!$B$11+K587*'Optimal Choice'!$B$16+L587*'Optimal Choice'!$B$21+M587*'Optimal Choice'!$B$26)*'Optimal Choice'!$B$30</f>
        <v>249960.68</v>
      </c>
      <c r="C587" s="8">
        <f>(O587/$B587)+(O587/'Optimal Choice'!$B$6)</f>
        <v>2529419.4117618646</v>
      </c>
      <c r="D587" s="8">
        <f>(P587/$B587)+(P587/'Optimal Choice'!$B$11)</f>
        <v>2664062.1789512425</v>
      </c>
      <c r="E587" s="8">
        <f>(Q587/$B587)+(Q587/'Optimal Choice'!$B$16)</f>
        <v>2648603.2589742653</v>
      </c>
      <c r="F587" s="8">
        <f>(R587/$B587)+(R587/'Optimal Choice'!$B$21)</f>
        <v>2650259.5313857868</v>
      </c>
      <c r="G587" s="8">
        <f>(S587/$B587)+(S587/'Optimal Choice'!$B$26)</f>
        <v>2569852.43428662</v>
      </c>
      <c r="I587" s="11">
        <f t="shared" ref="I587:M587" si="585">IF(MIN($C586:$G586)=C586,I586+1,I586)</f>
        <v>204</v>
      </c>
      <c r="J587" s="11">
        <f t="shared" si="585"/>
        <v>97</v>
      </c>
      <c r="K587" s="11">
        <f t="shared" si="585"/>
        <v>96</v>
      </c>
      <c r="L587" s="11">
        <f t="shared" si="585"/>
        <v>94</v>
      </c>
      <c r="M587" s="11">
        <f t="shared" si="585"/>
        <v>95</v>
      </c>
      <c r="O587" s="10">
        <f>'Optimal Choice'!$B$7*'Optimal Choice'!$B$8^(I587+1)</f>
        <v>4224102.1962009752</v>
      </c>
      <c r="P587" s="10">
        <f>'Optimal Choice'!$B$12*'Optimal Choice'!$B$13^(J587+1)</f>
        <v>53276980.750107117</v>
      </c>
      <c r="Q587" s="10">
        <f>'Optimal Choice'!$B$17*'Optimal Choice'!$B$18^(K587+1)</f>
        <v>238288495.95493245</v>
      </c>
      <c r="R587" s="10">
        <f>'Optimal Choice'!$B$22*'Optimal Choice'!$B$23^(L587+1)</f>
        <v>952721296.82214892</v>
      </c>
      <c r="S587" s="10">
        <f>'Optimal Choice'!$B$27*'Optimal Choice'!$B$28^(M587+1)</f>
        <v>5503325049.9868069</v>
      </c>
    </row>
    <row r="588" spans="1:19" ht="15.75" customHeight="1">
      <c r="A588" s="8">
        <f t="shared" si="0"/>
        <v>4137.4153918320726</v>
      </c>
      <c r="B588" s="7">
        <f>(I588*'Optimal Choice'!$B$6+J588*'Optimal Choice'!$B$11+K588*'Optimal Choice'!$B$16+L588*'Optimal Choice'!$B$21+M588*'Optimal Choice'!$B$26)*'Optimal Choice'!$B$30</f>
        <v>249962.35</v>
      </c>
      <c r="C588" s="8">
        <f>(O588/$B588)+(O588/'Optimal Choice'!$B$6)</f>
        <v>2706478.7704643887</v>
      </c>
      <c r="D588" s="8">
        <f>(P588/$B588)+(P588/'Optimal Choice'!$B$11)</f>
        <v>2664062.1775272433</v>
      </c>
      <c r="E588" s="8">
        <f>(Q588/$B588)+(Q588/'Optimal Choice'!$B$16)</f>
        <v>2648603.2526052361</v>
      </c>
      <c r="F588" s="8">
        <f>(R588/$B588)+(R588/'Optimal Choice'!$B$21)</f>
        <v>2650259.5059212344</v>
      </c>
      <c r="G588" s="8">
        <f>(S588/$B588)+(S588/'Optimal Choice'!$B$26)</f>
        <v>2569852.2871924909</v>
      </c>
      <c r="I588" s="11">
        <f t="shared" ref="I588:M588" si="586">IF(MIN($C587:$G587)=C587,I587+1,I587)</f>
        <v>205</v>
      </c>
      <c r="J588" s="11">
        <f t="shared" si="586"/>
        <v>97</v>
      </c>
      <c r="K588" s="11">
        <f t="shared" si="586"/>
        <v>96</v>
      </c>
      <c r="L588" s="11">
        <f t="shared" si="586"/>
        <v>94</v>
      </c>
      <c r="M588" s="11">
        <f t="shared" si="586"/>
        <v>95</v>
      </c>
      <c r="O588" s="10">
        <f>'Optimal Choice'!$B$7*'Optimal Choice'!$B$8^(I588+1)</f>
        <v>4519789.3499350427</v>
      </c>
      <c r="P588" s="10">
        <f>'Optimal Choice'!$B$12*'Optimal Choice'!$B$13^(J588+1)</f>
        <v>53276980.750107117</v>
      </c>
      <c r="Q588" s="10">
        <f>'Optimal Choice'!$B$17*'Optimal Choice'!$B$18^(K588+1)</f>
        <v>238288495.95493245</v>
      </c>
      <c r="R588" s="10">
        <f>'Optimal Choice'!$B$22*'Optimal Choice'!$B$23^(L588+1)</f>
        <v>952721296.82214892</v>
      </c>
      <c r="S588" s="10">
        <f>'Optimal Choice'!$B$27*'Optimal Choice'!$B$28^(M588+1)</f>
        <v>5503325049.9868069</v>
      </c>
    </row>
    <row r="589" spans="1:19" ht="15.75" customHeight="1">
      <c r="A589" s="8">
        <f t="shared" si="0"/>
        <v>4504.3589902037747</v>
      </c>
      <c r="B589" s="7">
        <f>(I589*'Optimal Choice'!$B$6+J589*'Optimal Choice'!$B$11+K589*'Optimal Choice'!$B$16+L589*'Optimal Choice'!$B$21+M589*'Optimal Choice'!$B$26)*'Optimal Choice'!$B$30</f>
        <v>252122.35</v>
      </c>
      <c r="C589" s="8">
        <f>(O589/$B589)+(O589/'Optimal Choice'!$B$6)</f>
        <v>2706478.6155520538</v>
      </c>
      <c r="D589" s="8">
        <f>(P589/$B589)+(P589/'Optimal Choice'!$B$11)</f>
        <v>2664060.3514993354</v>
      </c>
      <c r="E589" s="8">
        <f>(Q589/$B589)+(Q589/'Optimal Choice'!$B$16)</f>
        <v>2648595.0854486595</v>
      </c>
      <c r="F589" s="8">
        <f>(R589/$B589)+(R589/'Optimal Choice'!$B$21)</f>
        <v>2650226.8521249448</v>
      </c>
      <c r="G589" s="8">
        <f>(S589/$B589)+(S589/'Optimal Choice'!$B$26)</f>
        <v>2878023.3047115272</v>
      </c>
      <c r="I589" s="11">
        <f t="shared" ref="I589:M589" si="587">IF(MIN($C588:$G588)=C588,I588+1,I588)</f>
        <v>205</v>
      </c>
      <c r="J589" s="11">
        <f t="shared" si="587"/>
        <v>97</v>
      </c>
      <c r="K589" s="11">
        <f t="shared" si="587"/>
        <v>96</v>
      </c>
      <c r="L589" s="11">
        <f t="shared" si="587"/>
        <v>94</v>
      </c>
      <c r="M589" s="11">
        <f t="shared" si="587"/>
        <v>96</v>
      </c>
      <c r="O589" s="10">
        <f>'Optimal Choice'!$B$7*'Optimal Choice'!$B$8^(I589+1)</f>
        <v>4519789.3499350427</v>
      </c>
      <c r="P589" s="10">
        <f>'Optimal Choice'!$B$12*'Optimal Choice'!$B$13^(J589+1)</f>
        <v>53276980.750107117</v>
      </c>
      <c r="Q589" s="10">
        <f>'Optimal Choice'!$B$17*'Optimal Choice'!$B$18^(K589+1)</f>
        <v>238288495.95493245</v>
      </c>
      <c r="R589" s="10">
        <f>'Optimal Choice'!$B$22*'Optimal Choice'!$B$23^(L589+1)</f>
        <v>952721296.82214892</v>
      </c>
      <c r="S589" s="10">
        <f>'Optimal Choice'!$B$27*'Optimal Choice'!$B$28^(M589+1)</f>
        <v>6163724055.9852238</v>
      </c>
    </row>
    <row r="590" spans="1:19" ht="15.75" customHeight="1">
      <c r="A590" s="8">
        <f t="shared" si="0"/>
        <v>4520.1111634346771</v>
      </c>
      <c r="B590" s="7">
        <f>(I590*'Optimal Choice'!$B$6+J590*'Optimal Choice'!$B$11+K590*'Optimal Choice'!$B$16+L590*'Optimal Choice'!$B$21+M590*'Optimal Choice'!$B$26)*'Optimal Choice'!$B$30</f>
        <v>252212.35</v>
      </c>
      <c r="C590" s="8">
        <f>(O590/$B590)+(O590/'Optimal Choice'!$B$6)</f>
        <v>2706478.6091549555</v>
      </c>
      <c r="D590" s="8">
        <f>(P590/$B590)+(P590/'Optimal Choice'!$B$11)</f>
        <v>2664060.2760935933</v>
      </c>
      <c r="E590" s="8">
        <f>(Q590/$B590)+(Q590/'Optimal Choice'!$B$16)</f>
        <v>3019398.0129323662</v>
      </c>
      <c r="F590" s="8">
        <f>(R590/$B590)+(R590/'Optimal Choice'!$B$21)</f>
        <v>2650225.5036878609</v>
      </c>
      <c r="G590" s="8">
        <f>(S590/$B590)+(S590/'Optimal Choice'!$B$26)</f>
        <v>2878014.5808652998</v>
      </c>
      <c r="I590" s="11">
        <f t="shared" ref="I590:M590" si="588">IF(MIN($C589:$G589)=C589,I589+1,I589)</f>
        <v>205</v>
      </c>
      <c r="J590" s="11">
        <f t="shared" si="588"/>
        <v>97</v>
      </c>
      <c r="K590" s="11">
        <f t="shared" si="588"/>
        <v>97</v>
      </c>
      <c r="L590" s="11">
        <f t="shared" si="588"/>
        <v>94</v>
      </c>
      <c r="M590" s="11">
        <f t="shared" si="588"/>
        <v>96</v>
      </c>
      <c r="O590" s="10">
        <f>'Optimal Choice'!$B$7*'Optimal Choice'!$B$8^(I590+1)</f>
        <v>4519789.3499350427</v>
      </c>
      <c r="P590" s="10">
        <f>'Optimal Choice'!$B$12*'Optimal Choice'!$B$13^(J590+1)</f>
        <v>53276980.750107117</v>
      </c>
      <c r="Q590" s="10">
        <f>'Optimal Choice'!$B$17*'Optimal Choice'!$B$18^(K590+1)</f>
        <v>271648885.38862294</v>
      </c>
      <c r="R590" s="10">
        <f>'Optimal Choice'!$B$22*'Optimal Choice'!$B$23^(L590+1)</f>
        <v>952721296.82214892</v>
      </c>
      <c r="S590" s="10">
        <f>'Optimal Choice'!$B$27*'Optimal Choice'!$B$28^(M590+1)</f>
        <v>6163724055.9852238</v>
      </c>
    </row>
    <row r="591" spans="1:19" ht="15.75" customHeight="1">
      <c r="A591" s="8">
        <f t="shared" si="0"/>
        <v>4583.0687794291716</v>
      </c>
      <c r="B591" s="7">
        <f>(I591*'Optimal Choice'!$B$6+J591*'Optimal Choice'!$B$11+K591*'Optimal Choice'!$B$16+L591*'Optimal Choice'!$B$21+M591*'Optimal Choice'!$B$26)*'Optimal Choice'!$B$30</f>
        <v>252572.35</v>
      </c>
      <c r="C591" s="8">
        <f>(O591/$B591)+(O591/'Optimal Choice'!$B$6)</f>
        <v>2706478.5836121533</v>
      </c>
      <c r="D591" s="8">
        <f>(P591/$B591)+(P591/'Optimal Choice'!$B$11)</f>
        <v>2664059.975008016</v>
      </c>
      <c r="E591" s="8">
        <f>(Q591/$B591)+(Q591/'Optimal Choice'!$B$16)</f>
        <v>3019396.4777560052</v>
      </c>
      <c r="F591" s="8">
        <f>(R591/$B591)+(R591/'Optimal Choice'!$B$21)</f>
        <v>2994748.7350908145</v>
      </c>
      <c r="G591" s="8">
        <f>(S591/$B591)+(S591/'Optimal Choice'!$B$26)</f>
        <v>2877979.7476523719</v>
      </c>
      <c r="I591" s="11">
        <f t="shared" ref="I591:M591" si="589">IF(MIN($C590:$G590)=C590,I590+1,I590)</f>
        <v>205</v>
      </c>
      <c r="J591" s="11">
        <f t="shared" si="589"/>
        <v>97</v>
      </c>
      <c r="K591" s="11">
        <f t="shared" si="589"/>
        <v>97</v>
      </c>
      <c r="L591" s="11">
        <f t="shared" si="589"/>
        <v>95</v>
      </c>
      <c r="M591" s="11">
        <f t="shared" si="589"/>
        <v>96</v>
      </c>
      <c r="O591" s="10">
        <f>'Optimal Choice'!$B$7*'Optimal Choice'!$B$8^(I591+1)</f>
        <v>4519789.3499350427</v>
      </c>
      <c r="P591" s="10">
        <f>'Optimal Choice'!$B$12*'Optimal Choice'!$B$13^(J591+1)</f>
        <v>53276980.750107117</v>
      </c>
      <c r="Q591" s="10">
        <f>'Optimal Choice'!$B$17*'Optimal Choice'!$B$18^(K591+1)</f>
        <v>271648885.38862294</v>
      </c>
      <c r="R591" s="10">
        <f>'Optimal Choice'!$B$22*'Optimal Choice'!$B$23^(L591+1)</f>
        <v>1076575065.4090283</v>
      </c>
      <c r="S591" s="10">
        <f>'Optimal Choice'!$B$27*'Optimal Choice'!$B$28^(M591+1)</f>
        <v>6163724055.9852238</v>
      </c>
    </row>
    <row r="592" spans="1:19" ht="15.75" customHeight="1">
      <c r="A592" s="8">
        <f t="shared" si="0"/>
        <v>4586.584404473514</v>
      </c>
      <c r="B592" s="7">
        <f>(I592*'Optimal Choice'!$B$6+J592*'Optimal Choice'!$B$11+K592*'Optimal Choice'!$B$16+L592*'Optimal Choice'!$B$21+M592*'Optimal Choice'!$B$26)*'Optimal Choice'!$B$30</f>
        <v>252592.35</v>
      </c>
      <c r="C592" s="8">
        <f>(O592/$B592)+(O592/'Optimal Choice'!$B$6)</f>
        <v>2706478.5821952438</v>
      </c>
      <c r="D592" s="8">
        <f>(P592/$B592)+(P592/'Optimal Choice'!$B$11)</f>
        <v>3063668.9520521336</v>
      </c>
      <c r="E592" s="8">
        <f>(Q592/$B592)+(Q592/'Optimal Choice'!$B$16)</f>
        <v>3019396.3925967366</v>
      </c>
      <c r="F592" s="8">
        <f>(R592/$B592)+(R592/'Optimal Choice'!$B$21)</f>
        <v>2994748.3975950601</v>
      </c>
      <c r="G592" s="8">
        <f>(S592/$B592)+(S592/'Optimal Choice'!$B$26)</f>
        <v>2877977.8153851591</v>
      </c>
      <c r="I592" s="11">
        <f t="shared" ref="I592:M592" si="590">IF(MIN($C591:$G591)=C591,I591+1,I591)</f>
        <v>205</v>
      </c>
      <c r="J592" s="11">
        <f t="shared" si="590"/>
        <v>98</v>
      </c>
      <c r="K592" s="11">
        <f t="shared" si="590"/>
        <v>97</v>
      </c>
      <c r="L592" s="11">
        <f t="shared" si="590"/>
        <v>95</v>
      </c>
      <c r="M592" s="11">
        <f t="shared" si="590"/>
        <v>96</v>
      </c>
      <c r="O592" s="10">
        <f>'Optimal Choice'!$B$7*'Optimal Choice'!$B$8^(I592+1)</f>
        <v>4519789.3499350427</v>
      </c>
      <c r="P592" s="10">
        <f>'Optimal Choice'!$B$12*'Optimal Choice'!$B$13^(J592+1)</f>
        <v>61268527.862623163</v>
      </c>
      <c r="Q592" s="10">
        <f>'Optimal Choice'!$B$17*'Optimal Choice'!$B$18^(K592+1)</f>
        <v>271648885.38862294</v>
      </c>
      <c r="R592" s="10">
        <f>'Optimal Choice'!$B$22*'Optimal Choice'!$B$23^(L592+1)</f>
        <v>1076575065.4090283</v>
      </c>
      <c r="S592" s="10">
        <f>'Optimal Choice'!$B$27*'Optimal Choice'!$B$28^(M592+1)</f>
        <v>6163724055.9852238</v>
      </c>
    </row>
    <row r="593" spans="1:19" ht="15.75" customHeight="1">
      <c r="A593" s="8">
        <f t="shared" si="0"/>
        <v>4586.8826313299451</v>
      </c>
      <c r="B593" s="7">
        <f>(I593*'Optimal Choice'!$B$6+J593*'Optimal Choice'!$B$11+K593*'Optimal Choice'!$B$16+L593*'Optimal Choice'!$B$21+M593*'Optimal Choice'!$B$26)*'Optimal Choice'!$B$30</f>
        <v>252594.02000000002</v>
      </c>
      <c r="C593" s="8">
        <f>(O593/$B593)+(O593/'Optimal Choice'!$B$6)</f>
        <v>2895932.0828223289</v>
      </c>
      <c r="D593" s="8">
        <f>(P593/$B593)+(P593/'Optimal Choice'!$B$11)</f>
        <v>3063668.9504484795</v>
      </c>
      <c r="E593" s="8">
        <f>(Q593/$B593)+(Q593/'Optimal Choice'!$B$16)</f>
        <v>3019396.3854865474</v>
      </c>
      <c r="F593" s="8">
        <f>(R593/$B593)+(R593/'Optimal Choice'!$B$21)</f>
        <v>2994748.3694165824</v>
      </c>
      <c r="G593" s="8">
        <f>(S593/$B593)+(S593/'Optimal Choice'!$B$26)</f>
        <v>2877977.6540546883</v>
      </c>
      <c r="I593" s="11">
        <f t="shared" ref="I593:M593" si="591">IF(MIN($C592:$G592)=C592,I592+1,I592)</f>
        <v>206</v>
      </c>
      <c r="J593" s="11">
        <f t="shared" si="591"/>
        <v>98</v>
      </c>
      <c r="K593" s="11">
        <f t="shared" si="591"/>
        <v>97</v>
      </c>
      <c r="L593" s="11">
        <f t="shared" si="591"/>
        <v>95</v>
      </c>
      <c r="M593" s="11">
        <f t="shared" si="591"/>
        <v>96</v>
      </c>
      <c r="O593" s="10">
        <f>'Optimal Choice'!$B$7*'Optimal Choice'!$B$8^(I593+1)</f>
        <v>4836174.6044304967</v>
      </c>
      <c r="P593" s="10">
        <f>'Optimal Choice'!$B$12*'Optimal Choice'!$B$13^(J593+1)</f>
        <v>61268527.862623163</v>
      </c>
      <c r="Q593" s="10">
        <f>'Optimal Choice'!$B$17*'Optimal Choice'!$B$18^(K593+1)</f>
        <v>271648885.38862294</v>
      </c>
      <c r="R593" s="10">
        <f>'Optimal Choice'!$B$22*'Optimal Choice'!$B$23^(L593+1)</f>
        <v>1076575065.4090283</v>
      </c>
      <c r="S593" s="10">
        <f>'Optimal Choice'!$B$27*'Optimal Choice'!$B$28^(M593+1)</f>
        <v>6163724055.9852238</v>
      </c>
    </row>
    <row r="594" spans="1:19" ht="15.75" customHeight="1">
      <c r="A594" s="8">
        <f t="shared" si="0"/>
        <v>4993.5776681578973</v>
      </c>
      <c r="B594" s="7">
        <f>(I594*'Optimal Choice'!$B$6+J594*'Optimal Choice'!$B$11+K594*'Optimal Choice'!$B$16+L594*'Optimal Choice'!$B$21+M594*'Optimal Choice'!$B$26)*'Optimal Choice'!$B$30</f>
        <v>254754.02000000002</v>
      </c>
      <c r="C594" s="8">
        <f>(O594/$B594)+(O594/'Optimal Choice'!$B$6)</f>
        <v>2895931.9204875352</v>
      </c>
      <c r="D594" s="8">
        <f>(P594/$B594)+(P594/'Optimal Choice'!$B$11)</f>
        <v>3063666.893861481</v>
      </c>
      <c r="E594" s="8">
        <f>(Q594/$B594)+(Q594/'Optimal Choice'!$B$16)</f>
        <v>3019387.2671090476</v>
      </c>
      <c r="F594" s="8">
        <f>(R594/$B594)+(R594/'Optimal Choice'!$B$21)</f>
        <v>2994712.2322616684</v>
      </c>
      <c r="G594" s="8">
        <f>(S594/$B594)+(S594/'Optimal Choice'!$B$26)</f>
        <v>3223103.248629747</v>
      </c>
      <c r="I594" s="11">
        <f t="shared" ref="I594:M594" si="592">IF(MIN($C593:$G593)=C593,I593+1,I593)</f>
        <v>206</v>
      </c>
      <c r="J594" s="11">
        <f t="shared" si="592"/>
        <v>98</v>
      </c>
      <c r="K594" s="11">
        <f t="shared" si="592"/>
        <v>97</v>
      </c>
      <c r="L594" s="11">
        <f t="shared" si="592"/>
        <v>95</v>
      </c>
      <c r="M594" s="11">
        <f t="shared" si="592"/>
        <v>97</v>
      </c>
      <c r="O594" s="10">
        <f>'Optimal Choice'!$B$7*'Optimal Choice'!$B$8^(I594+1)</f>
        <v>4836174.6044304967</v>
      </c>
      <c r="P594" s="10">
        <f>'Optimal Choice'!$B$12*'Optimal Choice'!$B$13^(J594+1)</f>
        <v>61268527.862623163</v>
      </c>
      <c r="Q594" s="10">
        <f>'Optimal Choice'!$B$17*'Optimal Choice'!$B$18^(K594+1)</f>
        <v>271648885.38862294</v>
      </c>
      <c r="R594" s="10">
        <f>'Optimal Choice'!$B$22*'Optimal Choice'!$B$23^(L594+1)</f>
        <v>1076575065.4090283</v>
      </c>
      <c r="S594" s="10">
        <f>'Optimal Choice'!$B$27*'Optimal Choice'!$B$28^(M594+1)</f>
        <v>6903370942.7034502</v>
      </c>
    </row>
    <row r="595" spans="1:19" ht="15.75" customHeight="1">
      <c r="A595" s="8">
        <f t="shared" si="0"/>
        <v>4993.8940632046715</v>
      </c>
      <c r="B595" s="7">
        <f>(I595*'Optimal Choice'!$B$6+J595*'Optimal Choice'!$B$11+K595*'Optimal Choice'!$B$16+L595*'Optimal Choice'!$B$21+M595*'Optimal Choice'!$B$26)*'Optimal Choice'!$B$30</f>
        <v>254755.69</v>
      </c>
      <c r="C595" s="8">
        <f>(O595/$B595)+(O595/'Optimal Choice'!$B$6)</f>
        <v>3098647.1547885067</v>
      </c>
      <c r="D595" s="8">
        <f>(P595/$B595)+(P595/'Optimal Choice'!$B$11)</f>
        <v>3063666.8922849265</v>
      </c>
      <c r="E595" s="8">
        <f>(Q595/$B595)+(Q595/'Optimal Choice'!$B$16)</f>
        <v>3019387.2601190107</v>
      </c>
      <c r="F595" s="8">
        <f>(R595/$B595)+(R595/'Optimal Choice'!$B$21)</f>
        <v>2994712.2045593672</v>
      </c>
      <c r="G595" s="8">
        <f>(S595/$B595)+(S595/'Optimal Choice'!$B$26)</f>
        <v>3223103.0709930281</v>
      </c>
      <c r="I595" s="11">
        <f t="shared" ref="I595:M595" si="593">IF(MIN($C594:$G594)=C594,I594+1,I594)</f>
        <v>207</v>
      </c>
      <c r="J595" s="11">
        <f t="shared" si="593"/>
        <v>98</v>
      </c>
      <c r="K595" s="11">
        <f t="shared" si="593"/>
        <v>97</v>
      </c>
      <c r="L595" s="11">
        <f t="shared" si="593"/>
        <v>95</v>
      </c>
      <c r="M595" s="11">
        <f t="shared" si="593"/>
        <v>97</v>
      </c>
      <c r="O595" s="10">
        <f>'Optimal Choice'!$B$7*'Optimal Choice'!$B$8^(I595+1)</f>
        <v>5174706.82674063</v>
      </c>
      <c r="P595" s="10">
        <f>'Optimal Choice'!$B$12*'Optimal Choice'!$B$13^(J595+1)</f>
        <v>61268527.862623163</v>
      </c>
      <c r="Q595" s="10">
        <f>'Optimal Choice'!$B$17*'Optimal Choice'!$B$18^(K595+1)</f>
        <v>271648885.38862294</v>
      </c>
      <c r="R595" s="10">
        <f>'Optimal Choice'!$B$22*'Optimal Choice'!$B$23^(L595+1)</f>
        <v>1076575065.4090283</v>
      </c>
      <c r="S595" s="10">
        <f>'Optimal Choice'!$B$27*'Optimal Choice'!$B$28^(M595+1)</f>
        <v>6903370942.7034502</v>
      </c>
    </row>
    <row r="596" spans="1:19" ht="15.75" customHeight="1">
      <c r="A596" s="8">
        <f t="shared" si="0"/>
        <v>5064.3259258131857</v>
      </c>
      <c r="B596" s="7">
        <f>(I596*'Optimal Choice'!$B$6+J596*'Optimal Choice'!$B$11+K596*'Optimal Choice'!$B$16+L596*'Optimal Choice'!$B$21+M596*'Optimal Choice'!$B$26)*'Optimal Choice'!$B$30</f>
        <v>255115.69</v>
      </c>
      <c r="C596" s="8">
        <f>(O596/$B596)+(O596/'Optimal Choice'!$B$6)</f>
        <v>3098647.1261251406</v>
      </c>
      <c r="D596" s="8">
        <f>(P596/$B596)+(P596/'Optimal Choice'!$B$11)</f>
        <v>3063666.552910679</v>
      </c>
      <c r="E596" s="8">
        <f>(Q596/$B596)+(Q596/'Optimal Choice'!$B$16)</f>
        <v>3019385.755420933</v>
      </c>
      <c r="F596" s="8">
        <f>(R596/$B596)+(R596/'Optimal Choice'!$B$21)</f>
        <v>3384018.052637089</v>
      </c>
      <c r="G596" s="8">
        <f>(S596/$B596)+(S596/'Optimal Choice'!$B$26)</f>
        <v>3223064.8323344276</v>
      </c>
      <c r="I596" s="11">
        <f t="shared" ref="I596:M596" si="594">IF(MIN($C595:$G595)=C595,I595+1,I595)</f>
        <v>207</v>
      </c>
      <c r="J596" s="11">
        <f t="shared" si="594"/>
        <v>98</v>
      </c>
      <c r="K596" s="11">
        <f t="shared" si="594"/>
        <v>97</v>
      </c>
      <c r="L596" s="11">
        <f t="shared" si="594"/>
        <v>96</v>
      </c>
      <c r="M596" s="11">
        <f t="shared" si="594"/>
        <v>97</v>
      </c>
      <c r="O596" s="10">
        <f>'Optimal Choice'!$B$7*'Optimal Choice'!$B$8^(I596+1)</f>
        <v>5174706.82674063</v>
      </c>
      <c r="P596" s="10">
        <f>'Optimal Choice'!$B$12*'Optimal Choice'!$B$13^(J596+1)</f>
        <v>61268527.862623163</v>
      </c>
      <c r="Q596" s="10">
        <f>'Optimal Choice'!$B$17*'Optimal Choice'!$B$18^(K596+1)</f>
        <v>271648885.38862294</v>
      </c>
      <c r="R596" s="10">
        <f>'Optimal Choice'!$B$22*'Optimal Choice'!$B$23^(L596+1)</f>
        <v>1216529823.9122016</v>
      </c>
      <c r="S596" s="10">
        <f>'Optimal Choice'!$B$27*'Optimal Choice'!$B$28^(M596+1)</f>
        <v>6903370942.7034502</v>
      </c>
    </row>
    <row r="597" spans="1:19" ht="15.75" customHeight="1">
      <c r="A597" s="8">
        <f t="shared" si="0"/>
        <v>5082.0727034541205</v>
      </c>
      <c r="B597" s="7">
        <f>(I597*'Optimal Choice'!$B$6+J597*'Optimal Choice'!$B$11+K597*'Optimal Choice'!$B$16+L597*'Optimal Choice'!$B$21+M597*'Optimal Choice'!$B$26)*'Optimal Choice'!$B$30</f>
        <v>255205.69</v>
      </c>
      <c r="C597" s="8">
        <f>(O597/$B597)+(O597/'Optimal Choice'!$B$6)</f>
        <v>3098647.1189719345</v>
      </c>
      <c r="D597" s="8">
        <f>(P597/$B597)+(P597/'Optimal Choice'!$B$11)</f>
        <v>3063666.46821672</v>
      </c>
      <c r="E597" s="8">
        <f>(Q597/$B597)+(Q597/'Optimal Choice'!$B$16)</f>
        <v>3442099.3330970765</v>
      </c>
      <c r="F597" s="8">
        <f>(R597/$B597)+(R597/'Optimal Choice'!$B$21)</f>
        <v>3384016.3709788183</v>
      </c>
      <c r="G597" s="8">
        <f>(S597/$B597)+(S597/'Optimal Choice'!$B$26)</f>
        <v>3223055.2895261771</v>
      </c>
      <c r="I597" s="11">
        <f t="shared" ref="I597:M597" si="595">IF(MIN($C596:$G596)=C596,I596+1,I596)</f>
        <v>207</v>
      </c>
      <c r="J597" s="11">
        <f t="shared" si="595"/>
        <v>98</v>
      </c>
      <c r="K597" s="11">
        <f t="shared" si="595"/>
        <v>98</v>
      </c>
      <c r="L597" s="11">
        <f t="shared" si="595"/>
        <v>96</v>
      </c>
      <c r="M597" s="11">
        <f t="shared" si="595"/>
        <v>97</v>
      </c>
      <c r="O597" s="10">
        <f>'Optimal Choice'!$B$7*'Optimal Choice'!$B$8^(I597+1)</f>
        <v>5174706.82674063</v>
      </c>
      <c r="P597" s="10">
        <f>'Optimal Choice'!$B$12*'Optimal Choice'!$B$13^(J597+1)</f>
        <v>61268527.862623163</v>
      </c>
      <c r="Q597" s="10">
        <f>'Optimal Choice'!$B$17*'Optimal Choice'!$B$18^(K597+1)</f>
        <v>309679729.34303015</v>
      </c>
      <c r="R597" s="10">
        <f>'Optimal Choice'!$B$22*'Optimal Choice'!$B$23^(L597+1)</f>
        <v>1216529823.9122016</v>
      </c>
      <c r="S597" s="10">
        <f>'Optimal Choice'!$B$27*'Optimal Choice'!$B$28^(M597+1)</f>
        <v>6903370942.7034502</v>
      </c>
    </row>
    <row r="598" spans="1:19" ht="15.75" customHeight="1">
      <c r="A598" s="8">
        <f t="shared" si="0"/>
        <v>5086.0739548801512</v>
      </c>
      <c r="B598" s="7">
        <f>(I598*'Optimal Choice'!$B$6+J598*'Optimal Choice'!$B$11+K598*'Optimal Choice'!$B$16+L598*'Optimal Choice'!$B$21+M598*'Optimal Choice'!$B$26)*'Optimal Choice'!$B$30</f>
        <v>255225.69</v>
      </c>
      <c r="C598" s="8">
        <f>(O598/$B598)+(O598/'Optimal Choice'!$B$6)</f>
        <v>3098647.1173830186</v>
      </c>
      <c r="D598" s="8">
        <f>(P598/$B598)+(P598/'Optimal Choice'!$B$11)</f>
        <v>3523216.4168145456</v>
      </c>
      <c r="E598" s="8">
        <f>(Q598/$B598)+(Q598/'Optimal Choice'!$B$16)</f>
        <v>3442099.2380085681</v>
      </c>
      <c r="F598" s="8">
        <f>(R598/$B598)+(R598/'Optimal Choice'!$B$21)</f>
        <v>3384015.9974380429</v>
      </c>
      <c r="G598" s="8">
        <f>(S598/$B598)+(S598/'Optimal Choice'!$B$26)</f>
        <v>3223053.1698160912</v>
      </c>
      <c r="I598" s="11">
        <f t="shared" ref="I598:M598" si="596">IF(MIN($C597:$G597)=C597,I597+1,I597)</f>
        <v>207</v>
      </c>
      <c r="J598" s="11">
        <f t="shared" si="596"/>
        <v>99</v>
      </c>
      <c r="K598" s="11">
        <f t="shared" si="596"/>
        <v>98</v>
      </c>
      <c r="L598" s="11">
        <f t="shared" si="596"/>
        <v>96</v>
      </c>
      <c r="M598" s="11">
        <f t="shared" si="596"/>
        <v>97</v>
      </c>
      <c r="O598" s="10">
        <f>'Optimal Choice'!$B$7*'Optimal Choice'!$B$8^(I598+1)</f>
        <v>5174706.82674063</v>
      </c>
      <c r="P598" s="10">
        <f>'Optimal Choice'!$B$12*'Optimal Choice'!$B$13^(J598+1)</f>
        <v>70458807.042016655</v>
      </c>
      <c r="Q598" s="10">
        <f>'Optimal Choice'!$B$17*'Optimal Choice'!$B$18^(K598+1)</f>
        <v>309679729.34303015</v>
      </c>
      <c r="R598" s="10">
        <f>'Optimal Choice'!$B$22*'Optimal Choice'!$B$23^(L598+1)</f>
        <v>1216529823.9122016</v>
      </c>
      <c r="S598" s="10">
        <f>'Optimal Choice'!$B$27*'Optimal Choice'!$B$28^(M598+1)</f>
        <v>6903370942.7034502</v>
      </c>
    </row>
    <row r="599" spans="1:19" ht="15.75" customHeight="1">
      <c r="A599" s="8">
        <f t="shared" si="0"/>
        <v>5086.4118719361459</v>
      </c>
      <c r="B599" s="7">
        <f>(I599*'Optimal Choice'!$B$6+J599*'Optimal Choice'!$B$11+K599*'Optimal Choice'!$B$16+L599*'Optimal Choice'!$B$21+M599*'Optimal Choice'!$B$26)*'Optimal Choice'!$B$30</f>
        <v>255227.36</v>
      </c>
      <c r="C599" s="8">
        <f>(O599/$B599)+(O599/'Optimal Choice'!$B$6)</f>
        <v>3315552.4154578801</v>
      </c>
      <c r="D599" s="8">
        <f>(P599/$B599)+(P599/'Optimal Choice'!$B$11)</f>
        <v>3523216.4150082031</v>
      </c>
      <c r="E599" s="8">
        <f>(Q599/$B599)+(Q599/'Optimal Choice'!$B$16)</f>
        <v>3442099.2300693518</v>
      </c>
      <c r="F599" s="8">
        <f>(R599/$B599)+(R599/'Optimal Choice'!$B$21)</f>
        <v>3384015.9662500364</v>
      </c>
      <c r="G599" s="8">
        <f>(S599/$B599)+(S599/'Optimal Choice'!$B$26)</f>
        <v>3223052.9928353271</v>
      </c>
      <c r="I599" s="11">
        <f t="shared" ref="I599:M599" si="597">IF(MIN($C598:$G598)=C598,I598+1,I598)</f>
        <v>208</v>
      </c>
      <c r="J599" s="11">
        <f t="shared" si="597"/>
        <v>99</v>
      </c>
      <c r="K599" s="11">
        <f t="shared" si="597"/>
        <v>98</v>
      </c>
      <c r="L599" s="11">
        <f t="shared" si="597"/>
        <v>96</v>
      </c>
      <c r="M599" s="11">
        <f t="shared" si="597"/>
        <v>97</v>
      </c>
      <c r="O599" s="10">
        <f>'Optimal Choice'!$B$7*'Optimal Choice'!$B$8^(I599+1)</f>
        <v>5536936.3046124745</v>
      </c>
      <c r="P599" s="10">
        <f>'Optimal Choice'!$B$12*'Optimal Choice'!$B$13^(J599+1)</f>
        <v>70458807.042016655</v>
      </c>
      <c r="Q599" s="10">
        <f>'Optimal Choice'!$B$17*'Optimal Choice'!$B$18^(K599+1)</f>
        <v>309679729.34303015</v>
      </c>
      <c r="R599" s="10">
        <f>'Optimal Choice'!$B$22*'Optimal Choice'!$B$23^(L599+1)</f>
        <v>1216529823.9122016</v>
      </c>
      <c r="S599" s="10">
        <f>'Optimal Choice'!$B$27*'Optimal Choice'!$B$28^(M599+1)</f>
        <v>6903370942.7034502</v>
      </c>
    </row>
    <row r="600" spans="1:19" ht="15.75" customHeight="1">
      <c r="A600" s="8">
        <f t="shared" si="0"/>
        <v>5537.2106514180587</v>
      </c>
      <c r="B600" s="7">
        <f>(I600*'Optimal Choice'!$B$6+J600*'Optimal Choice'!$B$11+K600*'Optimal Choice'!$B$16+L600*'Optimal Choice'!$B$21+M600*'Optimal Choice'!$B$26)*'Optimal Choice'!$B$30</f>
        <v>257387.36</v>
      </c>
      <c r="C600" s="8">
        <f>(O600/$B600)+(O600/'Optimal Choice'!$B$6)</f>
        <v>3315552.2334002713</v>
      </c>
      <c r="D600" s="8">
        <f>(P600/$B600)+(P600/'Optimal Choice'!$B$11)</f>
        <v>3523214.0982826268</v>
      </c>
      <c r="E600" s="8">
        <f>(Q600/$B600)+(Q600/'Optimal Choice'!$B$16)</f>
        <v>3442089.0476240404</v>
      </c>
      <c r="F600" s="8">
        <f>(R600/$B600)+(R600/'Optimal Choice'!$B$21)</f>
        <v>3383975.96605878</v>
      </c>
      <c r="G600" s="8">
        <f>(S600/$B600)+(S600/'Optimal Choice'!$B$26)</f>
        <v>3609565.1268091123</v>
      </c>
      <c r="I600" s="11">
        <f t="shared" ref="I600:M600" si="598">IF(MIN($C599:$G599)=C599,I599+1,I599)</f>
        <v>208</v>
      </c>
      <c r="J600" s="11">
        <f t="shared" si="598"/>
        <v>99</v>
      </c>
      <c r="K600" s="11">
        <f t="shared" si="598"/>
        <v>98</v>
      </c>
      <c r="L600" s="11">
        <f t="shared" si="598"/>
        <v>96</v>
      </c>
      <c r="M600" s="11">
        <f t="shared" si="598"/>
        <v>98</v>
      </c>
      <c r="O600" s="10">
        <f>'Optimal Choice'!$B$7*'Optimal Choice'!$B$8^(I600+1)</f>
        <v>5536936.3046124745</v>
      </c>
      <c r="P600" s="10">
        <f>'Optimal Choice'!$B$12*'Optimal Choice'!$B$13^(J600+1)</f>
        <v>70458807.042016655</v>
      </c>
      <c r="Q600" s="10">
        <f>'Optimal Choice'!$B$17*'Optimal Choice'!$B$18^(K600+1)</f>
        <v>309679729.34303015</v>
      </c>
      <c r="R600" s="10">
        <f>'Optimal Choice'!$B$22*'Optimal Choice'!$B$23^(L600+1)</f>
        <v>1216529823.9122016</v>
      </c>
      <c r="S600" s="10">
        <f>'Optimal Choice'!$B$27*'Optimal Choice'!$B$28^(M600+1)</f>
        <v>7731775455.8278656</v>
      </c>
    </row>
    <row r="601" spans="1:19" ht="15.75" customHeight="1">
      <c r="A601" s="8">
        <f t="shared" si="0"/>
        <v>5537.5691860086599</v>
      </c>
      <c r="B601" s="7">
        <f>(I601*'Optimal Choice'!$B$6+J601*'Optimal Choice'!$B$11+K601*'Optimal Choice'!$B$16+L601*'Optimal Choice'!$B$21+M601*'Optimal Choice'!$B$26)*'Optimal Choice'!$B$30</f>
        <v>257389.03</v>
      </c>
      <c r="C601" s="8">
        <f>(O601/$B601)+(O601/'Optimal Choice'!$B$6)</f>
        <v>3547640.8895889451</v>
      </c>
      <c r="D601" s="8">
        <f>(P601/$B601)+(P601/'Optimal Choice'!$B$11)</f>
        <v>3523214.0965064978</v>
      </c>
      <c r="E601" s="8">
        <f>(Q601/$B601)+(Q601/'Optimal Choice'!$B$16)</f>
        <v>3442089.0398176187</v>
      </c>
      <c r="F601" s="8">
        <f>(R601/$B601)+(R601/'Optimal Choice'!$B$21)</f>
        <v>3383975.9353924375</v>
      </c>
      <c r="G601" s="8">
        <f>(S601/$B601)+(S601/'Optimal Choice'!$B$26)</f>
        <v>3609564.9319061427</v>
      </c>
      <c r="I601" s="11">
        <f t="shared" ref="I601:M601" si="599">IF(MIN($C600:$G600)=C600,I600+1,I600)</f>
        <v>209</v>
      </c>
      <c r="J601" s="11">
        <f t="shared" si="599"/>
        <v>99</v>
      </c>
      <c r="K601" s="11">
        <f t="shared" si="599"/>
        <v>98</v>
      </c>
      <c r="L601" s="11">
        <f t="shared" si="599"/>
        <v>96</v>
      </c>
      <c r="M601" s="11">
        <f t="shared" si="599"/>
        <v>98</v>
      </c>
      <c r="O601" s="10">
        <f>'Optimal Choice'!$B$7*'Optimal Choice'!$B$8^(I601+1)</f>
        <v>5924521.8459353484</v>
      </c>
      <c r="P601" s="10">
        <f>'Optimal Choice'!$B$12*'Optimal Choice'!$B$13^(J601+1)</f>
        <v>70458807.042016655</v>
      </c>
      <c r="Q601" s="10">
        <f>'Optimal Choice'!$B$17*'Optimal Choice'!$B$18^(K601+1)</f>
        <v>309679729.34303015</v>
      </c>
      <c r="R601" s="10">
        <f>'Optimal Choice'!$B$22*'Optimal Choice'!$B$23^(L601+1)</f>
        <v>1216529823.9122016</v>
      </c>
      <c r="S601" s="10">
        <f>'Optimal Choice'!$B$27*'Optimal Choice'!$B$28^(M601+1)</f>
        <v>7731775455.8278656</v>
      </c>
    </row>
    <row r="602" spans="1:19" ht="15.75" customHeight="1">
      <c r="A602" s="8">
        <f t="shared" si="0"/>
        <v>5616.3429280955052</v>
      </c>
      <c r="B602" s="7">
        <f>(I602*'Optimal Choice'!$B$6+J602*'Optimal Choice'!$B$11+K602*'Optimal Choice'!$B$16+L602*'Optimal Choice'!$B$21+M602*'Optimal Choice'!$B$26)*'Optimal Choice'!$B$30</f>
        <v>257749.03</v>
      </c>
      <c r="C602" s="8">
        <f>(O602/$B602)+(O602/'Optimal Choice'!$B$6)</f>
        <v>3547640.8574398514</v>
      </c>
      <c r="D602" s="8">
        <f>(P602/$B602)+(P602/'Optimal Choice'!$B$11)</f>
        <v>3523213.7141656368</v>
      </c>
      <c r="E602" s="8">
        <f>(Q602/$B602)+(Q602/'Optimal Choice'!$B$16)</f>
        <v>3442087.359357513</v>
      </c>
      <c r="F602" s="8">
        <f>(R602/$B602)+(R602/'Optimal Choice'!$B$21)</f>
        <v>3823885.3473747047</v>
      </c>
      <c r="G602" s="8">
        <f>(S602/$B602)+(S602/'Optimal Choice'!$B$26)</f>
        <v>3609522.9758497099</v>
      </c>
      <c r="I602" s="11">
        <f t="shared" ref="I602:M602" si="600">IF(MIN($C601:$G601)=C601,I601+1,I601)</f>
        <v>209</v>
      </c>
      <c r="J602" s="11">
        <f t="shared" si="600"/>
        <v>99</v>
      </c>
      <c r="K602" s="11">
        <f t="shared" si="600"/>
        <v>98</v>
      </c>
      <c r="L602" s="11">
        <f t="shared" si="600"/>
        <v>97</v>
      </c>
      <c r="M602" s="11">
        <f t="shared" si="600"/>
        <v>98</v>
      </c>
      <c r="O602" s="10">
        <f>'Optimal Choice'!$B$7*'Optimal Choice'!$B$8^(I602+1)</f>
        <v>5924521.8459353484</v>
      </c>
      <c r="P602" s="10">
        <f>'Optimal Choice'!$B$12*'Optimal Choice'!$B$13^(J602+1)</f>
        <v>70458807.042016655</v>
      </c>
      <c r="Q602" s="10">
        <f>'Optimal Choice'!$B$17*'Optimal Choice'!$B$18^(K602+1)</f>
        <v>309679729.34303015</v>
      </c>
      <c r="R602" s="10">
        <f>'Optimal Choice'!$B$22*'Optimal Choice'!$B$23^(L602+1)</f>
        <v>1374678701.0207877</v>
      </c>
      <c r="S602" s="10">
        <f>'Optimal Choice'!$B$27*'Optimal Choice'!$B$28^(M602+1)</f>
        <v>7731775455.8278656</v>
      </c>
    </row>
    <row r="603" spans="1:19" ht="15.75" customHeight="1">
      <c r="A603" s="8">
        <f t="shared" si="0"/>
        <v>5636.3675575669868</v>
      </c>
      <c r="B603" s="7">
        <f>(I603*'Optimal Choice'!$B$6+J603*'Optimal Choice'!$B$11+K603*'Optimal Choice'!$B$16+L603*'Optimal Choice'!$B$21+M603*'Optimal Choice'!$B$26)*'Optimal Choice'!$B$30</f>
        <v>257839.03</v>
      </c>
      <c r="C603" s="8">
        <f>(O603/$B603)+(O603/'Optimal Choice'!$B$6)</f>
        <v>3547640.8494166052</v>
      </c>
      <c r="D603" s="8">
        <f>(P603/$B603)+(P603/'Optimal Choice'!$B$11)</f>
        <v>3523213.6187472441</v>
      </c>
      <c r="E603" s="8">
        <f>(Q603/$B603)+(Q603/'Optimal Choice'!$B$16)</f>
        <v>3923979.111572301</v>
      </c>
      <c r="F603" s="8">
        <f>(R603/$B603)+(R603/'Optimal Choice'!$B$21)</f>
        <v>3823883.4857247886</v>
      </c>
      <c r="G603" s="8">
        <f>(S603/$B603)+(S603/'Optimal Choice'!$B$26)</f>
        <v>3609512.5051418152</v>
      </c>
      <c r="I603" s="11">
        <f t="shared" ref="I603:M603" si="601">IF(MIN($C602:$G602)=C602,I602+1,I602)</f>
        <v>209</v>
      </c>
      <c r="J603" s="11">
        <f t="shared" si="601"/>
        <v>99</v>
      </c>
      <c r="K603" s="11">
        <f t="shared" si="601"/>
        <v>99</v>
      </c>
      <c r="L603" s="11">
        <f t="shared" si="601"/>
        <v>97</v>
      </c>
      <c r="M603" s="11">
        <f t="shared" si="601"/>
        <v>98</v>
      </c>
      <c r="O603" s="10">
        <f>'Optimal Choice'!$B$7*'Optimal Choice'!$B$8^(I603+1)</f>
        <v>5924521.8459353484</v>
      </c>
      <c r="P603" s="10">
        <f>'Optimal Choice'!$B$12*'Optimal Choice'!$B$13^(J603+1)</f>
        <v>70458807.042016655</v>
      </c>
      <c r="Q603" s="10">
        <f>'Optimal Choice'!$B$17*'Optimal Choice'!$B$18^(K603+1)</f>
        <v>353034891.45105439</v>
      </c>
      <c r="R603" s="10">
        <f>'Optimal Choice'!$B$22*'Optimal Choice'!$B$23^(L603+1)</f>
        <v>1374678701.0207877</v>
      </c>
      <c r="S603" s="10">
        <f>'Optimal Choice'!$B$27*'Optimal Choice'!$B$28^(M603+1)</f>
        <v>7731775455.8278656</v>
      </c>
    </row>
    <row r="604" spans="1:19" ht="15.75" customHeight="1">
      <c r="A604" s="8">
        <f t="shared" si="0"/>
        <v>5640.92200167384</v>
      </c>
      <c r="B604" s="7">
        <f>(I604*'Optimal Choice'!$B$6+J604*'Optimal Choice'!$B$11+K604*'Optimal Choice'!$B$16+L604*'Optimal Choice'!$B$21+M604*'Optimal Choice'!$B$26)*'Optimal Choice'!$B$30</f>
        <v>257859.03</v>
      </c>
      <c r="C604" s="8">
        <f>(O604/$B604)+(O604/'Optimal Choice'!$B$6)</f>
        <v>3547640.8476344221</v>
      </c>
      <c r="D604" s="8">
        <f>(P604/$B604)+(P604/'Optimal Choice'!$B$11)</f>
        <v>4051695.637185032</v>
      </c>
      <c r="E604" s="8">
        <f>(Q604/$B604)+(Q604/'Optimal Choice'!$B$16)</f>
        <v>3923979.0053742314</v>
      </c>
      <c r="F604" s="8">
        <f>(R604/$B604)+(R604/'Optimal Choice'!$B$21)</f>
        <v>3823883.0722012874</v>
      </c>
      <c r="G604" s="8">
        <f>(S604/$B604)+(S604/'Optimal Choice'!$B$26)</f>
        <v>3609510.1793104378</v>
      </c>
      <c r="I604" s="11">
        <f t="shared" ref="I604:M604" si="602">IF(MIN($C603:$G603)=C603,I603+1,I603)</f>
        <v>209</v>
      </c>
      <c r="J604" s="11">
        <f t="shared" si="602"/>
        <v>100</v>
      </c>
      <c r="K604" s="11">
        <f t="shared" si="602"/>
        <v>99</v>
      </c>
      <c r="L604" s="11">
        <f t="shared" si="602"/>
        <v>97</v>
      </c>
      <c r="M604" s="11">
        <f t="shared" si="602"/>
        <v>98</v>
      </c>
      <c r="O604" s="10">
        <f>'Optimal Choice'!$B$7*'Optimal Choice'!$B$8^(I604+1)</f>
        <v>5924521.8459353484</v>
      </c>
      <c r="P604" s="10">
        <f>'Optimal Choice'!$B$12*'Optimal Choice'!$B$13^(J604+1)</f>
        <v>81027628.098319143</v>
      </c>
      <c r="Q604" s="10">
        <f>'Optimal Choice'!$B$17*'Optimal Choice'!$B$18^(K604+1)</f>
        <v>353034891.45105439</v>
      </c>
      <c r="R604" s="10">
        <f>'Optimal Choice'!$B$22*'Optimal Choice'!$B$23^(L604+1)</f>
        <v>1374678701.0207877</v>
      </c>
      <c r="S604" s="10">
        <f>'Optimal Choice'!$B$27*'Optimal Choice'!$B$28^(M604+1)</f>
        <v>7731775455.8278656</v>
      </c>
    </row>
    <row r="605" spans="1:19" ht="15.75" customHeight="1">
      <c r="A605" s="8">
        <f t="shared" si="0"/>
        <v>5641.3049319546435</v>
      </c>
      <c r="B605" s="7">
        <f>(I605*'Optimal Choice'!$B$6+J605*'Optimal Choice'!$B$11+K605*'Optimal Choice'!$B$16+L605*'Optimal Choice'!$B$21+M605*'Optimal Choice'!$B$26)*'Optimal Choice'!$B$30</f>
        <v>257860.7</v>
      </c>
      <c r="C605" s="8">
        <f>(O605/$B605)+(O605/'Optimal Choice'!$B$6)</f>
        <v>3795975.7068096153</v>
      </c>
      <c r="D605" s="8">
        <f>(P605/$B605)+(P605/'Optimal Choice'!$B$11)</f>
        <v>4051695.6351499492</v>
      </c>
      <c r="E605" s="8">
        <f>(Q605/$B605)+(Q605/'Optimal Choice'!$B$16)</f>
        <v>3923978.9965074379</v>
      </c>
      <c r="F605" s="8">
        <f>(R605/$B605)+(R605/'Optimal Choice'!$B$21)</f>
        <v>3823883.037674977</v>
      </c>
      <c r="G605" s="8">
        <f>(S605/$B605)+(S605/'Optimal Choice'!$B$26)</f>
        <v>3609509.9851198383</v>
      </c>
      <c r="I605" s="11">
        <f t="shared" ref="I605:M605" si="603">IF(MIN($C604:$G604)=C604,I604+1,I604)</f>
        <v>210</v>
      </c>
      <c r="J605" s="11">
        <f t="shared" si="603"/>
        <v>100</v>
      </c>
      <c r="K605" s="11">
        <f t="shared" si="603"/>
        <v>99</v>
      </c>
      <c r="L605" s="11">
        <f t="shared" si="603"/>
        <v>97</v>
      </c>
      <c r="M605" s="11">
        <f t="shared" si="603"/>
        <v>98</v>
      </c>
      <c r="O605" s="10">
        <f>'Optimal Choice'!$B$7*'Optimal Choice'!$B$8^(I605+1)</f>
        <v>6339238.3751508221</v>
      </c>
      <c r="P605" s="10">
        <f>'Optimal Choice'!$B$12*'Optimal Choice'!$B$13^(J605+1)</f>
        <v>81027628.098319143</v>
      </c>
      <c r="Q605" s="10">
        <f>'Optimal Choice'!$B$17*'Optimal Choice'!$B$18^(K605+1)</f>
        <v>353034891.45105439</v>
      </c>
      <c r="R605" s="10">
        <f>'Optimal Choice'!$B$22*'Optimal Choice'!$B$23^(L605+1)</f>
        <v>1374678701.0207877</v>
      </c>
      <c r="S605" s="10">
        <f>'Optimal Choice'!$B$27*'Optimal Choice'!$B$28^(M605+1)</f>
        <v>7731775455.8278656</v>
      </c>
    </row>
    <row r="606" spans="1:19" ht="15.75" customHeight="1">
      <c r="A606" s="8">
        <f t="shared" si="0"/>
        <v>6141.0434507122427</v>
      </c>
      <c r="B606" s="7">
        <f>(I606*'Optimal Choice'!$B$6+J606*'Optimal Choice'!$B$11+K606*'Optimal Choice'!$B$16+L606*'Optimal Choice'!$B$21+M606*'Optimal Choice'!$B$26)*'Optimal Choice'!$B$30</f>
        <v>260020.7</v>
      </c>
      <c r="C606" s="8">
        <f>(O606/$B606)+(O606/'Optimal Choice'!$B$6)</f>
        <v>3795975.5025898591</v>
      </c>
      <c r="D606" s="8">
        <f>(P606/$B606)+(P606/'Optimal Choice'!$B$11)</f>
        <v>4051693.0248296731</v>
      </c>
      <c r="E606" s="8">
        <f>(Q606/$B606)+(Q606/'Optimal Choice'!$B$16)</f>
        <v>3923967.6234220229</v>
      </c>
      <c r="F606" s="8">
        <f>(R606/$B606)+(R606/'Optimal Choice'!$B$21)</f>
        <v>3823838.7521421202</v>
      </c>
      <c r="G606" s="8">
        <f>(S606/$B606)+(S606/'Optimal Choice'!$B$26)</f>
        <v>4042372.2130619488</v>
      </c>
      <c r="I606" s="11">
        <f t="shared" ref="I606:M606" si="604">IF(MIN($C605:$G605)=C605,I605+1,I605)</f>
        <v>210</v>
      </c>
      <c r="J606" s="11">
        <f t="shared" si="604"/>
        <v>100</v>
      </c>
      <c r="K606" s="11">
        <f t="shared" si="604"/>
        <v>99</v>
      </c>
      <c r="L606" s="11">
        <f t="shared" si="604"/>
        <v>97</v>
      </c>
      <c r="M606" s="11">
        <f t="shared" si="604"/>
        <v>99</v>
      </c>
      <c r="O606" s="10">
        <f>'Optimal Choice'!$B$7*'Optimal Choice'!$B$8^(I606+1)</f>
        <v>6339238.3751508221</v>
      </c>
      <c r="P606" s="10">
        <f>'Optimal Choice'!$B$12*'Optimal Choice'!$B$13^(J606+1)</f>
        <v>81027628.098319143</v>
      </c>
      <c r="Q606" s="10">
        <f>'Optimal Choice'!$B$17*'Optimal Choice'!$B$18^(K606+1)</f>
        <v>353034891.45105439</v>
      </c>
      <c r="R606" s="10">
        <f>'Optimal Choice'!$B$22*'Optimal Choice'!$B$23^(L606+1)</f>
        <v>1374678701.0207877</v>
      </c>
      <c r="S606" s="10">
        <f>'Optimal Choice'!$B$27*'Optimal Choice'!$B$28^(M606+1)</f>
        <v>8659588510.5272083</v>
      </c>
    </row>
    <row r="607" spans="1:19" ht="15.75" customHeight="1">
      <c r="A607" s="8">
        <f t="shared" si="0"/>
        <v>6141.4497797965005</v>
      </c>
      <c r="B607" s="7">
        <f>(I607*'Optimal Choice'!$B$6+J607*'Optimal Choice'!$B$11+K607*'Optimal Choice'!$B$16+L607*'Optimal Choice'!$B$21+M607*'Optimal Choice'!$B$26)*'Optimal Choice'!$B$30</f>
        <v>260022.37</v>
      </c>
      <c r="C607" s="8">
        <f>(O607/$B607)+(O607/'Optimal Choice'!$B$6)</f>
        <v>4061693.7876036088</v>
      </c>
      <c r="D607" s="8">
        <f>(P607/$B607)+(P607/'Optimal Choice'!$B$11)</f>
        <v>4051693.0228282865</v>
      </c>
      <c r="E607" s="8">
        <f>(Q607/$B607)+(Q607/'Optimal Choice'!$B$16)</f>
        <v>3923967.6147020436</v>
      </c>
      <c r="F607" s="8">
        <f>(R607/$B607)+(R607/'Optimal Choice'!$B$21)</f>
        <v>3823838.7181874877</v>
      </c>
      <c r="G607" s="8">
        <f>(S607/$B607)+(S607/'Optimal Choice'!$B$26)</f>
        <v>4042371.999169678</v>
      </c>
      <c r="I607" s="11">
        <f t="shared" ref="I607:M607" si="605">IF(MIN($C606:$G606)=C606,I606+1,I606)</f>
        <v>211</v>
      </c>
      <c r="J607" s="11">
        <f t="shared" si="605"/>
        <v>100</v>
      </c>
      <c r="K607" s="11">
        <f t="shared" si="605"/>
        <v>99</v>
      </c>
      <c r="L607" s="11">
        <f t="shared" si="605"/>
        <v>97</v>
      </c>
      <c r="M607" s="11">
        <f t="shared" si="605"/>
        <v>99</v>
      </c>
      <c r="O607" s="10">
        <f>'Optimal Choice'!$B$7*'Optimal Choice'!$B$8^(I607+1)</f>
        <v>6782985.0614113789</v>
      </c>
      <c r="P607" s="10">
        <f>'Optimal Choice'!$B$12*'Optimal Choice'!$B$13^(J607+1)</f>
        <v>81027628.098319143</v>
      </c>
      <c r="Q607" s="10">
        <f>'Optimal Choice'!$B$17*'Optimal Choice'!$B$18^(K607+1)</f>
        <v>353034891.45105439</v>
      </c>
      <c r="R607" s="10">
        <f>'Optimal Choice'!$B$22*'Optimal Choice'!$B$23^(L607+1)</f>
        <v>1374678701.0207877</v>
      </c>
      <c r="S607" s="10">
        <f>'Optimal Choice'!$B$27*'Optimal Choice'!$B$28^(M607+1)</f>
        <v>8659588510.5272083</v>
      </c>
    </row>
    <row r="608" spans="1:19" ht="15.75" customHeight="1">
      <c r="A608" s="8">
        <f t="shared" si="0"/>
        <v>6229.5626282551921</v>
      </c>
      <c r="B608" s="7">
        <f>(I608*'Optimal Choice'!$B$6+J608*'Optimal Choice'!$B$11+K608*'Optimal Choice'!$B$16+L608*'Optimal Choice'!$B$21+M608*'Optimal Choice'!$B$26)*'Optimal Choice'!$B$30</f>
        <v>260382.37</v>
      </c>
      <c r="C608" s="8">
        <f>(O608/$B608)+(O608/'Optimal Choice'!$B$6)</f>
        <v>4061693.7515373519</v>
      </c>
      <c r="D608" s="8">
        <f>(P608/$B608)+(P608/'Optimal Choice'!$B$11)</f>
        <v>4051692.5919909435</v>
      </c>
      <c r="E608" s="8">
        <f>(Q608/$B608)+(Q608/'Optimal Choice'!$B$16)</f>
        <v>3923965.7375569488</v>
      </c>
      <c r="F608" s="8">
        <f>(R608/$B608)+(R608/'Optimal Choice'!$B$21)</f>
        <v>4320929.4919357998</v>
      </c>
      <c r="G608" s="8">
        <f>(S608/$B608)+(S608/'Optimal Choice'!$B$26)</f>
        <v>4042325.9547007433</v>
      </c>
      <c r="I608" s="11">
        <f t="shared" ref="I608:M608" si="606">IF(MIN($C607:$G607)=C607,I607+1,I607)</f>
        <v>211</v>
      </c>
      <c r="J608" s="11">
        <f t="shared" si="606"/>
        <v>100</v>
      </c>
      <c r="K608" s="11">
        <f t="shared" si="606"/>
        <v>99</v>
      </c>
      <c r="L608" s="11">
        <f t="shared" si="606"/>
        <v>98</v>
      </c>
      <c r="M608" s="11">
        <f t="shared" si="606"/>
        <v>99</v>
      </c>
      <c r="O608" s="10">
        <f>'Optimal Choice'!$B$7*'Optimal Choice'!$B$8^(I608+1)</f>
        <v>6782985.0614113789</v>
      </c>
      <c r="P608" s="10">
        <f>'Optimal Choice'!$B$12*'Optimal Choice'!$B$13^(J608+1)</f>
        <v>81027628.098319143</v>
      </c>
      <c r="Q608" s="10">
        <f>'Optimal Choice'!$B$17*'Optimal Choice'!$B$18^(K608+1)</f>
        <v>353034891.45105439</v>
      </c>
      <c r="R608" s="10">
        <f>'Optimal Choice'!$B$22*'Optimal Choice'!$B$23^(L608+1)</f>
        <v>1553386932.1534901</v>
      </c>
      <c r="S608" s="10">
        <f>'Optimal Choice'!$B$27*'Optimal Choice'!$B$28^(M608+1)</f>
        <v>8659588510.5272083</v>
      </c>
    </row>
    <row r="609" spans="1:19" ht="15.75" customHeight="1">
      <c r="A609" s="8">
        <f t="shared" si="0"/>
        <v>6252.1598373424185</v>
      </c>
      <c r="B609" s="7">
        <f>(I609*'Optimal Choice'!$B$6+J609*'Optimal Choice'!$B$11+K609*'Optimal Choice'!$B$16+L609*'Optimal Choice'!$B$21+M609*'Optimal Choice'!$B$26)*'Optimal Choice'!$B$30</f>
        <v>260472.37</v>
      </c>
      <c r="C609" s="8">
        <f>(O609/$B609)+(O609/'Optimal Choice'!$B$6)</f>
        <v>4061693.7425363646</v>
      </c>
      <c r="D609" s="8">
        <f>(P609/$B609)+(P609/'Optimal Choice'!$B$11)</f>
        <v>4051692.4844676899</v>
      </c>
      <c r="E609" s="8">
        <f>(Q609/$B609)+(Q609/'Optimal Choice'!$B$16)</f>
        <v>4473320.4067528285</v>
      </c>
      <c r="F609" s="8">
        <f>(R609/$B609)+(R609/'Optimal Choice'!$B$21)</f>
        <v>4320927.4305991763</v>
      </c>
      <c r="G609" s="8">
        <f>(S609/$B609)+(S609/'Optimal Choice'!$B$26)</f>
        <v>4042314.4634704664</v>
      </c>
      <c r="I609" s="11">
        <f t="shared" ref="I609:M609" si="607">IF(MIN($C608:$G608)=C608,I608+1,I608)</f>
        <v>211</v>
      </c>
      <c r="J609" s="11">
        <f t="shared" si="607"/>
        <v>100</v>
      </c>
      <c r="K609" s="11">
        <f t="shared" si="607"/>
        <v>100</v>
      </c>
      <c r="L609" s="11">
        <f t="shared" si="607"/>
        <v>98</v>
      </c>
      <c r="M609" s="11">
        <f t="shared" si="607"/>
        <v>99</v>
      </c>
      <c r="O609" s="10">
        <f>'Optimal Choice'!$B$7*'Optimal Choice'!$B$8^(I609+1)</f>
        <v>6782985.0614113789</v>
      </c>
      <c r="P609" s="10">
        <f>'Optimal Choice'!$B$12*'Optimal Choice'!$B$13^(J609+1)</f>
        <v>81027628.098319143</v>
      </c>
      <c r="Q609" s="10">
        <f>'Optimal Choice'!$B$17*'Optimal Choice'!$B$18^(K609+1)</f>
        <v>402459776.25420195</v>
      </c>
      <c r="R609" s="10">
        <f>'Optimal Choice'!$B$22*'Optimal Choice'!$B$23^(L609+1)</f>
        <v>1553386932.1534901</v>
      </c>
      <c r="S609" s="10">
        <f>'Optimal Choice'!$B$27*'Optimal Choice'!$B$28^(M609+1)</f>
        <v>8659588510.5272083</v>
      </c>
    </row>
    <row r="610" spans="1:19" ht="15.75" customHeight="1">
      <c r="A610" s="8">
        <f t="shared" si="0"/>
        <v>6806.2549806217366</v>
      </c>
      <c r="B610" s="7">
        <f>(I610*'Optimal Choice'!$B$6+J610*'Optimal Choice'!$B$11+K610*'Optimal Choice'!$B$16+L610*'Optimal Choice'!$B$21+M610*'Optimal Choice'!$B$26)*'Optimal Choice'!$B$30</f>
        <v>262632.37</v>
      </c>
      <c r="C610" s="8">
        <f>(O610/$B610)+(O610/'Optimal Choice'!$B$6)</f>
        <v>4061693.5283633759</v>
      </c>
      <c r="D610" s="8">
        <f>(P610/$B610)+(P610/'Optimal Choice'!$B$11)</f>
        <v>4051689.9260175196</v>
      </c>
      <c r="E610" s="8">
        <f>(Q610/$B610)+(Q610/'Optimal Choice'!$B$16)</f>
        <v>4473307.6990714204</v>
      </c>
      <c r="F610" s="8">
        <f>(R610/$B610)+(R610/'Optimal Choice'!$B$21)</f>
        <v>4320878.3823528644</v>
      </c>
      <c r="G610" s="8">
        <f>(S610/$B610)+(S610/'Optimal Choice'!$B$26)</f>
        <v>4527085.961062124</v>
      </c>
      <c r="I610" s="11">
        <f t="shared" ref="I610:M610" si="608">IF(MIN($C609:$G609)=C609,I609+1,I609)</f>
        <v>211</v>
      </c>
      <c r="J610" s="11">
        <f t="shared" si="608"/>
        <v>100</v>
      </c>
      <c r="K610" s="11">
        <f t="shared" si="608"/>
        <v>100</v>
      </c>
      <c r="L610" s="11">
        <f t="shared" si="608"/>
        <v>98</v>
      </c>
      <c r="M610" s="11">
        <f t="shared" si="608"/>
        <v>100</v>
      </c>
      <c r="O610" s="10">
        <f>'Optimal Choice'!$B$7*'Optimal Choice'!$B$8^(I610+1)</f>
        <v>6782985.0614113789</v>
      </c>
      <c r="P610" s="10">
        <f>'Optimal Choice'!$B$12*'Optimal Choice'!$B$13^(J610+1)</f>
        <v>81027628.098319143</v>
      </c>
      <c r="Q610" s="10">
        <f>'Optimal Choice'!$B$17*'Optimal Choice'!$B$18^(K610+1)</f>
        <v>402459776.25420195</v>
      </c>
      <c r="R610" s="10">
        <f>'Optimal Choice'!$B$22*'Optimal Choice'!$B$23^(L610+1)</f>
        <v>1553386932.1534901</v>
      </c>
      <c r="S610" s="10">
        <f>'Optimal Choice'!$B$27*'Optimal Choice'!$B$28^(M610+1)</f>
        <v>9698739131.7904758</v>
      </c>
    </row>
    <row r="611" spans="1:19" ht="15.75" customHeight="1">
      <c r="A611" s="8">
        <f t="shared" si="0"/>
        <v>6811.3969989811085</v>
      </c>
      <c r="B611" s="7">
        <f>(I611*'Optimal Choice'!$B$6+J611*'Optimal Choice'!$B$11+K611*'Optimal Choice'!$B$16+L611*'Optimal Choice'!$B$21+M611*'Optimal Choice'!$B$26)*'Optimal Choice'!$B$30</f>
        <v>262652.37</v>
      </c>
      <c r="C611" s="8">
        <f>(O611/$B611)+(O611/'Optimal Choice'!$B$6)</f>
        <v>4061693.5263967523</v>
      </c>
      <c r="D611" s="8">
        <f>(P611/$B611)+(P611/'Optimal Choice'!$B$11)</f>
        <v>4659443.3879035031</v>
      </c>
      <c r="E611" s="8">
        <f>(Q611/$B611)+(Q611/'Optimal Choice'!$B$16)</f>
        <v>4473307.582384306</v>
      </c>
      <c r="F611" s="8">
        <f>(R611/$B611)+(R611/'Optimal Choice'!$B$21)</f>
        <v>4320877.9319718583</v>
      </c>
      <c r="G611" s="8">
        <f>(S611/$B611)+(S611/'Optimal Choice'!$B$26)</f>
        <v>4527083.1490596579</v>
      </c>
      <c r="I611" s="11">
        <f t="shared" ref="I611:M611" si="609">IF(MIN($C610:$G610)=C610,I610+1,I610)</f>
        <v>211</v>
      </c>
      <c r="J611" s="11">
        <f t="shared" si="609"/>
        <v>101</v>
      </c>
      <c r="K611" s="11">
        <f t="shared" si="609"/>
        <v>100</v>
      </c>
      <c r="L611" s="11">
        <f t="shared" si="609"/>
        <v>98</v>
      </c>
      <c r="M611" s="11">
        <f t="shared" si="609"/>
        <v>100</v>
      </c>
      <c r="O611" s="10">
        <f>'Optimal Choice'!$B$7*'Optimal Choice'!$B$8^(I611+1)</f>
        <v>6782985.0614113789</v>
      </c>
      <c r="P611" s="10">
        <f>'Optimal Choice'!$B$12*'Optimal Choice'!$B$13^(J611+1)</f>
        <v>93181772.313067004</v>
      </c>
      <c r="Q611" s="10">
        <f>'Optimal Choice'!$B$17*'Optimal Choice'!$B$18^(K611+1)</f>
        <v>402459776.25420195</v>
      </c>
      <c r="R611" s="10">
        <f>'Optimal Choice'!$B$22*'Optimal Choice'!$B$23^(L611+1)</f>
        <v>1553386932.1534901</v>
      </c>
      <c r="S611" s="10">
        <f>'Optimal Choice'!$B$27*'Optimal Choice'!$B$28^(M611+1)</f>
        <v>9698739131.7904758</v>
      </c>
    </row>
    <row r="612" spans="1:19" ht="15.75" customHeight="1">
      <c r="A612" s="8">
        <f t="shared" si="0"/>
        <v>6811.8274148613209</v>
      </c>
      <c r="B612" s="7">
        <f>(I612*'Optimal Choice'!$B$6+J612*'Optimal Choice'!$B$11+K612*'Optimal Choice'!$B$16+L612*'Optimal Choice'!$B$21+M612*'Optimal Choice'!$B$26)*'Optimal Choice'!$B$30</f>
        <v>262654.03999999998</v>
      </c>
      <c r="C612" s="8">
        <f>(O612/$B612)+(O612/'Optimal Choice'!$B$6)</f>
        <v>4346012.073068832</v>
      </c>
      <c r="D612" s="8">
        <f>(P612/$B612)+(P612/'Optimal Choice'!$B$11)</f>
        <v>4659443.3856477998</v>
      </c>
      <c r="E612" s="8">
        <f>(Q612/$B612)+(Q612/'Optimal Choice'!$B$16)</f>
        <v>4473307.5726417359</v>
      </c>
      <c r="F612" s="8">
        <f>(R612/$B612)+(R612/'Optimal Choice'!$B$21)</f>
        <v>4320877.8943681475</v>
      </c>
      <c r="G612" s="8">
        <f>(S612/$B612)+(S612/'Optimal Choice'!$B$26)</f>
        <v>4527082.9142768243</v>
      </c>
      <c r="I612" s="11">
        <f t="shared" ref="I612:M612" si="610">IF(MIN($C611:$G611)=C611,I611+1,I611)</f>
        <v>212</v>
      </c>
      <c r="J612" s="11">
        <f t="shared" si="610"/>
        <v>101</v>
      </c>
      <c r="K612" s="11">
        <f t="shared" si="610"/>
        <v>100</v>
      </c>
      <c r="L612" s="11">
        <f t="shared" si="610"/>
        <v>98</v>
      </c>
      <c r="M612" s="11">
        <f t="shared" si="610"/>
        <v>100</v>
      </c>
      <c r="O612" s="10">
        <f>'Optimal Choice'!$B$7*'Optimal Choice'!$B$8^(I612+1)</f>
        <v>7257794.015710176</v>
      </c>
      <c r="P612" s="10">
        <f>'Optimal Choice'!$B$12*'Optimal Choice'!$B$13^(J612+1)</f>
        <v>93181772.313067004</v>
      </c>
      <c r="Q612" s="10">
        <f>'Optimal Choice'!$B$17*'Optimal Choice'!$B$18^(K612+1)</f>
        <v>402459776.25420195</v>
      </c>
      <c r="R612" s="10">
        <f>'Optimal Choice'!$B$22*'Optimal Choice'!$B$23^(L612+1)</f>
        <v>1553386932.1534901</v>
      </c>
      <c r="S612" s="10">
        <f>'Optimal Choice'!$B$27*'Optimal Choice'!$B$28^(M612+1)</f>
        <v>9698739131.7904758</v>
      </c>
    </row>
    <row r="613" spans="1:19" ht="15.75" customHeight="1">
      <c r="A613" s="8">
        <f t="shared" si="0"/>
        <v>6910.3973138910796</v>
      </c>
      <c r="B613" s="7">
        <f>(I613*'Optimal Choice'!$B$6+J613*'Optimal Choice'!$B$11+K613*'Optimal Choice'!$B$16+L613*'Optimal Choice'!$B$21+M613*'Optimal Choice'!$B$26)*'Optimal Choice'!$B$30</f>
        <v>263014.03999999998</v>
      </c>
      <c r="C613" s="8">
        <f>(O613/$B613)+(O613/'Optimal Choice'!$B$6)</f>
        <v>4346012.035246864</v>
      </c>
      <c r="D613" s="8">
        <f>(P613/$B613)+(P613/'Optimal Choice'!$B$11)</f>
        <v>4659442.9000570001</v>
      </c>
      <c r="E613" s="8">
        <f>(Q613/$B613)+(Q613/'Optimal Choice'!$B$16)</f>
        <v>4473305.4753349377</v>
      </c>
      <c r="F613" s="8">
        <f>(R613/$B613)+(R613/'Optimal Choice'!$B$21)</f>
        <v>4882582.8732380345</v>
      </c>
      <c r="G613" s="8">
        <f>(S613/$B613)+(S613/'Optimal Choice'!$B$26)</f>
        <v>4527032.3720047288</v>
      </c>
      <c r="I613" s="11">
        <f t="shared" ref="I613:M613" si="611">IF(MIN($C612:$G612)=C612,I612+1,I612)</f>
        <v>212</v>
      </c>
      <c r="J613" s="11">
        <f t="shared" si="611"/>
        <v>101</v>
      </c>
      <c r="K613" s="11">
        <f t="shared" si="611"/>
        <v>100</v>
      </c>
      <c r="L613" s="11">
        <f t="shared" si="611"/>
        <v>99</v>
      </c>
      <c r="M613" s="11">
        <f t="shared" si="611"/>
        <v>100</v>
      </c>
      <c r="O613" s="10">
        <f>'Optimal Choice'!$B$7*'Optimal Choice'!$B$8^(I613+1)</f>
        <v>7257794.015710176</v>
      </c>
      <c r="P613" s="10">
        <f>'Optimal Choice'!$B$12*'Optimal Choice'!$B$13^(J613+1)</f>
        <v>93181772.313067004</v>
      </c>
      <c r="Q613" s="10">
        <f>'Optimal Choice'!$B$17*'Optimal Choice'!$B$18^(K613+1)</f>
        <v>402459776.25420195</v>
      </c>
      <c r="R613" s="10">
        <f>'Optimal Choice'!$B$22*'Optimal Choice'!$B$23^(L613+1)</f>
        <v>1755327233.3334434</v>
      </c>
      <c r="S613" s="10">
        <f>'Optimal Choice'!$B$27*'Optimal Choice'!$B$28^(M613+1)</f>
        <v>9698739131.7904758</v>
      </c>
    </row>
    <row r="614" spans="1:19" ht="15.75" customHeight="1">
      <c r="A614" s="8">
        <f t="shared" si="0"/>
        <v>6910.857225588551</v>
      </c>
      <c r="B614" s="7">
        <f>(I614*'Optimal Choice'!$B$6+J614*'Optimal Choice'!$B$11+K614*'Optimal Choice'!$B$16+L614*'Optimal Choice'!$B$21+M614*'Optimal Choice'!$B$26)*'Optimal Choice'!$B$30</f>
        <v>263015.71000000002</v>
      </c>
      <c r="C614" s="8">
        <f>(O614/$B614)+(O614/'Optimal Choice'!$B$6)</f>
        <v>4650232.8775266698</v>
      </c>
      <c r="D614" s="8">
        <f>(P614/$B614)+(P614/'Optimal Choice'!$B$11)</f>
        <v>4659442.8978074957</v>
      </c>
      <c r="E614" s="8">
        <f>(Q614/$B614)+(Q614/'Optimal Choice'!$B$16)</f>
        <v>4473305.4656191431</v>
      </c>
      <c r="F614" s="8">
        <f>(R614/$B614)+(R614/'Optimal Choice'!$B$21)</f>
        <v>4882582.8308626218</v>
      </c>
      <c r="G614" s="8">
        <f>(S614/$B614)+(S614/'Optimal Choice'!$B$26)</f>
        <v>4527032.137867148</v>
      </c>
      <c r="I614" s="11">
        <f t="shared" ref="I614:M614" si="612">IF(MIN($C613:$G613)=C613,I613+1,I613)</f>
        <v>213</v>
      </c>
      <c r="J614" s="11">
        <f t="shared" si="612"/>
        <v>101</v>
      </c>
      <c r="K614" s="11">
        <f t="shared" si="612"/>
        <v>100</v>
      </c>
      <c r="L614" s="11">
        <f t="shared" si="612"/>
        <v>99</v>
      </c>
      <c r="M614" s="11">
        <f t="shared" si="612"/>
        <v>100</v>
      </c>
      <c r="O614" s="10">
        <f>'Optimal Choice'!$B$7*'Optimal Choice'!$B$8^(I614+1)</f>
        <v>7765839.5968098892</v>
      </c>
      <c r="P614" s="10">
        <f>'Optimal Choice'!$B$12*'Optimal Choice'!$B$13^(J614+1)</f>
        <v>93181772.313067004</v>
      </c>
      <c r="Q614" s="10">
        <f>'Optimal Choice'!$B$17*'Optimal Choice'!$B$18^(K614+1)</f>
        <v>402459776.25420195</v>
      </c>
      <c r="R614" s="10">
        <f>'Optimal Choice'!$B$22*'Optimal Choice'!$B$23^(L614+1)</f>
        <v>1755327233.3334434</v>
      </c>
      <c r="S614" s="10">
        <f>'Optimal Choice'!$B$27*'Optimal Choice'!$B$28^(M614+1)</f>
        <v>9698739131.7904758</v>
      </c>
    </row>
    <row r="615" spans="1:19" ht="15.75" customHeight="1">
      <c r="A615" s="8">
        <f t="shared" si="0"/>
        <v>6936.3601240183443</v>
      </c>
      <c r="B615" s="7">
        <f>(I615*'Optimal Choice'!$B$6+J615*'Optimal Choice'!$B$11+K615*'Optimal Choice'!$B$16+L615*'Optimal Choice'!$B$21+M615*'Optimal Choice'!$B$26)*'Optimal Choice'!$B$30</f>
        <v>263105.71000000002</v>
      </c>
      <c r="C615" s="8">
        <f>(O615/$B615)+(O615/'Optimal Choice'!$B$6)</f>
        <v>4650232.867426726</v>
      </c>
      <c r="D615" s="8">
        <f>(P615/$B615)+(P615/'Optimal Choice'!$B$11)</f>
        <v>4659442.7766189678</v>
      </c>
      <c r="E615" s="8">
        <f>(Q615/$B615)+(Q615/'Optimal Choice'!$B$16)</f>
        <v>5099567.6341032926</v>
      </c>
      <c r="F615" s="8">
        <f>(R615/$B615)+(R615/'Optimal Choice'!$B$21)</f>
        <v>4882580.5479534287</v>
      </c>
      <c r="G615" s="8">
        <f>(S615/$B615)+(S615/'Optimal Choice'!$B$26)</f>
        <v>4527019.5240705227</v>
      </c>
      <c r="I615" s="11">
        <f t="shared" ref="I615:M615" si="613">IF(MIN($C614:$G614)=C614,I614+1,I614)</f>
        <v>213</v>
      </c>
      <c r="J615" s="11">
        <f t="shared" si="613"/>
        <v>101</v>
      </c>
      <c r="K615" s="11">
        <f t="shared" si="613"/>
        <v>101</v>
      </c>
      <c r="L615" s="11">
        <f t="shared" si="613"/>
        <v>99</v>
      </c>
      <c r="M615" s="11">
        <f t="shared" si="613"/>
        <v>100</v>
      </c>
      <c r="O615" s="10">
        <f>'Optimal Choice'!$B$7*'Optimal Choice'!$B$8^(I615+1)</f>
        <v>7765839.5968098892</v>
      </c>
      <c r="P615" s="10">
        <f>'Optimal Choice'!$B$12*'Optimal Choice'!$B$13^(J615+1)</f>
        <v>93181772.313067004</v>
      </c>
      <c r="Q615" s="10">
        <f>'Optimal Choice'!$B$17*'Optimal Choice'!$B$18^(K615+1)</f>
        <v>458804144.9297902</v>
      </c>
      <c r="R615" s="10">
        <f>'Optimal Choice'!$B$22*'Optimal Choice'!$B$23^(L615+1)</f>
        <v>1755327233.3334434</v>
      </c>
      <c r="S615" s="10">
        <f>'Optimal Choice'!$B$27*'Optimal Choice'!$B$28^(M615+1)</f>
        <v>9698739131.7904758</v>
      </c>
    </row>
    <row r="616" spans="1:19" ht="15.75" customHeight="1">
      <c r="A616" s="8">
        <f t="shared" si="0"/>
        <v>7550.7354342178378</v>
      </c>
      <c r="B616" s="7">
        <f>(I616*'Optimal Choice'!$B$6+J616*'Optimal Choice'!$B$11+K616*'Optimal Choice'!$B$16+L616*'Optimal Choice'!$B$21+M616*'Optimal Choice'!$B$26)*'Optimal Choice'!$B$30</f>
        <v>265265.71000000002</v>
      </c>
      <c r="C616" s="8">
        <f>(O616/$B616)+(O616/'Optimal Choice'!$B$6)</f>
        <v>4650232.6270841118</v>
      </c>
      <c r="D616" s="8">
        <f>(P616/$B616)+(P616/'Optimal Choice'!$B$11)</f>
        <v>4659439.8927645646</v>
      </c>
      <c r="E616" s="8">
        <f>(Q616/$B616)+(Q616/'Optimal Choice'!$B$16)</f>
        <v>5099553.4347129976</v>
      </c>
      <c r="F616" s="8">
        <f>(R616/$B616)+(R616/'Optimal Choice'!$B$21)</f>
        <v>4882526.2228633938</v>
      </c>
      <c r="G616" s="8">
        <f>(S616/$B616)+(S616/'Optimal Choice'!$B$26)</f>
        <v>5069925.6840236718</v>
      </c>
      <c r="I616" s="11">
        <f t="shared" ref="I616:M616" si="614">IF(MIN($C615:$G615)=C615,I615+1,I615)</f>
        <v>213</v>
      </c>
      <c r="J616" s="11">
        <f t="shared" si="614"/>
        <v>101</v>
      </c>
      <c r="K616" s="11">
        <f t="shared" si="614"/>
        <v>101</v>
      </c>
      <c r="L616" s="11">
        <f t="shared" si="614"/>
        <v>99</v>
      </c>
      <c r="M616" s="11">
        <f t="shared" si="614"/>
        <v>101</v>
      </c>
      <c r="O616" s="10">
        <f>'Optimal Choice'!$B$7*'Optimal Choice'!$B$8^(I616+1)</f>
        <v>7765839.5968098892</v>
      </c>
      <c r="P616" s="10">
        <f>'Optimal Choice'!$B$12*'Optimal Choice'!$B$13^(J616+1)</f>
        <v>93181772.313067004</v>
      </c>
      <c r="Q616" s="10">
        <f>'Optimal Choice'!$B$17*'Optimal Choice'!$B$18^(K616+1)</f>
        <v>458804144.9297902</v>
      </c>
      <c r="R616" s="10">
        <f>'Optimal Choice'!$B$22*'Optimal Choice'!$B$23^(L616+1)</f>
        <v>1755327233.3334434</v>
      </c>
      <c r="S616" s="10">
        <f>'Optimal Choice'!$B$27*'Optimal Choice'!$B$28^(M616+1)</f>
        <v>10862587827.605333</v>
      </c>
    </row>
    <row r="617" spans="1:19" ht="15.75" customHeight="1">
      <c r="A617" s="8">
        <f t="shared" si="0"/>
        <v>7551.2233625669141</v>
      </c>
      <c r="B617" s="7">
        <f>(I617*'Optimal Choice'!$B$6+J617*'Optimal Choice'!$B$11+K617*'Optimal Choice'!$B$16+L617*'Optimal Choice'!$B$21+M617*'Optimal Choice'!$B$26)*'Optimal Choice'!$B$30</f>
        <v>265267.38</v>
      </c>
      <c r="C617" s="8">
        <f>(O617/$B617)+(O617/'Optimal Choice'!$B$6)</f>
        <v>4975748.9107827917</v>
      </c>
      <c r="D617" s="8">
        <f>(P617/$B617)+(P617/'Optimal Choice'!$B$11)</f>
        <v>4659439.890553087</v>
      </c>
      <c r="E617" s="8">
        <f>(Q617/$B617)+(Q617/'Optimal Choice'!$B$16)</f>
        <v>5099553.4238242274</v>
      </c>
      <c r="F617" s="8">
        <f>(R617/$B617)+(R617/'Optimal Choice'!$B$21)</f>
        <v>4882526.1812043209</v>
      </c>
      <c r="G617" s="8">
        <f>(S617/$B617)+(S617/'Optimal Choice'!$B$26)</f>
        <v>5069925.4262225451</v>
      </c>
      <c r="I617" s="11">
        <f t="shared" ref="I617:M617" si="615">IF(MIN($C616:$G616)=C616,I616+1,I616)</f>
        <v>214</v>
      </c>
      <c r="J617" s="11">
        <f t="shared" si="615"/>
        <v>101</v>
      </c>
      <c r="K617" s="11">
        <f t="shared" si="615"/>
        <v>101</v>
      </c>
      <c r="L617" s="11">
        <f t="shared" si="615"/>
        <v>99</v>
      </c>
      <c r="M617" s="11">
        <f t="shared" si="615"/>
        <v>101</v>
      </c>
      <c r="O617" s="10">
        <f>'Optimal Choice'!$B$7*'Optimal Choice'!$B$8^(I617+1)</f>
        <v>8309448.3685865812</v>
      </c>
      <c r="P617" s="10">
        <f>'Optimal Choice'!$B$12*'Optimal Choice'!$B$13^(J617+1)</f>
        <v>93181772.313067004</v>
      </c>
      <c r="Q617" s="10">
        <f>'Optimal Choice'!$B$17*'Optimal Choice'!$B$18^(K617+1)</f>
        <v>458804144.9297902</v>
      </c>
      <c r="R617" s="10">
        <f>'Optimal Choice'!$B$22*'Optimal Choice'!$B$23^(L617+1)</f>
        <v>1755327233.3334434</v>
      </c>
      <c r="S617" s="10">
        <f>'Optimal Choice'!$B$27*'Optimal Choice'!$B$28^(M617+1)</f>
        <v>10862587827.605333</v>
      </c>
    </row>
    <row r="618" spans="1:19" ht="15.75" customHeight="1">
      <c r="A618" s="8">
        <f t="shared" si="0"/>
        <v>7557.0779442292023</v>
      </c>
      <c r="B618" s="7">
        <f>(I618*'Optimal Choice'!$B$6+J618*'Optimal Choice'!$B$11+K618*'Optimal Choice'!$B$16+L618*'Optimal Choice'!$B$21+M618*'Optimal Choice'!$B$26)*'Optimal Choice'!$B$30</f>
        <v>265287.38</v>
      </c>
      <c r="C618" s="8">
        <f>(O618/$B618)+(O618/'Optimal Choice'!$B$6)</f>
        <v>4975748.9084212165</v>
      </c>
      <c r="D618" s="8">
        <f>(P618/$B618)+(P618/'Optimal Choice'!$B$11)</f>
        <v>5358355.8436810663</v>
      </c>
      <c r="E618" s="8">
        <f>(Q618/$B618)+(Q618/'Optimal Choice'!$B$16)</f>
        <v>5099553.2934304429</v>
      </c>
      <c r="F618" s="8">
        <f>(R618/$B618)+(R618/'Optimal Choice'!$B$21)</f>
        <v>4882525.6823340226</v>
      </c>
      <c r="G618" s="8">
        <f>(S618/$B618)+(S618/'Optimal Choice'!$B$26)</f>
        <v>5069922.3390361061</v>
      </c>
      <c r="I618" s="11">
        <f t="shared" ref="I618:M618" si="616">IF(MIN($C617:$G617)=C617,I617+1,I617)</f>
        <v>214</v>
      </c>
      <c r="J618" s="11">
        <f t="shared" si="616"/>
        <v>102</v>
      </c>
      <c r="K618" s="11">
        <f t="shared" si="616"/>
        <v>101</v>
      </c>
      <c r="L618" s="11">
        <f t="shared" si="616"/>
        <v>99</v>
      </c>
      <c r="M618" s="11">
        <f t="shared" si="616"/>
        <v>101</v>
      </c>
      <c r="O618" s="10">
        <f>'Optimal Choice'!$B$7*'Optimal Choice'!$B$8^(I618+1)</f>
        <v>8309448.3685865812</v>
      </c>
      <c r="P618" s="10">
        <f>'Optimal Choice'!$B$12*'Optimal Choice'!$B$13^(J618+1)</f>
        <v>107159038.16002703</v>
      </c>
      <c r="Q618" s="10">
        <f>'Optimal Choice'!$B$17*'Optimal Choice'!$B$18^(K618+1)</f>
        <v>458804144.9297902</v>
      </c>
      <c r="R618" s="10">
        <f>'Optimal Choice'!$B$22*'Optimal Choice'!$B$23^(L618+1)</f>
        <v>1755327233.3334434</v>
      </c>
      <c r="S618" s="10">
        <f>'Optimal Choice'!$B$27*'Optimal Choice'!$B$28^(M618+1)</f>
        <v>10862587827.605333</v>
      </c>
    </row>
    <row r="619" spans="1:19" ht="15.75" customHeight="1">
      <c r="A619" s="8">
        <f t="shared" si="0"/>
        <v>7667.3562917664685</v>
      </c>
      <c r="B619" s="7">
        <f>(I619*'Optimal Choice'!$B$6+J619*'Optimal Choice'!$B$11+K619*'Optimal Choice'!$B$16+L619*'Optimal Choice'!$B$21+M619*'Optimal Choice'!$B$26)*'Optimal Choice'!$B$30</f>
        <v>265647.38</v>
      </c>
      <c r="C619" s="8">
        <f>(O619/$B619)+(O619/'Optimal Choice'!$B$6)</f>
        <v>4975748.8659736728</v>
      </c>
      <c r="D619" s="8">
        <f>(P619/$B619)+(P619/'Optimal Choice'!$B$11)</f>
        <v>5358355.2962755365</v>
      </c>
      <c r="E619" s="8">
        <f>(Q619/$B619)+(Q619/'Optimal Choice'!$B$16)</f>
        <v>5099550.9496997586</v>
      </c>
      <c r="F619" s="8">
        <f>(R619/$B619)+(R619/'Optimal Choice'!$B$21)</f>
        <v>5517243.8885305617</v>
      </c>
      <c r="G619" s="8">
        <f>(S619/$B619)+(S619/'Optimal Choice'!$B$26)</f>
        <v>5069866.8491703589</v>
      </c>
      <c r="I619" s="11">
        <f t="shared" ref="I619:M619" si="617">IF(MIN($C618:$G618)=C618,I618+1,I618)</f>
        <v>214</v>
      </c>
      <c r="J619" s="11">
        <f t="shared" si="617"/>
        <v>102</v>
      </c>
      <c r="K619" s="11">
        <f t="shared" si="617"/>
        <v>101</v>
      </c>
      <c r="L619" s="11">
        <f t="shared" si="617"/>
        <v>100</v>
      </c>
      <c r="M619" s="11">
        <f t="shared" si="617"/>
        <v>101</v>
      </c>
      <c r="O619" s="10">
        <f>'Optimal Choice'!$B$7*'Optimal Choice'!$B$8^(I619+1)</f>
        <v>8309448.3685865812</v>
      </c>
      <c r="P619" s="10">
        <f>'Optimal Choice'!$B$12*'Optimal Choice'!$B$13^(J619+1)</f>
        <v>107159038.16002703</v>
      </c>
      <c r="Q619" s="10">
        <f>'Optimal Choice'!$B$17*'Optimal Choice'!$B$18^(K619+1)</f>
        <v>458804144.9297902</v>
      </c>
      <c r="R619" s="10">
        <f>'Optimal Choice'!$B$22*'Optimal Choice'!$B$23^(L619+1)</f>
        <v>1983519773.666791</v>
      </c>
      <c r="S619" s="10">
        <f>'Optimal Choice'!$B$27*'Optimal Choice'!$B$28^(M619+1)</f>
        <v>10862587827.605333</v>
      </c>
    </row>
    <row r="620" spans="1:19" ht="15.75" customHeight="1">
      <c r="A620" s="8">
        <f t="shared" si="0"/>
        <v>7667.8776249945358</v>
      </c>
      <c r="B620" s="7">
        <f>(I620*'Optimal Choice'!$B$6+J620*'Optimal Choice'!$B$11+K620*'Optimal Choice'!$B$16+L620*'Optimal Choice'!$B$21+M620*'Optimal Choice'!$B$26)*'Optimal Choice'!$B$30</f>
        <v>265649.05</v>
      </c>
      <c r="C620" s="8">
        <f>(O620/$B620)+(O620/'Optimal Choice'!$B$6)</f>
        <v>5324051.2863814244</v>
      </c>
      <c r="D620" s="8">
        <f>(P620/$B620)+(P620/'Optimal Choice'!$B$11)</f>
        <v>5358355.2937396402</v>
      </c>
      <c r="E620" s="8">
        <f>(Q620/$B620)+(Q620/'Optimal Choice'!$B$16)</f>
        <v>5099550.9388422547</v>
      </c>
      <c r="F620" s="8">
        <f>(R620/$B620)+(R620/'Optimal Choice'!$B$21)</f>
        <v>5517243.841590981</v>
      </c>
      <c r="G620" s="8">
        <f>(S620/$B620)+(S620/'Optimal Choice'!$B$26)</f>
        <v>5069866.592109492</v>
      </c>
      <c r="I620" s="11">
        <f t="shared" ref="I620:M620" si="618">IF(MIN($C619:$G619)=C619,I619+1,I619)</f>
        <v>215</v>
      </c>
      <c r="J620" s="11">
        <f t="shared" si="618"/>
        <v>102</v>
      </c>
      <c r="K620" s="11">
        <f t="shared" si="618"/>
        <v>101</v>
      </c>
      <c r="L620" s="11">
        <f t="shared" si="618"/>
        <v>100</v>
      </c>
      <c r="M620" s="11">
        <f t="shared" si="618"/>
        <v>101</v>
      </c>
      <c r="O620" s="10">
        <f>'Optimal Choice'!$B$7*'Optimal Choice'!$B$8^(I620+1)</f>
        <v>8891109.7543876432</v>
      </c>
      <c r="P620" s="10">
        <f>'Optimal Choice'!$B$12*'Optimal Choice'!$B$13^(J620+1)</f>
        <v>107159038.16002703</v>
      </c>
      <c r="Q620" s="10">
        <f>'Optimal Choice'!$B$17*'Optimal Choice'!$B$18^(K620+1)</f>
        <v>458804144.9297902</v>
      </c>
      <c r="R620" s="10">
        <f>'Optimal Choice'!$B$22*'Optimal Choice'!$B$23^(L620+1)</f>
        <v>1983519773.666791</v>
      </c>
      <c r="S620" s="10">
        <f>'Optimal Choice'!$B$27*'Optimal Choice'!$B$28^(M620+1)</f>
        <v>10862587827.605333</v>
      </c>
    </row>
    <row r="621" spans="1:19" ht="15.75" customHeight="1">
      <c r="A621" s="8">
        <f t="shared" si="0"/>
        <v>8349.3900582597362</v>
      </c>
      <c r="B621" s="7">
        <f>(I621*'Optimal Choice'!$B$6+J621*'Optimal Choice'!$B$11+K621*'Optimal Choice'!$B$16+L621*'Optimal Choice'!$B$21+M621*'Optimal Choice'!$B$26)*'Optimal Choice'!$B$30</f>
        <v>267809.05</v>
      </c>
      <c r="C621" s="8">
        <f>(O621/$B621)+(O621/'Optimal Choice'!$B$6)</f>
        <v>5324051.0164358532</v>
      </c>
      <c r="D621" s="8">
        <f>(P621/$B621)+(P621/'Optimal Choice'!$B$11)</f>
        <v>5358352.0402528942</v>
      </c>
      <c r="E621" s="8">
        <f>(Q621/$B621)+(Q621/'Optimal Choice'!$B$16)</f>
        <v>5099537.0089560747</v>
      </c>
      <c r="F621" s="8">
        <f>(R621/$B621)+(R621/'Optimal Choice'!$B$21)</f>
        <v>5517183.6193698291</v>
      </c>
      <c r="G621" s="8">
        <f>(S621/$B621)+(S621/'Optimal Choice'!$B$26)</f>
        <v>5677881.2047091648</v>
      </c>
      <c r="I621" s="11">
        <f t="shared" ref="I621:M621" si="619">IF(MIN($C620:$G620)=C620,I620+1,I620)</f>
        <v>215</v>
      </c>
      <c r="J621" s="11">
        <f t="shared" si="619"/>
        <v>102</v>
      </c>
      <c r="K621" s="11">
        <f t="shared" si="619"/>
        <v>101</v>
      </c>
      <c r="L621" s="11">
        <f t="shared" si="619"/>
        <v>100</v>
      </c>
      <c r="M621" s="11">
        <f t="shared" si="619"/>
        <v>102</v>
      </c>
      <c r="O621" s="10">
        <f>'Optimal Choice'!$B$7*'Optimal Choice'!$B$8^(I621+1)</f>
        <v>8891109.7543876432</v>
      </c>
      <c r="P621" s="10">
        <f>'Optimal Choice'!$B$12*'Optimal Choice'!$B$13^(J621+1)</f>
        <v>107159038.16002703</v>
      </c>
      <c r="Q621" s="10">
        <f>'Optimal Choice'!$B$17*'Optimal Choice'!$B$18^(K621+1)</f>
        <v>458804144.9297902</v>
      </c>
      <c r="R621" s="10">
        <f>'Optimal Choice'!$B$22*'Optimal Choice'!$B$23^(L621+1)</f>
        <v>1983519773.666791</v>
      </c>
      <c r="S621" s="10">
        <f>'Optimal Choice'!$B$27*'Optimal Choice'!$B$28^(M621+1)</f>
        <v>12166098366.917973</v>
      </c>
    </row>
    <row r="622" spans="1:19" ht="15.75" customHeight="1">
      <c r="A622" s="8">
        <f t="shared" si="0"/>
        <v>8377.9429983072441</v>
      </c>
      <c r="B622" s="7">
        <f>(I622*'Optimal Choice'!$B$6+J622*'Optimal Choice'!$B$11+K622*'Optimal Choice'!$B$16+L622*'Optimal Choice'!$B$21+M622*'Optimal Choice'!$B$26)*'Optimal Choice'!$B$30</f>
        <v>267899.05</v>
      </c>
      <c r="C622" s="8">
        <f>(O622/$B622)+(O622/'Optimal Choice'!$B$6)</f>
        <v>5324051.0052825874</v>
      </c>
      <c r="D622" s="8">
        <f>(P622/$B622)+(P622/'Optimal Choice'!$B$11)</f>
        <v>5358351.9058294883</v>
      </c>
      <c r="E622" s="8">
        <f>(Q622/$B622)+(Q622/'Optimal Choice'!$B$16)</f>
        <v>5813471.5340974862</v>
      </c>
      <c r="F622" s="8">
        <f>(R622/$B622)+(R622/'Optimal Choice'!$B$21)</f>
        <v>5517181.1311850939</v>
      </c>
      <c r="G622" s="8">
        <f>(S622/$B622)+(S622/'Optimal Choice'!$B$26)</f>
        <v>5677865.9432025049</v>
      </c>
      <c r="I622" s="11">
        <f t="shared" ref="I622:M622" si="620">IF(MIN($C621:$G621)=C621,I621+1,I621)</f>
        <v>215</v>
      </c>
      <c r="J622" s="11">
        <f t="shared" si="620"/>
        <v>102</v>
      </c>
      <c r="K622" s="11">
        <f t="shared" si="620"/>
        <v>102</v>
      </c>
      <c r="L622" s="11">
        <f t="shared" si="620"/>
        <v>100</v>
      </c>
      <c r="M622" s="11">
        <f t="shared" si="620"/>
        <v>102</v>
      </c>
      <c r="O622" s="10">
        <f>'Optimal Choice'!$B$7*'Optimal Choice'!$B$8^(I622+1)</f>
        <v>8891109.7543876432</v>
      </c>
      <c r="P622" s="10">
        <f>'Optimal Choice'!$B$12*'Optimal Choice'!$B$13^(J622+1)</f>
        <v>107159038.16002703</v>
      </c>
      <c r="Q622" s="10">
        <f>'Optimal Choice'!$B$17*'Optimal Choice'!$B$18^(K622+1)</f>
        <v>523036725.21996081</v>
      </c>
      <c r="R622" s="10">
        <f>'Optimal Choice'!$B$22*'Optimal Choice'!$B$23^(L622+1)</f>
        <v>1983519773.666791</v>
      </c>
      <c r="S622" s="10">
        <f>'Optimal Choice'!$B$27*'Optimal Choice'!$B$28^(M622+1)</f>
        <v>12166098366.917973</v>
      </c>
    </row>
    <row r="623" spans="1:19" ht="15.75" customHeight="1">
      <c r="A623" s="8">
        <f t="shared" si="0"/>
        <v>8378.4961363738894</v>
      </c>
      <c r="B623" s="7">
        <f>(I623*'Optimal Choice'!$B$6+J623*'Optimal Choice'!$B$11+K623*'Optimal Choice'!$B$16+L623*'Optimal Choice'!$B$21+M623*'Optimal Choice'!$B$26)*'Optimal Choice'!$B$30</f>
        <v>267900.71999999997</v>
      </c>
      <c r="C623" s="8">
        <f>(O623/$B623)+(O623/'Optimal Choice'!$B$6)</f>
        <v>5696734.5754310023</v>
      </c>
      <c r="D623" s="8">
        <f>(P623/$B623)+(P623/'Optimal Choice'!$B$11)</f>
        <v>5358351.9033360407</v>
      </c>
      <c r="E623" s="8">
        <f>(Q623/$B623)+(Q623/'Optimal Choice'!$B$16)</f>
        <v>5813471.5219271211</v>
      </c>
      <c r="F623" s="8">
        <f>(R623/$B623)+(R623/'Optimal Choice'!$B$21)</f>
        <v>5517181.0850312421</v>
      </c>
      <c r="G623" s="8">
        <f>(S623/$B623)+(S623/'Optimal Choice'!$B$26)</f>
        <v>5677865.6601136709</v>
      </c>
      <c r="I623" s="11">
        <f t="shared" ref="I623:M623" si="621">IF(MIN($C622:$G622)=C622,I622+1,I622)</f>
        <v>216</v>
      </c>
      <c r="J623" s="11">
        <f t="shared" si="621"/>
        <v>102</v>
      </c>
      <c r="K623" s="11">
        <f t="shared" si="621"/>
        <v>102</v>
      </c>
      <c r="L623" s="11">
        <f t="shared" si="621"/>
        <v>100</v>
      </c>
      <c r="M623" s="11">
        <f t="shared" si="621"/>
        <v>102</v>
      </c>
      <c r="O623" s="10">
        <f>'Optimal Choice'!$B$7*'Optimal Choice'!$B$8^(I623+1)</f>
        <v>9513487.4371947777</v>
      </c>
      <c r="P623" s="10">
        <f>'Optimal Choice'!$B$12*'Optimal Choice'!$B$13^(J623+1)</f>
        <v>107159038.16002703</v>
      </c>
      <c r="Q623" s="10">
        <f>'Optimal Choice'!$B$17*'Optimal Choice'!$B$18^(K623+1)</f>
        <v>523036725.21996081</v>
      </c>
      <c r="R623" s="10">
        <f>'Optimal Choice'!$B$22*'Optimal Choice'!$B$23^(L623+1)</f>
        <v>1983519773.666791</v>
      </c>
      <c r="S623" s="10">
        <f>'Optimal Choice'!$B$27*'Optimal Choice'!$B$28^(M623+1)</f>
        <v>12166098366.917973</v>
      </c>
    </row>
    <row r="624" spans="1:19" ht="15.75" customHeight="1">
      <c r="A624" s="8">
        <f t="shared" si="0"/>
        <v>8385.162725285385</v>
      </c>
      <c r="B624" s="7">
        <f>(I624*'Optimal Choice'!$B$6+J624*'Optimal Choice'!$B$11+K624*'Optimal Choice'!$B$16+L624*'Optimal Choice'!$B$21+M624*'Optimal Choice'!$B$26)*'Optimal Choice'!$B$30</f>
        <v>267920.71999999997</v>
      </c>
      <c r="C624" s="8">
        <f>(O624/$B624)+(O624/'Optimal Choice'!$B$6)</f>
        <v>5696734.5727801248</v>
      </c>
      <c r="D624" s="8">
        <f>(P624/$B624)+(P624/'Optimal Choice'!$B$11)</f>
        <v>6162104.6544983312</v>
      </c>
      <c r="E624" s="8">
        <f>(Q624/$B624)+(Q624/'Optimal Choice'!$B$16)</f>
        <v>5813471.3761860365</v>
      </c>
      <c r="F624" s="8">
        <f>(R624/$B624)+(R624/'Optimal Choice'!$B$21)</f>
        <v>5517180.5323352097</v>
      </c>
      <c r="G624" s="8">
        <f>(S624/$B624)+(S624/'Optimal Choice'!$B$26)</f>
        <v>5677862.2701024413</v>
      </c>
      <c r="I624" s="11">
        <f t="shared" ref="I624:M624" si="622">IF(MIN($C623:$G623)=C623,I623+1,I623)</f>
        <v>216</v>
      </c>
      <c r="J624" s="11">
        <f t="shared" si="622"/>
        <v>103</v>
      </c>
      <c r="K624" s="11">
        <f t="shared" si="622"/>
        <v>102</v>
      </c>
      <c r="L624" s="11">
        <f t="shared" si="622"/>
        <v>100</v>
      </c>
      <c r="M624" s="11">
        <f t="shared" si="622"/>
        <v>102</v>
      </c>
      <c r="O624" s="10">
        <f>'Optimal Choice'!$B$7*'Optimal Choice'!$B$8^(I624+1)</f>
        <v>9513487.4371947777</v>
      </c>
      <c r="P624" s="10">
        <f>'Optimal Choice'!$B$12*'Optimal Choice'!$B$13^(J624+1)</f>
        <v>123232893.88403109</v>
      </c>
      <c r="Q624" s="10">
        <f>'Optimal Choice'!$B$17*'Optimal Choice'!$B$18^(K624+1)</f>
        <v>523036725.21996081</v>
      </c>
      <c r="R624" s="10">
        <f>'Optimal Choice'!$B$22*'Optimal Choice'!$B$23^(L624+1)</f>
        <v>1983519773.666791</v>
      </c>
      <c r="S624" s="10">
        <f>'Optimal Choice'!$B$27*'Optimal Choice'!$B$28^(M624+1)</f>
        <v>12166098366.917973</v>
      </c>
    </row>
    <row r="625" spans="1:19" ht="15.75" customHeight="1">
      <c r="A625" s="8">
        <f t="shared" si="0"/>
        <v>8508.5524462985504</v>
      </c>
      <c r="B625" s="7">
        <f>(I625*'Optimal Choice'!$B$6+J625*'Optimal Choice'!$B$11+K625*'Optimal Choice'!$B$16+L625*'Optimal Choice'!$B$21+M625*'Optimal Choice'!$B$26)*'Optimal Choice'!$B$30</f>
        <v>268280.71999999997</v>
      </c>
      <c r="C625" s="8">
        <f>(O625/$B625)+(O625/'Optimal Choice'!$B$6)</f>
        <v>5696734.5251319269</v>
      </c>
      <c r="D625" s="8">
        <f>(P625/$B625)+(P625/'Optimal Choice'!$B$11)</f>
        <v>6162104.0372877214</v>
      </c>
      <c r="E625" s="8">
        <f>(Q625/$B625)+(Q625/'Optimal Choice'!$B$16)</f>
        <v>5813468.7565622814</v>
      </c>
      <c r="F625" s="8">
        <f>(R625/$B625)+(R625/'Optimal Choice'!$B$21)</f>
        <v>6234402.7756247111</v>
      </c>
      <c r="G625" s="8">
        <f>(S625/$B625)+(S625/'Optimal Choice'!$B$26)</f>
        <v>5677801.3363309652</v>
      </c>
      <c r="I625" s="11">
        <f t="shared" ref="I625:M625" si="623">IF(MIN($C624:$G624)=C624,I624+1,I624)</f>
        <v>216</v>
      </c>
      <c r="J625" s="11">
        <f t="shared" si="623"/>
        <v>103</v>
      </c>
      <c r="K625" s="11">
        <f t="shared" si="623"/>
        <v>102</v>
      </c>
      <c r="L625" s="11">
        <f t="shared" si="623"/>
        <v>101</v>
      </c>
      <c r="M625" s="11">
        <f t="shared" si="623"/>
        <v>102</v>
      </c>
      <c r="O625" s="10">
        <f>'Optimal Choice'!$B$7*'Optimal Choice'!$B$8^(I625+1)</f>
        <v>9513487.4371947777</v>
      </c>
      <c r="P625" s="10">
        <f>'Optimal Choice'!$B$12*'Optimal Choice'!$B$13^(J625+1)</f>
        <v>123232893.88403109</v>
      </c>
      <c r="Q625" s="10">
        <f>'Optimal Choice'!$B$17*'Optimal Choice'!$B$18^(K625+1)</f>
        <v>523036725.21996081</v>
      </c>
      <c r="R625" s="10">
        <f>'Optimal Choice'!$B$22*'Optimal Choice'!$B$23^(L625+1)</f>
        <v>2241377344.2434735</v>
      </c>
      <c r="S625" s="10">
        <f>'Optimal Choice'!$B$27*'Optimal Choice'!$B$28^(M625+1)</f>
        <v>12166098366.917973</v>
      </c>
    </row>
    <row r="626" spans="1:19" ht="15.75" customHeight="1">
      <c r="A626" s="8">
        <f t="shared" si="0"/>
        <v>9264.358924361155</v>
      </c>
      <c r="B626" s="7">
        <f>(I626*'Optimal Choice'!$B$6+J626*'Optimal Choice'!$B$11+K626*'Optimal Choice'!$B$16+L626*'Optimal Choice'!$B$21+M626*'Optimal Choice'!$B$26)*'Optimal Choice'!$B$30</f>
        <v>270440.71999999997</v>
      </c>
      <c r="C626" s="8">
        <f>(O626/$B626)+(O626/'Optimal Choice'!$B$6)</f>
        <v>5696734.2419066867</v>
      </c>
      <c r="D626" s="8">
        <f>(P626/$B626)+(P626/'Optimal Choice'!$B$11)</f>
        <v>6162100.3685315298</v>
      </c>
      <c r="E626" s="8">
        <f>(Q626/$B626)+(Q626/'Optimal Choice'!$B$16)</f>
        <v>5813453.1852796162</v>
      </c>
      <c r="F626" s="8">
        <f>(R626/$B626)+(R626/'Optimal Choice'!$B$21)</f>
        <v>6234336.0477669816</v>
      </c>
      <c r="G626" s="8">
        <f>(S626/$B626)+(S626/'Optimal Choice'!$B$26)</f>
        <v>6358731.8372844234</v>
      </c>
      <c r="I626" s="11">
        <f t="shared" ref="I626:M626" si="624">IF(MIN($C625:$G625)=C625,I625+1,I625)</f>
        <v>216</v>
      </c>
      <c r="J626" s="11">
        <f t="shared" si="624"/>
        <v>103</v>
      </c>
      <c r="K626" s="11">
        <f t="shared" si="624"/>
        <v>102</v>
      </c>
      <c r="L626" s="11">
        <f t="shared" si="624"/>
        <v>101</v>
      </c>
      <c r="M626" s="11">
        <f t="shared" si="624"/>
        <v>103</v>
      </c>
      <c r="O626" s="10">
        <f>'Optimal Choice'!$B$7*'Optimal Choice'!$B$8^(I626+1)</f>
        <v>9513487.4371947777</v>
      </c>
      <c r="P626" s="10">
        <f>'Optimal Choice'!$B$12*'Optimal Choice'!$B$13^(J626+1)</f>
        <v>123232893.88403109</v>
      </c>
      <c r="Q626" s="10">
        <f>'Optimal Choice'!$B$17*'Optimal Choice'!$B$18^(K626+1)</f>
        <v>523036725.21996081</v>
      </c>
      <c r="R626" s="10">
        <f>'Optimal Choice'!$B$22*'Optimal Choice'!$B$23^(L626+1)</f>
        <v>2241377344.2434735</v>
      </c>
      <c r="S626" s="10">
        <f>'Optimal Choice'!$B$27*'Optimal Choice'!$B$28^(M626+1)</f>
        <v>13626030170.948133</v>
      </c>
    </row>
    <row r="627" spans="1:19" ht="15.75" customHeight="1">
      <c r="A627" s="8">
        <f t="shared" si="0"/>
        <v>9264.9452196644415</v>
      </c>
      <c r="B627" s="7">
        <f>(I627*'Optimal Choice'!$B$6+J627*'Optimal Choice'!$B$11+K627*'Optimal Choice'!$B$16+L627*'Optimal Choice'!$B$21+M627*'Optimal Choice'!$B$26)*'Optimal Choice'!$B$30</f>
        <v>270442.39</v>
      </c>
      <c r="C627" s="8">
        <f>(O627/$B627)+(O627/'Optimal Choice'!$B$6)</f>
        <v>6095505.6386077246</v>
      </c>
      <c r="D627" s="8">
        <f>(P627/$B627)+(P627/'Optimal Choice'!$B$11)</f>
        <v>6162100.36571771</v>
      </c>
      <c r="E627" s="8">
        <f>(Q627/$B627)+(Q627/'Optimal Choice'!$B$16)</f>
        <v>5813453.1733369362</v>
      </c>
      <c r="F627" s="8">
        <f>(R627/$B627)+(R627/'Optimal Choice'!$B$21)</f>
        <v>6234335.996588829</v>
      </c>
      <c r="G627" s="8">
        <f>(S627/$B627)+(S627/'Optimal Choice'!$B$26)</f>
        <v>6358731.5261565158</v>
      </c>
      <c r="I627" s="11">
        <f t="shared" ref="I627:M627" si="625">IF(MIN($C626:$G626)=C626,I626+1,I626)</f>
        <v>217</v>
      </c>
      <c r="J627" s="11">
        <f t="shared" si="625"/>
        <v>103</v>
      </c>
      <c r="K627" s="11">
        <f t="shared" si="625"/>
        <v>102</v>
      </c>
      <c r="L627" s="11">
        <f t="shared" si="625"/>
        <v>101</v>
      </c>
      <c r="M627" s="11">
        <f t="shared" si="625"/>
        <v>103</v>
      </c>
      <c r="O627" s="10">
        <f>'Optimal Choice'!$B$7*'Optimal Choice'!$B$8^(I627+1)</f>
        <v>10179431.557798412</v>
      </c>
      <c r="P627" s="10">
        <f>'Optimal Choice'!$B$12*'Optimal Choice'!$B$13^(J627+1)</f>
        <v>123232893.88403109</v>
      </c>
      <c r="Q627" s="10">
        <f>'Optimal Choice'!$B$17*'Optimal Choice'!$B$18^(K627+1)</f>
        <v>523036725.21996081</v>
      </c>
      <c r="R627" s="10">
        <f>'Optimal Choice'!$B$22*'Optimal Choice'!$B$23^(L627+1)</f>
        <v>2241377344.2434735</v>
      </c>
      <c r="S627" s="10">
        <f>'Optimal Choice'!$B$27*'Optimal Choice'!$B$28^(M627+1)</f>
        <v>13626030170.948133</v>
      </c>
    </row>
    <row r="628" spans="1:19" ht="15.75" customHeight="1">
      <c r="A628" s="8">
        <f t="shared" si="0"/>
        <v>9297.1786234354477</v>
      </c>
      <c r="B628" s="7">
        <f>(I628*'Optimal Choice'!$B$6+J628*'Optimal Choice'!$B$11+K628*'Optimal Choice'!$B$16+L628*'Optimal Choice'!$B$21+M628*'Optimal Choice'!$B$26)*'Optimal Choice'!$B$30</f>
        <v>270532.39</v>
      </c>
      <c r="C628" s="8">
        <f>(O628/$B628)+(O628/'Optimal Choice'!$B$6)</f>
        <v>6095505.6260857731</v>
      </c>
      <c r="D628" s="8">
        <f>(P628/$B628)+(P628/'Optimal Choice'!$B$11)</f>
        <v>6162100.2141261147</v>
      </c>
      <c r="E628" s="8">
        <f>(Q628/$B628)+(Q628/'Optimal Choice'!$B$16)</f>
        <v>6627335.8841287792</v>
      </c>
      <c r="F628" s="8">
        <f>(R628/$B628)+(R628/'Optimal Choice'!$B$21)</f>
        <v>6234333.2394194119</v>
      </c>
      <c r="G628" s="8">
        <f>(S628/$B628)+(S628/'Optimal Choice'!$B$26)</f>
        <v>6358714.7644658685</v>
      </c>
      <c r="I628" s="11">
        <f t="shared" ref="I628:M628" si="626">IF(MIN($C627:$G627)=C627,I627+1,I627)</f>
        <v>217</v>
      </c>
      <c r="J628" s="11">
        <f t="shared" si="626"/>
        <v>103</v>
      </c>
      <c r="K628" s="11">
        <f t="shared" si="626"/>
        <v>103</v>
      </c>
      <c r="L628" s="11">
        <f t="shared" si="626"/>
        <v>101</v>
      </c>
      <c r="M628" s="11">
        <f t="shared" si="626"/>
        <v>103</v>
      </c>
      <c r="O628" s="10">
        <f>'Optimal Choice'!$B$7*'Optimal Choice'!$B$8^(I628+1)</f>
        <v>10179431.557798412</v>
      </c>
      <c r="P628" s="10">
        <f>'Optimal Choice'!$B$12*'Optimal Choice'!$B$13^(J628+1)</f>
        <v>123232893.88403109</v>
      </c>
      <c r="Q628" s="10">
        <f>'Optimal Choice'!$B$17*'Optimal Choice'!$B$18^(K628+1)</f>
        <v>596261866.75075543</v>
      </c>
      <c r="R628" s="10">
        <f>'Optimal Choice'!$B$22*'Optimal Choice'!$B$23^(L628+1)</f>
        <v>2241377344.2434735</v>
      </c>
      <c r="S628" s="10">
        <f>'Optimal Choice'!$B$27*'Optimal Choice'!$B$28^(M628+1)</f>
        <v>13626030170.948133</v>
      </c>
    </row>
    <row r="629" spans="1:19" ht="15.75" customHeight="1">
      <c r="A629" s="8">
        <f t="shared" si="0"/>
        <v>9297.805746836937</v>
      </c>
      <c r="B629" s="7">
        <f>(I629*'Optimal Choice'!$B$6+J629*'Optimal Choice'!$B$11+K629*'Optimal Choice'!$B$16+L629*'Optimal Choice'!$B$21+M629*'Optimal Choice'!$B$26)*'Optimal Choice'!$B$30</f>
        <v>270534.06</v>
      </c>
      <c r="C629" s="8">
        <f>(O629/$B629)+(O629/'Optimal Choice'!$B$6)</f>
        <v>6522191.0196632463</v>
      </c>
      <c r="D629" s="8">
        <f>(P629/$B629)+(P629/'Optimal Choice'!$B$11)</f>
        <v>6162100.2113142014</v>
      </c>
      <c r="E629" s="8">
        <f>(Q629/$B629)+(Q629/'Optimal Choice'!$B$16)</f>
        <v>6627335.8705233494</v>
      </c>
      <c r="F629" s="8">
        <f>(R629/$B629)+(R629/'Optimal Choice'!$B$21)</f>
        <v>6234333.188275937</v>
      </c>
      <c r="G629" s="8">
        <f>(S629/$B629)+(S629/'Optimal Choice'!$B$26)</f>
        <v>6358714.453548776</v>
      </c>
      <c r="I629" s="11">
        <f t="shared" ref="I629:M629" si="627">IF(MIN($C628:$G628)=C628,I628+1,I628)</f>
        <v>218</v>
      </c>
      <c r="J629" s="11">
        <f t="shared" si="627"/>
        <v>103</v>
      </c>
      <c r="K629" s="11">
        <f t="shared" si="627"/>
        <v>103</v>
      </c>
      <c r="L629" s="11">
        <f t="shared" si="627"/>
        <v>101</v>
      </c>
      <c r="M629" s="11">
        <f t="shared" si="627"/>
        <v>103</v>
      </c>
      <c r="O629" s="10">
        <f>'Optimal Choice'!$B$7*'Optimal Choice'!$B$8^(I629+1)</f>
        <v>10891991.766844302</v>
      </c>
      <c r="P629" s="10">
        <f>'Optimal Choice'!$B$12*'Optimal Choice'!$B$13^(J629+1)</f>
        <v>123232893.88403109</v>
      </c>
      <c r="Q629" s="10">
        <f>'Optimal Choice'!$B$17*'Optimal Choice'!$B$18^(K629+1)</f>
        <v>596261866.75075543</v>
      </c>
      <c r="R629" s="10">
        <f>'Optimal Choice'!$B$22*'Optimal Choice'!$B$23^(L629+1)</f>
        <v>2241377344.2434735</v>
      </c>
      <c r="S629" s="10">
        <f>'Optimal Choice'!$B$27*'Optimal Choice'!$B$28^(M629+1)</f>
        <v>13626030170.948133</v>
      </c>
    </row>
    <row r="630" spans="1:19" ht="15.75" customHeight="1">
      <c r="A630" s="8">
        <f t="shared" si="0"/>
        <v>9305.3976987143978</v>
      </c>
      <c r="B630" s="7">
        <f>(I630*'Optimal Choice'!$B$6+J630*'Optimal Choice'!$B$11+K630*'Optimal Choice'!$B$16+L630*'Optimal Choice'!$B$21+M630*'Optimal Choice'!$B$26)*'Optimal Choice'!$B$30</f>
        <v>270554.06</v>
      </c>
      <c r="C630" s="8">
        <f>(O630/$B630)+(O630/'Optimal Choice'!$B$6)</f>
        <v>6522191.0166870523</v>
      </c>
      <c r="D630" s="8">
        <f>(P630/$B630)+(P630/'Optimal Choice'!$B$11)</f>
        <v>7086415.2042874862</v>
      </c>
      <c r="E630" s="8">
        <f>(Q630/$B630)+(Q630/'Optimal Choice'!$B$16)</f>
        <v>6627335.7075971132</v>
      </c>
      <c r="F630" s="8">
        <f>(R630/$B630)+(R630/'Optimal Choice'!$B$21)</f>
        <v>6234332.5758282943</v>
      </c>
      <c r="G630" s="8">
        <f>(S630/$B630)+(S630/'Optimal Choice'!$B$26)</f>
        <v>6358710.7302890187</v>
      </c>
      <c r="I630" s="11">
        <f t="shared" ref="I630:M630" si="628">IF(MIN($C629:$G629)=C629,I629+1,I629)</f>
        <v>218</v>
      </c>
      <c r="J630" s="11">
        <f t="shared" si="628"/>
        <v>104</v>
      </c>
      <c r="K630" s="11">
        <f t="shared" si="628"/>
        <v>103</v>
      </c>
      <c r="L630" s="11">
        <f t="shared" si="628"/>
        <v>101</v>
      </c>
      <c r="M630" s="11">
        <f t="shared" si="628"/>
        <v>103</v>
      </c>
      <c r="O630" s="10">
        <f>'Optimal Choice'!$B$7*'Optimal Choice'!$B$8^(I630+1)</f>
        <v>10891991.766844302</v>
      </c>
      <c r="P630" s="10">
        <f>'Optimal Choice'!$B$12*'Optimal Choice'!$B$13^(J630+1)</f>
        <v>141717827.96663573</v>
      </c>
      <c r="Q630" s="10">
        <f>'Optimal Choice'!$B$17*'Optimal Choice'!$B$18^(K630+1)</f>
        <v>596261866.75075543</v>
      </c>
      <c r="R630" s="10">
        <f>'Optimal Choice'!$B$22*'Optimal Choice'!$B$23^(L630+1)</f>
        <v>2241377344.2434735</v>
      </c>
      <c r="S630" s="10">
        <f>'Optimal Choice'!$B$27*'Optimal Choice'!$B$28^(M630+1)</f>
        <v>13626030170.948133</v>
      </c>
    </row>
    <row r="631" spans="1:19" ht="15.75" customHeight="1">
      <c r="A631" s="8">
        <f t="shared" si="0"/>
        <v>9443.4709882844181</v>
      </c>
      <c r="B631" s="7">
        <f>(I631*'Optimal Choice'!$B$6+J631*'Optimal Choice'!$B$11+K631*'Optimal Choice'!$B$16+L631*'Optimal Choice'!$B$21+M631*'Optimal Choice'!$B$26)*'Optimal Choice'!$B$30</f>
        <v>270914.06</v>
      </c>
      <c r="C631" s="8">
        <f>(O631/$B631)+(O631/'Optimal Choice'!$B$6)</f>
        <v>6522190.9631906953</v>
      </c>
      <c r="D631" s="8">
        <f>(P631/$B631)+(P631/'Optimal Choice'!$B$11)</f>
        <v>7086414.5082359631</v>
      </c>
      <c r="E631" s="8">
        <f>(Q631/$B631)+(Q631/'Optimal Choice'!$B$16)</f>
        <v>6627332.7790383957</v>
      </c>
      <c r="F631" s="8">
        <f>(R631/$B631)+(R631/'Optimal Choice'!$B$21)</f>
        <v>7044783.3709740872</v>
      </c>
      <c r="G631" s="8">
        <f>(S631/$B631)+(S631/'Optimal Choice'!$B$26)</f>
        <v>6358643.8056177311</v>
      </c>
      <c r="I631" s="11">
        <f t="shared" ref="I631:M631" si="629">IF(MIN($C630:$G630)=C630,I630+1,I630)</f>
        <v>218</v>
      </c>
      <c r="J631" s="11">
        <f t="shared" si="629"/>
        <v>104</v>
      </c>
      <c r="K631" s="11">
        <f t="shared" si="629"/>
        <v>103</v>
      </c>
      <c r="L631" s="11">
        <f t="shared" si="629"/>
        <v>102</v>
      </c>
      <c r="M631" s="11">
        <f t="shared" si="629"/>
        <v>103</v>
      </c>
      <c r="O631" s="10">
        <f>'Optimal Choice'!$B$7*'Optimal Choice'!$B$8^(I631+1)</f>
        <v>10891991.766844302</v>
      </c>
      <c r="P631" s="10">
        <f>'Optimal Choice'!$B$12*'Optimal Choice'!$B$13^(J631+1)</f>
        <v>141717827.96663573</v>
      </c>
      <c r="Q631" s="10">
        <f>'Optimal Choice'!$B$17*'Optimal Choice'!$B$18^(K631+1)</f>
        <v>596261866.75075543</v>
      </c>
      <c r="R631" s="10">
        <f>'Optimal Choice'!$B$22*'Optimal Choice'!$B$23^(L631+1)</f>
        <v>2532756398.9951248</v>
      </c>
      <c r="S631" s="10">
        <f>'Optimal Choice'!$B$27*'Optimal Choice'!$B$28^(M631+1)</f>
        <v>13626030170.948133</v>
      </c>
    </row>
    <row r="632" spans="1:19" ht="15.75" customHeight="1">
      <c r="A632" s="8">
        <f t="shared" si="0"/>
        <v>10281.746059165329</v>
      </c>
      <c r="B632" s="7">
        <f>(I632*'Optimal Choice'!$B$6+J632*'Optimal Choice'!$B$11+K632*'Optimal Choice'!$B$16+L632*'Optimal Choice'!$B$21+M632*'Optimal Choice'!$B$26)*'Optimal Choice'!$B$30</f>
        <v>273074.06</v>
      </c>
      <c r="C632" s="8">
        <f>(O632/$B632)+(O632/'Optimal Choice'!$B$6)</f>
        <v>6522190.6451746272</v>
      </c>
      <c r="D632" s="8">
        <f>(P632/$B632)+(P632/'Optimal Choice'!$B$11)</f>
        <v>7086410.3704669159</v>
      </c>
      <c r="E632" s="8">
        <f>(Q632/$B632)+(Q632/'Optimal Choice'!$B$16)</f>
        <v>6627315.3698392035</v>
      </c>
      <c r="F632" s="8">
        <f>(R632/$B632)+(R632/'Optimal Choice'!$B$21)</f>
        <v>7044709.4214845849</v>
      </c>
      <c r="G632" s="8">
        <f>(S632/$B632)+(S632/'Optimal Choice'!$B$26)</f>
        <v>7121235.4787637535</v>
      </c>
      <c r="I632" s="11">
        <f t="shared" ref="I632:M632" si="630">IF(MIN($C631:$G631)=C631,I631+1,I631)</f>
        <v>218</v>
      </c>
      <c r="J632" s="11">
        <f t="shared" si="630"/>
        <v>104</v>
      </c>
      <c r="K632" s="11">
        <f t="shared" si="630"/>
        <v>103</v>
      </c>
      <c r="L632" s="11">
        <f t="shared" si="630"/>
        <v>102</v>
      </c>
      <c r="M632" s="11">
        <f t="shared" si="630"/>
        <v>104</v>
      </c>
      <c r="O632" s="10">
        <f>'Optimal Choice'!$B$7*'Optimal Choice'!$B$8^(I632+1)</f>
        <v>10891991.766844302</v>
      </c>
      <c r="P632" s="10">
        <f>'Optimal Choice'!$B$12*'Optimal Choice'!$B$13^(J632+1)</f>
        <v>141717827.96663573</v>
      </c>
      <c r="Q632" s="10">
        <f>'Optimal Choice'!$B$17*'Optimal Choice'!$B$18^(K632+1)</f>
        <v>596261866.75075543</v>
      </c>
      <c r="R632" s="10">
        <f>'Optimal Choice'!$B$22*'Optimal Choice'!$B$23^(L632+1)</f>
        <v>2532756398.9951248</v>
      </c>
      <c r="S632" s="10">
        <f>'Optimal Choice'!$B$27*'Optimal Choice'!$B$28^(M632+1)</f>
        <v>15261153791.461906</v>
      </c>
    </row>
    <row r="633" spans="1:19" ht="15.75" customHeight="1">
      <c r="A633" s="8">
        <f t="shared" si="0"/>
        <v>10282.410835585741</v>
      </c>
      <c r="B633" s="7">
        <f>(I633*'Optimal Choice'!$B$6+J633*'Optimal Choice'!$B$11+K633*'Optimal Choice'!$B$16+L633*'Optimal Choice'!$B$21+M633*'Optimal Choice'!$B$26)*'Optimal Choice'!$B$30</f>
        <v>273075.73</v>
      </c>
      <c r="C633" s="8">
        <f>(O633/$B633)+(O633/'Optimal Choice'!$B$6)</f>
        <v>6978743.9900758471</v>
      </c>
      <c r="D633" s="8">
        <f>(P633/$B633)+(P633/'Optimal Choice'!$B$11)</f>
        <v>7086410.3672931315</v>
      </c>
      <c r="E633" s="8">
        <f>(Q633/$B633)+(Q633/'Optimal Choice'!$B$16)</f>
        <v>6627315.3564858623</v>
      </c>
      <c r="F633" s="8">
        <f>(R633/$B633)+(R633/'Optimal Choice'!$B$21)</f>
        <v>7044709.3647632636</v>
      </c>
      <c r="G633" s="8">
        <f>(S633/$B633)+(S633/'Optimal Choice'!$B$26)</f>
        <v>7121235.1369887553</v>
      </c>
      <c r="I633" s="11">
        <f t="shared" ref="I633:M633" si="631">IF(MIN($C632:$G632)=C632,I632+1,I632)</f>
        <v>219</v>
      </c>
      <c r="J633" s="11">
        <f t="shared" si="631"/>
        <v>104</v>
      </c>
      <c r="K633" s="11">
        <f t="shared" si="631"/>
        <v>103</v>
      </c>
      <c r="L633" s="11">
        <f t="shared" si="631"/>
        <v>102</v>
      </c>
      <c r="M633" s="11">
        <f t="shared" si="631"/>
        <v>104</v>
      </c>
      <c r="O633" s="10">
        <f>'Optimal Choice'!$B$7*'Optimal Choice'!$B$8^(I633+1)</f>
        <v>11654431.190523401</v>
      </c>
      <c r="P633" s="10">
        <f>'Optimal Choice'!$B$12*'Optimal Choice'!$B$13^(J633+1)</f>
        <v>141717827.96663573</v>
      </c>
      <c r="Q633" s="10">
        <f>'Optimal Choice'!$B$17*'Optimal Choice'!$B$18^(K633+1)</f>
        <v>596261866.75075543</v>
      </c>
      <c r="R633" s="10">
        <f>'Optimal Choice'!$B$22*'Optimal Choice'!$B$23^(L633+1)</f>
        <v>2532756398.9951248</v>
      </c>
      <c r="S633" s="10">
        <f>'Optimal Choice'!$B$27*'Optimal Choice'!$B$28^(M633+1)</f>
        <v>15261153791.461906</v>
      </c>
    </row>
    <row r="634" spans="1:19" ht="15.75" customHeight="1">
      <c r="A634" s="8">
        <f t="shared" si="0"/>
        <v>10318.80256391392</v>
      </c>
      <c r="B634" s="7">
        <f>(I634*'Optimal Choice'!$B$6+J634*'Optimal Choice'!$B$11+K634*'Optimal Choice'!$B$16+L634*'Optimal Choice'!$B$21+M634*'Optimal Choice'!$B$26)*'Optimal Choice'!$B$30</f>
        <v>273165.73</v>
      </c>
      <c r="C634" s="8">
        <f>(O634/$B634)+(O634/'Optimal Choice'!$B$6)</f>
        <v>6978743.9760145862</v>
      </c>
      <c r="D634" s="8">
        <f>(P634/$B634)+(P634/'Optimal Choice'!$B$11)</f>
        <v>7086410.1963082626</v>
      </c>
      <c r="E634" s="8">
        <f>(Q634/$B634)+(Q634/'Optimal Choice'!$B$16)</f>
        <v>7555138.6862782706</v>
      </c>
      <c r="F634" s="8">
        <f>(R634/$B634)+(R634/'Optimal Choice'!$B$21)</f>
        <v>7044706.3089513946</v>
      </c>
      <c r="G634" s="8">
        <f>(S634/$B634)+(S634/'Optimal Choice'!$B$26)</f>
        <v>7121216.7241580123</v>
      </c>
      <c r="I634" s="11">
        <f t="shared" ref="I634:M634" si="632">IF(MIN($C633:$G633)=C633,I633+1,I633)</f>
        <v>219</v>
      </c>
      <c r="J634" s="11">
        <f t="shared" si="632"/>
        <v>104</v>
      </c>
      <c r="K634" s="11">
        <f t="shared" si="632"/>
        <v>104</v>
      </c>
      <c r="L634" s="11">
        <f t="shared" si="632"/>
        <v>102</v>
      </c>
      <c r="M634" s="11">
        <f t="shared" si="632"/>
        <v>104</v>
      </c>
      <c r="O634" s="10">
        <f>'Optimal Choice'!$B$7*'Optimal Choice'!$B$8^(I634+1)</f>
        <v>11654431.190523401</v>
      </c>
      <c r="P634" s="10">
        <f>'Optimal Choice'!$B$12*'Optimal Choice'!$B$13^(J634+1)</f>
        <v>141717827.96663573</v>
      </c>
      <c r="Q634" s="10">
        <f>'Optimal Choice'!$B$17*'Optimal Choice'!$B$18^(K634+1)</f>
        <v>679738528.09586108</v>
      </c>
      <c r="R634" s="10">
        <f>'Optimal Choice'!$B$22*'Optimal Choice'!$B$23^(L634+1)</f>
        <v>2532756398.9951248</v>
      </c>
      <c r="S634" s="10">
        <f>'Optimal Choice'!$B$27*'Optimal Choice'!$B$28^(M634+1)</f>
        <v>15261153791.461906</v>
      </c>
    </row>
    <row r="635" spans="1:19" ht="15.75" customHeight="1">
      <c r="A635" s="8">
        <f t="shared" si="0"/>
        <v>10319.513635979372</v>
      </c>
      <c r="B635" s="7">
        <f>(I635*'Optimal Choice'!$B$6+J635*'Optimal Choice'!$B$11+K635*'Optimal Choice'!$B$16+L635*'Optimal Choice'!$B$21+M635*'Optimal Choice'!$B$26)*'Optimal Choice'!$B$30</f>
        <v>273167.40000000002</v>
      </c>
      <c r="C635" s="8">
        <f>(O635/$B635)+(O635/'Optimal Choice'!$B$6)</f>
        <v>7467256.0540565234</v>
      </c>
      <c r="D635" s="8">
        <f>(P635/$B635)+(P635/'Optimal Choice'!$B$11)</f>
        <v>7086410.1931366082</v>
      </c>
      <c r="E635" s="8">
        <f>(Q635/$B635)+(Q635/'Optimal Choice'!$B$16)</f>
        <v>7555138.671065676</v>
      </c>
      <c r="F635" s="8">
        <f>(R635/$B635)+(R635/'Optimal Choice'!$B$21)</f>
        <v>7044706.2522681355</v>
      </c>
      <c r="G635" s="8">
        <f>(S635/$B635)+(S635/'Optimal Choice'!$B$26)</f>
        <v>7121216.3826123634</v>
      </c>
      <c r="I635" s="11">
        <f t="shared" ref="I635:M635" si="633">IF(MIN($C634:$G634)=C634,I634+1,I634)</f>
        <v>220</v>
      </c>
      <c r="J635" s="11">
        <f t="shared" si="633"/>
        <v>104</v>
      </c>
      <c r="K635" s="11">
        <f t="shared" si="633"/>
        <v>104</v>
      </c>
      <c r="L635" s="11">
        <f t="shared" si="633"/>
        <v>102</v>
      </c>
      <c r="M635" s="11">
        <f t="shared" si="633"/>
        <v>104</v>
      </c>
      <c r="O635" s="10">
        <f>'Optimal Choice'!$B$7*'Optimal Choice'!$B$8^(I635+1)</f>
        <v>12470241.373860039</v>
      </c>
      <c r="P635" s="10">
        <f>'Optimal Choice'!$B$12*'Optimal Choice'!$B$13^(J635+1)</f>
        <v>141717827.96663573</v>
      </c>
      <c r="Q635" s="10">
        <f>'Optimal Choice'!$B$17*'Optimal Choice'!$B$18^(K635+1)</f>
        <v>679738528.09586108</v>
      </c>
      <c r="R635" s="10">
        <f>'Optimal Choice'!$B$22*'Optimal Choice'!$B$23^(L635+1)</f>
        <v>2532756398.9951248</v>
      </c>
      <c r="S635" s="10">
        <f>'Optimal Choice'!$B$27*'Optimal Choice'!$B$28^(M635+1)</f>
        <v>15261153791.461906</v>
      </c>
    </row>
    <row r="636" spans="1:19" ht="15.75" customHeight="1">
      <c r="A636" s="8">
        <f t="shared" si="0"/>
        <v>10474.043812896232</v>
      </c>
      <c r="B636" s="7">
        <f>(I636*'Optimal Choice'!$B$6+J636*'Optimal Choice'!$B$11+K636*'Optimal Choice'!$B$16+L636*'Optimal Choice'!$B$21+M636*'Optimal Choice'!$B$26)*'Optimal Choice'!$B$30</f>
        <v>273527.40000000002</v>
      </c>
      <c r="C636" s="8">
        <f>(O636/$B636)+(O636/'Optimal Choice'!$B$6)</f>
        <v>7467255.9939740701</v>
      </c>
      <c r="D636" s="8">
        <f>(P636/$B636)+(P636/'Optimal Choice'!$B$11)</f>
        <v>7086409.5103306817</v>
      </c>
      <c r="E636" s="8">
        <f>(Q636/$B636)+(Q636/'Optimal Choice'!$B$16)</f>
        <v>7555135.3960402124</v>
      </c>
      <c r="F636" s="8">
        <f>(R636/$B636)+(R636/'Optimal Choice'!$B$21)</f>
        <v>7960504.2756855553</v>
      </c>
      <c r="G636" s="8">
        <f>(S636/$B636)+(S636/'Optimal Choice'!$B$26)</f>
        <v>7121142.8533577798</v>
      </c>
      <c r="I636" s="11">
        <f t="shared" ref="I636:M636" si="634">IF(MIN($C635:$G635)=C635,I635+1,I635)</f>
        <v>220</v>
      </c>
      <c r="J636" s="11">
        <f t="shared" si="634"/>
        <v>104</v>
      </c>
      <c r="K636" s="11">
        <f t="shared" si="634"/>
        <v>104</v>
      </c>
      <c r="L636" s="11">
        <f t="shared" si="634"/>
        <v>103</v>
      </c>
      <c r="M636" s="11">
        <f t="shared" si="634"/>
        <v>104</v>
      </c>
      <c r="O636" s="10">
        <f>'Optimal Choice'!$B$7*'Optimal Choice'!$B$8^(I636+1)</f>
        <v>12470241.373860039</v>
      </c>
      <c r="P636" s="10">
        <f>'Optimal Choice'!$B$12*'Optimal Choice'!$B$13^(J636+1)</f>
        <v>141717827.96663573</v>
      </c>
      <c r="Q636" s="10">
        <f>'Optimal Choice'!$B$17*'Optimal Choice'!$B$18^(K636+1)</f>
        <v>679738528.09586108</v>
      </c>
      <c r="R636" s="10">
        <f>'Optimal Choice'!$B$22*'Optimal Choice'!$B$23^(L636+1)</f>
        <v>2862014730.864491</v>
      </c>
      <c r="S636" s="10">
        <f>'Optimal Choice'!$B$27*'Optimal Choice'!$B$28^(M636+1)</f>
        <v>15261153791.461906</v>
      </c>
    </row>
    <row r="637" spans="1:19" ht="15.75" customHeight="1">
      <c r="A637" s="8">
        <f t="shared" si="0"/>
        <v>10482.679012877821</v>
      </c>
      <c r="B637" s="7">
        <f>(I637*'Optimal Choice'!$B$6+J637*'Optimal Choice'!$B$11+K637*'Optimal Choice'!$B$16+L637*'Optimal Choice'!$B$21+M637*'Optimal Choice'!$B$26)*'Optimal Choice'!$B$30</f>
        <v>273547.40000000002</v>
      </c>
      <c r="C637" s="8">
        <f>(O637/$B637)+(O637/'Optimal Choice'!$B$6)</f>
        <v>7467255.990640793</v>
      </c>
      <c r="D637" s="8">
        <f>(P637/$B637)+(P637/'Optimal Choice'!$B$11)</f>
        <v>8149370.8933171704</v>
      </c>
      <c r="E637" s="8">
        <f>(Q637/$B637)+(Q637/'Optimal Choice'!$B$16)</f>
        <v>7555135.2143471045</v>
      </c>
      <c r="F637" s="8">
        <f>(R637/$B637)+(R637/'Optimal Choice'!$B$21)</f>
        <v>7960503.5106732305</v>
      </c>
      <c r="G637" s="8">
        <f>(S637/$B637)+(S637/'Optimal Choice'!$B$26)</f>
        <v>7121138.7740738364</v>
      </c>
      <c r="I637" s="11">
        <f t="shared" ref="I637:M637" si="635">IF(MIN($C636:$G636)=C636,I636+1,I636)</f>
        <v>220</v>
      </c>
      <c r="J637" s="11">
        <f t="shared" si="635"/>
        <v>105</v>
      </c>
      <c r="K637" s="11">
        <f t="shared" si="635"/>
        <v>104</v>
      </c>
      <c r="L637" s="11">
        <f t="shared" si="635"/>
        <v>103</v>
      </c>
      <c r="M637" s="11">
        <f t="shared" si="635"/>
        <v>104</v>
      </c>
      <c r="O637" s="10">
        <f>'Optimal Choice'!$B$7*'Optimal Choice'!$B$8^(I637+1)</f>
        <v>12470241.373860039</v>
      </c>
      <c r="P637" s="10">
        <f>'Optimal Choice'!$B$12*'Optimal Choice'!$B$13^(J637+1)</f>
        <v>162975502.16163105</v>
      </c>
      <c r="Q637" s="10">
        <f>'Optimal Choice'!$B$17*'Optimal Choice'!$B$18^(K637+1)</f>
        <v>679738528.09586108</v>
      </c>
      <c r="R637" s="10">
        <f>'Optimal Choice'!$B$22*'Optimal Choice'!$B$23^(L637+1)</f>
        <v>2862014730.864491</v>
      </c>
      <c r="S637" s="10">
        <f>'Optimal Choice'!$B$27*'Optimal Choice'!$B$28^(M637+1)</f>
        <v>15261153791.461906</v>
      </c>
    </row>
    <row r="638" spans="1:19" ht="15.75" customHeight="1">
      <c r="A638" s="8">
        <f t="shared" si="0"/>
        <v>11412.508955297422</v>
      </c>
      <c r="B638" s="7">
        <f>(I638*'Optimal Choice'!$B$6+J638*'Optimal Choice'!$B$11+K638*'Optimal Choice'!$B$16+L638*'Optimal Choice'!$B$21+M638*'Optimal Choice'!$B$26)*'Optimal Choice'!$B$30</f>
        <v>275707.40000000002</v>
      </c>
      <c r="C638" s="8">
        <f>(O638/$B638)+(O638/'Optimal Choice'!$B$6)</f>
        <v>7467255.633493308</v>
      </c>
      <c r="D638" s="8">
        <f>(P638/$B638)+(P638/'Optimal Choice'!$B$11)</f>
        <v>8149366.2257017596</v>
      </c>
      <c r="E638" s="8">
        <f>(Q638/$B638)+(Q638/'Optimal Choice'!$B$16)</f>
        <v>7555115.7466480536</v>
      </c>
      <c r="F638" s="8">
        <f>(R638/$B638)+(R638/'Optimal Choice'!$B$21)</f>
        <v>7960421.5426235255</v>
      </c>
      <c r="G638" s="8">
        <f>(S638/$B638)+(S638/'Optimal Choice'!$B$26)</f>
        <v>7975185.8982964307</v>
      </c>
      <c r="I638" s="11">
        <f t="shared" ref="I638:M638" si="636">IF(MIN($C637:$G637)=C637,I637+1,I637)</f>
        <v>220</v>
      </c>
      <c r="J638" s="11">
        <f t="shared" si="636"/>
        <v>105</v>
      </c>
      <c r="K638" s="11">
        <f t="shared" si="636"/>
        <v>104</v>
      </c>
      <c r="L638" s="11">
        <f t="shared" si="636"/>
        <v>103</v>
      </c>
      <c r="M638" s="11">
        <f t="shared" si="636"/>
        <v>105</v>
      </c>
      <c r="O638" s="10">
        <f>'Optimal Choice'!$B$7*'Optimal Choice'!$B$8^(I638+1)</f>
        <v>12470241.373860039</v>
      </c>
      <c r="P638" s="10">
        <f>'Optimal Choice'!$B$12*'Optimal Choice'!$B$13^(J638+1)</f>
        <v>162975502.16163105</v>
      </c>
      <c r="Q638" s="10">
        <f>'Optimal Choice'!$B$17*'Optimal Choice'!$B$18^(K638+1)</f>
        <v>679738528.09586108</v>
      </c>
      <c r="R638" s="10">
        <f>'Optimal Choice'!$B$22*'Optimal Choice'!$B$23^(L638+1)</f>
        <v>2862014730.864491</v>
      </c>
      <c r="S638" s="10">
        <f>'Optimal Choice'!$B$27*'Optimal Choice'!$B$28^(M638+1)</f>
        <v>17092492246.437338</v>
      </c>
    </row>
    <row r="639" spans="1:19" ht="15.75" customHeight="1">
      <c r="A639" s="8">
        <f t="shared" si="0"/>
        <v>11413.262788369117</v>
      </c>
      <c r="B639" s="7">
        <f>(I639*'Optimal Choice'!$B$6+J639*'Optimal Choice'!$B$11+K639*'Optimal Choice'!$B$16+L639*'Optimal Choice'!$B$21+M639*'Optimal Choice'!$B$26)*'Optimal Choice'!$B$30</f>
        <v>275709.07</v>
      </c>
      <c r="C639" s="8">
        <f>(O639/$B639)+(O639/'Optimal Choice'!$B$6)</f>
        <v>7989963.5275446987</v>
      </c>
      <c r="D639" s="8">
        <f>(P639/$B639)+(P639/'Optimal Choice'!$B$11)</f>
        <v>8149366.2221212955</v>
      </c>
      <c r="E639" s="8">
        <f>(Q639/$B639)+(Q639/'Optimal Choice'!$B$16)</f>
        <v>7555115.7317146482</v>
      </c>
      <c r="F639" s="8">
        <f>(R639/$B639)+(R639/'Optimal Choice'!$B$21)</f>
        <v>7960421.4797469536</v>
      </c>
      <c r="G639" s="8">
        <f>(S639/$B639)+(S639/'Optimal Choice'!$B$26)</f>
        <v>7975185.5227856701</v>
      </c>
      <c r="I639" s="11">
        <f t="shared" ref="I639:M639" si="637">IF(MIN($C638:$G638)=C638,I638+1,I638)</f>
        <v>221</v>
      </c>
      <c r="J639" s="11">
        <f t="shared" si="637"/>
        <v>105</v>
      </c>
      <c r="K639" s="11">
        <f t="shared" si="637"/>
        <v>104</v>
      </c>
      <c r="L639" s="11">
        <f t="shared" si="637"/>
        <v>103</v>
      </c>
      <c r="M639" s="11">
        <f t="shared" si="637"/>
        <v>105</v>
      </c>
      <c r="O639" s="10">
        <f>'Optimal Choice'!$B$7*'Optimal Choice'!$B$8^(I639+1)</f>
        <v>13343158.270030241</v>
      </c>
      <c r="P639" s="10">
        <f>'Optimal Choice'!$B$12*'Optimal Choice'!$B$13^(J639+1)</f>
        <v>162975502.16163105</v>
      </c>
      <c r="Q639" s="10">
        <f>'Optimal Choice'!$B$17*'Optimal Choice'!$B$18^(K639+1)</f>
        <v>679738528.09586108</v>
      </c>
      <c r="R639" s="10">
        <f>'Optimal Choice'!$B$22*'Optimal Choice'!$B$23^(L639+1)</f>
        <v>2862014730.864491</v>
      </c>
      <c r="S639" s="10">
        <f>'Optimal Choice'!$B$27*'Optimal Choice'!$B$28^(M639+1)</f>
        <v>17092492246.437338</v>
      </c>
    </row>
    <row r="640" spans="1:19" ht="15.75" customHeight="1">
      <c r="A640" s="8">
        <f t="shared" si="0"/>
        <v>11454.353114009344</v>
      </c>
      <c r="B640" s="7">
        <f>(I640*'Optimal Choice'!$B$6+J640*'Optimal Choice'!$B$11+K640*'Optimal Choice'!$B$16+L640*'Optimal Choice'!$B$21+M640*'Optimal Choice'!$B$26)*'Optimal Choice'!$B$30</f>
        <v>275799.07</v>
      </c>
      <c r="C640" s="8">
        <f>(O640/$B640)+(O640/'Optimal Choice'!$B$6)</f>
        <v>7989963.5117519656</v>
      </c>
      <c r="D640" s="8">
        <f>(P640/$B640)+(P640/'Optimal Choice'!$B$11)</f>
        <v>8149366.0292262882</v>
      </c>
      <c r="E640" s="8">
        <f>(Q640/$B640)+(Q640/'Optimal Choice'!$B$16)</f>
        <v>8612831.0169940833</v>
      </c>
      <c r="F640" s="8">
        <f>(R640/$B640)+(R640/'Optimal Choice'!$B$21)</f>
        <v>7960418.0923154401</v>
      </c>
      <c r="G640" s="8">
        <f>(S640/$B640)+(S640/'Optimal Choice'!$B$26)</f>
        <v>7975165.2924052123</v>
      </c>
      <c r="I640" s="11">
        <f t="shared" ref="I640:M640" si="638">IF(MIN($C639:$G639)=C639,I639+1,I639)</f>
        <v>221</v>
      </c>
      <c r="J640" s="11">
        <f t="shared" si="638"/>
        <v>105</v>
      </c>
      <c r="K640" s="11">
        <f t="shared" si="638"/>
        <v>105</v>
      </c>
      <c r="L640" s="11">
        <f t="shared" si="638"/>
        <v>103</v>
      </c>
      <c r="M640" s="11">
        <f t="shared" si="638"/>
        <v>105</v>
      </c>
      <c r="O640" s="10">
        <f>'Optimal Choice'!$B$7*'Optimal Choice'!$B$8^(I640+1)</f>
        <v>13343158.270030241</v>
      </c>
      <c r="P640" s="10">
        <f>'Optimal Choice'!$B$12*'Optimal Choice'!$B$13^(J640+1)</f>
        <v>162975502.16163105</v>
      </c>
      <c r="Q640" s="10">
        <f>'Optimal Choice'!$B$17*'Optimal Choice'!$B$18^(K640+1)</f>
        <v>774901922.02928162</v>
      </c>
      <c r="R640" s="10">
        <f>'Optimal Choice'!$B$22*'Optimal Choice'!$B$23^(L640+1)</f>
        <v>2862014730.864491</v>
      </c>
      <c r="S640" s="10">
        <f>'Optimal Choice'!$B$27*'Optimal Choice'!$B$28^(M640+1)</f>
        <v>17092492246.437338</v>
      </c>
    </row>
    <row r="641" spans="1:19" ht="15.75" customHeight="1">
      <c r="A641" s="8">
        <f t="shared" si="0"/>
        <v>11627.306001466173</v>
      </c>
      <c r="B641" s="7">
        <f>(I641*'Optimal Choice'!$B$6+J641*'Optimal Choice'!$B$11+K641*'Optimal Choice'!$B$16+L641*'Optimal Choice'!$B$21+M641*'Optimal Choice'!$B$26)*'Optimal Choice'!$B$30</f>
        <v>276159.07</v>
      </c>
      <c r="C641" s="8">
        <f>(O641/$B641)+(O641/'Optimal Choice'!$B$6)</f>
        <v>7989963.4486839697</v>
      </c>
      <c r="D641" s="8">
        <f>(P641/$B641)+(P641/'Optimal Choice'!$B$11)</f>
        <v>8149365.2589035463</v>
      </c>
      <c r="E641" s="8">
        <f>(Q641/$B641)+(Q641/'Optimal Choice'!$B$16)</f>
        <v>8612827.3543296605</v>
      </c>
      <c r="F641" s="8">
        <f>(R641/$B641)+(R641/'Optimal Choice'!$B$21)</f>
        <v>8995257.1580755245</v>
      </c>
      <c r="G641" s="8">
        <f>(S641/$B641)+(S641/'Optimal Choice'!$B$26)</f>
        <v>7975084.5027446514</v>
      </c>
      <c r="I641" s="11">
        <f t="shared" ref="I641:M641" si="639">IF(MIN($C640:$G640)=C640,I640+1,I640)</f>
        <v>221</v>
      </c>
      <c r="J641" s="11">
        <f t="shared" si="639"/>
        <v>105</v>
      </c>
      <c r="K641" s="11">
        <f t="shared" si="639"/>
        <v>105</v>
      </c>
      <c r="L641" s="11">
        <f t="shared" si="639"/>
        <v>104</v>
      </c>
      <c r="M641" s="11">
        <f t="shared" si="639"/>
        <v>105</v>
      </c>
      <c r="O641" s="10">
        <f>'Optimal Choice'!$B$7*'Optimal Choice'!$B$8^(I641+1)</f>
        <v>13343158.270030241</v>
      </c>
      <c r="P641" s="10">
        <f>'Optimal Choice'!$B$12*'Optimal Choice'!$B$13^(J641+1)</f>
        <v>162975502.16163105</v>
      </c>
      <c r="Q641" s="10">
        <f>'Optimal Choice'!$B$17*'Optimal Choice'!$B$18^(K641+1)</f>
        <v>774901922.02928162</v>
      </c>
      <c r="R641" s="10">
        <f>'Optimal Choice'!$B$22*'Optimal Choice'!$B$23^(L641+1)</f>
        <v>3234076645.8768744</v>
      </c>
      <c r="S641" s="10">
        <f>'Optimal Choice'!$B$27*'Optimal Choice'!$B$28^(M641+1)</f>
        <v>17092492246.437338</v>
      </c>
    </row>
    <row r="642" spans="1:19" ht="15.75" customHeight="1">
      <c r="A642" s="8">
        <f t="shared" si="0"/>
        <v>12658.866800008678</v>
      </c>
      <c r="B642" s="7">
        <f>(I642*'Optimal Choice'!$B$6+J642*'Optimal Choice'!$B$11+K642*'Optimal Choice'!$B$16+L642*'Optimal Choice'!$B$21+M642*'Optimal Choice'!$B$26)*'Optimal Choice'!$B$30</f>
        <v>278319.07</v>
      </c>
      <c r="C642" s="8">
        <f>(O642/$B642)+(O642/'Optimal Choice'!$B$6)</f>
        <v>7989963.0737022357</v>
      </c>
      <c r="D642" s="8">
        <f>(P642/$B642)+(P642/'Optimal Choice'!$B$11)</f>
        <v>8149360.6788157513</v>
      </c>
      <c r="E642" s="8">
        <f>(Q642/$B642)+(Q642/'Optimal Choice'!$B$16)</f>
        <v>8612805.5773215331</v>
      </c>
      <c r="F642" s="8">
        <f>(R642/$B642)+(R642/'Optimal Choice'!$B$21)</f>
        <v>8995166.27107241</v>
      </c>
      <c r="G642" s="8">
        <f>(S642/$B642)+(S642/'Optimal Choice'!$B$26)</f>
        <v>8931556.652224049</v>
      </c>
      <c r="I642" s="11">
        <f t="shared" ref="I642:M642" si="640">IF(MIN($C641:$G641)=C641,I641+1,I641)</f>
        <v>221</v>
      </c>
      <c r="J642" s="11">
        <f t="shared" si="640"/>
        <v>105</v>
      </c>
      <c r="K642" s="11">
        <f t="shared" si="640"/>
        <v>105</v>
      </c>
      <c r="L642" s="11">
        <f t="shared" si="640"/>
        <v>104</v>
      </c>
      <c r="M642" s="11">
        <f t="shared" si="640"/>
        <v>106</v>
      </c>
      <c r="O642" s="10">
        <f>'Optimal Choice'!$B$7*'Optimal Choice'!$B$8^(I642+1)</f>
        <v>13343158.270030241</v>
      </c>
      <c r="P642" s="10">
        <f>'Optimal Choice'!$B$12*'Optimal Choice'!$B$13^(J642+1)</f>
        <v>162975502.16163105</v>
      </c>
      <c r="Q642" s="10">
        <f>'Optimal Choice'!$B$17*'Optimal Choice'!$B$18^(K642+1)</f>
        <v>774901922.02928162</v>
      </c>
      <c r="R642" s="10">
        <f>'Optimal Choice'!$B$22*'Optimal Choice'!$B$23^(L642+1)</f>
        <v>3234076645.8768744</v>
      </c>
      <c r="S642" s="10">
        <f>'Optimal Choice'!$B$27*'Optimal Choice'!$B$28^(M642+1)</f>
        <v>19143591316.009823</v>
      </c>
    </row>
    <row r="643" spans="1:19" ht="15.75" customHeight="1">
      <c r="A643" s="8">
        <f t="shared" si="0"/>
        <v>12659.66583246868</v>
      </c>
      <c r="B643" s="7">
        <f>(I643*'Optimal Choice'!$B$6+J643*'Optimal Choice'!$B$11+K643*'Optimal Choice'!$B$16+L643*'Optimal Choice'!$B$21+M643*'Optimal Choice'!$B$26)*'Optimal Choice'!$B$30</f>
        <v>278320.74</v>
      </c>
      <c r="C643" s="8">
        <f>(O643/$B643)+(O643/'Optimal Choice'!$B$6)</f>
        <v>8549260.4885535948</v>
      </c>
      <c r="D643" s="8">
        <f>(P643/$B643)+(P643/'Optimal Choice'!$B$11)</f>
        <v>8149360.6753021684</v>
      </c>
      <c r="E643" s="8">
        <f>(Q643/$B643)+(Q643/'Optimal Choice'!$B$16)</f>
        <v>8612805.5606154483</v>
      </c>
      <c r="F643" s="8">
        <f>(R643/$B643)+(R643/'Optimal Choice'!$B$21)</f>
        <v>8995166.201349061</v>
      </c>
      <c r="G643" s="8">
        <f>(S643/$B643)+(S643/'Optimal Choice'!$B$26)</f>
        <v>8931556.2395080067</v>
      </c>
      <c r="I643" s="11">
        <f t="shared" ref="I643:M643" si="641">IF(MIN($C642:$G642)=C642,I642+1,I642)</f>
        <v>222</v>
      </c>
      <c r="J643" s="11">
        <f t="shared" si="641"/>
        <v>105</v>
      </c>
      <c r="K643" s="11">
        <f t="shared" si="641"/>
        <v>105</v>
      </c>
      <c r="L643" s="11">
        <f t="shared" si="641"/>
        <v>104</v>
      </c>
      <c r="M643" s="11">
        <f t="shared" si="641"/>
        <v>106</v>
      </c>
      <c r="O643" s="10">
        <f>'Optimal Choice'!$B$7*'Optimal Choice'!$B$8^(I643+1)</f>
        <v>14277179.348932363</v>
      </c>
      <c r="P643" s="10">
        <f>'Optimal Choice'!$B$12*'Optimal Choice'!$B$13^(J643+1)</f>
        <v>162975502.16163105</v>
      </c>
      <c r="Q643" s="10">
        <f>'Optimal Choice'!$B$17*'Optimal Choice'!$B$18^(K643+1)</f>
        <v>774901922.02928162</v>
      </c>
      <c r="R643" s="10">
        <f>'Optimal Choice'!$B$22*'Optimal Choice'!$B$23^(L643+1)</f>
        <v>3234076645.8768744</v>
      </c>
      <c r="S643" s="10">
        <f>'Optimal Choice'!$B$27*'Optimal Choice'!$B$28^(M643+1)</f>
        <v>19143591316.009823</v>
      </c>
    </row>
    <row r="644" spans="1:19" ht="15.75" customHeight="1">
      <c r="A644" s="8">
        <f t="shared" si="0"/>
        <v>12669.425286145615</v>
      </c>
      <c r="B644" s="7">
        <f>(I644*'Optimal Choice'!$B$6+J644*'Optimal Choice'!$B$11+K644*'Optimal Choice'!$B$16+L644*'Optimal Choice'!$B$21+M644*'Optimal Choice'!$B$26)*'Optimal Choice'!$B$30</f>
        <v>278340.74</v>
      </c>
      <c r="C644" s="8">
        <f>(O644/$B644)+(O644/'Optimal Choice'!$B$6)</f>
        <v>8549260.4848676398</v>
      </c>
      <c r="D644" s="8">
        <f>(P644/$B644)+(P644/'Optimal Choice'!$B$11)</f>
        <v>9371764.7282105926</v>
      </c>
      <c r="E644" s="8">
        <f>(Q644/$B644)+(Q644/'Optimal Choice'!$B$16)</f>
        <v>8612805.3605581578</v>
      </c>
      <c r="F644" s="8">
        <f>(R644/$B644)+(R644/'Optimal Choice'!$B$21)</f>
        <v>8995165.3664038926</v>
      </c>
      <c r="G644" s="8">
        <f>(S644/$B644)+(S644/'Optimal Choice'!$B$26)</f>
        <v>8931551.2971857227</v>
      </c>
      <c r="I644" s="11">
        <f t="shared" ref="I644:M644" si="642">IF(MIN($C643:$G643)=C643,I643+1,I643)</f>
        <v>222</v>
      </c>
      <c r="J644" s="11">
        <f t="shared" si="642"/>
        <v>106</v>
      </c>
      <c r="K644" s="11">
        <f t="shared" si="642"/>
        <v>105</v>
      </c>
      <c r="L644" s="11">
        <f t="shared" si="642"/>
        <v>104</v>
      </c>
      <c r="M644" s="11">
        <f t="shared" si="642"/>
        <v>106</v>
      </c>
      <c r="O644" s="10">
        <f>'Optimal Choice'!$B$7*'Optimal Choice'!$B$8^(I644+1)</f>
        <v>14277179.348932363</v>
      </c>
      <c r="P644" s="10">
        <f>'Optimal Choice'!$B$12*'Optimal Choice'!$B$13^(J644+1)</f>
        <v>187421827.48587573</v>
      </c>
      <c r="Q644" s="10">
        <f>'Optimal Choice'!$B$17*'Optimal Choice'!$B$18^(K644+1)</f>
        <v>774901922.02928162</v>
      </c>
      <c r="R644" s="10">
        <f>'Optimal Choice'!$B$22*'Optimal Choice'!$B$23^(L644+1)</f>
        <v>3234076645.8768744</v>
      </c>
      <c r="S644" s="10">
        <f>'Optimal Choice'!$B$27*'Optimal Choice'!$B$28^(M644+1)</f>
        <v>19143591316.009823</v>
      </c>
    </row>
    <row r="645" spans="1:19" ht="15.75" customHeight="1">
      <c r="A645" s="8">
        <f t="shared" si="0"/>
        <v>12670.280184315206</v>
      </c>
      <c r="B645" s="7">
        <f>(I645*'Optimal Choice'!$B$6+J645*'Optimal Choice'!$B$11+K645*'Optimal Choice'!$B$16+L645*'Optimal Choice'!$B$21+M645*'Optimal Choice'!$B$26)*'Optimal Choice'!$B$30</f>
        <v>278342.41000000003</v>
      </c>
      <c r="C645" s="8">
        <f>(O645/$B645)+(O645/'Optimal Choice'!$B$6)</f>
        <v>9147708.7184790745</v>
      </c>
      <c r="D645" s="8">
        <f>(P645/$B645)+(P645/'Optimal Choice'!$B$11)</f>
        <v>9371764.724170601</v>
      </c>
      <c r="E645" s="8">
        <f>(Q645/$B645)+(Q645/'Optimal Choice'!$B$16)</f>
        <v>8612805.3438546732</v>
      </c>
      <c r="F645" s="8">
        <f>(R645/$B645)+(R645/'Optimal Choice'!$B$21)</f>
        <v>8995165.2966913991</v>
      </c>
      <c r="G645" s="8">
        <f>(S645/$B645)+(S645/'Optimal Choice'!$B$26)</f>
        <v>8931550.8845339399</v>
      </c>
      <c r="I645" s="11">
        <f t="shared" ref="I645:M645" si="643">IF(MIN($C644:$G644)=C644,I644+1,I644)</f>
        <v>223</v>
      </c>
      <c r="J645" s="11">
        <f t="shared" si="643"/>
        <v>106</v>
      </c>
      <c r="K645" s="11">
        <f t="shared" si="643"/>
        <v>105</v>
      </c>
      <c r="L645" s="11">
        <f t="shared" si="643"/>
        <v>104</v>
      </c>
      <c r="M645" s="11">
        <f t="shared" si="643"/>
        <v>106</v>
      </c>
      <c r="O645" s="10">
        <f>'Optimal Choice'!$B$7*'Optimal Choice'!$B$8^(I645+1)</f>
        <v>15276581.903357623</v>
      </c>
      <c r="P645" s="10">
        <f>'Optimal Choice'!$B$12*'Optimal Choice'!$B$13^(J645+1)</f>
        <v>187421827.48587573</v>
      </c>
      <c r="Q645" s="10">
        <f>'Optimal Choice'!$B$17*'Optimal Choice'!$B$18^(K645+1)</f>
        <v>774901922.02928162</v>
      </c>
      <c r="R645" s="10">
        <f>'Optimal Choice'!$B$22*'Optimal Choice'!$B$23^(L645+1)</f>
        <v>3234076645.8768744</v>
      </c>
      <c r="S645" s="10">
        <f>'Optimal Choice'!$B$27*'Optimal Choice'!$B$28^(M645+1)</f>
        <v>19143591316.009823</v>
      </c>
    </row>
    <row r="646" spans="1:19" ht="15.75" customHeight="1">
      <c r="A646" s="8">
        <f t="shared" si="0"/>
        <v>12716.679983877988</v>
      </c>
      <c r="B646" s="7">
        <f>(I646*'Optimal Choice'!$B$6+J646*'Optimal Choice'!$B$11+K646*'Optimal Choice'!$B$16+L646*'Optimal Choice'!$B$21+M646*'Optimal Choice'!$B$26)*'Optimal Choice'!$B$30</f>
        <v>278432.41000000003</v>
      </c>
      <c r="C646" s="8">
        <f>(O646/$B646)+(O646/'Optimal Choice'!$B$6)</f>
        <v>9147708.7007384244</v>
      </c>
      <c r="D646" s="8">
        <f>(P646/$B646)+(P646/'Optimal Choice'!$B$11)</f>
        <v>9371764.5065181758</v>
      </c>
      <c r="E646" s="8">
        <f>(Q646/$B646)+(Q646/'Optimal Choice'!$B$16)</f>
        <v>9818597.0661181863</v>
      </c>
      <c r="F646" s="8">
        <f>(R646/$B646)+(R646/'Optimal Choice'!$B$21)</f>
        <v>8995161.5409675837</v>
      </c>
      <c r="G646" s="8">
        <f>(S646/$B646)+(S646/'Optimal Choice'!$B$26)</f>
        <v>8931528.6531369518</v>
      </c>
      <c r="I646" s="11">
        <f t="shared" ref="I646:M646" si="644">IF(MIN($C645:$G645)=C645,I645+1,I645)</f>
        <v>223</v>
      </c>
      <c r="J646" s="11">
        <f t="shared" si="644"/>
        <v>106</v>
      </c>
      <c r="K646" s="11">
        <f t="shared" si="644"/>
        <v>106</v>
      </c>
      <c r="L646" s="11">
        <f t="shared" si="644"/>
        <v>104</v>
      </c>
      <c r="M646" s="11">
        <f t="shared" si="644"/>
        <v>106</v>
      </c>
      <c r="O646" s="10">
        <f>'Optimal Choice'!$B$7*'Optimal Choice'!$B$8^(I646+1)</f>
        <v>15276581.903357623</v>
      </c>
      <c r="P646" s="10">
        <f>'Optimal Choice'!$B$12*'Optimal Choice'!$B$13^(J646+1)</f>
        <v>187421827.48587573</v>
      </c>
      <c r="Q646" s="10">
        <f>'Optimal Choice'!$B$17*'Optimal Choice'!$B$18^(K646+1)</f>
        <v>883388191.11338103</v>
      </c>
      <c r="R646" s="10">
        <f>'Optimal Choice'!$B$22*'Optimal Choice'!$B$23^(L646+1)</f>
        <v>3234076645.8768744</v>
      </c>
      <c r="S646" s="10">
        <f>'Optimal Choice'!$B$27*'Optimal Choice'!$B$28^(M646+1)</f>
        <v>19143591316.009823</v>
      </c>
    </row>
    <row r="647" spans="1:19" ht="15.75" customHeight="1">
      <c r="A647" s="8">
        <f t="shared" si="0"/>
        <v>13862.59491262795</v>
      </c>
      <c r="B647" s="7">
        <f>(I647*'Optimal Choice'!$B$6+J647*'Optimal Choice'!$B$11+K647*'Optimal Choice'!$B$16+L647*'Optimal Choice'!$B$21+M647*'Optimal Choice'!$B$26)*'Optimal Choice'!$B$30</f>
        <v>280592.41000000003</v>
      </c>
      <c r="C647" s="8">
        <f>(O647/$B647)+(O647/'Optimal Choice'!$B$6)</f>
        <v>9147708.2783770077</v>
      </c>
      <c r="D647" s="8">
        <f>(P647/$B647)+(P647/'Optimal Choice'!$B$11)</f>
        <v>9371759.3247472066</v>
      </c>
      <c r="E647" s="8">
        <f>(Q647/$B647)+(Q647/'Optimal Choice'!$B$16)</f>
        <v>9818572.6425206494</v>
      </c>
      <c r="F647" s="8">
        <f>(R647/$B647)+(R647/'Optimal Choice'!$B$21)</f>
        <v>8995072.1263849549</v>
      </c>
      <c r="G647" s="8">
        <f>(S647/$B647)+(S647/'Optimal Choice'!$B$26)</f>
        <v>10002719.30340576</v>
      </c>
      <c r="I647" s="11">
        <f t="shared" ref="I647:M647" si="645">IF(MIN($C646:$G646)=C646,I646+1,I646)</f>
        <v>223</v>
      </c>
      <c r="J647" s="11">
        <f t="shared" si="645"/>
        <v>106</v>
      </c>
      <c r="K647" s="11">
        <f t="shared" si="645"/>
        <v>106</v>
      </c>
      <c r="L647" s="11">
        <f t="shared" si="645"/>
        <v>104</v>
      </c>
      <c r="M647" s="11">
        <f t="shared" si="645"/>
        <v>107</v>
      </c>
      <c r="O647" s="10">
        <f>'Optimal Choice'!$B$7*'Optimal Choice'!$B$8^(I647+1)</f>
        <v>15276581.903357623</v>
      </c>
      <c r="P647" s="10">
        <f>'Optimal Choice'!$B$12*'Optimal Choice'!$B$13^(J647+1)</f>
        <v>187421827.48587573</v>
      </c>
      <c r="Q647" s="10">
        <f>'Optimal Choice'!$B$17*'Optimal Choice'!$B$18^(K647+1)</f>
        <v>883388191.11338103</v>
      </c>
      <c r="R647" s="10">
        <f>'Optimal Choice'!$B$22*'Optimal Choice'!$B$23^(L647+1)</f>
        <v>3234076645.8768744</v>
      </c>
      <c r="S647" s="10">
        <f>'Optimal Choice'!$B$27*'Optimal Choice'!$B$28^(M647+1)</f>
        <v>21440822273.931</v>
      </c>
    </row>
    <row r="648" spans="1:19" ht="15.75" customHeight="1">
      <c r="A648" s="8">
        <f t="shared" si="0"/>
        <v>14054.693043262636</v>
      </c>
      <c r="B648" s="7">
        <f>(I648*'Optimal Choice'!$B$6+J648*'Optimal Choice'!$B$11+K648*'Optimal Choice'!$B$16+L648*'Optimal Choice'!$B$21+M648*'Optimal Choice'!$B$26)*'Optimal Choice'!$B$30</f>
        <v>280952.41000000003</v>
      </c>
      <c r="C648" s="8">
        <f>(O648/$B648)+(O648/'Optimal Choice'!$B$6)</f>
        <v>9147708.2086148318</v>
      </c>
      <c r="D648" s="8">
        <f>(P648/$B648)+(P648/'Optimal Choice'!$B$11)</f>
        <v>9371758.4688650183</v>
      </c>
      <c r="E648" s="8">
        <f>(Q648/$B648)+(Q648/'Optimal Choice'!$B$16)</f>
        <v>9818568.6084322631</v>
      </c>
      <c r="F648" s="8">
        <f>(R648/$B648)+(R648/'Optimal Choice'!$B$21)</f>
        <v>10164414.814112548</v>
      </c>
      <c r="G648" s="8">
        <f>(S648/$B648)+(S648/'Optimal Choice'!$B$26)</f>
        <v>10002621.391555715</v>
      </c>
      <c r="I648" s="11">
        <f t="shared" ref="I648:M648" si="646">IF(MIN($C647:$G647)=C647,I647+1,I647)</f>
        <v>223</v>
      </c>
      <c r="J648" s="11">
        <f t="shared" si="646"/>
        <v>106</v>
      </c>
      <c r="K648" s="11">
        <f t="shared" si="646"/>
        <v>106</v>
      </c>
      <c r="L648" s="11">
        <f t="shared" si="646"/>
        <v>105</v>
      </c>
      <c r="M648" s="11">
        <f t="shared" si="646"/>
        <v>107</v>
      </c>
      <c r="O648" s="10">
        <f>'Optimal Choice'!$B$7*'Optimal Choice'!$B$8^(I648+1)</f>
        <v>15276581.903357623</v>
      </c>
      <c r="P648" s="10">
        <f>'Optimal Choice'!$B$12*'Optimal Choice'!$B$13^(J648+1)</f>
        <v>187421827.48587573</v>
      </c>
      <c r="Q648" s="10">
        <f>'Optimal Choice'!$B$17*'Optimal Choice'!$B$18^(K648+1)</f>
        <v>883388191.11338103</v>
      </c>
      <c r="R648" s="10">
        <f>'Optimal Choice'!$B$22*'Optimal Choice'!$B$23^(L648+1)</f>
        <v>3654506609.8408675</v>
      </c>
      <c r="S648" s="10">
        <f>'Optimal Choice'!$B$27*'Optimal Choice'!$B$28^(M648+1)</f>
        <v>21440822273.931</v>
      </c>
    </row>
    <row r="649" spans="1:19" ht="15.75" customHeight="1">
      <c r="A649" s="8">
        <f t="shared" si="0"/>
        <v>14055.599281078461</v>
      </c>
      <c r="B649" s="7">
        <f>(I649*'Optimal Choice'!$B$6+J649*'Optimal Choice'!$B$11+K649*'Optimal Choice'!$B$16+L649*'Optimal Choice'!$B$21+M649*'Optimal Choice'!$B$26)*'Optimal Choice'!$B$30</f>
        <v>280954.08</v>
      </c>
      <c r="C649" s="8">
        <f>(O649/$B649)+(O649/'Optimal Choice'!$B$6)</f>
        <v>9788047.7828720436</v>
      </c>
      <c r="D649" s="8">
        <f>(P649/$B649)+(P649/'Optimal Choice'!$B$11)</f>
        <v>9371758.4648997877</v>
      </c>
      <c r="E649" s="8">
        <f>(Q649/$B649)+(Q649/'Optimal Choice'!$B$16)</f>
        <v>9818568.5897426661</v>
      </c>
      <c r="F649" s="8">
        <f>(R649/$B649)+(R649/'Optimal Choice'!$B$21)</f>
        <v>10164414.73679517</v>
      </c>
      <c r="G649" s="8">
        <f>(S649/$B649)+(S649/'Optimal Choice'!$B$26)</f>
        <v>10002620.937938213</v>
      </c>
      <c r="I649" s="11">
        <f t="shared" ref="I649:M649" si="647">IF(MIN($C648:$G648)=C648,I648+1,I648)</f>
        <v>224</v>
      </c>
      <c r="J649" s="11">
        <f t="shared" si="647"/>
        <v>106</v>
      </c>
      <c r="K649" s="11">
        <f t="shared" si="647"/>
        <v>106</v>
      </c>
      <c r="L649" s="11">
        <f t="shared" si="647"/>
        <v>105</v>
      </c>
      <c r="M649" s="11">
        <f t="shared" si="647"/>
        <v>107</v>
      </c>
      <c r="O649" s="10">
        <f>'Optimal Choice'!$B$7*'Optimal Choice'!$B$8^(I649+1)</f>
        <v>16345942.636592658</v>
      </c>
      <c r="P649" s="10">
        <f>'Optimal Choice'!$B$12*'Optimal Choice'!$B$13^(J649+1)</f>
        <v>187421827.48587573</v>
      </c>
      <c r="Q649" s="10">
        <f>'Optimal Choice'!$B$17*'Optimal Choice'!$B$18^(K649+1)</f>
        <v>883388191.11338103</v>
      </c>
      <c r="R649" s="10">
        <f>'Optimal Choice'!$B$22*'Optimal Choice'!$B$23^(L649+1)</f>
        <v>3654506609.8408675</v>
      </c>
      <c r="S649" s="10">
        <f>'Optimal Choice'!$B$27*'Optimal Choice'!$B$28^(M649+1)</f>
        <v>21440822273.931</v>
      </c>
    </row>
    <row r="650" spans="1:19" ht="15.75" customHeight="1">
      <c r="A650" s="8">
        <f t="shared" si="0"/>
        <v>14066.717457845158</v>
      </c>
      <c r="B650" s="7">
        <f>(I650*'Optimal Choice'!$B$6+J650*'Optimal Choice'!$B$11+K650*'Optimal Choice'!$B$16+L650*'Optimal Choice'!$B$21+M650*'Optimal Choice'!$B$26)*'Optimal Choice'!$B$30</f>
        <v>280974.08000000002</v>
      </c>
      <c r="C650" s="8">
        <f>(O650/$B650)+(O650/'Optimal Choice'!$B$6)</f>
        <v>9788047.7787307277</v>
      </c>
      <c r="D650" s="8">
        <f>(P650/$B650)+(P650/'Optimal Choice'!$B$11)</f>
        <v>10777522.180027995</v>
      </c>
      <c r="E650" s="8">
        <f>(Q650/$B650)+(Q650/'Optimal Choice'!$B$16)</f>
        <v>9818568.3659324106</v>
      </c>
      <c r="F650" s="8">
        <f>(R650/$B650)+(R650/'Optimal Choice'!$B$21)</f>
        <v>10164413.81090996</v>
      </c>
      <c r="G650" s="8">
        <f>(S650/$B650)+(S650/'Optimal Choice'!$B$26)</f>
        <v>10002615.505812258</v>
      </c>
      <c r="I650" s="11">
        <f t="shared" ref="I650:M650" si="648">IF(MIN($C649:$G649)=C649,I649+1,I649)</f>
        <v>224</v>
      </c>
      <c r="J650" s="11">
        <f t="shared" si="648"/>
        <v>107</v>
      </c>
      <c r="K650" s="11">
        <f t="shared" si="648"/>
        <v>106</v>
      </c>
      <c r="L650" s="11">
        <f t="shared" si="648"/>
        <v>105</v>
      </c>
      <c r="M650" s="11">
        <f t="shared" si="648"/>
        <v>107</v>
      </c>
      <c r="O650" s="10">
        <f>'Optimal Choice'!$B$7*'Optimal Choice'!$B$8^(I650+1)</f>
        <v>16345942.636592658</v>
      </c>
      <c r="P650" s="10">
        <f>'Optimal Choice'!$B$12*'Optimal Choice'!$B$13^(J650+1)</f>
        <v>215535101.60875705</v>
      </c>
      <c r="Q650" s="10">
        <f>'Optimal Choice'!$B$17*'Optimal Choice'!$B$18^(K650+1)</f>
        <v>883388191.11338103</v>
      </c>
      <c r="R650" s="10">
        <f>'Optimal Choice'!$B$22*'Optimal Choice'!$B$23^(L650+1)</f>
        <v>3654506609.8408675</v>
      </c>
      <c r="S650" s="10">
        <f>'Optimal Choice'!$B$27*'Optimal Choice'!$B$28^(M650+1)</f>
        <v>21440822273.931</v>
      </c>
    </row>
    <row r="651" spans="1:19" ht="15.75" customHeight="1">
      <c r="A651" s="8">
        <f t="shared" si="0"/>
        <v>14067.687057522382</v>
      </c>
      <c r="B651" s="7">
        <f>(I651*'Optimal Choice'!$B$6+J651*'Optimal Choice'!$B$11+K651*'Optimal Choice'!$B$16+L651*'Optimal Choice'!$B$21+M651*'Optimal Choice'!$B$26)*'Optimal Choice'!$B$30</f>
        <v>280975.75</v>
      </c>
      <c r="C651" s="8">
        <f>(O651/$B651)+(O651/'Optimal Choice'!$B$6)</f>
        <v>10473211.122871904</v>
      </c>
      <c r="D651" s="8">
        <f>(P651/$B651)+(P651/'Optimal Choice'!$B$11)</f>
        <v>10777522.175468681</v>
      </c>
      <c r="E651" s="8">
        <f>(Q651/$B651)+(Q651/'Optimal Choice'!$B$16)</f>
        <v>9818568.3472456951</v>
      </c>
      <c r="F651" s="8">
        <f>(R651/$B651)+(R651/'Optimal Choice'!$B$21)</f>
        <v>10164413.733604509</v>
      </c>
      <c r="G651" s="8">
        <f>(S651/$B651)+(S651/'Optimal Choice'!$B$26)</f>
        <v>10002615.052264724</v>
      </c>
      <c r="I651" s="11">
        <f t="shared" ref="I651:M651" si="649">IF(MIN($C650:$G650)=C650,I650+1,I650)</f>
        <v>225</v>
      </c>
      <c r="J651" s="11">
        <f t="shared" si="649"/>
        <v>107</v>
      </c>
      <c r="K651" s="11">
        <f t="shared" si="649"/>
        <v>106</v>
      </c>
      <c r="L651" s="11">
        <f t="shared" si="649"/>
        <v>105</v>
      </c>
      <c r="M651" s="11">
        <f t="shared" si="649"/>
        <v>107</v>
      </c>
      <c r="O651" s="10">
        <f>'Optimal Choice'!$B$7*'Optimal Choice'!$B$8^(I651+1)</f>
        <v>17490158.621154144</v>
      </c>
      <c r="P651" s="10">
        <f>'Optimal Choice'!$B$12*'Optimal Choice'!$B$13^(J651+1)</f>
        <v>215535101.60875705</v>
      </c>
      <c r="Q651" s="10">
        <f>'Optimal Choice'!$B$17*'Optimal Choice'!$B$18^(K651+1)</f>
        <v>883388191.11338103</v>
      </c>
      <c r="R651" s="10">
        <f>'Optimal Choice'!$B$22*'Optimal Choice'!$B$23^(L651+1)</f>
        <v>3654506609.8408675</v>
      </c>
      <c r="S651" s="10">
        <f>'Optimal Choice'!$B$27*'Optimal Choice'!$B$28^(M651+1)</f>
        <v>21440822273.931</v>
      </c>
    </row>
    <row r="652" spans="1:19" ht="15.75" customHeight="1">
      <c r="A652" s="8">
        <f t="shared" si="0"/>
        <v>14120.087083213411</v>
      </c>
      <c r="B652" s="7">
        <f>(I652*'Optimal Choice'!$B$6+J652*'Optimal Choice'!$B$11+K652*'Optimal Choice'!$B$16+L652*'Optimal Choice'!$B$21+M652*'Optimal Choice'!$B$26)*'Optimal Choice'!$B$30</f>
        <v>281065.75</v>
      </c>
      <c r="C652" s="8">
        <f>(O652/$B652)+(O652/'Optimal Choice'!$B$6)</f>
        <v>10473211.102939507</v>
      </c>
      <c r="D652" s="8">
        <f>(P652/$B652)+(P652/'Optimal Choice'!$B$11)</f>
        <v>10777521.929837357</v>
      </c>
      <c r="E652" s="8">
        <f>(Q652/$B652)+(Q652/'Optimal Choice'!$B$16)</f>
        <v>11193166.768176468</v>
      </c>
      <c r="F652" s="8">
        <f>(R652/$B652)+(R652/'Optimal Choice'!$B$21)</f>
        <v>10164409.568801206</v>
      </c>
      <c r="G652" s="8">
        <f>(S652/$B652)+(S652/'Optimal Choice'!$B$26)</f>
        <v>10002590.617555205</v>
      </c>
      <c r="I652" s="11">
        <f t="shared" ref="I652:M652" si="650">IF(MIN($C651:$G651)=C651,I651+1,I651)</f>
        <v>225</v>
      </c>
      <c r="J652" s="11">
        <f t="shared" si="650"/>
        <v>107</v>
      </c>
      <c r="K652" s="11">
        <f t="shared" si="650"/>
        <v>107</v>
      </c>
      <c r="L652" s="11">
        <f t="shared" si="650"/>
        <v>105</v>
      </c>
      <c r="M652" s="11">
        <f t="shared" si="650"/>
        <v>107</v>
      </c>
      <c r="O652" s="10">
        <f>'Optimal Choice'!$B$7*'Optimal Choice'!$B$8^(I652+1)</f>
        <v>17490158.621154144</v>
      </c>
      <c r="P652" s="10">
        <f>'Optimal Choice'!$B$12*'Optimal Choice'!$B$13^(J652+1)</f>
        <v>215535101.60875705</v>
      </c>
      <c r="Q652" s="10">
        <f>'Optimal Choice'!$B$17*'Optimal Choice'!$B$18^(K652+1)</f>
        <v>1007062537.8692542</v>
      </c>
      <c r="R652" s="10">
        <f>'Optimal Choice'!$B$22*'Optimal Choice'!$B$23^(L652+1)</f>
        <v>3654506609.8408675</v>
      </c>
      <c r="S652" s="10">
        <f>'Optimal Choice'!$B$27*'Optimal Choice'!$B$28^(M652+1)</f>
        <v>21440822273.931</v>
      </c>
    </row>
    <row r="653" spans="1:19" ht="15.75" customHeight="1">
      <c r="A653" s="8">
        <f t="shared" si="0"/>
        <v>15391.487237443695</v>
      </c>
      <c r="B653" s="7">
        <f>(I653*'Optimal Choice'!$B$6+J653*'Optimal Choice'!$B$11+K653*'Optimal Choice'!$B$16+L653*'Optimal Choice'!$B$21+M653*'Optimal Choice'!$B$26)*'Optimal Choice'!$B$30</f>
        <v>283225.75</v>
      </c>
      <c r="C653" s="8">
        <f>(O653/$B653)+(O653/'Optimal Choice'!$B$6)</f>
        <v>10473210.628362343</v>
      </c>
      <c r="D653" s="8">
        <f>(P653/$B653)+(P653/'Optimal Choice'!$B$11)</f>
        <v>10777516.081517763</v>
      </c>
      <c r="E653" s="8">
        <f>(Q653/$B653)+(Q653/'Optimal Choice'!$B$16)</f>
        <v>11193139.442587608</v>
      </c>
      <c r="F653" s="8">
        <f>(R653/$B653)+(R653/'Optimal Choice'!$B$21)</f>
        <v>10164310.407585936</v>
      </c>
      <c r="G653" s="8">
        <f>(S653/$B653)+(S653/'Optimal Choice'!$B$26)</f>
        <v>11202249.904455559</v>
      </c>
      <c r="I653" s="11">
        <f t="shared" ref="I653:M653" si="651">IF(MIN($C652:$G652)=C652,I652+1,I652)</f>
        <v>225</v>
      </c>
      <c r="J653" s="11">
        <f t="shared" si="651"/>
        <v>107</v>
      </c>
      <c r="K653" s="11">
        <f t="shared" si="651"/>
        <v>107</v>
      </c>
      <c r="L653" s="11">
        <f t="shared" si="651"/>
        <v>105</v>
      </c>
      <c r="M653" s="11">
        <f t="shared" si="651"/>
        <v>108</v>
      </c>
      <c r="O653" s="10">
        <f>'Optimal Choice'!$B$7*'Optimal Choice'!$B$8^(I653+1)</f>
        <v>17490158.621154144</v>
      </c>
      <c r="P653" s="10">
        <f>'Optimal Choice'!$B$12*'Optimal Choice'!$B$13^(J653+1)</f>
        <v>215535101.60875705</v>
      </c>
      <c r="Q653" s="10">
        <f>'Optimal Choice'!$B$17*'Optimal Choice'!$B$18^(K653+1)</f>
        <v>1007062537.8692542</v>
      </c>
      <c r="R653" s="10">
        <f>'Optimal Choice'!$B$22*'Optimal Choice'!$B$23^(L653+1)</f>
        <v>3654506609.8408675</v>
      </c>
      <c r="S653" s="10">
        <f>'Optimal Choice'!$B$27*'Optimal Choice'!$B$28^(M653+1)</f>
        <v>24013720946.802723</v>
      </c>
    </row>
    <row r="654" spans="1:19" ht="15.75" customHeight="1">
      <c r="A654" s="8">
        <f t="shared" si="0"/>
        <v>15606.539871243227</v>
      </c>
      <c r="B654" s="7">
        <f>(I654*'Optimal Choice'!$B$6+J654*'Optimal Choice'!$B$11+K654*'Optimal Choice'!$B$16+L654*'Optimal Choice'!$B$21+M654*'Optimal Choice'!$B$26)*'Optimal Choice'!$B$30</f>
        <v>283585.75</v>
      </c>
      <c r="C654" s="8">
        <f>(O654/$B654)+(O654/'Optimal Choice'!$B$6)</f>
        <v>10473210.549969014</v>
      </c>
      <c r="D654" s="8">
        <f>(P654/$B654)+(P654/'Optimal Choice'!$B$11)</f>
        <v>10777515.115459388</v>
      </c>
      <c r="E654" s="8">
        <f>(Q654/$B654)+(Q654/'Optimal Choice'!$B$16)</f>
        <v>11193134.928792911</v>
      </c>
      <c r="F654" s="8">
        <f>(R654/$B654)+(R654/'Optimal Choice'!$B$21)</f>
        <v>11485652.251162922</v>
      </c>
      <c r="G654" s="8">
        <f>(S654/$B654)+(S654/'Optimal Choice'!$B$26)</f>
        <v>11202142.271610336</v>
      </c>
      <c r="I654" s="11">
        <f t="shared" ref="I654:M654" si="652">IF(MIN($C653:$G653)=C653,I653+1,I653)</f>
        <v>225</v>
      </c>
      <c r="J654" s="11">
        <f t="shared" si="652"/>
        <v>107</v>
      </c>
      <c r="K654" s="11">
        <f t="shared" si="652"/>
        <v>107</v>
      </c>
      <c r="L654" s="11">
        <f t="shared" si="652"/>
        <v>106</v>
      </c>
      <c r="M654" s="11">
        <f t="shared" si="652"/>
        <v>108</v>
      </c>
      <c r="O654" s="10">
        <f>'Optimal Choice'!$B$7*'Optimal Choice'!$B$8^(I654+1)</f>
        <v>17490158.621154144</v>
      </c>
      <c r="P654" s="10">
        <f>'Optimal Choice'!$B$12*'Optimal Choice'!$B$13^(J654+1)</f>
        <v>215535101.60875705</v>
      </c>
      <c r="Q654" s="10">
        <f>'Optimal Choice'!$B$17*'Optimal Choice'!$B$18^(K654+1)</f>
        <v>1007062537.8692542</v>
      </c>
      <c r="R654" s="10">
        <f>'Optimal Choice'!$B$22*'Optimal Choice'!$B$23^(L654+1)</f>
        <v>4129592469.1201797</v>
      </c>
      <c r="S654" s="10">
        <f>'Optimal Choice'!$B$27*'Optimal Choice'!$B$28^(M654+1)</f>
        <v>24013720946.802723</v>
      </c>
    </row>
    <row r="655" spans="1:19" ht="15.75" customHeight="1">
      <c r="A655" s="8">
        <f t="shared" si="0"/>
        <v>15607.567788350085</v>
      </c>
      <c r="B655" s="7">
        <f>(I655*'Optimal Choice'!$B$6+J655*'Optimal Choice'!$B$11+K655*'Optimal Choice'!$B$16+L655*'Optimal Choice'!$B$21+M655*'Optimal Choice'!$B$26)*'Optimal Choice'!$B$30</f>
        <v>283587.42</v>
      </c>
      <c r="C655" s="8">
        <f>(O655/$B655)+(O655/'Optimal Choice'!$B$6)</f>
        <v>11206335.288078226</v>
      </c>
      <c r="D655" s="8">
        <f>(P655/$B655)+(P655/'Optimal Choice'!$B$11)</f>
        <v>10777515.110983666</v>
      </c>
      <c r="E655" s="8">
        <f>(Q655/$B655)+(Q655/'Optimal Choice'!$B$16)</f>
        <v>11193134.907880623</v>
      </c>
      <c r="F655" s="8">
        <f>(R655/$B655)+(R655/'Optimal Choice'!$B$21)</f>
        <v>11485652.165409334</v>
      </c>
      <c r="G655" s="8">
        <f>(S655/$B655)+(S655/'Optimal Choice'!$B$26)</f>
        <v>11202141.772950299</v>
      </c>
      <c r="I655" s="11">
        <f t="shared" ref="I655:M655" si="653">IF(MIN($C654:$G654)=C654,I654+1,I654)</f>
        <v>226</v>
      </c>
      <c r="J655" s="11">
        <f t="shared" si="653"/>
        <v>107</v>
      </c>
      <c r="K655" s="11">
        <f t="shared" si="653"/>
        <v>107</v>
      </c>
      <c r="L655" s="11">
        <f t="shared" si="653"/>
        <v>106</v>
      </c>
      <c r="M655" s="11">
        <f t="shared" si="653"/>
        <v>108</v>
      </c>
      <c r="O655" s="10">
        <f>'Optimal Choice'!$B$7*'Optimal Choice'!$B$8^(I655+1)</f>
        <v>18714469.724634934</v>
      </c>
      <c r="P655" s="10">
        <f>'Optimal Choice'!$B$12*'Optimal Choice'!$B$13^(J655+1)</f>
        <v>215535101.60875705</v>
      </c>
      <c r="Q655" s="10">
        <f>'Optimal Choice'!$B$17*'Optimal Choice'!$B$18^(K655+1)</f>
        <v>1007062537.8692542</v>
      </c>
      <c r="R655" s="10">
        <f>'Optimal Choice'!$B$22*'Optimal Choice'!$B$23^(L655+1)</f>
        <v>4129592469.1201797</v>
      </c>
      <c r="S655" s="10">
        <f>'Optimal Choice'!$B$27*'Optimal Choice'!$B$28^(M655+1)</f>
        <v>24013720946.802723</v>
      </c>
    </row>
    <row r="656" spans="1:19" ht="15.75" customHeight="1">
      <c r="A656" s="8">
        <f t="shared" si="0"/>
        <v>15620.234964113662</v>
      </c>
      <c r="B656" s="7">
        <f>(I656*'Optimal Choice'!$B$6+J656*'Optimal Choice'!$B$11+K656*'Optimal Choice'!$B$16+L656*'Optimal Choice'!$B$21+M656*'Optimal Choice'!$B$26)*'Optimal Choice'!$B$30</f>
        <v>283607.42</v>
      </c>
      <c r="C656" s="8">
        <f>(O656/$B656)+(O656/'Optimal Choice'!$B$6)</f>
        <v>11206335.283424476</v>
      </c>
      <c r="D656" s="8">
        <f>(P656/$B656)+(P656/'Optimal Choice'!$B$11)</f>
        <v>12394142.315994244</v>
      </c>
      <c r="E656" s="8">
        <f>(Q656/$B656)+(Q656/'Optimal Choice'!$B$16)</f>
        <v>11193134.6574532</v>
      </c>
      <c r="F656" s="8">
        <f>(R656/$B656)+(R656/'Optimal Choice'!$B$21)</f>
        <v>11485651.138498725</v>
      </c>
      <c r="G656" s="8">
        <f>(S656/$B656)+(S656/'Optimal Choice'!$B$26)</f>
        <v>11202135.801430115</v>
      </c>
      <c r="I656" s="11">
        <f t="shared" ref="I656:M656" si="654">IF(MIN($C655:$G655)=C655,I655+1,I655)</f>
        <v>226</v>
      </c>
      <c r="J656" s="11">
        <f t="shared" si="654"/>
        <v>108</v>
      </c>
      <c r="K656" s="11">
        <f t="shared" si="654"/>
        <v>107</v>
      </c>
      <c r="L656" s="11">
        <f t="shared" si="654"/>
        <v>106</v>
      </c>
      <c r="M656" s="11">
        <f t="shared" si="654"/>
        <v>108</v>
      </c>
      <c r="O656" s="10">
        <f>'Optimal Choice'!$B$7*'Optimal Choice'!$B$8^(I656+1)</f>
        <v>18714469.724634934</v>
      </c>
      <c r="P656" s="10">
        <f>'Optimal Choice'!$B$12*'Optimal Choice'!$B$13^(J656+1)</f>
        <v>247865366.8500706</v>
      </c>
      <c r="Q656" s="10">
        <f>'Optimal Choice'!$B$17*'Optimal Choice'!$B$18^(K656+1)</f>
        <v>1007062537.8692542</v>
      </c>
      <c r="R656" s="10">
        <f>'Optimal Choice'!$B$22*'Optimal Choice'!$B$23^(L656+1)</f>
        <v>4129592469.1201797</v>
      </c>
      <c r="S656" s="10">
        <f>'Optimal Choice'!$B$27*'Optimal Choice'!$B$28^(M656+1)</f>
        <v>24013720946.802723</v>
      </c>
    </row>
    <row r="657" spans="1:19" ht="15.75" customHeight="1">
      <c r="A657" s="8">
        <f t="shared" si="0"/>
        <v>15679.416686619916</v>
      </c>
      <c r="B657" s="7">
        <f>(I657*'Optimal Choice'!$B$6+J657*'Optimal Choice'!$B$11+K657*'Optimal Choice'!$B$16+L657*'Optimal Choice'!$B$21+M657*'Optimal Choice'!$B$26)*'Optimal Choice'!$B$30</f>
        <v>283697.42</v>
      </c>
      <c r="C657" s="8">
        <f>(O657/$B657)+(O657/'Optimal Choice'!$B$6)</f>
        <v>11206335.262490725</v>
      </c>
      <c r="D657" s="8">
        <f>(P657/$B657)+(P657/'Optimal Choice'!$B$11)</f>
        <v>12394142.038735416</v>
      </c>
      <c r="E657" s="8">
        <f>(Q657/$B657)+(Q657/'Optimal Choice'!$B$16)</f>
        <v>12760172.225302085</v>
      </c>
      <c r="F657" s="8">
        <f>(R657/$B657)+(R657/'Optimal Choice'!$B$21)</f>
        <v>11485646.519192759</v>
      </c>
      <c r="G657" s="8">
        <f>(S657/$B657)+(S657/'Optimal Choice'!$B$26)</f>
        <v>11202108.940008493</v>
      </c>
      <c r="I657" s="11">
        <f t="shared" ref="I657:M657" si="655">IF(MIN($C656:$G656)=C656,I656+1,I656)</f>
        <v>226</v>
      </c>
      <c r="J657" s="11">
        <f t="shared" si="655"/>
        <v>108</v>
      </c>
      <c r="K657" s="11">
        <f t="shared" si="655"/>
        <v>108</v>
      </c>
      <c r="L657" s="11">
        <f t="shared" si="655"/>
        <v>106</v>
      </c>
      <c r="M657" s="11">
        <f t="shared" si="655"/>
        <v>108</v>
      </c>
      <c r="O657" s="10">
        <f>'Optimal Choice'!$B$7*'Optimal Choice'!$B$8^(I657+1)</f>
        <v>18714469.724634934</v>
      </c>
      <c r="P657" s="10">
        <f>'Optimal Choice'!$B$12*'Optimal Choice'!$B$13^(J657+1)</f>
        <v>247865366.8500706</v>
      </c>
      <c r="Q657" s="10">
        <f>'Optimal Choice'!$B$17*'Optimal Choice'!$B$18^(K657+1)</f>
        <v>1148051293.1709497</v>
      </c>
      <c r="R657" s="10">
        <f>'Optimal Choice'!$B$22*'Optimal Choice'!$B$23^(L657+1)</f>
        <v>4129592469.1201797</v>
      </c>
      <c r="S657" s="10">
        <f>'Optimal Choice'!$B$27*'Optimal Choice'!$B$28^(M657+1)</f>
        <v>24013720946.802723</v>
      </c>
    </row>
    <row r="658" spans="1:19" ht="15.75" customHeight="1">
      <c r="A658" s="8">
        <f t="shared" si="0"/>
        <v>17090.175665135517</v>
      </c>
      <c r="B658" s="7">
        <f>(I658*'Optimal Choice'!$B$6+J658*'Optimal Choice'!$B$11+K658*'Optimal Choice'!$B$16+L658*'Optimal Choice'!$B$21+M658*'Optimal Choice'!$B$26)*'Optimal Choice'!$B$30</f>
        <v>285857.42</v>
      </c>
      <c r="C658" s="8">
        <f>(O658/$B658)+(O658/'Optimal Choice'!$B$6)</f>
        <v>11206334.764035193</v>
      </c>
      <c r="D658" s="8">
        <f>(P658/$B658)+(P658/'Optimal Choice'!$B$11)</f>
        <v>12394135.436899224</v>
      </c>
      <c r="E658" s="8">
        <f>(Q658/$B658)+(Q658/'Optimal Choice'!$B$16)</f>
        <v>12760141.647223862</v>
      </c>
      <c r="F658" s="8">
        <f>(R658/$B658)+(R658/'Optimal Choice'!$B$21)</f>
        <v>11485536.528461242</v>
      </c>
      <c r="G658" s="8">
        <f>(S658/$B658)+(S658/'Optimal Choice'!$B$26)</f>
        <v>12545645.66097492</v>
      </c>
      <c r="I658" s="11">
        <f t="shared" ref="I658:M658" si="656">IF(MIN($C657:$G657)=C657,I657+1,I657)</f>
        <v>226</v>
      </c>
      <c r="J658" s="11">
        <f t="shared" si="656"/>
        <v>108</v>
      </c>
      <c r="K658" s="11">
        <f t="shared" si="656"/>
        <v>108</v>
      </c>
      <c r="L658" s="11">
        <f t="shared" si="656"/>
        <v>106</v>
      </c>
      <c r="M658" s="11">
        <f t="shared" si="656"/>
        <v>109</v>
      </c>
      <c r="O658" s="10">
        <f>'Optimal Choice'!$B$7*'Optimal Choice'!$B$8^(I658+1)</f>
        <v>18714469.724634934</v>
      </c>
      <c r="P658" s="10">
        <f>'Optimal Choice'!$B$12*'Optimal Choice'!$B$13^(J658+1)</f>
        <v>247865366.8500706</v>
      </c>
      <c r="Q658" s="10">
        <f>'Optimal Choice'!$B$17*'Optimal Choice'!$B$18^(K658+1)</f>
        <v>1148051293.1709497</v>
      </c>
      <c r="R658" s="10">
        <f>'Optimal Choice'!$B$22*'Optimal Choice'!$B$23^(L658+1)</f>
        <v>4129592469.1201797</v>
      </c>
      <c r="S658" s="10">
        <f>'Optimal Choice'!$B$27*'Optimal Choice'!$B$28^(M658+1)</f>
        <v>26895367460.419052</v>
      </c>
    </row>
    <row r="659" spans="1:19" ht="15.75" customHeight="1">
      <c r="A659" s="8">
        <f t="shared" si="0"/>
        <v>17091.266795912336</v>
      </c>
      <c r="B659" s="7">
        <f>(I659*'Optimal Choice'!$B$6+J659*'Optimal Choice'!$B$11+K659*'Optimal Choice'!$B$16+L659*'Optimal Choice'!$B$21+M659*'Optimal Choice'!$B$26)*'Optimal Choice'!$B$30</f>
        <v>285859.08999999997</v>
      </c>
      <c r="C659" s="8">
        <f>(O659/$B659)+(O659/'Optimal Choice'!$B$6)</f>
        <v>11990778.197108421</v>
      </c>
      <c r="D659" s="8">
        <f>(P659/$B659)+(P659/'Optimal Choice'!$B$11)</f>
        <v>12394135.431833625</v>
      </c>
      <c r="E659" s="8">
        <f>(Q659/$B659)+(Q659/'Optimal Choice'!$B$16)</f>
        <v>12760141.623761253</v>
      </c>
      <c r="F659" s="8">
        <f>(R659/$B659)+(R659/'Optimal Choice'!$B$21)</f>
        <v>11485536.44406518</v>
      </c>
      <c r="G659" s="8">
        <f>(S659/$B659)+(S659/'Optimal Choice'!$B$26)</f>
        <v>12545645.111317016</v>
      </c>
      <c r="I659" s="11">
        <f t="shared" ref="I659:M659" si="657">IF(MIN($C658:$G658)=C658,I658+1,I658)</f>
        <v>227</v>
      </c>
      <c r="J659" s="11">
        <f t="shared" si="657"/>
        <v>108</v>
      </c>
      <c r="K659" s="11">
        <f t="shared" si="657"/>
        <v>108</v>
      </c>
      <c r="L659" s="11">
        <f t="shared" si="657"/>
        <v>106</v>
      </c>
      <c r="M659" s="11">
        <f t="shared" si="657"/>
        <v>109</v>
      </c>
      <c r="O659" s="10">
        <f>'Optimal Choice'!$B$7*'Optimal Choice'!$B$8^(I659+1)</f>
        <v>20024482.605359383</v>
      </c>
      <c r="P659" s="10">
        <f>'Optimal Choice'!$B$12*'Optimal Choice'!$B$13^(J659+1)</f>
        <v>247865366.8500706</v>
      </c>
      <c r="Q659" s="10">
        <f>'Optimal Choice'!$B$17*'Optimal Choice'!$B$18^(K659+1)</f>
        <v>1148051293.1709497</v>
      </c>
      <c r="R659" s="10">
        <f>'Optimal Choice'!$B$22*'Optimal Choice'!$B$23^(L659+1)</f>
        <v>4129592469.1201797</v>
      </c>
      <c r="S659" s="10">
        <f>'Optimal Choice'!$B$27*'Optimal Choice'!$B$28^(M659+1)</f>
        <v>26895367460.419052</v>
      </c>
    </row>
    <row r="660" spans="1:19" ht="15.75" customHeight="1">
      <c r="A660" s="8">
        <f t="shared" si="0"/>
        <v>17332.037663657011</v>
      </c>
      <c r="B660" s="7">
        <f>(I660*'Optimal Choice'!$B$6+J660*'Optimal Choice'!$B$11+K660*'Optimal Choice'!$B$16+L660*'Optimal Choice'!$B$21+M660*'Optimal Choice'!$B$26)*'Optimal Choice'!$B$30</f>
        <v>286219.08999999997</v>
      </c>
      <c r="C660" s="8">
        <f>(O660/$B660)+(O660/'Optimal Choice'!$B$6)</f>
        <v>11990778.109000856</v>
      </c>
      <c r="D660" s="8">
        <f>(P660/$B660)+(P660/'Optimal Choice'!$B$11)</f>
        <v>12394134.341227967</v>
      </c>
      <c r="E660" s="8">
        <f>(Q660/$B660)+(Q660/'Optimal Choice'!$B$16)</f>
        <v>12760136.572344625</v>
      </c>
      <c r="F660" s="8">
        <f>(R660/$B660)+(R660/'Optimal Choice'!$B$21)</f>
        <v>12978635.649496732</v>
      </c>
      <c r="G660" s="8">
        <f>(S660/$B660)+(S660/'Optimal Choice'!$B$26)</f>
        <v>12545526.771912502</v>
      </c>
      <c r="I660" s="11">
        <f t="shared" ref="I660:M660" si="658">IF(MIN($C659:$G659)=C659,I659+1,I659)</f>
        <v>227</v>
      </c>
      <c r="J660" s="11">
        <f t="shared" si="658"/>
        <v>108</v>
      </c>
      <c r="K660" s="11">
        <f t="shared" si="658"/>
        <v>108</v>
      </c>
      <c r="L660" s="11">
        <f t="shared" si="658"/>
        <v>107</v>
      </c>
      <c r="M660" s="11">
        <f t="shared" si="658"/>
        <v>109</v>
      </c>
      <c r="O660" s="10">
        <f>'Optimal Choice'!$B$7*'Optimal Choice'!$B$8^(I660+1)</f>
        <v>20024482.605359383</v>
      </c>
      <c r="P660" s="10">
        <f>'Optimal Choice'!$B$12*'Optimal Choice'!$B$13^(J660+1)</f>
        <v>247865366.8500706</v>
      </c>
      <c r="Q660" s="10">
        <f>'Optimal Choice'!$B$17*'Optimal Choice'!$B$18^(K660+1)</f>
        <v>1148051293.1709497</v>
      </c>
      <c r="R660" s="10">
        <f>'Optimal Choice'!$B$22*'Optimal Choice'!$B$23^(L660+1)</f>
        <v>4666439490.1058025</v>
      </c>
      <c r="S660" s="10">
        <f>'Optimal Choice'!$B$27*'Optimal Choice'!$B$28^(M660+1)</f>
        <v>26895367460.419052</v>
      </c>
    </row>
    <row r="661" spans="1:19" ht="15.75" customHeight="1">
      <c r="A661" s="8">
        <f t="shared" si="0"/>
        <v>17333.203698308145</v>
      </c>
      <c r="B661" s="7">
        <f>(I661*'Optimal Choice'!$B$6+J661*'Optimal Choice'!$B$11+K661*'Optimal Choice'!$B$16+L661*'Optimal Choice'!$B$21+M661*'Optimal Choice'!$B$26)*'Optimal Choice'!$B$30</f>
        <v>286220.76</v>
      </c>
      <c r="C661" s="8">
        <f>(O661/$B661)+(O661/'Optimal Choice'!$B$6)</f>
        <v>12830132.576194135</v>
      </c>
      <c r="D661" s="8">
        <f>(P661/$B661)+(P661/'Optimal Choice'!$B$11)</f>
        <v>12394134.336175162</v>
      </c>
      <c r="E661" s="8">
        <f>(Q661/$B661)+(Q661/'Optimal Choice'!$B$16)</f>
        <v>12760136.548941275</v>
      </c>
      <c r="F661" s="8">
        <f>(R661/$B661)+(R661/'Optimal Choice'!$B$21)</f>
        <v>12978635.554370044</v>
      </c>
      <c r="G661" s="8">
        <f>(S661/$B661)+(S661/'Optimal Choice'!$B$26)</f>
        <v>12545526.223642826</v>
      </c>
      <c r="I661" s="11">
        <f t="shared" ref="I661:M661" si="659">IF(MIN($C660:$G660)=C660,I660+1,I660)</f>
        <v>228</v>
      </c>
      <c r="J661" s="11">
        <f t="shared" si="659"/>
        <v>108</v>
      </c>
      <c r="K661" s="11">
        <f t="shared" si="659"/>
        <v>108</v>
      </c>
      <c r="L661" s="11">
        <f t="shared" si="659"/>
        <v>107</v>
      </c>
      <c r="M661" s="11">
        <f t="shared" si="659"/>
        <v>109</v>
      </c>
      <c r="O661" s="10">
        <f>'Optimal Choice'!$B$7*'Optimal Choice'!$B$8^(I661+1)</f>
        <v>21426196.38773454</v>
      </c>
      <c r="P661" s="10">
        <f>'Optimal Choice'!$B$12*'Optimal Choice'!$B$13^(J661+1)</f>
        <v>247865366.8500706</v>
      </c>
      <c r="Q661" s="10">
        <f>'Optimal Choice'!$B$17*'Optimal Choice'!$B$18^(K661+1)</f>
        <v>1148051293.1709497</v>
      </c>
      <c r="R661" s="10">
        <f>'Optimal Choice'!$B$22*'Optimal Choice'!$B$23^(L661+1)</f>
        <v>4666439490.1058025</v>
      </c>
      <c r="S661" s="10">
        <f>'Optimal Choice'!$B$27*'Optimal Choice'!$B$28^(M661+1)</f>
        <v>26895367460.419052</v>
      </c>
    </row>
    <row r="662" spans="1:19" ht="15.75" customHeight="1">
      <c r="A662" s="8">
        <f t="shared" si="0"/>
        <v>17347.6369261687</v>
      </c>
      <c r="B662" s="7">
        <f>(I662*'Optimal Choice'!$B$6+J662*'Optimal Choice'!$B$11+K662*'Optimal Choice'!$B$16+L662*'Optimal Choice'!$B$21+M662*'Optimal Choice'!$B$26)*'Optimal Choice'!$B$30</f>
        <v>286240.76</v>
      </c>
      <c r="C662" s="8">
        <f>(O662/$B662)+(O662/'Optimal Choice'!$B$6)</f>
        <v>12830132.570963645</v>
      </c>
      <c r="D662" s="8">
        <f>(P662/$B662)+(P662/'Optimal Choice'!$B$11)</f>
        <v>14253254.417017171</v>
      </c>
      <c r="E662" s="8">
        <f>(Q662/$B662)+(Q662/'Optimal Choice'!$B$16)</f>
        <v>12760136.268682849</v>
      </c>
      <c r="F662" s="8">
        <f>(R662/$B662)+(R662/'Optimal Choice'!$B$21)</f>
        <v>12978634.415214501</v>
      </c>
      <c r="G662" s="8">
        <f>(S662/$B662)+(S662/'Optimal Choice'!$B$26)</f>
        <v>12545519.658036014</v>
      </c>
      <c r="I662" s="11">
        <f t="shared" ref="I662:M662" si="660">IF(MIN($C661:$G661)=C661,I661+1,I661)</f>
        <v>228</v>
      </c>
      <c r="J662" s="11">
        <f t="shared" si="660"/>
        <v>109</v>
      </c>
      <c r="K662" s="11">
        <f t="shared" si="660"/>
        <v>108</v>
      </c>
      <c r="L662" s="11">
        <f t="shared" si="660"/>
        <v>107</v>
      </c>
      <c r="M662" s="11">
        <f t="shared" si="660"/>
        <v>109</v>
      </c>
      <c r="O662" s="10">
        <f>'Optimal Choice'!$B$7*'Optimal Choice'!$B$8^(I662+1)</f>
        <v>21426196.38773454</v>
      </c>
      <c r="P662" s="10">
        <f>'Optimal Choice'!$B$12*'Optimal Choice'!$B$13^(J662+1)</f>
        <v>285045171.87758124</v>
      </c>
      <c r="Q662" s="10">
        <f>'Optimal Choice'!$B$17*'Optimal Choice'!$B$18^(K662+1)</f>
        <v>1148051293.1709497</v>
      </c>
      <c r="R662" s="10">
        <f>'Optimal Choice'!$B$22*'Optimal Choice'!$B$23^(L662+1)</f>
        <v>4666439490.1058025</v>
      </c>
      <c r="S662" s="10">
        <f>'Optimal Choice'!$B$27*'Optimal Choice'!$B$28^(M662+1)</f>
        <v>26895367460.419052</v>
      </c>
    </row>
    <row r="663" spans="1:19" ht="15.75" customHeight="1">
      <c r="A663" s="8">
        <f t="shared" si="0"/>
        <v>18913.647735881186</v>
      </c>
      <c r="B663" s="7">
        <f>(I663*'Optimal Choice'!$B$6+J663*'Optimal Choice'!$B$11+K663*'Optimal Choice'!$B$16+L663*'Optimal Choice'!$B$21+M663*'Optimal Choice'!$B$26)*'Optimal Choice'!$B$30</f>
        <v>288400.76</v>
      </c>
      <c r="C663" s="8">
        <f>(O663/$B663)+(O663/'Optimal Choice'!$B$6)</f>
        <v>12830132.010340588</v>
      </c>
      <c r="D663" s="8">
        <f>(P663/$B663)+(P663/'Optimal Choice'!$B$11)</f>
        <v>14253246.958722059</v>
      </c>
      <c r="E663" s="8">
        <f>(Q663/$B663)+(Q663/'Optimal Choice'!$B$16)</f>
        <v>12760106.229565572</v>
      </c>
      <c r="F663" s="8">
        <f>(R663/$B663)+(R663/'Optimal Choice'!$B$21)</f>
        <v>12978512.316381514</v>
      </c>
      <c r="G663" s="8">
        <f>(S663/$B663)+(S663/'Optimal Choice'!$B$26)</f>
        <v>14050193.844316425</v>
      </c>
      <c r="I663" s="11">
        <f t="shared" ref="I663:M663" si="661">IF(MIN($C662:$G662)=C662,I662+1,I662)</f>
        <v>228</v>
      </c>
      <c r="J663" s="11">
        <f t="shared" si="661"/>
        <v>109</v>
      </c>
      <c r="K663" s="11">
        <f t="shared" si="661"/>
        <v>108</v>
      </c>
      <c r="L663" s="11">
        <f t="shared" si="661"/>
        <v>107</v>
      </c>
      <c r="M663" s="11">
        <f t="shared" si="661"/>
        <v>110</v>
      </c>
      <c r="O663" s="10">
        <f>'Optimal Choice'!$B$7*'Optimal Choice'!$B$8^(I663+1)</f>
        <v>21426196.38773454</v>
      </c>
      <c r="P663" s="10">
        <f>'Optimal Choice'!$B$12*'Optimal Choice'!$B$13^(J663+1)</f>
        <v>285045171.87758124</v>
      </c>
      <c r="Q663" s="10">
        <f>'Optimal Choice'!$B$17*'Optimal Choice'!$B$18^(K663+1)</f>
        <v>1148051293.1709497</v>
      </c>
      <c r="R663" s="10">
        <f>'Optimal Choice'!$B$22*'Optimal Choice'!$B$23^(L663+1)</f>
        <v>4666439490.1058025</v>
      </c>
      <c r="S663" s="10">
        <f>'Optimal Choice'!$B$27*'Optimal Choice'!$B$28^(M663+1)</f>
        <v>30122811555.669338</v>
      </c>
    </row>
    <row r="664" spans="1:19" ht="15.75" customHeight="1">
      <c r="A664" s="8">
        <f t="shared" si="0"/>
        <v>18979.993567353737</v>
      </c>
      <c r="B664" s="7">
        <f>(I664*'Optimal Choice'!$B$6+J664*'Optimal Choice'!$B$11+K664*'Optimal Choice'!$B$16+L664*'Optimal Choice'!$B$21+M664*'Optimal Choice'!$B$26)*'Optimal Choice'!$B$30</f>
        <v>288490.76</v>
      </c>
      <c r="C664" s="8">
        <f>(O664/$B664)+(O664/'Optimal Choice'!$B$6)</f>
        <v>12830131.987163477</v>
      </c>
      <c r="D664" s="8">
        <f>(P664/$B664)+(P664/'Optimal Choice'!$B$11)</f>
        <v>14253246.650383463</v>
      </c>
      <c r="E664" s="8">
        <f>(Q664/$B664)+(Q664/'Optimal Choice'!$B$16)</f>
        <v>14546519.685975051</v>
      </c>
      <c r="F664" s="8">
        <f>(R664/$B664)+(R664/'Optimal Choice'!$B$21)</f>
        <v>12978507.26860824</v>
      </c>
      <c r="G664" s="8">
        <f>(S664/$B664)+(S664/'Optimal Choice'!$B$26)</f>
        <v>14050161.259918103</v>
      </c>
      <c r="I664" s="11">
        <f t="shared" ref="I664:M664" si="662">IF(MIN($C663:$G663)=C663,I663+1,I663)</f>
        <v>228</v>
      </c>
      <c r="J664" s="11">
        <f t="shared" si="662"/>
        <v>109</v>
      </c>
      <c r="K664" s="11">
        <f t="shared" si="662"/>
        <v>109</v>
      </c>
      <c r="L664" s="11">
        <f t="shared" si="662"/>
        <v>107</v>
      </c>
      <c r="M664" s="11">
        <f t="shared" si="662"/>
        <v>110</v>
      </c>
      <c r="O664" s="10">
        <f>'Optimal Choice'!$B$7*'Optimal Choice'!$B$8^(I664+1)</f>
        <v>21426196.38773454</v>
      </c>
      <c r="P664" s="10">
        <f>'Optimal Choice'!$B$12*'Optimal Choice'!$B$13^(J664+1)</f>
        <v>285045171.87758124</v>
      </c>
      <c r="Q664" s="10">
        <f>'Optimal Choice'!$B$17*'Optimal Choice'!$B$18^(K664+1)</f>
        <v>1308778474.2148829</v>
      </c>
      <c r="R664" s="10">
        <f>'Optimal Choice'!$B$22*'Optimal Choice'!$B$23^(L664+1)</f>
        <v>4666439490.1058025</v>
      </c>
      <c r="S664" s="10">
        <f>'Optimal Choice'!$B$27*'Optimal Choice'!$B$28^(M664+1)</f>
        <v>30122811555.669338</v>
      </c>
    </row>
    <row r="665" spans="1:19" ht="15.75" customHeight="1">
      <c r="A665" s="8">
        <f t="shared" si="0"/>
        <v>18981.231399973156</v>
      </c>
      <c r="B665" s="7">
        <f>(I665*'Optimal Choice'!$B$6+J665*'Optimal Choice'!$B$11+K665*'Optimal Choice'!$B$16+L665*'Optimal Choice'!$B$21+M665*'Optimal Choice'!$B$26)*'Optimal Choice'!$B$30</f>
        <v>288492.43</v>
      </c>
      <c r="C665" s="8">
        <f>(O665/$B665)+(O665/'Optimal Choice'!$B$6)</f>
        <v>13728241.225804897</v>
      </c>
      <c r="D665" s="8">
        <f>(P665/$B665)+(P665/'Optimal Choice'!$B$11)</f>
        <v>14253246.644663887</v>
      </c>
      <c r="E665" s="8">
        <f>(Q665/$B665)+(Q665/'Optimal Choice'!$B$16)</f>
        <v>14546519.659713747</v>
      </c>
      <c r="F665" s="8">
        <f>(R665/$B665)+(R665/'Optimal Choice'!$B$21)</f>
        <v>12978507.174973765</v>
      </c>
      <c r="G665" s="8">
        <f>(S665/$B665)+(S665/'Optimal Choice'!$B$26)</f>
        <v>14050160.655488612</v>
      </c>
      <c r="I665" s="11">
        <f t="shared" ref="I665:M665" si="663">IF(MIN($C664:$G664)=C664,I664+1,I664)</f>
        <v>229</v>
      </c>
      <c r="J665" s="11">
        <f t="shared" si="663"/>
        <v>109</v>
      </c>
      <c r="K665" s="11">
        <f t="shared" si="663"/>
        <v>109</v>
      </c>
      <c r="L665" s="11">
        <f t="shared" si="663"/>
        <v>107</v>
      </c>
      <c r="M665" s="11">
        <f t="shared" si="663"/>
        <v>110</v>
      </c>
      <c r="O665" s="10">
        <f>'Optimal Choice'!$B$7*'Optimal Choice'!$B$8^(I665+1)</f>
        <v>22926030.134875957</v>
      </c>
      <c r="P665" s="10">
        <f>'Optimal Choice'!$B$12*'Optimal Choice'!$B$13^(J665+1)</f>
        <v>285045171.87758124</v>
      </c>
      <c r="Q665" s="10">
        <f>'Optimal Choice'!$B$17*'Optimal Choice'!$B$18^(K665+1)</f>
        <v>1308778474.2148829</v>
      </c>
      <c r="R665" s="10">
        <f>'Optimal Choice'!$B$22*'Optimal Choice'!$B$23^(L665+1)</f>
        <v>4666439490.1058025</v>
      </c>
      <c r="S665" s="10">
        <f>'Optimal Choice'!$B$27*'Optimal Choice'!$B$28^(M665+1)</f>
        <v>30122811555.669338</v>
      </c>
    </row>
    <row r="666" spans="1:19" ht="15.75" customHeight="1">
      <c r="A666" s="8">
        <f t="shared" si="0"/>
        <v>19250.819033526532</v>
      </c>
      <c r="B666" s="7">
        <f>(I666*'Optimal Choice'!$B$6+J666*'Optimal Choice'!$B$11+K666*'Optimal Choice'!$B$16+L666*'Optimal Choice'!$B$21+M666*'Optimal Choice'!$B$26)*'Optimal Choice'!$B$30</f>
        <v>288852.43</v>
      </c>
      <c r="C666" s="8">
        <f>(O666/$B666)+(O666/'Optimal Choice'!$B$6)</f>
        <v>13728241.126762554</v>
      </c>
      <c r="D666" s="8">
        <f>(P666/$B666)+(P666/'Optimal Choice'!$B$11)</f>
        <v>14253245.413245192</v>
      </c>
      <c r="E666" s="8">
        <f>(Q666/$B666)+(Q666/'Optimal Choice'!$B$16)</f>
        <v>14546514.005682595</v>
      </c>
      <c r="F666" s="8">
        <f>(R666/$B666)+(R666/'Optimal Choice'!$B$21)</f>
        <v>14665690.32759363</v>
      </c>
      <c r="G666" s="8">
        <f>(S666/$B666)+(S666/'Optimal Choice'!$B$26)</f>
        <v>14050030.522453677</v>
      </c>
      <c r="I666" s="11">
        <f t="shared" ref="I666:M666" si="664">IF(MIN($C665:$G665)=C665,I665+1,I665)</f>
        <v>229</v>
      </c>
      <c r="J666" s="11">
        <f t="shared" si="664"/>
        <v>109</v>
      </c>
      <c r="K666" s="11">
        <f t="shared" si="664"/>
        <v>109</v>
      </c>
      <c r="L666" s="11">
        <f t="shared" si="664"/>
        <v>108</v>
      </c>
      <c r="M666" s="11">
        <f t="shared" si="664"/>
        <v>110</v>
      </c>
      <c r="O666" s="10">
        <f>'Optimal Choice'!$B$7*'Optimal Choice'!$B$8^(I666+1)</f>
        <v>22926030.134875957</v>
      </c>
      <c r="P666" s="10">
        <f>'Optimal Choice'!$B$12*'Optimal Choice'!$B$13^(J666+1)</f>
        <v>285045171.87758124</v>
      </c>
      <c r="Q666" s="10">
        <f>'Optimal Choice'!$B$17*'Optimal Choice'!$B$18^(K666+1)</f>
        <v>1308778474.2148829</v>
      </c>
      <c r="R666" s="10">
        <f>'Optimal Choice'!$B$22*'Optimal Choice'!$B$23^(L666+1)</f>
        <v>5273076623.8195562</v>
      </c>
      <c r="S666" s="10">
        <f>'Optimal Choice'!$B$27*'Optimal Choice'!$B$28^(M666+1)</f>
        <v>30122811555.669338</v>
      </c>
    </row>
    <row r="667" spans="1:19" ht="15.75" customHeight="1">
      <c r="A667" s="8">
        <f t="shared" si="0"/>
        <v>19252.141856056529</v>
      </c>
      <c r="B667" s="7">
        <f>(I667*'Optimal Choice'!$B$6+J667*'Optimal Choice'!$B$11+K667*'Optimal Choice'!$B$16+L667*'Optimal Choice'!$B$21+M667*'Optimal Choice'!$B$26)*'Optimal Choice'!$B$30</f>
        <v>288854.09999999998</v>
      </c>
      <c r="C667" s="8">
        <f>(O667/$B667)+(O667/'Optimal Choice'!$B$6)</f>
        <v>14689218.005144937</v>
      </c>
      <c r="D667" s="8">
        <f>(P667/$B667)+(P667/'Optimal Choice'!$B$11)</f>
        <v>14253245.40753993</v>
      </c>
      <c r="E667" s="8">
        <f>(Q667/$B667)+(Q667/'Optimal Choice'!$B$16)</f>
        <v>14546513.979487013</v>
      </c>
      <c r="F667" s="8">
        <f>(R667/$B667)+(R667/'Optimal Choice'!$B$21)</f>
        <v>14665690.222051466</v>
      </c>
      <c r="G667" s="8">
        <f>(S667/$B667)+(S667/'Optimal Choice'!$B$26)</f>
        <v>14050029.919536836</v>
      </c>
      <c r="I667" s="11">
        <f t="shared" ref="I667:M667" si="665">IF(MIN($C666:$G666)=C666,I666+1,I666)</f>
        <v>230</v>
      </c>
      <c r="J667" s="11">
        <f t="shared" si="665"/>
        <v>109</v>
      </c>
      <c r="K667" s="11">
        <f t="shared" si="665"/>
        <v>109</v>
      </c>
      <c r="L667" s="11">
        <f t="shared" si="665"/>
        <v>108</v>
      </c>
      <c r="M667" s="11">
        <f t="shared" si="665"/>
        <v>110</v>
      </c>
      <c r="O667" s="10">
        <f>'Optimal Choice'!$B$7*'Optimal Choice'!$B$8^(I667+1)</f>
        <v>24530852.244317271</v>
      </c>
      <c r="P667" s="10">
        <f>'Optimal Choice'!$B$12*'Optimal Choice'!$B$13^(J667+1)</f>
        <v>285045171.87758124</v>
      </c>
      <c r="Q667" s="10">
        <f>'Optimal Choice'!$B$17*'Optimal Choice'!$B$18^(K667+1)</f>
        <v>1308778474.2148829</v>
      </c>
      <c r="R667" s="10">
        <f>'Optimal Choice'!$B$22*'Optimal Choice'!$B$23^(L667+1)</f>
        <v>5273076623.8195562</v>
      </c>
      <c r="S667" s="10">
        <f>'Optimal Choice'!$B$27*'Optimal Choice'!$B$28^(M667+1)</f>
        <v>30122811555.669338</v>
      </c>
    </row>
    <row r="668" spans="1:19" ht="15.75" customHeight="1">
      <c r="A668" s="8">
        <f t="shared" si="0"/>
        <v>20990.205671876196</v>
      </c>
      <c r="B668" s="7">
        <f>(I668*'Optimal Choice'!$B$6+J668*'Optimal Choice'!$B$11+K668*'Optimal Choice'!$B$16+L668*'Optimal Choice'!$B$21+M668*'Optimal Choice'!$B$26)*'Optimal Choice'!$B$30</f>
        <v>291014.09999999998</v>
      </c>
      <c r="C668" s="8">
        <f>(O668/$B668)+(O668/'Optimal Choice'!$B$6)</f>
        <v>14689217.374806458</v>
      </c>
      <c r="D668" s="8">
        <f>(P668/$B668)+(P668/'Optimal Choice'!$B$11)</f>
        <v>14253238.083092395</v>
      </c>
      <c r="E668" s="8">
        <f>(Q668/$B668)+(Q668/'Optimal Choice'!$B$16)</f>
        <v>14546480.349451441</v>
      </c>
      <c r="F668" s="8">
        <f>(R668/$B668)+(R668/'Optimal Choice'!$B$21)</f>
        <v>14665554.726428699</v>
      </c>
      <c r="G668" s="8">
        <f>(S668/$B668)+(S668/'Optimal Choice'!$B$26)</f>
        <v>15735166.59848764</v>
      </c>
      <c r="I668" s="11">
        <f t="shared" ref="I668:M668" si="666">IF(MIN($C667:$G667)=C667,I667+1,I667)</f>
        <v>230</v>
      </c>
      <c r="J668" s="11">
        <f t="shared" si="666"/>
        <v>109</v>
      </c>
      <c r="K668" s="11">
        <f t="shared" si="666"/>
        <v>109</v>
      </c>
      <c r="L668" s="11">
        <f t="shared" si="666"/>
        <v>108</v>
      </c>
      <c r="M668" s="11">
        <f t="shared" si="666"/>
        <v>111</v>
      </c>
      <c r="O668" s="10">
        <f>'Optimal Choice'!$B$7*'Optimal Choice'!$B$8^(I668+1)</f>
        <v>24530852.244317271</v>
      </c>
      <c r="P668" s="10">
        <f>'Optimal Choice'!$B$12*'Optimal Choice'!$B$13^(J668+1)</f>
        <v>285045171.87758124</v>
      </c>
      <c r="Q668" s="10">
        <f>'Optimal Choice'!$B$17*'Optimal Choice'!$B$18^(K668+1)</f>
        <v>1308778474.2148829</v>
      </c>
      <c r="R668" s="10">
        <f>'Optimal Choice'!$B$22*'Optimal Choice'!$B$23^(L668+1)</f>
        <v>5273076623.8195562</v>
      </c>
      <c r="S668" s="10">
        <f>'Optimal Choice'!$B$27*'Optimal Choice'!$B$28^(M668+1)</f>
        <v>33737548942.349663</v>
      </c>
    </row>
    <row r="669" spans="1:19" ht="15.75" customHeight="1">
      <c r="A669" s="8">
        <f t="shared" si="0"/>
        <v>21006.530492098398</v>
      </c>
      <c r="B669" s="7">
        <f>(I669*'Optimal Choice'!$B$6+J669*'Optimal Choice'!$B$11+K669*'Optimal Choice'!$B$16+L669*'Optimal Choice'!$B$21+M669*'Optimal Choice'!$B$26)*'Optimal Choice'!$B$30</f>
        <v>291034.09999999998</v>
      </c>
      <c r="C669" s="8">
        <f>(O669/$B669)+(O669/'Optimal Choice'!$B$6)</f>
        <v>14689217.369013708</v>
      </c>
      <c r="D669" s="8">
        <f>(P669/$B669)+(P669/'Optimal Choice'!$B$11)</f>
        <v>16391223.718148645</v>
      </c>
      <c r="E669" s="8">
        <f>(Q669/$B669)+(Q669/'Optimal Choice'!$B$16)</f>
        <v>14546480.040394694</v>
      </c>
      <c r="F669" s="8">
        <f>(R669/$B669)+(R669/'Optimal Choice'!$B$21)</f>
        <v>14665553.481237138</v>
      </c>
      <c r="G669" s="8">
        <f>(S669/$B669)+(S669/'Optimal Choice'!$B$26)</f>
        <v>15735158.631656464</v>
      </c>
      <c r="I669" s="11">
        <f t="shared" ref="I669:M669" si="667">IF(MIN($C668:$G668)=C668,I668+1,I668)</f>
        <v>230</v>
      </c>
      <c r="J669" s="11">
        <f t="shared" si="667"/>
        <v>110</v>
      </c>
      <c r="K669" s="11">
        <f t="shared" si="667"/>
        <v>109</v>
      </c>
      <c r="L669" s="11">
        <f t="shared" si="667"/>
        <v>108</v>
      </c>
      <c r="M669" s="11">
        <f t="shared" si="667"/>
        <v>111</v>
      </c>
      <c r="O669" s="10">
        <f>'Optimal Choice'!$B$7*'Optimal Choice'!$B$8^(I669+1)</f>
        <v>24530852.244317271</v>
      </c>
      <c r="P669" s="10">
        <f>'Optimal Choice'!$B$12*'Optimal Choice'!$B$13^(J669+1)</f>
        <v>327801947.65921831</v>
      </c>
      <c r="Q669" s="10">
        <f>'Optimal Choice'!$B$17*'Optimal Choice'!$B$18^(K669+1)</f>
        <v>1308778474.2148829</v>
      </c>
      <c r="R669" s="10">
        <f>'Optimal Choice'!$B$22*'Optimal Choice'!$B$23^(L669+1)</f>
        <v>5273076623.8195562</v>
      </c>
      <c r="S669" s="10">
        <f>'Optimal Choice'!$B$27*'Optimal Choice'!$B$28^(M669+1)</f>
        <v>33737548942.349663</v>
      </c>
    </row>
    <row r="670" spans="1:19" ht="15.75" customHeight="1">
      <c r="A670" s="8">
        <f t="shared" si="0"/>
        <v>21081.480384809416</v>
      </c>
      <c r="B670" s="7">
        <f>(I670*'Optimal Choice'!$B$6+J670*'Optimal Choice'!$B$11+K670*'Optimal Choice'!$B$16+L670*'Optimal Choice'!$B$21+M670*'Optimal Choice'!$B$26)*'Optimal Choice'!$B$30</f>
        <v>291124.09999999998</v>
      </c>
      <c r="C670" s="8">
        <f>(O670/$B670)+(O670/'Optimal Choice'!$B$6)</f>
        <v>14689217.342956187</v>
      </c>
      <c r="D670" s="8">
        <f>(P670/$B670)+(P670/'Optimal Choice'!$B$11)</f>
        <v>16391223.369946051</v>
      </c>
      <c r="E670" s="8">
        <f>(Q670/$B670)+(Q670/'Optimal Choice'!$B$16)</f>
        <v>16582985.661187889</v>
      </c>
      <c r="F670" s="8">
        <f>(R670/$B670)+(R670/'Optimal Choice'!$B$21)</f>
        <v>14665547.879992319</v>
      </c>
      <c r="G670" s="8">
        <f>(S670/$B670)+(S670/'Optimal Choice'!$B$26)</f>
        <v>15735122.794462232</v>
      </c>
      <c r="I670" s="11">
        <f t="shared" ref="I670:M670" si="668">IF(MIN($C669:$G669)=C669,I669+1,I669)</f>
        <v>230</v>
      </c>
      <c r="J670" s="11">
        <f t="shared" si="668"/>
        <v>110</v>
      </c>
      <c r="K670" s="11">
        <f t="shared" si="668"/>
        <v>110</v>
      </c>
      <c r="L670" s="11">
        <f t="shared" si="668"/>
        <v>108</v>
      </c>
      <c r="M670" s="11">
        <f t="shared" si="668"/>
        <v>111</v>
      </c>
      <c r="O670" s="10">
        <f>'Optimal Choice'!$B$7*'Optimal Choice'!$B$8^(I670+1)</f>
        <v>24530852.244317271</v>
      </c>
      <c r="P670" s="10">
        <f>'Optimal Choice'!$B$12*'Optimal Choice'!$B$13^(J670+1)</f>
        <v>327801947.65921831</v>
      </c>
      <c r="Q670" s="10">
        <f>'Optimal Choice'!$B$17*'Optimal Choice'!$B$18^(K670+1)</f>
        <v>1492007460.6049659</v>
      </c>
      <c r="R670" s="10">
        <f>'Optimal Choice'!$B$22*'Optimal Choice'!$B$23^(L670+1)</f>
        <v>5273076623.8195562</v>
      </c>
      <c r="S670" s="10">
        <f>'Optimal Choice'!$B$27*'Optimal Choice'!$B$28^(M670+1)</f>
        <v>33737548942.349663</v>
      </c>
    </row>
    <row r="671" spans="1:19" ht="15.75" customHeight="1">
      <c r="A671" s="8">
        <f t="shared" si="0"/>
        <v>21383.360615257505</v>
      </c>
      <c r="B671" s="7">
        <f>(I671*'Optimal Choice'!$B$6+J671*'Optimal Choice'!$B$11+K671*'Optimal Choice'!$B$16+L671*'Optimal Choice'!$B$21+M671*'Optimal Choice'!$B$26)*'Optimal Choice'!$B$30</f>
        <v>291484.09999999998</v>
      </c>
      <c r="C671" s="8">
        <f>(O671/$B671)+(O671/'Optimal Choice'!$B$6)</f>
        <v>14689217.238887012</v>
      </c>
      <c r="D671" s="8">
        <f>(P671/$B671)+(P671/'Optimal Choice'!$B$11)</f>
        <v>16391221.979285927</v>
      </c>
      <c r="E671" s="8">
        <f>(Q671/$B671)+(Q671/'Optimal Choice'!$B$16)</f>
        <v>16582979.331526656</v>
      </c>
      <c r="F671" s="8">
        <f>(R671/$B671)+(R671/'Optimal Choice'!$B$21)</f>
        <v>16572043.825850686</v>
      </c>
      <c r="G671" s="8">
        <f>(S671/$B671)+(S671/'Optimal Choice'!$B$26)</f>
        <v>15734979.666990504</v>
      </c>
      <c r="I671" s="11">
        <f t="shared" ref="I671:M671" si="669">IF(MIN($C670:$G670)=C670,I670+1,I670)</f>
        <v>230</v>
      </c>
      <c r="J671" s="11">
        <f t="shared" si="669"/>
        <v>110</v>
      </c>
      <c r="K671" s="11">
        <f t="shared" si="669"/>
        <v>110</v>
      </c>
      <c r="L671" s="11">
        <f t="shared" si="669"/>
        <v>109</v>
      </c>
      <c r="M671" s="11">
        <f t="shared" si="669"/>
        <v>111</v>
      </c>
      <c r="O671" s="10">
        <f>'Optimal Choice'!$B$7*'Optimal Choice'!$B$8^(I671+1)</f>
        <v>24530852.244317271</v>
      </c>
      <c r="P671" s="10">
        <f>'Optimal Choice'!$B$12*'Optimal Choice'!$B$13^(J671+1)</f>
        <v>327801947.65921831</v>
      </c>
      <c r="Q671" s="10">
        <f>'Optimal Choice'!$B$17*'Optimal Choice'!$B$18^(K671+1)</f>
        <v>1492007460.6049659</v>
      </c>
      <c r="R671" s="10">
        <f>'Optimal Choice'!$B$22*'Optimal Choice'!$B$23^(L671+1)</f>
        <v>5958576584.9160967</v>
      </c>
      <c r="S671" s="10">
        <f>'Optimal Choice'!$B$27*'Optimal Choice'!$B$28^(M671+1)</f>
        <v>33737548942.349663</v>
      </c>
    </row>
    <row r="672" spans="1:19" ht="15.75" customHeight="1">
      <c r="A672" s="8">
        <f t="shared" si="0"/>
        <v>21384.763256215985</v>
      </c>
      <c r="B672" s="7">
        <f>(I672*'Optimal Choice'!$B$6+J672*'Optimal Choice'!$B$11+K672*'Optimal Choice'!$B$16+L672*'Optimal Choice'!$B$21+M672*'Optimal Choice'!$B$26)*'Optimal Choice'!$B$30</f>
        <v>291485.77</v>
      </c>
      <c r="C672" s="8">
        <f>(O672/$B672)+(O672/'Optimal Choice'!$B$6)</f>
        <v>15717462.445093187</v>
      </c>
      <c r="D672" s="8">
        <f>(P672/$B672)+(P672/'Optimal Choice'!$B$11)</f>
        <v>16391221.972842813</v>
      </c>
      <c r="E672" s="8">
        <f>(Q672/$B672)+(Q672/'Optimal Choice'!$B$16)</f>
        <v>16582979.302200494</v>
      </c>
      <c r="F672" s="8">
        <f>(R672/$B672)+(R672/'Optimal Choice'!$B$21)</f>
        <v>16572043.708731843</v>
      </c>
      <c r="G672" s="8">
        <f>(S672/$B672)+(S672/'Optimal Choice'!$B$26)</f>
        <v>15734979.003861886</v>
      </c>
      <c r="I672" s="11">
        <f t="shared" ref="I672:M672" si="670">IF(MIN($C671:$G671)=C671,I671+1,I671)</f>
        <v>231</v>
      </c>
      <c r="J672" s="11">
        <f t="shared" si="670"/>
        <v>110</v>
      </c>
      <c r="K672" s="11">
        <f t="shared" si="670"/>
        <v>110</v>
      </c>
      <c r="L672" s="11">
        <f t="shared" si="670"/>
        <v>109</v>
      </c>
      <c r="M672" s="11">
        <f t="shared" si="670"/>
        <v>111</v>
      </c>
      <c r="O672" s="10">
        <f>'Optimal Choice'!$B$7*'Optimal Choice'!$B$8^(I672+1)</f>
        <v>26248011.901419483</v>
      </c>
      <c r="P672" s="10">
        <f>'Optimal Choice'!$B$12*'Optimal Choice'!$B$13^(J672+1)</f>
        <v>327801947.65921831</v>
      </c>
      <c r="Q672" s="10">
        <f>'Optimal Choice'!$B$17*'Optimal Choice'!$B$18^(K672+1)</f>
        <v>1492007460.6049659</v>
      </c>
      <c r="R672" s="10">
        <f>'Optimal Choice'!$B$22*'Optimal Choice'!$B$23^(L672+1)</f>
        <v>5958576584.9160967</v>
      </c>
      <c r="S672" s="10">
        <f>'Optimal Choice'!$B$27*'Optimal Choice'!$B$28^(M672+1)</f>
        <v>33737548942.349663</v>
      </c>
    </row>
    <row r="673" spans="1:19" ht="15.75" customHeight="1">
      <c r="A673" s="8">
        <f t="shared" si="0"/>
        <v>21386.264073442926</v>
      </c>
      <c r="B673" s="7">
        <f>(I673*'Optimal Choice'!$B$6+J673*'Optimal Choice'!$B$11+K673*'Optimal Choice'!$B$16+L673*'Optimal Choice'!$B$21+M673*'Optimal Choice'!$B$26)*'Optimal Choice'!$B$30</f>
        <v>291487.44</v>
      </c>
      <c r="C673" s="8">
        <f>(O673/$B673)+(O673/'Optimal Choice'!$B$6)</f>
        <v>16817684.815697685</v>
      </c>
      <c r="D673" s="8">
        <f>(P673/$B673)+(P673/'Optimal Choice'!$B$11)</f>
        <v>16391221.966399774</v>
      </c>
      <c r="E673" s="8">
        <f>(Q673/$B673)+(Q673/'Optimal Choice'!$B$16)</f>
        <v>16582979.272874666</v>
      </c>
      <c r="F673" s="8">
        <f>(R673/$B673)+(R673/'Optimal Choice'!$B$21)</f>
        <v>16572043.591614343</v>
      </c>
      <c r="G673" s="8">
        <f>(S673/$B673)+(S673/'Optimal Choice'!$B$26)</f>
        <v>15734978.340740865</v>
      </c>
      <c r="I673" s="11">
        <f t="shared" ref="I673:M673" si="671">IF(MIN($C672:$G672)=C672,I672+1,I672)</f>
        <v>232</v>
      </c>
      <c r="J673" s="11">
        <f t="shared" si="671"/>
        <v>110</v>
      </c>
      <c r="K673" s="11">
        <f t="shared" si="671"/>
        <v>110</v>
      </c>
      <c r="L673" s="11">
        <f t="shared" si="671"/>
        <v>109</v>
      </c>
      <c r="M673" s="11">
        <f t="shared" si="671"/>
        <v>111</v>
      </c>
      <c r="O673" s="10">
        <f>'Optimal Choice'!$B$7*'Optimal Choice'!$B$8^(I673+1)</f>
        <v>28085372.734518845</v>
      </c>
      <c r="P673" s="10">
        <f>'Optimal Choice'!$B$12*'Optimal Choice'!$B$13^(J673+1)</f>
        <v>327801947.65921831</v>
      </c>
      <c r="Q673" s="10">
        <f>'Optimal Choice'!$B$17*'Optimal Choice'!$B$18^(K673+1)</f>
        <v>1492007460.6049659</v>
      </c>
      <c r="R673" s="10">
        <f>'Optimal Choice'!$B$22*'Optimal Choice'!$B$23^(L673+1)</f>
        <v>5958576584.9160967</v>
      </c>
      <c r="S673" s="10">
        <f>'Optimal Choice'!$B$27*'Optimal Choice'!$B$28^(M673+1)</f>
        <v>33737548942.349663</v>
      </c>
    </row>
    <row r="674" spans="1:19" ht="15.75" customHeight="1">
      <c r="A674" s="8">
        <f t="shared" si="0"/>
        <v>23315.309394821077</v>
      </c>
      <c r="B674" s="7">
        <f>(I674*'Optimal Choice'!$B$6+J674*'Optimal Choice'!$B$11+K674*'Optimal Choice'!$B$16+L674*'Optimal Choice'!$B$21+M674*'Optimal Choice'!$B$26)*'Optimal Choice'!$B$30</f>
        <v>293647.44</v>
      </c>
      <c r="C674" s="8">
        <f>(O674/$B674)+(O674/'Optimal Choice'!$B$6)</f>
        <v>16817684.106956162</v>
      </c>
      <c r="D674" s="8">
        <f>(P674/$B674)+(P674/'Optimal Choice'!$B$11)</f>
        <v>16391213.694234256</v>
      </c>
      <c r="E674" s="8">
        <f>(Q674/$B674)+(Q674/'Optimal Choice'!$B$16)</f>
        <v>16582941.621686935</v>
      </c>
      <c r="F674" s="8">
        <f>(R674/$B674)+(R674/'Optimal Choice'!$B$21)</f>
        <v>16571893.225418778</v>
      </c>
      <c r="G674" s="8">
        <f>(S674/$B674)+(S674/'Optimal Choice'!$B$26)</f>
        <v>17622222.200926375</v>
      </c>
      <c r="I674" s="11">
        <f t="shared" ref="I674:M674" si="672">IF(MIN($C673:$G673)=C673,I673+1,I673)</f>
        <v>232</v>
      </c>
      <c r="J674" s="11">
        <f t="shared" si="672"/>
        <v>110</v>
      </c>
      <c r="K674" s="11">
        <f t="shared" si="672"/>
        <v>110</v>
      </c>
      <c r="L674" s="11">
        <f t="shared" si="672"/>
        <v>109</v>
      </c>
      <c r="M674" s="11">
        <f t="shared" si="672"/>
        <v>112</v>
      </c>
      <c r="O674" s="10">
        <f>'Optimal Choice'!$B$7*'Optimal Choice'!$B$8^(I674+1)</f>
        <v>28085372.734518845</v>
      </c>
      <c r="P674" s="10">
        <f>'Optimal Choice'!$B$12*'Optimal Choice'!$B$13^(J674+1)</f>
        <v>327801947.65921831</v>
      </c>
      <c r="Q674" s="10">
        <f>'Optimal Choice'!$B$17*'Optimal Choice'!$B$18^(K674+1)</f>
        <v>1492007460.6049659</v>
      </c>
      <c r="R674" s="10">
        <f>'Optimal Choice'!$B$22*'Optimal Choice'!$B$23^(L674+1)</f>
        <v>5958576584.9160967</v>
      </c>
      <c r="S674" s="10">
        <f>'Optimal Choice'!$B$27*'Optimal Choice'!$B$28^(M674+1)</f>
        <v>37786054815.431625</v>
      </c>
    </row>
    <row r="675" spans="1:19" ht="15.75" customHeight="1">
      <c r="A675" s="8">
        <f t="shared" si="0"/>
        <v>23333.914582710066</v>
      </c>
      <c r="B675" s="7">
        <f>(I675*'Optimal Choice'!$B$6+J675*'Optimal Choice'!$B$11+K675*'Optimal Choice'!$B$16+L675*'Optimal Choice'!$B$21+M675*'Optimal Choice'!$B$26)*'Optimal Choice'!$B$30</f>
        <v>293667.44</v>
      </c>
      <c r="C675" s="8">
        <f>(O675/$B675)+(O675/'Optimal Choice'!$B$6)</f>
        <v>16817684.100442454</v>
      </c>
      <c r="D675" s="8">
        <f>(P675/$B675)+(P675/'Optimal Choice'!$B$11)</f>
        <v>18849895.660940014</v>
      </c>
      <c r="E675" s="8">
        <f>(Q675/$B675)+(Q675/'Optimal Choice'!$B$16)</f>
        <v>16582941.275652776</v>
      </c>
      <c r="F675" s="8">
        <f>(R675/$B675)+(R675/'Optimal Choice'!$B$21)</f>
        <v>16571891.843474586</v>
      </c>
      <c r="G675" s="8">
        <f>(S675/$B675)+(S675/'Optimal Choice'!$B$26)</f>
        <v>17622213.437387258</v>
      </c>
      <c r="I675" s="11">
        <f t="shared" ref="I675:M675" si="673">IF(MIN($C674:$G674)=C674,I674+1,I674)</f>
        <v>232</v>
      </c>
      <c r="J675" s="11">
        <f t="shared" si="673"/>
        <v>111</v>
      </c>
      <c r="K675" s="11">
        <f t="shared" si="673"/>
        <v>110</v>
      </c>
      <c r="L675" s="11">
        <f t="shared" si="673"/>
        <v>109</v>
      </c>
      <c r="M675" s="11">
        <f t="shared" si="673"/>
        <v>112</v>
      </c>
      <c r="O675" s="10">
        <f>'Optimal Choice'!$B$7*'Optimal Choice'!$B$8^(I675+1)</f>
        <v>28085372.734518845</v>
      </c>
      <c r="P675" s="10">
        <f>'Optimal Choice'!$B$12*'Optimal Choice'!$B$13^(J675+1)</f>
        <v>376972239.80810094</v>
      </c>
      <c r="Q675" s="10">
        <f>'Optimal Choice'!$B$17*'Optimal Choice'!$B$18^(K675+1)</f>
        <v>1492007460.6049659</v>
      </c>
      <c r="R675" s="10">
        <f>'Optimal Choice'!$B$22*'Optimal Choice'!$B$23^(L675+1)</f>
        <v>5958576584.9160967</v>
      </c>
      <c r="S675" s="10">
        <f>'Optimal Choice'!$B$27*'Optimal Choice'!$B$28^(M675+1)</f>
        <v>37786054815.431625</v>
      </c>
    </row>
    <row r="676" spans="1:19" ht="15.75" customHeight="1">
      <c r="A676" s="8">
        <f t="shared" si="0"/>
        <v>23672.084894504256</v>
      </c>
      <c r="B676" s="7">
        <f>(I676*'Optimal Choice'!$B$6+J676*'Optimal Choice'!$B$11+K676*'Optimal Choice'!$B$16+L676*'Optimal Choice'!$B$21+M676*'Optimal Choice'!$B$26)*'Optimal Choice'!$B$30</f>
        <v>294027.44</v>
      </c>
      <c r="C676" s="8">
        <f>(O676/$B676)+(O676/'Optimal Choice'!$B$6)</f>
        <v>16817683.983347271</v>
      </c>
      <c r="D676" s="8">
        <f>(P676/$B676)+(P676/'Optimal Choice'!$B$11)</f>
        <v>18849894.089245237</v>
      </c>
      <c r="E676" s="8">
        <f>(Q676/$B676)+(Q676/'Optimal Choice'!$B$16)</f>
        <v>16582935.055087732</v>
      </c>
      <c r="F676" s="8">
        <f>(R676/$B676)+(R676/'Optimal Choice'!$B$21)</f>
        <v>18726209.710709061</v>
      </c>
      <c r="G676" s="8">
        <f>(S676/$B676)+(S676/'Optimal Choice'!$B$26)</f>
        <v>17622055.897550542</v>
      </c>
      <c r="I676" s="11">
        <f t="shared" ref="I676:M676" si="674">IF(MIN($C675:$G675)=C675,I675+1,I675)</f>
        <v>232</v>
      </c>
      <c r="J676" s="11">
        <f t="shared" si="674"/>
        <v>111</v>
      </c>
      <c r="K676" s="11">
        <f t="shared" si="674"/>
        <v>110</v>
      </c>
      <c r="L676" s="11">
        <f t="shared" si="674"/>
        <v>110</v>
      </c>
      <c r="M676" s="11">
        <f t="shared" si="674"/>
        <v>112</v>
      </c>
      <c r="O676" s="10">
        <f>'Optimal Choice'!$B$7*'Optimal Choice'!$B$8^(I676+1)</f>
        <v>28085372.734518845</v>
      </c>
      <c r="P676" s="10">
        <f>'Optimal Choice'!$B$12*'Optimal Choice'!$B$13^(J676+1)</f>
        <v>376972239.80810094</v>
      </c>
      <c r="Q676" s="10">
        <f>'Optimal Choice'!$B$17*'Optimal Choice'!$B$18^(K676+1)</f>
        <v>1492007460.6049659</v>
      </c>
      <c r="R676" s="10">
        <f>'Optimal Choice'!$B$22*'Optimal Choice'!$B$23^(L676+1)</f>
        <v>6733191540.9551897</v>
      </c>
      <c r="S676" s="10">
        <f>'Optimal Choice'!$B$27*'Optimal Choice'!$B$28^(M676+1)</f>
        <v>37786054815.431625</v>
      </c>
    </row>
    <row r="677" spans="1:19" ht="15.75" customHeight="1">
      <c r="A677" s="8">
        <f t="shared" si="0"/>
        <v>23756.657922824616</v>
      </c>
      <c r="B677" s="7">
        <f>(I677*'Optimal Choice'!$B$6+J677*'Optimal Choice'!$B$11+K677*'Optimal Choice'!$B$16+L677*'Optimal Choice'!$B$21+M677*'Optimal Choice'!$B$26)*'Optimal Choice'!$B$30</f>
        <v>294117.44</v>
      </c>
      <c r="C677" s="8">
        <f>(O677/$B677)+(O677/'Optimal Choice'!$B$6)</f>
        <v>16817683.954118263</v>
      </c>
      <c r="D677" s="8">
        <f>(P677/$B677)+(P677/'Optimal Choice'!$B$11)</f>
        <v>18849893.696922716</v>
      </c>
      <c r="E677" s="8">
        <f>(Q677/$B677)+(Q677/'Optimal Choice'!$B$16)</f>
        <v>18904544.192651462</v>
      </c>
      <c r="F677" s="8">
        <f>(R677/$B677)+(R677/'Optimal Choice'!$B$21)</f>
        <v>18726202.703342464</v>
      </c>
      <c r="G677" s="8">
        <f>(S677/$B677)+(S677/'Optimal Choice'!$B$26)</f>
        <v>17622016.572850391</v>
      </c>
      <c r="I677" s="11">
        <f t="shared" ref="I677:M677" si="675">IF(MIN($C676:$G676)=C676,I676+1,I676)</f>
        <v>232</v>
      </c>
      <c r="J677" s="11">
        <f t="shared" si="675"/>
        <v>111</v>
      </c>
      <c r="K677" s="11">
        <f t="shared" si="675"/>
        <v>111</v>
      </c>
      <c r="L677" s="11">
        <f t="shared" si="675"/>
        <v>110</v>
      </c>
      <c r="M677" s="11">
        <f t="shared" si="675"/>
        <v>112</v>
      </c>
      <c r="O677" s="10">
        <f>'Optimal Choice'!$B$7*'Optimal Choice'!$B$8^(I677+1)</f>
        <v>28085372.734518845</v>
      </c>
      <c r="P677" s="10">
        <f>'Optimal Choice'!$B$12*'Optimal Choice'!$B$13^(J677+1)</f>
        <v>376972239.80810094</v>
      </c>
      <c r="Q677" s="10">
        <f>'Optimal Choice'!$B$17*'Optimal Choice'!$B$18^(K677+1)</f>
        <v>1700888505.0896616</v>
      </c>
      <c r="R677" s="10">
        <f>'Optimal Choice'!$B$22*'Optimal Choice'!$B$23^(L677+1)</f>
        <v>6733191540.9551897</v>
      </c>
      <c r="S677" s="10">
        <f>'Optimal Choice'!$B$27*'Optimal Choice'!$B$28^(M677+1)</f>
        <v>37786054815.431625</v>
      </c>
    </row>
    <row r="678" spans="1:19" ht="15.75" customHeight="1">
      <c r="A678" s="8">
        <f t="shared" si="0"/>
        <v>23758.249428399991</v>
      </c>
      <c r="B678" s="7">
        <f>(I678*'Optimal Choice'!$B$6+J678*'Optimal Choice'!$B$11+K678*'Optimal Choice'!$B$16+L678*'Optimal Choice'!$B$21+M678*'Optimal Choice'!$B$26)*'Optimal Choice'!$B$30</f>
        <v>294119.11</v>
      </c>
      <c r="C678" s="8">
        <f>(O678/$B678)+(O678/'Optimal Choice'!$B$6)</f>
        <v>17994921.830326397</v>
      </c>
      <c r="D678" s="8">
        <f>(P678/$B678)+(P678/'Optimal Choice'!$B$11)</f>
        <v>18849893.68964522</v>
      </c>
      <c r="E678" s="8">
        <f>(Q678/$B678)+(Q678/'Optimal Choice'!$B$16)</f>
        <v>18904544.159815609</v>
      </c>
      <c r="F678" s="8">
        <f>(R678/$B678)+(R678/'Optimal Choice'!$B$21)</f>
        <v>18726202.573357407</v>
      </c>
      <c r="G678" s="8">
        <f>(S678/$B678)+(S678/'Optimal Choice'!$B$26)</f>
        <v>17622015.843386162</v>
      </c>
      <c r="I678" s="11">
        <f t="shared" ref="I678:M678" si="676">IF(MIN($C677:$G677)=C677,I677+1,I677)</f>
        <v>233</v>
      </c>
      <c r="J678" s="11">
        <f t="shared" si="676"/>
        <v>111</v>
      </c>
      <c r="K678" s="11">
        <f t="shared" si="676"/>
        <v>111</v>
      </c>
      <c r="L678" s="11">
        <f t="shared" si="676"/>
        <v>110</v>
      </c>
      <c r="M678" s="11">
        <f t="shared" si="676"/>
        <v>112</v>
      </c>
      <c r="O678" s="10">
        <f>'Optimal Choice'!$B$7*'Optimal Choice'!$B$8^(I678+1)</f>
        <v>30051348.825935166</v>
      </c>
      <c r="P678" s="10">
        <f>'Optimal Choice'!$B$12*'Optimal Choice'!$B$13^(J678+1)</f>
        <v>376972239.80810094</v>
      </c>
      <c r="Q678" s="10">
        <f>'Optimal Choice'!$B$17*'Optimal Choice'!$B$18^(K678+1)</f>
        <v>1700888505.0896616</v>
      </c>
      <c r="R678" s="10">
        <f>'Optimal Choice'!$B$22*'Optimal Choice'!$B$23^(L678+1)</f>
        <v>6733191540.9551897</v>
      </c>
      <c r="S678" s="10">
        <f>'Optimal Choice'!$B$27*'Optimal Choice'!$B$28^(M678+1)</f>
        <v>37786054815.431625</v>
      </c>
    </row>
    <row r="679" spans="1:19" ht="15.75" customHeight="1">
      <c r="A679" s="8">
        <f t="shared" si="0"/>
        <v>25899.448550950015</v>
      </c>
      <c r="B679" s="7">
        <f>(I679*'Optimal Choice'!$B$6+J679*'Optimal Choice'!$B$11+K679*'Optimal Choice'!$B$16+L679*'Optimal Choice'!$B$21+M679*'Optimal Choice'!$B$26)*'Optimal Choice'!$B$30</f>
        <v>296279.11</v>
      </c>
      <c r="C679" s="8">
        <f>(O679/$B679)+(O679/'Optimal Choice'!$B$6)</f>
        <v>17994921.085434165</v>
      </c>
      <c r="D679" s="8">
        <f>(P679/$B679)+(P679/'Optimal Choice'!$B$11)</f>
        <v>18849884.345515765</v>
      </c>
      <c r="E679" s="8">
        <f>(Q679/$B679)+(Q679/'Optimal Choice'!$B$16)</f>
        <v>18904501.99935735</v>
      </c>
      <c r="F679" s="8">
        <f>(R679/$B679)+(R679/'Optimal Choice'!$B$21)</f>
        <v>18726035.675621282</v>
      </c>
      <c r="G679" s="8">
        <f>(S679/$B679)+(S679/'Optimal Choice'!$B$26)</f>
        <v>19735608.735990323</v>
      </c>
      <c r="I679" s="11">
        <f t="shared" ref="I679:M679" si="677">IF(MIN($C678:$G678)=C678,I678+1,I678)</f>
        <v>233</v>
      </c>
      <c r="J679" s="11">
        <f t="shared" si="677"/>
        <v>111</v>
      </c>
      <c r="K679" s="11">
        <f t="shared" si="677"/>
        <v>111</v>
      </c>
      <c r="L679" s="11">
        <f t="shared" si="677"/>
        <v>110</v>
      </c>
      <c r="M679" s="11">
        <f t="shared" si="677"/>
        <v>113</v>
      </c>
      <c r="O679" s="10">
        <f>'Optimal Choice'!$B$7*'Optimal Choice'!$B$8^(I679+1)</f>
        <v>30051348.825935166</v>
      </c>
      <c r="P679" s="10">
        <f>'Optimal Choice'!$B$12*'Optimal Choice'!$B$13^(J679+1)</f>
        <v>376972239.80810094</v>
      </c>
      <c r="Q679" s="10">
        <f>'Optimal Choice'!$B$17*'Optimal Choice'!$B$18^(K679+1)</f>
        <v>1700888505.0896616</v>
      </c>
      <c r="R679" s="10">
        <f>'Optimal Choice'!$B$22*'Optimal Choice'!$B$23^(L679+1)</f>
        <v>6733191540.9551897</v>
      </c>
      <c r="S679" s="10">
        <f>'Optimal Choice'!$B$27*'Optimal Choice'!$B$28^(M679+1)</f>
        <v>42320381393.283424</v>
      </c>
    </row>
    <row r="680" spans="1:19" ht="15.75" customHeight="1">
      <c r="A680" s="8">
        <f t="shared" si="0"/>
        <v>25901.139037376026</v>
      </c>
      <c r="B680" s="7">
        <f>(I680*'Optimal Choice'!$B$6+J680*'Optimal Choice'!$B$11+K680*'Optimal Choice'!$B$16+L680*'Optimal Choice'!$B$21+M680*'Optimal Choice'!$B$26)*'Optimal Choice'!$B$30</f>
        <v>296280.78000000003</v>
      </c>
      <c r="C680" s="8">
        <f>(O680/$B680)+(O680/'Optimal Choice'!$B$6)</f>
        <v>19254565.560802829</v>
      </c>
      <c r="D680" s="8">
        <f>(P680/$B680)+(P680/'Optimal Choice'!$B$11)</f>
        <v>18849884.338344079</v>
      </c>
      <c r="E680" s="8">
        <f>(Q680/$B680)+(Q680/'Optimal Choice'!$B$16)</f>
        <v>18904501.966998894</v>
      </c>
      <c r="F680" s="8">
        <f>(R680/$B680)+(R680/'Optimal Choice'!$B$21)</f>
        <v>18726035.547526058</v>
      </c>
      <c r="G680" s="8">
        <f>(S680/$B680)+(S680/'Optimal Choice'!$B$26)</f>
        <v>19735607.930868622</v>
      </c>
      <c r="I680" s="11">
        <f t="shared" ref="I680:M680" si="678">IF(MIN($C679:$G679)=C679,I679+1,I679)</f>
        <v>234</v>
      </c>
      <c r="J680" s="11">
        <f t="shared" si="678"/>
        <v>111</v>
      </c>
      <c r="K680" s="11">
        <f t="shared" si="678"/>
        <v>111</v>
      </c>
      <c r="L680" s="11">
        <f t="shared" si="678"/>
        <v>110</v>
      </c>
      <c r="M680" s="11">
        <f t="shared" si="678"/>
        <v>113</v>
      </c>
      <c r="O680" s="10">
        <f>'Optimal Choice'!$B$7*'Optimal Choice'!$B$8^(I680+1)</f>
        <v>32154943.243750632</v>
      </c>
      <c r="P680" s="10">
        <f>'Optimal Choice'!$B$12*'Optimal Choice'!$B$13^(J680+1)</f>
        <v>376972239.80810094</v>
      </c>
      <c r="Q680" s="10">
        <f>'Optimal Choice'!$B$17*'Optimal Choice'!$B$18^(K680+1)</f>
        <v>1700888505.0896616</v>
      </c>
      <c r="R680" s="10">
        <f>'Optimal Choice'!$B$22*'Optimal Choice'!$B$23^(L680+1)</f>
        <v>6733191540.9551897</v>
      </c>
      <c r="S680" s="10">
        <f>'Optimal Choice'!$B$27*'Optimal Choice'!$B$28^(M680+1)</f>
        <v>42320381393.283424</v>
      </c>
    </row>
    <row r="681" spans="1:19" ht="15.75" customHeight="1">
      <c r="A681" s="8">
        <f t="shared" si="0"/>
        <v>26279.900896366406</v>
      </c>
      <c r="B681" s="7">
        <f>(I681*'Optimal Choice'!$B$6+J681*'Optimal Choice'!$B$11+K681*'Optimal Choice'!$B$16+L681*'Optimal Choice'!$B$21+M681*'Optimal Choice'!$B$26)*'Optimal Choice'!$B$30</f>
        <v>296640.78000000003</v>
      </c>
      <c r="C681" s="8">
        <f>(O681/$B681)+(O681/'Optimal Choice'!$B$6)</f>
        <v>19254565.429093689</v>
      </c>
      <c r="D681" s="8">
        <f>(P681/$B681)+(P681/'Optimal Choice'!$B$11)</f>
        <v>18849882.794236563</v>
      </c>
      <c r="E681" s="8">
        <f>(Q681/$B681)+(Q681/'Optimal Choice'!$B$16)</f>
        <v>18904495.000027727</v>
      </c>
      <c r="F681" s="8">
        <f>(R681/$B681)+(R681/'Optimal Choice'!$B$21)</f>
        <v>21160389.003672268</v>
      </c>
      <c r="G681" s="8">
        <f>(S681/$B681)+(S681/'Optimal Choice'!$B$26)</f>
        <v>19735434.583305847</v>
      </c>
      <c r="I681" s="11">
        <f t="shared" ref="I681:M681" si="679">IF(MIN($C680:$G680)=C680,I680+1,I680)</f>
        <v>234</v>
      </c>
      <c r="J681" s="11">
        <f t="shared" si="679"/>
        <v>111</v>
      </c>
      <c r="K681" s="11">
        <f t="shared" si="679"/>
        <v>111</v>
      </c>
      <c r="L681" s="11">
        <f t="shared" si="679"/>
        <v>111</v>
      </c>
      <c r="M681" s="11">
        <f t="shared" si="679"/>
        <v>113</v>
      </c>
      <c r="O681" s="10">
        <f>'Optimal Choice'!$B$7*'Optimal Choice'!$B$8^(I681+1)</f>
        <v>32154943.243750632</v>
      </c>
      <c r="P681" s="10">
        <f>'Optimal Choice'!$B$12*'Optimal Choice'!$B$13^(J681+1)</f>
        <v>376972239.80810094</v>
      </c>
      <c r="Q681" s="10">
        <f>'Optimal Choice'!$B$17*'Optimal Choice'!$B$18^(K681+1)</f>
        <v>1700888505.0896616</v>
      </c>
      <c r="R681" s="10">
        <f>'Optimal Choice'!$B$22*'Optimal Choice'!$B$23^(L681+1)</f>
        <v>7608506441.2793646</v>
      </c>
      <c r="S681" s="10">
        <f>'Optimal Choice'!$B$27*'Optimal Choice'!$B$28^(M681+1)</f>
        <v>42320381393.283424</v>
      </c>
    </row>
    <row r="682" spans="1:19" ht="15.75" customHeight="1">
      <c r="A682" s="8">
        <f t="shared" si="0"/>
        <v>26301.080960225016</v>
      </c>
      <c r="B682" s="7">
        <f>(I682*'Optimal Choice'!$B$6+J682*'Optimal Choice'!$B$11+K682*'Optimal Choice'!$B$16+L682*'Optimal Choice'!$B$21+M682*'Optimal Choice'!$B$26)*'Optimal Choice'!$B$30</f>
        <v>296660.78000000003</v>
      </c>
      <c r="C682" s="8">
        <f>(O682/$B682)+(O682/'Optimal Choice'!$B$6)</f>
        <v>19254565.421785887</v>
      </c>
      <c r="D682" s="8">
        <f>(P682/$B682)+(P682/'Optimal Choice'!$B$11)</f>
        <v>21677365.114847101</v>
      </c>
      <c r="E682" s="8">
        <f>(Q682/$B682)+(Q682/'Optimal Choice'!$B$16)</f>
        <v>18904494.61346956</v>
      </c>
      <c r="F682" s="8">
        <f>(R682/$B682)+(R682/'Optimal Choice'!$B$21)</f>
        <v>21160387.274499375</v>
      </c>
      <c r="G682" s="8">
        <f>(S682/$B682)+(S682/'Optimal Choice'!$B$26)</f>
        <v>19735424.965221532</v>
      </c>
      <c r="I682" s="11">
        <f t="shared" ref="I682:M682" si="680">IF(MIN($C681:$G681)=C681,I681+1,I681)</f>
        <v>234</v>
      </c>
      <c r="J682" s="11">
        <f t="shared" si="680"/>
        <v>112</v>
      </c>
      <c r="K682" s="11">
        <f t="shared" si="680"/>
        <v>111</v>
      </c>
      <c r="L682" s="11">
        <f t="shared" si="680"/>
        <v>111</v>
      </c>
      <c r="M682" s="11">
        <f t="shared" si="680"/>
        <v>113</v>
      </c>
      <c r="O682" s="10">
        <f>'Optimal Choice'!$B$7*'Optimal Choice'!$B$8^(I682+1)</f>
        <v>32154943.243750632</v>
      </c>
      <c r="P682" s="10">
        <f>'Optimal Choice'!$B$12*'Optimal Choice'!$B$13^(J682+1)</f>
        <v>433518075.77931613</v>
      </c>
      <c r="Q682" s="10">
        <f>'Optimal Choice'!$B$17*'Optimal Choice'!$B$18^(K682+1)</f>
        <v>1700888505.0896616</v>
      </c>
      <c r="R682" s="10">
        <f>'Optimal Choice'!$B$22*'Optimal Choice'!$B$23^(L682+1)</f>
        <v>7608506441.2793646</v>
      </c>
      <c r="S682" s="10">
        <f>'Optimal Choice'!$B$27*'Optimal Choice'!$B$28^(M682+1)</f>
        <v>42320381393.283424</v>
      </c>
    </row>
    <row r="683" spans="1:19" ht="15.75" customHeight="1">
      <c r="A683" s="8">
        <f t="shared" si="0"/>
        <v>26396.638390335913</v>
      </c>
      <c r="B683" s="7">
        <f>(I683*'Optimal Choice'!$B$6+J683*'Optimal Choice'!$B$11+K683*'Optimal Choice'!$B$16+L683*'Optimal Choice'!$B$21+M683*'Optimal Choice'!$B$26)*'Optimal Choice'!$B$30</f>
        <v>296750.78000000003</v>
      </c>
      <c r="C683" s="8">
        <f>(O683/$B683)+(O683/'Optimal Choice'!$B$6)</f>
        <v>19254565.388912968</v>
      </c>
      <c r="D683" s="8">
        <f>(P683/$B683)+(P683/'Optimal Choice'!$B$11)</f>
        <v>21677364.67164918</v>
      </c>
      <c r="E683" s="8">
        <f>(Q683/$B683)+(Q683/'Optimal Choice'!$B$16)</f>
        <v>21551121.877046976</v>
      </c>
      <c r="F683" s="8">
        <f>(R683/$B683)+(R683/'Optimal Choice'!$B$21)</f>
        <v>21160379.496105716</v>
      </c>
      <c r="G683" s="8">
        <f>(S683/$B683)+(S683/'Optimal Choice'!$B$26)</f>
        <v>19735381.699885719</v>
      </c>
      <c r="I683" s="11">
        <f t="shared" ref="I683:M683" si="681">IF(MIN($C682:$G682)=C682,I682+1,I682)</f>
        <v>234</v>
      </c>
      <c r="J683" s="11">
        <f t="shared" si="681"/>
        <v>112</v>
      </c>
      <c r="K683" s="11">
        <f t="shared" si="681"/>
        <v>112</v>
      </c>
      <c r="L683" s="11">
        <f t="shared" si="681"/>
        <v>111</v>
      </c>
      <c r="M683" s="11">
        <f t="shared" si="681"/>
        <v>113</v>
      </c>
      <c r="O683" s="10">
        <f>'Optimal Choice'!$B$7*'Optimal Choice'!$B$8^(I683+1)</f>
        <v>32154943.243750632</v>
      </c>
      <c r="P683" s="10">
        <f>'Optimal Choice'!$B$12*'Optimal Choice'!$B$13^(J683+1)</f>
        <v>433518075.77931613</v>
      </c>
      <c r="Q683" s="10">
        <f>'Optimal Choice'!$B$17*'Optimal Choice'!$B$18^(K683+1)</f>
        <v>1939012895.8022139</v>
      </c>
      <c r="R683" s="10">
        <f>'Optimal Choice'!$B$22*'Optimal Choice'!$B$23^(L683+1)</f>
        <v>7608506441.2793646</v>
      </c>
      <c r="S683" s="10">
        <f>'Optimal Choice'!$B$27*'Optimal Choice'!$B$28^(M683+1)</f>
        <v>42320381393.283424</v>
      </c>
    </row>
    <row r="684" spans="1:19" ht="15.75" customHeight="1">
      <c r="A684" s="8">
        <f t="shared" si="0"/>
        <v>26398.444335785254</v>
      </c>
      <c r="B684" s="7">
        <f>(I684*'Optimal Choice'!$B$6+J684*'Optimal Choice'!$B$11+K684*'Optimal Choice'!$B$16+L684*'Optimal Choice'!$B$21+M684*'Optimal Choice'!$B$26)*'Optimal Choice'!$B$30</f>
        <v>296752.45</v>
      </c>
      <c r="C684" s="8">
        <f>(O684/$B684)+(O684/'Optimal Choice'!$B$6)</f>
        <v>20602384.965484399</v>
      </c>
      <c r="D684" s="8">
        <f>(P684/$B684)+(P684/'Optimal Choice'!$B$11)</f>
        <v>21677364.663427934</v>
      </c>
      <c r="E684" s="8">
        <f>(Q684/$B684)+(Q684/'Optimal Choice'!$B$16)</f>
        <v>21551121.840275507</v>
      </c>
      <c r="F684" s="8">
        <f>(R684/$B684)+(R684/'Optimal Choice'!$B$21)</f>
        <v>21160379.351817887</v>
      </c>
      <c r="G684" s="8">
        <f>(S684/$B684)+(S684/'Optimal Choice'!$B$26)</f>
        <v>19735380.897321373</v>
      </c>
      <c r="I684" s="11">
        <f t="shared" ref="I684:M684" si="682">IF(MIN($C683:$G683)=C683,I683+1,I683)</f>
        <v>235</v>
      </c>
      <c r="J684" s="11">
        <f t="shared" si="682"/>
        <v>112</v>
      </c>
      <c r="K684" s="11">
        <f t="shared" si="682"/>
        <v>112</v>
      </c>
      <c r="L684" s="11">
        <f t="shared" si="682"/>
        <v>111</v>
      </c>
      <c r="M684" s="11">
        <f t="shared" si="682"/>
        <v>113</v>
      </c>
      <c r="O684" s="10">
        <f>'Optimal Choice'!$B$7*'Optimal Choice'!$B$8^(I684+1)</f>
        <v>34405789.270813167</v>
      </c>
      <c r="P684" s="10">
        <f>'Optimal Choice'!$B$12*'Optimal Choice'!$B$13^(J684+1)</f>
        <v>433518075.77931613</v>
      </c>
      <c r="Q684" s="10">
        <f>'Optimal Choice'!$B$17*'Optimal Choice'!$B$18^(K684+1)</f>
        <v>1939012895.8022139</v>
      </c>
      <c r="R684" s="10">
        <f>'Optimal Choice'!$B$22*'Optimal Choice'!$B$23^(L684+1)</f>
        <v>7608506441.2793646</v>
      </c>
      <c r="S684" s="10">
        <f>'Optimal Choice'!$B$27*'Optimal Choice'!$B$28^(M684+1)</f>
        <v>42320381393.283424</v>
      </c>
    </row>
    <row r="685" spans="1:19" ht="15.75" customHeight="1">
      <c r="A685" s="8">
        <f t="shared" si="0"/>
        <v>28775.306565189112</v>
      </c>
      <c r="B685" s="7">
        <f>(I685*'Optimal Choice'!$B$6+J685*'Optimal Choice'!$B$11+K685*'Optimal Choice'!$B$16+L685*'Optimal Choice'!$B$21+M685*'Optimal Choice'!$B$26)*'Optimal Choice'!$B$30</f>
        <v>298912.45</v>
      </c>
      <c r="C685" s="8">
        <f>(O685/$B685)+(O685/'Optimal Choice'!$B$6)</f>
        <v>20602384.127671659</v>
      </c>
      <c r="D685" s="8">
        <f>(P685/$B685)+(P685/'Optimal Choice'!$B$11)</f>
        <v>21677354.1068625</v>
      </c>
      <c r="E685" s="8">
        <f>(Q685/$B685)+(Q685/'Optimal Choice'!$B$16)</f>
        <v>21551074.623521097</v>
      </c>
      <c r="F685" s="8">
        <f>(R685/$B685)+(R685/'Optimal Choice'!$B$21)</f>
        <v>21160194.077660687</v>
      </c>
      <c r="G685" s="8">
        <f>(S685/$B685)+(S685/'Optimal Choice'!$B$26)</f>
        <v>22102472.399792619</v>
      </c>
      <c r="I685" s="11">
        <f t="shared" ref="I685:M685" si="683">IF(MIN($C684:$G684)=C684,I684+1,I684)</f>
        <v>235</v>
      </c>
      <c r="J685" s="11">
        <f t="shared" si="683"/>
        <v>112</v>
      </c>
      <c r="K685" s="11">
        <f t="shared" si="683"/>
        <v>112</v>
      </c>
      <c r="L685" s="11">
        <f t="shared" si="683"/>
        <v>111</v>
      </c>
      <c r="M685" s="11">
        <f t="shared" si="683"/>
        <v>114</v>
      </c>
      <c r="O685" s="10">
        <f>'Optimal Choice'!$B$7*'Optimal Choice'!$B$8^(I685+1)</f>
        <v>34405789.270813167</v>
      </c>
      <c r="P685" s="10">
        <f>'Optimal Choice'!$B$12*'Optimal Choice'!$B$13^(J685+1)</f>
        <v>433518075.77931613</v>
      </c>
      <c r="Q685" s="10">
        <f>'Optimal Choice'!$B$17*'Optimal Choice'!$B$18^(K685+1)</f>
        <v>1939012895.8022139</v>
      </c>
      <c r="R685" s="10">
        <f>'Optimal Choice'!$B$22*'Optimal Choice'!$B$23^(L685+1)</f>
        <v>7608506441.2793646</v>
      </c>
      <c r="S685" s="10">
        <f>'Optimal Choice'!$B$27*'Optimal Choice'!$B$28^(M685+1)</f>
        <v>47398827160.47744</v>
      </c>
    </row>
    <row r="686" spans="1:19" ht="15.75" customHeight="1">
      <c r="A686" s="8">
        <f t="shared" si="0"/>
        <v>28777.224952399749</v>
      </c>
      <c r="B686" s="7">
        <f>(I686*'Optimal Choice'!$B$6+J686*'Optimal Choice'!$B$11+K686*'Optimal Choice'!$B$16+L686*'Optimal Choice'!$B$21+M686*'Optimal Choice'!$B$26)*'Optimal Choice'!$B$30</f>
        <v>298914.12</v>
      </c>
      <c r="C686" s="8">
        <f>(O686/$B686)+(O686/'Optimal Choice'!$B$6)</f>
        <v>22044551.015920598</v>
      </c>
      <c r="D686" s="8">
        <f>(P686/$B686)+(P686/'Optimal Choice'!$B$11)</f>
        <v>21677354.098759733</v>
      </c>
      <c r="E686" s="8">
        <f>(Q686/$B686)+(Q686/'Optimal Choice'!$B$16)</f>
        <v>21551074.587279551</v>
      </c>
      <c r="F686" s="8">
        <f>(R686/$B686)+(R686/'Optimal Choice'!$B$21)</f>
        <v>21160193.935452219</v>
      </c>
      <c r="G686" s="8">
        <f>(S686/$B686)+(S686/'Optimal Choice'!$B$26)</f>
        <v>22102471.513874404</v>
      </c>
      <c r="I686" s="11">
        <f t="shared" ref="I686:M686" si="684">IF(MIN($C685:$G685)=C685,I685+1,I685)</f>
        <v>236</v>
      </c>
      <c r="J686" s="11">
        <f t="shared" si="684"/>
        <v>112</v>
      </c>
      <c r="K686" s="11">
        <f t="shared" si="684"/>
        <v>112</v>
      </c>
      <c r="L686" s="11">
        <f t="shared" si="684"/>
        <v>111</v>
      </c>
      <c r="M686" s="11">
        <f t="shared" si="684"/>
        <v>114</v>
      </c>
      <c r="O686" s="10">
        <f>'Optimal Choice'!$B$7*'Optimal Choice'!$B$8^(I686+1)</f>
        <v>36814194.519770093</v>
      </c>
      <c r="P686" s="10">
        <f>'Optimal Choice'!$B$12*'Optimal Choice'!$B$13^(J686+1)</f>
        <v>433518075.77931613</v>
      </c>
      <c r="Q686" s="10">
        <f>'Optimal Choice'!$B$17*'Optimal Choice'!$B$18^(K686+1)</f>
        <v>1939012895.8022139</v>
      </c>
      <c r="R686" s="10">
        <f>'Optimal Choice'!$B$22*'Optimal Choice'!$B$23^(L686+1)</f>
        <v>7608506441.2793646</v>
      </c>
      <c r="S686" s="10">
        <f>'Optimal Choice'!$B$27*'Optimal Choice'!$B$28^(M686+1)</f>
        <v>47398827160.47744</v>
      </c>
    </row>
    <row r="687" spans="1:19" ht="15.75" customHeight="1">
      <c r="A687" s="8">
        <f t="shared" si="0"/>
        <v>29201.455298855075</v>
      </c>
      <c r="B687" s="7">
        <f>(I687*'Optimal Choice'!$B$6+J687*'Optimal Choice'!$B$11+K687*'Optimal Choice'!$B$16+L687*'Optimal Choice'!$B$21+M687*'Optimal Choice'!$B$26)*'Optimal Choice'!$B$30</f>
        <v>299274.12</v>
      </c>
      <c r="C687" s="8">
        <f>(O687/$B687)+(O687/'Optimal Choice'!$B$6)</f>
        <v>22044550.867770407</v>
      </c>
      <c r="D687" s="8">
        <f>(P687/$B687)+(P687/'Optimal Choice'!$B$11)</f>
        <v>21677352.354166765</v>
      </c>
      <c r="E687" s="8">
        <f>(Q687/$B687)+(Q687/'Optimal Choice'!$B$16)</f>
        <v>21551066.784171779</v>
      </c>
      <c r="F687" s="8">
        <f>(R687/$B687)+(R687/'Optimal Choice'!$B$21)</f>
        <v>23910984.547964044</v>
      </c>
      <c r="G687" s="8">
        <f>(S687/$B687)+(S687/'Optimal Choice'!$B$26)</f>
        <v>22102280.768285546</v>
      </c>
      <c r="I687" s="11">
        <f t="shared" ref="I687:M687" si="685">IF(MIN($C686:$G686)=C686,I686+1,I686)</f>
        <v>236</v>
      </c>
      <c r="J687" s="11">
        <f t="shared" si="685"/>
        <v>112</v>
      </c>
      <c r="K687" s="11">
        <f t="shared" si="685"/>
        <v>112</v>
      </c>
      <c r="L687" s="11">
        <f t="shared" si="685"/>
        <v>112</v>
      </c>
      <c r="M687" s="11">
        <f t="shared" si="685"/>
        <v>114</v>
      </c>
      <c r="O687" s="10">
        <f>'Optimal Choice'!$B$7*'Optimal Choice'!$B$8^(I687+1)</f>
        <v>36814194.519770093</v>
      </c>
      <c r="P687" s="10">
        <f>'Optimal Choice'!$B$12*'Optimal Choice'!$B$13^(J687+1)</f>
        <v>433518075.77931613</v>
      </c>
      <c r="Q687" s="10">
        <f>'Optimal Choice'!$B$17*'Optimal Choice'!$B$18^(K687+1)</f>
        <v>1939012895.8022139</v>
      </c>
      <c r="R687" s="10">
        <f>'Optimal Choice'!$B$22*'Optimal Choice'!$B$23^(L687+1)</f>
        <v>8597612278.6456814</v>
      </c>
      <c r="S687" s="10">
        <f>'Optimal Choice'!$B$27*'Optimal Choice'!$B$28^(M687+1)</f>
        <v>47398827160.47744</v>
      </c>
    </row>
    <row r="688" spans="1:19" ht="15.75" customHeight="1">
      <c r="A688" s="8">
        <f t="shared" si="0"/>
        <v>29309.439516122853</v>
      </c>
      <c r="B688" s="7">
        <f>(I688*'Optimal Choice'!$B$6+J688*'Optimal Choice'!$B$11+K688*'Optimal Choice'!$B$16+L688*'Optimal Choice'!$B$21+M688*'Optimal Choice'!$B$26)*'Optimal Choice'!$B$30</f>
        <v>299364.12</v>
      </c>
      <c r="C688" s="8">
        <f>(O688/$B688)+(O688/'Optimal Choice'!$B$6)</f>
        <v>22044550.830788538</v>
      </c>
      <c r="D688" s="8">
        <f>(P688/$B688)+(P688/'Optimal Choice'!$B$11)</f>
        <v>21677351.918674134</v>
      </c>
      <c r="E688" s="8">
        <f>(Q688/$B688)+(Q688/'Optimal Choice'!$B$16)</f>
        <v>24568213.913413022</v>
      </c>
      <c r="F688" s="8">
        <f>(R688/$B688)+(R688/'Optimal Choice'!$B$21)</f>
        <v>23910975.911192026</v>
      </c>
      <c r="G688" s="8">
        <f>(S688/$B688)+(S688/'Optimal Choice'!$B$26)</f>
        <v>22102233.153569866</v>
      </c>
      <c r="I688" s="11">
        <f t="shared" ref="I688:M688" si="686">IF(MIN($C687:$G687)=C687,I687+1,I687)</f>
        <v>236</v>
      </c>
      <c r="J688" s="11">
        <f t="shared" si="686"/>
        <v>112</v>
      </c>
      <c r="K688" s="11">
        <f t="shared" si="686"/>
        <v>113</v>
      </c>
      <c r="L688" s="11">
        <f t="shared" si="686"/>
        <v>112</v>
      </c>
      <c r="M688" s="11">
        <f t="shared" si="686"/>
        <v>114</v>
      </c>
      <c r="O688" s="10">
        <f>'Optimal Choice'!$B$7*'Optimal Choice'!$B$8^(I688+1)</f>
        <v>36814194.519770093</v>
      </c>
      <c r="P688" s="10">
        <f>'Optimal Choice'!$B$12*'Optimal Choice'!$B$13^(J688+1)</f>
        <v>433518075.77931613</v>
      </c>
      <c r="Q688" s="10">
        <f>'Optimal Choice'!$B$17*'Optimal Choice'!$B$18^(K688+1)</f>
        <v>2210474701.2145238</v>
      </c>
      <c r="R688" s="10">
        <f>'Optimal Choice'!$B$22*'Optimal Choice'!$B$23^(L688+1)</f>
        <v>8597612278.6456814</v>
      </c>
      <c r="S688" s="10">
        <f>'Optimal Choice'!$B$27*'Optimal Choice'!$B$28^(M688+1)</f>
        <v>47398827160.47744</v>
      </c>
    </row>
    <row r="689" spans="1:19" ht="15.75" customHeight="1">
      <c r="A689" s="8">
        <f t="shared" si="0"/>
        <v>29333.575011261644</v>
      </c>
      <c r="B689" s="7">
        <f>(I689*'Optimal Choice'!$B$6+J689*'Optimal Choice'!$B$11+K689*'Optimal Choice'!$B$16+L689*'Optimal Choice'!$B$21+M689*'Optimal Choice'!$B$26)*'Optimal Choice'!$B$30</f>
        <v>299384.12</v>
      </c>
      <c r="C689" s="8">
        <f>(O689/$B689)+(O689/'Optimal Choice'!$B$6)</f>
        <v>22044550.82257336</v>
      </c>
      <c r="D689" s="8">
        <f>(P689/$B689)+(P689/'Optimal Choice'!$B$11)</f>
        <v>24928954.59522358</v>
      </c>
      <c r="E689" s="8">
        <f>(Q689/$B689)+(Q689/'Optimal Choice'!$B$16)</f>
        <v>24568213.420140371</v>
      </c>
      <c r="F689" s="8">
        <f>(R689/$B689)+(R689/'Optimal Choice'!$B$21)</f>
        <v>23910973.992614537</v>
      </c>
      <c r="G689" s="8">
        <f>(S689/$B689)+(S689/'Optimal Choice'!$B$26)</f>
        <v>22102222.576409634</v>
      </c>
      <c r="I689" s="11">
        <f t="shared" ref="I689:M689" si="687">IF(MIN($C688:$G688)=C688,I688+1,I688)</f>
        <v>236</v>
      </c>
      <c r="J689" s="11">
        <f t="shared" si="687"/>
        <v>113</v>
      </c>
      <c r="K689" s="11">
        <f t="shared" si="687"/>
        <v>113</v>
      </c>
      <c r="L689" s="11">
        <f t="shared" si="687"/>
        <v>112</v>
      </c>
      <c r="M689" s="11">
        <f t="shared" si="687"/>
        <v>114</v>
      </c>
      <c r="O689" s="10">
        <f>'Optimal Choice'!$B$7*'Optimal Choice'!$B$8^(I689+1)</f>
        <v>36814194.519770093</v>
      </c>
      <c r="P689" s="10">
        <f>'Optimal Choice'!$B$12*'Optimal Choice'!$B$13^(J689+1)</f>
        <v>498545787.14621341</v>
      </c>
      <c r="Q689" s="10">
        <f>'Optimal Choice'!$B$17*'Optimal Choice'!$B$18^(K689+1)</f>
        <v>2210474701.2145238</v>
      </c>
      <c r="R689" s="10">
        <f>'Optimal Choice'!$B$22*'Optimal Choice'!$B$23^(L689+1)</f>
        <v>8597612278.6456814</v>
      </c>
      <c r="S689" s="10">
        <f>'Optimal Choice'!$B$27*'Optimal Choice'!$B$28^(M689+1)</f>
        <v>47398827160.47744</v>
      </c>
    </row>
    <row r="690" spans="1:19" ht="15.75" customHeight="1">
      <c r="A690" s="8">
        <f t="shared" si="0"/>
        <v>29335.624451655018</v>
      </c>
      <c r="B690" s="7">
        <f>(I690*'Optimal Choice'!$B$6+J690*'Optimal Choice'!$B$11+K690*'Optimal Choice'!$B$16+L690*'Optimal Choice'!$B$21+M690*'Optimal Choice'!$B$26)*'Optimal Choice'!$B$30</f>
        <v>299385.78999999998</v>
      </c>
      <c r="C690" s="8">
        <f>(O690/$B690)+(O690/'Optimal Choice'!$B$6)</f>
        <v>23587669.379419565</v>
      </c>
      <c r="D690" s="8">
        <f>(P690/$B690)+(P690/'Optimal Choice'!$B$11)</f>
        <v>24928954.585934736</v>
      </c>
      <c r="E690" s="8">
        <f>(Q690/$B690)+(Q690/'Optimal Choice'!$B$16)</f>
        <v>24568213.378955089</v>
      </c>
      <c r="F690" s="8">
        <f>(R690/$B690)+(R690/'Optimal Choice'!$B$21)</f>
        <v>23910973.832424913</v>
      </c>
      <c r="G690" s="8">
        <f>(S690/$B690)+(S690/'Optimal Choice'!$B$26)</f>
        <v>22102221.693280682</v>
      </c>
      <c r="I690" s="11">
        <f t="shared" ref="I690:M690" si="688">IF(MIN($C689:$G689)=C689,I689+1,I689)</f>
        <v>237</v>
      </c>
      <c r="J690" s="11">
        <f t="shared" si="688"/>
        <v>113</v>
      </c>
      <c r="K690" s="11">
        <f t="shared" si="688"/>
        <v>113</v>
      </c>
      <c r="L690" s="11">
        <f t="shared" si="688"/>
        <v>112</v>
      </c>
      <c r="M690" s="11">
        <f t="shared" si="688"/>
        <v>114</v>
      </c>
      <c r="O690" s="10">
        <f>'Optimal Choice'!$B$7*'Optimal Choice'!$B$8^(I690+1)</f>
        <v>39391188.136154003</v>
      </c>
      <c r="P690" s="10">
        <f>'Optimal Choice'!$B$12*'Optimal Choice'!$B$13^(J690+1)</f>
        <v>498545787.14621341</v>
      </c>
      <c r="Q690" s="10">
        <f>'Optimal Choice'!$B$17*'Optimal Choice'!$B$18^(K690+1)</f>
        <v>2210474701.2145238</v>
      </c>
      <c r="R690" s="10">
        <f>'Optimal Choice'!$B$22*'Optimal Choice'!$B$23^(L690+1)</f>
        <v>8597612278.6456814</v>
      </c>
      <c r="S690" s="10">
        <f>'Optimal Choice'!$B$27*'Optimal Choice'!$B$28^(M690+1)</f>
        <v>47398827160.47744</v>
      </c>
    </row>
    <row r="691" spans="1:19" ht="15.75" customHeight="1">
      <c r="A691" s="8">
        <f t="shared" si="0"/>
        <v>31974.294953266413</v>
      </c>
      <c r="B691" s="7">
        <f>(I691*'Optimal Choice'!$B$6+J691*'Optimal Choice'!$B$11+K691*'Optimal Choice'!$B$16+L691*'Optimal Choice'!$B$21+M691*'Optimal Choice'!$B$26)*'Optimal Choice'!$B$30</f>
        <v>301545.78999999998</v>
      </c>
      <c r="C691" s="8">
        <f>(O691/$B691)+(O691/'Optimal Choice'!$B$6)</f>
        <v>23587668.436947733</v>
      </c>
      <c r="D691" s="8">
        <f>(P691/$B691)+(P691/'Optimal Choice'!$B$11)</f>
        <v>24928942.657750204</v>
      </c>
      <c r="E691" s="8">
        <f>(Q691/$B691)+(Q691/'Optimal Choice'!$B$16)</f>
        <v>24568160.491234802</v>
      </c>
      <c r="F691" s="8">
        <f>(R691/$B691)+(R691/'Optimal Choice'!$B$21)</f>
        <v>23910768.126332439</v>
      </c>
      <c r="G691" s="8">
        <f>(S691/$B691)+(S691/'Optimal Choice'!$B$26)</f>
        <v>24753218.146754652</v>
      </c>
      <c r="I691" s="11">
        <f t="shared" ref="I691:M691" si="689">IF(MIN($C690:$G690)=C690,I690+1,I690)</f>
        <v>237</v>
      </c>
      <c r="J691" s="11">
        <f t="shared" si="689"/>
        <v>113</v>
      </c>
      <c r="K691" s="11">
        <f t="shared" si="689"/>
        <v>113</v>
      </c>
      <c r="L691" s="11">
        <f t="shared" si="689"/>
        <v>112</v>
      </c>
      <c r="M691" s="11">
        <f t="shared" si="689"/>
        <v>115</v>
      </c>
      <c r="O691" s="10">
        <f>'Optimal Choice'!$B$7*'Optimal Choice'!$B$8^(I691+1)</f>
        <v>39391188.136154003</v>
      </c>
      <c r="P691" s="10">
        <f>'Optimal Choice'!$B$12*'Optimal Choice'!$B$13^(J691+1)</f>
        <v>498545787.14621341</v>
      </c>
      <c r="Q691" s="10">
        <f>'Optimal Choice'!$B$17*'Optimal Choice'!$B$18^(K691+1)</f>
        <v>2210474701.2145238</v>
      </c>
      <c r="R691" s="10">
        <f>'Optimal Choice'!$B$22*'Optimal Choice'!$B$23^(L691+1)</f>
        <v>8597612278.6456814</v>
      </c>
      <c r="S691" s="10">
        <f>'Optimal Choice'!$B$27*'Optimal Choice'!$B$28^(M691+1)</f>
        <v>53086686419.734734</v>
      </c>
    </row>
    <row r="692" spans="1:19" ht="15.75" customHeight="1">
      <c r="A692" s="8">
        <f t="shared" si="0"/>
        <v>31976.472134391275</v>
      </c>
      <c r="B692" s="7">
        <f>(I692*'Optimal Choice'!$B$6+J692*'Optimal Choice'!$B$11+K692*'Optimal Choice'!$B$16+L692*'Optimal Choice'!$B$21+M692*'Optimal Choice'!$B$26)*'Optimal Choice'!$B$30</f>
        <v>301547.46000000002</v>
      </c>
      <c r="C692" s="8">
        <f>(O692/$B692)+(O692/'Optimal Choice'!$B$6)</f>
        <v>25238805.226759989</v>
      </c>
      <c r="D692" s="8">
        <f>(P692/$B692)+(P692/'Optimal Choice'!$B$11)</f>
        <v>24928942.648594059</v>
      </c>
      <c r="E692" s="8">
        <f>(Q692/$B692)+(Q692/'Optimal Choice'!$B$16)</f>
        <v>24568160.450637884</v>
      </c>
      <c r="F692" s="8">
        <f>(R692/$B692)+(R692/'Optimal Choice'!$B$21)</f>
        <v>23910767.968431257</v>
      </c>
      <c r="G692" s="8">
        <f>(S692/$B692)+(S692/'Optimal Choice'!$B$26)</f>
        <v>24753217.1717804</v>
      </c>
      <c r="I692" s="11">
        <f t="shared" ref="I692:M692" si="690">IF(MIN($C691:$G691)=C691,I691+1,I691)</f>
        <v>238</v>
      </c>
      <c r="J692" s="11">
        <f t="shared" si="690"/>
        <v>113</v>
      </c>
      <c r="K692" s="11">
        <f t="shared" si="690"/>
        <v>113</v>
      </c>
      <c r="L692" s="11">
        <f t="shared" si="690"/>
        <v>112</v>
      </c>
      <c r="M692" s="11">
        <f t="shared" si="690"/>
        <v>115</v>
      </c>
      <c r="O692" s="10">
        <f>'Optimal Choice'!$B$7*'Optimal Choice'!$B$8^(I692+1)</f>
        <v>42148571.305684783</v>
      </c>
      <c r="P692" s="10">
        <f>'Optimal Choice'!$B$12*'Optimal Choice'!$B$13^(J692+1)</f>
        <v>498545787.14621341</v>
      </c>
      <c r="Q692" s="10">
        <f>'Optimal Choice'!$B$17*'Optimal Choice'!$B$18^(K692+1)</f>
        <v>2210474701.2145238</v>
      </c>
      <c r="R692" s="10">
        <f>'Optimal Choice'!$B$22*'Optimal Choice'!$B$23^(L692+1)</f>
        <v>8597612278.6456814</v>
      </c>
      <c r="S692" s="10">
        <f>'Optimal Choice'!$B$27*'Optimal Choice'!$B$28^(M692+1)</f>
        <v>53086686419.734734</v>
      </c>
    </row>
    <row r="693" spans="1:19" ht="15.75" customHeight="1">
      <c r="A693" s="8">
        <f t="shared" si="0"/>
        <v>32451.666115389915</v>
      </c>
      <c r="B693" s="7">
        <f>(I693*'Optimal Choice'!$B$6+J693*'Optimal Choice'!$B$11+K693*'Optimal Choice'!$B$16+L693*'Optimal Choice'!$B$21+M693*'Optimal Choice'!$B$26)*'Optimal Choice'!$B$30</f>
        <v>301907.46000000002</v>
      </c>
      <c r="C693" s="8">
        <f>(O693/$B693)+(O693/'Optimal Choice'!$B$6)</f>
        <v>25238805.060090601</v>
      </c>
      <c r="D693" s="8">
        <f>(P693/$B693)+(P693/'Optimal Choice'!$B$11)</f>
        <v>24928940.677179173</v>
      </c>
      <c r="E693" s="8">
        <f>(Q693/$B693)+(Q693/'Optimal Choice'!$B$16)</f>
        <v>24568151.709690008</v>
      </c>
      <c r="F693" s="8">
        <f>(R693/$B693)+(R693/'Optimal Choice'!$B$21)</f>
        <v>27019129.386811275</v>
      </c>
      <c r="G693" s="8">
        <f>(S693/$B693)+(S693/'Optimal Choice'!$B$26)</f>
        <v>24753007.249468826</v>
      </c>
      <c r="I693" s="11">
        <f t="shared" ref="I693:M693" si="691">IF(MIN($C692:$G692)=C692,I692+1,I692)</f>
        <v>238</v>
      </c>
      <c r="J693" s="11">
        <f t="shared" si="691"/>
        <v>113</v>
      </c>
      <c r="K693" s="11">
        <f t="shared" si="691"/>
        <v>113</v>
      </c>
      <c r="L693" s="11">
        <f t="shared" si="691"/>
        <v>113</v>
      </c>
      <c r="M693" s="11">
        <f t="shared" si="691"/>
        <v>115</v>
      </c>
      <c r="O693" s="10">
        <f>'Optimal Choice'!$B$7*'Optimal Choice'!$B$8^(I693+1)</f>
        <v>42148571.305684783</v>
      </c>
      <c r="P693" s="10">
        <f>'Optimal Choice'!$B$12*'Optimal Choice'!$B$13^(J693+1)</f>
        <v>498545787.14621341</v>
      </c>
      <c r="Q693" s="10">
        <f>'Optimal Choice'!$B$17*'Optimal Choice'!$B$18^(K693+1)</f>
        <v>2210474701.2145238</v>
      </c>
      <c r="R693" s="10">
        <f>'Optimal Choice'!$B$22*'Optimal Choice'!$B$23^(L693+1)</f>
        <v>9715301874.8696194</v>
      </c>
      <c r="S693" s="10">
        <f>'Optimal Choice'!$B$27*'Optimal Choice'!$B$28^(M693+1)</f>
        <v>53086686419.734734</v>
      </c>
    </row>
    <row r="694" spans="1:19" ht="15.75" customHeight="1">
      <c r="A694" s="8">
        <f t="shared" si="0"/>
        <v>32573.694385311574</v>
      </c>
      <c r="B694" s="7">
        <f>(I694*'Optimal Choice'!$B$6+J694*'Optimal Choice'!$B$11+K694*'Optimal Choice'!$B$16+L694*'Optimal Choice'!$B$21+M694*'Optimal Choice'!$B$26)*'Optimal Choice'!$B$30</f>
        <v>301997.46000000002</v>
      </c>
      <c r="C694" s="8">
        <f>(O694/$B694)+(O694/'Optimal Choice'!$B$6)</f>
        <v>25238805.018485341</v>
      </c>
      <c r="D694" s="8">
        <f>(P694/$B694)+(P694/'Optimal Choice'!$B$11)</f>
        <v>24928940.185059838</v>
      </c>
      <c r="E694" s="8">
        <f>(Q694/$B694)+(Q694/'Optimal Choice'!$B$16)</f>
        <v>28007690.461588506</v>
      </c>
      <c r="F694" s="8">
        <f>(R694/$B694)+(R694/'Optimal Choice'!$B$21)</f>
        <v>27019119.796743546</v>
      </c>
      <c r="G694" s="8">
        <f>(S694/$B694)+(S694/'Optimal Choice'!$B$26)</f>
        <v>24752954.847091127</v>
      </c>
      <c r="I694" s="11">
        <f t="shared" ref="I694:M694" si="692">IF(MIN($C693:$G693)=C693,I693+1,I693)</f>
        <v>238</v>
      </c>
      <c r="J694" s="11">
        <f t="shared" si="692"/>
        <v>113</v>
      </c>
      <c r="K694" s="11">
        <f t="shared" si="692"/>
        <v>114</v>
      </c>
      <c r="L694" s="11">
        <f t="shared" si="692"/>
        <v>113</v>
      </c>
      <c r="M694" s="11">
        <f t="shared" si="692"/>
        <v>115</v>
      </c>
      <c r="O694" s="10">
        <f>'Optimal Choice'!$B$7*'Optimal Choice'!$B$8^(I694+1)</f>
        <v>42148571.305684783</v>
      </c>
      <c r="P694" s="10">
        <f>'Optimal Choice'!$B$12*'Optimal Choice'!$B$13^(J694+1)</f>
        <v>498545787.14621341</v>
      </c>
      <c r="Q694" s="10">
        <f>'Optimal Choice'!$B$17*'Optimal Choice'!$B$18^(K694+1)</f>
        <v>2519941159.3845572</v>
      </c>
      <c r="R694" s="10">
        <f>'Optimal Choice'!$B$22*'Optimal Choice'!$B$23^(L694+1)</f>
        <v>9715301874.8696194</v>
      </c>
      <c r="S694" s="10">
        <f>'Optimal Choice'!$B$27*'Optimal Choice'!$B$28^(M694+1)</f>
        <v>53086686419.734734</v>
      </c>
    </row>
    <row r="695" spans="1:19" ht="15.75" customHeight="1">
      <c r="A695" s="8">
        <f t="shared" si="0"/>
        <v>35503.447857395673</v>
      </c>
      <c r="B695" s="7">
        <f>(I695*'Optimal Choice'!$B$6+J695*'Optimal Choice'!$B$11+K695*'Optimal Choice'!$B$16+L695*'Optimal Choice'!$B$21+M695*'Optimal Choice'!$B$26)*'Optimal Choice'!$B$30</f>
        <v>304157.46000000002</v>
      </c>
      <c r="C695" s="8">
        <f>(O695/$B695)+(O695/'Optimal Choice'!$B$6)</f>
        <v>25238804.027345702</v>
      </c>
      <c r="D695" s="8">
        <f>(P695/$B695)+(P695/'Optimal Choice'!$B$11)</f>
        <v>24928928.46156656</v>
      </c>
      <c r="E695" s="8">
        <f>(Q695/$B695)+(Q695/'Optimal Choice'!$B$16)</f>
        <v>28007631.204216346</v>
      </c>
      <c r="F695" s="8">
        <f>(R695/$B695)+(R695/'Optimal Choice'!$B$21)</f>
        <v>27018891.337735016</v>
      </c>
      <c r="G695" s="8">
        <f>(S695/$B695)+(S695/'Optimal Choice'!$B$26)</f>
        <v>27721911.272747539</v>
      </c>
      <c r="I695" s="11">
        <f t="shared" ref="I695:M695" si="693">IF(MIN($C694:$G694)=C694,I694+1,I694)</f>
        <v>238</v>
      </c>
      <c r="J695" s="11">
        <f t="shared" si="693"/>
        <v>113</v>
      </c>
      <c r="K695" s="11">
        <f t="shared" si="693"/>
        <v>114</v>
      </c>
      <c r="L695" s="11">
        <f t="shared" si="693"/>
        <v>113</v>
      </c>
      <c r="M695" s="11">
        <f t="shared" si="693"/>
        <v>116</v>
      </c>
      <c r="O695" s="10">
        <f>'Optimal Choice'!$B$7*'Optimal Choice'!$B$8^(I695+1)</f>
        <v>42148571.305684783</v>
      </c>
      <c r="P695" s="10">
        <f>'Optimal Choice'!$B$12*'Optimal Choice'!$B$13^(J695+1)</f>
        <v>498545787.14621341</v>
      </c>
      <c r="Q695" s="10">
        <f>'Optimal Choice'!$B$17*'Optimal Choice'!$B$18^(K695+1)</f>
        <v>2519941159.3845572</v>
      </c>
      <c r="R695" s="10">
        <f>'Optimal Choice'!$B$22*'Optimal Choice'!$B$23^(L695+1)</f>
        <v>9715301874.8696194</v>
      </c>
      <c r="S695" s="10">
        <f>'Optimal Choice'!$B$27*'Optimal Choice'!$B$28^(M695+1)</f>
        <v>59457088790.102913</v>
      </c>
    </row>
    <row r="696" spans="1:19" ht="15.75" customHeight="1">
      <c r="A696" s="8">
        <f t="shared" si="0"/>
        <v>35530.766261660479</v>
      </c>
      <c r="B696" s="7">
        <f>(I696*'Optimal Choice'!$B$6+J696*'Optimal Choice'!$B$11+K696*'Optimal Choice'!$B$16+L696*'Optimal Choice'!$B$21+M696*'Optimal Choice'!$B$26)*'Optimal Choice'!$B$30</f>
        <v>304177.46000000002</v>
      </c>
      <c r="C696" s="8">
        <f>(O696/$B696)+(O696/'Optimal Choice'!$B$6)</f>
        <v>25238804.018234253</v>
      </c>
      <c r="D696" s="8">
        <f>(P696/$B696)+(P696/'Optimal Choice'!$B$11)</f>
        <v>28668267.606862716</v>
      </c>
      <c r="E696" s="8">
        <f>(Q696/$B696)+(Q696/'Optimal Choice'!$B$16)</f>
        <v>28007630.659469288</v>
      </c>
      <c r="F696" s="8">
        <f>(R696/$B696)+(R696/'Optimal Choice'!$B$21)</f>
        <v>27018889.237534344</v>
      </c>
      <c r="G696" s="8">
        <f>(S696/$B696)+(S696/'Optimal Choice'!$B$26)</f>
        <v>27721898.419640187</v>
      </c>
      <c r="I696" s="11">
        <f t="shared" ref="I696:M696" si="694">IF(MIN($C695:$G695)=C695,I695+1,I695)</f>
        <v>238</v>
      </c>
      <c r="J696" s="11">
        <f t="shared" si="694"/>
        <v>114</v>
      </c>
      <c r="K696" s="11">
        <f t="shared" si="694"/>
        <v>114</v>
      </c>
      <c r="L696" s="11">
        <f t="shared" si="694"/>
        <v>113</v>
      </c>
      <c r="M696" s="11">
        <f t="shared" si="694"/>
        <v>116</v>
      </c>
      <c r="O696" s="10">
        <f>'Optimal Choice'!$B$7*'Optimal Choice'!$B$8^(I696+1)</f>
        <v>42148571.305684783</v>
      </c>
      <c r="P696" s="10">
        <f>'Optimal Choice'!$B$12*'Optimal Choice'!$B$13^(J696+1)</f>
        <v>573327655.21814549</v>
      </c>
      <c r="Q696" s="10">
        <f>'Optimal Choice'!$B$17*'Optimal Choice'!$B$18^(K696+1)</f>
        <v>2519941159.3845572</v>
      </c>
      <c r="R696" s="10">
        <f>'Optimal Choice'!$B$22*'Optimal Choice'!$B$23^(L696+1)</f>
        <v>9715301874.8696194</v>
      </c>
      <c r="S696" s="10">
        <f>'Optimal Choice'!$B$27*'Optimal Choice'!$B$28^(M696+1)</f>
        <v>59457088790.102913</v>
      </c>
    </row>
    <row r="697" spans="1:19" ht="15.75" customHeight="1">
      <c r="A697" s="8">
        <f t="shared" si="0"/>
        <v>35533.075690467034</v>
      </c>
      <c r="B697" s="7">
        <f>(I697*'Optimal Choice'!$B$6+J697*'Optimal Choice'!$B$11+K697*'Optimal Choice'!$B$16+L697*'Optimal Choice'!$B$21+M697*'Optimal Choice'!$B$26)*'Optimal Choice'!$B$30</f>
        <v>304179.13</v>
      </c>
      <c r="C697" s="8">
        <f>(O697/$B697)+(O697/'Optimal Choice'!$B$6)</f>
        <v>27005520.298696645</v>
      </c>
      <c r="D697" s="8">
        <f>(P697/$B697)+(P697/'Optimal Choice'!$B$11)</f>
        <v>28668267.596514564</v>
      </c>
      <c r="E697" s="8">
        <f>(Q697/$B697)+(Q697/'Optimal Choice'!$B$16)</f>
        <v>28007630.613986149</v>
      </c>
      <c r="F697" s="8">
        <f>(R697/$B697)+(R697/'Optimal Choice'!$B$21)</f>
        <v>27018889.06218008</v>
      </c>
      <c r="G697" s="8">
        <f>(S697/$B697)+(S697/'Optimal Choice'!$B$26)</f>
        <v>27721897.346482184</v>
      </c>
      <c r="I697" s="11">
        <f t="shared" ref="I697:M697" si="695">IF(MIN($C696:$G696)=C696,I696+1,I696)</f>
        <v>239</v>
      </c>
      <c r="J697" s="11">
        <f t="shared" si="695"/>
        <v>114</v>
      </c>
      <c r="K697" s="11">
        <f t="shared" si="695"/>
        <v>114</v>
      </c>
      <c r="L697" s="11">
        <f t="shared" si="695"/>
        <v>113</v>
      </c>
      <c r="M697" s="11">
        <f t="shared" si="695"/>
        <v>116</v>
      </c>
      <c r="O697" s="10">
        <f>'Optimal Choice'!$B$7*'Optimal Choice'!$B$8^(I697+1)</f>
        <v>45098971.297082715</v>
      </c>
      <c r="P697" s="10">
        <f>'Optimal Choice'!$B$12*'Optimal Choice'!$B$13^(J697+1)</f>
        <v>573327655.21814549</v>
      </c>
      <c r="Q697" s="10">
        <f>'Optimal Choice'!$B$17*'Optimal Choice'!$B$18^(K697+1)</f>
        <v>2519941159.3845572</v>
      </c>
      <c r="R697" s="10">
        <f>'Optimal Choice'!$B$22*'Optimal Choice'!$B$23^(L697+1)</f>
        <v>9715301874.8696194</v>
      </c>
      <c r="S697" s="10">
        <f>'Optimal Choice'!$B$27*'Optimal Choice'!$B$28^(M697+1)</f>
        <v>59457088790.102913</v>
      </c>
    </row>
    <row r="698" spans="1:19" ht="15.75" customHeight="1">
      <c r="A698" s="8">
        <f t="shared" si="0"/>
        <v>35535.546765723309</v>
      </c>
      <c r="B698" s="7">
        <f>(I698*'Optimal Choice'!$B$6+J698*'Optimal Choice'!$B$11+K698*'Optimal Choice'!$B$16+L698*'Optimal Choice'!$B$21+M698*'Optimal Choice'!$B$26)*'Optimal Choice'!$B$30</f>
        <v>304180.8</v>
      </c>
      <c r="C698" s="8">
        <f>(O698/$B698)+(O698/'Optimal Choice'!$B$6)</f>
        <v>28895906.718734432</v>
      </c>
      <c r="D698" s="8">
        <f>(P698/$B698)+(P698/'Optimal Choice'!$B$11)</f>
        <v>28668267.58616652</v>
      </c>
      <c r="E698" s="8">
        <f>(Q698/$B698)+(Q698/'Optimal Choice'!$B$16)</f>
        <v>28007630.56850351</v>
      </c>
      <c r="F698" s="8">
        <f>(R698/$B698)+(R698/'Optimal Choice'!$B$21)</f>
        <v>27018888.886827741</v>
      </c>
      <c r="G698" s="8">
        <f>(S698/$B698)+(S698/'Optimal Choice'!$B$26)</f>
        <v>27721896.27333596</v>
      </c>
      <c r="I698" s="11">
        <f t="shared" ref="I698:M698" si="696">IF(MIN($C697:$G697)=C697,I697+1,I697)</f>
        <v>240</v>
      </c>
      <c r="J698" s="11">
        <f t="shared" si="696"/>
        <v>114</v>
      </c>
      <c r="K698" s="11">
        <f t="shared" si="696"/>
        <v>114</v>
      </c>
      <c r="L698" s="11">
        <f t="shared" si="696"/>
        <v>113</v>
      </c>
      <c r="M698" s="11">
        <f t="shared" si="696"/>
        <v>116</v>
      </c>
      <c r="O698" s="10">
        <f>'Optimal Choice'!$B$7*'Optimal Choice'!$B$8^(I698+1)</f>
        <v>48255899.287878498</v>
      </c>
      <c r="P698" s="10">
        <f>'Optimal Choice'!$B$12*'Optimal Choice'!$B$13^(J698+1)</f>
        <v>573327655.21814549</v>
      </c>
      <c r="Q698" s="10">
        <f>'Optimal Choice'!$B$17*'Optimal Choice'!$B$18^(K698+1)</f>
        <v>2519941159.3845572</v>
      </c>
      <c r="R698" s="10">
        <f>'Optimal Choice'!$B$22*'Optimal Choice'!$B$23^(L698+1)</f>
        <v>9715301874.8696194</v>
      </c>
      <c r="S698" s="10">
        <f>'Optimal Choice'!$B$27*'Optimal Choice'!$B$28^(M698+1)</f>
        <v>59457088790.102913</v>
      </c>
    </row>
    <row r="699" spans="1:19" ht="15.75" customHeight="1">
      <c r="A699" s="8">
        <f t="shared" si="0"/>
        <v>36067.867339258832</v>
      </c>
      <c r="B699" s="7">
        <f>(I699*'Optimal Choice'!$B$6+J699*'Optimal Choice'!$B$11+K699*'Optimal Choice'!$B$16+L699*'Optimal Choice'!$B$21+M699*'Optimal Choice'!$B$26)*'Optimal Choice'!$B$30</f>
        <v>304540.79999999999</v>
      </c>
      <c r="C699" s="8">
        <f>(O699/$B699)+(O699/'Optimal Choice'!$B$6)</f>
        <v>28895906.531202324</v>
      </c>
      <c r="D699" s="8">
        <f>(P699/$B699)+(P699/'Optimal Choice'!$B$11)</f>
        <v>28668265.358100221</v>
      </c>
      <c r="E699" s="8">
        <f>(Q699/$B699)+(Q699/'Optimal Choice'!$B$16)</f>
        <v>28007620.775506567</v>
      </c>
      <c r="F699" s="8">
        <f>(R699/$B699)+(R699/'Optimal Choice'!$B$21)</f>
        <v>30531301.778273389</v>
      </c>
      <c r="G699" s="8">
        <f>(S699/$B699)+(S699/'Optimal Choice'!$B$26)</f>
        <v>27721665.211159561</v>
      </c>
      <c r="I699" s="11">
        <f t="shared" ref="I699:M699" si="697">IF(MIN($C698:$G698)=C698,I698+1,I698)</f>
        <v>240</v>
      </c>
      <c r="J699" s="11">
        <f t="shared" si="697"/>
        <v>114</v>
      </c>
      <c r="K699" s="11">
        <f t="shared" si="697"/>
        <v>114</v>
      </c>
      <c r="L699" s="11">
        <f t="shared" si="697"/>
        <v>114</v>
      </c>
      <c r="M699" s="11">
        <f t="shared" si="697"/>
        <v>116</v>
      </c>
      <c r="O699" s="10">
        <f>'Optimal Choice'!$B$7*'Optimal Choice'!$B$8^(I699+1)</f>
        <v>48255899.287878498</v>
      </c>
      <c r="P699" s="10">
        <f>'Optimal Choice'!$B$12*'Optimal Choice'!$B$13^(J699+1)</f>
        <v>573327655.21814549</v>
      </c>
      <c r="Q699" s="10">
        <f>'Optimal Choice'!$B$17*'Optimal Choice'!$B$18^(K699+1)</f>
        <v>2519941159.3845572</v>
      </c>
      <c r="R699" s="10">
        <f>'Optimal Choice'!$B$22*'Optimal Choice'!$B$23^(L699+1)</f>
        <v>10978291118.602667</v>
      </c>
      <c r="S699" s="10">
        <f>'Optimal Choice'!$B$27*'Optimal Choice'!$B$28^(M699+1)</f>
        <v>59457088790.102913</v>
      </c>
    </row>
    <row r="700" spans="1:19" ht="15.75" customHeight="1">
      <c r="A700" s="8">
        <f t="shared" si="0"/>
        <v>39321.787601617929</v>
      </c>
      <c r="B700" s="7">
        <f>(I700*'Optimal Choice'!$B$6+J700*'Optimal Choice'!$B$11+K700*'Optimal Choice'!$B$16+L700*'Optimal Choice'!$B$21+M700*'Optimal Choice'!$B$26)*'Optimal Choice'!$B$30</f>
        <v>306700.79999999999</v>
      </c>
      <c r="C700" s="8">
        <f>(O700/$B700)+(O700/'Optimal Choice'!$B$6)</f>
        <v>28895905.415254805</v>
      </c>
      <c r="D700" s="8">
        <f>(P700/$B700)+(P700/'Optimal Choice'!$B$11)</f>
        <v>28668252.099543553</v>
      </c>
      <c r="E700" s="8">
        <f>(Q700/$B700)+(Q700/'Optimal Choice'!$B$16)</f>
        <v>28007562.50030851</v>
      </c>
      <c r="F700" s="8">
        <f>(R700/$B700)+(R700/'Optimal Choice'!$B$21)</f>
        <v>30531047.89850048</v>
      </c>
      <c r="G700" s="8">
        <f>(S700/$B700)+(S700/'Optimal Choice'!$B$26)</f>
        <v>31046725.056707583</v>
      </c>
      <c r="I700" s="11">
        <f t="shared" ref="I700:M700" si="698">IF(MIN($C699:$G699)=C699,I699+1,I699)</f>
        <v>240</v>
      </c>
      <c r="J700" s="11">
        <f t="shared" si="698"/>
        <v>114</v>
      </c>
      <c r="K700" s="11">
        <f t="shared" si="698"/>
        <v>114</v>
      </c>
      <c r="L700" s="11">
        <f t="shared" si="698"/>
        <v>114</v>
      </c>
      <c r="M700" s="11">
        <f t="shared" si="698"/>
        <v>117</v>
      </c>
      <c r="O700" s="10">
        <f>'Optimal Choice'!$B$7*'Optimal Choice'!$B$8^(I700+1)</f>
        <v>48255899.287878498</v>
      </c>
      <c r="P700" s="10">
        <f>'Optimal Choice'!$B$12*'Optimal Choice'!$B$13^(J700+1)</f>
        <v>573327655.21814549</v>
      </c>
      <c r="Q700" s="10">
        <f>'Optimal Choice'!$B$17*'Optimal Choice'!$B$18^(K700+1)</f>
        <v>2519941159.3845572</v>
      </c>
      <c r="R700" s="10">
        <f>'Optimal Choice'!$B$22*'Optimal Choice'!$B$23^(L700+1)</f>
        <v>10978291118.602667</v>
      </c>
      <c r="S700" s="10">
        <f>'Optimal Choice'!$B$27*'Optimal Choice'!$B$28^(M700+1)</f>
        <v>66591939444.91526</v>
      </c>
    </row>
    <row r="701" spans="1:19" ht="15.75" customHeight="1">
      <c r="A701" s="8">
        <f t="shared" si="0"/>
        <v>39458.725683693607</v>
      </c>
      <c r="B701" s="7">
        <f>(I701*'Optimal Choice'!$B$6+J701*'Optimal Choice'!$B$11+K701*'Optimal Choice'!$B$16+L701*'Optimal Choice'!$B$21+M701*'Optimal Choice'!$B$26)*'Optimal Choice'!$B$30</f>
        <v>306790.8</v>
      </c>
      <c r="C701" s="8">
        <f>(O701/$B701)+(O701/'Optimal Choice'!$B$6)</f>
        <v>28895905.369098004</v>
      </c>
      <c r="D701" s="8">
        <f>(P701/$B701)+(P701/'Optimal Choice'!$B$11)</f>
        <v>28668251.55115528</v>
      </c>
      <c r="E701" s="8">
        <f>(Q701/$B701)+(Q701/'Optimal Choice'!$B$16)</f>
        <v>31928618.502580803</v>
      </c>
      <c r="F701" s="8">
        <f>(R701/$B701)+(R701/'Optimal Choice'!$B$21)</f>
        <v>30531037.39775791</v>
      </c>
      <c r="G701" s="8">
        <f>(S701/$B701)+(S701/'Optimal Choice'!$B$26)</f>
        <v>31046661.361474331</v>
      </c>
      <c r="I701" s="11">
        <f t="shared" ref="I701:M701" si="699">IF(MIN($C700:$G700)=C700,I700+1,I700)</f>
        <v>240</v>
      </c>
      <c r="J701" s="11">
        <f t="shared" si="699"/>
        <v>114</v>
      </c>
      <c r="K701" s="11">
        <f t="shared" si="699"/>
        <v>115</v>
      </c>
      <c r="L701" s="11">
        <f t="shared" si="699"/>
        <v>114</v>
      </c>
      <c r="M701" s="11">
        <f t="shared" si="699"/>
        <v>117</v>
      </c>
      <c r="O701" s="10">
        <f>'Optimal Choice'!$B$7*'Optimal Choice'!$B$8^(I701+1)</f>
        <v>48255899.287878498</v>
      </c>
      <c r="P701" s="10">
        <f>'Optimal Choice'!$B$12*'Optimal Choice'!$B$13^(J701+1)</f>
        <v>573327655.21814549</v>
      </c>
      <c r="Q701" s="10">
        <f>'Optimal Choice'!$B$17*'Optimal Choice'!$B$18^(K701+1)</f>
        <v>2872732921.6983957</v>
      </c>
      <c r="R701" s="10">
        <f>'Optimal Choice'!$B$22*'Optimal Choice'!$B$23^(L701+1)</f>
        <v>10978291118.602667</v>
      </c>
      <c r="S701" s="10">
        <f>'Optimal Choice'!$B$27*'Optimal Choice'!$B$28^(M701+1)</f>
        <v>66591939444.91526</v>
      </c>
    </row>
    <row r="702" spans="1:19" ht="15.75" customHeight="1">
      <c r="A702" s="8">
        <f t="shared" si="0"/>
        <v>39489.872187827052</v>
      </c>
      <c r="B702" s="7">
        <f>(I702*'Optimal Choice'!$B$6+J702*'Optimal Choice'!$B$11+K702*'Optimal Choice'!$B$16+L702*'Optimal Choice'!$B$21+M702*'Optimal Choice'!$B$26)*'Optimal Choice'!$B$30</f>
        <v>306810.8</v>
      </c>
      <c r="C702" s="8">
        <f>(O702/$B702)+(O702/'Optimal Choice'!$B$6)</f>
        <v>28895905.358844616</v>
      </c>
      <c r="D702" s="8">
        <f>(P702/$B702)+(P702/'Optimal Choice'!$B$11)</f>
        <v>32968489.143735137</v>
      </c>
      <c r="E702" s="8">
        <f>(Q702/$B702)+(Q702/'Optimal Choice'!$B$16)</f>
        <v>31928617.892183971</v>
      </c>
      <c r="F702" s="8">
        <f>(R702/$B702)+(R702/'Optimal Choice'!$B$21)</f>
        <v>30531035.065096181</v>
      </c>
      <c r="G702" s="8">
        <f>(S702/$B702)+(S702/'Optimal Choice'!$B$26)</f>
        <v>31046647.212052822</v>
      </c>
      <c r="I702" s="11">
        <f t="shared" ref="I702:M702" si="700">IF(MIN($C701:$G701)=C701,I701+1,I701)</f>
        <v>240</v>
      </c>
      <c r="J702" s="11">
        <f t="shared" si="700"/>
        <v>115</v>
      </c>
      <c r="K702" s="11">
        <f t="shared" si="700"/>
        <v>115</v>
      </c>
      <c r="L702" s="11">
        <f t="shared" si="700"/>
        <v>114</v>
      </c>
      <c r="M702" s="11">
        <f t="shared" si="700"/>
        <v>117</v>
      </c>
      <c r="O702" s="10">
        <f>'Optimal Choice'!$B$7*'Optimal Choice'!$B$8^(I702+1)</f>
        <v>48255899.287878498</v>
      </c>
      <c r="P702" s="10">
        <f>'Optimal Choice'!$B$12*'Optimal Choice'!$B$13^(J702+1)</f>
        <v>659326803.50086713</v>
      </c>
      <c r="Q702" s="10">
        <f>'Optimal Choice'!$B$17*'Optimal Choice'!$B$18^(K702+1)</f>
        <v>2872732921.6983957</v>
      </c>
      <c r="R702" s="10">
        <f>'Optimal Choice'!$B$22*'Optimal Choice'!$B$23^(L702+1)</f>
        <v>10978291118.602667</v>
      </c>
      <c r="S702" s="10">
        <f>'Optimal Choice'!$B$27*'Optimal Choice'!$B$28^(M702+1)</f>
        <v>66591939444.91526</v>
      </c>
    </row>
    <row r="703" spans="1:19" ht="15.75" customHeight="1">
      <c r="A703" s="8">
        <f t="shared" si="0"/>
        <v>39492.493559004768</v>
      </c>
      <c r="B703" s="7">
        <f>(I703*'Optimal Choice'!$B$6+J703*'Optimal Choice'!$B$11+K703*'Optimal Choice'!$B$16+L703*'Optimal Choice'!$B$21+M703*'Optimal Choice'!$B$26)*'Optimal Choice'!$B$30</f>
        <v>306812.46999999997</v>
      </c>
      <c r="C703" s="8">
        <f>(O703/$B703)+(O703/'Optimal Choice'!$B$6)</f>
        <v>30918618.733047724</v>
      </c>
      <c r="D703" s="8">
        <f>(P703/$B703)+(P703/'Optimal Choice'!$B$11)</f>
        <v>32968489.132038165</v>
      </c>
      <c r="E703" s="8">
        <f>(Q703/$B703)+(Q703/'Optimal Choice'!$B$16)</f>
        <v>31928617.841219433</v>
      </c>
      <c r="F703" s="8">
        <f>(R703/$B703)+(R703/'Optimal Choice'!$B$21)</f>
        <v>30531034.870332684</v>
      </c>
      <c r="G703" s="8">
        <f>(S703/$B703)+(S703/'Optimal Choice'!$B$26)</f>
        <v>31046646.030659575</v>
      </c>
      <c r="I703" s="11">
        <f t="shared" ref="I703:M703" si="701">IF(MIN($C702:$G702)=C702,I702+1,I702)</f>
        <v>241</v>
      </c>
      <c r="J703" s="11">
        <f t="shared" si="701"/>
        <v>115</v>
      </c>
      <c r="K703" s="11">
        <f t="shared" si="701"/>
        <v>115</v>
      </c>
      <c r="L703" s="11">
        <f t="shared" si="701"/>
        <v>114</v>
      </c>
      <c r="M703" s="11">
        <f t="shared" si="701"/>
        <v>117</v>
      </c>
      <c r="O703" s="10">
        <f>'Optimal Choice'!$B$7*'Optimal Choice'!$B$8^(I703+1)</f>
        <v>51633812.238030009</v>
      </c>
      <c r="P703" s="10">
        <f>'Optimal Choice'!$B$12*'Optimal Choice'!$B$13^(J703+1)</f>
        <v>659326803.50086713</v>
      </c>
      <c r="Q703" s="10">
        <f>'Optimal Choice'!$B$17*'Optimal Choice'!$B$18^(K703+1)</f>
        <v>2872732921.6983957</v>
      </c>
      <c r="R703" s="10">
        <f>'Optimal Choice'!$B$22*'Optimal Choice'!$B$23^(L703+1)</f>
        <v>10978291118.602667</v>
      </c>
      <c r="S703" s="10">
        <f>'Optimal Choice'!$B$27*'Optimal Choice'!$B$28^(M703+1)</f>
        <v>66591939444.91526</v>
      </c>
    </row>
    <row r="704" spans="1:19" ht="15.75" customHeight="1">
      <c r="A704" s="8">
        <f t="shared" si="0"/>
        <v>40088.856277388993</v>
      </c>
      <c r="B704" s="7">
        <f>(I704*'Optimal Choice'!$B$6+J704*'Optimal Choice'!$B$11+K704*'Optimal Choice'!$B$16+L704*'Optimal Choice'!$B$21+M704*'Optimal Choice'!$B$26)*'Optimal Choice'!$B$30</f>
        <v>307172.46999999997</v>
      </c>
      <c r="C704" s="8">
        <f>(O704/$B704)+(O704/'Optimal Choice'!$B$6)</f>
        <v>30918618.535813898</v>
      </c>
      <c r="D704" s="8">
        <f>(P704/$B704)+(P704/'Optimal Choice'!$B$11)</f>
        <v>32968486.613503486</v>
      </c>
      <c r="E704" s="8">
        <f>(Q704/$B704)+(Q704/'Optimal Choice'!$B$16)</f>
        <v>31928606.867787976</v>
      </c>
      <c r="F704" s="8">
        <f>(R704/$B704)+(R704/'Optimal Choice'!$B$21)</f>
        <v>34500022.016347677</v>
      </c>
      <c r="G704" s="8">
        <f>(S704/$B704)+(S704/'Optimal Choice'!$B$26)</f>
        <v>31046391.658915631</v>
      </c>
      <c r="I704" s="11">
        <f t="shared" ref="I704:M704" si="702">IF(MIN($C703:$G703)=C703,I703+1,I703)</f>
        <v>241</v>
      </c>
      <c r="J704" s="11">
        <f t="shared" si="702"/>
        <v>115</v>
      </c>
      <c r="K704" s="11">
        <f t="shared" si="702"/>
        <v>115</v>
      </c>
      <c r="L704" s="11">
        <f t="shared" si="702"/>
        <v>115</v>
      </c>
      <c r="M704" s="11">
        <f t="shared" si="702"/>
        <v>117</v>
      </c>
      <c r="O704" s="10">
        <f>'Optimal Choice'!$B$7*'Optimal Choice'!$B$8^(I704+1)</f>
        <v>51633812.238030009</v>
      </c>
      <c r="P704" s="10">
        <f>'Optimal Choice'!$B$12*'Optimal Choice'!$B$13^(J704+1)</f>
        <v>659326803.50086713</v>
      </c>
      <c r="Q704" s="10">
        <f>'Optimal Choice'!$B$17*'Optimal Choice'!$B$18^(K704+1)</f>
        <v>2872732921.6983957</v>
      </c>
      <c r="R704" s="10">
        <f>'Optimal Choice'!$B$22*'Optimal Choice'!$B$23^(L704+1)</f>
        <v>12405468964.021011</v>
      </c>
      <c r="S704" s="10">
        <f>'Optimal Choice'!$B$27*'Optimal Choice'!$B$28^(M704+1)</f>
        <v>66591939444.91526</v>
      </c>
    </row>
    <row r="705" spans="1:19" ht="15.75" customHeight="1">
      <c r="A705" s="8">
        <f t="shared" si="0"/>
        <v>40091.657842051674</v>
      </c>
      <c r="B705" s="7">
        <f>(I705*'Optimal Choice'!$B$6+J705*'Optimal Choice'!$B$11+K705*'Optimal Choice'!$B$16+L705*'Optimal Choice'!$B$21+M705*'Optimal Choice'!$B$26)*'Optimal Choice'!$B$30</f>
        <v>307174.14</v>
      </c>
      <c r="C705" s="8">
        <f>(O705/$B705)+(O705/'Optimal Choice'!$B$6)</f>
        <v>33082921.832343027</v>
      </c>
      <c r="D705" s="8">
        <f>(P705/$B705)+(P705/'Optimal Choice'!$B$11)</f>
        <v>32968486.601834036</v>
      </c>
      <c r="E705" s="8">
        <f>(Q705/$B705)+(Q705/'Optimal Choice'!$B$16)</f>
        <v>31928606.816943381</v>
      </c>
      <c r="F705" s="8">
        <f>(R705/$B705)+(R705/'Optimal Choice'!$B$21)</f>
        <v>34500021.796782881</v>
      </c>
      <c r="G705" s="8">
        <f>(S705/$B705)+(S705/'Optimal Choice'!$B$26)</f>
        <v>31046390.480302721</v>
      </c>
      <c r="I705" s="11">
        <f t="shared" ref="I705:M705" si="703">IF(MIN($C704:$G704)=C704,I704+1,I704)</f>
        <v>242</v>
      </c>
      <c r="J705" s="11">
        <f t="shared" si="703"/>
        <v>115</v>
      </c>
      <c r="K705" s="11">
        <f t="shared" si="703"/>
        <v>115</v>
      </c>
      <c r="L705" s="11">
        <f t="shared" si="703"/>
        <v>115</v>
      </c>
      <c r="M705" s="11">
        <f t="shared" si="703"/>
        <v>117</v>
      </c>
      <c r="O705" s="10">
        <f>'Optimal Choice'!$B$7*'Optimal Choice'!$B$8^(I705+1)</f>
        <v>55248179.094692104</v>
      </c>
      <c r="P705" s="10">
        <f>'Optimal Choice'!$B$12*'Optimal Choice'!$B$13^(J705+1)</f>
        <v>659326803.50086713</v>
      </c>
      <c r="Q705" s="10">
        <f>'Optimal Choice'!$B$17*'Optimal Choice'!$B$18^(K705+1)</f>
        <v>2872732921.6983957</v>
      </c>
      <c r="R705" s="10">
        <f>'Optimal Choice'!$B$22*'Optimal Choice'!$B$23^(L705+1)</f>
        <v>12405468964.021011</v>
      </c>
      <c r="S705" s="10">
        <f>'Optimal Choice'!$B$27*'Optimal Choice'!$B$28^(M705+1)</f>
        <v>66591939444.91526</v>
      </c>
    </row>
    <row r="706" spans="1:19" ht="15.75" customHeight="1">
      <c r="A706" s="8">
        <f t="shared" si="0"/>
        <v>43704.805932627445</v>
      </c>
      <c r="B706" s="7">
        <f>(I706*'Optimal Choice'!$B$6+J706*'Optimal Choice'!$B$11+K706*'Optimal Choice'!$B$16+L706*'Optimal Choice'!$B$21+M706*'Optimal Choice'!$B$26)*'Optimal Choice'!$B$30</f>
        <v>309334.14</v>
      </c>
      <c r="C706" s="8">
        <f>(O706/$B706)+(O706/'Optimal Choice'!$B$6)</f>
        <v>33082920.576431014</v>
      </c>
      <c r="D706" s="8">
        <f>(P706/$B706)+(P706/'Optimal Choice'!$B$11)</f>
        <v>32968471.613892946</v>
      </c>
      <c r="E706" s="8">
        <f>(Q706/$B706)+(Q706/'Optimal Choice'!$B$16)</f>
        <v>31928541.513437483</v>
      </c>
      <c r="F706" s="8">
        <f>(R706/$B706)+(R706/'Optimal Choice'!$B$21)</f>
        <v>34499739.793325633</v>
      </c>
      <c r="G706" s="8">
        <f>(S706/$B706)+(S706/'Optimal Choice'!$B$26)</f>
        <v>34770261.903766654</v>
      </c>
      <c r="I706" s="11">
        <f t="shared" ref="I706:M706" si="704">IF(MIN($C705:$G705)=C705,I705+1,I705)</f>
        <v>242</v>
      </c>
      <c r="J706" s="11">
        <f t="shared" si="704"/>
        <v>115</v>
      </c>
      <c r="K706" s="11">
        <f t="shared" si="704"/>
        <v>115</v>
      </c>
      <c r="L706" s="11">
        <f t="shared" si="704"/>
        <v>115</v>
      </c>
      <c r="M706" s="11">
        <f t="shared" si="704"/>
        <v>118</v>
      </c>
      <c r="O706" s="10">
        <f>'Optimal Choice'!$B$7*'Optimal Choice'!$B$8^(I706+1)</f>
        <v>55248179.094692104</v>
      </c>
      <c r="P706" s="10">
        <f>'Optimal Choice'!$B$12*'Optimal Choice'!$B$13^(J706+1)</f>
        <v>659326803.50086713</v>
      </c>
      <c r="Q706" s="10">
        <f>'Optimal Choice'!$B$17*'Optimal Choice'!$B$18^(K706+1)</f>
        <v>2872732921.6983957</v>
      </c>
      <c r="R706" s="10">
        <f>'Optimal Choice'!$B$22*'Optimal Choice'!$B$23^(L706+1)</f>
        <v>12405468964.021011</v>
      </c>
      <c r="S706" s="10">
        <f>'Optimal Choice'!$B$27*'Optimal Choice'!$B$28^(M706+1)</f>
        <v>74582972178.305084</v>
      </c>
    </row>
    <row r="707" spans="1:19" ht="15.75" customHeight="1">
      <c r="A707" s="8">
        <f t="shared" si="0"/>
        <v>43859.586397623345</v>
      </c>
      <c r="B707" s="7">
        <f>(I707*'Optimal Choice'!$B$6+J707*'Optimal Choice'!$B$11+K707*'Optimal Choice'!$B$16+L707*'Optimal Choice'!$B$21+M707*'Optimal Choice'!$B$26)*'Optimal Choice'!$B$30</f>
        <v>309424.14</v>
      </c>
      <c r="C707" s="8">
        <f>(O707/$B707)+(O707/'Optimal Choice'!$B$6)</f>
        <v>33082920.524481867</v>
      </c>
      <c r="D707" s="8">
        <f>(P707/$B707)+(P707/'Optimal Choice'!$B$11)</f>
        <v>32968470.993936479</v>
      </c>
      <c r="E707" s="8">
        <f>(Q707/$B707)+(Q707/'Optimal Choice'!$B$16)</f>
        <v>36398534.245958008</v>
      </c>
      <c r="F707" s="8">
        <f>(R707/$B707)+(R707/'Optimal Choice'!$B$21)</f>
        <v>34499728.128623605</v>
      </c>
      <c r="G707" s="8">
        <f>(S707/$B707)+(S707/'Optimal Choice'!$B$26)</f>
        <v>34770191.774362482</v>
      </c>
      <c r="I707" s="11">
        <f t="shared" ref="I707:M707" si="705">IF(MIN($C706:$G706)=C706,I706+1,I706)</f>
        <v>242</v>
      </c>
      <c r="J707" s="11">
        <f t="shared" si="705"/>
        <v>115</v>
      </c>
      <c r="K707" s="11">
        <f t="shared" si="705"/>
        <v>116</v>
      </c>
      <c r="L707" s="11">
        <f t="shared" si="705"/>
        <v>115</v>
      </c>
      <c r="M707" s="11">
        <f t="shared" si="705"/>
        <v>118</v>
      </c>
      <c r="O707" s="10">
        <f>'Optimal Choice'!$B$7*'Optimal Choice'!$B$8^(I707+1)</f>
        <v>55248179.094692104</v>
      </c>
      <c r="P707" s="10">
        <f>'Optimal Choice'!$B$12*'Optimal Choice'!$B$13^(J707+1)</f>
        <v>659326803.50086713</v>
      </c>
      <c r="Q707" s="10">
        <f>'Optimal Choice'!$B$17*'Optimal Choice'!$B$18^(K707+1)</f>
        <v>3274915530.7361708</v>
      </c>
      <c r="R707" s="10">
        <f>'Optimal Choice'!$B$22*'Optimal Choice'!$B$23^(L707+1)</f>
        <v>12405468964.021011</v>
      </c>
      <c r="S707" s="10">
        <f>'Optimal Choice'!$B$27*'Optimal Choice'!$B$28^(M707+1)</f>
        <v>74582972178.305084</v>
      </c>
    </row>
    <row r="708" spans="1:19" ht="15.75" customHeight="1">
      <c r="A708" s="8">
        <f t="shared" si="0"/>
        <v>43895.100045842089</v>
      </c>
      <c r="B708" s="7">
        <f>(I708*'Optimal Choice'!$B$6+J708*'Optimal Choice'!$B$11+K708*'Optimal Choice'!$B$16+L708*'Optimal Choice'!$B$21+M708*'Optimal Choice'!$B$26)*'Optimal Choice'!$B$30</f>
        <v>309444.14</v>
      </c>
      <c r="C708" s="8">
        <f>(O708/$B708)+(O708/'Optimal Choice'!$B$6)</f>
        <v>33082920.512941714</v>
      </c>
      <c r="D708" s="8">
        <f>(P708/$B708)+(P708/'Optimal Choice'!$B$11)</f>
        <v>37913741.484649956</v>
      </c>
      <c r="E708" s="8">
        <f>(Q708/$B708)+(Q708/'Optimal Choice'!$B$16)</f>
        <v>36398533.56189888</v>
      </c>
      <c r="F708" s="8">
        <f>(R708/$B708)+(R708/'Optimal Choice'!$B$21)</f>
        <v>34499725.537389047</v>
      </c>
      <c r="G708" s="8">
        <f>(S708/$B708)+(S708/'Optimal Choice'!$B$26)</f>
        <v>34770176.195590295</v>
      </c>
      <c r="I708" s="11">
        <f t="shared" ref="I708:M708" si="706">IF(MIN($C707:$G707)=C707,I707+1,I707)</f>
        <v>242</v>
      </c>
      <c r="J708" s="11">
        <f t="shared" si="706"/>
        <v>116</v>
      </c>
      <c r="K708" s="11">
        <f t="shared" si="706"/>
        <v>116</v>
      </c>
      <c r="L708" s="11">
        <f t="shared" si="706"/>
        <v>115</v>
      </c>
      <c r="M708" s="11">
        <f t="shared" si="706"/>
        <v>118</v>
      </c>
      <c r="O708" s="10">
        <f>'Optimal Choice'!$B$7*'Optimal Choice'!$B$8^(I708+1)</f>
        <v>55248179.094692104</v>
      </c>
      <c r="P708" s="10">
        <f>'Optimal Choice'!$B$12*'Optimal Choice'!$B$13^(J708+1)</f>
        <v>758225824.02599716</v>
      </c>
      <c r="Q708" s="10">
        <f>'Optimal Choice'!$B$17*'Optimal Choice'!$B$18^(K708+1)</f>
        <v>3274915530.7361708</v>
      </c>
      <c r="R708" s="10">
        <f>'Optimal Choice'!$B$22*'Optimal Choice'!$B$23^(L708+1)</f>
        <v>12405468964.021011</v>
      </c>
      <c r="S708" s="10">
        <f>'Optimal Choice'!$B$27*'Optimal Choice'!$B$28^(M708+1)</f>
        <v>74582972178.305084</v>
      </c>
    </row>
    <row r="709" spans="1:19" ht="15.75" customHeight="1">
      <c r="A709" s="8">
        <f t="shared" si="0"/>
        <v>43898.075713711944</v>
      </c>
      <c r="B709" s="7">
        <f>(I709*'Optimal Choice'!$B$6+J709*'Optimal Choice'!$B$11+K709*'Optimal Choice'!$B$16+L709*'Optimal Choice'!$B$21+M709*'Optimal Choice'!$B$26)*'Optimal Choice'!$B$30</f>
        <v>309445.81</v>
      </c>
      <c r="C709" s="8">
        <f>(O709/$B709)+(O709/'Optimal Choice'!$B$6)</f>
        <v>35398724.947816655</v>
      </c>
      <c r="D709" s="8">
        <f>(P709/$B709)+(P709/'Optimal Choice'!$B$11)</f>
        <v>37913741.471426398</v>
      </c>
      <c r="E709" s="8">
        <f>(Q709/$B709)+(Q709/'Optimal Choice'!$B$16)</f>
        <v>36398533.504783943</v>
      </c>
      <c r="F709" s="8">
        <f>(R709/$B709)+(R709/'Optimal Choice'!$B$21)</f>
        <v>34499725.321036108</v>
      </c>
      <c r="G709" s="8">
        <f>(S709/$B709)+(S709/'Optimal Choice'!$B$26)</f>
        <v>34770174.894853912</v>
      </c>
      <c r="I709" s="11">
        <f t="shared" ref="I709:M709" si="707">IF(MIN($C708:$G708)=C708,I708+1,I708)</f>
        <v>243</v>
      </c>
      <c r="J709" s="11">
        <f t="shared" si="707"/>
        <v>116</v>
      </c>
      <c r="K709" s="11">
        <f t="shared" si="707"/>
        <v>116</v>
      </c>
      <c r="L709" s="11">
        <f t="shared" si="707"/>
        <v>115</v>
      </c>
      <c r="M709" s="11">
        <f t="shared" si="707"/>
        <v>118</v>
      </c>
      <c r="O709" s="10">
        <f>'Optimal Choice'!$B$7*'Optimal Choice'!$B$8^(I709+1)</f>
        <v>59115551.631320551</v>
      </c>
      <c r="P709" s="10">
        <f>'Optimal Choice'!$B$12*'Optimal Choice'!$B$13^(J709+1)</f>
        <v>758225824.02599716</v>
      </c>
      <c r="Q709" s="10">
        <f>'Optimal Choice'!$B$17*'Optimal Choice'!$B$18^(K709+1)</f>
        <v>3274915530.7361708</v>
      </c>
      <c r="R709" s="10">
        <f>'Optimal Choice'!$B$22*'Optimal Choice'!$B$23^(L709+1)</f>
        <v>12405468964.021011</v>
      </c>
      <c r="S709" s="10">
        <f>'Optimal Choice'!$B$27*'Optimal Choice'!$B$28^(M709+1)</f>
        <v>74582972178.305084</v>
      </c>
    </row>
    <row r="710" spans="1:19" ht="15.75" customHeight="1">
      <c r="A710" s="8">
        <f t="shared" si="0"/>
        <v>44566.230878155817</v>
      </c>
      <c r="B710" s="7">
        <f>(I710*'Optimal Choice'!$B$6+J710*'Optimal Choice'!$B$11+K710*'Optimal Choice'!$B$16+L710*'Optimal Choice'!$B$21+M710*'Optimal Choice'!$B$26)*'Optimal Choice'!$B$30</f>
        <v>309805.81</v>
      </c>
      <c r="C710" s="8">
        <f>(O710/$B710)+(O710/'Optimal Choice'!$B$6)</f>
        <v>35398724.72582835</v>
      </c>
      <c r="D710" s="8">
        <f>(P710/$B710)+(P710/'Optimal Choice'!$B$11)</f>
        <v>37913738.624167837</v>
      </c>
      <c r="E710" s="8">
        <f>(Q710/$B710)+(Q710/'Optimal Choice'!$B$16)</f>
        <v>36398521.206955254</v>
      </c>
      <c r="F710" s="8">
        <f>(R710/$B710)+(R710/'Optimal Choice'!$B$21)</f>
        <v>38984636.972275592</v>
      </c>
      <c r="G710" s="8">
        <f>(S710/$B710)+(S710/'Optimal Choice'!$B$26)</f>
        <v>34769894.823931105</v>
      </c>
      <c r="I710" s="11">
        <f t="shared" ref="I710:M710" si="708">IF(MIN($C709:$G709)=C709,I709+1,I709)</f>
        <v>243</v>
      </c>
      <c r="J710" s="11">
        <f t="shared" si="708"/>
        <v>116</v>
      </c>
      <c r="K710" s="11">
        <f t="shared" si="708"/>
        <v>116</v>
      </c>
      <c r="L710" s="11">
        <f t="shared" si="708"/>
        <v>116</v>
      </c>
      <c r="M710" s="11">
        <f t="shared" si="708"/>
        <v>118</v>
      </c>
      <c r="O710" s="10">
        <f>'Optimal Choice'!$B$7*'Optimal Choice'!$B$8^(I710+1)</f>
        <v>59115551.631320551</v>
      </c>
      <c r="P710" s="10">
        <f>'Optimal Choice'!$B$12*'Optimal Choice'!$B$13^(J710+1)</f>
        <v>758225824.02599716</v>
      </c>
      <c r="Q710" s="10">
        <f>'Optimal Choice'!$B$17*'Optimal Choice'!$B$18^(K710+1)</f>
        <v>3274915530.7361708</v>
      </c>
      <c r="R710" s="10">
        <f>'Optimal Choice'!$B$22*'Optimal Choice'!$B$23^(L710+1)</f>
        <v>14018179929.34374</v>
      </c>
      <c r="S710" s="10">
        <f>'Optimal Choice'!$B$27*'Optimal Choice'!$B$28^(M710+1)</f>
        <v>74582972178.305084</v>
      </c>
    </row>
    <row r="711" spans="1:19" ht="15.75" customHeight="1">
      <c r="A711" s="8">
        <f t="shared" si="0"/>
        <v>48578.581506134949</v>
      </c>
      <c r="B711" s="7">
        <f>(I711*'Optimal Choice'!$B$6+J711*'Optimal Choice'!$B$11+K711*'Optimal Choice'!$B$16+L711*'Optimal Choice'!$B$21+M711*'Optimal Choice'!$B$26)*'Optimal Choice'!$B$30</f>
        <v>311965.81</v>
      </c>
      <c r="C711" s="8">
        <f>(O711/$B711)+(O711/'Optimal Choice'!$B$6)</f>
        <v>35398723.404657632</v>
      </c>
      <c r="D711" s="8">
        <f>(P711/$B711)+(P711/'Optimal Choice'!$B$11)</f>
        <v>37913721.67861411</v>
      </c>
      <c r="E711" s="8">
        <f>(Q711/$B711)+(Q711/'Optimal Choice'!$B$16)</f>
        <v>36398448.016020149</v>
      </c>
      <c r="F711" s="8">
        <f>(R711/$B711)+(R711/'Optimal Choice'!$B$21)</f>
        <v>38984323.680623367</v>
      </c>
      <c r="G711" s="8">
        <f>(S711/$B711)+(S711/'Optimal Choice'!$B$26)</f>
        <v>38940415.329255529</v>
      </c>
      <c r="I711" s="11">
        <f t="shared" ref="I711:M711" si="709">IF(MIN($C710:$G710)=C710,I710+1,I710)</f>
        <v>243</v>
      </c>
      <c r="J711" s="11">
        <f t="shared" si="709"/>
        <v>116</v>
      </c>
      <c r="K711" s="11">
        <f t="shared" si="709"/>
        <v>116</v>
      </c>
      <c r="L711" s="11">
        <f t="shared" si="709"/>
        <v>116</v>
      </c>
      <c r="M711" s="11">
        <f t="shared" si="709"/>
        <v>119</v>
      </c>
      <c r="O711" s="10">
        <f>'Optimal Choice'!$B$7*'Optimal Choice'!$B$8^(I711+1)</f>
        <v>59115551.631320551</v>
      </c>
      <c r="P711" s="10">
        <f>'Optimal Choice'!$B$12*'Optimal Choice'!$B$13^(J711+1)</f>
        <v>758225824.02599716</v>
      </c>
      <c r="Q711" s="10">
        <f>'Optimal Choice'!$B$17*'Optimal Choice'!$B$18^(K711+1)</f>
        <v>3274915530.7361708</v>
      </c>
      <c r="R711" s="10">
        <f>'Optimal Choice'!$B$22*'Optimal Choice'!$B$23^(L711+1)</f>
        <v>14018179929.34374</v>
      </c>
      <c r="S711" s="10">
        <f>'Optimal Choice'!$B$27*'Optimal Choice'!$B$28^(M711+1)</f>
        <v>83532928839.701691</v>
      </c>
    </row>
    <row r="712" spans="1:19" ht="15.75" customHeight="1">
      <c r="A712" s="8">
        <f t="shared" si="0"/>
        <v>48581.739734255701</v>
      </c>
      <c r="B712" s="7">
        <f>(I712*'Optimal Choice'!$B$6+J712*'Optimal Choice'!$B$11+K712*'Optimal Choice'!$B$16+L712*'Optimal Choice'!$B$21+M712*'Optimal Choice'!$B$26)*'Optimal Choice'!$B$30</f>
        <v>311967.48</v>
      </c>
      <c r="C712" s="8">
        <f>(O712/$B712)+(O712/'Optimal Choice'!$B$6)</f>
        <v>37876634.04189828</v>
      </c>
      <c r="D712" s="8">
        <f>(P712/$B712)+(P712/'Optimal Choice'!$B$11)</f>
        <v>37913721.665603466</v>
      </c>
      <c r="E712" s="8">
        <f>(Q712/$B712)+(Q712/'Optimal Choice'!$B$16)</f>
        <v>36398447.959824815</v>
      </c>
      <c r="F712" s="8">
        <f>(R712/$B712)+(R712/'Optimal Choice'!$B$21)</f>
        <v>38984323.440080896</v>
      </c>
      <c r="G712" s="8">
        <f>(S712/$B712)+(S712/'Optimal Choice'!$B$26)</f>
        <v>38940413.895887032</v>
      </c>
      <c r="I712" s="11">
        <f t="shared" ref="I712:M712" si="710">IF(MIN($C711:$G711)=C711,I711+1,I711)</f>
        <v>244</v>
      </c>
      <c r="J712" s="11">
        <f t="shared" si="710"/>
        <v>116</v>
      </c>
      <c r="K712" s="11">
        <f t="shared" si="710"/>
        <v>116</v>
      </c>
      <c r="L712" s="11">
        <f t="shared" si="710"/>
        <v>116</v>
      </c>
      <c r="M712" s="11">
        <f t="shared" si="710"/>
        <v>119</v>
      </c>
      <c r="O712" s="10">
        <f>'Optimal Choice'!$B$7*'Optimal Choice'!$B$8^(I712+1)</f>
        <v>63253640.245512992</v>
      </c>
      <c r="P712" s="10">
        <f>'Optimal Choice'!$B$12*'Optimal Choice'!$B$13^(J712+1)</f>
        <v>758225824.02599716</v>
      </c>
      <c r="Q712" s="10">
        <f>'Optimal Choice'!$B$17*'Optimal Choice'!$B$18^(K712+1)</f>
        <v>3274915530.7361708</v>
      </c>
      <c r="R712" s="10">
        <f>'Optimal Choice'!$B$22*'Optimal Choice'!$B$23^(L712+1)</f>
        <v>14018179929.34374</v>
      </c>
      <c r="S712" s="10">
        <f>'Optimal Choice'!$B$27*'Optimal Choice'!$B$28^(M712+1)</f>
        <v>83532928839.701691</v>
      </c>
    </row>
    <row r="713" spans="1:19" ht="15.75" customHeight="1">
      <c r="A713" s="8">
        <f t="shared" si="0"/>
        <v>48756.70003945248</v>
      </c>
      <c r="B713" s="7">
        <f>(I713*'Optimal Choice'!$B$6+J713*'Optimal Choice'!$B$11+K713*'Optimal Choice'!$B$16+L713*'Optimal Choice'!$B$21+M713*'Optimal Choice'!$B$26)*'Optimal Choice'!$B$30</f>
        <v>312057.48</v>
      </c>
      <c r="C713" s="8">
        <f>(O713/$B713)+(O713/'Optimal Choice'!$B$6)</f>
        <v>37876633.983421408</v>
      </c>
      <c r="D713" s="8">
        <f>(P713/$B713)+(P713/'Optimal Choice'!$B$11)</f>
        <v>37913720.964637138</v>
      </c>
      <c r="E713" s="8">
        <f>(Q713/$B713)+(Q713/'Optimal Choice'!$B$16)</f>
        <v>41494227.222734742</v>
      </c>
      <c r="F713" s="8">
        <f>(R713/$B713)+(R713/'Optimal Choice'!$B$21)</f>
        <v>38984310.480522059</v>
      </c>
      <c r="G713" s="8">
        <f>(S713/$B713)+(S713/'Optimal Choice'!$B$26)</f>
        <v>38940336.671175174</v>
      </c>
      <c r="I713" s="11">
        <f t="shared" ref="I713:M713" si="711">IF(MIN($C712:$G712)=C712,I712+1,I712)</f>
        <v>244</v>
      </c>
      <c r="J713" s="11">
        <f t="shared" si="711"/>
        <v>116</v>
      </c>
      <c r="K713" s="11">
        <f t="shared" si="711"/>
        <v>117</v>
      </c>
      <c r="L713" s="11">
        <f t="shared" si="711"/>
        <v>116</v>
      </c>
      <c r="M713" s="11">
        <f t="shared" si="711"/>
        <v>119</v>
      </c>
      <c r="O713" s="10">
        <f>'Optimal Choice'!$B$7*'Optimal Choice'!$B$8^(I713+1)</f>
        <v>63253640.245512992</v>
      </c>
      <c r="P713" s="10">
        <f>'Optimal Choice'!$B$12*'Optimal Choice'!$B$13^(J713+1)</f>
        <v>758225824.02599716</v>
      </c>
      <c r="Q713" s="10">
        <f>'Optimal Choice'!$B$17*'Optimal Choice'!$B$18^(K713+1)</f>
        <v>3733403705.0392342</v>
      </c>
      <c r="R713" s="10">
        <f>'Optimal Choice'!$B$22*'Optimal Choice'!$B$23^(L713+1)</f>
        <v>14018179929.34374</v>
      </c>
      <c r="S713" s="10">
        <f>'Optimal Choice'!$B$27*'Optimal Choice'!$B$28^(M713+1)</f>
        <v>83532928839.701691</v>
      </c>
    </row>
    <row r="714" spans="1:19" ht="15.75" customHeight="1">
      <c r="A714" s="8">
        <f t="shared" si="0"/>
        <v>48760.078350837372</v>
      </c>
      <c r="B714" s="7">
        <f>(I714*'Optimal Choice'!$B$6+J714*'Optimal Choice'!$B$11+K714*'Optimal Choice'!$B$16+L714*'Optimal Choice'!$B$21+M714*'Optimal Choice'!$B$26)*'Optimal Choice'!$B$30</f>
        <v>312059.15000000002</v>
      </c>
      <c r="C714" s="8">
        <f>(O714/$B714)+(O714/'Optimal Choice'!$B$6)</f>
        <v>40527998.361100227</v>
      </c>
      <c r="D714" s="8">
        <f>(P714/$B714)+(P714/'Optimal Choice'!$B$11)</f>
        <v>37913720.951634139</v>
      </c>
      <c r="E714" s="8">
        <f>(Q714/$B714)+(Q714/'Optimal Choice'!$B$16)</f>
        <v>41494227.158709697</v>
      </c>
      <c r="F714" s="8">
        <f>(R714/$B714)+(R714/'Optimal Choice'!$B$21)</f>
        <v>38984310.240120888</v>
      </c>
      <c r="G714" s="8">
        <f>(S714/$B714)+(S714/'Optimal Choice'!$B$26)</f>
        <v>38940335.238648683</v>
      </c>
      <c r="I714" s="11">
        <f t="shared" ref="I714:M714" si="712">IF(MIN($C713:$G713)=C713,I713+1,I713)</f>
        <v>245</v>
      </c>
      <c r="J714" s="11">
        <f t="shared" si="712"/>
        <v>116</v>
      </c>
      <c r="K714" s="11">
        <f t="shared" si="712"/>
        <v>117</v>
      </c>
      <c r="L714" s="11">
        <f t="shared" si="712"/>
        <v>116</v>
      </c>
      <c r="M714" s="11">
        <f t="shared" si="712"/>
        <v>119</v>
      </c>
      <c r="O714" s="10">
        <f>'Optimal Choice'!$B$7*'Optimal Choice'!$B$8^(I714+1)</f>
        <v>67681395.062698901</v>
      </c>
      <c r="P714" s="10">
        <f>'Optimal Choice'!$B$12*'Optimal Choice'!$B$13^(J714+1)</f>
        <v>758225824.02599716</v>
      </c>
      <c r="Q714" s="10">
        <f>'Optimal Choice'!$B$17*'Optimal Choice'!$B$18^(K714+1)</f>
        <v>3733403705.0392342</v>
      </c>
      <c r="R714" s="10">
        <f>'Optimal Choice'!$B$22*'Optimal Choice'!$B$23^(L714+1)</f>
        <v>14018179929.34374</v>
      </c>
      <c r="S714" s="10">
        <f>'Optimal Choice'!$B$27*'Optimal Choice'!$B$28^(M714+1)</f>
        <v>83532928839.701691</v>
      </c>
    </row>
    <row r="715" spans="1:19" ht="15.75" customHeight="1">
      <c r="A715" s="8">
        <f t="shared" si="0"/>
        <v>48800.57418974195</v>
      </c>
      <c r="B715" s="7">
        <f>(I715*'Optimal Choice'!$B$6+J715*'Optimal Choice'!$B$11+K715*'Optimal Choice'!$B$16+L715*'Optimal Choice'!$B$21+M715*'Optimal Choice'!$B$26)*'Optimal Choice'!$B$30</f>
        <v>312079.15000000002</v>
      </c>
      <c r="C715" s="8">
        <f>(O715/$B715)+(O715/'Optimal Choice'!$B$6)</f>
        <v>40527998.347200774</v>
      </c>
      <c r="D715" s="8">
        <f>(P715/$B715)+(P715/'Optimal Choice'!$B$11)</f>
        <v>43600778.915308468</v>
      </c>
      <c r="E715" s="8">
        <f>(Q715/$B715)+(Q715/'Optimal Choice'!$B$16)</f>
        <v>41494226.391995907</v>
      </c>
      <c r="F715" s="8">
        <f>(R715/$B715)+(R715/'Optimal Choice'!$B$21)</f>
        <v>38984307.361264832</v>
      </c>
      <c r="G715" s="8">
        <f>(S715/$B715)+(S715/'Optimal Choice'!$B$26)</f>
        <v>38940318.083834074</v>
      </c>
      <c r="I715" s="11">
        <f t="shared" ref="I715:M715" si="713">IF(MIN($C714:$G714)=C714,I714+1,I714)</f>
        <v>245</v>
      </c>
      <c r="J715" s="11">
        <f t="shared" si="713"/>
        <v>117</v>
      </c>
      <c r="K715" s="11">
        <f t="shared" si="713"/>
        <v>117</v>
      </c>
      <c r="L715" s="11">
        <f t="shared" si="713"/>
        <v>116</v>
      </c>
      <c r="M715" s="11">
        <f t="shared" si="713"/>
        <v>119</v>
      </c>
      <c r="O715" s="10">
        <f>'Optimal Choice'!$B$7*'Optimal Choice'!$B$8^(I715+1)</f>
        <v>67681395.062698901</v>
      </c>
      <c r="P715" s="10">
        <f>'Optimal Choice'!$B$12*'Optimal Choice'!$B$13^(J715+1)</f>
        <v>871959697.62989664</v>
      </c>
      <c r="Q715" s="10">
        <f>'Optimal Choice'!$B$17*'Optimal Choice'!$B$18^(K715+1)</f>
        <v>3733403705.0392342</v>
      </c>
      <c r="R715" s="10">
        <f>'Optimal Choice'!$B$22*'Optimal Choice'!$B$23^(L715+1)</f>
        <v>14018179929.34374</v>
      </c>
      <c r="S715" s="10">
        <f>'Optimal Choice'!$B$27*'Optimal Choice'!$B$28^(M715+1)</f>
        <v>83532928839.701691</v>
      </c>
    </row>
    <row r="716" spans="1:19" ht="15.75" customHeight="1">
      <c r="A716" s="8">
        <f t="shared" si="0"/>
        <v>53261.671576932655</v>
      </c>
      <c r="B716" s="7">
        <f>(I716*'Optimal Choice'!$B$6+J716*'Optimal Choice'!$B$11+K716*'Optimal Choice'!$B$16+L716*'Optimal Choice'!$B$21+M716*'Optimal Choice'!$B$26)*'Optimal Choice'!$B$30</f>
        <v>314239.15000000002</v>
      </c>
      <c r="C716" s="8">
        <f>(O716/$B716)+(O716/'Optimal Choice'!$B$6)</f>
        <v>40527996.856474154</v>
      </c>
      <c r="D716" s="8">
        <f>(P716/$B716)+(P716/'Optimal Choice'!$B$11)</f>
        <v>43600759.709830612</v>
      </c>
      <c r="E716" s="8">
        <f>(Q716/$B716)+(Q716/'Optimal Choice'!$B$16)</f>
        <v>41494144.161357969</v>
      </c>
      <c r="F716" s="8">
        <f>(R716/$B716)+(R716/'Optimal Choice'!$B$21)</f>
        <v>38983998.601760268</v>
      </c>
      <c r="G716" s="8">
        <f>(S716/$B716)+(S716/'Optimal Choice'!$B$26)</f>
        <v>43611095.602928363</v>
      </c>
      <c r="I716" s="11">
        <f t="shared" ref="I716:M716" si="714">IF(MIN($C715:$G715)=C715,I715+1,I715)</f>
        <v>245</v>
      </c>
      <c r="J716" s="11">
        <f t="shared" si="714"/>
        <v>117</v>
      </c>
      <c r="K716" s="11">
        <f t="shared" si="714"/>
        <v>117</v>
      </c>
      <c r="L716" s="11">
        <f t="shared" si="714"/>
        <v>116</v>
      </c>
      <c r="M716" s="11">
        <f t="shared" si="714"/>
        <v>120</v>
      </c>
      <c r="O716" s="10">
        <f>'Optimal Choice'!$B$7*'Optimal Choice'!$B$8^(I716+1)</f>
        <v>67681395.062698901</v>
      </c>
      <c r="P716" s="10">
        <f>'Optimal Choice'!$B$12*'Optimal Choice'!$B$13^(J716+1)</f>
        <v>871959697.62989664</v>
      </c>
      <c r="Q716" s="10">
        <f>'Optimal Choice'!$B$17*'Optimal Choice'!$B$18^(K716+1)</f>
        <v>3733403705.0392342</v>
      </c>
      <c r="R716" s="10">
        <f>'Optimal Choice'!$B$22*'Optimal Choice'!$B$23^(L716+1)</f>
        <v>14018179929.34374</v>
      </c>
      <c r="S716" s="10">
        <f>'Optimal Choice'!$B$27*'Optimal Choice'!$B$28^(M716+1)</f>
        <v>93556880300.465927</v>
      </c>
    </row>
    <row r="717" spans="1:19" ht="15.75" customHeight="1">
      <c r="A717" s="8">
        <f t="shared" si="0"/>
        <v>54005.170062578793</v>
      </c>
      <c r="B717" s="7">
        <f>(I717*'Optimal Choice'!$B$6+J717*'Optimal Choice'!$B$11+K717*'Optimal Choice'!$B$16+L717*'Optimal Choice'!$B$21+M717*'Optimal Choice'!$B$26)*'Optimal Choice'!$B$30</f>
        <v>314599.15000000002</v>
      </c>
      <c r="C717" s="8">
        <f>(O717/$B717)+(O717/'Optimal Choice'!$B$6)</f>
        <v>40527996.610009886</v>
      </c>
      <c r="D717" s="8">
        <f>(P717/$B717)+(P717/'Optimal Choice'!$B$11)</f>
        <v>43600756.534557566</v>
      </c>
      <c r="E717" s="8">
        <f>(Q717/$B717)+(Q717/'Optimal Choice'!$B$16)</f>
        <v>41494130.566032194</v>
      </c>
      <c r="F717" s="8">
        <f>(R717/$B717)+(R717/'Optimal Choice'!$B$21)</f>
        <v>44051860.736072794</v>
      </c>
      <c r="G717" s="8">
        <f>(S717/$B717)+(S717/'Optimal Choice'!$B$26)</f>
        <v>43610754.912136145</v>
      </c>
      <c r="I717" s="11">
        <f t="shared" ref="I717:M717" si="715">IF(MIN($C716:$G716)=C716,I716+1,I716)</f>
        <v>245</v>
      </c>
      <c r="J717" s="11">
        <f t="shared" si="715"/>
        <v>117</v>
      </c>
      <c r="K717" s="11">
        <f t="shared" si="715"/>
        <v>117</v>
      </c>
      <c r="L717" s="11">
        <f t="shared" si="715"/>
        <v>117</v>
      </c>
      <c r="M717" s="11">
        <f t="shared" si="715"/>
        <v>120</v>
      </c>
      <c r="O717" s="10">
        <f>'Optimal Choice'!$B$7*'Optimal Choice'!$B$8^(I717+1)</f>
        <v>67681395.062698901</v>
      </c>
      <c r="P717" s="10">
        <f>'Optimal Choice'!$B$12*'Optimal Choice'!$B$13^(J717+1)</f>
        <v>871959697.62989664</v>
      </c>
      <c r="Q717" s="10">
        <f>'Optimal Choice'!$B$17*'Optimal Choice'!$B$18^(K717+1)</f>
        <v>3733403705.0392342</v>
      </c>
      <c r="R717" s="10">
        <f>'Optimal Choice'!$B$22*'Optimal Choice'!$B$23^(L717+1)</f>
        <v>15840543320.158426</v>
      </c>
      <c r="S717" s="10">
        <f>'Optimal Choice'!$B$27*'Optimal Choice'!$B$28^(M717+1)</f>
        <v>93556880300.465927</v>
      </c>
    </row>
    <row r="718" spans="1:19" ht="15.75" customHeight="1">
      <c r="A718" s="8">
        <f t="shared" si="0"/>
        <v>54008.755651576874</v>
      </c>
      <c r="B718" s="7">
        <f>(I718*'Optimal Choice'!$B$6+J718*'Optimal Choice'!$B$11+K718*'Optimal Choice'!$B$16+L718*'Optimal Choice'!$B$21+M718*'Optimal Choice'!$B$26)*'Optimal Choice'!$B$30</f>
        <v>314600.82</v>
      </c>
      <c r="C718" s="8">
        <f>(O718/$B718)+(O718/'Optimal Choice'!$B$6)</f>
        <v>43364956.371488631</v>
      </c>
      <c r="D718" s="8">
        <f>(P718/$B718)+(P718/'Optimal Choice'!$B$11)</f>
        <v>43600756.519844763</v>
      </c>
      <c r="E718" s="8">
        <f>(Q718/$B718)+(Q718/'Optimal Choice'!$B$16)</f>
        <v>41494130.50303749</v>
      </c>
      <c r="F718" s="8">
        <f>(R718/$B718)+(R718/'Optimal Choice'!$B$21)</f>
        <v>44051860.468791142</v>
      </c>
      <c r="G718" s="8">
        <f>(S718/$B718)+(S718/'Optimal Choice'!$B$26)</f>
        <v>43610753.333526298</v>
      </c>
      <c r="I718" s="11">
        <f t="shared" ref="I718:M718" si="716">IF(MIN($C717:$G717)=C717,I717+1,I717)</f>
        <v>246</v>
      </c>
      <c r="J718" s="11">
        <f t="shared" si="716"/>
        <v>117</v>
      </c>
      <c r="K718" s="11">
        <f t="shared" si="716"/>
        <v>117</v>
      </c>
      <c r="L718" s="11">
        <f t="shared" si="716"/>
        <v>117</v>
      </c>
      <c r="M718" s="11">
        <f t="shared" si="716"/>
        <v>120</v>
      </c>
      <c r="O718" s="10">
        <f>'Optimal Choice'!$B$7*'Optimal Choice'!$B$8^(I718+1)</f>
        <v>72419092.71708782</v>
      </c>
      <c r="P718" s="10">
        <f>'Optimal Choice'!$B$12*'Optimal Choice'!$B$13^(J718+1)</f>
        <v>871959697.62989664</v>
      </c>
      <c r="Q718" s="10">
        <f>'Optimal Choice'!$B$17*'Optimal Choice'!$B$18^(K718+1)</f>
        <v>3733403705.0392342</v>
      </c>
      <c r="R718" s="10">
        <f>'Optimal Choice'!$B$22*'Optimal Choice'!$B$23^(L718+1)</f>
        <v>15840543320.158426</v>
      </c>
      <c r="S718" s="10">
        <f>'Optimal Choice'!$B$27*'Optimal Choice'!$B$28^(M718+1)</f>
        <v>93556880300.465927</v>
      </c>
    </row>
    <row r="719" spans="1:19" ht="15.75" customHeight="1">
      <c r="A719" s="8">
        <f t="shared" si="0"/>
        <v>54206.540880121371</v>
      </c>
      <c r="B719" s="7">
        <f>(I719*'Optimal Choice'!$B$6+J719*'Optimal Choice'!$B$11+K719*'Optimal Choice'!$B$16+L719*'Optimal Choice'!$B$21+M719*'Optimal Choice'!$B$26)*'Optimal Choice'!$B$30</f>
        <v>314690.82</v>
      </c>
      <c r="C719" s="8">
        <f>(O719/$B719)+(O719/'Optimal Choice'!$B$6)</f>
        <v>43364956.305654414</v>
      </c>
      <c r="D719" s="8">
        <f>(P719/$B719)+(P719/'Optimal Choice'!$B$11)</f>
        <v>43600755.727170058</v>
      </c>
      <c r="E719" s="8">
        <f>(Q719/$B719)+(Q719/'Optimal Choice'!$B$16)</f>
        <v>47303304.904376663</v>
      </c>
      <c r="F719" s="8">
        <f>(R719/$B719)+(R719/'Optimal Choice'!$B$21)</f>
        <v>44051846.068586677</v>
      </c>
      <c r="G719" s="8">
        <f>(S719/$B719)+(S719/'Optimal Choice'!$B$26)</f>
        <v>43610668.28352654</v>
      </c>
      <c r="I719" s="11">
        <f t="shared" ref="I719:M719" si="717">IF(MIN($C718:$G718)=C718,I718+1,I718)</f>
        <v>246</v>
      </c>
      <c r="J719" s="11">
        <f t="shared" si="717"/>
        <v>117</v>
      </c>
      <c r="K719" s="11">
        <f t="shared" si="717"/>
        <v>118</v>
      </c>
      <c r="L719" s="11">
        <f t="shared" si="717"/>
        <v>117</v>
      </c>
      <c r="M719" s="11">
        <f t="shared" si="717"/>
        <v>120</v>
      </c>
      <c r="O719" s="10">
        <f>'Optimal Choice'!$B$7*'Optimal Choice'!$B$8^(I719+1)</f>
        <v>72419092.71708782</v>
      </c>
      <c r="P719" s="10">
        <f>'Optimal Choice'!$B$12*'Optimal Choice'!$B$13^(J719+1)</f>
        <v>871959697.62989664</v>
      </c>
      <c r="Q719" s="10">
        <f>'Optimal Choice'!$B$17*'Optimal Choice'!$B$18^(K719+1)</f>
        <v>4256080223.7447262</v>
      </c>
      <c r="R719" s="10">
        <f>'Optimal Choice'!$B$22*'Optimal Choice'!$B$23^(L719+1)</f>
        <v>15840543320.158426</v>
      </c>
      <c r="S719" s="10">
        <f>'Optimal Choice'!$B$27*'Optimal Choice'!$B$28^(M719+1)</f>
        <v>93556880300.465927</v>
      </c>
    </row>
    <row r="720" spans="1:19" ht="15.75" customHeight="1">
      <c r="A720" s="8">
        <f t="shared" si="0"/>
        <v>54210.376342746618</v>
      </c>
      <c r="B720" s="7">
        <f>(I720*'Optimal Choice'!$B$6+J720*'Optimal Choice'!$B$11+K720*'Optimal Choice'!$B$16+L720*'Optimal Choice'!$B$21+M720*'Optimal Choice'!$B$26)*'Optimal Choice'!$B$30</f>
        <v>314692.49</v>
      </c>
      <c r="C720" s="8">
        <f>(O720/$B720)+(O720/'Optimal Choice'!$B$6)</f>
        <v>46400503.245743506</v>
      </c>
      <c r="D720" s="8">
        <f>(P720/$B720)+(P720/'Optimal Choice'!$B$11)</f>
        <v>43600755.712465823</v>
      </c>
      <c r="E720" s="8">
        <f>(Q720/$B720)+(Q720/'Optimal Choice'!$B$16)</f>
        <v>47303304.832604535</v>
      </c>
      <c r="F720" s="8">
        <f>(R720/$B720)+(R720/'Optimal Choice'!$B$21)</f>
        <v>44051845.801460721</v>
      </c>
      <c r="G720" s="8">
        <f>(S720/$B720)+(S720/'Optimal Choice'!$B$26)</f>
        <v>43610666.705836259</v>
      </c>
      <c r="I720" s="11">
        <f t="shared" ref="I720:M720" si="718">IF(MIN($C719:$G719)=C719,I719+1,I719)</f>
        <v>247</v>
      </c>
      <c r="J720" s="11">
        <f t="shared" si="718"/>
        <v>117</v>
      </c>
      <c r="K720" s="11">
        <f t="shared" si="718"/>
        <v>118</v>
      </c>
      <c r="L720" s="11">
        <f t="shared" si="718"/>
        <v>117</v>
      </c>
      <c r="M720" s="11">
        <f t="shared" si="718"/>
        <v>120</v>
      </c>
      <c r="O720" s="10">
        <f>'Optimal Choice'!$B$7*'Optimal Choice'!$B$8^(I720+1)</f>
        <v>77488429.207283974</v>
      </c>
      <c r="P720" s="10">
        <f>'Optimal Choice'!$B$12*'Optimal Choice'!$B$13^(J720+1)</f>
        <v>871959697.62989664</v>
      </c>
      <c r="Q720" s="10">
        <f>'Optimal Choice'!$B$17*'Optimal Choice'!$B$18^(K720+1)</f>
        <v>4256080223.7447262</v>
      </c>
      <c r="R720" s="10">
        <f>'Optimal Choice'!$B$22*'Optimal Choice'!$B$23^(L720+1)</f>
        <v>15840543320.158426</v>
      </c>
      <c r="S720" s="10">
        <f>'Optimal Choice'!$B$27*'Optimal Choice'!$B$28^(M720+1)</f>
        <v>93556880300.465927</v>
      </c>
    </row>
    <row r="721" spans="1:19" ht="15.75" customHeight="1">
      <c r="A721" s="8">
        <f t="shared" si="0"/>
        <v>54256.556858929784</v>
      </c>
      <c r="B721" s="7">
        <f>(I721*'Optimal Choice'!$B$6+J721*'Optimal Choice'!$B$11+K721*'Optimal Choice'!$B$16+L721*'Optimal Choice'!$B$21+M721*'Optimal Choice'!$B$26)*'Optimal Choice'!$B$30</f>
        <v>314712.49</v>
      </c>
      <c r="C721" s="8">
        <f>(O721/$B721)+(O721/'Optimal Choice'!$B$6)</f>
        <v>46400503.23009523</v>
      </c>
      <c r="D721" s="8">
        <f>(P721/$B721)+(P721/'Optimal Choice'!$B$11)</f>
        <v>50140868.86683622</v>
      </c>
      <c r="E721" s="8">
        <f>(Q721/$B721)+(Q721/'Optimal Choice'!$B$16)</f>
        <v>47303303.973117277</v>
      </c>
      <c r="F721" s="8">
        <f>(R721/$B721)+(R721/'Optimal Choice'!$B$21)</f>
        <v>44051842.60256774</v>
      </c>
      <c r="G721" s="8">
        <f>(S721/$B721)+(S721/'Optimal Choice'!$B$26)</f>
        <v>43610647.812642902</v>
      </c>
      <c r="I721" s="11">
        <f t="shared" ref="I721:M721" si="719">IF(MIN($C720:$G720)=C720,I720+1,I720)</f>
        <v>247</v>
      </c>
      <c r="J721" s="11">
        <f t="shared" si="719"/>
        <v>118</v>
      </c>
      <c r="K721" s="11">
        <f t="shared" si="719"/>
        <v>118</v>
      </c>
      <c r="L721" s="11">
        <f t="shared" si="719"/>
        <v>117</v>
      </c>
      <c r="M721" s="11">
        <f t="shared" si="719"/>
        <v>120</v>
      </c>
      <c r="O721" s="10">
        <f>'Optimal Choice'!$B$7*'Optimal Choice'!$B$8^(I721+1)</f>
        <v>77488429.207283974</v>
      </c>
      <c r="P721" s="10">
        <f>'Optimal Choice'!$B$12*'Optimal Choice'!$B$13^(J721+1)</f>
        <v>1002753652.274381</v>
      </c>
      <c r="Q721" s="10">
        <f>'Optimal Choice'!$B$17*'Optimal Choice'!$B$18^(K721+1)</f>
        <v>4256080223.7447262</v>
      </c>
      <c r="R721" s="10">
        <f>'Optimal Choice'!$B$22*'Optimal Choice'!$B$23^(L721+1)</f>
        <v>15840543320.158426</v>
      </c>
      <c r="S721" s="10">
        <f>'Optimal Choice'!$B$27*'Optimal Choice'!$B$28^(M721+1)</f>
        <v>93556880300.465927</v>
      </c>
    </row>
    <row r="722" spans="1:19" ht="15.75" customHeight="1">
      <c r="A722" s="8">
        <f t="shared" si="0"/>
        <v>59211.178578395382</v>
      </c>
      <c r="B722" s="7">
        <f>(I722*'Optimal Choice'!$B$6+J722*'Optimal Choice'!$B$11+K722*'Optimal Choice'!$B$16+L722*'Optimal Choice'!$B$21+M722*'Optimal Choice'!$B$26)*'Optimal Choice'!$B$30</f>
        <v>316872.49</v>
      </c>
      <c r="C722" s="8">
        <f>(O722/$B722)+(O722/'Optimal Choice'!$B$6)</f>
        <v>46400501.551708281</v>
      </c>
      <c r="D722" s="8">
        <f>(P722/$B722)+(P722/'Optimal Choice'!$B$11)</f>
        <v>50140847.147352993</v>
      </c>
      <c r="E722" s="8">
        <f>(Q722/$B722)+(Q722/'Optimal Choice'!$B$16)</f>
        <v>47303211.787102453</v>
      </c>
      <c r="F722" s="8">
        <f>(R722/$B722)+(R722/'Optimal Choice'!$B$21)</f>
        <v>44051499.498940796</v>
      </c>
      <c r="G722" s="8">
        <f>(S722/$B722)+(S722/'Optimal Choice'!$B$26)</f>
        <v>48841655.95190043</v>
      </c>
      <c r="I722" s="11">
        <f t="shared" ref="I722:M722" si="720">IF(MIN($C721:$G721)=C721,I721+1,I721)</f>
        <v>247</v>
      </c>
      <c r="J722" s="11">
        <f t="shared" si="720"/>
        <v>118</v>
      </c>
      <c r="K722" s="11">
        <f t="shared" si="720"/>
        <v>118</v>
      </c>
      <c r="L722" s="11">
        <f t="shared" si="720"/>
        <v>117</v>
      </c>
      <c r="M722" s="11">
        <f t="shared" si="720"/>
        <v>121</v>
      </c>
      <c r="O722" s="10">
        <f>'Optimal Choice'!$B$7*'Optimal Choice'!$B$8^(I722+1)</f>
        <v>77488429.207283974</v>
      </c>
      <c r="P722" s="10">
        <f>'Optimal Choice'!$B$12*'Optimal Choice'!$B$13^(J722+1)</f>
        <v>1002753652.274381</v>
      </c>
      <c r="Q722" s="10">
        <f>'Optimal Choice'!$B$17*'Optimal Choice'!$B$18^(K722+1)</f>
        <v>4256080223.7447262</v>
      </c>
      <c r="R722" s="10">
        <f>'Optimal Choice'!$B$22*'Optimal Choice'!$B$23^(L722+1)</f>
        <v>15840543320.158426</v>
      </c>
      <c r="S722" s="10">
        <f>'Optimal Choice'!$B$27*'Optimal Choice'!$B$28^(M722+1)</f>
        <v>104783705936.52184</v>
      </c>
    </row>
    <row r="723" spans="1:19" ht="15.75" customHeight="1">
      <c r="A723" s="8">
        <f t="shared" si="0"/>
        <v>60044.349849703831</v>
      </c>
      <c r="B723" s="7">
        <f>(I723*'Optimal Choice'!$B$6+J723*'Optimal Choice'!$B$11+K723*'Optimal Choice'!$B$16+L723*'Optimal Choice'!$B$21+M723*'Optimal Choice'!$B$26)*'Optimal Choice'!$B$30</f>
        <v>317232.49</v>
      </c>
      <c r="C723" s="8">
        <f>(O723/$B723)+(O723/'Optimal Choice'!$B$6)</f>
        <v>46400501.274199225</v>
      </c>
      <c r="D723" s="8">
        <f>(P723/$B723)+(P723/'Optimal Choice'!$B$11)</f>
        <v>50140843.556194633</v>
      </c>
      <c r="E723" s="8">
        <f>(Q723/$B723)+(Q723/'Optimal Choice'!$B$16)</f>
        <v>47303196.544816338</v>
      </c>
      <c r="F723" s="8">
        <f>(R723/$B723)+(R723/'Optimal Choice'!$B$21)</f>
        <v>49778130.329258218</v>
      </c>
      <c r="G723" s="8">
        <f>(S723/$B723)+(S723/'Optimal Choice'!$B$26)</f>
        <v>48841280.690358765</v>
      </c>
      <c r="I723" s="11">
        <f t="shared" ref="I723:M723" si="721">IF(MIN($C722:$G722)=C722,I722+1,I722)</f>
        <v>247</v>
      </c>
      <c r="J723" s="11">
        <f t="shared" si="721"/>
        <v>118</v>
      </c>
      <c r="K723" s="11">
        <f t="shared" si="721"/>
        <v>118</v>
      </c>
      <c r="L723" s="11">
        <f t="shared" si="721"/>
        <v>118</v>
      </c>
      <c r="M723" s="11">
        <f t="shared" si="721"/>
        <v>121</v>
      </c>
      <c r="O723" s="10">
        <f>'Optimal Choice'!$B$7*'Optimal Choice'!$B$8^(I723+1)</f>
        <v>77488429.207283974</v>
      </c>
      <c r="P723" s="10">
        <f>'Optimal Choice'!$B$12*'Optimal Choice'!$B$13^(J723+1)</f>
        <v>1002753652.274381</v>
      </c>
      <c r="Q723" s="10">
        <f>'Optimal Choice'!$B$17*'Optimal Choice'!$B$18^(K723+1)</f>
        <v>4256080223.7447262</v>
      </c>
      <c r="R723" s="10">
        <f>'Optimal Choice'!$B$22*'Optimal Choice'!$B$23^(L723+1)</f>
        <v>17899813951.779018</v>
      </c>
      <c r="S723" s="10">
        <f>'Optimal Choice'!$B$27*'Optimal Choice'!$B$28^(M723+1)</f>
        <v>104783705936.52184</v>
      </c>
    </row>
    <row r="724" spans="1:19" ht="15.75" customHeight="1">
      <c r="A724" s="8">
        <f t="shared" si="0"/>
        <v>60048.420913862872</v>
      </c>
      <c r="B724" s="7">
        <f>(I724*'Optimal Choice'!$B$6+J724*'Optimal Choice'!$B$11+K724*'Optimal Choice'!$B$16+L724*'Optimal Choice'!$B$21+M724*'Optimal Choice'!$B$26)*'Optimal Choice'!$B$30</f>
        <v>317234.16000000003</v>
      </c>
      <c r="C724" s="8">
        <f>(O724/$B724)+(O724/'Optimal Choice'!$B$6)</f>
        <v>49648536.362017304</v>
      </c>
      <c r="D724" s="8">
        <f>(P724/$B724)+(P724/'Optimal Choice'!$B$11)</f>
        <v>50140843.539554641</v>
      </c>
      <c r="E724" s="8">
        <f>(Q724/$B724)+(Q724/'Optimal Choice'!$B$16)</f>
        <v>47303196.474189684</v>
      </c>
      <c r="F724" s="8">
        <f>(R724/$B724)+(R724/'Optimal Choice'!$B$21)</f>
        <v>49778130.032223389</v>
      </c>
      <c r="G724" s="8">
        <f>(S724/$B724)+(S724/'Optimal Choice'!$B$26)</f>
        <v>48841278.951546803</v>
      </c>
      <c r="I724" s="11">
        <f t="shared" ref="I724:M724" si="722">IF(MIN($C723:$G723)=C723,I723+1,I723)</f>
        <v>248</v>
      </c>
      <c r="J724" s="11">
        <f t="shared" si="722"/>
        <v>118</v>
      </c>
      <c r="K724" s="11">
        <f t="shared" si="722"/>
        <v>118</v>
      </c>
      <c r="L724" s="11">
        <f t="shared" si="722"/>
        <v>118</v>
      </c>
      <c r="M724" s="11">
        <f t="shared" si="722"/>
        <v>121</v>
      </c>
      <c r="O724" s="10">
        <f>'Optimal Choice'!$B$7*'Optimal Choice'!$B$8^(I724+1)</f>
        <v>82912619.251793861</v>
      </c>
      <c r="P724" s="10">
        <f>'Optimal Choice'!$B$12*'Optimal Choice'!$B$13^(J724+1)</f>
        <v>1002753652.274381</v>
      </c>
      <c r="Q724" s="10">
        <f>'Optimal Choice'!$B$17*'Optimal Choice'!$B$18^(K724+1)</f>
        <v>4256080223.7447262</v>
      </c>
      <c r="R724" s="10">
        <f>'Optimal Choice'!$B$22*'Optimal Choice'!$B$23^(L724+1)</f>
        <v>17899813951.779018</v>
      </c>
      <c r="S724" s="10">
        <f>'Optimal Choice'!$B$27*'Optimal Choice'!$B$28^(M724+1)</f>
        <v>104783705936.52184</v>
      </c>
    </row>
    <row r="725" spans="1:19" ht="15.75" customHeight="1">
      <c r="A725" s="8">
        <f t="shared" si="0"/>
        <v>60272.024419852722</v>
      </c>
      <c r="B725" s="7">
        <f>(I725*'Optimal Choice'!$B$6+J725*'Optimal Choice'!$B$11+K725*'Optimal Choice'!$B$16+L725*'Optimal Choice'!$B$21+M725*'Optimal Choice'!$B$26)*'Optimal Choice'!$B$30</f>
        <v>317324.16000000003</v>
      </c>
      <c r="C725" s="8">
        <f>(O725/$B725)+(O725/'Optimal Choice'!$B$6)</f>
        <v>49648536.287889689</v>
      </c>
      <c r="D725" s="8">
        <f>(P725/$B725)+(P725/'Optimal Choice'!$B$11)</f>
        <v>50140842.643047653</v>
      </c>
      <c r="E725" s="8">
        <f>(Q725/$B725)+(Q725/'Optimal Choice'!$B$16)</f>
        <v>53925639.642730743</v>
      </c>
      <c r="F725" s="8">
        <f>(R725/$B725)+(R725/'Optimal Choice'!$B$21)</f>
        <v>49778114.02898255</v>
      </c>
      <c r="G725" s="8">
        <f>(S725/$B725)+(S725/'Optimal Choice'!$B$26)</f>
        <v>48841185.270188652</v>
      </c>
      <c r="I725" s="11">
        <f t="shared" ref="I725:M725" si="723">IF(MIN($C724:$G724)=C724,I724+1,I724)</f>
        <v>248</v>
      </c>
      <c r="J725" s="11">
        <f t="shared" si="723"/>
        <v>118</v>
      </c>
      <c r="K725" s="11">
        <f t="shared" si="723"/>
        <v>119</v>
      </c>
      <c r="L725" s="11">
        <f t="shared" si="723"/>
        <v>118</v>
      </c>
      <c r="M725" s="11">
        <f t="shared" si="723"/>
        <v>121</v>
      </c>
      <c r="O725" s="10">
        <f>'Optimal Choice'!$B$7*'Optimal Choice'!$B$8^(I725+1)</f>
        <v>82912619.251793861</v>
      </c>
      <c r="P725" s="10">
        <f>'Optimal Choice'!$B$12*'Optimal Choice'!$B$13^(J725+1)</f>
        <v>1002753652.274381</v>
      </c>
      <c r="Q725" s="10">
        <f>'Optimal Choice'!$B$17*'Optimal Choice'!$B$18^(K725+1)</f>
        <v>4851931455.0689888</v>
      </c>
      <c r="R725" s="10">
        <f>'Optimal Choice'!$B$22*'Optimal Choice'!$B$23^(L725+1)</f>
        <v>17899813951.779018</v>
      </c>
      <c r="S725" s="10">
        <f>'Optimal Choice'!$B$27*'Optimal Choice'!$B$28^(M725+1)</f>
        <v>104783705936.52184</v>
      </c>
    </row>
    <row r="726" spans="1:19" ht="15.75" customHeight="1">
      <c r="A726" s="8">
        <f t="shared" si="0"/>
        <v>65775.529412797565</v>
      </c>
      <c r="B726" s="7">
        <f>(I726*'Optimal Choice'!$B$6+J726*'Optimal Choice'!$B$11+K726*'Optimal Choice'!$B$16+L726*'Optimal Choice'!$B$21+M726*'Optimal Choice'!$B$26)*'Optimal Choice'!$B$30</f>
        <v>319484.16000000003</v>
      </c>
      <c r="C726" s="8">
        <f>(O726/$B726)+(O726/'Optimal Choice'!$B$6)</f>
        <v>49648534.521356031</v>
      </c>
      <c r="D726" s="8">
        <f>(P726/$B726)+(P726/'Optimal Choice'!$B$11)</f>
        <v>50140821.278409891</v>
      </c>
      <c r="E726" s="8">
        <f>(Q726/$B726)+(Q726/'Optimal Choice'!$B$16)</f>
        <v>53925536.267631821</v>
      </c>
      <c r="F726" s="8">
        <f>(R726/$B726)+(R726/'Optimal Choice'!$B$21)</f>
        <v>49777732.656109706</v>
      </c>
      <c r="G726" s="8">
        <f>(S726/$B726)+(S726/'Optimal Choice'!$B$26)</f>
        <v>54699627.082068585</v>
      </c>
      <c r="I726" s="11">
        <f t="shared" ref="I726:M726" si="724">IF(MIN($C725:$G725)=C725,I725+1,I725)</f>
        <v>248</v>
      </c>
      <c r="J726" s="11">
        <f t="shared" si="724"/>
        <v>118</v>
      </c>
      <c r="K726" s="11">
        <f t="shared" si="724"/>
        <v>119</v>
      </c>
      <c r="L726" s="11">
        <f t="shared" si="724"/>
        <v>118</v>
      </c>
      <c r="M726" s="11">
        <f t="shared" si="724"/>
        <v>122</v>
      </c>
      <c r="O726" s="10">
        <f>'Optimal Choice'!$B$7*'Optimal Choice'!$B$8^(I726+1)</f>
        <v>82912619.251793861</v>
      </c>
      <c r="P726" s="10">
        <f>'Optimal Choice'!$B$12*'Optimal Choice'!$B$13^(J726+1)</f>
        <v>1002753652.274381</v>
      </c>
      <c r="Q726" s="10">
        <f>'Optimal Choice'!$B$17*'Optimal Choice'!$B$18^(K726+1)</f>
        <v>4851931455.0689888</v>
      </c>
      <c r="R726" s="10">
        <f>'Optimal Choice'!$B$22*'Optimal Choice'!$B$23^(L726+1)</f>
        <v>17899813951.779018</v>
      </c>
      <c r="S726" s="10">
        <f>'Optimal Choice'!$B$27*'Optimal Choice'!$B$28^(M726+1)</f>
        <v>117357750648.90448</v>
      </c>
    </row>
    <row r="727" spans="1:19" ht="15.75" customHeight="1">
      <c r="A727" s="8">
        <f t="shared" si="0"/>
        <v>65779.854750828497</v>
      </c>
      <c r="B727" s="7">
        <f>(I727*'Optimal Choice'!$B$6+J727*'Optimal Choice'!$B$11+K727*'Optimal Choice'!$B$16+L727*'Optimal Choice'!$B$21+M727*'Optimal Choice'!$B$26)*'Optimal Choice'!$B$30</f>
        <v>319485.83</v>
      </c>
      <c r="C727" s="8">
        <f>(O727/$B727)+(O727/'Optimal Choice'!$B$6)</f>
        <v>53123931.936399423</v>
      </c>
      <c r="D727" s="8">
        <f>(P727/$B727)+(P727/'Optimal Choice'!$B$11)</f>
        <v>50140821.262003623</v>
      </c>
      <c r="E727" s="8">
        <f>(Q727/$B727)+(Q727/'Optimal Choice'!$B$16)</f>
        <v>53925536.188248329</v>
      </c>
      <c r="F727" s="8">
        <f>(R727/$B727)+(R727/'Optimal Choice'!$B$21)</f>
        <v>49777732.363247007</v>
      </c>
      <c r="G727" s="8">
        <f>(S727/$B727)+(S727/'Optimal Choice'!$B$26)</f>
        <v>54699625.161953248</v>
      </c>
      <c r="I727" s="11">
        <f t="shared" ref="I727:M727" si="725">IF(MIN($C726:$G726)=C726,I726+1,I726)</f>
        <v>249</v>
      </c>
      <c r="J727" s="11">
        <f t="shared" si="725"/>
        <v>118</v>
      </c>
      <c r="K727" s="11">
        <f t="shared" si="725"/>
        <v>119</v>
      </c>
      <c r="L727" s="11">
        <f t="shared" si="725"/>
        <v>118</v>
      </c>
      <c r="M727" s="11">
        <f t="shared" si="725"/>
        <v>122</v>
      </c>
      <c r="O727" s="10">
        <f>'Optimal Choice'!$B$7*'Optimal Choice'!$B$8^(I727+1)</f>
        <v>88716502.599419415</v>
      </c>
      <c r="P727" s="10">
        <f>'Optimal Choice'!$B$12*'Optimal Choice'!$B$13^(J727+1)</f>
        <v>1002753652.274381</v>
      </c>
      <c r="Q727" s="10">
        <f>'Optimal Choice'!$B$17*'Optimal Choice'!$B$18^(K727+1)</f>
        <v>4851931455.0689888</v>
      </c>
      <c r="R727" s="10">
        <f>'Optimal Choice'!$B$22*'Optimal Choice'!$B$23^(L727+1)</f>
        <v>17899813951.779018</v>
      </c>
      <c r="S727" s="10">
        <f>'Optimal Choice'!$B$27*'Optimal Choice'!$B$28^(M727+1)</f>
        <v>117357750648.90448</v>
      </c>
    </row>
    <row r="728" spans="1:19" ht="15.75" customHeight="1">
      <c r="A728" s="8">
        <f t="shared" si="0"/>
        <v>66713.637111472315</v>
      </c>
      <c r="B728" s="7">
        <f>(I728*'Optimal Choice'!$B$6+J728*'Optimal Choice'!$B$11+K728*'Optimal Choice'!$B$16+L728*'Optimal Choice'!$B$21+M728*'Optimal Choice'!$B$26)*'Optimal Choice'!$B$30</f>
        <v>319845.83</v>
      </c>
      <c r="C728" s="8">
        <f>(O728/$B728)+(O728/'Optimal Choice'!$B$6)</f>
        <v>53123931.623852938</v>
      </c>
      <c r="D728" s="8">
        <f>(P728/$B728)+(P728/'Optimal Choice'!$B$11)</f>
        <v>50140817.729322322</v>
      </c>
      <c r="E728" s="8">
        <f>(Q728/$B728)+(Q728/'Optimal Choice'!$B$16)</f>
        <v>53925519.094989702</v>
      </c>
      <c r="F728" s="8">
        <f>(R728/$B728)+(R728/'Optimal Choice'!$B$21)</f>
        <v>56248766.311888523</v>
      </c>
      <c r="G728" s="8">
        <f>(S728/$B728)+(S728/'Optimal Choice'!$B$26)</f>
        <v>54699211.71291703</v>
      </c>
      <c r="I728" s="11">
        <f t="shared" ref="I728:M728" si="726">IF(MIN($C727:$G727)=C727,I727+1,I727)</f>
        <v>249</v>
      </c>
      <c r="J728" s="11">
        <f t="shared" si="726"/>
        <v>118</v>
      </c>
      <c r="K728" s="11">
        <f t="shared" si="726"/>
        <v>119</v>
      </c>
      <c r="L728" s="11">
        <f t="shared" si="726"/>
        <v>119</v>
      </c>
      <c r="M728" s="11">
        <f t="shared" si="726"/>
        <v>122</v>
      </c>
      <c r="O728" s="10">
        <f>'Optimal Choice'!$B$7*'Optimal Choice'!$B$8^(I728+1)</f>
        <v>88716502.599419415</v>
      </c>
      <c r="P728" s="10">
        <f>'Optimal Choice'!$B$12*'Optimal Choice'!$B$13^(J728+1)</f>
        <v>1002753652.274381</v>
      </c>
      <c r="Q728" s="10">
        <f>'Optimal Choice'!$B$17*'Optimal Choice'!$B$18^(K728+1)</f>
        <v>4851931455.0689888</v>
      </c>
      <c r="R728" s="10">
        <f>'Optimal Choice'!$B$22*'Optimal Choice'!$B$23^(L728+1)</f>
        <v>20226789765.510292</v>
      </c>
      <c r="S728" s="10">
        <f>'Optimal Choice'!$B$27*'Optimal Choice'!$B$28^(M728+1)</f>
        <v>117357750648.90448</v>
      </c>
    </row>
    <row r="729" spans="1:19" ht="15.75" customHeight="1">
      <c r="A729" s="8">
        <f t="shared" si="0"/>
        <v>66765.889038193505</v>
      </c>
      <c r="B729" s="7">
        <f>(I729*'Optimal Choice'!$B$6+J729*'Optimal Choice'!$B$11+K729*'Optimal Choice'!$B$16+L729*'Optimal Choice'!$B$21+M729*'Optimal Choice'!$B$26)*'Optimal Choice'!$B$30</f>
        <v>319865.83</v>
      </c>
      <c r="C729" s="8">
        <f>(O729/$B729)+(O729/'Optimal Choice'!$B$6)</f>
        <v>53123931.606509872</v>
      </c>
      <c r="D729" s="8">
        <f>(P729/$B729)+(P729/'Optimal Choice'!$B$11)</f>
        <v>57661940.163289711</v>
      </c>
      <c r="E729" s="8">
        <f>(Q729/$B729)+(Q729/'Optimal Choice'!$B$16)</f>
        <v>53925518.146492377</v>
      </c>
      <c r="F729" s="8">
        <f>(R729/$B729)+(R729/'Optimal Choice'!$B$21)</f>
        <v>56248762.357781552</v>
      </c>
      <c r="G729" s="8">
        <f>(S729/$B729)+(S729/'Optimal Choice'!$B$26)</f>
        <v>54699188.770813718</v>
      </c>
      <c r="I729" s="11">
        <f t="shared" ref="I729:M729" si="727">IF(MIN($C728:$G728)=C728,I728+1,I728)</f>
        <v>249</v>
      </c>
      <c r="J729" s="11">
        <f t="shared" si="727"/>
        <v>119</v>
      </c>
      <c r="K729" s="11">
        <f t="shared" si="727"/>
        <v>119</v>
      </c>
      <c r="L729" s="11">
        <f t="shared" si="727"/>
        <v>119</v>
      </c>
      <c r="M729" s="11">
        <f t="shared" si="727"/>
        <v>122</v>
      </c>
      <c r="O729" s="10">
        <f>'Optimal Choice'!$B$7*'Optimal Choice'!$B$8^(I729+1)</f>
        <v>88716502.599419415</v>
      </c>
      <c r="P729" s="10">
        <f>'Optimal Choice'!$B$12*'Optimal Choice'!$B$13^(J729+1)</f>
        <v>1153166700.1155381</v>
      </c>
      <c r="Q729" s="10">
        <f>'Optimal Choice'!$B$17*'Optimal Choice'!$B$18^(K729+1)</f>
        <v>4851931455.0689888</v>
      </c>
      <c r="R729" s="10">
        <f>'Optimal Choice'!$B$22*'Optimal Choice'!$B$23^(L729+1)</f>
        <v>20226789765.510292</v>
      </c>
      <c r="S729" s="10">
        <f>'Optimal Choice'!$B$27*'Optimal Choice'!$B$28^(M729+1)</f>
        <v>117357750648.90448</v>
      </c>
    </row>
    <row r="730" spans="1:19" ht="15.75" customHeight="1">
      <c r="A730" s="8">
        <f t="shared" si="0"/>
        <v>66770.511627535598</v>
      </c>
      <c r="B730" s="7">
        <f>(I730*'Optimal Choice'!$B$6+J730*'Optimal Choice'!$B$11+K730*'Optimal Choice'!$B$16+L730*'Optimal Choice'!$B$21+M730*'Optimal Choice'!$B$26)*'Optimal Choice'!$B$30</f>
        <v>319867.5</v>
      </c>
      <c r="C730" s="8">
        <f>(O730/$B730)+(O730/'Optimal Choice'!$B$6)</f>
        <v>56842606.817416169</v>
      </c>
      <c r="D730" s="8">
        <f>(P730/$B730)+(P730/'Optimal Choice'!$B$11)</f>
        <v>57661940.144467503</v>
      </c>
      <c r="E730" s="8">
        <f>(Q730/$B730)+(Q730/'Optimal Choice'!$B$16)</f>
        <v>53925518.067298219</v>
      </c>
      <c r="F730" s="8">
        <f>(R730/$B730)+(R730/'Optimal Choice'!$B$21)</f>
        <v>56248762.027635984</v>
      </c>
      <c r="G730" s="8">
        <f>(S730/$B730)+(S730/'Optimal Choice'!$B$26)</f>
        <v>54699186.855277874</v>
      </c>
      <c r="I730" s="11">
        <f t="shared" ref="I730:M730" si="728">IF(MIN($C729:$G729)=C729,I729+1,I729)</f>
        <v>250</v>
      </c>
      <c r="J730" s="11">
        <f t="shared" si="728"/>
        <v>119</v>
      </c>
      <c r="K730" s="11">
        <f t="shared" si="728"/>
        <v>119</v>
      </c>
      <c r="L730" s="11">
        <f t="shared" si="728"/>
        <v>119</v>
      </c>
      <c r="M730" s="11">
        <f t="shared" si="728"/>
        <v>122</v>
      </c>
      <c r="O730" s="10">
        <f>'Optimal Choice'!$B$7*'Optimal Choice'!$B$8^(I730+1)</f>
        <v>94926657.781378791</v>
      </c>
      <c r="P730" s="10">
        <f>'Optimal Choice'!$B$12*'Optimal Choice'!$B$13^(J730+1)</f>
        <v>1153166700.1155381</v>
      </c>
      <c r="Q730" s="10">
        <f>'Optimal Choice'!$B$17*'Optimal Choice'!$B$18^(K730+1)</f>
        <v>4851931455.0689888</v>
      </c>
      <c r="R730" s="10">
        <f>'Optimal Choice'!$B$22*'Optimal Choice'!$B$23^(L730+1)</f>
        <v>20226789765.510292</v>
      </c>
      <c r="S730" s="10">
        <f>'Optimal Choice'!$B$27*'Optimal Choice'!$B$28^(M730+1)</f>
        <v>117357750648.90448</v>
      </c>
    </row>
    <row r="731" spans="1:19" ht="15.75" customHeight="1">
      <c r="A731" s="8">
        <f t="shared" si="0"/>
        <v>67023.321069730096</v>
      </c>
      <c r="B731" s="7">
        <f>(I731*'Optimal Choice'!$B$6+J731*'Optimal Choice'!$B$11+K731*'Optimal Choice'!$B$16+L731*'Optimal Choice'!$B$21+M731*'Optimal Choice'!$B$26)*'Optimal Choice'!$B$30</f>
        <v>319957.5</v>
      </c>
      <c r="C731" s="8">
        <f>(O731/$B731)+(O731/'Optimal Choice'!$B$6)</f>
        <v>56842606.733938888</v>
      </c>
      <c r="D731" s="8">
        <f>(P731/$B731)+(P731/'Optimal Choice'!$B$11)</f>
        <v>57661939.130387567</v>
      </c>
      <c r="E731" s="8">
        <f>(Q731/$B731)+(Q731/'Optimal Choice'!$B$16)</f>
        <v>61475085.732652299</v>
      </c>
      <c r="F731" s="8">
        <f>(R731/$B731)+(R731/'Optimal Choice'!$B$21)</f>
        <v>56248744.240457661</v>
      </c>
      <c r="G731" s="8">
        <f>(S731/$B731)+(S731/'Optimal Choice'!$B$26)</f>
        <v>54699083.652383938</v>
      </c>
      <c r="I731" s="11">
        <f t="shared" ref="I731:M731" si="729">IF(MIN($C730:$G730)=C730,I730+1,I730)</f>
        <v>250</v>
      </c>
      <c r="J731" s="11">
        <f t="shared" si="729"/>
        <v>119</v>
      </c>
      <c r="K731" s="11">
        <f t="shared" si="729"/>
        <v>120</v>
      </c>
      <c r="L731" s="11">
        <f t="shared" si="729"/>
        <v>119</v>
      </c>
      <c r="M731" s="11">
        <f t="shared" si="729"/>
        <v>122</v>
      </c>
      <c r="O731" s="10">
        <f>'Optimal Choice'!$B$7*'Optimal Choice'!$B$8^(I731+1)</f>
        <v>94926657.781378791</v>
      </c>
      <c r="P731" s="10">
        <f>'Optimal Choice'!$B$12*'Optimal Choice'!$B$13^(J731+1)</f>
        <v>1153166700.1155381</v>
      </c>
      <c r="Q731" s="10">
        <f>'Optimal Choice'!$B$17*'Optimal Choice'!$B$18^(K731+1)</f>
        <v>5531201858.7786465</v>
      </c>
      <c r="R731" s="10">
        <f>'Optimal Choice'!$B$22*'Optimal Choice'!$B$23^(L731+1)</f>
        <v>20226789765.510292</v>
      </c>
      <c r="S731" s="10">
        <f>'Optimal Choice'!$B$27*'Optimal Choice'!$B$28^(M731+1)</f>
        <v>117357750648.90448</v>
      </c>
    </row>
    <row r="732" spans="1:19" ht="15.75" customHeight="1">
      <c r="A732" s="8">
        <f t="shared" si="0"/>
        <v>73136.515824705595</v>
      </c>
      <c r="B732" s="7">
        <f>(I732*'Optimal Choice'!$B$6+J732*'Optimal Choice'!$B$11+K732*'Optimal Choice'!$B$16+L732*'Optimal Choice'!$B$21+M732*'Optimal Choice'!$B$26)*'Optimal Choice'!$B$30</f>
        <v>322117.5</v>
      </c>
      <c r="C732" s="8">
        <f>(O732/$B732)+(O732/'Optimal Choice'!$B$6)</f>
        <v>56842604.74447836</v>
      </c>
      <c r="D732" s="8">
        <f>(P732/$B732)+(P732/'Optimal Choice'!$B$11)</f>
        <v>57661914.962470084</v>
      </c>
      <c r="E732" s="8">
        <f>(Q732/$B732)+(Q732/'Optimal Choice'!$B$16)</f>
        <v>61474969.810444281</v>
      </c>
      <c r="F732" s="8">
        <f>(R732/$B732)+(R732/'Optimal Choice'!$B$21)</f>
        <v>56248320.330032654</v>
      </c>
      <c r="G732" s="8">
        <f>(S732/$B732)+(S732/'Optimal Choice'!$B$26)</f>
        <v>61260218.974005826</v>
      </c>
      <c r="I732" s="11">
        <f t="shared" ref="I732:M732" si="730">IF(MIN($C731:$G731)=C731,I731+1,I731)</f>
        <v>250</v>
      </c>
      <c r="J732" s="11">
        <f t="shared" si="730"/>
        <v>119</v>
      </c>
      <c r="K732" s="11">
        <f t="shared" si="730"/>
        <v>120</v>
      </c>
      <c r="L732" s="11">
        <f t="shared" si="730"/>
        <v>119</v>
      </c>
      <c r="M732" s="11">
        <f t="shared" si="730"/>
        <v>123</v>
      </c>
      <c r="O732" s="10">
        <f>'Optimal Choice'!$B$7*'Optimal Choice'!$B$8^(I732+1)</f>
        <v>94926657.781378791</v>
      </c>
      <c r="P732" s="10">
        <f>'Optimal Choice'!$B$12*'Optimal Choice'!$B$13^(J732+1)</f>
        <v>1153166700.1155381</v>
      </c>
      <c r="Q732" s="10">
        <f>'Optimal Choice'!$B$17*'Optimal Choice'!$B$18^(K732+1)</f>
        <v>5531201858.7786465</v>
      </c>
      <c r="R732" s="10">
        <f>'Optimal Choice'!$B$22*'Optimal Choice'!$B$23^(L732+1)</f>
        <v>20226789765.510292</v>
      </c>
      <c r="S732" s="10">
        <f>'Optimal Choice'!$B$27*'Optimal Choice'!$B$28^(M732+1)</f>
        <v>131440680726.77301</v>
      </c>
    </row>
    <row r="733" spans="1:19" ht="15.75" customHeight="1">
      <c r="A733" s="8">
        <f t="shared" si="0"/>
        <v>74183.069218291799</v>
      </c>
      <c r="B733" s="7">
        <f>(I733*'Optimal Choice'!$B$6+J733*'Optimal Choice'!$B$11+K733*'Optimal Choice'!$B$16+L733*'Optimal Choice'!$B$21+M733*'Optimal Choice'!$B$26)*'Optimal Choice'!$B$30</f>
        <v>322477.5</v>
      </c>
      <c r="C733" s="8">
        <f>(O733/$B733)+(O733/'Optimal Choice'!$B$6)</f>
        <v>56842604.415492706</v>
      </c>
      <c r="D733" s="8">
        <f>(P733/$B733)+(P733/'Optimal Choice'!$B$11)</f>
        <v>57661910.965960532</v>
      </c>
      <c r="E733" s="8">
        <f>(Q733/$B733)+(Q733/'Optimal Choice'!$B$16)</f>
        <v>61474950.641055271</v>
      </c>
      <c r="F733" s="8">
        <f>(R733/$B733)+(R733/'Optimal Choice'!$B$21)</f>
        <v>63560522.760355458</v>
      </c>
      <c r="G733" s="8">
        <f>(S733/$B733)+(S733/'Optimal Choice'!$B$26)</f>
        <v>61259763.44235009</v>
      </c>
      <c r="I733" s="11">
        <f t="shared" ref="I733:M733" si="731">IF(MIN($C732:$G732)=C732,I732+1,I732)</f>
        <v>250</v>
      </c>
      <c r="J733" s="11">
        <f t="shared" si="731"/>
        <v>119</v>
      </c>
      <c r="K733" s="11">
        <f t="shared" si="731"/>
        <v>120</v>
      </c>
      <c r="L733" s="11">
        <f t="shared" si="731"/>
        <v>120</v>
      </c>
      <c r="M733" s="11">
        <f t="shared" si="731"/>
        <v>123</v>
      </c>
      <c r="O733" s="10">
        <f>'Optimal Choice'!$B$7*'Optimal Choice'!$B$8^(I733+1)</f>
        <v>94926657.781378791</v>
      </c>
      <c r="P733" s="10">
        <f>'Optimal Choice'!$B$12*'Optimal Choice'!$B$13^(J733+1)</f>
        <v>1153166700.1155381</v>
      </c>
      <c r="Q733" s="10">
        <f>'Optimal Choice'!$B$17*'Optimal Choice'!$B$18^(K733+1)</f>
        <v>5531201858.7786465</v>
      </c>
      <c r="R733" s="10">
        <f>'Optimal Choice'!$B$22*'Optimal Choice'!$B$23^(L733+1)</f>
        <v>22856272435.02663</v>
      </c>
      <c r="S733" s="10">
        <f>'Optimal Choice'!$B$27*'Optimal Choice'!$B$28^(M733+1)</f>
        <v>131440680726.77301</v>
      </c>
    </row>
    <row r="734" spans="1:19" ht="15.75" customHeight="1">
      <c r="A734" s="8">
        <f t="shared" si="0"/>
        <v>74187.975331006717</v>
      </c>
      <c r="B734" s="7">
        <f>(I734*'Optimal Choice'!$B$6+J734*'Optimal Choice'!$B$11+K734*'Optimal Choice'!$B$16+L734*'Optimal Choice'!$B$21+M734*'Optimal Choice'!$B$26)*'Optimal Choice'!$B$30</f>
        <v>322479.17</v>
      </c>
      <c r="C734" s="8">
        <f>(O734/$B734)+(O734/'Optimal Choice'!$B$6)</f>
        <v>60821586.722946078</v>
      </c>
      <c r="D734" s="8">
        <f>(P734/$B734)+(P734/'Optimal Choice'!$B$11)</f>
        <v>57661910.947441958</v>
      </c>
      <c r="E734" s="8">
        <f>(Q734/$B734)+(Q734/'Optimal Choice'!$B$16)</f>
        <v>61474950.552230336</v>
      </c>
      <c r="F734" s="8">
        <f>(R734/$B734)+(R734/'Optimal Choice'!$B$21)</f>
        <v>63560522.393309213</v>
      </c>
      <c r="G734" s="8">
        <f>(S734/$B734)+(S734/'Optimal Choice'!$B$26)</f>
        <v>61259761.331559323</v>
      </c>
      <c r="I734" s="11">
        <f t="shared" ref="I734:M734" si="732">IF(MIN($C733:$G733)=C733,I733+1,I733)</f>
        <v>251</v>
      </c>
      <c r="J734" s="11">
        <f t="shared" si="732"/>
        <v>119</v>
      </c>
      <c r="K734" s="11">
        <f t="shared" si="732"/>
        <v>120</v>
      </c>
      <c r="L734" s="11">
        <f t="shared" si="732"/>
        <v>120</v>
      </c>
      <c r="M734" s="11">
        <f t="shared" si="732"/>
        <v>123</v>
      </c>
      <c r="O734" s="10">
        <f>'Optimal Choice'!$B$7*'Optimal Choice'!$B$8^(I734+1)</f>
        <v>101571523.8260753</v>
      </c>
      <c r="P734" s="10">
        <f>'Optimal Choice'!$B$12*'Optimal Choice'!$B$13^(J734+1)</f>
        <v>1153166700.1155381</v>
      </c>
      <c r="Q734" s="10">
        <f>'Optimal Choice'!$B$17*'Optimal Choice'!$B$18^(K734+1)</f>
        <v>5531201858.7786465</v>
      </c>
      <c r="R734" s="10">
        <f>'Optimal Choice'!$B$22*'Optimal Choice'!$B$23^(L734+1)</f>
        <v>22856272435.02663</v>
      </c>
      <c r="S734" s="10">
        <f>'Optimal Choice'!$B$27*'Optimal Choice'!$B$28^(M734+1)</f>
        <v>131440680726.77301</v>
      </c>
    </row>
    <row r="735" spans="1:19" ht="15.75" customHeight="1">
      <c r="A735" s="8">
        <f t="shared" si="0"/>
        <v>74247.574358757643</v>
      </c>
      <c r="B735" s="7">
        <f>(I735*'Optimal Choice'!$B$6+J735*'Optimal Choice'!$B$11+K735*'Optimal Choice'!$B$16+L735*'Optimal Choice'!$B$21+M735*'Optimal Choice'!$B$26)*'Optimal Choice'!$B$30</f>
        <v>322499.17</v>
      </c>
      <c r="C735" s="8">
        <f>(O735/$B735)+(O735/'Optimal Choice'!$B$6)</f>
        <v>60821586.70341295</v>
      </c>
      <c r="D735" s="8">
        <f>(P735/$B735)+(P735/'Optimal Choice'!$B$11)</f>
        <v>66311197.334529199</v>
      </c>
      <c r="E735" s="8">
        <f>(Q735/$B735)+(Q735/'Optimal Choice'!$B$16)</f>
        <v>61474949.488530144</v>
      </c>
      <c r="F735" s="8">
        <f>(R735/$B735)+(R735/'Optimal Choice'!$B$21)</f>
        <v>63560517.997841127</v>
      </c>
      <c r="G735" s="8">
        <f>(S735/$B735)+(S735/'Optimal Choice'!$B$26)</f>
        <v>61259736.054326616</v>
      </c>
      <c r="I735" s="11">
        <f t="shared" ref="I735:M735" si="733">IF(MIN($C734:$G734)=C734,I734+1,I734)</f>
        <v>251</v>
      </c>
      <c r="J735" s="11">
        <f t="shared" si="733"/>
        <v>120</v>
      </c>
      <c r="K735" s="11">
        <f t="shared" si="733"/>
        <v>120</v>
      </c>
      <c r="L735" s="11">
        <f t="shared" si="733"/>
        <v>120</v>
      </c>
      <c r="M735" s="11">
        <f t="shared" si="733"/>
        <v>123</v>
      </c>
      <c r="O735" s="10">
        <f>'Optimal Choice'!$B$7*'Optimal Choice'!$B$8^(I735+1)</f>
        <v>101571523.8260753</v>
      </c>
      <c r="P735" s="10">
        <f>'Optimal Choice'!$B$12*'Optimal Choice'!$B$13^(J735+1)</f>
        <v>1326141705.1328688</v>
      </c>
      <c r="Q735" s="10">
        <f>'Optimal Choice'!$B$17*'Optimal Choice'!$B$18^(K735+1)</f>
        <v>5531201858.7786465</v>
      </c>
      <c r="R735" s="10">
        <f>'Optimal Choice'!$B$22*'Optimal Choice'!$B$23^(L735+1)</f>
        <v>22856272435.02663</v>
      </c>
      <c r="S735" s="10">
        <f>'Optimal Choice'!$B$27*'Optimal Choice'!$B$28^(M735+1)</f>
        <v>131440680726.77301</v>
      </c>
    </row>
    <row r="736" spans="1:19" ht="15.75" customHeight="1">
      <c r="A736" s="8">
        <f t="shared" si="0"/>
        <v>74252.823546625121</v>
      </c>
      <c r="B736" s="7">
        <f>(I736*'Optimal Choice'!$B$6+J736*'Optimal Choice'!$B$11+K736*'Optimal Choice'!$B$16+L736*'Optimal Choice'!$B$21+M736*'Optimal Choice'!$B$26)*'Optimal Choice'!$B$30</f>
        <v>322500.83999999997</v>
      </c>
      <c r="C736" s="8">
        <f>(O736/$B736)+(O736/'Optimal Choice'!$B$6)</f>
        <v>65079097.770906776</v>
      </c>
      <c r="D736" s="8">
        <f>(P736/$B736)+(P736/'Optimal Choice'!$B$11)</f>
        <v>66311197.3132357</v>
      </c>
      <c r="E736" s="8">
        <f>(Q736/$B736)+(Q736/'Optimal Choice'!$B$16)</f>
        <v>61474949.399717152</v>
      </c>
      <c r="F736" s="8">
        <f>(R736/$B736)+(R736/'Optimal Choice'!$B$21)</f>
        <v>63560517.630844206</v>
      </c>
      <c r="G736" s="8">
        <f>(S736/$B736)+(S736/'Optimal Choice'!$B$26)</f>
        <v>61259733.943819508</v>
      </c>
      <c r="I736" s="11">
        <f t="shared" ref="I736:M736" si="734">IF(MIN($C735:$G735)=C735,I735+1,I735)</f>
        <v>252</v>
      </c>
      <c r="J736" s="11">
        <f t="shared" si="734"/>
        <v>120</v>
      </c>
      <c r="K736" s="11">
        <f t="shared" si="734"/>
        <v>120</v>
      </c>
      <c r="L736" s="11">
        <f t="shared" si="734"/>
        <v>120</v>
      </c>
      <c r="M736" s="11">
        <f t="shared" si="734"/>
        <v>123</v>
      </c>
      <c r="O736" s="10">
        <f>'Optimal Choice'!$B$7*'Optimal Choice'!$B$8^(I736+1)</f>
        <v>108681530.49390055</v>
      </c>
      <c r="P736" s="10">
        <f>'Optimal Choice'!$B$12*'Optimal Choice'!$B$13^(J736+1)</f>
        <v>1326141705.1328688</v>
      </c>
      <c r="Q736" s="10">
        <f>'Optimal Choice'!$B$17*'Optimal Choice'!$B$18^(K736+1)</f>
        <v>5531201858.7786465</v>
      </c>
      <c r="R736" s="10">
        <f>'Optimal Choice'!$B$22*'Optimal Choice'!$B$23^(L736+1)</f>
        <v>22856272435.02663</v>
      </c>
      <c r="S736" s="10">
        <f>'Optimal Choice'!$B$27*'Optimal Choice'!$B$28^(M736+1)</f>
        <v>131440680726.77301</v>
      </c>
    </row>
    <row r="737" spans="1:19" ht="15.75" customHeight="1">
      <c r="A737" s="8">
        <f t="shared" si="0"/>
        <v>81045.605891356012</v>
      </c>
      <c r="B737" s="7">
        <f>(I737*'Optimal Choice'!$B$6+J737*'Optimal Choice'!$B$11+K737*'Optimal Choice'!$B$16+L737*'Optimal Choice'!$B$21+M737*'Optimal Choice'!$B$26)*'Optimal Choice'!$B$30</f>
        <v>324660.83999999997</v>
      </c>
      <c r="C737" s="8">
        <f>(O737/$B737)+(O737/'Optimal Choice'!$B$6)</f>
        <v>65079095.528838992</v>
      </c>
      <c r="D737" s="8">
        <f>(P737/$B737)+(P737/'Optimal Choice'!$B$11)</f>
        <v>66311169.955325089</v>
      </c>
      <c r="E737" s="8">
        <f>(Q737/$B737)+(Q737/'Optimal Choice'!$B$16)</f>
        <v>61474835.292660996</v>
      </c>
      <c r="F737" s="8">
        <f>(R737/$B737)+(R737/'Optimal Choice'!$B$21)</f>
        <v>63560046.11271327</v>
      </c>
      <c r="G737" s="8">
        <f>(S737/$B737)+(S737/'Optimal Choice'!$B$26)</f>
        <v>68607865.044885889</v>
      </c>
      <c r="I737" s="11">
        <f t="shared" ref="I737:M737" si="735">IF(MIN($C736:$G736)=C736,I736+1,I736)</f>
        <v>252</v>
      </c>
      <c r="J737" s="11">
        <f t="shared" si="735"/>
        <v>120</v>
      </c>
      <c r="K737" s="11">
        <f t="shared" si="735"/>
        <v>120</v>
      </c>
      <c r="L737" s="11">
        <f t="shared" si="735"/>
        <v>120</v>
      </c>
      <c r="M737" s="11">
        <f t="shared" si="735"/>
        <v>124</v>
      </c>
      <c r="O737" s="10">
        <f>'Optimal Choice'!$B$7*'Optimal Choice'!$B$8^(I737+1)</f>
        <v>108681530.49390055</v>
      </c>
      <c r="P737" s="10">
        <f>'Optimal Choice'!$B$12*'Optimal Choice'!$B$13^(J737+1)</f>
        <v>1326141705.1328688</v>
      </c>
      <c r="Q737" s="10">
        <f>'Optimal Choice'!$B$17*'Optimal Choice'!$B$18^(K737+1)</f>
        <v>5531201858.7786465</v>
      </c>
      <c r="R737" s="10">
        <f>'Optimal Choice'!$B$22*'Optimal Choice'!$B$23^(L737+1)</f>
        <v>22856272435.02663</v>
      </c>
      <c r="S737" s="10">
        <f>'Optimal Choice'!$B$27*'Optimal Choice'!$B$28^(M737+1)</f>
        <v>147213562413.98581</v>
      </c>
    </row>
    <row r="738" spans="1:19" ht="15.75" customHeight="1">
      <c r="A738" s="8">
        <f t="shared" si="0"/>
        <v>81329.553587808448</v>
      </c>
      <c r="B738" s="7">
        <f>(I738*'Optimal Choice'!$B$6+J738*'Optimal Choice'!$B$11+K738*'Optimal Choice'!$B$16+L738*'Optimal Choice'!$B$21+M738*'Optimal Choice'!$B$26)*'Optimal Choice'!$B$30</f>
        <v>324750.83999999997</v>
      </c>
      <c r="C738" s="8">
        <f>(O738/$B738)+(O738/'Optimal Choice'!$B$6)</f>
        <v>65079095.436066747</v>
      </c>
      <c r="D738" s="8">
        <f>(P738/$B738)+(P738/'Optimal Choice'!$B$11)</f>
        <v>66311168.823309906</v>
      </c>
      <c r="E738" s="8">
        <f>(Q738/$B738)+(Q738/'Optimal Choice'!$B$16)</f>
        <v>70081306.851100832</v>
      </c>
      <c r="F738" s="8">
        <f>(R738/$B738)+(R738/'Optimal Choice'!$B$21)</f>
        <v>63560026.602243684</v>
      </c>
      <c r="G738" s="8">
        <f>(S738/$B738)+(S738/'Optimal Choice'!$B$26)</f>
        <v>68607739.381099686</v>
      </c>
      <c r="I738" s="11">
        <f t="shared" ref="I738:M738" si="736">IF(MIN($C737:$G737)=C737,I737+1,I737)</f>
        <v>252</v>
      </c>
      <c r="J738" s="11">
        <f t="shared" si="736"/>
        <v>120</v>
      </c>
      <c r="K738" s="11">
        <f t="shared" si="736"/>
        <v>121</v>
      </c>
      <c r="L738" s="11">
        <f t="shared" si="736"/>
        <v>120</v>
      </c>
      <c r="M738" s="11">
        <f t="shared" si="736"/>
        <v>124</v>
      </c>
      <c r="O738" s="10">
        <f>'Optimal Choice'!$B$7*'Optimal Choice'!$B$8^(I738+1)</f>
        <v>108681530.49390055</v>
      </c>
      <c r="P738" s="10">
        <f>'Optimal Choice'!$B$12*'Optimal Choice'!$B$13^(J738+1)</f>
        <v>1326141705.1328688</v>
      </c>
      <c r="Q738" s="10">
        <f>'Optimal Choice'!$B$17*'Optimal Choice'!$B$18^(K738+1)</f>
        <v>6305570119.007658</v>
      </c>
      <c r="R738" s="10">
        <f>'Optimal Choice'!$B$22*'Optimal Choice'!$B$23^(L738+1)</f>
        <v>22856272435.02663</v>
      </c>
      <c r="S738" s="10">
        <f>'Optimal Choice'!$B$27*'Optimal Choice'!$B$28^(M738+1)</f>
        <v>147213562413.98581</v>
      </c>
    </row>
    <row r="739" spans="1:19" ht="15.75" customHeight="1">
      <c r="A739" s="8">
        <f t="shared" si="0"/>
        <v>82502.56941100728</v>
      </c>
      <c r="B739" s="7">
        <f>(I739*'Optimal Choice'!$B$6+J739*'Optimal Choice'!$B$11+K739*'Optimal Choice'!$B$16+L739*'Optimal Choice'!$B$21+M739*'Optimal Choice'!$B$26)*'Optimal Choice'!$B$30</f>
        <v>325110.83999999997</v>
      </c>
      <c r="C739" s="8">
        <f>(O739/$B739)+(O739/'Optimal Choice'!$B$6)</f>
        <v>65079095.065491408</v>
      </c>
      <c r="D739" s="8">
        <f>(P739/$B739)+(P739/'Optimal Choice'!$B$11)</f>
        <v>66311164.301516667</v>
      </c>
      <c r="E739" s="8">
        <f>(Q739/$B739)+(Q739/'Optimal Choice'!$B$16)</f>
        <v>70081285.350770772</v>
      </c>
      <c r="F739" s="8">
        <f>(R739/$B739)+(R739/'Optimal Choice'!$B$21)</f>
        <v>71822741.995276704</v>
      </c>
      <c r="G739" s="8">
        <f>(S739/$B739)+(S739/'Optimal Choice'!$B$26)</f>
        <v>68607237.421701685</v>
      </c>
      <c r="I739" s="11">
        <f t="shared" ref="I739:M739" si="737">IF(MIN($C738:$G738)=C738,I738+1,I738)</f>
        <v>252</v>
      </c>
      <c r="J739" s="11">
        <f t="shared" si="737"/>
        <v>120</v>
      </c>
      <c r="K739" s="11">
        <f t="shared" si="737"/>
        <v>121</v>
      </c>
      <c r="L739" s="11">
        <f t="shared" si="737"/>
        <v>121</v>
      </c>
      <c r="M739" s="11">
        <f t="shared" si="737"/>
        <v>124</v>
      </c>
      <c r="O739" s="10">
        <f>'Optimal Choice'!$B$7*'Optimal Choice'!$B$8^(I739+1)</f>
        <v>108681530.49390055</v>
      </c>
      <c r="P739" s="10">
        <f>'Optimal Choice'!$B$12*'Optimal Choice'!$B$13^(J739+1)</f>
        <v>1326141705.1328688</v>
      </c>
      <c r="Q739" s="10">
        <f>'Optimal Choice'!$B$17*'Optimal Choice'!$B$18^(K739+1)</f>
        <v>6305570119.007658</v>
      </c>
      <c r="R739" s="10">
        <f>'Optimal Choice'!$B$22*'Optimal Choice'!$B$23^(L739+1)</f>
        <v>25827587851.580086</v>
      </c>
      <c r="S739" s="10">
        <f>'Optimal Choice'!$B$27*'Optimal Choice'!$B$28^(M739+1)</f>
        <v>147213562413.98581</v>
      </c>
    </row>
    <row r="740" spans="1:19" ht="15.75" customHeight="1">
      <c r="A740" s="8">
        <f t="shared" si="0"/>
        <v>82508.140922684848</v>
      </c>
      <c r="B740" s="7">
        <f>(I740*'Optimal Choice'!$B$6+J740*'Optimal Choice'!$B$11+K740*'Optimal Choice'!$B$16+L740*'Optimal Choice'!$B$21+M740*'Optimal Choice'!$B$26)*'Optimal Choice'!$B$30</f>
        <v>325112.51</v>
      </c>
      <c r="C740" s="8">
        <f>(O740/$B740)+(O740/'Optimal Choice'!$B$6)</f>
        <v>69634631.718238458</v>
      </c>
      <c r="D740" s="8">
        <f>(P740/$B740)+(P740/'Optimal Choice'!$B$11)</f>
        <v>66311164.280563906</v>
      </c>
      <c r="E740" s="8">
        <f>(Q740/$B740)+(Q740/'Optimal Choice'!$B$16)</f>
        <v>70081285.251144081</v>
      </c>
      <c r="F740" s="8">
        <f>(R740/$B740)+(R740/'Optimal Choice'!$B$21)</f>
        <v>71822741.587206215</v>
      </c>
      <c r="G740" s="8">
        <f>(S740/$B740)+(S740/'Optimal Choice'!$B$26)</f>
        <v>68607235.095758185</v>
      </c>
      <c r="I740" s="11">
        <f t="shared" ref="I740:M740" si="738">IF(MIN($C739:$G739)=C739,I739+1,I739)</f>
        <v>253</v>
      </c>
      <c r="J740" s="11">
        <f t="shared" si="738"/>
        <v>120</v>
      </c>
      <c r="K740" s="11">
        <f t="shared" si="738"/>
        <v>121</v>
      </c>
      <c r="L740" s="11">
        <f t="shared" si="738"/>
        <v>121</v>
      </c>
      <c r="M740" s="11">
        <f t="shared" si="738"/>
        <v>124</v>
      </c>
      <c r="O740" s="10">
        <f>'Optimal Choice'!$B$7*'Optimal Choice'!$B$8^(I740+1)</f>
        <v>116289237.62847359</v>
      </c>
      <c r="P740" s="10">
        <f>'Optimal Choice'!$B$12*'Optimal Choice'!$B$13^(J740+1)</f>
        <v>1326141705.1328688</v>
      </c>
      <c r="Q740" s="10">
        <f>'Optimal Choice'!$B$17*'Optimal Choice'!$B$18^(K740+1)</f>
        <v>6305570119.007658</v>
      </c>
      <c r="R740" s="10">
        <f>'Optimal Choice'!$B$22*'Optimal Choice'!$B$23^(L740+1)</f>
        <v>25827587851.580086</v>
      </c>
      <c r="S740" s="10">
        <f>'Optimal Choice'!$B$27*'Optimal Choice'!$B$28^(M740+1)</f>
        <v>147213562413.98581</v>
      </c>
    </row>
    <row r="741" spans="1:19" ht="15.75" customHeight="1">
      <c r="A741" s="8">
        <f t="shared" si="0"/>
        <v>82576.124654692627</v>
      </c>
      <c r="B741" s="7">
        <f>(I741*'Optimal Choice'!$B$6+J741*'Optimal Choice'!$B$11+K741*'Optimal Choice'!$B$16+L741*'Optimal Choice'!$B$21+M741*'Optimal Choice'!$B$26)*'Optimal Choice'!$B$30</f>
        <v>325132.51</v>
      </c>
      <c r="C741" s="8">
        <f>(O741/$B741)+(O741/'Optimal Choice'!$B$6)</f>
        <v>69634631.696235791</v>
      </c>
      <c r="D741" s="8">
        <f>(P741/$B741)+(P741/'Optimal Choice'!$B$11)</f>
        <v>76257838.634096757</v>
      </c>
      <c r="E741" s="8">
        <f>(Q741/$B741)+(Q741/'Optimal Choice'!$B$16)</f>
        <v>70081284.058089599</v>
      </c>
      <c r="F741" s="8">
        <f>(R741/$B741)+(R741/'Optimal Choice'!$B$21)</f>
        <v>71822736.700460225</v>
      </c>
      <c r="G741" s="8">
        <f>(S741/$B741)+(S741/'Optimal Choice'!$B$26)</f>
        <v>68607207.242003888</v>
      </c>
      <c r="I741" s="11">
        <f t="shared" ref="I741:M741" si="739">IF(MIN($C740:$G740)=C740,I740+1,I740)</f>
        <v>253</v>
      </c>
      <c r="J741" s="11">
        <f t="shared" si="739"/>
        <v>121</v>
      </c>
      <c r="K741" s="11">
        <f t="shared" si="739"/>
        <v>121</v>
      </c>
      <c r="L741" s="11">
        <f t="shared" si="739"/>
        <v>121</v>
      </c>
      <c r="M741" s="11">
        <f t="shared" si="739"/>
        <v>124</v>
      </c>
      <c r="O741" s="10">
        <f>'Optimal Choice'!$B$7*'Optimal Choice'!$B$8^(I741+1)</f>
        <v>116289237.62847359</v>
      </c>
      <c r="P741" s="10">
        <f>'Optimal Choice'!$B$12*'Optimal Choice'!$B$13^(J741+1)</f>
        <v>1525062960.9027991</v>
      </c>
      <c r="Q741" s="10">
        <f>'Optimal Choice'!$B$17*'Optimal Choice'!$B$18^(K741+1)</f>
        <v>6305570119.007658</v>
      </c>
      <c r="R741" s="10">
        <f>'Optimal Choice'!$B$22*'Optimal Choice'!$B$23^(L741+1)</f>
        <v>25827587851.580086</v>
      </c>
      <c r="S741" s="10">
        <f>'Optimal Choice'!$B$27*'Optimal Choice'!$B$28^(M741+1)</f>
        <v>147213562413.98581</v>
      </c>
    </row>
    <row r="742" spans="1:19" ht="15.75" customHeight="1">
      <c r="A742" s="8">
        <f t="shared" si="0"/>
        <v>90122.461296225127</v>
      </c>
      <c r="B742" s="7">
        <f>(I742*'Optimal Choice'!$B$6+J742*'Optimal Choice'!$B$11+K742*'Optimal Choice'!$B$16+L742*'Optimal Choice'!$B$21+M742*'Optimal Choice'!$B$26)*'Optimal Choice'!$B$30</f>
        <v>327292.51</v>
      </c>
      <c r="C742" s="8">
        <f>(O742/$B742)+(O742/'Optimal Choice'!$B$6)</f>
        <v>69634629.335774884</v>
      </c>
      <c r="D742" s="8">
        <f>(P742/$B742)+(P742/'Optimal Choice'!$B$11)</f>
        <v>76257807.678080842</v>
      </c>
      <c r="E742" s="8">
        <f>(Q742/$B742)+(Q742/'Optimal Choice'!$B$16)</f>
        <v>70081156.066436842</v>
      </c>
      <c r="F742" s="8">
        <f>(R742/$B742)+(R742/'Optimal Choice'!$B$21)</f>
        <v>71822212.447205812</v>
      </c>
      <c r="G742" s="8">
        <f>(S742/$B742)+(S742/'Optimal Choice'!$B$26)</f>
        <v>76836725.362118781</v>
      </c>
      <c r="I742" s="11">
        <f t="shared" ref="I742:M742" si="740">IF(MIN($C741:$G741)=C741,I741+1,I741)</f>
        <v>253</v>
      </c>
      <c r="J742" s="11">
        <f t="shared" si="740"/>
        <v>121</v>
      </c>
      <c r="K742" s="11">
        <f t="shared" si="740"/>
        <v>121</v>
      </c>
      <c r="L742" s="11">
        <f t="shared" si="740"/>
        <v>121</v>
      </c>
      <c r="M742" s="11">
        <f t="shared" si="740"/>
        <v>125</v>
      </c>
      <c r="O742" s="10">
        <f>'Optimal Choice'!$B$7*'Optimal Choice'!$B$8^(I742+1)</f>
        <v>116289237.62847359</v>
      </c>
      <c r="P742" s="10">
        <f>'Optimal Choice'!$B$12*'Optimal Choice'!$B$13^(J742+1)</f>
        <v>1525062960.9027991</v>
      </c>
      <c r="Q742" s="10">
        <f>'Optimal Choice'!$B$17*'Optimal Choice'!$B$18^(K742+1)</f>
        <v>6305570119.007658</v>
      </c>
      <c r="R742" s="10">
        <f>'Optimal Choice'!$B$22*'Optimal Choice'!$B$23^(L742+1)</f>
        <v>25827587851.580086</v>
      </c>
      <c r="S742" s="10">
        <f>'Optimal Choice'!$B$27*'Optimal Choice'!$B$28^(M742+1)</f>
        <v>164879189903.66409</v>
      </c>
    </row>
    <row r="743" spans="1:19" ht="15.75" customHeight="1">
      <c r="A743" s="8">
        <f t="shared" si="0"/>
        <v>90128.383075371472</v>
      </c>
      <c r="B743" s="7">
        <f>(I743*'Optimal Choice'!$B$6+J743*'Optimal Choice'!$B$11+K743*'Optimal Choice'!$B$16+L743*'Optimal Choice'!$B$21+M743*'Optimal Choice'!$B$26)*'Optimal Choice'!$B$30</f>
        <v>327294.18</v>
      </c>
      <c r="C743" s="8">
        <f>(O743/$B743)+(O743/'Optimal Choice'!$B$6)</f>
        <v>74509053.387339309</v>
      </c>
      <c r="D743" s="8">
        <f>(P743/$B743)+(P743/'Optimal Choice'!$B$11)</f>
        <v>76257807.654305324</v>
      </c>
      <c r="E743" s="8">
        <f>(Q743/$B743)+(Q743/'Optimal Choice'!$B$16)</f>
        <v>70081155.968133911</v>
      </c>
      <c r="F743" s="8">
        <f>(R743/$B743)+(R743/'Optimal Choice'!$B$21)</f>
        <v>71822212.044557407</v>
      </c>
      <c r="G743" s="8">
        <f>(S743/$B743)+(S743/'Optimal Choice'!$B$26)</f>
        <v>76836722.791675851</v>
      </c>
      <c r="I743" s="11">
        <f t="shared" ref="I743:M743" si="741">IF(MIN($C742:$G742)=C742,I742+1,I742)</f>
        <v>254</v>
      </c>
      <c r="J743" s="11">
        <f t="shared" si="741"/>
        <v>121</v>
      </c>
      <c r="K743" s="11">
        <f t="shared" si="741"/>
        <v>121</v>
      </c>
      <c r="L743" s="11">
        <f t="shared" si="741"/>
        <v>121</v>
      </c>
      <c r="M743" s="11">
        <f t="shared" si="741"/>
        <v>125</v>
      </c>
      <c r="O743" s="10">
        <f>'Optimal Choice'!$B$7*'Optimal Choice'!$B$8^(I743+1)</f>
        <v>124429484.26246677</v>
      </c>
      <c r="P743" s="10">
        <f>'Optimal Choice'!$B$12*'Optimal Choice'!$B$13^(J743+1)</f>
        <v>1525062960.9027991</v>
      </c>
      <c r="Q743" s="10">
        <f>'Optimal Choice'!$B$17*'Optimal Choice'!$B$18^(K743+1)</f>
        <v>6305570119.007658</v>
      </c>
      <c r="R743" s="10">
        <f>'Optimal Choice'!$B$22*'Optimal Choice'!$B$23^(L743+1)</f>
        <v>25827587851.580086</v>
      </c>
      <c r="S743" s="10">
        <f>'Optimal Choice'!$B$27*'Optimal Choice'!$B$28^(M743+1)</f>
        <v>164879189903.66409</v>
      </c>
    </row>
    <row r="744" spans="1:19" ht="15.75" customHeight="1">
      <c r="A744" s="8">
        <f t="shared" si="0"/>
        <v>90449.479024333326</v>
      </c>
      <c r="B744" s="7">
        <f>(I744*'Optimal Choice'!$B$6+J744*'Optimal Choice'!$B$11+K744*'Optimal Choice'!$B$16+L744*'Optimal Choice'!$B$21+M744*'Optimal Choice'!$B$26)*'Optimal Choice'!$B$30</f>
        <v>327384.18</v>
      </c>
      <c r="C744" s="8">
        <f>(O744/$B744)+(O744/'Optimal Choice'!$B$6)</f>
        <v>74509053.282826424</v>
      </c>
      <c r="D744" s="8">
        <f>(P744/$B744)+(P744/'Optimal Choice'!$B$11)</f>
        <v>76257806.373349041</v>
      </c>
      <c r="E744" s="8">
        <f>(Q744/$B744)+(Q744/'Optimal Choice'!$B$16)</f>
        <v>79892511.765914008</v>
      </c>
      <c r="F744" s="8">
        <f>(R744/$B744)+(R744/'Optimal Choice'!$B$21)</f>
        <v>71822190.351019517</v>
      </c>
      <c r="G744" s="8">
        <f>(S744/$B744)+(S744/'Optimal Choice'!$B$26)</f>
        <v>76836584.303599656</v>
      </c>
      <c r="I744" s="11">
        <f t="shared" ref="I744:M744" si="742">IF(MIN($C743:$G743)=C743,I743+1,I743)</f>
        <v>254</v>
      </c>
      <c r="J744" s="11">
        <f t="shared" si="742"/>
        <v>121</v>
      </c>
      <c r="K744" s="11">
        <f t="shared" si="742"/>
        <v>122</v>
      </c>
      <c r="L744" s="11">
        <f t="shared" si="742"/>
        <v>121</v>
      </c>
      <c r="M744" s="11">
        <f t="shared" si="742"/>
        <v>125</v>
      </c>
      <c r="O744" s="10">
        <f>'Optimal Choice'!$B$7*'Optimal Choice'!$B$8^(I744+1)</f>
        <v>124429484.26246677</v>
      </c>
      <c r="P744" s="10">
        <f>'Optimal Choice'!$B$12*'Optimal Choice'!$B$13^(J744+1)</f>
        <v>1525062960.9027991</v>
      </c>
      <c r="Q744" s="10">
        <f>'Optimal Choice'!$B$17*'Optimal Choice'!$B$18^(K744+1)</f>
        <v>7188349935.6687288</v>
      </c>
      <c r="R744" s="10">
        <f>'Optimal Choice'!$B$22*'Optimal Choice'!$B$23^(L744+1)</f>
        <v>25827587851.580086</v>
      </c>
      <c r="S744" s="10">
        <f>'Optimal Choice'!$B$27*'Optimal Choice'!$B$28^(M744+1)</f>
        <v>164879189903.66409</v>
      </c>
    </row>
    <row r="745" spans="1:19" ht="15.75" customHeight="1">
      <c r="A745" s="8">
        <f t="shared" si="0"/>
        <v>91764.32507928423</v>
      </c>
      <c r="B745" s="7">
        <f>(I745*'Optimal Choice'!$B$6+J745*'Optimal Choice'!$B$11+K745*'Optimal Choice'!$B$16+L745*'Optimal Choice'!$B$21+M745*'Optimal Choice'!$B$26)*'Optimal Choice'!$B$30</f>
        <v>327744.18</v>
      </c>
      <c r="C745" s="8">
        <f>(O745/$B745)+(O745/'Optimal Choice'!$B$6)</f>
        <v>74509052.865348876</v>
      </c>
      <c r="D745" s="8">
        <f>(P745/$B745)+(P745/'Optimal Choice'!$B$11)</f>
        <v>76257801.256558999</v>
      </c>
      <c r="E745" s="8">
        <f>(Q745/$B745)+(Q745/'Optimal Choice'!$B$16)</f>
        <v>79892487.648039341</v>
      </c>
      <c r="F745" s="8">
        <f>(R745/$B745)+(R745/'Optimal Choice'!$B$21)</f>
        <v>81158977.17649214</v>
      </c>
      <c r="G745" s="8">
        <f>(S745/$B745)+(S745/'Optimal Choice'!$B$26)</f>
        <v>76836031.111883625</v>
      </c>
      <c r="I745" s="11">
        <f t="shared" ref="I745:M745" si="743">IF(MIN($C744:$G744)=C744,I744+1,I744)</f>
        <v>254</v>
      </c>
      <c r="J745" s="11">
        <f t="shared" si="743"/>
        <v>121</v>
      </c>
      <c r="K745" s="11">
        <f t="shared" si="743"/>
        <v>122</v>
      </c>
      <c r="L745" s="11">
        <f t="shared" si="743"/>
        <v>122</v>
      </c>
      <c r="M745" s="11">
        <f t="shared" si="743"/>
        <v>125</v>
      </c>
      <c r="O745" s="10">
        <f>'Optimal Choice'!$B$7*'Optimal Choice'!$B$8^(I745+1)</f>
        <v>124429484.26246677</v>
      </c>
      <c r="P745" s="10">
        <f>'Optimal Choice'!$B$12*'Optimal Choice'!$B$13^(J745+1)</f>
        <v>1525062960.9027991</v>
      </c>
      <c r="Q745" s="10">
        <f>'Optimal Choice'!$B$17*'Optimal Choice'!$B$18^(K745+1)</f>
        <v>7188349935.6687288</v>
      </c>
      <c r="R745" s="10">
        <f>'Optimal Choice'!$B$22*'Optimal Choice'!$B$23^(L745+1)</f>
        <v>29185174272.285488</v>
      </c>
      <c r="S745" s="10">
        <f>'Optimal Choice'!$B$27*'Optimal Choice'!$B$28^(M745+1)</f>
        <v>164879189903.66409</v>
      </c>
    </row>
    <row r="746" spans="1:19" ht="15.75" customHeight="1">
      <c r="A746" s="8">
        <f t="shared" si="0"/>
        <v>91770.652650799631</v>
      </c>
      <c r="B746" s="7">
        <f>(I746*'Optimal Choice'!$B$6+J746*'Optimal Choice'!$B$11+K746*'Optimal Choice'!$B$16+L746*'Optimal Choice'!$B$21+M746*'Optimal Choice'!$B$26)*'Optimal Choice'!$B$30</f>
        <v>327745.84999999998</v>
      </c>
      <c r="C746" s="8">
        <f>(O746/$B746)+(O746/'Optimal Choice'!$B$6)</f>
        <v>79724686.563853383</v>
      </c>
      <c r="D746" s="8">
        <f>(P746/$B746)+(P746/'Optimal Choice'!$B$11)</f>
        <v>76257801.232848972</v>
      </c>
      <c r="E746" s="8">
        <f>(Q746/$B746)+(Q746/'Optimal Choice'!$B$16)</f>
        <v>79892487.536282673</v>
      </c>
      <c r="F746" s="8">
        <f>(R746/$B746)+(R746/'Optimal Choice'!$B$21)</f>
        <v>81158976.722752646</v>
      </c>
      <c r="G746" s="8">
        <f>(S746/$B746)+(S746/'Optimal Choice'!$B$26)</f>
        <v>76836028.548520535</v>
      </c>
      <c r="I746" s="11">
        <f t="shared" ref="I746:M746" si="744">IF(MIN($C745:$G745)=C745,I745+1,I745)</f>
        <v>255</v>
      </c>
      <c r="J746" s="11">
        <f t="shared" si="744"/>
        <v>121</v>
      </c>
      <c r="K746" s="11">
        <f t="shared" si="744"/>
        <v>122</v>
      </c>
      <c r="L746" s="11">
        <f t="shared" si="744"/>
        <v>122</v>
      </c>
      <c r="M746" s="11">
        <f t="shared" si="744"/>
        <v>125</v>
      </c>
      <c r="O746" s="10">
        <f>'Optimal Choice'!$B$7*'Optimal Choice'!$B$8^(I746+1)</f>
        <v>133139548.16083942</v>
      </c>
      <c r="P746" s="10">
        <f>'Optimal Choice'!$B$12*'Optimal Choice'!$B$13^(J746+1)</f>
        <v>1525062960.9027991</v>
      </c>
      <c r="Q746" s="10">
        <f>'Optimal Choice'!$B$17*'Optimal Choice'!$B$18^(K746+1)</f>
        <v>7188349935.6687288</v>
      </c>
      <c r="R746" s="10">
        <f>'Optimal Choice'!$B$22*'Optimal Choice'!$B$23^(L746+1)</f>
        <v>29185174272.285488</v>
      </c>
      <c r="S746" s="10">
        <f>'Optimal Choice'!$B$27*'Optimal Choice'!$B$28^(M746+1)</f>
        <v>164879189903.66409</v>
      </c>
    </row>
    <row r="747" spans="1:19" ht="15.75" customHeight="1">
      <c r="A747" s="8">
        <f t="shared" si="0"/>
        <v>91848.205779283322</v>
      </c>
      <c r="B747" s="7">
        <f>(I747*'Optimal Choice'!$B$6+J747*'Optimal Choice'!$B$11+K747*'Optimal Choice'!$B$16+L747*'Optimal Choice'!$B$21+M747*'Optimal Choice'!$B$26)*'Optimal Choice'!$B$30</f>
        <v>327765.84999999998</v>
      </c>
      <c r="C747" s="8">
        <f>(O747/$B747)+(O747/'Optimal Choice'!$B$6)</f>
        <v>79724686.539065689</v>
      </c>
      <c r="D747" s="8">
        <f>(P747/$B747)+(P747/'Optimal Choice'!$B$11)</f>
        <v>87696471.09125261</v>
      </c>
      <c r="E747" s="8">
        <f>(Q747/$B747)+(Q747/'Optimal Choice'!$B$16)</f>
        <v>79892486.197967798</v>
      </c>
      <c r="F747" s="8">
        <f>(R747/$B747)+(R747/'Optimal Choice'!$B$21)</f>
        <v>81158971.289106131</v>
      </c>
      <c r="G747" s="8">
        <f>(S747/$B747)+(S747/'Optimal Choice'!$B$26)</f>
        <v>76835997.851591021</v>
      </c>
      <c r="I747" s="11">
        <f t="shared" ref="I747:M747" si="745">IF(MIN($C746:$G746)=C746,I746+1,I746)</f>
        <v>255</v>
      </c>
      <c r="J747" s="11">
        <f t="shared" si="745"/>
        <v>122</v>
      </c>
      <c r="K747" s="11">
        <f t="shared" si="745"/>
        <v>122</v>
      </c>
      <c r="L747" s="11">
        <f t="shared" si="745"/>
        <v>122</v>
      </c>
      <c r="M747" s="11">
        <f t="shared" si="745"/>
        <v>125</v>
      </c>
      <c r="O747" s="10">
        <f>'Optimal Choice'!$B$7*'Optimal Choice'!$B$8^(I747+1)</f>
        <v>133139548.16083942</v>
      </c>
      <c r="P747" s="10">
        <f>'Optimal Choice'!$B$12*'Optimal Choice'!$B$13^(J747+1)</f>
        <v>1753822405.0382187</v>
      </c>
      <c r="Q747" s="10">
        <f>'Optimal Choice'!$B$17*'Optimal Choice'!$B$18^(K747+1)</f>
        <v>7188349935.6687288</v>
      </c>
      <c r="R747" s="10">
        <f>'Optimal Choice'!$B$22*'Optimal Choice'!$B$23^(L747+1)</f>
        <v>29185174272.285488</v>
      </c>
      <c r="S747" s="10">
        <f>'Optimal Choice'!$B$27*'Optimal Choice'!$B$28^(M747+1)</f>
        <v>164879189903.66409</v>
      </c>
    </row>
    <row r="748" spans="1:19" ht="15.75" customHeight="1">
      <c r="A748" s="8">
        <f t="shared" si="0"/>
        <v>100232.19849357739</v>
      </c>
      <c r="B748" s="7">
        <f>(I748*'Optimal Choice'!$B$6+J748*'Optimal Choice'!$B$11+K748*'Optimal Choice'!$B$16+L748*'Optimal Choice'!$B$21+M748*'Optimal Choice'!$B$26)*'Optimal Choice'!$B$30</f>
        <v>329925.84999999998</v>
      </c>
      <c r="C748" s="8">
        <f>(O748/$B748)+(O748/'Optimal Choice'!$B$6)</f>
        <v>79724683.879683331</v>
      </c>
      <c r="D748" s="8">
        <f>(P748/$B748)+(P748/'Optimal Choice'!$B$11)</f>
        <v>87696436.059705436</v>
      </c>
      <c r="E748" s="8">
        <f>(Q748/$B748)+(Q748/'Optimal Choice'!$B$16)</f>
        <v>79892342.615003437</v>
      </c>
      <c r="F748" s="8">
        <f>(R748/$B748)+(R748/'Optimal Choice'!$B$21)</f>
        <v>81158388.332812294</v>
      </c>
      <c r="G748" s="8">
        <f>(S748/$B748)+(S748/'Optimal Choice'!$B$26)</f>
        <v>86052629.027667865</v>
      </c>
      <c r="I748" s="11">
        <f t="shared" ref="I748:M748" si="746">IF(MIN($C747:$G747)=C747,I747+1,I747)</f>
        <v>255</v>
      </c>
      <c r="J748" s="11">
        <f t="shared" si="746"/>
        <v>122</v>
      </c>
      <c r="K748" s="11">
        <f t="shared" si="746"/>
        <v>122</v>
      </c>
      <c r="L748" s="11">
        <f t="shared" si="746"/>
        <v>122</v>
      </c>
      <c r="M748" s="11">
        <f t="shared" si="746"/>
        <v>126</v>
      </c>
      <c r="O748" s="10">
        <f>'Optimal Choice'!$B$7*'Optimal Choice'!$B$8^(I748+1)</f>
        <v>133139548.16083942</v>
      </c>
      <c r="P748" s="10">
        <f>'Optimal Choice'!$B$12*'Optimal Choice'!$B$13^(J748+1)</f>
        <v>1753822405.0382187</v>
      </c>
      <c r="Q748" s="10">
        <f>'Optimal Choice'!$B$17*'Optimal Choice'!$B$18^(K748+1)</f>
        <v>7188349935.6687288</v>
      </c>
      <c r="R748" s="10">
        <f>'Optimal Choice'!$B$22*'Optimal Choice'!$B$23^(L748+1)</f>
        <v>29185174272.285488</v>
      </c>
      <c r="S748" s="10">
        <f>'Optimal Choice'!$B$27*'Optimal Choice'!$B$28^(M748+1)</f>
        <v>184664692692.10376</v>
      </c>
    </row>
    <row r="749" spans="1:19" ht="15.75" customHeight="1">
      <c r="A749" s="8">
        <f t="shared" si="0"/>
        <v>100238.92422443282</v>
      </c>
      <c r="B749" s="7">
        <f>(I749*'Optimal Choice'!$B$6+J749*'Optimal Choice'!$B$11+K749*'Optimal Choice'!$B$16+L749*'Optimal Choice'!$B$21+M749*'Optimal Choice'!$B$26)*'Optimal Choice'!$B$30</f>
        <v>329927.52</v>
      </c>
      <c r="C749" s="8">
        <f>(O749/$B749)+(O749/'Optimal Choice'!$B$6)</f>
        <v>85305411.749075547</v>
      </c>
      <c r="D749" s="8">
        <f>(P749/$B749)+(P749/'Optimal Choice'!$B$11)</f>
        <v>87696436.03279832</v>
      </c>
      <c r="E749" s="8">
        <f>(Q749/$B749)+(Q749/'Optimal Choice'!$B$16)</f>
        <v>79892342.504719883</v>
      </c>
      <c r="F749" s="8">
        <f>(R749/$B749)+(R749/'Optimal Choice'!$B$21)</f>
        <v>81158387.885053754</v>
      </c>
      <c r="G749" s="8">
        <f>(S749/$B749)+(S749/'Optimal Choice'!$B$26)</f>
        <v>86052626.194544718</v>
      </c>
      <c r="I749" s="11">
        <f t="shared" ref="I749:M749" si="747">IF(MIN($C748:$G748)=C748,I748+1,I748)</f>
        <v>256</v>
      </c>
      <c r="J749" s="11">
        <f t="shared" si="747"/>
        <v>122</v>
      </c>
      <c r="K749" s="11">
        <f t="shared" si="747"/>
        <v>122</v>
      </c>
      <c r="L749" s="11">
        <f t="shared" si="747"/>
        <v>122</v>
      </c>
      <c r="M749" s="11">
        <f t="shared" si="747"/>
        <v>126</v>
      </c>
      <c r="O749" s="10">
        <f>'Optimal Choice'!$B$7*'Optimal Choice'!$B$8^(I749+1)</f>
        <v>142459316.5320982</v>
      </c>
      <c r="P749" s="10">
        <f>'Optimal Choice'!$B$12*'Optimal Choice'!$B$13^(J749+1)</f>
        <v>1753822405.0382187</v>
      </c>
      <c r="Q749" s="10">
        <f>'Optimal Choice'!$B$17*'Optimal Choice'!$B$18^(K749+1)</f>
        <v>7188349935.6687288</v>
      </c>
      <c r="R749" s="10">
        <f>'Optimal Choice'!$B$22*'Optimal Choice'!$B$23^(L749+1)</f>
        <v>29185174272.285488</v>
      </c>
      <c r="S749" s="10">
        <f>'Optimal Choice'!$B$27*'Optimal Choice'!$B$28^(M749+1)</f>
        <v>184664692692.10376</v>
      </c>
    </row>
    <row r="750" spans="1:19" ht="15.75" customHeight="1">
      <c r="A750" s="8">
        <f t="shared" si="0"/>
        <v>100602.05195703647</v>
      </c>
      <c r="B750" s="7">
        <f>(I750*'Optimal Choice'!$B$6+J750*'Optimal Choice'!$B$11+K750*'Optimal Choice'!$B$16+L750*'Optimal Choice'!$B$21+M750*'Optimal Choice'!$B$26)*'Optimal Choice'!$B$30</f>
        <v>330017.52</v>
      </c>
      <c r="C750" s="8">
        <f>(O750/$B750)+(O750/'Optimal Choice'!$B$6)</f>
        <v>85305411.631320968</v>
      </c>
      <c r="D750" s="8">
        <f>(P750/$B750)+(P750/'Optimal Choice'!$B$11)</f>
        <v>87696434.583116859</v>
      </c>
      <c r="E750" s="8">
        <f>(Q750/$B750)+(Q750/'Optimal Choice'!$B$16)</f>
        <v>91077263.681757465</v>
      </c>
      <c r="F750" s="8">
        <f>(R750/$B750)+(R750/'Optimal Choice'!$B$21)</f>
        <v>81158363.761056989</v>
      </c>
      <c r="G750" s="8">
        <f>(S750/$B750)+(S750/'Optimal Choice'!$B$26)</f>
        <v>86052473.553672791</v>
      </c>
      <c r="I750" s="11">
        <f t="shared" ref="I750:M750" si="748">IF(MIN($C749:$G749)=C749,I749+1,I749)</f>
        <v>256</v>
      </c>
      <c r="J750" s="11">
        <f t="shared" si="748"/>
        <v>122</v>
      </c>
      <c r="K750" s="11">
        <f t="shared" si="748"/>
        <v>123</v>
      </c>
      <c r="L750" s="11">
        <f t="shared" si="748"/>
        <v>122</v>
      </c>
      <c r="M750" s="11">
        <f t="shared" si="748"/>
        <v>126</v>
      </c>
      <c r="O750" s="10">
        <f>'Optimal Choice'!$B$7*'Optimal Choice'!$B$8^(I750+1)</f>
        <v>142459316.5320982</v>
      </c>
      <c r="P750" s="10">
        <f>'Optimal Choice'!$B$12*'Optimal Choice'!$B$13^(J750+1)</f>
        <v>1753822405.0382187</v>
      </c>
      <c r="Q750" s="10">
        <f>'Optimal Choice'!$B$17*'Optimal Choice'!$B$18^(K750+1)</f>
        <v>8194718926.6623497</v>
      </c>
      <c r="R750" s="10">
        <f>'Optimal Choice'!$B$22*'Optimal Choice'!$B$23^(L750+1)</f>
        <v>29185174272.285488</v>
      </c>
      <c r="S750" s="10">
        <f>'Optimal Choice'!$B$27*'Optimal Choice'!$B$28^(M750+1)</f>
        <v>184664692692.10376</v>
      </c>
    </row>
    <row r="751" spans="1:19" ht="15.75" customHeight="1">
      <c r="A751" s="8"/>
      <c r="B751" s="7"/>
      <c r="C751" s="8"/>
      <c r="D751" s="8"/>
      <c r="E751" s="8"/>
      <c r="F751" s="8"/>
      <c r="G751" s="8"/>
      <c r="I751" s="11"/>
      <c r="J751" s="11"/>
      <c r="K751" s="11"/>
      <c r="L751" s="11"/>
      <c r="M751" s="11"/>
      <c r="O751" s="10"/>
      <c r="P751" s="10"/>
      <c r="Q751" s="10"/>
      <c r="R751" s="10"/>
      <c r="S751" s="10"/>
    </row>
    <row r="752" spans="1:19" ht="15.75" customHeight="1">
      <c r="A752" s="8"/>
      <c r="B752" s="7"/>
      <c r="C752" s="8"/>
      <c r="D752" s="8"/>
      <c r="E752" s="8"/>
      <c r="F752" s="8"/>
      <c r="G752" s="8"/>
      <c r="I752" s="11"/>
      <c r="J752" s="11"/>
      <c r="K752" s="11"/>
      <c r="L752" s="11"/>
      <c r="M752" s="11"/>
      <c r="O752" s="10"/>
      <c r="P752" s="10"/>
      <c r="Q752" s="10"/>
      <c r="R752" s="10"/>
      <c r="S752" s="10"/>
    </row>
    <row r="753" spans="1:19" ht="15.75" customHeight="1">
      <c r="A753" s="8"/>
      <c r="B753" s="7"/>
      <c r="C753" s="8"/>
      <c r="D753" s="8"/>
      <c r="E753" s="8"/>
      <c r="F753" s="8"/>
      <c r="G753" s="8"/>
      <c r="I753" s="11"/>
      <c r="J753" s="11"/>
      <c r="K753" s="11"/>
      <c r="L753" s="11"/>
      <c r="M753" s="11"/>
      <c r="O753" s="10"/>
      <c r="P753" s="10"/>
      <c r="Q753" s="10"/>
      <c r="R753" s="10"/>
      <c r="S753" s="10"/>
    </row>
    <row r="754" spans="1:19" ht="15.75" customHeight="1">
      <c r="A754" s="8"/>
      <c r="B754" s="7"/>
      <c r="C754" s="8"/>
      <c r="D754" s="8"/>
      <c r="E754" s="8"/>
      <c r="F754" s="8"/>
      <c r="G754" s="8"/>
      <c r="I754" s="11"/>
      <c r="J754" s="11"/>
      <c r="K754" s="11"/>
      <c r="L754" s="11"/>
      <c r="M754" s="11"/>
      <c r="O754" s="10"/>
      <c r="P754" s="10"/>
      <c r="Q754" s="10"/>
      <c r="R754" s="10"/>
      <c r="S754" s="10"/>
    </row>
    <row r="755" spans="1:19" ht="15.75" customHeight="1">
      <c r="A755" s="8"/>
      <c r="B755" s="7"/>
      <c r="C755" s="8"/>
      <c r="D755" s="8"/>
      <c r="E755" s="8"/>
      <c r="F755" s="8"/>
      <c r="G755" s="8"/>
      <c r="I755" s="11"/>
      <c r="J755" s="11"/>
      <c r="K755" s="11"/>
      <c r="L755" s="11"/>
      <c r="M755" s="11"/>
      <c r="O755" s="10"/>
      <c r="P755" s="10"/>
      <c r="Q755" s="10"/>
      <c r="R755" s="10"/>
      <c r="S755" s="10"/>
    </row>
    <row r="756" spans="1:19" ht="15.75" customHeight="1">
      <c r="A756" s="8"/>
      <c r="B756" s="7"/>
      <c r="C756" s="8"/>
      <c r="D756" s="8"/>
      <c r="E756" s="8"/>
      <c r="F756" s="8"/>
      <c r="G756" s="8"/>
      <c r="I756" s="11"/>
      <c r="J756" s="11"/>
      <c r="K756" s="11"/>
      <c r="L756" s="11"/>
      <c r="M756" s="11"/>
      <c r="O756" s="10"/>
      <c r="P756" s="10"/>
      <c r="Q756" s="10"/>
      <c r="R756" s="10"/>
      <c r="S756" s="10"/>
    </row>
    <row r="757" spans="1:19" ht="15.75" customHeight="1">
      <c r="A757" s="8"/>
      <c r="B757" s="7"/>
      <c r="C757" s="8"/>
      <c r="D757" s="8"/>
      <c r="E757" s="8"/>
      <c r="F757" s="8"/>
      <c r="G757" s="8"/>
      <c r="I757" s="11"/>
      <c r="J757" s="11"/>
      <c r="K757" s="11"/>
      <c r="L757" s="11"/>
      <c r="M757" s="11"/>
      <c r="O757" s="10"/>
      <c r="P757" s="10"/>
      <c r="Q757" s="10"/>
      <c r="R757" s="10"/>
      <c r="S757" s="10"/>
    </row>
    <row r="758" spans="1:19" ht="15.75" customHeight="1">
      <c r="A758" s="8"/>
      <c r="B758" s="7"/>
      <c r="C758" s="8"/>
      <c r="D758" s="8"/>
      <c r="E758" s="8"/>
      <c r="F758" s="8"/>
      <c r="G758" s="8"/>
      <c r="I758" s="11"/>
      <c r="J758" s="11"/>
      <c r="K758" s="11"/>
      <c r="L758" s="11"/>
      <c r="M758" s="11"/>
      <c r="O758" s="10"/>
      <c r="P758" s="10"/>
      <c r="Q758" s="10"/>
      <c r="R758" s="10"/>
      <c r="S758" s="10"/>
    </row>
    <row r="759" spans="1:19" ht="15.75" customHeight="1">
      <c r="A759" s="8"/>
      <c r="B759" s="7"/>
      <c r="C759" s="8"/>
      <c r="D759" s="8"/>
      <c r="E759" s="8"/>
      <c r="F759" s="8"/>
      <c r="G759" s="8"/>
      <c r="I759" s="11"/>
      <c r="J759" s="11"/>
      <c r="K759" s="11"/>
      <c r="L759" s="11"/>
      <c r="M759" s="11"/>
      <c r="O759" s="10"/>
      <c r="P759" s="10"/>
      <c r="Q759" s="10"/>
      <c r="R759" s="10"/>
      <c r="S759" s="10"/>
    </row>
    <row r="760" spans="1:19" ht="15.75" customHeight="1">
      <c r="A760" s="8"/>
      <c r="B760" s="7"/>
      <c r="C760" s="8"/>
      <c r="D760" s="8"/>
      <c r="E760" s="8"/>
      <c r="F760" s="8"/>
      <c r="G760" s="8"/>
      <c r="I760" s="11"/>
      <c r="J760" s="11"/>
      <c r="K760" s="11"/>
      <c r="L760" s="11"/>
      <c r="M760" s="11"/>
      <c r="O760" s="10"/>
      <c r="P760" s="10"/>
      <c r="Q760" s="10"/>
      <c r="R760" s="10"/>
      <c r="S760" s="10"/>
    </row>
    <row r="761" spans="1:19" ht="15.75" customHeight="1">
      <c r="A761" s="8"/>
      <c r="B761" s="7"/>
      <c r="C761" s="8"/>
      <c r="D761" s="8"/>
      <c r="E761" s="8"/>
      <c r="F761" s="8"/>
      <c r="G761" s="8"/>
      <c r="I761" s="11"/>
      <c r="J761" s="11"/>
      <c r="K761" s="11"/>
      <c r="L761" s="11"/>
      <c r="M761" s="11"/>
      <c r="O761" s="10"/>
      <c r="P761" s="10"/>
      <c r="Q761" s="10"/>
      <c r="R761" s="10"/>
      <c r="S761" s="10"/>
    </row>
    <row r="762" spans="1:19" ht="15.75" customHeight="1">
      <c r="A762" s="8"/>
      <c r="B762" s="7"/>
      <c r="C762" s="8"/>
      <c r="D762" s="8"/>
      <c r="E762" s="8"/>
      <c r="F762" s="8"/>
      <c r="G762" s="8"/>
      <c r="I762" s="11"/>
      <c r="J762" s="11"/>
      <c r="K762" s="11"/>
      <c r="L762" s="11"/>
      <c r="M762" s="11"/>
      <c r="O762" s="10"/>
      <c r="P762" s="10"/>
      <c r="Q762" s="10"/>
      <c r="R762" s="10"/>
      <c r="S762" s="10"/>
    </row>
    <row r="763" spans="1:19" ht="15.75" customHeight="1">
      <c r="A763" s="8"/>
      <c r="B763" s="7"/>
      <c r="C763" s="8"/>
      <c r="D763" s="8"/>
      <c r="E763" s="8"/>
      <c r="F763" s="8"/>
      <c r="G763" s="8"/>
      <c r="I763" s="11"/>
      <c r="J763" s="11"/>
      <c r="K763" s="11"/>
      <c r="L763" s="11"/>
      <c r="M763" s="11"/>
      <c r="O763" s="10"/>
      <c r="P763" s="10"/>
      <c r="Q763" s="10"/>
      <c r="R763" s="10"/>
      <c r="S763" s="10"/>
    </row>
    <row r="764" spans="1:19" ht="15.75" customHeight="1">
      <c r="A764" s="8"/>
      <c r="B764" s="7"/>
      <c r="C764" s="8"/>
      <c r="D764" s="8"/>
      <c r="E764" s="8"/>
      <c r="F764" s="8"/>
      <c r="G764" s="8"/>
      <c r="I764" s="11"/>
      <c r="J764" s="11"/>
      <c r="K764" s="11"/>
      <c r="L764" s="11"/>
      <c r="M764" s="11"/>
      <c r="O764" s="10"/>
      <c r="P764" s="10"/>
      <c r="Q764" s="10"/>
      <c r="R764" s="10"/>
      <c r="S764" s="10"/>
    </row>
    <row r="765" spans="1:19" ht="15.75" customHeight="1">
      <c r="A765" s="8"/>
      <c r="B765" s="7"/>
      <c r="C765" s="8"/>
      <c r="D765" s="8"/>
      <c r="E765" s="8"/>
      <c r="F765" s="8"/>
      <c r="G765" s="8"/>
      <c r="I765" s="11"/>
      <c r="J765" s="11"/>
      <c r="K765" s="11"/>
      <c r="L765" s="11"/>
      <c r="M765" s="11"/>
      <c r="O765" s="10"/>
      <c r="P765" s="10"/>
      <c r="Q765" s="10"/>
      <c r="R765" s="10"/>
      <c r="S765" s="10"/>
    </row>
    <row r="766" spans="1:19" ht="15.75" customHeight="1">
      <c r="A766" s="8"/>
      <c r="B766" s="7"/>
      <c r="C766" s="8"/>
      <c r="D766" s="8"/>
      <c r="E766" s="8"/>
      <c r="F766" s="8"/>
      <c r="G766" s="8"/>
      <c r="I766" s="11"/>
      <c r="J766" s="11"/>
      <c r="K766" s="11"/>
      <c r="L766" s="11"/>
      <c r="M766" s="11"/>
      <c r="O766" s="10"/>
      <c r="P766" s="10"/>
      <c r="Q766" s="10"/>
      <c r="R766" s="10"/>
      <c r="S766" s="10"/>
    </row>
    <row r="767" spans="1:19" ht="15.75" customHeight="1">
      <c r="A767" s="8"/>
      <c r="B767" s="7"/>
      <c r="C767" s="8"/>
      <c r="D767" s="8"/>
      <c r="E767" s="8"/>
      <c r="F767" s="8"/>
      <c r="G767" s="8"/>
      <c r="I767" s="11"/>
      <c r="J767" s="11"/>
      <c r="K767" s="11"/>
      <c r="L767" s="11"/>
      <c r="M767" s="11"/>
      <c r="O767" s="10"/>
      <c r="P767" s="10"/>
      <c r="Q767" s="10"/>
      <c r="R767" s="10"/>
      <c r="S767" s="10"/>
    </row>
    <row r="768" spans="1:19" ht="15.75" customHeight="1">
      <c r="A768" s="8"/>
      <c r="B768" s="7"/>
      <c r="C768" s="8"/>
      <c r="D768" s="8"/>
      <c r="E768" s="8"/>
      <c r="F768" s="8"/>
      <c r="G768" s="8"/>
      <c r="I768" s="11"/>
      <c r="J768" s="11"/>
      <c r="K768" s="11"/>
      <c r="L768" s="11"/>
      <c r="M768" s="11"/>
      <c r="O768" s="10"/>
      <c r="P768" s="10"/>
      <c r="Q768" s="10"/>
      <c r="R768" s="10"/>
      <c r="S768" s="10"/>
    </row>
    <row r="769" spans="1:19" ht="15.75" customHeight="1">
      <c r="A769" s="8"/>
      <c r="B769" s="7"/>
      <c r="C769" s="8"/>
      <c r="D769" s="8"/>
      <c r="E769" s="8"/>
      <c r="F769" s="8"/>
      <c r="G769" s="8"/>
      <c r="I769" s="11"/>
      <c r="J769" s="11"/>
      <c r="K769" s="11"/>
      <c r="L769" s="11"/>
      <c r="M769" s="11"/>
      <c r="O769" s="10"/>
      <c r="P769" s="10"/>
      <c r="Q769" s="10"/>
      <c r="R769" s="10"/>
      <c r="S769" s="10"/>
    </row>
    <row r="770" spans="1:19" ht="15.75" customHeight="1">
      <c r="A770" s="8"/>
      <c r="B770" s="7"/>
      <c r="C770" s="8"/>
      <c r="D770" s="8"/>
      <c r="E770" s="8"/>
      <c r="F770" s="8"/>
      <c r="G770" s="8"/>
      <c r="I770" s="11"/>
      <c r="J770" s="11"/>
      <c r="K770" s="11"/>
      <c r="L770" s="11"/>
      <c r="M770" s="11"/>
      <c r="O770" s="10"/>
      <c r="P770" s="10"/>
      <c r="Q770" s="10"/>
      <c r="R770" s="10"/>
      <c r="S770" s="10"/>
    </row>
    <row r="771" spans="1:19" ht="15.75" customHeight="1">
      <c r="A771" s="8"/>
      <c r="B771" s="7"/>
      <c r="C771" s="8"/>
      <c r="D771" s="8"/>
      <c r="E771" s="8"/>
      <c r="F771" s="8"/>
      <c r="G771" s="8"/>
      <c r="I771" s="11"/>
      <c r="J771" s="11"/>
      <c r="K771" s="11"/>
      <c r="L771" s="11"/>
      <c r="M771" s="11"/>
      <c r="O771" s="10"/>
      <c r="P771" s="10"/>
      <c r="Q771" s="10"/>
      <c r="R771" s="10"/>
      <c r="S771" s="10"/>
    </row>
    <row r="772" spans="1:19" ht="15.75" customHeight="1">
      <c r="A772" s="8"/>
      <c r="B772" s="7"/>
      <c r="C772" s="8"/>
      <c r="D772" s="8"/>
      <c r="E772" s="8"/>
      <c r="F772" s="8"/>
      <c r="G772" s="8"/>
      <c r="I772" s="11"/>
      <c r="J772" s="11"/>
      <c r="K772" s="11"/>
      <c r="L772" s="11"/>
      <c r="M772" s="11"/>
      <c r="O772" s="10"/>
      <c r="P772" s="10"/>
      <c r="Q772" s="10"/>
      <c r="R772" s="10"/>
      <c r="S772" s="10"/>
    </row>
    <row r="773" spans="1:19" ht="15.75" customHeight="1">
      <c r="A773" s="8"/>
      <c r="B773" s="7"/>
      <c r="C773" s="8"/>
      <c r="D773" s="8"/>
      <c r="E773" s="8"/>
      <c r="F773" s="8"/>
      <c r="G773" s="8"/>
      <c r="I773" s="11"/>
      <c r="J773" s="11"/>
      <c r="K773" s="11"/>
      <c r="L773" s="11"/>
      <c r="M773" s="11"/>
      <c r="O773" s="10"/>
      <c r="P773" s="10"/>
      <c r="Q773" s="10"/>
      <c r="R773" s="10"/>
      <c r="S773" s="10"/>
    </row>
    <row r="774" spans="1:19" ht="15.75" customHeight="1">
      <c r="A774" s="8"/>
      <c r="B774" s="7"/>
      <c r="C774" s="8"/>
      <c r="D774" s="8"/>
      <c r="E774" s="8"/>
      <c r="F774" s="8"/>
      <c r="G774" s="8"/>
      <c r="I774" s="11"/>
      <c r="J774" s="11"/>
      <c r="K774" s="11"/>
      <c r="L774" s="11"/>
      <c r="M774" s="11"/>
      <c r="O774" s="10"/>
      <c r="P774" s="10"/>
      <c r="Q774" s="10"/>
      <c r="R774" s="10"/>
      <c r="S774" s="10"/>
    </row>
    <row r="775" spans="1:19" ht="15.75" customHeight="1">
      <c r="A775" s="8"/>
      <c r="B775" s="7"/>
      <c r="C775" s="8"/>
      <c r="D775" s="8"/>
      <c r="E775" s="8"/>
      <c r="F775" s="8"/>
      <c r="G775" s="8"/>
      <c r="I775" s="11"/>
      <c r="J775" s="11"/>
      <c r="K775" s="11"/>
      <c r="L775" s="11"/>
      <c r="M775" s="11"/>
      <c r="O775" s="10"/>
      <c r="P775" s="10"/>
      <c r="Q775" s="10"/>
      <c r="R775" s="10"/>
      <c r="S775" s="10"/>
    </row>
    <row r="776" spans="1:19" ht="15.75" customHeight="1">
      <c r="A776" s="8"/>
      <c r="B776" s="7"/>
      <c r="C776" s="8"/>
      <c r="D776" s="8"/>
      <c r="E776" s="8"/>
      <c r="F776" s="8"/>
      <c r="G776" s="8"/>
      <c r="I776" s="11"/>
      <c r="J776" s="11"/>
      <c r="K776" s="11"/>
      <c r="L776" s="11"/>
      <c r="M776" s="11"/>
      <c r="O776" s="10"/>
      <c r="P776" s="10"/>
      <c r="Q776" s="10"/>
      <c r="R776" s="10"/>
      <c r="S776" s="10"/>
    </row>
    <row r="777" spans="1:19" ht="15.75" customHeight="1">
      <c r="A777" s="8"/>
      <c r="B777" s="7"/>
      <c r="C777" s="8"/>
      <c r="D777" s="8"/>
      <c r="E777" s="8"/>
      <c r="F777" s="8"/>
      <c r="G777" s="8"/>
      <c r="I777" s="11"/>
      <c r="J777" s="11"/>
      <c r="K777" s="11"/>
      <c r="L777" s="11"/>
      <c r="M777" s="11"/>
      <c r="O777" s="10"/>
      <c r="P777" s="10"/>
      <c r="Q777" s="10"/>
      <c r="R777" s="10"/>
      <c r="S777" s="10"/>
    </row>
    <row r="778" spans="1:19" ht="15.75" customHeight="1">
      <c r="A778" s="8"/>
      <c r="B778" s="7"/>
      <c r="C778" s="8"/>
      <c r="D778" s="8"/>
      <c r="E778" s="8"/>
      <c r="F778" s="8"/>
      <c r="G778" s="8"/>
      <c r="I778" s="11"/>
      <c r="J778" s="11"/>
      <c r="K778" s="11"/>
      <c r="L778" s="11"/>
      <c r="M778" s="11"/>
      <c r="O778" s="10"/>
      <c r="P778" s="10"/>
      <c r="Q778" s="10"/>
      <c r="R778" s="10"/>
      <c r="S778" s="10"/>
    </row>
    <row r="779" spans="1:19" ht="15.75" customHeight="1">
      <c r="A779" s="8"/>
      <c r="B779" s="7"/>
      <c r="C779" s="8"/>
      <c r="D779" s="8"/>
      <c r="E779" s="8"/>
      <c r="F779" s="8"/>
      <c r="G779" s="8"/>
      <c r="I779" s="11"/>
      <c r="J779" s="11"/>
      <c r="K779" s="11"/>
      <c r="L779" s="11"/>
      <c r="M779" s="11"/>
      <c r="O779" s="10"/>
      <c r="P779" s="10"/>
      <c r="Q779" s="10"/>
      <c r="R779" s="10"/>
      <c r="S779" s="10"/>
    </row>
    <row r="780" spans="1:19" ht="15.75" customHeight="1">
      <c r="A780" s="8"/>
      <c r="B780" s="7"/>
      <c r="C780" s="8"/>
      <c r="D780" s="8"/>
      <c r="E780" s="8"/>
      <c r="F780" s="8"/>
      <c r="G780" s="8"/>
      <c r="I780" s="11"/>
      <c r="J780" s="11"/>
      <c r="K780" s="11"/>
      <c r="L780" s="11"/>
      <c r="M780" s="11"/>
      <c r="O780" s="10"/>
      <c r="P780" s="10"/>
      <c r="Q780" s="10"/>
      <c r="R780" s="10"/>
      <c r="S780" s="10"/>
    </row>
    <row r="781" spans="1:19" ht="15.75" customHeight="1">
      <c r="A781" s="8"/>
      <c r="B781" s="7"/>
      <c r="C781" s="8"/>
      <c r="D781" s="8"/>
      <c r="E781" s="8"/>
      <c r="F781" s="8"/>
      <c r="G781" s="8"/>
      <c r="I781" s="11"/>
      <c r="J781" s="11"/>
      <c r="K781" s="11"/>
      <c r="L781" s="11"/>
      <c r="M781" s="11"/>
      <c r="O781" s="10"/>
      <c r="P781" s="10"/>
      <c r="Q781" s="10"/>
      <c r="R781" s="10"/>
      <c r="S781" s="10"/>
    </row>
    <row r="782" spans="1:19" ht="15.75" customHeight="1">
      <c r="A782" s="8"/>
      <c r="B782" s="7"/>
      <c r="C782" s="8"/>
      <c r="D782" s="8"/>
      <c r="E782" s="8"/>
      <c r="F782" s="8"/>
      <c r="G782" s="8"/>
      <c r="I782" s="11"/>
      <c r="J782" s="11"/>
      <c r="K782" s="11"/>
      <c r="L782" s="11"/>
      <c r="M782" s="11"/>
      <c r="O782" s="10"/>
      <c r="P782" s="10"/>
      <c r="Q782" s="10"/>
      <c r="R782" s="10"/>
      <c r="S782" s="10"/>
    </row>
    <row r="783" spans="1:19" ht="15.75" customHeight="1">
      <c r="A783" s="8"/>
      <c r="B783" s="7"/>
      <c r="C783" s="8"/>
      <c r="D783" s="8"/>
      <c r="E783" s="8"/>
      <c r="F783" s="8"/>
      <c r="G783" s="8"/>
      <c r="I783" s="11"/>
      <c r="J783" s="11"/>
      <c r="K783" s="11"/>
      <c r="L783" s="11"/>
      <c r="M783" s="11"/>
      <c r="O783" s="10"/>
      <c r="P783" s="10"/>
      <c r="Q783" s="10"/>
      <c r="R783" s="10"/>
      <c r="S783" s="10"/>
    </row>
    <row r="784" spans="1:19" ht="15.75" customHeight="1">
      <c r="A784" s="8"/>
      <c r="B784" s="7"/>
      <c r="C784" s="8"/>
      <c r="D784" s="8"/>
      <c r="E784" s="8"/>
      <c r="F784" s="8"/>
      <c r="G784" s="8"/>
      <c r="I784" s="11"/>
      <c r="J784" s="11"/>
      <c r="K784" s="11"/>
      <c r="L784" s="11"/>
      <c r="M784" s="11"/>
      <c r="O784" s="10"/>
      <c r="P784" s="10"/>
      <c r="Q784" s="10"/>
      <c r="R784" s="10"/>
      <c r="S784" s="10"/>
    </row>
    <row r="785" spans="1:19" ht="15.75" customHeight="1">
      <c r="A785" s="8"/>
      <c r="B785" s="7"/>
      <c r="C785" s="8"/>
      <c r="D785" s="8"/>
      <c r="E785" s="8"/>
      <c r="F785" s="8"/>
      <c r="G785" s="8"/>
      <c r="I785" s="11"/>
      <c r="J785" s="11"/>
      <c r="K785" s="11"/>
      <c r="L785" s="11"/>
      <c r="M785" s="11"/>
      <c r="O785" s="10"/>
      <c r="P785" s="10"/>
      <c r="Q785" s="10"/>
      <c r="R785" s="10"/>
      <c r="S785" s="10"/>
    </row>
    <row r="786" spans="1:19" ht="15.75" customHeight="1">
      <c r="A786" s="8"/>
      <c r="B786" s="7"/>
      <c r="C786" s="8"/>
      <c r="D786" s="8"/>
      <c r="E786" s="8"/>
      <c r="F786" s="8"/>
      <c r="G786" s="8"/>
      <c r="I786" s="11"/>
      <c r="J786" s="11"/>
      <c r="K786" s="11"/>
      <c r="L786" s="11"/>
      <c r="M786" s="11"/>
      <c r="O786" s="10"/>
      <c r="P786" s="10"/>
      <c r="Q786" s="10"/>
      <c r="R786" s="10"/>
      <c r="S786" s="10"/>
    </row>
    <row r="787" spans="1:19" ht="15.75" customHeight="1">
      <c r="A787" s="8"/>
      <c r="B787" s="7"/>
      <c r="C787" s="8"/>
      <c r="D787" s="8"/>
      <c r="E787" s="8"/>
      <c r="F787" s="8"/>
      <c r="G787" s="8"/>
      <c r="I787" s="11"/>
      <c r="J787" s="11"/>
      <c r="K787" s="11"/>
      <c r="L787" s="11"/>
      <c r="M787" s="11"/>
      <c r="O787" s="10"/>
      <c r="P787" s="10"/>
      <c r="Q787" s="10"/>
      <c r="R787" s="10"/>
      <c r="S787" s="10"/>
    </row>
    <row r="788" spans="1:19" ht="15.75" customHeight="1">
      <c r="A788" s="8"/>
      <c r="B788" s="7"/>
      <c r="C788" s="8"/>
      <c r="D788" s="8"/>
      <c r="E788" s="8"/>
      <c r="F788" s="8"/>
      <c r="G788" s="8"/>
      <c r="I788" s="11"/>
      <c r="J788" s="11"/>
      <c r="K788" s="11"/>
      <c r="L788" s="11"/>
      <c r="M788" s="11"/>
      <c r="O788" s="10"/>
      <c r="P788" s="10"/>
      <c r="Q788" s="10"/>
      <c r="R788" s="10"/>
      <c r="S788" s="10"/>
    </row>
    <row r="789" spans="1:19" ht="15.75" customHeight="1">
      <c r="A789" s="8"/>
      <c r="B789" s="7"/>
      <c r="C789" s="8"/>
      <c r="D789" s="8"/>
      <c r="E789" s="8"/>
      <c r="F789" s="8"/>
      <c r="G789" s="8"/>
      <c r="I789" s="11"/>
      <c r="J789" s="11"/>
      <c r="K789" s="11"/>
      <c r="L789" s="11"/>
      <c r="M789" s="11"/>
      <c r="O789" s="10"/>
      <c r="P789" s="10"/>
      <c r="Q789" s="10"/>
      <c r="R789" s="10"/>
      <c r="S789" s="10"/>
    </row>
    <row r="790" spans="1:19" ht="15.75" customHeight="1">
      <c r="A790" s="8"/>
      <c r="B790" s="7"/>
      <c r="C790" s="8"/>
      <c r="D790" s="8"/>
      <c r="E790" s="8"/>
      <c r="F790" s="8"/>
      <c r="G790" s="8"/>
      <c r="I790" s="11"/>
      <c r="J790" s="11"/>
      <c r="K790" s="11"/>
      <c r="L790" s="11"/>
      <c r="M790" s="11"/>
      <c r="O790" s="10"/>
      <c r="P790" s="10"/>
      <c r="Q790" s="10"/>
      <c r="R790" s="10"/>
      <c r="S790" s="10"/>
    </row>
    <row r="791" spans="1:19" ht="15.75" customHeight="1">
      <c r="A791" s="8"/>
      <c r="B791" s="7"/>
      <c r="C791" s="8"/>
      <c r="D791" s="8"/>
      <c r="E791" s="8"/>
      <c r="F791" s="8"/>
      <c r="G791" s="8"/>
      <c r="I791" s="11"/>
      <c r="J791" s="11"/>
      <c r="K791" s="11"/>
      <c r="L791" s="11"/>
      <c r="M791" s="11"/>
      <c r="O791" s="10"/>
      <c r="P791" s="10"/>
      <c r="Q791" s="10"/>
      <c r="R791" s="10"/>
      <c r="S791" s="10"/>
    </row>
    <row r="792" spans="1:19" ht="15.75" customHeight="1">
      <c r="A792" s="8"/>
      <c r="B792" s="7"/>
      <c r="C792" s="8"/>
      <c r="D792" s="8"/>
      <c r="E792" s="8"/>
      <c r="F792" s="8"/>
      <c r="G792" s="8"/>
      <c r="I792" s="11"/>
      <c r="J792" s="11"/>
      <c r="K792" s="11"/>
      <c r="L792" s="11"/>
      <c r="M792" s="11"/>
      <c r="O792" s="10"/>
      <c r="P792" s="10"/>
      <c r="Q792" s="10"/>
      <c r="R792" s="10"/>
      <c r="S792" s="10"/>
    </row>
    <row r="793" spans="1:19" ht="15.75" customHeight="1">
      <c r="A793" s="8"/>
      <c r="B793" s="7"/>
      <c r="C793" s="8"/>
      <c r="D793" s="8"/>
      <c r="E793" s="8"/>
      <c r="F793" s="8"/>
      <c r="G793" s="8"/>
      <c r="I793" s="11"/>
      <c r="J793" s="11"/>
      <c r="K793" s="11"/>
      <c r="L793" s="11"/>
      <c r="M793" s="11"/>
      <c r="O793" s="10"/>
      <c r="P793" s="10"/>
      <c r="Q793" s="10"/>
      <c r="R793" s="10"/>
      <c r="S793" s="10"/>
    </row>
    <row r="794" spans="1:19" ht="15.75" customHeight="1">
      <c r="A794" s="8"/>
      <c r="B794" s="7"/>
      <c r="C794" s="8"/>
      <c r="D794" s="8"/>
      <c r="E794" s="8"/>
      <c r="F794" s="8"/>
      <c r="G794" s="8"/>
      <c r="I794" s="11"/>
      <c r="J794" s="11"/>
      <c r="K794" s="11"/>
      <c r="L794" s="11"/>
      <c r="M794" s="11"/>
      <c r="O794" s="10"/>
      <c r="P794" s="10"/>
      <c r="Q794" s="10"/>
      <c r="R794" s="10"/>
      <c r="S794" s="10"/>
    </row>
    <row r="795" spans="1:19" ht="15.75" customHeight="1">
      <c r="A795" s="8"/>
      <c r="B795" s="7"/>
      <c r="C795" s="8"/>
      <c r="D795" s="8"/>
      <c r="E795" s="8"/>
      <c r="F795" s="8"/>
      <c r="G795" s="8"/>
      <c r="I795" s="11"/>
      <c r="J795" s="11"/>
      <c r="K795" s="11"/>
      <c r="L795" s="11"/>
      <c r="M795" s="11"/>
      <c r="O795" s="10"/>
      <c r="P795" s="10"/>
      <c r="Q795" s="10"/>
      <c r="R795" s="10"/>
      <c r="S795" s="10"/>
    </row>
    <row r="796" spans="1:19" ht="15.75" customHeight="1">
      <c r="A796" s="8"/>
      <c r="B796" s="7"/>
      <c r="C796" s="8"/>
      <c r="D796" s="8"/>
      <c r="E796" s="8"/>
      <c r="F796" s="8"/>
      <c r="G796" s="8"/>
      <c r="I796" s="11"/>
      <c r="J796" s="11"/>
      <c r="K796" s="11"/>
      <c r="L796" s="11"/>
      <c r="M796" s="11"/>
      <c r="O796" s="10"/>
      <c r="P796" s="10"/>
      <c r="Q796" s="10"/>
      <c r="R796" s="10"/>
      <c r="S796" s="10"/>
    </row>
    <row r="797" spans="1:19" ht="15.75" customHeight="1">
      <c r="A797" s="8"/>
      <c r="B797" s="7"/>
      <c r="C797" s="8"/>
      <c r="D797" s="8"/>
      <c r="E797" s="8"/>
      <c r="F797" s="8"/>
      <c r="G797" s="8"/>
      <c r="I797" s="11"/>
      <c r="J797" s="11"/>
      <c r="K797" s="11"/>
      <c r="L797" s="11"/>
      <c r="M797" s="11"/>
      <c r="O797" s="10"/>
      <c r="P797" s="10"/>
      <c r="Q797" s="10"/>
      <c r="R797" s="10"/>
      <c r="S797" s="10"/>
    </row>
    <row r="798" spans="1:19" ht="15.75" customHeight="1">
      <c r="A798" s="8"/>
      <c r="B798" s="7"/>
      <c r="C798" s="8"/>
      <c r="D798" s="8"/>
      <c r="E798" s="8"/>
      <c r="F798" s="8"/>
      <c r="G798" s="8"/>
      <c r="I798" s="11"/>
      <c r="J798" s="11"/>
      <c r="K798" s="11"/>
      <c r="L798" s="11"/>
      <c r="M798" s="11"/>
      <c r="O798" s="10"/>
      <c r="P798" s="10"/>
      <c r="Q798" s="10"/>
      <c r="R798" s="10"/>
      <c r="S798" s="10"/>
    </row>
    <row r="799" spans="1:19" ht="15.75" customHeight="1">
      <c r="A799" s="8"/>
      <c r="B799" s="7"/>
      <c r="C799" s="8"/>
      <c r="D799" s="8"/>
      <c r="E799" s="8"/>
      <c r="F799" s="8"/>
      <c r="G799" s="8"/>
      <c r="I799" s="11"/>
      <c r="J799" s="11"/>
      <c r="K799" s="11"/>
      <c r="L799" s="11"/>
      <c r="M799" s="11"/>
      <c r="O799" s="10"/>
      <c r="P799" s="10"/>
      <c r="Q799" s="10"/>
      <c r="R799" s="10"/>
      <c r="S799" s="10"/>
    </row>
    <row r="800" spans="1:19" ht="15.75" customHeight="1">
      <c r="A800" s="8"/>
      <c r="B800" s="7"/>
      <c r="C800" s="8"/>
      <c r="D800" s="8"/>
      <c r="E800" s="8"/>
      <c r="F800" s="8"/>
      <c r="G800" s="8"/>
      <c r="I800" s="11"/>
      <c r="J800" s="11"/>
      <c r="K800" s="11"/>
      <c r="L800" s="11"/>
      <c r="M800" s="11"/>
      <c r="O800" s="10"/>
      <c r="P800" s="10"/>
      <c r="Q800" s="10"/>
      <c r="R800" s="10"/>
      <c r="S800" s="10"/>
    </row>
    <row r="801" spans="1:19" ht="15.75" customHeight="1">
      <c r="A801" s="8"/>
      <c r="B801" s="7"/>
      <c r="C801" s="8"/>
      <c r="D801" s="8"/>
      <c r="E801" s="8"/>
      <c r="F801" s="8"/>
      <c r="G801" s="8"/>
      <c r="I801" s="11"/>
      <c r="J801" s="11"/>
      <c r="K801" s="11"/>
      <c r="L801" s="11"/>
      <c r="M801" s="11"/>
      <c r="O801" s="10"/>
      <c r="P801" s="10"/>
      <c r="Q801" s="10"/>
      <c r="R801" s="10"/>
      <c r="S801" s="10"/>
    </row>
    <row r="802" spans="1:19" ht="15.75" customHeight="1">
      <c r="A802" s="8"/>
      <c r="B802" s="7"/>
      <c r="C802" s="8"/>
      <c r="D802" s="8"/>
      <c r="E802" s="8"/>
      <c r="F802" s="8"/>
      <c r="G802" s="8"/>
      <c r="I802" s="11"/>
      <c r="J802" s="11"/>
      <c r="K802" s="11"/>
      <c r="L802" s="11"/>
      <c r="M802" s="11"/>
      <c r="O802" s="10"/>
      <c r="P802" s="10"/>
      <c r="Q802" s="10"/>
      <c r="R802" s="10"/>
      <c r="S802" s="10"/>
    </row>
    <row r="803" spans="1:19" ht="15.75" customHeight="1">
      <c r="A803" s="8"/>
      <c r="B803" s="7"/>
      <c r="C803" s="8"/>
      <c r="D803" s="8"/>
      <c r="E803" s="8"/>
      <c r="F803" s="8"/>
      <c r="G803" s="8"/>
      <c r="I803" s="11"/>
      <c r="J803" s="11"/>
      <c r="K803" s="11"/>
      <c r="L803" s="11"/>
      <c r="M803" s="11"/>
      <c r="O803" s="10"/>
      <c r="P803" s="10"/>
      <c r="Q803" s="10"/>
      <c r="R803" s="10"/>
      <c r="S803" s="10"/>
    </row>
    <row r="804" spans="1:19" ht="15.75" customHeight="1">
      <c r="A804" s="8"/>
      <c r="B804" s="7"/>
      <c r="C804" s="8"/>
      <c r="D804" s="8"/>
      <c r="E804" s="8"/>
      <c r="F804" s="8"/>
      <c r="G804" s="8"/>
      <c r="I804" s="11"/>
      <c r="J804" s="11"/>
      <c r="K804" s="11"/>
      <c r="L804" s="11"/>
      <c r="M804" s="11"/>
      <c r="O804" s="10"/>
      <c r="P804" s="10"/>
      <c r="Q804" s="10"/>
      <c r="R804" s="10"/>
      <c r="S804" s="10"/>
    </row>
    <row r="805" spans="1:19" ht="15.75" customHeight="1">
      <c r="A805" s="8"/>
      <c r="B805" s="7"/>
      <c r="C805" s="8"/>
      <c r="D805" s="8"/>
      <c r="E805" s="8"/>
      <c r="F805" s="8"/>
      <c r="G805" s="8"/>
      <c r="I805" s="11"/>
      <c r="J805" s="11"/>
      <c r="K805" s="11"/>
      <c r="L805" s="11"/>
      <c r="M805" s="11"/>
      <c r="O805" s="10"/>
      <c r="P805" s="10"/>
      <c r="Q805" s="10"/>
      <c r="R805" s="10"/>
      <c r="S805" s="10"/>
    </row>
    <row r="806" spans="1:19" ht="15.75" customHeight="1">
      <c r="A806" s="8"/>
      <c r="B806" s="7"/>
      <c r="C806" s="8"/>
      <c r="D806" s="8"/>
      <c r="E806" s="8"/>
      <c r="F806" s="8"/>
      <c r="G806" s="8"/>
      <c r="I806" s="11"/>
      <c r="J806" s="11"/>
      <c r="K806" s="11"/>
      <c r="L806" s="11"/>
      <c r="M806" s="11"/>
      <c r="O806" s="10"/>
      <c r="P806" s="10"/>
      <c r="Q806" s="10"/>
      <c r="R806" s="10"/>
      <c r="S806" s="10"/>
    </row>
    <row r="807" spans="1:19" ht="15.75" customHeight="1">
      <c r="A807" s="8"/>
      <c r="B807" s="7"/>
      <c r="C807" s="8"/>
      <c r="D807" s="8"/>
      <c r="E807" s="8"/>
      <c r="F807" s="8"/>
      <c r="G807" s="8"/>
      <c r="I807" s="11"/>
      <c r="J807" s="11"/>
      <c r="K807" s="11"/>
      <c r="L807" s="11"/>
      <c r="M807" s="11"/>
      <c r="O807" s="10"/>
      <c r="P807" s="10"/>
      <c r="Q807" s="10"/>
      <c r="R807" s="10"/>
      <c r="S807" s="10"/>
    </row>
    <row r="808" spans="1:19" ht="15.75" customHeight="1">
      <c r="A808" s="8"/>
      <c r="B808" s="7"/>
      <c r="C808" s="8"/>
      <c r="D808" s="8"/>
      <c r="E808" s="8"/>
      <c r="F808" s="8"/>
      <c r="G808" s="8"/>
      <c r="I808" s="11"/>
      <c r="J808" s="11"/>
      <c r="K808" s="11"/>
      <c r="L808" s="11"/>
      <c r="M808" s="11"/>
      <c r="O808" s="10"/>
      <c r="P808" s="10"/>
      <c r="Q808" s="10"/>
      <c r="R808" s="10"/>
      <c r="S808" s="10"/>
    </row>
    <row r="809" spans="1:19" ht="15.75" customHeight="1">
      <c r="A809" s="8"/>
      <c r="B809" s="7"/>
      <c r="C809" s="8"/>
      <c r="D809" s="8"/>
      <c r="E809" s="8"/>
      <c r="F809" s="8"/>
      <c r="G809" s="8"/>
      <c r="I809" s="11"/>
      <c r="J809" s="11"/>
      <c r="K809" s="11"/>
      <c r="L809" s="11"/>
      <c r="M809" s="11"/>
      <c r="O809" s="10"/>
      <c r="P809" s="10"/>
      <c r="Q809" s="10"/>
      <c r="R809" s="10"/>
      <c r="S809" s="10"/>
    </row>
    <row r="810" spans="1:19" ht="15.75" customHeight="1">
      <c r="A810" s="8"/>
      <c r="B810" s="7"/>
      <c r="C810" s="8"/>
      <c r="D810" s="8"/>
      <c r="E810" s="8"/>
      <c r="F810" s="8"/>
      <c r="G810" s="8"/>
      <c r="I810" s="11"/>
      <c r="J810" s="11"/>
      <c r="K810" s="11"/>
      <c r="L810" s="11"/>
      <c r="M810" s="11"/>
      <c r="O810" s="10"/>
      <c r="P810" s="10"/>
      <c r="Q810" s="10"/>
      <c r="R810" s="10"/>
      <c r="S810" s="10"/>
    </row>
    <row r="811" spans="1:19" ht="15.75" customHeight="1">
      <c r="A811" s="8"/>
      <c r="B811" s="7"/>
      <c r="C811" s="8"/>
      <c r="D811" s="8"/>
      <c r="E811" s="8"/>
      <c r="F811" s="8"/>
      <c r="G811" s="8"/>
      <c r="I811" s="11"/>
      <c r="J811" s="11"/>
      <c r="K811" s="11"/>
      <c r="L811" s="11"/>
      <c r="M811" s="11"/>
      <c r="O811" s="10"/>
      <c r="P811" s="10"/>
      <c r="Q811" s="10"/>
      <c r="R811" s="10"/>
      <c r="S811" s="10"/>
    </row>
    <row r="812" spans="1:19" ht="15.75" customHeight="1">
      <c r="A812" s="8"/>
      <c r="B812" s="7"/>
      <c r="C812" s="8"/>
      <c r="D812" s="8"/>
      <c r="E812" s="8"/>
      <c r="F812" s="8"/>
      <c r="G812" s="8"/>
      <c r="I812" s="11"/>
      <c r="J812" s="11"/>
      <c r="K812" s="11"/>
      <c r="L812" s="11"/>
      <c r="M812" s="11"/>
      <c r="O812" s="10"/>
      <c r="P812" s="10"/>
      <c r="Q812" s="10"/>
      <c r="R812" s="10"/>
      <c r="S812" s="10"/>
    </row>
    <row r="813" spans="1:19" ht="15.75" customHeight="1">
      <c r="A813" s="8"/>
      <c r="B813" s="7"/>
      <c r="C813" s="8"/>
      <c r="D813" s="8"/>
      <c r="E813" s="8"/>
      <c r="F813" s="8"/>
      <c r="G813" s="8"/>
      <c r="I813" s="11"/>
      <c r="J813" s="11"/>
      <c r="K813" s="11"/>
      <c r="L813" s="11"/>
      <c r="M813" s="11"/>
      <c r="O813" s="10"/>
      <c r="P813" s="10"/>
      <c r="Q813" s="10"/>
      <c r="R813" s="10"/>
      <c r="S813" s="10"/>
    </row>
    <row r="814" spans="1:19" ht="15.75" customHeight="1">
      <c r="A814" s="8"/>
      <c r="B814" s="7"/>
      <c r="C814" s="8"/>
      <c r="D814" s="8"/>
      <c r="E814" s="8"/>
      <c r="F814" s="8"/>
      <c r="G814" s="8"/>
      <c r="I814" s="11"/>
      <c r="J814" s="11"/>
      <c r="K814" s="11"/>
      <c r="L814" s="11"/>
      <c r="M814" s="11"/>
      <c r="O814" s="10"/>
      <c r="P814" s="10"/>
      <c r="Q814" s="10"/>
      <c r="R814" s="10"/>
      <c r="S814" s="10"/>
    </row>
    <row r="815" spans="1:19" ht="15.75" customHeight="1">
      <c r="A815" s="8"/>
      <c r="B815" s="7"/>
      <c r="C815" s="8"/>
      <c r="D815" s="8"/>
      <c r="E815" s="8"/>
      <c r="F815" s="8"/>
      <c r="G815" s="8"/>
      <c r="I815" s="11"/>
      <c r="J815" s="11"/>
      <c r="K815" s="11"/>
      <c r="L815" s="11"/>
      <c r="M815" s="11"/>
      <c r="O815" s="10"/>
      <c r="P815" s="10"/>
      <c r="Q815" s="10"/>
      <c r="R815" s="10"/>
      <c r="S815" s="10"/>
    </row>
    <row r="816" spans="1:19" ht="15.75" customHeight="1">
      <c r="A816" s="8"/>
      <c r="B816" s="7"/>
      <c r="C816" s="8"/>
      <c r="D816" s="8"/>
      <c r="E816" s="8"/>
      <c r="F816" s="8"/>
      <c r="G816" s="8"/>
      <c r="I816" s="11"/>
      <c r="J816" s="11"/>
      <c r="K816" s="11"/>
      <c r="L816" s="11"/>
      <c r="M816" s="11"/>
      <c r="O816" s="10"/>
      <c r="P816" s="10"/>
      <c r="Q816" s="10"/>
      <c r="R816" s="10"/>
      <c r="S816" s="10"/>
    </row>
    <row r="817" spans="1:19" ht="15.75" customHeight="1">
      <c r="A817" s="8"/>
      <c r="B817" s="7"/>
      <c r="C817" s="8"/>
      <c r="D817" s="8"/>
      <c r="E817" s="8"/>
      <c r="F817" s="8"/>
      <c r="G817" s="8"/>
      <c r="I817" s="11"/>
      <c r="J817" s="11"/>
      <c r="K817" s="11"/>
      <c r="L817" s="11"/>
      <c r="M817" s="11"/>
      <c r="O817" s="10"/>
      <c r="P817" s="10"/>
      <c r="Q817" s="10"/>
      <c r="R817" s="10"/>
      <c r="S817" s="10"/>
    </row>
    <row r="818" spans="1:19" ht="15.75" customHeight="1">
      <c r="A818" s="8"/>
      <c r="B818" s="7"/>
      <c r="C818" s="8"/>
      <c r="D818" s="8"/>
      <c r="E818" s="8"/>
      <c r="F818" s="8"/>
      <c r="G818" s="8"/>
      <c r="I818" s="11"/>
      <c r="J818" s="11"/>
      <c r="K818" s="11"/>
      <c r="L818" s="11"/>
      <c r="M818" s="11"/>
      <c r="O818" s="10"/>
      <c r="P818" s="10"/>
      <c r="Q818" s="10"/>
      <c r="R818" s="10"/>
      <c r="S818" s="10"/>
    </row>
    <row r="819" spans="1:19" ht="15.75" customHeight="1">
      <c r="A819" s="8"/>
      <c r="B819" s="7"/>
      <c r="C819" s="8"/>
      <c r="D819" s="8"/>
      <c r="E819" s="8"/>
      <c r="F819" s="8"/>
      <c r="G819" s="8"/>
      <c r="I819" s="11"/>
      <c r="J819" s="11"/>
      <c r="K819" s="11"/>
      <c r="L819" s="11"/>
      <c r="M819" s="11"/>
      <c r="O819" s="10"/>
      <c r="P819" s="10"/>
      <c r="Q819" s="10"/>
      <c r="R819" s="10"/>
      <c r="S819" s="10"/>
    </row>
    <row r="820" spans="1:19" ht="15.75" customHeight="1">
      <c r="A820" s="8"/>
      <c r="B820" s="7"/>
      <c r="C820" s="8"/>
      <c r="D820" s="8"/>
      <c r="E820" s="8"/>
      <c r="F820" s="8"/>
      <c r="G820" s="8"/>
      <c r="I820" s="11"/>
      <c r="J820" s="11"/>
      <c r="K820" s="11"/>
      <c r="L820" s="11"/>
      <c r="M820" s="11"/>
      <c r="O820" s="10"/>
      <c r="P820" s="10"/>
      <c r="Q820" s="10"/>
      <c r="R820" s="10"/>
      <c r="S820" s="10"/>
    </row>
    <row r="821" spans="1:19" ht="15.75" customHeight="1">
      <c r="A821" s="8"/>
      <c r="B821" s="7"/>
      <c r="C821" s="8"/>
      <c r="D821" s="8"/>
      <c r="E821" s="8"/>
      <c r="F821" s="8"/>
      <c r="G821" s="8"/>
      <c r="I821" s="11"/>
      <c r="J821" s="11"/>
      <c r="K821" s="11"/>
      <c r="L821" s="11"/>
      <c r="M821" s="11"/>
      <c r="O821" s="10"/>
      <c r="P821" s="10"/>
      <c r="Q821" s="10"/>
      <c r="R821" s="10"/>
      <c r="S821" s="10"/>
    </row>
    <row r="822" spans="1:19" ht="15.75" customHeight="1">
      <c r="A822" s="8"/>
      <c r="B822" s="7"/>
      <c r="C822" s="8"/>
      <c r="D822" s="8"/>
      <c r="E822" s="8"/>
      <c r="F822" s="8"/>
      <c r="G822" s="8"/>
      <c r="I822" s="11"/>
      <c r="J822" s="11"/>
      <c r="K822" s="11"/>
      <c r="L822" s="11"/>
      <c r="M822" s="11"/>
      <c r="O822" s="10"/>
      <c r="P822" s="10"/>
      <c r="Q822" s="10"/>
      <c r="R822" s="10"/>
      <c r="S822" s="10"/>
    </row>
    <row r="823" spans="1:19" ht="15.75" customHeight="1">
      <c r="A823" s="8"/>
      <c r="B823" s="7"/>
      <c r="C823" s="8"/>
      <c r="D823" s="8"/>
      <c r="E823" s="8"/>
      <c r="F823" s="8"/>
      <c r="G823" s="8"/>
      <c r="I823" s="11"/>
      <c r="J823" s="11"/>
      <c r="K823" s="11"/>
      <c r="L823" s="11"/>
      <c r="M823" s="11"/>
      <c r="O823" s="10"/>
      <c r="P823" s="10"/>
      <c r="Q823" s="10"/>
      <c r="R823" s="10"/>
      <c r="S823" s="10"/>
    </row>
    <row r="824" spans="1:19" ht="15.75" customHeight="1">
      <c r="A824" s="8"/>
      <c r="B824" s="7"/>
      <c r="C824" s="8"/>
      <c r="D824" s="8"/>
      <c r="E824" s="8"/>
      <c r="F824" s="8"/>
      <c r="G824" s="8"/>
      <c r="I824" s="11"/>
      <c r="J824" s="11"/>
      <c r="K824" s="11"/>
      <c r="L824" s="11"/>
      <c r="M824" s="11"/>
      <c r="O824" s="10"/>
      <c r="P824" s="10"/>
      <c r="Q824" s="10"/>
      <c r="R824" s="10"/>
      <c r="S824" s="10"/>
    </row>
    <row r="825" spans="1:19" ht="15.75" customHeight="1">
      <c r="A825" s="8"/>
      <c r="B825" s="7"/>
      <c r="C825" s="8"/>
      <c r="D825" s="8"/>
      <c r="E825" s="8"/>
      <c r="F825" s="8"/>
      <c r="G825" s="8"/>
      <c r="I825" s="11"/>
      <c r="J825" s="11"/>
      <c r="K825" s="11"/>
      <c r="L825" s="11"/>
      <c r="M825" s="11"/>
      <c r="O825" s="10"/>
      <c r="P825" s="10"/>
      <c r="Q825" s="10"/>
      <c r="R825" s="10"/>
      <c r="S825" s="10"/>
    </row>
    <row r="826" spans="1:19" ht="15.75" customHeight="1">
      <c r="A826" s="8"/>
      <c r="B826" s="7"/>
      <c r="C826" s="8"/>
      <c r="D826" s="8"/>
      <c r="E826" s="8"/>
      <c r="F826" s="8"/>
      <c r="G826" s="8"/>
      <c r="I826" s="11"/>
      <c r="J826" s="11"/>
      <c r="K826" s="11"/>
      <c r="L826" s="11"/>
      <c r="M826" s="11"/>
      <c r="O826" s="10"/>
      <c r="P826" s="10"/>
      <c r="Q826" s="10"/>
      <c r="R826" s="10"/>
      <c r="S826" s="10"/>
    </row>
    <row r="827" spans="1:19" ht="15.75" customHeight="1">
      <c r="A827" s="8"/>
      <c r="B827" s="7"/>
      <c r="C827" s="8"/>
      <c r="D827" s="8"/>
      <c r="E827" s="8"/>
      <c r="F827" s="8"/>
      <c r="G827" s="8"/>
      <c r="I827" s="11"/>
      <c r="J827" s="11"/>
      <c r="K827" s="11"/>
      <c r="L827" s="11"/>
      <c r="M827" s="11"/>
      <c r="O827" s="10"/>
      <c r="P827" s="10"/>
      <c r="Q827" s="10"/>
      <c r="R827" s="10"/>
      <c r="S827" s="10"/>
    </row>
    <row r="828" spans="1:19" ht="15.75" customHeight="1">
      <c r="A828" s="8"/>
      <c r="B828" s="7"/>
      <c r="C828" s="8"/>
      <c r="D828" s="8"/>
      <c r="E828" s="8"/>
      <c r="F828" s="8"/>
      <c r="G828" s="8"/>
      <c r="I828" s="11"/>
      <c r="J828" s="11"/>
      <c r="K828" s="11"/>
      <c r="L828" s="11"/>
      <c r="M828" s="11"/>
      <c r="O828" s="10"/>
      <c r="P828" s="10"/>
      <c r="Q828" s="10"/>
      <c r="R828" s="10"/>
      <c r="S828" s="10"/>
    </row>
    <row r="829" spans="1:19" ht="15.75" customHeight="1">
      <c r="A829" s="8"/>
      <c r="B829" s="7"/>
      <c r="C829" s="8"/>
      <c r="D829" s="8"/>
      <c r="E829" s="8"/>
      <c r="F829" s="8"/>
      <c r="G829" s="8"/>
      <c r="I829" s="11"/>
      <c r="J829" s="11"/>
      <c r="K829" s="11"/>
      <c r="L829" s="11"/>
      <c r="M829" s="11"/>
      <c r="O829" s="10"/>
      <c r="P829" s="10"/>
      <c r="Q829" s="10"/>
      <c r="R829" s="10"/>
      <c r="S829" s="10"/>
    </row>
    <row r="830" spans="1:19" ht="15.75" customHeight="1">
      <c r="A830" s="8"/>
      <c r="B830" s="7"/>
      <c r="C830" s="8"/>
      <c r="D830" s="8"/>
      <c r="E830" s="8"/>
      <c r="F830" s="8"/>
      <c r="G830" s="8"/>
      <c r="I830" s="11"/>
      <c r="J830" s="11"/>
      <c r="K830" s="11"/>
      <c r="L830" s="11"/>
      <c r="M830" s="11"/>
      <c r="O830" s="10"/>
      <c r="P830" s="10"/>
      <c r="Q830" s="10"/>
      <c r="R830" s="10"/>
      <c r="S830" s="10"/>
    </row>
    <row r="831" spans="1:19" ht="15.75" customHeight="1">
      <c r="A831" s="8"/>
      <c r="B831" s="7"/>
      <c r="C831" s="8"/>
      <c r="D831" s="8"/>
      <c r="E831" s="8"/>
      <c r="F831" s="8"/>
      <c r="G831" s="8"/>
      <c r="I831" s="11"/>
      <c r="J831" s="11"/>
      <c r="K831" s="11"/>
      <c r="L831" s="11"/>
      <c r="M831" s="11"/>
      <c r="O831" s="10"/>
      <c r="P831" s="10"/>
      <c r="Q831" s="10"/>
      <c r="R831" s="10"/>
      <c r="S831" s="10"/>
    </row>
    <row r="832" spans="1:19" ht="15.75" customHeight="1">
      <c r="A832" s="8"/>
      <c r="B832" s="7"/>
      <c r="C832" s="8"/>
      <c r="D832" s="8"/>
      <c r="E832" s="8"/>
      <c r="F832" s="8"/>
      <c r="G832" s="8"/>
      <c r="I832" s="11"/>
      <c r="J832" s="11"/>
      <c r="K832" s="11"/>
      <c r="L832" s="11"/>
      <c r="M832" s="11"/>
      <c r="O832" s="10"/>
      <c r="P832" s="10"/>
      <c r="Q832" s="10"/>
      <c r="R832" s="10"/>
      <c r="S832" s="10"/>
    </row>
    <row r="833" spans="1:19" ht="15.75" customHeight="1">
      <c r="A833" s="8"/>
      <c r="B833" s="7"/>
      <c r="C833" s="8"/>
      <c r="D833" s="8"/>
      <c r="E833" s="8"/>
      <c r="F833" s="8"/>
      <c r="G833" s="8"/>
      <c r="I833" s="11"/>
      <c r="J833" s="11"/>
      <c r="K833" s="11"/>
      <c r="L833" s="11"/>
      <c r="M833" s="11"/>
      <c r="O833" s="10"/>
      <c r="P833" s="10"/>
      <c r="Q833" s="10"/>
      <c r="R833" s="10"/>
      <c r="S833" s="10"/>
    </row>
    <row r="834" spans="1:19" ht="15.75" customHeight="1">
      <c r="A834" s="8"/>
      <c r="B834" s="7"/>
      <c r="C834" s="8"/>
      <c r="D834" s="8"/>
      <c r="E834" s="8"/>
      <c r="F834" s="8"/>
      <c r="G834" s="8"/>
      <c r="I834" s="11"/>
      <c r="J834" s="11"/>
      <c r="K834" s="11"/>
      <c r="L834" s="11"/>
      <c r="M834" s="11"/>
      <c r="O834" s="10"/>
      <c r="P834" s="10"/>
      <c r="Q834" s="10"/>
      <c r="R834" s="10"/>
      <c r="S834" s="10"/>
    </row>
    <row r="835" spans="1:19" ht="15.75" customHeight="1">
      <c r="A835" s="8"/>
      <c r="B835" s="7"/>
      <c r="C835" s="8"/>
      <c r="D835" s="8"/>
      <c r="E835" s="8"/>
      <c r="F835" s="8"/>
      <c r="G835" s="8"/>
      <c r="I835" s="11"/>
      <c r="J835" s="11"/>
      <c r="K835" s="11"/>
      <c r="L835" s="11"/>
      <c r="M835" s="11"/>
      <c r="O835" s="10"/>
      <c r="P835" s="10"/>
      <c r="Q835" s="10"/>
      <c r="R835" s="10"/>
      <c r="S835" s="10"/>
    </row>
    <row r="836" spans="1:19" ht="15.75" customHeight="1">
      <c r="A836" s="8"/>
      <c r="B836" s="7"/>
      <c r="C836" s="8"/>
      <c r="D836" s="8"/>
      <c r="E836" s="8"/>
      <c r="F836" s="8"/>
      <c r="G836" s="8"/>
      <c r="I836" s="11"/>
      <c r="J836" s="11"/>
      <c r="K836" s="11"/>
      <c r="L836" s="11"/>
      <c r="M836" s="11"/>
      <c r="O836" s="10"/>
      <c r="P836" s="10"/>
      <c r="Q836" s="10"/>
      <c r="R836" s="10"/>
      <c r="S836" s="10"/>
    </row>
    <row r="837" spans="1:19" ht="15.75" customHeight="1">
      <c r="A837" s="8"/>
      <c r="B837" s="7"/>
      <c r="C837" s="8"/>
      <c r="D837" s="8"/>
      <c r="E837" s="8"/>
      <c r="F837" s="8"/>
      <c r="G837" s="8"/>
      <c r="I837" s="11"/>
      <c r="J837" s="11"/>
      <c r="K837" s="11"/>
      <c r="L837" s="11"/>
      <c r="M837" s="11"/>
      <c r="O837" s="10"/>
      <c r="P837" s="10"/>
      <c r="Q837" s="10"/>
      <c r="R837" s="10"/>
      <c r="S837" s="10"/>
    </row>
    <row r="838" spans="1:19" ht="15.75" customHeight="1">
      <c r="A838" s="8"/>
      <c r="B838" s="7"/>
      <c r="C838" s="8"/>
      <c r="D838" s="8"/>
      <c r="E838" s="8"/>
      <c r="F838" s="8"/>
      <c r="G838" s="8"/>
      <c r="I838" s="11"/>
      <c r="J838" s="11"/>
      <c r="K838" s="11"/>
      <c r="L838" s="11"/>
      <c r="M838" s="11"/>
      <c r="O838" s="10"/>
      <c r="P838" s="10"/>
      <c r="Q838" s="10"/>
      <c r="R838" s="10"/>
      <c r="S838" s="10"/>
    </row>
    <row r="839" spans="1:19" ht="15.75" customHeight="1">
      <c r="A839" s="8"/>
      <c r="B839" s="7"/>
      <c r="C839" s="8"/>
      <c r="D839" s="8"/>
      <c r="E839" s="8"/>
      <c r="F839" s="8"/>
      <c r="G839" s="8"/>
      <c r="I839" s="11"/>
      <c r="J839" s="11"/>
      <c r="K839" s="11"/>
      <c r="L839" s="11"/>
      <c r="M839" s="11"/>
      <c r="O839" s="10"/>
      <c r="P839" s="10"/>
      <c r="Q839" s="10"/>
      <c r="R839" s="10"/>
      <c r="S839" s="10"/>
    </row>
    <row r="840" spans="1:19" ht="15.75" customHeight="1">
      <c r="A840" s="8"/>
      <c r="B840" s="7"/>
      <c r="C840" s="8"/>
      <c r="D840" s="8"/>
      <c r="E840" s="8"/>
      <c r="F840" s="8"/>
      <c r="G840" s="8"/>
      <c r="I840" s="11"/>
      <c r="J840" s="11"/>
      <c r="K840" s="11"/>
      <c r="L840" s="11"/>
      <c r="M840" s="11"/>
      <c r="O840" s="10"/>
      <c r="P840" s="10"/>
      <c r="Q840" s="10"/>
      <c r="R840" s="10"/>
      <c r="S840" s="10"/>
    </row>
    <row r="841" spans="1:19" ht="15.75" customHeight="1">
      <c r="A841" s="8"/>
      <c r="B841" s="7"/>
      <c r="C841" s="8"/>
      <c r="D841" s="8"/>
      <c r="E841" s="8"/>
      <c r="F841" s="8"/>
      <c r="G841" s="8"/>
      <c r="I841" s="11"/>
      <c r="J841" s="11"/>
      <c r="K841" s="11"/>
      <c r="L841" s="11"/>
      <c r="M841" s="11"/>
      <c r="O841" s="10"/>
      <c r="P841" s="10"/>
      <c r="Q841" s="10"/>
      <c r="R841" s="10"/>
      <c r="S841" s="10"/>
    </row>
    <row r="842" spans="1:19" ht="15.75" customHeight="1">
      <c r="A842" s="8"/>
      <c r="B842" s="7"/>
      <c r="C842" s="8"/>
      <c r="D842" s="8"/>
      <c r="E842" s="8"/>
      <c r="F842" s="8"/>
      <c r="G842" s="8"/>
      <c r="I842" s="11"/>
      <c r="J842" s="11"/>
      <c r="K842" s="11"/>
      <c r="L842" s="11"/>
      <c r="M842" s="11"/>
      <c r="O842" s="10"/>
      <c r="P842" s="10"/>
      <c r="Q842" s="10"/>
      <c r="R842" s="10"/>
      <c r="S842" s="10"/>
    </row>
    <row r="843" spans="1:19" ht="15.75" customHeight="1">
      <c r="A843" s="8"/>
      <c r="B843" s="7"/>
      <c r="C843" s="8"/>
      <c r="D843" s="8"/>
      <c r="E843" s="8"/>
      <c r="F843" s="8"/>
      <c r="G843" s="8"/>
      <c r="I843" s="11"/>
      <c r="J843" s="11"/>
      <c r="K843" s="11"/>
      <c r="L843" s="11"/>
      <c r="M843" s="11"/>
      <c r="O843" s="10"/>
      <c r="P843" s="10"/>
      <c r="Q843" s="10"/>
      <c r="R843" s="10"/>
      <c r="S843" s="10"/>
    </row>
    <row r="844" spans="1:19" ht="15.75" customHeight="1">
      <c r="A844" s="8"/>
      <c r="B844" s="7"/>
      <c r="C844" s="8"/>
      <c r="D844" s="8"/>
      <c r="E844" s="8"/>
      <c r="F844" s="8"/>
      <c r="G844" s="8"/>
      <c r="I844" s="11"/>
      <c r="J844" s="11"/>
      <c r="K844" s="11"/>
      <c r="L844" s="11"/>
      <c r="M844" s="11"/>
      <c r="O844" s="10"/>
      <c r="P844" s="10"/>
      <c r="Q844" s="10"/>
      <c r="R844" s="10"/>
      <c r="S844" s="10"/>
    </row>
    <row r="845" spans="1:19" ht="15.75" customHeight="1">
      <c r="A845" s="8"/>
      <c r="B845" s="7"/>
      <c r="C845" s="8"/>
      <c r="D845" s="8"/>
      <c r="E845" s="8"/>
      <c r="F845" s="8"/>
      <c r="G845" s="8"/>
      <c r="I845" s="11"/>
      <c r="J845" s="11"/>
      <c r="K845" s="11"/>
      <c r="L845" s="11"/>
      <c r="M845" s="11"/>
      <c r="O845" s="10"/>
      <c r="P845" s="10"/>
      <c r="Q845" s="10"/>
      <c r="R845" s="10"/>
      <c r="S845" s="10"/>
    </row>
    <row r="846" spans="1:19" ht="15.75" customHeight="1">
      <c r="A846" s="8"/>
      <c r="B846" s="7"/>
      <c r="C846" s="8"/>
      <c r="D846" s="8"/>
      <c r="E846" s="8"/>
      <c r="F846" s="8"/>
      <c r="G846" s="8"/>
      <c r="I846" s="11"/>
      <c r="J846" s="11"/>
      <c r="K846" s="11"/>
      <c r="L846" s="11"/>
      <c r="M846" s="11"/>
      <c r="O846" s="10"/>
      <c r="P846" s="10"/>
      <c r="Q846" s="10"/>
      <c r="R846" s="10"/>
      <c r="S846" s="10"/>
    </row>
    <row r="847" spans="1:19" ht="15.75" customHeight="1">
      <c r="A847" s="8"/>
      <c r="B847" s="7"/>
      <c r="C847" s="8"/>
      <c r="D847" s="8"/>
      <c r="E847" s="8"/>
      <c r="F847" s="8"/>
      <c r="G847" s="8"/>
      <c r="I847" s="11"/>
      <c r="J847" s="11"/>
      <c r="K847" s="11"/>
      <c r="L847" s="11"/>
      <c r="M847" s="11"/>
      <c r="O847" s="10"/>
      <c r="P847" s="10"/>
      <c r="Q847" s="10"/>
      <c r="R847" s="10"/>
      <c r="S847" s="10"/>
    </row>
    <row r="848" spans="1:19" ht="15.75" customHeight="1">
      <c r="A848" s="8"/>
      <c r="B848" s="7"/>
      <c r="C848" s="8"/>
      <c r="D848" s="8"/>
      <c r="E848" s="8"/>
      <c r="F848" s="8"/>
      <c r="G848" s="8"/>
      <c r="I848" s="11"/>
      <c r="J848" s="11"/>
      <c r="K848" s="11"/>
      <c r="L848" s="11"/>
      <c r="M848" s="11"/>
      <c r="O848" s="10"/>
      <c r="P848" s="10"/>
      <c r="Q848" s="10"/>
      <c r="R848" s="10"/>
      <c r="S848" s="10"/>
    </row>
    <row r="849" spans="1:19" ht="15.75" customHeight="1">
      <c r="A849" s="8"/>
      <c r="B849" s="7"/>
      <c r="C849" s="8"/>
      <c r="D849" s="8"/>
      <c r="E849" s="8"/>
      <c r="F849" s="8"/>
      <c r="G849" s="8"/>
      <c r="I849" s="11"/>
      <c r="J849" s="11"/>
      <c r="K849" s="11"/>
      <c r="L849" s="11"/>
      <c r="M849" s="11"/>
      <c r="O849" s="10"/>
      <c r="P849" s="10"/>
      <c r="Q849" s="10"/>
      <c r="R849" s="10"/>
      <c r="S849" s="10"/>
    </row>
    <row r="850" spans="1:19" ht="15.75" customHeight="1">
      <c r="A850" s="8"/>
      <c r="B850" s="7"/>
      <c r="C850" s="8"/>
      <c r="D850" s="8"/>
      <c r="E850" s="8"/>
      <c r="F850" s="8"/>
      <c r="G850" s="8"/>
      <c r="I850" s="11"/>
      <c r="J850" s="11"/>
      <c r="K850" s="11"/>
      <c r="L850" s="11"/>
      <c r="M850" s="11"/>
      <c r="O850" s="10"/>
      <c r="P850" s="10"/>
      <c r="Q850" s="10"/>
      <c r="R850" s="10"/>
      <c r="S850" s="10"/>
    </row>
    <row r="851" spans="1:19" ht="15.75" customHeight="1">
      <c r="A851" s="8"/>
      <c r="B851" s="7"/>
      <c r="C851" s="8"/>
      <c r="D851" s="8"/>
      <c r="E851" s="8"/>
      <c r="F851" s="8"/>
      <c r="G851" s="8"/>
      <c r="I851" s="11"/>
      <c r="J851" s="11"/>
      <c r="K851" s="11"/>
      <c r="L851" s="11"/>
      <c r="M851" s="11"/>
      <c r="O851" s="10"/>
      <c r="P851" s="10"/>
      <c r="Q851" s="10"/>
      <c r="R851" s="10"/>
      <c r="S851" s="10"/>
    </row>
    <row r="852" spans="1:19" ht="15.75" customHeight="1">
      <c r="A852" s="8"/>
      <c r="B852" s="7"/>
      <c r="C852" s="8"/>
      <c r="D852" s="8"/>
      <c r="E852" s="8"/>
      <c r="F852" s="8"/>
      <c r="G852" s="8"/>
      <c r="I852" s="11"/>
      <c r="J852" s="11"/>
      <c r="K852" s="11"/>
      <c r="L852" s="11"/>
      <c r="M852" s="11"/>
      <c r="O852" s="10"/>
      <c r="P852" s="10"/>
      <c r="Q852" s="10"/>
      <c r="R852" s="10"/>
      <c r="S852" s="10"/>
    </row>
    <row r="853" spans="1:19" ht="15.75" customHeight="1">
      <c r="A853" s="8"/>
      <c r="B853" s="7"/>
      <c r="C853" s="8"/>
      <c r="D853" s="8"/>
      <c r="E853" s="8"/>
      <c r="F853" s="8"/>
      <c r="G853" s="8"/>
      <c r="I853" s="11"/>
      <c r="J853" s="11"/>
      <c r="K853" s="11"/>
      <c r="L853" s="11"/>
      <c r="M853" s="11"/>
      <c r="O853" s="10"/>
      <c r="P853" s="10"/>
      <c r="Q853" s="10"/>
      <c r="R853" s="10"/>
      <c r="S853" s="10"/>
    </row>
    <row r="854" spans="1:19" ht="15.75" customHeight="1">
      <c r="A854" s="8"/>
      <c r="B854" s="7"/>
      <c r="C854" s="8"/>
      <c r="D854" s="8"/>
      <c r="E854" s="8"/>
      <c r="F854" s="8"/>
      <c r="G854" s="8"/>
      <c r="I854" s="11"/>
      <c r="J854" s="11"/>
      <c r="K854" s="11"/>
      <c r="L854" s="11"/>
      <c r="M854" s="11"/>
      <c r="O854" s="10"/>
      <c r="P854" s="10"/>
      <c r="Q854" s="10"/>
      <c r="R854" s="10"/>
      <c r="S854" s="10"/>
    </row>
    <row r="855" spans="1:19" ht="15.75" customHeight="1">
      <c r="A855" s="8"/>
      <c r="B855" s="7"/>
      <c r="C855" s="8"/>
      <c r="D855" s="8"/>
      <c r="E855" s="8"/>
      <c r="F855" s="8"/>
      <c r="G855" s="8"/>
      <c r="I855" s="11"/>
      <c r="J855" s="11"/>
      <c r="K855" s="11"/>
      <c r="L855" s="11"/>
      <c r="M855" s="11"/>
      <c r="O855" s="10"/>
      <c r="P855" s="10"/>
      <c r="Q855" s="10"/>
      <c r="R855" s="10"/>
      <c r="S855" s="10"/>
    </row>
    <row r="856" spans="1:19" ht="15.75" customHeight="1">
      <c r="A856" s="8"/>
      <c r="B856" s="7"/>
      <c r="C856" s="8"/>
      <c r="D856" s="8"/>
      <c r="E856" s="8"/>
      <c r="F856" s="8"/>
      <c r="G856" s="8"/>
      <c r="I856" s="11"/>
      <c r="J856" s="11"/>
      <c r="K856" s="11"/>
      <c r="L856" s="11"/>
      <c r="M856" s="11"/>
      <c r="O856" s="10"/>
      <c r="P856" s="10"/>
      <c r="Q856" s="10"/>
      <c r="R856" s="10"/>
      <c r="S856" s="10"/>
    </row>
    <row r="857" spans="1:19" ht="15.75" customHeight="1">
      <c r="A857" s="8"/>
      <c r="B857" s="7"/>
      <c r="C857" s="8"/>
      <c r="D857" s="8"/>
      <c r="E857" s="8"/>
      <c r="F857" s="8"/>
      <c r="G857" s="8"/>
      <c r="I857" s="11"/>
      <c r="J857" s="11"/>
      <c r="K857" s="11"/>
      <c r="L857" s="11"/>
      <c r="M857" s="11"/>
      <c r="O857" s="10"/>
      <c r="P857" s="10"/>
      <c r="Q857" s="10"/>
      <c r="R857" s="10"/>
      <c r="S857" s="10"/>
    </row>
    <row r="858" spans="1:19" ht="15.75" customHeight="1">
      <c r="A858" s="8"/>
      <c r="B858" s="7"/>
      <c r="C858" s="8"/>
      <c r="D858" s="8"/>
      <c r="E858" s="8"/>
      <c r="F858" s="8"/>
      <c r="G858" s="8"/>
      <c r="I858" s="11"/>
      <c r="J858" s="11"/>
      <c r="K858" s="11"/>
      <c r="L858" s="11"/>
      <c r="M858" s="11"/>
      <c r="O858" s="10"/>
      <c r="P858" s="10"/>
      <c r="Q858" s="10"/>
      <c r="R858" s="10"/>
      <c r="S858" s="10"/>
    </row>
    <row r="859" spans="1:19" ht="15.75" customHeight="1">
      <c r="A859" s="8"/>
      <c r="B859" s="7"/>
      <c r="C859" s="8"/>
      <c r="D859" s="8"/>
      <c r="E859" s="8"/>
      <c r="F859" s="8"/>
      <c r="G859" s="8"/>
      <c r="I859" s="11"/>
      <c r="J859" s="11"/>
      <c r="K859" s="11"/>
      <c r="L859" s="11"/>
      <c r="M859" s="11"/>
      <c r="O859" s="10"/>
      <c r="P859" s="10"/>
      <c r="Q859" s="10"/>
      <c r="R859" s="10"/>
      <c r="S859" s="10"/>
    </row>
    <row r="860" spans="1:19" ht="15.75" customHeight="1">
      <c r="A860" s="8"/>
      <c r="B860" s="7"/>
      <c r="C860" s="8"/>
      <c r="D860" s="8"/>
      <c r="E860" s="8"/>
      <c r="F860" s="8"/>
      <c r="G860" s="8"/>
      <c r="I860" s="11"/>
      <c r="J860" s="11"/>
      <c r="K860" s="11"/>
      <c r="L860" s="11"/>
      <c r="M860" s="11"/>
      <c r="O860" s="10"/>
      <c r="P860" s="10"/>
      <c r="Q860" s="10"/>
      <c r="R860" s="10"/>
      <c r="S860" s="10"/>
    </row>
    <row r="861" spans="1:19" ht="15.75" customHeight="1">
      <c r="A861" s="8"/>
      <c r="B861" s="7"/>
      <c r="C861" s="8"/>
      <c r="D861" s="8"/>
      <c r="E861" s="8"/>
      <c r="F861" s="8"/>
      <c r="G861" s="8"/>
      <c r="I861" s="11"/>
      <c r="J861" s="11"/>
      <c r="K861" s="11"/>
      <c r="L861" s="11"/>
      <c r="M861" s="11"/>
      <c r="O861" s="10"/>
      <c r="P861" s="10"/>
      <c r="Q861" s="10"/>
      <c r="R861" s="10"/>
      <c r="S861" s="10"/>
    </row>
    <row r="862" spans="1:19" ht="15.75" customHeight="1">
      <c r="A862" s="8"/>
      <c r="B862" s="7"/>
      <c r="C862" s="8"/>
      <c r="D862" s="8"/>
      <c r="E862" s="8"/>
      <c r="F862" s="8"/>
      <c r="G862" s="8"/>
      <c r="I862" s="11"/>
      <c r="J862" s="11"/>
      <c r="K862" s="11"/>
      <c r="L862" s="11"/>
      <c r="M862" s="11"/>
      <c r="O862" s="10"/>
      <c r="P862" s="10"/>
      <c r="Q862" s="10"/>
      <c r="R862" s="10"/>
      <c r="S862" s="10"/>
    </row>
    <row r="863" spans="1:19" ht="15.75" customHeight="1">
      <c r="A863" s="8"/>
      <c r="B863" s="7"/>
      <c r="C863" s="8"/>
      <c r="D863" s="8"/>
      <c r="E863" s="8"/>
      <c r="F863" s="8"/>
      <c r="G863" s="8"/>
      <c r="I863" s="11"/>
      <c r="J863" s="11"/>
      <c r="K863" s="11"/>
      <c r="L863" s="11"/>
      <c r="M863" s="11"/>
      <c r="O863" s="10"/>
      <c r="P863" s="10"/>
      <c r="Q863" s="10"/>
      <c r="R863" s="10"/>
      <c r="S863" s="10"/>
    </row>
    <row r="864" spans="1:19" ht="15.75" customHeight="1">
      <c r="A864" s="8"/>
      <c r="B864" s="7"/>
      <c r="C864" s="8"/>
      <c r="D864" s="8"/>
      <c r="E864" s="8"/>
      <c r="F864" s="8"/>
      <c r="G864" s="8"/>
      <c r="I864" s="11"/>
      <c r="J864" s="11"/>
      <c r="K864" s="11"/>
      <c r="L864" s="11"/>
      <c r="M864" s="11"/>
      <c r="O864" s="10"/>
      <c r="P864" s="10"/>
      <c r="Q864" s="10"/>
      <c r="R864" s="10"/>
      <c r="S864" s="10"/>
    </row>
    <row r="865" spans="1:19" ht="15.75" customHeight="1">
      <c r="A865" s="8"/>
      <c r="B865" s="7"/>
      <c r="C865" s="8"/>
      <c r="D865" s="8"/>
      <c r="E865" s="8"/>
      <c r="F865" s="8"/>
      <c r="G865" s="8"/>
      <c r="I865" s="11"/>
      <c r="J865" s="11"/>
      <c r="K865" s="11"/>
      <c r="L865" s="11"/>
      <c r="M865" s="11"/>
      <c r="O865" s="10"/>
      <c r="P865" s="10"/>
      <c r="Q865" s="10"/>
      <c r="R865" s="10"/>
      <c r="S865" s="10"/>
    </row>
    <row r="866" spans="1:19" ht="15.75" customHeight="1">
      <c r="A866" s="8"/>
      <c r="B866" s="7"/>
      <c r="C866" s="8"/>
      <c r="D866" s="8"/>
      <c r="E866" s="8"/>
      <c r="F866" s="8"/>
      <c r="G866" s="8"/>
      <c r="I866" s="11"/>
      <c r="J866" s="11"/>
      <c r="K866" s="11"/>
      <c r="L866" s="11"/>
      <c r="M866" s="11"/>
      <c r="O866" s="10"/>
      <c r="P866" s="10"/>
      <c r="Q866" s="10"/>
      <c r="R866" s="10"/>
      <c r="S866" s="10"/>
    </row>
    <row r="867" spans="1:19" ht="15.75" customHeight="1">
      <c r="A867" s="8"/>
      <c r="B867" s="7"/>
      <c r="C867" s="8"/>
      <c r="D867" s="8"/>
      <c r="E867" s="8"/>
      <c r="F867" s="8"/>
      <c r="G867" s="8"/>
      <c r="I867" s="11"/>
      <c r="J867" s="11"/>
      <c r="K867" s="11"/>
      <c r="L867" s="11"/>
      <c r="M867" s="11"/>
      <c r="O867" s="10"/>
      <c r="P867" s="10"/>
      <c r="Q867" s="10"/>
      <c r="R867" s="10"/>
      <c r="S867" s="10"/>
    </row>
    <row r="868" spans="1:19" ht="15.75" customHeight="1">
      <c r="A868" s="8"/>
      <c r="B868" s="7"/>
      <c r="C868" s="8"/>
      <c r="D868" s="8"/>
      <c r="E868" s="8"/>
      <c r="F868" s="8"/>
      <c r="G868" s="8"/>
      <c r="I868" s="11"/>
      <c r="J868" s="11"/>
      <c r="K868" s="11"/>
      <c r="L868" s="11"/>
      <c r="M868" s="11"/>
      <c r="O868" s="10"/>
      <c r="P868" s="10"/>
      <c r="Q868" s="10"/>
      <c r="R868" s="10"/>
      <c r="S868" s="10"/>
    </row>
    <row r="869" spans="1:19" ht="15.75" customHeight="1">
      <c r="A869" s="8"/>
      <c r="B869" s="7"/>
      <c r="C869" s="8"/>
      <c r="D869" s="8"/>
      <c r="E869" s="8"/>
      <c r="F869" s="8"/>
      <c r="G869" s="8"/>
      <c r="I869" s="11"/>
      <c r="J869" s="11"/>
      <c r="K869" s="11"/>
      <c r="L869" s="11"/>
      <c r="M869" s="11"/>
      <c r="O869" s="10"/>
      <c r="P869" s="10"/>
      <c r="Q869" s="10"/>
      <c r="R869" s="10"/>
      <c r="S869" s="10"/>
    </row>
    <row r="870" spans="1:19" ht="15.75" customHeight="1">
      <c r="A870" s="8"/>
      <c r="B870" s="7"/>
      <c r="C870" s="8"/>
      <c r="D870" s="8"/>
      <c r="E870" s="8"/>
      <c r="F870" s="8"/>
      <c r="G870" s="8"/>
      <c r="I870" s="11"/>
      <c r="J870" s="11"/>
      <c r="K870" s="11"/>
      <c r="L870" s="11"/>
      <c r="M870" s="11"/>
      <c r="O870" s="10"/>
      <c r="P870" s="10"/>
      <c r="Q870" s="10"/>
      <c r="R870" s="10"/>
      <c r="S870" s="10"/>
    </row>
    <row r="871" spans="1:19" ht="15.75" customHeight="1">
      <c r="A871" s="8"/>
      <c r="B871" s="7"/>
      <c r="C871" s="8"/>
      <c r="D871" s="8"/>
      <c r="E871" s="8"/>
      <c r="F871" s="8"/>
      <c r="G871" s="8"/>
      <c r="I871" s="11"/>
      <c r="J871" s="11"/>
      <c r="K871" s="11"/>
      <c r="L871" s="11"/>
      <c r="M871" s="11"/>
      <c r="O871" s="10"/>
      <c r="P871" s="10"/>
      <c r="Q871" s="10"/>
      <c r="R871" s="10"/>
      <c r="S871" s="10"/>
    </row>
    <row r="872" spans="1:19" ht="15.75" customHeight="1">
      <c r="A872" s="8"/>
      <c r="B872" s="7"/>
      <c r="C872" s="8"/>
      <c r="D872" s="8"/>
      <c r="E872" s="8"/>
      <c r="F872" s="8"/>
      <c r="G872" s="8"/>
      <c r="I872" s="11"/>
      <c r="J872" s="11"/>
      <c r="K872" s="11"/>
      <c r="L872" s="11"/>
      <c r="M872" s="11"/>
      <c r="O872" s="10"/>
      <c r="P872" s="10"/>
      <c r="Q872" s="10"/>
      <c r="R872" s="10"/>
      <c r="S872" s="10"/>
    </row>
    <row r="873" spans="1:19" ht="15.75" customHeight="1">
      <c r="A873" s="8"/>
      <c r="B873" s="7"/>
      <c r="C873" s="8"/>
      <c r="D873" s="8"/>
      <c r="E873" s="8"/>
      <c r="F873" s="8"/>
      <c r="G873" s="8"/>
      <c r="I873" s="11"/>
      <c r="J873" s="11"/>
      <c r="K873" s="11"/>
      <c r="L873" s="11"/>
      <c r="M873" s="11"/>
      <c r="O873" s="10"/>
      <c r="P873" s="10"/>
      <c r="Q873" s="10"/>
      <c r="R873" s="10"/>
      <c r="S873" s="10"/>
    </row>
    <row r="874" spans="1:19" ht="15.75" customHeight="1">
      <c r="A874" s="8"/>
      <c r="B874" s="7"/>
      <c r="C874" s="8"/>
      <c r="D874" s="8"/>
      <c r="E874" s="8"/>
      <c r="F874" s="8"/>
      <c r="G874" s="8"/>
      <c r="I874" s="11"/>
      <c r="J874" s="11"/>
      <c r="K874" s="11"/>
      <c r="L874" s="11"/>
      <c r="M874" s="11"/>
      <c r="O874" s="10"/>
      <c r="P874" s="10"/>
      <c r="Q874" s="10"/>
      <c r="R874" s="10"/>
      <c r="S874" s="10"/>
    </row>
    <row r="875" spans="1:19" ht="15.75" customHeight="1">
      <c r="A875" s="8"/>
      <c r="B875" s="7"/>
      <c r="C875" s="8"/>
      <c r="D875" s="8"/>
      <c r="E875" s="8"/>
      <c r="F875" s="8"/>
      <c r="G875" s="8"/>
      <c r="I875" s="11"/>
      <c r="J875" s="11"/>
      <c r="K875" s="11"/>
      <c r="L875" s="11"/>
      <c r="M875" s="11"/>
      <c r="O875" s="10"/>
      <c r="P875" s="10"/>
      <c r="Q875" s="10"/>
      <c r="R875" s="10"/>
      <c r="S875" s="10"/>
    </row>
    <row r="876" spans="1:19" ht="15.75" customHeight="1">
      <c r="A876" s="8"/>
      <c r="B876" s="7"/>
      <c r="C876" s="8"/>
      <c r="D876" s="8"/>
      <c r="E876" s="8"/>
      <c r="F876" s="8"/>
      <c r="G876" s="8"/>
      <c r="I876" s="11"/>
      <c r="J876" s="11"/>
      <c r="K876" s="11"/>
      <c r="L876" s="11"/>
      <c r="M876" s="11"/>
      <c r="O876" s="10"/>
      <c r="P876" s="10"/>
      <c r="Q876" s="10"/>
      <c r="R876" s="10"/>
      <c r="S876" s="10"/>
    </row>
    <row r="877" spans="1:19" ht="15.75" customHeight="1">
      <c r="A877" s="8"/>
      <c r="B877" s="7"/>
      <c r="C877" s="8"/>
      <c r="D877" s="8"/>
      <c r="E877" s="8"/>
      <c r="F877" s="8"/>
      <c r="G877" s="8"/>
      <c r="I877" s="11"/>
      <c r="J877" s="11"/>
      <c r="K877" s="11"/>
      <c r="L877" s="11"/>
      <c r="M877" s="11"/>
      <c r="O877" s="10"/>
      <c r="P877" s="10"/>
      <c r="Q877" s="10"/>
      <c r="R877" s="10"/>
      <c r="S877" s="10"/>
    </row>
    <row r="878" spans="1:19" ht="15.75" customHeight="1">
      <c r="A878" s="8"/>
      <c r="B878" s="7"/>
      <c r="C878" s="8"/>
      <c r="D878" s="8"/>
      <c r="E878" s="8"/>
      <c r="F878" s="8"/>
      <c r="G878" s="8"/>
      <c r="I878" s="11"/>
      <c r="J878" s="11"/>
      <c r="K878" s="11"/>
      <c r="L878" s="11"/>
      <c r="M878" s="11"/>
      <c r="O878" s="10"/>
      <c r="P878" s="10"/>
      <c r="Q878" s="10"/>
      <c r="R878" s="10"/>
      <c r="S878" s="10"/>
    </row>
    <row r="879" spans="1:19" ht="15.75" customHeight="1">
      <c r="A879" s="8"/>
      <c r="B879" s="7"/>
      <c r="C879" s="8"/>
      <c r="D879" s="8"/>
      <c r="E879" s="8"/>
      <c r="F879" s="8"/>
      <c r="G879" s="8"/>
      <c r="I879" s="11"/>
      <c r="J879" s="11"/>
      <c r="K879" s="11"/>
      <c r="L879" s="11"/>
      <c r="M879" s="11"/>
      <c r="O879" s="10"/>
      <c r="P879" s="10"/>
      <c r="Q879" s="10"/>
      <c r="R879" s="10"/>
      <c r="S879" s="10"/>
    </row>
    <row r="880" spans="1:19" ht="15.75" customHeight="1">
      <c r="A880" s="8"/>
      <c r="B880" s="7"/>
      <c r="C880" s="8"/>
      <c r="D880" s="8"/>
      <c r="E880" s="8"/>
      <c r="F880" s="8"/>
      <c r="G880" s="8"/>
      <c r="I880" s="11"/>
      <c r="J880" s="11"/>
      <c r="K880" s="11"/>
      <c r="L880" s="11"/>
      <c r="M880" s="11"/>
      <c r="O880" s="10"/>
      <c r="P880" s="10"/>
      <c r="Q880" s="10"/>
      <c r="R880" s="10"/>
      <c r="S880" s="10"/>
    </row>
    <row r="881" spans="1:19" ht="15.75" customHeight="1">
      <c r="A881" s="8"/>
      <c r="B881" s="7"/>
      <c r="C881" s="8"/>
      <c r="D881" s="8"/>
      <c r="E881" s="8"/>
      <c r="F881" s="8"/>
      <c r="G881" s="8"/>
      <c r="I881" s="11"/>
      <c r="J881" s="11"/>
      <c r="K881" s="11"/>
      <c r="L881" s="11"/>
      <c r="M881" s="11"/>
      <c r="O881" s="10"/>
      <c r="P881" s="10"/>
      <c r="Q881" s="10"/>
      <c r="R881" s="10"/>
      <c r="S881" s="10"/>
    </row>
    <row r="882" spans="1:19" ht="15.75" customHeight="1">
      <c r="A882" s="8"/>
      <c r="B882" s="7"/>
      <c r="C882" s="8"/>
      <c r="D882" s="8"/>
      <c r="E882" s="8"/>
      <c r="F882" s="8"/>
      <c r="G882" s="8"/>
      <c r="I882" s="11"/>
      <c r="J882" s="11"/>
      <c r="K882" s="11"/>
      <c r="L882" s="11"/>
      <c r="M882" s="11"/>
      <c r="O882" s="10"/>
      <c r="P882" s="10"/>
      <c r="Q882" s="10"/>
      <c r="R882" s="10"/>
      <c r="S882" s="10"/>
    </row>
    <row r="883" spans="1:19" ht="15.75" customHeight="1">
      <c r="A883" s="8"/>
      <c r="B883" s="7"/>
      <c r="C883" s="8"/>
      <c r="D883" s="8"/>
      <c r="E883" s="8"/>
      <c r="F883" s="8"/>
      <c r="G883" s="8"/>
      <c r="I883" s="11"/>
      <c r="J883" s="11"/>
      <c r="K883" s="11"/>
      <c r="L883" s="11"/>
      <c r="M883" s="11"/>
      <c r="O883" s="10"/>
      <c r="P883" s="10"/>
      <c r="Q883" s="10"/>
      <c r="R883" s="10"/>
      <c r="S883" s="10"/>
    </row>
    <row r="884" spans="1:19" ht="15.75" customHeight="1">
      <c r="A884" s="8"/>
      <c r="B884" s="7"/>
      <c r="C884" s="8"/>
      <c r="D884" s="8"/>
      <c r="E884" s="8"/>
      <c r="F884" s="8"/>
      <c r="G884" s="8"/>
      <c r="I884" s="11"/>
      <c r="J884" s="11"/>
      <c r="K884" s="11"/>
      <c r="L884" s="11"/>
      <c r="M884" s="11"/>
      <c r="O884" s="10"/>
      <c r="P884" s="10"/>
      <c r="Q884" s="10"/>
      <c r="R884" s="10"/>
      <c r="S884" s="10"/>
    </row>
    <row r="885" spans="1:19" ht="15.75" customHeight="1">
      <c r="A885" s="8"/>
      <c r="B885" s="7"/>
      <c r="C885" s="8"/>
      <c r="D885" s="8"/>
      <c r="E885" s="8"/>
      <c r="F885" s="8"/>
      <c r="G885" s="8"/>
      <c r="I885" s="11"/>
      <c r="J885" s="11"/>
      <c r="K885" s="11"/>
      <c r="L885" s="11"/>
      <c r="M885" s="11"/>
      <c r="O885" s="10"/>
      <c r="P885" s="10"/>
      <c r="Q885" s="10"/>
      <c r="R885" s="10"/>
      <c r="S885" s="10"/>
    </row>
    <row r="886" spans="1:19" ht="15.75" customHeight="1">
      <c r="A886" s="8"/>
      <c r="B886" s="7"/>
      <c r="C886" s="8"/>
      <c r="D886" s="8"/>
      <c r="E886" s="8"/>
      <c r="F886" s="8"/>
      <c r="G886" s="8"/>
      <c r="I886" s="11"/>
      <c r="J886" s="11"/>
      <c r="K886" s="11"/>
      <c r="L886" s="11"/>
      <c r="M886" s="11"/>
      <c r="O886" s="10"/>
      <c r="P886" s="10"/>
      <c r="Q886" s="10"/>
      <c r="R886" s="10"/>
      <c r="S886" s="10"/>
    </row>
    <row r="887" spans="1:19" ht="15.75" customHeight="1">
      <c r="A887" s="8"/>
      <c r="B887" s="7"/>
      <c r="C887" s="8"/>
      <c r="D887" s="8"/>
      <c r="E887" s="8"/>
      <c r="F887" s="8"/>
      <c r="G887" s="8"/>
      <c r="I887" s="11"/>
      <c r="J887" s="11"/>
      <c r="K887" s="11"/>
      <c r="L887" s="11"/>
      <c r="M887" s="11"/>
      <c r="O887" s="10"/>
      <c r="P887" s="10"/>
      <c r="Q887" s="10"/>
      <c r="R887" s="10"/>
      <c r="S887" s="10"/>
    </row>
    <row r="888" spans="1:19" ht="15.75" customHeight="1">
      <c r="A888" s="8"/>
      <c r="B888" s="7"/>
      <c r="C888" s="8"/>
      <c r="D888" s="8"/>
      <c r="E888" s="8"/>
      <c r="F888" s="8"/>
      <c r="G888" s="8"/>
      <c r="I888" s="11"/>
      <c r="J888" s="11"/>
      <c r="K888" s="11"/>
      <c r="L888" s="11"/>
      <c r="M888" s="11"/>
      <c r="O888" s="10"/>
      <c r="P888" s="10"/>
      <c r="Q888" s="10"/>
      <c r="R888" s="10"/>
      <c r="S888" s="10"/>
    </row>
    <row r="889" spans="1:19" ht="15.75" customHeight="1">
      <c r="A889" s="8"/>
      <c r="B889" s="7"/>
      <c r="C889" s="8"/>
      <c r="D889" s="8"/>
      <c r="E889" s="8"/>
      <c r="F889" s="8"/>
      <c r="G889" s="8"/>
      <c r="I889" s="11"/>
      <c r="J889" s="11"/>
      <c r="K889" s="11"/>
      <c r="L889" s="11"/>
      <c r="M889" s="11"/>
      <c r="O889" s="10"/>
      <c r="P889" s="10"/>
      <c r="Q889" s="10"/>
      <c r="R889" s="10"/>
      <c r="S889" s="10"/>
    </row>
    <row r="890" spans="1:19" ht="15.75" customHeight="1">
      <c r="A890" s="8"/>
      <c r="B890" s="7"/>
      <c r="C890" s="8"/>
      <c r="D890" s="8"/>
      <c r="E890" s="8"/>
      <c r="F890" s="8"/>
      <c r="G890" s="8"/>
      <c r="I890" s="11"/>
      <c r="J890" s="11"/>
      <c r="K890" s="11"/>
      <c r="L890" s="11"/>
      <c r="M890" s="11"/>
      <c r="O890" s="10"/>
      <c r="P890" s="10"/>
      <c r="Q890" s="10"/>
      <c r="R890" s="10"/>
      <c r="S890" s="10"/>
    </row>
    <row r="891" spans="1:19" ht="15.75" customHeight="1">
      <c r="A891" s="8"/>
      <c r="B891" s="7"/>
      <c r="C891" s="8"/>
      <c r="D891" s="8"/>
      <c r="E891" s="8"/>
      <c r="F891" s="8"/>
      <c r="G891" s="8"/>
      <c r="I891" s="11"/>
      <c r="J891" s="11"/>
      <c r="K891" s="11"/>
      <c r="L891" s="11"/>
      <c r="M891" s="11"/>
      <c r="O891" s="10"/>
      <c r="P891" s="10"/>
      <c r="Q891" s="10"/>
      <c r="R891" s="10"/>
      <c r="S891" s="10"/>
    </row>
    <row r="892" spans="1:19" ht="15.75" customHeight="1">
      <c r="A892" s="8"/>
      <c r="B892" s="7"/>
      <c r="C892" s="8"/>
      <c r="D892" s="8"/>
      <c r="E892" s="8"/>
      <c r="F892" s="8"/>
      <c r="G892" s="8"/>
      <c r="I892" s="11"/>
      <c r="J892" s="11"/>
      <c r="K892" s="11"/>
      <c r="L892" s="11"/>
      <c r="M892" s="11"/>
      <c r="O892" s="10"/>
      <c r="P892" s="10"/>
      <c r="Q892" s="10"/>
      <c r="R892" s="10"/>
      <c r="S892" s="10"/>
    </row>
    <row r="893" spans="1:19" ht="15.75" customHeight="1">
      <c r="A893" s="8"/>
      <c r="B893" s="7"/>
      <c r="C893" s="8"/>
      <c r="D893" s="8"/>
      <c r="E893" s="8"/>
      <c r="F893" s="8"/>
      <c r="G893" s="8"/>
      <c r="I893" s="11"/>
      <c r="J893" s="11"/>
      <c r="K893" s="11"/>
      <c r="L893" s="11"/>
      <c r="M893" s="11"/>
      <c r="O893" s="10"/>
      <c r="P893" s="10"/>
      <c r="Q893" s="10"/>
      <c r="R893" s="10"/>
      <c r="S893" s="10"/>
    </row>
    <row r="894" spans="1:19" ht="15.75" customHeight="1">
      <c r="A894" s="8"/>
      <c r="B894" s="7"/>
      <c r="C894" s="8"/>
      <c r="D894" s="8"/>
      <c r="E894" s="8"/>
      <c r="F894" s="8"/>
      <c r="G894" s="8"/>
      <c r="I894" s="11"/>
      <c r="J894" s="11"/>
      <c r="K894" s="11"/>
      <c r="L894" s="11"/>
      <c r="M894" s="11"/>
      <c r="O894" s="10"/>
      <c r="P894" s="10"/>
      <c r="Q894" s="10"/>
      <c r="R894" s="10"/>
      <c r="S894" s="10"/>
    </row>
    <row r="895" spans="1:19" ht="15.75" customHeight="1">
      <c r="A895" s="8"/>
      <c r="B895" s="7"/>
      <c r="C895" s="8"/>
      <c r="D895" s="8"/>
      <c r="E895" s="8"/>
      <c r="F895" s="8"/>
      <c r="G895" s="8"/>
      <c r="I895" s="11"/>
      <c r="J895" s="11"/>
      <c r="K895" s="11"/>
      <c r="L895" s="11"/>
      <c r="M895" s="11"/>
      <c r="O895" s="10"/>
      <c r="P895" s="10"/>
      <c r="Q895" s="10"/>
      <c r="R895" s="10"/>
      <c r="S895" s="10"/>
    </row>
    <row r="896" spans="1:19" ht="15.75" customHeight="1">
      <c r="A896" s="8"/>
      <c r="B896" s="7"/>
      <c r="C896" s="8"/>
      <c r="D896" s="8"/>
      <c r="E896" s="8"/>
      <c r="F896" s="8"/>
      <c r="G896" s="8"/>
      <c r="I896" s="11"/>
      <c r="J896" s="11"/>
      <c r="K896" s="11"/>
      <c r="L896" s="11"/>
      <c r="M896" s="11"/>
      <c r="O896" s="10"/>
      <c r="P896" s="10"/>
      <c r="Q896" s="10"/>
      <c r="R896" s="10"/>
      <c r="S896" s="10"/>
    </row>
    <row r="897" spans="1:19" ht="15.75" customHeight="1">
      <c r="A897" s="8"/>
      <c r="B897" s="7"/>
      <c r="C897" s="8"/>
      <c r="D897" s="8"/>
      <c r="E897" s="8"/>
      <c r="F897" s="8"/>
      <c r="G897" s="8"/>
      <c r="I897" s="11"/>
      <c r="J897" s="11"/>
      <c r="K897" s="11"/>
      <c r="L897" s="11"/>
      <c r="M897" s="11"/>
      <c r="O897" s="10"/>
      <c r="P897" s="10"/>
      <c r="Q897" s="10"/>
      <c r="R897" s="10"/>
      <c r="S897" s="10"/>
    </row>
    <row r="898" spans="1:19" ht="15.75" customHeight="1">
      <c r="A898" s="8"/>
      <c r="B898" s="7"/>
      <c r="C898" s="8"/>
      <c r="D898" s="8"/>
      <c r="E898" s="8"/>
      <c r="F898" s="8"/>
      <c r="G898" s="8"/>
      <c r="I898" s="11"/>
      <c r="J898" s="11"/>
      <c r="K898" s="11"/>
      <c r="L898" s="11"/>
      <c r="M898" s="11"/>
      <c r="O898" s="10"/>
      <c r="P898" s="10"/>
      <c r="Q898" s="10"/>
      <c r="R898" s="10"/>
      <c r="S898" s="10"/>
    </row>
    <row r="899" spans="1:19" ht="15.75" customHeight="1">
      <c r="A899" s="8"/>
      <c r="B899" s="7"/>
      <c r="C899" s="8"/>
      <c r="D899" s="8"/>
      <c r="E899" s="8"/>
      <c r="F899" s="8"/>
      <c r="G899" s="8"/>
      <c r="I899" s="11"/>
      <c r="J899" s="11"/>
      <c r="K899" s="11"/>
      <c r="L899" s="11"/>
      <c r="M899" s="11"/>
      <c r="O899" s="10"/>
      <c r="P899" s="10"/>
      <c r="Q899" s="10"/>
      <c r="R899" s="10"/>
      <c r="S899" s="10"/>
    </row>
    <row r="900" spans="1:19" ht="15.75" customHeight="1">
      <c r="A900" s="8"/>
      <c r="B900" s="7"/>
      <c r="C900" s="8"/>
      <c r="D900" s="8"/>
      <c r="E900" s="8"/>
      <c r="F900" s="8"/>
      <c r="G900" s="8"/>
      <c r="I900" s="11"/>
      <c r="J900" s="11"/>
      <c r="K900" s="11"/>
      <c r="L900" s="11"/>
      <c r="M900" s="11"/>
      <c r="O900" s="10"/>
      <c r="P900" s="10"/>
      <c r="Q900" s="10"/>
      <c r="R900" s="10"/>
      <c r="S900" s="10"/>
    </row>
    <row r="901" spans="1:19" ht="15.75" customHeight="1">
      <c r="A901" s="8"/>
      <c r="B901" s="7"/>
      <c r="C901" s="8"/>
      <c r="D901" s="8"/>
      <c r="E901" s="8"/>
      <c r="F901" s="8"/>
      <c r="G901" s="8"/>
      <c r="I901" s="11"/>
      <c r="J901" s="11"/>
      <c r="K901" s="11"/>
      <c r="L901" s="11"/>
      <c r="M901" s="11"/>
      <c r="O901" s="10"/>
      <c r="P901" s="10"/>
      <c r="Q901" s="10"/>
      <c r="R901" s="10"/>
      <c r="S901" s="10"/>
    </row>
    <row r="902" spans="1:19" ht="15.75" customHeight="1">
      <c r="A902" s="8"/>
      <c r="B902" s="7"/>
      <c r="C902" s="8"/>
      <c r="D902" s="8"/>
      <c r="E902" s="8"/>
      <c r="F902" s="8"/>
      <c r="G902" s="8"/>
      <c r="I902" s="11"/>
      <c r="J902" s="11"/>
      <c r="K902" s="11"/>
      <c r="L902" s="11"/>
      <c r="M902" s="11"/>
      <c r="O902" s="10"/>
      <c r="P902" s="10"/>
      <c r="Q902" s="10"/>
      <c r="R902" s="10"/>
      <c r="S902" s="10"/>
    </row>
    <row r="903" spans="1:19" ht="15.75" customHeight="1">
      <c r="A903" s="8"/>
      <c r="B903" s="7"/>
      <c r="C903" s="8"/>
      <c r="D903" s="8"/>
      <c r="E903" s="8"/>
      <c r="F903" s="8"/>
      <c r="G903" s="8"/>
      <c r="I903" s="11"/>
      <c r="J903" s="11"/>
      <c r="K903" s="11"/>
      <c r="L903" s="11"/>
      <c r="M903" s="11"/>
      <c r="O903" s="10"/>
      <c r="P903" s="10"/>
      <c r="Q903" s="10"/>
      <c r="R903" s="10"/>
      <c r="S903" s="10"/>
    </row>
    <row r="904" spans="1:19" ht="15.75" customHeight="1">
      <c r="A904" s="8"/>
      <c r="B904" s="7"/>
      <c r="C904" s="8"/>
      <c r="D904" s="8"/>
      <c r="E904" s="8"/>
      <c r="F904" s="8"/>
      <c r="G904" s="8"/>
      <c r="I904" s="11"/>
      <c r="J904" s="11"/>
      <c r="K904" s="11"/>
      <c r="L904" s="11"/>
      <c r="M904" s="11"/>
      <c r="O904" s="10"/>
      <c r="P904" s="10"/>
      <c r="Q904" s="10"/>
      <c r="R904" s="10"/>
      <c r="S904" s="10"/>
    </row>
    <row r="905" spans="1:19" ht="15.75" customHeight="1">
      <c r="A905" s="8"/>
      <c r="B905" s="7"/>
      <c r="C905" s="8"/>
      <c r="D905" s="8"/>
      <c r="E905" s="8"/>
      <c r="F905" s="8"/>
      <c r="G905" s="8"/>
      <c r="I905" s="11"/>
      <c r="J905" s="11"/>
      <c r="K905" s="11"/>
      <c r="L905" s="11"/>
      <c r="M905" s="11"/>
      <c r="O905" s="10"/>
      <c r="P905" s="10"/>
      <c r="Q905" s="10"/>
      <c r="R905" s="10"/>
      <c r="S905" s="10"/>
    </row>
    <row r="906" spans="1:19" ht="15.75" customHeight="1">
      <c r="A906" s="8"/>
      <c r="B906" s="7"/>
      <c r="C906" s="8"/>
      <c r="D906" s="8"/>
      <c r="E906" s="8"/>
      <c r="F906" s="8"/>
      <c r="G906" s="8"/>
      <c r="I906" s="11"/>
      <c r="J906" s="11"/>
      <c r="K906" s="11"/>
      <c r="L906" s="11"/>
      <c r="M906" s="11"/>
      <c r="O906" s="10"/>
      <c r="P906" s="10"/>
      <c r="Q906" s="10"/>
      <c r="R906" s="10"/>
      <c r="S906" s="10"/>
    </row>
    <row r="907" spans="1:19" ht="15.75" customHeight="1">
      <c r="A907" s="8"/>
      <c r="B907" s="7"/>
      <c r="C907" s="8"/>
      <c r="D907" s="8"/>
      <c r="E907" s="8"/>
      <c r="F907" s="8"/>
      <c r="G907" s="8"/>
      <c r="I907" s="11"/>
      <c r="J907" s="11"/>
      <c r="K907" s="11"/>
      <c r="L907" s="11"/>
      <c r="M907" s="11"/>
      <c r="O907" s="10"/>
      <c r="P907" s="10"/>
      <c r="Q907" s="10"/>
      <c r="R907" s="10"/>
      <c r="S907" s="10"/>
    </row>
    <row r="908" spans="1:19" ht="15.75" customHeight="1">
      <c r="A908" s="8"/>
      <c r="B908" s="7"/>
      <c r="C908" s="8"/>
      <c r="D908" s="8"/>
      <c r="E908" s="8"/>
      <c r="F908" s="8"/>
      <c r="G908" s="8"/>
      <c r="I908" s="11"/>
      <c r="J908" s="11"/>
      <c r="K908" s="11"/>
      <c r="L908" s="11"/>
      <c r="M908" s="11"/>
      <c r="O908" s="10"/>
      <c r="P908" s="10"/>
      <c r="Q908" s="10"/>
      <c r="R908" s="10"/>
      <c r="S908" s="10"/>
    </row>
    <row r="909" spans="1:19" ht="15.75" customHeight="1">
      <c r="A909" s="8"/>
      <c r="B909" s="7"/>
      <c r="C909" s="8"/>
      <c r="D909" s="8"/>
      <c r="E909" s="8"/>
      <c r="F909" s="8"/>
      <c r="G909" s="8"/>
      <c r="I909" s="11"/>
      <c r="J909" s="11"/>
      <c r="K909" s="11"/>
      <c r="L909" s="11"/>
      <c r="M909" s="11"/>
      <c r="O909" s="10"/>
      <c r="P909" s="10"/>
      <c r="Q909" s="10"/>
      <c r="R909" s="10"/>
      <c r="S909" s="10"/>
    </row>
    <row r="910" spans="1:19" ht="15.75" customHeight="1">
      <c r="A910" s="8"/>
      <c r="B910" s="7"/>
      <c r="C910" s="8"/>
      <c r="D910" s="8"/>
      <c r="E910" s="8"/>
      <c r="F910" s="8"/>
      <c r="G910" s="8"/>
      <c r="I910" s="11"/>
      <c r="J910" s="11"/>
      <c r="K910" s="11"/>
      <c r="L910" s="11"/>
      <c r="M910" s="11"/>
      <c r="O910" s="10"/>
      <c r="P910" s="10"/>
      <c r="Q910" s="10"/>
      <c r="R910" s="10"/>
      <c r="S910" s="10"/>
    </row>
    <row r="911" spans="1:19" ht="15.75" customHeight="1">
      <c r="A911" s="8"/>
      <c r="B911" s="7"/>
      <c r="C911" s="8"/>
      <c r="D911" s="8"/>
      <c r="E911" s="8"/>
      <c r="F911" s="8"/>
      <c r="G911" s="8"/>
      <c r="I911" s="11"/>
      <c r="J911" s="11"/>
      <c r="K911" s="11"/>
      <c r="L911" s="11"/>
      <c r="M911" s="11"/>
      <c r="O911" s="10"/>
      <c r="P911" s="10"/>
      <c r="Q911" s="10"/>
      <c r="R911" s="10"/>
      <c r="S911" s="10"/>
    </row>
    <row r="912" spans="1:19" ht="15.75" customHeight="1">
      <c r="A912" s="8"/>
      <c r="B912" s="7"/>
      <c r="C912" s="8"/>
      <c r="D912" s="8"/>
      <c r="E912" s="8"/>
      <c r="F912" s="8"/>
      <c r="G912" s="8"/>
      <c r="I912" s="11"/>
      <c r="J912" s="11"/>
      <c r="K912" s="11"/>
      <c r="L912" s="11"/>
      <c r="M912" s="11"/>
      <c r="O912" s="10"/>
      <c r="P912" s="10"/>
      <c r="Q912" s="10"/>
      <c r="R912" s="10"/>
      <c r="S912" s="10"/>
    </row>
    <row r="913" spans="1:19" ht="15.75" customHeight="1">
      <c r="A913" s="8"/>
      <c r="B913" s="7"/>
      <c r="C913" s="8"/>
      <c r="D913" s="8"/>
      <c r="E913" s="8"/>
      <c r="F913" s="8"/>
      <c r="G913" s="8"/>
      <c r="I913" s="11"/>
      <c r="J913" s="11"/>
      <c r="K913" s="11"/>
      <c r="L913" s="11"/>
      <c r="M913" s="11"/>
      <c r="O913" s="10"/>
      <c r="P913" s="10"/>
      <c r="Q913" s="10"/>
      <c r="R913" s="10"/>
      <c r="S913" s="10"/>
    </row>
    <row r="914" spans="1:19" ht="15.75" customHeight="1">
      <c r="A914" s="8"/>
      <c r="B914" s="7"/>
      <c r="C914" s="8"/>
      <c r="D914" s="8"/>
      <c r="E914" s="8"/>
      <c r="F914" s="8"/>
      <c r="G914" s="8"/>
      <c r="I914" s="11"/>
      <c r="J914" s="11"/>
      <c r="K914" s="11"/>
      <c r="L914" s="11"/>
      <c r="M914" s="11"/>
      <c r="O914" s="10"/>
      <c r="P914" s="10"/>
      <c r="Q914" s="10"/>
      <c r="R914" s="10"/>
      <c r="S914" s="10"/>
    </row>
    <row r="915" spans="1:19" ht="15.75" customHeight="1">
      <c r="A915" s="8"/>
      <c r="B915" s="7"/>
      <c r="C915" s="8"/>
      <c r="D915" s="8"/>
      <c r="E915" s="8"/>
      <c r="F915" s="8"/>
      <c r="G915" s="8"/>
      <c r="I915" s="11"/>
      <c r="J915" s="11"/>
      <c r="K915" s="11"/>
      <c r="L915" s="11"/>
      <c r="M915" s="11"/>
      <c r="O915" s="10"/>
      <c r="P915" s="10"/>
      <c r="Q915" s="10"/>
      <c r="R915" s="10"/>
      <c r="S915" s="10"/>
    </row>
    <row r="916" spans="1:19" ht="15.75" customHeight="1">
      <c r="A916" s="8"/>
      <c r="B916" s="7"/>
      <c r="C916" s="8"/>
      <c r="D916" s="8"/>
      <c r="E916" s="8"/>
      <c r="F916" s="8"/>
      <c r="G916" s="8"/>
      <c r="I916" s="11"/>
      <c r="J916" s="11"/>
      <c r="K916" s="11"/>
      <c r="L916" s="11"/>
      <c r="M916" s="11"/>
      <c r="O916" s="10"/>
      <c r="P916" s="10"/>
      <c r="Q916" s="10"/>
      <c r="R916" s="10"/>
      <c r="S916" s="10"/>
    </row>
    <row r="917" spans="1:19" ht="15.75" customHeight="1">
      <c r="A917" s="8"/>
      <c r="B917" s="7"/>
      <c r="C917" s="8"/>
      <c r="D917" s="8"/>
      <c r="E917" s="8"/>
      <c r="F917" s="8"/>
      <c r="G917" s="8"/>
      <c r="I917" s="11"/>
      <c r="J917" s="11"/>
      <c r="K917" s="11"/>
      <c r="L917" s="11"/>
      <c r="M917" s="11"/>
      <c r="O917" s="10"/>
      <c r="P917" s="10"/>
      <c r="Q917" s="10"/>
      <c r="R917" s="10"/>
      <c r="S917" s="10"/>
    </row>
    <row r="918" spans="1:19" ht="15.75" customHeight="1">
      <c r="A918" s="8"/>
      <c r="B918" s="7"/>
      <c r="C918" s="8"/>
      <c r="D918" s="8"/>
      <c r="E918" s="8"/>
      <c r="F918" s="8"/>
      <c r="G918" s="8"/>
      <c r="I918" s="11"/>
      <c r="J918" s="11"/>
      <c r="K918" s="11"/>
      <c r="L918" s="11"/>
      <c r="M918" s="11"/>
      <c r="O918" s="10"/>
      <c r="P918" s="10"/>
      <c r="Q918" s="10"/>
      <c r="R918" s="10"/>
      <c r="S918" s="10"/>
    </row>
    <row r="919" spans="1:19" ht="15.75" customHeight="1">
      <c r="A919" s="8"/>
      <c r="B919" s="7"/>
      <c r="C919" s="8"/>
      <c r="D919" s="8"/>
      <c r="E919" s="8"/>
      <c r="F919" s="8"/>
      <c r="G919" s="8"/>
      <c r="I919" s="11"/>
      <c r="J919" s="11"/>
      <c r="K919" s="11"/>
      <c r="L919" s="11"/>
      <c r="M919" s="11"/>
      <c r="O919" s="10"/>
      <c r="P919" s="10"/>
      <c r="Q919" s="10"/>
      <c r="R919" s="10"/>
      <c r="S919" s="10"/>
    </row>
    <row r="920" spans="1:19" ht="15.75" customHeight="1">
      <c r="A920" s="8"/>
      <c r="B920" s="7"/>
      <c r="C920" s="8"/>
      <c r="D920" s="8"/>
      <c r="E920" s="8"/>
      <c r="F920" s="8"/>
      <c r="G920" s="8"/>
      <c r="I920" s="11"/>
      <c r="J920" s="11"/>
      <c r="K920" s="11"/>
      <c r="L920" s="11"/>
      <c r="M920" s="11"/>
      <c r="O920" s="10"/>
      <c r="P920" s="10"/>
      <c r="Q920" s="10"/>
      <c r="R920" s="10"/>
      <c r="S920" s="10"/>
    </row>
    <row r="921" spans="1:19" ht="15.75" customHeight="1">
      <c r="A921" s="8"/>
      <c r="B921" s="7"/>
      <c r="C921" s="8"/>
      <c r="D921" s="8"/>
      <c r="E921" s="8"/>
      <c r="F921" s="8"/>
      <c r="G921" s="8"/>
      <c r="I921" s="11"/>
      <c r="J921" s="11"/>
      <c r="K921" s="11"/>
      <c r="L921" s="11"/>
      <c r="M921" s="11"/>
      <c r="O921" s="10"/>
      <c r="P921" s="10"/>
      <c r="Q921" s="10"/>
      <c r="R921" s="10"/>
      <c r="S921" s="10"/>
    </row>
    <row r="922" spans="1:19" ht="15.75" customHeight="1">
      <c r="A922" s="8"/>
      <c r="B922" s="7"/>
      <c r="C922" s="8"/>
      <c r="D922" s="8"/>
      <c r="E922" s="8"/>
      <c r="F922" s="8"/>
      <c r="G922" s="8"/>
      <c r="I922" s="11"/>
      <c r="J922" s="11"/>
      <c r="K922" s="11"/>
      <c r="L922" s="11"/>
      <c r="M922" s="11"/>
      <c r="O922" s="10"/>
      <c r="P922" s="10"/>
      <c r="Q922" s="10"/>
      <c r="R922" s="10"/>
      <c r="S922" s="10"/>
    </row>
    <row r="923" spans="1:19" ht="15.75" customHeight="1">
      <c r="A923" s="8"/>
      <c r="B923" s="7"/>
      <c r="C923" s="8"/>
      <c r="D923" s="8"/>
      <c r="E923" s="8"/>
      <c r="F923" s="8"/>
      <c r="G923" s="8"/>
      <c r="I923" s="11"/>
      <c r="J923" s="11"/>
      <c r="K923" s="11"/>
      <c r="L923" s="11"/>
      <c r="M923" s="11"/>
      <c r="O923" s="10"/>
      <c r="P923" s="10"/>
      <c r="Q923" s="10"/>
      <c r="R923" s="10"/>
      <c r="S923" s="10"/>
    </row>
    <row r="924" spans="1:19" ht="15.75" customHeight="1">
      <c r="A924" s="8"/>
      <c r="B924" s="7"/>
      <c r="C924" s="8"/>
      <c r="D924" s="8"/>
      <c r="E924" s="8"/>
      <c r="F924" s="8"/>
      <c r="G924" s="8"/>
      <c r="I924" s="11"/>
      <c r="J924" s="11"/>
      <c r="K924" s="11"/>
      <c r="L924" s="11"/>
      <c r="M924" s="11"/>
      <c r="O924" s="10"/>
      <c r="P924" s="10"/>
      <c r="Q924" s="10"/>
      <c r="R924" s="10"/>
      <c r="S924" s="10"/>
    </row>
    <row r="925" spans="1:19" ht="15.75" customHeight="1">
      <c r="A925" s="8"/>
      <c r="B925" s="7"/>
      <c r="C925" s="8"/>
      <c r="D925" s="8"/>
      <c r="E925" s="8"/>
      <c r="F925" s="8"/>
      <c r="G925" s="8"/>
      <c r="I925" s="11"/>
      <c r="J925" s="11"/>
      <c r="K925" s="11"/>
      <c r="L925" s="11"/>
      <c r="M925" s="11"/>
      <c r="O925" s="10"/>
      <c r="P925" s="10"/>
      <c r="Q925" s="10"/>
      <c r="R925" s="10"/>
      <c r="S925" s="10"/>
    </row>
    <row r="926" spans="1:19" ht="15.75" customHeight="1">
      <c r="A926" s="8"/>
      <c r="B926" s="7"/>
      <c r="C926" s="8"/>
      <c r="D926" s="8"/>
      <c r="E926" s="8"/>
      <c r="F926" s="8"/>
      <c r="G926" s="8"/>
      <c r="I926" s="11"/>
      <c r="J926" s="11"/>
      <c r="K926" s="11"/>
      <c r="L926" s="11"/>
      <c r="M926" s="11"/>
      <c r="O926" s="10"/>
      <c r="P926" s="10"/>
      <c r="Q926" s="10"/>
      <c r="R926" s="10"/>
      <c r="S926" s="10"/>
    </row>
    <row r="927" spans="1:19" ht="15.75" customHeight="1">
      <c r="A927" s="8"/>
      <c r="B927" s="7"/>
      <c r="C927" s="8"/>
      <c r="D927" s="8"/>
      <c r="E927" s="8"/>
      <c r="F927" s="8"/>
      <c r="G927" s="8"/>
      <c r="I927" s="11"/>
      <c r="J927" s="11"/>
      <c r="K927" s="11"/>
      <c r="L927" s="11"/>
      <c r="M927" s="11"/>
      <c r="O927" s="10"/>
      <c r="P927" s="10"/>
      <c r="Q927" s="10"/>
      <c r="R927" s="10"/>
      <c r="S927" s="10"/>
    </row>
    <row r="928" spans="1:19" ht="15.75" customHeight="1">
      <c r="A928" s="8"/>
      <c r="B928" s="7"/>
      <c r="C928" s="8"/>
      <c r="D928" s="8"/>
      <c r="E928" s="8"/>
      <c r="F928" s="8"/>
      <c r="G928" s="8"/>
      <c r="I928" s="11"/>
      <c r="J928" s="11"/>
      <c r="K928" s="11"/>
      <c r="L928" s="11"/>
      <c r="M928" s="11"/>
      <c r="O928" s="10"/>
      <c r="P928" s="10"/>
      <c r="Q928" s="10"/>
      <c r="R928" s="10"/>
      <c r="S928" s="10"/>
    </row>
    <row r="929" spans="1:19" ht="15.75" customHeight="1">
      <c r="A929" s="8"/>
      <c r="B929" s="7"/>
      <c r="C929" s="8"/>
      <c r="D929" s="8"/>
      <c r="E929" s="8"/>
      <c r="F929" s="8"/>
      <c r="G929" s="8"/>
      <c r="I929" s="11"/>
      <c r="J929" s="11"/>
      <c r="K929" s="11"/>
      <c r="L929" s="11"/>
      <c r="M929" s="11"/>
      <c r="O929" s="10"/>
      <c r="P929" s="10"/>
      <c r="Q929" s="10"/>
      <c r="R929" s="10"/>
      <c r="S929" s="10"/>
    </row>
    <row r="930" spans="1:19" ht="15.75" customHeight="1">
      <c r="A930" s="8"/>
      <c r="B930" s="7"/>
      <c r="C930" s="8"/>
      <c r="D930" s="8"/>
      <c r="E930" s="8"/>
      <c r="F930" s="8"/>
      <c r="G930" s="8"/>
      <c r="I930" s="11"/>
      <c r="J930" s="11"/>
      <c r="K930" s="11"/>
      <c r="L930" s="11"/>
      <c r="M930" s="11"/>
      <c r="O930" s="10"/>
      <c r="P930" s="10"/>
      <c r="Q930" s="10"/>
      <c r="R930" s="10"/>
      <c r="S930" s="10"/>
    </row>
    <row r="931" spans="1:19" ht="15.75" customHeight="1">
      <c r="A931" s="8"/>
      <c r="B931" s="7"/>
      <c r="C931" s="8"/>
      <c r="D931" s="8"/>
      <c r="E931" s="8"/>
      <c r="F931" s="8"/>
      <c r="G931" s="8"/>
      <c r="I931" s="11"/>
      <c r="J931" s="11"/>
      <c r="K931" s="11"/>
      <c r="L931" s="11"/>
      <c r="M931" s="11"/>
      <c r="O931" s="10"/>
      <c r="P931" s="10"/>
      <c r="Q931" s="10"/>
      <c r="R931" s="10"/>
      <c r="S931" s="10"/>
    </row>
    <row r="932" spans="1:19" ht="15.75" customHeight="1">
      <c r="A932" s="8"/>
      <c r="B932" s="7"/>
      <c r="C932" s="8"/>
      <c r="D932" s="8"/>
      <c r="E932" s="8"/>
      <c r="F932" s="8"/>
      <c r="G932" s="8"/>
      <c r="I932" s="11"/>
      <c r="J932" s="11"/>
      <c r="K932" s="11"/>
      <c r="L932" s="11"/>
      <c r="M932" s="11"/>
      <c r="O932" s="10"/>
      <c r="P932" s="10"/>
      <c r="Q932" s="10"/>
      <c r="R932" s="10"/>
      <c r="S932" s="10"/>
    </row>
    <row r="933" spans="1:19" ht="15.75" customHeight="1">
      <c r="A933" s="8"/>
      <c r="B933" s="7"/>
      <c r="C933" s="8"/>
      <c r="D933" s="8"/>
      <c r="E933" s="8"/>
      <c r="F933" s="8"/>
      <c r="G933" s="8"/>
      <c r="I933" s="11"/>
      <c r="J933" s="11"/>
      <c r="K933" s="11"/>
      <c r="L933" s="11"/>
      <c r="M933" s="11"/>
      <c r="O933" s="10"/>
      <c r="P933" s="10"/>
      <c r="Q933" s="10"/>
      <c r="R933" s="10"/>
      <c r="S933" s="10"/>
    </row>
    <row r="934" spans="1:19" ht="15.75" customHeight="1">
      <c r="A934" s="8"/>
      <c r="B934" s="7"/>
      <c r="C934" s="8"/>
      <c r="D934" s="8"/>
      <c r="E934" s="8"/>
      <c r="F934" s="8"/>
      <c r="G934" s="8"/>
      <c r="I934" s="11"/>
      <c r="J934" s="11"/>
      <c r="K934" s="11"/>
      <c r="L934" s="11"/>
      <c r="M934" s="11"/>
      <c r="O934" s="10"/>
      <c r="P934" s="10"/>
      <c r="Q934" s="10"/>
      <c r="R934" s="10"/>
      <c r="S934" s="10"/>
    </row>
    <row r="935" spans="1:19" ht="15.75" customHeight="1">
      <c r="A935" s="8"/>
      <c r="B935" s="7"/>
      <c r="C935" s="8"/>
      <c r="D935" s="8"/>
      <c r="E935" s="8"/>
      <c r="F935" s="8"/>
      <c r="G935" s="8"/>
      <c r="I935" s="11"/>
      <c r="J935" s="11"/>
      <c r="K935" s="11"/>
      <c r="L935" s="11"/>
      <c r="M935" s="11"/>
      <c r="O935" s="10"/>
      <c r="P935" s="10"/>
      <c r="Q935" s="10"/>
      <c r="R935" s="10"/>
      <c r="S935" s="10"/>
    </row>
    <row r="936" spans="1:19" ht="15.75" customHeight="1">
      <c r="A936" s="8"/>
      <c r="B936" s="7"/>
      <c r="C936" s="8"/>
      <c r="D936" s="8"/>
      <c r="E936" s="8"/>
      <c r="F936" s="8"/>
      <c r="G936" s="8"/>
      <c r="I936" s="11"/>
      <c r="J936" s="11"/>
      <c r="K936" s="11"/>
      <c r="L936" s="11"/>
      <c r="M936" s="11"/>
      <c r="O936" s="10"/>
      <c r="P936" s="10"/>
      <c r="Q936" s="10"/>
      <c r="R936" s="10"/>
      <c r="S936" s="10"/>
    </row>
    <row r="937" spans="1:19" ht="15.75" customHeight="1">
      <c r="A937" s="8"/>
      <c r="B937" s="7"/>
      <c r="C937" s="8"/>
      <c r="D937" s="8"/>
      <c r="E937" s="8"/>
      <c r="F937" s="8"/>
      <c r="G937" s="8"/>
      <c r="I937" s="11"/>
      <c r="J937" s="11"/>
      <c r="K937" s="11"/>
      <c r="L937" s="11"/>
      <c r="M937" s="11"/>
      <c r="O937" s="10"/>
      <c r="P937" s="10"/>
      <c r="Q937" s="10"/>
      <c r="R937" s="10"/>
      <c r="S937" s="10"/>
    </row>
    <row r="938" spans="1:19" ht="15.75" customHeight="1">
      <c r="A938" s="8"/>
      <c r="B938" s="7"/>
      <c r="C938" s="8"/>
      <c r="D938" s="8"/>
      <c r="E938" s="8"/>
      <c r="F938" s="8"/>
      <c r="G938" s="8"/>
      <c r="I938" s="11"/>
      <c r="J938" s="11"/>
      <c r="K938" s="11"/>
      <c r="L938" s="11"/>
      <c r="M938" s="11"/>
      <c r="O938" s="10"/>
      <c r="P938" s="10"/>
      <c r="Q938" s="10"/>
      <c r="R938" s="10"/>
      <c r="S938" s="10"/>
    </row>
    <row r="939" spans="1:19" ht="15.75" customHeight="1">
      <c r="A939" s="8"/>
      <c r="B939" s="7"/>
      <c r="C939" s="8"/>
      <c r="D939" s="8"/>
      <c r="E939" s="8"/>
      <c r="F939" s="8"/>
      <c r="G939" s="8"/>
      <c r="I939" s="11"/>
      <c r="J939" s="11"/>
      <c r="K939" s="11"/>
      <c r="L939" s="11"/>
      <c r="M939" s="11"/>
      <c r="O939" s="10"/>
      <c r="P939" s="10"/>
      <c r="Q939" s="10"/>
      <c r="R939" s="10"/>
      <c r="S939" s="10"/>
    </row>
    <row r="940" spans="1:19" ht="15.75" customHeight="1">
      <c r="A940" s="8"/>
      <c r="B940" s="7"/>
      <c r="C940" s="8"/>
      <c r="D940" s="8"/>
      <c r="E940" s="8"/>
      <c r="F940" s="8"/>
      <c r="G940" s="8"/>
      <c r="I940" s="11"/>
      <c r="J940" s="11"/>
      <c r="K940" s="11"/>
      <c r="L940" s="11"/>
      <c r="M940" s="11"/>
      <c r="O940" s="10"/>
      <c r="P940" s="10"/>
      <c r="Q940" s="10"/>
      <c r="R940" s="10"/>
      <c r="S940" s="10"/>
    </row>
    <row r="941" spans="1:19" ht="15.75" customHeight="1">
      <c r="A941" s="8"/>
      <c r="B941" s="7"/>
      <c r="C941" s="8"/>
      <c r="D941" s="8"/>
      <c r="E941" s="8"/>
      <c r="F941" s="8"/>
      <c r="G941" s="8"/>
      <c r="I941" s="11"/>
      <c r="J941" s="11"/>
      <c r="K941" s="11"/>
      <c r="L941" s="11"/>
      <c r="M941" s="11"/>
      <c r="O941" s="10"/>
      <c r="P941" s="10"/>
      <c r="Q941" s="10"/>
      <c r="R941" s="10"/>
      <c r="S941" s="10"/>
    </row>
    <row r="942" spans="1:19" ht="15.75" customHeight="1">
      <c r="A942" s="8"/>
      <c r="B942" s="7"/>
      <c r="C942" s="8"/>
      <c r="D942" s="8"/>
      <c r="E942" s="8"/>
      <c r="F942" s="8"/>
      <c r="G942" s="8"/>
      <c r="I942" s="11"/>
      <c r="J942" s="11"/>
      <c r="K942" s="11"/>
      <c r="L942" s="11"/>
      <c r="M942" s="11"/>
      <c r="O942" s="10"/>
      <c r="P942" s="10"/>
      <c r="Q942" s="10"/>
      <c r="R942" s="10"/>
      <c r="S942" s="10"/>
    </row>
    <row r="943" spans="1:19" ht="15.75" customHeight="1">
      <c r="A943" s="8"/>
      <c r="B943" s="7"/>
      <c r="C943" s="8"/>
      <c r="D943" s="8"/>
      <c r="E943" s="8"/>
      <c r="F943" s="8"/>
      <c r="G943" s="8"/>
      <c r="I943" s="11"/>
      <c r="J943" s="11"/>
      <c r="K943" s="11"/>
      <c r="L943" s="11"/>
      <c r="M943" s="11"/>
      <c r="O943" s="10"/>
      <c r="P943" s="10"/>
      <c r="Q943" s="10"/>
      <c r="R943" s="10"/>
      <c r="S943" s="10"/>
    </row>
    <row r="944" spans="1:19" ht="15.75" customHeight="1">
      <c r="A944" s="8"/>
      <c r="B944" s="7"/>
      <c r="C944" s="8"/>
      <c r="D944" s="8"/>
      <c r="E944" s="8"/>
      <c r="F944" s="8"/>
      <c r="G944" s="8"/>
      <c r="I944" s="11"/>
      <c r="J944" s="11"/>
      <c r="K944" s="11"/>
      <c r="L944" s="11"/>
      <c r="M944" s="11"/>
      <c r="O944" s="10"/>
      <c r="P944" s="10"/>
      <c r="Q944" s="10"/>
      <c r="R944" s="10"/>
      <c r="S944" s="10"/>
    </row>
    <row r="945" spans="1:19" ht="15.75" customHeight="1">
      <c r="A945" s="8"/>
      <c r="B945" s="7"/>
      <c r="C945" s="8"/>
      <c r="D945" s="8"/>
      <c r="E945" s="8"/>
      <c r="F945" s="8"/>
      <c r="G945" s="8"/>
      <c r="I945" s="11"/>
      <c r="J945" s="11"/>
      <c r="K945" s="11"/>
      <c r="L945" s="11"/>
      <c r="M945" s="11"/>
      <c r="O945" s="10"/>
      <c r="P945" s="10"/>
      <c r="Q945" s="10"/>
      <c r="R945" s="10"/>
      <c r="S945" s="10"/>
    </row>
    <row r="946" spans="1:19" ht="15.75" customHeight="1">
      <c r="A946" s="8"/>
      <c r="B946" s="7"/>
      <c r="C946" s="8"/>
      <c r="D946" s="8"/>
      <c r="E946" s="8"/>
      <c r="F946" s="8"/>
      <c r="G946" s="8"/>
      <c r="I946" s="11"/>
      <c r="J946" s="11"/>
      <c r="K946" s="11"/>
      <c r="L946" s="11"/>
      <c r="M946" s="11"/>
      <c r="O946" s="10"/>
      <c r="P946" s="10"/>
      <c r="Q946" s="10"/>
      <c r="R946" s="10"/>
      <c r="S946" s="10"/>
    </row>
    <row r="947" spans="1:19" ht="15.75" customHeight="1">
      <c r="A947" s="8"/>
      <c r="B947" s="7"/>
      <c r="C947" s="8"/>
      <c r="D947" s="8"/>
      <c r="E947" s="8"/>
      <c r="F947" s="8"/>
      <c r="G947" s="8"/>
      <c r="I947" s="11"/>
      <c r="J947" s="11"/>
      <c r="K947" s="11"/>
      <c r="L947" s="11"/>
      <c r="M947" s="11"/>
      <c r="O947" s="10"/>
      <c r="P947" s="10"/>
      <c r="Q947" s="10"/>
      <c r="R947" s="10"/>
      <c r="S947" s="10"/>
    </row>
    <row r="948" spans="1:19" ht="15.75" customHeight="1">
      <c r="A948" s="8"/>
      <c r="B948" s="7"/>
      <c r="C948" s="8"/>
      <c r="D948" s="8"/>
      <c r="E948" s="8"/>
      <c r="F948" s="8"/>
      <c r="G948" s="8"/>
      <c r="I948" s="11"/>
      <c r="J948" s="11"/>
      <c r="K948" s="11"/>
      <c r="L948" s="11"/>
      <c r="M948" s="11"/>
      <c r="O948" s="10"/>
      <c r="P948" s="10"/>
      <c r="Q948" s="10"/>
      <c r="R948" s="10"/>
      <c r="S948" s="10"/>
    </row>
    <row r="949" spans="1:19" ht="15.75" customHeight="1">
      <c r="A949" s="8"/>
      <c r="B949" s="7"/>
      <c r="C949" s="8"/>
      <c r="D949" s="8"/>
      <c r="E949" s="8"/>
      <c r="F949" s="8"/>
      <c r="G949" s="8"/>
      <c r="I949" s="11"/>
      <c r="J949" s="11"/>
      <c r="K949" s="11"/>
      <c r="L949" s="11"/>
      <c r="M949" s="11"/>
      <c r="O949" s="10"/>
      <c r="P949" s="10"/>
      <c r="Q949" s="10"/>
      <c r="R949" s="10"/>
      <c r="S949" s="10"/>
    </row>
    <row r="950" spans="1:19" ht="15.75" customHeight="1">
      <c r="A950" s="8"/>
      <c r="B950" s="7"/>
      <c r="C950" s="8"/>
      <c r="D950" s="8"/>
      <c r="E950" s="8"/>
      <c r="F950" s="8"/>
      <c r="G950" s="8"/>
      <c r="I950" s="11"/>
      <c r="J950" s="11"/>
      <c r="K950" s="11"/>
      <c r="L950" s="11"/>
      <c r="M950" s="11"/>
      <c r="O950" s="10"/>
      <c r="P950" s="10"/>
      <c r="Q950" s="10"/>
      <c r="R950" s="10"/>
      <c r="S950" s="10"/>
    </row>
    <row r="951" spans="1:19" ht="15.75" customHeight="1">
      <c r="A951" s="8"/>
      <c r="B951" s="7"/>
      <c r="C951" s="8"/>
      <c r="D951" s="8"/>
      <c r="E951" s="8"/>
      <c r="F951" s="8"/>
      <c r="G951" s="8"/>
      <c r="I951" s="11"/>
      <c r="J951" s="11"/>
      <c r="K951" s="11"/>
      <c r="L951" s="11"/>
      <c r="M951" s="11"/>
      <c r="O951" s="10"/>
      <c r="P951" s="10"/>
      <c r="Q951" s="10"/>
      <c r="R951" s="10"/>
      <c r="S951" s="10"/>
    </row>
    <row r="952" spans="1:19" ht="15.75" customHeight="1">
      <c r="A952" s="8"/>
      <c r="B952" s="7"/>
      <c r="C952" s="8"/>
      <c r="D952" s="8"/>
      <c r="E952" s="8"/>
      <c r="F952" s="8"/>
      <c r="G952" s="8"/>
      <c r="I952" s="11"/>
      <c r="J952" s="11"/>
      <c r="K952" s="11"/>
      <c r="L952" s="11"/>
      <c r="M952" s="11"/>
      <c r="O952" s="10"/>
      <c r="P952" s="10"/>
      <c r="Q952" s="10"/>
      <c r="R952" s="10"/>
      <c r="S952" s="10"/>
    </row>
    <row r="953" spans="1:19" ht="15.75" customHeight="1">
      <c r="A953" s="8"/>
      <c r="B953" s="7"/>
      <c r="C953" s="8"/>
      <c r="D953" s="8"/>
      <c r="E953" s="8"/>
      <c r="F953" s="8"/>
      <c r="G953" s="8"/>
      <c r="I953" s="11"/>
      <c r="J953" s="11"/>
      <c r="K953" s="11"/>
      <c r="L953" s="11"/>
      <c r="M953" s="11"/>
      <c r="O953" s="10"/>
      <c r="P953" s="10"/>
      <c r="Q953" s="10"/>
      <c r="R953" s="10"/>
      <c r="S953" s="10"/>
    </row>
    <row r="954" spans="1:19" ht="15.75" customHeight="1">
      <c r="A954" s="8"/>
      <c r="B954" s="7"/>
      <c r="C954" s="8"/>
      <c r="D954" s="8"/>
      <c r="E954" s="8"/>
      <c r="F954" s="8"/>
      <c r="G954" s="8"/>
      <c r="I954" s="11"/>
      <c r="J954" s="11"/>
      <c r="K954" s="11"/>
      <c r="L954" s="11"/>
      <c r="M954" s="11"/>
      <c r="O954" s="10"/>
      <c r="P954" s="10"/>
      <c r="Q954" s="10"/>
      <c r="R954" s="10"/>
      <c r="S954" s="10"/>
    </row>
    <row r="955" spans="1:19" ht="15.75" customHeight="1">
      <c r="A955" s="8"/>
      <c r="B955" s="7"/>
      <c r="C955" s="8"/>
      <c r="D955" s="8"/>
      <c r="E955" s="8"/>
      <c r="F955" s="8"/>
      <c r="G955" s="8"/>
      <c r="I955" s="11"/>
      <c r="J955" s="11"/>
      <c r="K955" s="11"/>
      <c r="L955" s="11"/>
      <c r="M955" s="11"/>
      <c r="O955" s="10"/>
      <c r="P955" s="10"/>
      <c r="Q955" s="10"/>
      <c r="R955" s="10"/>
      <c r="S955" s="10"/>
    </row>
    <row r="956" spans="1:19" ht="15.75" customHeight="1">
      <c r="A956" s="8"/>
      <c r="B956" s="7"/>
      <c r="C956" s="8"/>
      <c r="D956" s="8"/>
      <c r="E956" s="8"/>
      <c r="F956" s="8"/>
      <c r="G956" s="8"/>
      <c r="I956" s="11"/>
      <c r="J956" s="11"/>
      <c r="K956" s="11"/>
      <c r="L956" s="11"/>
      <c r="M956" s="11"/>
      <c r="O956" s="10"/>
      <c r="P956" s="10"/>
      <c r="Q956" s="10"/>
      <c r="R956" s="10"/>
      <c r="S956" s="10"/>
    </row>
    <row r="957" spans="1:19" ht="15.75" customHeight="1">
      <c r="A957" s="8"/>
      <c r="B957" s="7"/>
      <c r="C957" s="8"/>
      <c r="D957" s="8"/>
      <c r="E957" s="8"/>
      <c r="F957" s="8"/>
      <c r="G957" s="8"/>
      <c r="I957" s="11"/>
      <c r="J957" s="11"/>
      <c r="K957" s="11"/>
      <c r="L957" s="11"/>
      <c r="M957" s="11"/>
      <c r="O957" s="10"/>
      <c r="P957" s="10"/>
      <c r="Q957" s="10"/>
      <c r="R957" s="10"/>
      <c r="S957" s="10"/>
    </row>
    <row r="958" spans="1:19" ht="15.75" customHeight="1">
      <c r="A958" s="8"/>
      <c r="B958" s="7"/>
      <c r="C958" s="8"/>
      <c r="D958" s="8"/>
      <c r="E958" s="8"/>
      <c r="F958" s="8"/>
      <c r="G958" s="8"/>
      <c r="I958" s="11"/>
      <c r="J958" s="11"/>
      <c r="K958" s="11"/>
      <c r="L958" s="11"/>
      <c r="M958" s="11"/>
      <c r="O958" s="10"/>
      <c r="P958" s="10"/>
      <c r="Q958" s="10"/>
      <c r="R958" s="10"/>
      <c r="S958" s="10"/>
    </row>
    <row r="959" spans="1:19" ht="15.75" customHeight="1">
      <c r="A959" s="8"/>
      <c r="B959" s="7"/>
      <c r="C959" s="8"/>
      <c r="D959" s="8"/>
      <c r="E959" s="8"/>
      <c r="F959" s="8"/>
      <c r="G959" s="8"/>
      <c r="I959" s="11"/>
      <c r="J959" s="11"/>
      <c r="K959" s="11"/>
      <c r="L959" s="11"/>
      <c r="M959" s="11"/>
      <c r="O959" s="10"/>
      <c r="P959" s="10"/>
      <c r="Q959" s="10"/>
      <c r="R959" s="10"/>
      <c r="S959" s="10"/>
    </row>
    <row r="960" spans="1:19" ht="15.75" customHeight="1">
      <c r="A960" s="8"/>
      <c r="B960" s="7"/>
      <c r="C960" s="8"/>
      <c r="D960" s="8"/>
      <c r="E960" s="8"/>
      <c r="F960" s="8"/>
      <c r="G960" s="8"/>
      <c r="I960" s="11"/>
      <c r="J960" s="11"/>
      <c r="K960" s="11"/>
      <c r="L960" s="11"/>
      <c r="M960" s="11"/>
      <c r="O960" s="10"/>
      <c r="P960" s="10"/>
      <c r="Q960" s="10"/>
      <c r="R960" s="10"/>
      <c r="S960" s="10"/>
    </row>
    <row r="961" spans="1:19" ht="15.75" customHeight="1">
      <c r="A961" s="8"/>
      <c r="B961" s="7"/>
      <c r="C961" s="8"/>
      <c r="D961" s="8"/>
      <c r="E961" s="8"/>
      <c r="F961" s="8"/>
      <c r="G961" s="8"/>
      <c r="I961" s="11"/>
      <c r="J961" s="11"/>
      <c r="K961" s="11"/>
      <c r="L961" s="11"/>
      <c r="M961" s="11"/>
      <c r="O961" s="10"/>
      <c r="P961" s="10"/>
      <c r="Q961" s="10"/>
      <c r="R961" s="10"/>
      <c r="S961" s="10"/>
    </row>
    <row r="962" spans="1:19" ht="15.75" customHeight="1">
      <c r="A962" s="8"/>
      <c r="B962" s="7"/>
      <c r="C962" s="8"/>
      <c r="D962" s="8"/>
      <c r="E962" s="8"/>
      <c r="F962" s="8"/>
      <c r="G962" s="8"/>
      <c r="I962" s="11"/>
      <c r="J962" s="11"/>
      <c r="K962" s="11"/>
      <c r="L962" s="11"/>
      <c r="M962" s="11"/>
      <c r="O962" s="10"/>
      <c r="P962" s="10"/>
      <c r="Q962" s="10"/>
      <c r="R962" s="10"/>
      <c r="S962" s="10"/>
    </row>
    <row r="963" spans="1:19" ht="15.75" customHeight="1">
      <c r="A963" s="8"/>
      <c r="B963" s="7"/>
      <c r="C963" s="8"/>
      <c r="D963" s="8"/>
      <c r="E963" s="8"/>
      <c r="F963" s="8"/>
      <c r="G963" s="8"/>
      <c r="I963" s="11"/>
      <c r="J963" s="11"/>
      <c r="K963" s="11"/>
      <c r="L963" s="11"/>
      <c r="M963" s="11"/>
      <c r="O963" s="10"/>
      <c r="P963" s="10"/>
      <c r="Q963" s="10"/>
      <c r="R963" s="10"/>
      <c r="S963" s="10"/>
    </row>
    <row r="964" spans="1:19" ht="15.75" customHeight="1">
      <c r="A964" s="8"/>
      <c r="B964" s="7"/>
      <c r="C964" s="8"/>
      <c r="D964" s="8"/>
      <c r="E964" s="8"/>
      <c r="F964" s="8"/>
      <c r="G964" s="8"/>
      <c r="I964" s="11"/>
      <c r="J964" s="11"/>
      <c r="K964" s="11"/>
      <c r="L964" s="11"/>
      <c r="M964" s="11"/>
      <c r="O964" s="10"/>
      <c r="P964" s="10"/>
      <c r="Q964" s="10"/>
      <c r="R964" s="10"/>
      <c r="S964" s="10"/>
    </row>
    <row r="965" spans="1:19" ht="15.75" customHeight="1">
      <c r="A965" s="8"/>
      <c r="B965" s="7"/>
      <c r="C965" s="8"/>
      <c r="D965" s="8"/>
      <c r="E965" s="8"/>
      <c r="F965" s="8"/>
      <c r="G965" s="8"/>
      <c r="I965" s="11"/>
      <c r="J965" s="11"/>
      <c r="K965" s="11"/>
      <c r="L965" s="11"/>
      <c r="M965" s="11"/>
      <c r="O965" s="10"/>
      <c r="P965" s="10"/>
      <c r="Q965" s="10"/>
      <c r="R965" s="10"/>
      <c r="S965" s="10"/>
    </row>
    <row r="966" spans="1:19" ht="15.75" customHeight="1">
      <c r="A966" s="8"/>
      <c r="B966" s="7"/>
      <c r="C966" s="8"/>
      <c r="D966" s="8"/>
      <c r="E966" s="8"/>
      <c r="F966" s="8"/>
      <c r="G966" s="8"/>
      <c r="I966" s="11"/>
      <c r="J966" s="11"/>
      <c r="K966" s="11"/>
      <c r="L966" s="11"/>
      <c r="M966" s="11"/>
      <c r="O966" s="10"/>
      <c r="P966" s="10"/>
      <c r="Q966" s="10"/>
      <c r="R966" s="10"/>
      <c r="S966" s="10"/>
    </row>
    <row r="967" spans="1:19" ht="15.75" customHeight="1">
      <c r="A967" s="8"/>
      <c r="B967" s="7"/>
      <c r="C967" s="8"/>
      <c r="D967" s="8"/>
      <c r="E967" s="8"/>
      <c r="F967" s="8"/>
      <c r="G967" s="8"/>
      <c r="I967" s="11"/>
      <c r="J967" s="11"/>
      <c r="K967" s="11"/>
      <c r="L967" s="11"/>
      <c r="M967" s="11"/>
      <c r="O967" s="10"/>
      <c r="P967" s="10"/>
      <c r="Q967" s="10"/>
      <c r="R967" s="10"/>
      <c r="S967" s="10"/>
    </row>
    <row r="968" spans="1:19" ht="15.75" customHeight="1">
      <c r="A968" s="8"/>
      <c r="B968" s="7"/>
      <c r="C968" s="8"/>
      <c r="D968" s="8"/>
      <c r="E968" s="8"/>
      <c r="F968" s="8"/>
      <c r="G968" s="8"/>
      <c r="I968" s="11"/>
      <c r="J968" s="11"/>
      <c r="K968" s="11"/>
      <c r="L968" s="11"/>
      <c r="M968" s="11"/>
      <c r="O968" s="10"/>
      <c r="P968" s="10"/>
      <c r="Q968" s="10"/>
      <c r="R968" s="10"/>
      <c r="S968" s="10"/>
    </row>
    <row r="969" spans="1:19" ht="15.75" customHeight="1">
      <c r="A969" s="8"/>
      <c r="B969" s="7"/>
      <c r="C969" s="8"/>
      <c r="D969" s="8"/>
      <c r="E969" s="8"/>
      <c r="F969" s="8"/>
      <c r="G969" s="8"/>
      <c r="I969" s="11"/>
      <c r="J969" s="11"/>
      <c r="K969" s="11"/>
      <c r="L969" s="11"/>
      <c r="M969" s="11"/>
      <c r="O969" s="10"/>
      <c r="P969" s="10"/>
      <c r="Q969" s="10"/>
      <c r="R969" s="10"/>
      <c r="S969" s="10"/>
    </row>
    <row r="970" spans="1:19" ht="15.75" customHeight="1">
      <c r="A970" s="8"/>
      <c r="B970" s="7"/>
      <c r="C970" s="8"/>
      <c r="D970" s="8"/>
      <c r="E970" s="8"/>
      <c r="F970" s="8"/>
      <c r="G970" s="8"/>
      <c r="I970" s="11"/>
      <c r="J970" s="11"/>
      <c r="K970" s="11"/>
      <c r="L970" s="11"/>
      <c r="M970" s="11"/>
      <c r="O970" s="10"/>
      <c r="P970" s="10"/>
      <c r="Q970" s="10"/>
      <c r="R970" s="10"/>
      <c r="S970" s="10"/>
    </row>
    <row r="971" spans="1:19" ht="15.75" customHeight="1">
      <c r="A971" s="8"/>
      <c r="B971" s="7"/>
      <c r="C971" s="8"/>
      <c r="D971" s="8"/>
      <c r="E971" s="8"/>
      <c r="F971" s="8"/>
      <c r="G971" s="8"/>
      <c r="I971" s="11"/>
      <c r="J971" s="11"/>
      <c r="K971" s="11"/>
      <c r="L971" s="11"/>
      <c r="M971" s="11"/>
      <c r="O971" s="10"/>
      <c r="P971" s="10"/>
      <c r="Q971" s="10"/>
      <c r="R971" s="10"/>
      <c r="S971" s="10"/>
    </row>
    <row r="972" spans="1:19" ht="15.75" customHeight="1">
      <c r="A972" s="8"/>
      <c r="B972" s="7"/>
      <c r="C972" s="8"/>
      <c r="D972" s="8"/>
      <c r="E972" s="8"/>
      <c r="F972" s="8"/>
      <c r="G972" s="8"/>
      <c r="I972" s="11"/>
      <c r="J972" s="11"/>
      <c r="K972" s="11"/>
      <c r="L972" s="11"/>
      <c r="M972" s="11"/>
      <c r="O972" s="10"/>
      <c r="P972" s="10"/>
      <c r="Q972" s="10"/>
      <c r="R972" s="10"/>
      <c r="S972" s="10"/>
    </row>
    <row r="973" spans="1:19" ht="15.75" customHeight="1">
      <c r="A973" s="8"/>
      <c r="B973" s="7"/>
      <c r="C973" s="8"/>
      <c r="D973" s="8"/>
      <c r="E973" s="8"/>
      <c r="F973" s="8"/>
      <c r="G973" s="8"/>
      <c r="I973" s="11"/>
      <c r="J973" s="11"/>
      <c r="K973" s="11"/>
      <c r="L973" s="11"/>
      <c r="M973" s="11"/>
      <c r="O973" s="10"/>
      <c r="P973" s="10"/>
      <c r="Q973" s="10"/>
      <c r="R973" s="10"/>
      <c r="S973" s="10"/>
    </row>
    <row r="974" spans="1:19" ht="15.75" customHeight="1">
      <c r="A974" s="8"/>
      <c r="B974" s="7"/>
      <c r="C974" s="8"/>
      <c r="D974" s="8"/>
      <c r="E974" s="8"/>
      <c r="F974" s="8"/>
      <c r="G974" s="8"/>
      <c r="I974" s="11"/>
      <c r="J974" s="11"/>
      <c r="K974" s="11"/>
      <c r="L974" s="11"/>
      <c r="M974" s="11"/>
      <c r="O974" s="10"/>
      <c r="P974" s="10"/>
      <c r="Q974" s="10"/>
      <c r="R974" s="10"/>
      <c r="S974" s="10"/>
    </row>
    <row r="975" spans="1:19" ht="15.75" customHeight="1">
      <c r="A975" s="8"/>
      <c r="B975" s="7"/>
      <c r="C975" s="8"/>
      <c r="D975" s="8"/>
      <c r="E975" s="8"/>
      <c r="F975" s="8"/>
      <c r="G975" s="8"/>
      <c r="I975" s="11"/>
      <c r="J975" s="11"/>
      <c r="K975" s="11"/>
      <c r="L975" s="11"/>
      <c r="M975" s="11"/>
      <c r="O975" s="10"/>
      <c r="P975" s="10"/>
      <c r="Q975" s="10"/>
      <c r="R975" s="10"/>
      <c r="S975" s="10"/>
    </row>
    <row r="976" spans="1:19" ht="15.75" customHeight="1">
      <c r="A976" s="8"/>
      <c r="B976" s="7"/>
      <c r="C976" s="8"/>
      <c r="D976" s="8"/>
      <c r="E976" s="8"/>
      <c r="F976" s="8"/>
      <c r="G976" s="8"/>
      <c r="I976" s="11"/>
      <c r="J976" s="11"/>
      <c r="K976" s="11"/>
      <c r="L976" s="11"/>
      <c r="M976" s="11"/>
      <c r="O976" s="10"/>
      <c r="P976" s="10"/>
      <c r="Q976" s="10"/>
      <c r="R976" s="10"/>
      <c r="S976" s="10"/>
    </row>
    <row r="977" spans="1:19" ht="15.75" customHeight="1">
      <c r="A977" s="8"/>
      <c r="B977" s="7"/>
      <c r="C977" s="8"/>
      <c r="D977" s="8"/>
      <c r="E977" s="8"/>
      <c r="F977" s="8"/>
      <c r="G977" s="8"/>
      <c r="I977" s="11"/>
      <c r="J977" s="11"/>
      <c r="K977" s="11"/>
      <c r="L977" s="11"/>
      <c r="M977" s="11"/>
      <c r="O977" s="10"/>
      <c r="P977" s="10"/>
      <c r="Q977" s="10"/>
      <c r="R977" s="10"/>
      <c r="S977" s="10"/>
    </row>
    <row r="978" spans="1:19" ht="15.75" customHeight="1">
      <c r="A978" s="8"/>
      <c r="B978" s="7"/>
      <c r="C978" s="8"/>
      <c r="D978" s="8"/>
      <c r="E978" s="8"/>
      <c r="F978" s="8"/>
      <c r="G978" s="8"/>
      <c r="I978" s="11"/>
      <c r="J978" s="11"/>
      <c r="K978" s="11"/>
      <c r="L978" s="11"/>
      <c r="M978" s="11"/>
      <c r="O978" s="10"/>
      <c r="P978" s="10"/>
      <c r="Q978" s="10"/>
      <c r="R978" s="10"/>
      <c r="S978" s="10"/>
    </row>
    <row r="979" spans="1:19" ht="15.75" customHeight="1">
      <c r="A979" s="8"/>
      <c r="B979" s="7"/>
      <c r="C979" s="8"/>
      <c r="D979" s="8"/>
      <c r="E979" s="8"/>
      <c r="F979" s="8"/>
      <c r="G979" s="8"/>
      <c r="I979" s="11"/>
      <c r="J979" s="11"/>
      <c r="K979" s="11"/>
      <c r="L979" s="11"/>
      <c r="M979" s="11"/>
      <c r="O979" s="10"/>
      <c r="P979" s="10"/>
      <c r="Q979" s="10"/>
      <c r="R979" s="10"/>
      <c r="S979" s="10"/>
    </row>
    <row r="980" spans="1:19" ht="15.75" customHeight="1">
      <c r="A980" s="8"/>
      <c r="B980" s="7"/>
      <c r="C980" s="8"/>
      <c r="D980" s="8"/>
      <c r="E980" s="8"/>
      <c r="F980" s="8"/>
      <c r="G980" s="8"/>
      <c r="I980" s="11"/>
      <c r="J980" s="11"/>
      <c r="K980" s="11"/>
      <c r="L980" s="11"/>
      <c r="M980" s="11"/>
      <c r="O980" s="10"/>
      <c r="P980" s="10"/>
      <c r="Q980" s="10"/>
      <c r="R980" s="10"/>
      <c r="S980" s="10"/>
    </row>
    <row r="981" spans="1:19" ht="15.75" customHeight="1">
      <c r="A981" s="8"/>
      <c r="B981" s="7"/>
      <c r="C981" s="8"/>
      <c r="D981" s="8"/>
      <c r="E981" s="8"/>
      <c r="F981" s="8"/>
      <c r="G981" s="8"/>
      <c r="I981" s="11"/>
      <c r="J981" s="11"/>
      <c r="K981" s="11"/>
      <c r="L981" s="11"/>
      <c r="M981" s="11"/>
      <c r="O981" s="10"/>
      <c r="P981" s="10"/>
      <c r="Q981" s="10"/>
      <c r="R981" s="10"/>
      <c r="S981" s="10"/>
    </row>
    <row r="982" spans="1:19" ht="15.75" customHeight="1">
      <c r="A982" s="8"/>
      <c r="B982" s="7"/>
      <c r="C982" s="8"/>
      <c r="D982" s="8"/>
      <c r="E982" s="8"/>
      <c r="F982" s="8"/>
      <c r="G982" s="8"/>
      <c r="I982" s="11"/>
      <c r="J982" s="11"/>
      <c r="K982" s="11"/>
      <c r="L982" s="11"/>
      <c r="M982" s="11"/>
      <c r="O982" s="10"/>
      <c r="P982" s="10"/>
      <c r="Q982" s="10"/>
      <c r="R982" s="10"/>
      <c r="S982" s="10"/>
    </row>
    <row r="983" spans="1:19" ht="15.75" customHeight="1">
      <c r="A983" s="8"/>
      <c r="B983" s="7"/>
      <c r="C983" s="8"/>
      <c r="D983" s="8"/>
      <c r="E983" s="8"/>
      <c r="F983" s="8"/>
      <c r="G983" s="8"/>
      <c r="I983" s="11"/>
      <c r="J983" s="11"/>
      <c r="K983" s="11"/>
      <c r="L983" s="11"/>
      <c r="M983" s="11"/>
      <c r="O983" s="10"/>
      <c r="P983" s="10"/>
      <c r="Q983" s="10"/>
      <c r="R983" s="10"/>
      <c r="S983" s="10"/>
    </row>
    <row r="984" spans="1:19" ht="15.75" customHeight="1">
      <c r="A984" s="8"/>
      <c r="B984" s="7"/>
      <c r="C984" s="8"/>
      <c r="D984" s="8"/>
      <c r="E984" s="8"/>
      <c r="F984" s="8"/>
      <c r="G984" s="8"/>
      <c r="I984" s="11"/>
      <c r="J984" s="11"/>
      <c r="K984" s="11"/>
      <c r="L984" s="11"/>
      <c r="M984" s="11"/>
      <c r="O984" s="10"/>
      <c r="P984" s="10"/>
      <c r="Q984" s="10"/>
      <c r="R984" s="10"/>
      <c r="S984" s="10"/>
    </row>
    <row r="985" spans="1:19" ht="15.75" customHeight="1">
      <c r="A985" s="8"/>
      <c r="B985" s="7"/>
      <c r="C985" s="8"/>
      <c r="D985" s="8"/>
      <c r="E985" s="8"/>
      <c r="F985" s="8"/>
      <c r="G985" s="8"/>
      <c r="I985" s="11"/>
      <c r="J985" s="11"/>
      <c r="K985" s="11"/>
      <c r="L985" s="11"/>
      <c r="M985" s="11"/>
      <c r="O985" s="10"/>
      <c r="P985" s="10"/>
      <c r="Q985" s="10"/>
      <c r="R985" s="10"/>
      <c r="S985" s="10"/>
    </row>
    <row r="986" spans="1:19" ht="15.75" customHeight="1">
      <c r="A986" s="8"/>
      <c r="B986" s="7"/>
      <c r="C986" s="8"/>
      <c r="D986" s="8"/>
      <c r="E986" s="8"/>
      <c r="F986" s="8"/>
      <c r="G986" s="8"/>
      <c r="I986" s="11"/>
      <c r="J986" s="11"/>
      <c r="K986" s="11"/>
      <c r="L986" s="11"/>
      <c r="M986" s="11"/>
      <c r="O986" s="10"/>
      <c r="P986" s="10"/>
      <c r="Q986" s="10"/>
      <c r="R986" s="10"/>
      <c r="S986" s="10"/>
    </row>
    <row r="987" spans="1:19" ht="15.75" customHeight="1">
      <c r="A987" s="8"/>
      <c r="B987" s="7"/>
      <c r="C987" s="8"/>
      <c r="D987" s="8"/>
      <c r="E987" s="8"/>
      <c r="F987" s="8"/>
      <c r="G987" s="8"/>
      <c r="I987" s="11"/>
      <c r="J987" s="11"/>
      <c r="K987" s="11"/>
      <c r="L987" s="11"/>
      <c r="M987" s="11"/>
      <c r="O987" s="10"/>
      <c r="P987" s="10"/>
      <c r="Q987" s="10"/>
      <c r="R987" s="10"/>
      <c r="S987" s="10"/>
    </row>
    <row r="988" spans="1:19" ht="15.75" customHeight="1">
      <c r="A988" s="8"/>
      <c r="B988" s="7"/>
      <c r="C988" s="8"/>
      <c r="D988" s="8"/>
      <c r="E988" s="8"/>
      <c r="F988" s="8"/>
      <c r="G988" s="8"/>
      <c r="I988" s="11"/>
      <c r="J988" s="11"/>
      <c r="K988" s="11"/>
      <c r="L988" s="11"/>
      <c r="M988" s="11"/>
      <c r="O988" s="10"/>
      <c r="P988" s="10"/>
      <c r="Q988" s="10"/>
      <c r="R988" s="10"/>
      <c r="S988" s="10"/>
    </row>
    <row r="989" spans="1:19" ht="15.75" customHeight="1">
      <c r="A989" s="8"/>
      <c r="B989" s="7"/>
      <c r="C989" s="8"/>
      <c r="D989" s="8"/>
      <c r="E989" s="8"/>
      <c r="F989" s="8"/>
      <c r="G989" s="8"/>
      <c r="I989" s="11"/>
      <c r="J989" s="11"/>
      <c r="K989" s="11"/>
      <c r="L989" s="11"/>
      <c r="M989" s="11"/>
      <c r="O989" s="10"/>
      <c r="P989" s="10"/>
      <c r="Q989" s="10"/>
      <c r="R989" s="10"/>
      <c r="S989" s="10"/>
    </row>
    <row r="990" spans="1:19" ht="15.75" customHeight="1">
      <c r="A990" s="8"/>
      <c r="B990" s="7"/>
      <c r="C990" s="8"/>
      <c r="D990" s="8"/>
      <c r="E990" s="8"/>
      <c r="F990" s="8"/>
      <c r="G990" s="8"/>
      <c r="I990" s="11"/>
      <c r="J990" s="11"/>
      <c r="K990" s="11"/>
      <c r="L990" s="11"/>
      <c r="M990" s="11"/>
      <c r="O990" s="10"/>
      <c r="P990" s="10"/>
      <c r="Q990" s="10"/>
      <c r="R990" s="10"/>
      <c r="S990" s="10"/>
    </row>
    <row r="991" spans="1:19" ht="15.75" customHeight="1">
      <c r="A991" s="8"/>
      <c r="B991" s="7"/>
      <c r="C991" s="8"/>
      <c r="D991" s="8"/>
      <c r="E991" s="8"/>
      <c r="F991" s="8"/>
      <c r="G991" s="8"/>
      <c r="I991" s="11"/>
      <c r="J991" s="11"/>
      <c r="K991" s="11"/>
      <c r="L991" s="11"/>
      <c r="M991" s="11"/>
      <c r="O991" s="10"/>
      <c r="P991" s="10"/>
      <c r="Q991" s="10"/>
      <c r="R991" s="10"/>
      <c r="S991" s="10"/>
    </row>
    <row r="992" spans="1:19" ht="15.75" customHeight="1">
      <c r="A992" s="8"/>
      <c r="B992" s="7"/>
      <c r="C992" s="8"/>
      <c r="D992" s="8"/>
      <c r="E992" s="8"/>
      <c r="F992" s="8"/>
      <c r="G992" s="8"/>
      <c r="I992" s="11"/>
      <c r="J992" s="11"/>
      <c r="K992" s="11"/>
      <c r="L992" s="11"/>
      <c r="M992" s="11"/>
      <c r="O992" s="10"/>
      <c r="P992" s="10"/>
      <c r="Q992" s="10"/>
      <c r="R992" s="10"/>
      <c r="S992" s="10"/>
    </row>
    <row r="993" spans="1:19" ht="15.75" customHeight="1">
      <c r="A993" s="8"/>
      <c r="B993" s="7"/>
      <c r="C993" s="8"/>
      <c r="D993" s="8"/>
      <c r="E993" s="8"/>
      <c r="F993" s="8"/>
      <c r="G993" s="8"/>
      <c r="I993" s="11"/>
      <c r="J993" s="11"/>
      <c r="K993" s="11"/>
      <c r="L993" s="11"/>
      <c r="M993" s="11"/>
      <c r="O993" s="10"/>
      <c r="P993" s="10"/>
      <c r="Q993" s="10"/>
      <c r="R993" s="10"/>
      <c r="S993" s="10"/>
    </row>
    <row r="994" spans="1:19" ht="15.75" customHeight="1">
      <c r="A994" s="8"/>
      <c r="B994" s="7"/>
      <c r="C994" s="8"/>
      <c r="D994" s="8"/>
      <c r="E994" s="8"/>
      <c r="F994" s="8"/>
      <c r="G994" s="8"/>
      <c r="I994" s="11"/>
      <c r="J994" s="11"/>
      <c r="K994" s="11"/>
      <c r="L994" s="11"/>
      <c r="M994" s="11"/>
      <c r="O994" s="10"/>
      <c r="P994" s="10"/>
      <c r="Q994" s="10"/>
      <c r="R994" s="10"/>
      <c r="S994" s="10"/>
    </row>
    <row r="995" spans="1:19" ht="15.75" customHeight="1">
      <c r="A995" s="8"/>
      <c r="B995" s="7"/>
      <c r="C995" s="8"/>
      <c r="D995" s="8"/>
      <c r="E995" s="8"/>
      <c r="F995" s="8"/>
      <c r="G995" s="8"/>
      <c r="I995" s="11"/>
      <c r="J995" s="11"/>
      <c r="K995" s="11"/>
      <c r="L995" s="11"/>
      <c r="M995" s="11"/>
      <c r="O995" s="10"/>
      <c r="P995" s="10"/>
      <c r="Q995" s="10"/>
      <c r="R995" s="10"/>
      <c r="S995" s="10"/>
    </row>
    <row r="996" spans="1:19" ht="15.75" customHeight="1">
      <c r="A996" s="8"/>
      <c r="B996" s="7"/>
      <c r="C996" s="8"/>
      <c r="D996" s="8"/>
      <c r="E996" s="8"/>
      <c r="F996" s="8"/>
      <c r="G996" s="8"/>
      <c r="I996" s="11"/>
      <c r="J996" s="11"/>
      <c r="K996" s="11"/>
      <c r="L996" s="11"/>
      <c r="M996" s="11"/>
      <c r="O996" s="10"/>
      <c r="P996" s="10"/>
      <c r="Q996" s="10"/>
      <c r="R996" s="10"/>
      <c r="S996" s="10"/>
    </row>
    <row r="997" spans="1:19" ht="15.75" customHeight="1">
      <c r="A997" s="8"/>
      <c r="B997" s="7"/>
      <c r="C997" s="8"/>
      <c r="D997" s="8"/>
      <c r="E997" s="8"/>
      <c r="F997" s="8"/>
      <c r="G997" s="8"/>
      <c r="I997" s="11"/>
      <c r="J997" s="11"/>
      <c r="K997" s="11"/>
      <c r="L997" s="11"/>
      <c r="M997" s="11"/>
      <c r="O997" s="10"/>
      <c r="P997" s="10"/>
      <c r="Q997" s="10"/>
      <c r="R997" s="10"/>
      <c r="S997" s="10"/>
    </row>
    <row r="998" spans="1:19" ht="15.75" customHeight="1">
      <c r="A998" s="8"/>
      <c r="B998" s="7"/>
      <c r="C998" s="8"/>
      <c r="D998" s="8"/>
      <c r="E998" s="8"/>
      <c r="F998" s="8"/>
      <c r="G998" s="8"/>
      <c r="I998" s="11"/>
      <c r="J998" s="11"/>
      <c r="K998" s="11"/>
      <c r="L998" s="11"/>
      <c r="M998" s="11"/>
      <c r="O998" s="10"/>
      <c r="P998" s="10"/>
      <c r="Q998" s="10"/>
      <c r="R998" s="10"/>
      <c r="S998" s="10"/>
    </row>
    <row r="999" spans="1:19" ht="15.75" customHeight="1">
      <c r="A999" s="8"/>
      <c r="C999" s="8"/>
      <c r="D999" s="8"/>
      <c r="E999" s="8"/>
      <c r="F999" s="8"/>
      <c r="G999" s="8"/>
      <c r="I999" s="11"/>
      <c r="J999" s="11"/>
      <c r="K999" s="11"/>
      <c r="L999" s="11"/>
      <c r="M999" s="11"/>
      <c r="O999" s="10"/>
      <c r="P999" s="10"/>
      <c r="Q999" s="10"/>
      <c r="R999" s="10"/>
      <c r="S999" s="10"/>
    </row>
    <row r="1000" spans="1:19" ht="15.75" customHeight="1">
      <c r="A1000" s="8"/>
      <c r="C1000" s="8"/>
      <c r="D1000" s="8"/>
      <c r="E1000" s="8"/>
      <c r="F1000" s="8"/>
      <c r="G1000" s="8"/>
      <c r="I1000" s="11"/>
      <c r="J1000" s="11"/>
      <c r="K1000" s="11"/>
      <c r="L1000" s="11"/>
      <c r="M1000" s="11"/>
      <c r="O1000" s="10"/>
      <c r="P1000" s="10"/>
      <c r="Q1000" s="10"/>
      <c r="R1000" s="10"/>
      <c r="S1000" s="10"/>
    </row>
  </sheetData>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Optimal Choice</vt:lpstr>
      <vt:lpstr>Calculations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Anthony Pecorella</cp:lastModifiedBy>
  <dcterms:modified xsi:type="dcterms:W3CDTF">2016-08-26T12:49:09Z</dcterms:modified>
</cp:coreProperties>
</file>