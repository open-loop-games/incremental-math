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423"/>
  <workbookPr autoCompressPictures="0"/>
  <bookViews>
    <workbookView xWindow="0" yWindow="0" windowWidth="28800" windowHeight="17920" tabRatio="500"/>
  </bookViews>
  <sheets>
    <sheet name="Exponential Item Growth" sheetId="1" r:id="rId1"/>
    <sheet name="Calculations" sheetId="2" r:id="rId2"/>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D751" i="2"/>
  <c r="C751" i="2"/>
  <c r="H751" i="2"/>
  <c r="G751" i="2"/>
  <c r="F751" i="2"/>
  <c r="B751" i="2"/>
  <c r="D750" i="2"/>
  <c r="C750" i="2"/>
  <c r="H750" i="2"/>
  <c r="G750" i="2"/>
  <c r="F750" i="2"/>
  <c r="B750" i="2"/>
  <c r="D749" i="2"/>
  <c r="C749" i="2"/>
  <c r="H749" i="2"/>
  <c r="G749" i="2"/>
  <c r="F749" i="2"/>
  <c r="B749" i="2"/>
  <c r="D748" i="2"/>
  <c r="C748" i="2"/>
  <c r="H748" i="2"/>
  <c r="G748" i="2"/>
  <c r="F748" i="2"/>
  <c r="B748" i="2"/>
  <c r="D747" i="2"/>
  <c r="C747" i="2"/>
  <c r="H747" i="2"/>
  <c r="G747" i="2"/>
  <c r="F747" i="2"/>
  <c r="B747" i="2"/>
  <c r="D746" i="2"/>
  <c r="C746" i="2"/>
  <c r="H746" i="2"/>
  <c r="G746" i="2"/>
  <c r="F746" i="2"/>
  <c r="B746" i="2"/>
  <c r="D745" i="2"/>
  <c r="C745" i="2"/>
  <c r="H745" i="2"/>
  <c r="G745" i="2"/>
  <c r="F745" i="2"/>
  <c r="B745" i="2"/>
  <c r="D744" i="2"/>
  <c r="C744" i="2"/>
  <c r="H744" i="2"/>
  <c r="G744" i="2"/>
  <c r="F744" i="2"/>
  <c r="B744" i="2"/>
  <c r="D743" i="2"/>
  <c r="C743" i="2"/>
  <c r="H743" i="2"/>
  <c r="G743" i="2"/>
  <c r="F743" i="2"/>
  <c r="B743" i="2"/>
  <c r="D742" i="2"/>
  <c r="C742" i="2"/>
  <c r="H742" i="2"/>
  <c r="G742" i="2"/>
  <c r="F742" i="2"/>
  <c r="B742" i="2"/>
  <c r="D741" i="2"/>
  <c r="C741" i="2"/>
  <c r="H741" i="2"/>
  <c r="G741" i="2"/>
  <c r="F741" i="2"/>
  <c r="B741" i="2"/>
  <c r="D740" i="2"/>
  <c r="C740" i="2"/>
  <c r="H740" i="2"/>
  <c r="G740" i="2"/>
  <c r="F740" i="2"/>
  <c r="B740" i="2"/>
  <c r="D739" i="2"/>
  <c r="C739" i="2"/>
  <c r="H739" i="2"/>
  <c r="G739" i="2"/>
  <c r="F739" i="2"/>
  <c r="B739" i="2"/>
  <c r="D738" i="2"/>
  <c r="C738" i="2"/>
  <c r="H738" i="2"/>
  <c r="G738" i="2"/>
  <c r="F738" i="2"/>
  <c r="B738" i="2"/>
  <c r="D737" i="2"/>
  <c r="C737" i="2"/>
  <c r="H737" i="2"/>
  <c r="G737" i="2"/>
  <c r="F737" i="2"/>
  <c r="B737" i="2"/>
  <c r="D736" i="2"/>
  <c r="C736" i="2"/>
  <c r="H736" i="2"/>
  <c r="G736" i="2"/>
  <c r="F736" i="2"/>
  <c r="B736" i="2"/>
  <c r="D735" i="2"/>
  <c r="C735" i="2"/>
  <c r="H735" i="2"/>
  <c r="G735" i="2"/>
  <c r="F735" i="2"/>
  <c r="B735" i="2"/>
  <c r="D734" i="2"/>
  <c r="C734" i="2"/>
  <c r="H734" i="2"/>
  <c r="G734" i="2"/>
  <c r="F734" i="2"/>
  <c r="B734" i="2"/>
  <c r="D733" i="2"/>
  <c r="C733" i="2"/>
  <c r="H733" i="2"/>
  <c r="G733" i="2"/>
  <c r="F733" i="2"/>
  <c r="B733" i="2"/>
  <c r="D732" i="2"/>
  <c r="C732" i="2"/>
  <c r="H732" i="2"/>
  <c r="G732" i="2"/>
  <c r="F732" i="2"/>
  <c r="B732" i="2"/>
  <c r="D731" i="2"/>
  <c r="C731" i="2"/>
  <c r="H731" i="2"/>
  <c r="G731" i="2"/>
  <c r="F731" i="2"/>
  <c r="B731" i="2"/>
  <c r="D730" i="2"/>
  <c r="C730" i="2"/>
  <c r="H730" i="2"/>
  <c r="G730" i="2"/>
  <c r="F730" i="2"/>
  <c r="B730" i="2"/>
  <c r="D729" i="2"/>
  <c r="C729" i="2"/>
  <c r="H729" i="2"/>
  <c r="G729" i="2"/>
  <c r="F729" i="2"/>
  <c r="B729" i="2"/>
  <c r="D728" i="2"/>
  <c r="C728" i="2"/>
  <c r="H728" i="2"/>
  <c r="G728" i="2"/>
  <c r="F728" i="2"/>
  <c r="B728" i="2"/>
  <c r="D727" i="2"/>
  <c r="C727" i="2"/>
  <c r="H727" i="2"/>
  <c r="G727" i="2"/>
  <c r="F727" i="2"/>
  <c r="B727" i="2"/>
  <c r="D726" i="2"/>
  <c r="C726" i="2"/>
  <c r="H726" i="2"/>
  <c r="G726" i="2"/>
  <c r="F726" i="2"/>
  <c r="B726" i="2"/>
  <c r="D725" i="2"/>
  <c r="C725" i="2"/>
  <c r="H725" i="2"/>
  <c r="G725" i="2"/>
  <c r="F725" i="2"/>
  <c r="B725" i="2"/>
  <c r="D724" i="2"/>
  <c r="C724" i="2"/>
  <c r="H724" i="2"/>
  <c r="G724" i="2"/>
  <c r="F724" i="2"/>
  <c r="B724" i="2"/>
  <c r="D723" i="2"/>
  <c r="C723" i="2"/>
  <c r="H723" i="2"/>
  <c r="G723" i="2"/>
  <c r="F723" i="2"/>
  <c r="B723" i="2"/>
  <c r="D722" i="2"/>
  <c r="C722" i="2"/>
  <c r="H722" i="2"/>
  <c r="G722" i="2"/>
  <c r="F722" i="2"/>
  <c r="B722" i="2"/>
  <c r="D721" i="2"/>
  <c r="C721" i="2"/>
  <c r="H721" i="2"/>
  <c r="G721" i="2"/>
  <c r="F721" i="2"/>
  <c r="B721" i="2"/>
  <c r="D720" i="2"/>
  <c r="C720" i="2"/>
  <c r="H720" i="2"/>
  <c r="G720" i="2"/>
  <c r="F720" i="2"/>
  <c r="B720" i="2"/>
  <c r="D719" i="2"/>
  <c r="C719" i="2"/>
  <c r="H719" i="2"/>
  <c r="G719" i="2"/>
  <c r="F719" i="2"/>
  <c r="B719" i="2"/>
  <c r="D718" i="2"/>
  <c r="C718" i="2"/>
  <c r="H718" i="2"/>
  <c r="G718" i="2"/>
  <c r="F718" i="2"/>
  <c r="B718" i="2"/>
  <c r="D717" i="2"/>
  <c r="C717" i="2"/>
  <c r="H717" i="2"/>
  <c r="G717" i="2"/>
  <c r="F717" i="2"/>
  <c r="B717" i="2"/>
  <c r="D716" i="2"/>
  <c r="C716" i="2"/>
  <c r="H716" i="2"/>
  <c r="G716" i="2"/>
  <c r="F716" i="2"/>
  <c r="B716" i="2"/>
  <c r="D715" i="2"/>
  <c r="C715" i="2"/>
  <c r="H715" i="2"/>
  <c r="G715" i="2"/>
  <c r="F715" i="2"/>
  <c r="B715" i="2"/>
  <c r="D714" i="2"/>
  <c r="C714" i="2"/>
  <c r="H714" i="2"/>
  <c r="G714" i="2"/>
  <c r="F714" i="2"/>
  <c r="B714" i="2"/>
  <c r="D713" i="2"/>
  <c r="C713" i="2"/>
  <c r="H713" i="2"/>
  <c r="G713" i="2"/>
  <c r="F713" i="2"/>
  <c r="B713" i="2"/>
  <c r="D712" i="2"/>
  <c r="C712" i="2"/>
  <c r="H712" i="2"/>
  <c r="G712" i="2"/>
  <c r="F712" i="2"/>
  <c r="B712" i="2"/>
  <c r="D711" i="2"/>
  <c r="C711" i="2"/>
  <c r="H711" i="2"/>
  <c r="G711" i="2"/>
  <c r="F711" i="2"/>
  <c r="B711" i="2"/>
  <c r="D710" i="2"/>
  <c r="C710" i="2"/>
  <c r="H710" i="2"/>
  <c r="G710" i="2"/>
  <c r="F710" i="2"/>
  <c r="B710" i="2"/>
  <c r="D709" i="2"/>
  <c r="C709" i="2"/>
  <c r="H709" i="2"/>
  <c r="G709" i="2"/>
  <c r="F709" i="2"/>
  <c r="B709" i="2"/>
  <c r="D708" i="2"/>
  <c r="C708" i="2"/>
  <c r="H708" i="2"/>
  <c r="G708" i="2"/>
  <c r="F708" i="2"/>
  <c r="B708" i="2"/>
  <c r="D707" i="2"/>
  <c r="C707" i="2"/>
  <c r="H707" i="2"/>
  <c r="G707" i="2"/>
  <c r="F707" i="2"/>
  <c r="B707" i="2"/>
  <c r="D706" i="2"/>
  <c r="C706" i="2"/>
  <c r="H706" i="2"/>
  <c r="G706" i="2"/>
  <c r="F706" i="2"/>
  <c r="B706" i="2"/>
  <c r="D705" i="2"/>
  <c r="C705" i="2"/>
  <c r="H705" i="2"/>
  <c r="G705" i="2"/>
  <c r="F705" i="2"/>
  <c r="B705" i="2"/>
  <c r="D704" i="2"/>
  <c r="C704" i="2"/>
  <c r="H704" i="2"/>
  <c r="G704" i="2"/>
  <c r="F704" i="2"/>
  <c r="B704" i="2"/>
  <c r="D703" i="2"/>
  <c r="C703" i="2"/>
  <c r="H703" i="2"/>
  <c r="G703" i="2"/>
  <c r="F703" i="2"/>
  <c r="B703" i="2"/>
  <c r="D702" i="2"/>
  <c r="C702" i="2"/>
  <c r="H702" i="2"/>
  <c r="G702" i="2"/>
  <c r="F702" i="2"/>
  <c r="B702" i="2"/>
  <c r="D701" i="2"/>
  <c r="C701" i="2"/>
  <c r="H701" i="2"/>
  <c r="G701" i="2"/>
  <c r="F701" i="2"/>
  <c r="B701" i="2"/>
  <c r="D700" i="2"/>
  <c r="C700" i="2"/>
  <c r="H700" i="2"/>
  <c r="G700" i="2"/>
  <c r="F700" i="2"/>
  <c r="B700" i="2"/>
  <c r="D699" i="2"/>
  <c r="C699" i="2"/>
  <c r="H699" i="2"/>
  <c r="G699" i="2"/>
  <c r="F699" i="2"/>
  <c r="B699" i="2"/>
  <c r="D698" i="2"/>
  <c r="C698" i="2"/>
  <c r="H698" i="2"/>
  <c r="G698" i="2"/>
  <c r="F698" i="2"/>
  <c r="B698" i="2"/>
  <c r="D697" i="2"/>
  <c r="C697" i="2"/>
  <c r="H697" i="2"/>
  <c r="G697" i="2"/>
  <c r="F697" i="2"/>
  <c r="B697" i="2"/>
  <c r="D696" i="2"/>
  <c r="C696" i="2"/>
  <c r="H696" i="2"/>
  <c r="G696" i="2"/>
  <c r="F696" i="2"/>
  <c r="B696" i="2"/>
  <c r="D695" i="2"/>
  <c r="C695" i="2"/>
  <c r="H695" i="2"/>
  <c r="G695" i="2"/>
  <c r="F695" i="2"/>
  <c r="B695" i="2"/>
  <c r="D694" i="2"/>
  <c r="C694" i="2"/>
  <c r="H694" i="2"/>
  <c r="G694" i="2"/>
  <c r="F694" i="2"/>
  <c r="B694" i="2"/>
  <c r="D693" i="2"/>
  <c r="C693" i="2"/>
  <c r="H693" i="2"/>
  <c r="G693" i="2"/>
  <c r="F693" i="2"/>
  <c r="B693" i="2"/>
  <c r="D692" i="2"/>
  <c r="C692" i="2"/>
  <c r="H692" i="2"/>
  <c r="G692" i="2"/>
  <c r="F692" i="2"/>
  <c r="B692" i="2"/>
  <c r="D691" i="2"/>
  <c r="C691" i="2"/>
  <c r="H691" i="2"/>
  <c r="G691" i="2"/>
  <c r="F691" i="2"/>
  <c r="B691" i="2"/>
  <c r="D690" i="2"/>
  <c r="C690" i="2"/>
  <c r="H690" i="2"/>
  <c r="G690" i="2"/>
  <c r="F690" i="2"/>
  <c r="B690" i="2"/>
  <c r="D689" i="2"/>
  <c r="C689" i="2"/>
  <c r="H689" i="2"/>
  <c r="G689" i="2"/>
  <c r="F689" i="2"/>
  <c r="B689" i="2"/>
  <c r="D688" i="2"/>
  <c r="C688" i="2"/>
  <c r="H688" i="2"/>
  <c r="G688" i="2"/>
  <c r="F688" i="2"/>
  <c r="B688" i="2"/>
  <c r="D687" i="2"/>
  <c r="C687" i="2"/>
  <c r="H687" i="2"/>
  <c r="G687" i="2"/>
  <c r="F687" i="2"/>
  <c r="B687" i="2"/>
  <c r="D686" i="2"/>
  <c r="C686" i="2"/>
  <c r="H686" i="2"/>
  <c r="G686" i="2"/>
  <c r="F686" i="2"/>
  <c r="B686" i="2"/>
  <c r="D685" i="2"/>
  <c r="C685" i="2"/>
  <c r="H685" i="2"/>
  <c r="G685" i="2"/>
  <c r="F685" i="2"/>
  <c r="B685" i="2"/>
  <c r="D684" i="2"/>
  <c r="C684" i="2"/>
  <c r="H684" i="2"/>
  <c r="G684" i="2"/>
  <c r="F684" i="2"/>
  <c r="B684" i="2"/>
  <c r="D683" i="2"/>
  <c r="C683" i="2"/>
  <c r="H683" i="2"/>
  <c r="G683" i="2"/>
  <c r="F683" i="2"/>
  <c r="B683" i="2"/>
  <c r="D682" i="2"/>
  <c r="C682" i="2"/>
  <c r="H682" i="2"/>
  <c r="G682" i="2"/>
  <c r="F682" i="2"/>
  <c r="B682" i="2"/>
  <c r="D681" i="2"/>
  <c r="C681" i="2"/>
  <c r="H681" i="2"/>
  <c r="G681" i="2"/>
  <c r="F681" i="2"/>
  <c r="B681" i="2"/>
  <c r="D680" i="2"/>
  <c r="C680" i="2"/>
  <c r="H680" i="2"/>
  <c r="G680" i="2"/>
  <c r="F680" i="2"/>
  <c r="B680" i="2"/>
  <c r="D679" i="2"/>
  <c r="C679" i="2"/>
  <c r="H679" i="2"/>
  <c r="G679" i="2"/>
  <c r="F679" i="2"/>
  <c r="B679" i="2"/>
  <c r="D678" i="2"/>
  <c r="C678" i="2"/>
  <c r="H678" i="2"/>
  <c r="G678" i="2"/>
  <c r="F678" i="2"/>
  <c r="B678" i="2"/>
  <c r="D677" i="2"/>
  <c r="C677" i="2"/>
  <c r="H677" i="2"/>
  <c r="G677" i="2"/>
  <c r="F677" i="2"/>
  <c r="B677" i="2"/>
  <c r="D676" i="2"/>
  <c r="C676" i="2"/>
  <c r="H676" i="2"/>
  <c r="G676" i="2"/>
  <c r="F676" i="2"/>
  <c r="B676" i="2"/>
  <c r="D675" i="2"/>
  <c r="C675" i="2"/>
  <c r="H675" i="2"/>
  <c r="G675" i="2"/>
  <c r="F675" i="2"/>
  <c r="B675" i="2"/>
  <c r="D674" i="2"/>
  <c r="C674" i="2"/>
  <c r="H674" i="2"/>
  <c r="G674" i="2"/>
  <c r="F674" i="2"/>
  <c r="B674" i="2"/>
  <c r="D673" i="2"/>
  <c r="C673" i="2"/>
  <c r="H673" i="2"/>
  <c r="G673" i="2"/>
  <c r="F673" i="2"/>
  <c r="B673" i="2"/>
  <c r="D672" i="2"/>
  <c r="C672" i="2"/>
  <c r="H672" i="2"/>
  <c r="G672" i="2"/>
  <c r="F672" i="2"/>
  <c r="B672" i="2"/>
  <c r="D671" i="2"/>
  <c r="C671" i="2"/>
  <c r="H671" i="2"/>
  <c r="G671" i="2"/>
  <c r="F671" i="2"/>
  <c r="B671" i="2"/>
  <c r="D670" i="2"/>
  <c r="C670" i="2"/>
  <c r="H670" i="2"/>
  <c r="G670" i="2"/>
  <c r="F670" i="2"/>
  <c r="B670" i="2"/>
  <c r="D669" i="2"/>
  <c r="C669" i="2"/>
  <c r="H669" i="2"/>
  <c r="G669" i="2"/>
  <c r="F669" i="2"/>
  <c r="B669" i="2"/>
  <c r="D668" i="2"/>
  <c r="C668" i="2"/>
  <c r="H668" i="2"/>
  <c r="G668" i="2"/>
  <c r="F668" i="2"/>
  <c r="B668" i="2"/>
  <c r="D667" i="2"/>
  <c r="C667" i="2"/>
  <c r="H667" i="2"/>
  <c r="G667" i="2"/>
  <c r="F667" i="2"/>
  <c r="B667" i="2"/>
  <c r="D666" i="2"/>
  <c r="C666" i="2"/>
  <c r="H666" i="2"/>
  <c r="G666" i="2"/>
  <c r="F666" i="2"/>
  <c r="B666" i="2"/>
  <c r="D665" i="2"/>
  <c r="C665" i="2"/>
  <c r="H665" i="2"/>
  <c r="G665" i="2"/>
  <c r="F665" i="2"/>
  <c r="B665" i="2"/>
  <c r="D664" i="2"/>
  <c r="C664" i="2"/>
  <c r="H664" i="2"/>
  <c r="G664" i="2"/>
  <c r="F664" i="2"/>
  <c r="B664" i="2"/>
  <c r="D663" i="2"/>
  <c r="C663" i="2"/>
  <c r="H663" i="2"/>
  <c r="G663" i="2"/>
  <c r="F663" i="2"/>
  <c r="B663" i="2"/>
  <c r="D662" i="2"/>
  <c r="C662" i="2"/>
  <c r="H662" i="2"/>
  <c r="G662" i="2"/>
  <c r="F662" i="2"/>
  <c r="B662" i="2"/>
  <c r="D661" i="2"/>
  <c r="C661" i="2"/>
  <c r="H661" i="2"/>
  <c r="G661" i="2"/>
  <c r="F661" i="2"/>
  <c r="B661" i="2"/>
  <c r="D660" i="2"/>
  <c r="C660" i="2"/>
  <c r="H660" i="2"/>
  <c r="G660" i="2"/>
  <c r="F660" i="2"/>
  <c r="B660" i="2"/>
  <c r="D659" i="2"/>
  <c r="C659" i="2"/>
  <c r="H659" i="2"/>
  <c r="G659" i="2"/>
  <c r="F659" i="2"/>
  <c r="B659" i="2"/>
  <c r="D658" i="2"/>
  <c r="C658" i="2"/>
  <c r="H658" i="2"/>
  <c r="G658" i="2"/>
  <c r="F658" i="2"/>
  <c r="B658" i="2"/>
  <c r="D657" i="2"/>
  <c r="C657" i="2"/>
  <c r="H657" i="2"/>
  <c r="G657" i="2"/>
  <c r="F657" i="2"/>
  <c r="B657" i="2"/>
  <c r="D656" i="2"/>
  <c r="C656" i="2"/>
  <c r="H656" i="2"/>
  <c r="G656" i="2"/>
  <c r="F656" i="2"/>
  <c r="B656" i="2"/>
  <c r="D655" i="2"/>
  <c r="C655" i="2"/>
  <c r="H655" i="2"/>
  <c r="G655" i="2"/>
  <c r="F655" i="2"/>
  <c r="B655" i="2"/>
  <c r="D654" i="2"/>
  <c r="C654" i="2"/>
  <c r="H654" i="2"/>
  <c r="G654" i="2"/>
  <c r="F654" i="2"/>
  <c r="B654" i="2"/>
  <c r="D653" i="2"/>
  <c r="C653" i="2"/>
  <c r="H653" i="2"/>
  <c r="G653" i="2"/>
  <c r="F653" i="2"/>
  <c r="B653" i="2"/>
  <c r="D652" i="2"/>
  <c r="C652" i="2"/>
  <c r="H652" i="2"/>
  <c r="G652" i="2"/>
  <c r="F652" i="2"/>
  <c r="B652" i="2"/>
  <c r="D651" i="2"/>
  <c r="C651" i="2"/>
  <c r="H651" i="2"/>
  <c r="G651" i="2"/>
  <c r="F651" i="2"/>
  <c r="B651" i="2"/>
  <c r="D650" i="2"/>
  <c r="C650" i="2"/>
  <c r="H650" i="2"/>
  <c r="G650" i="2"/>
  <c r="F650" i="2"/>
  <c r="B650" i="2"/>
  <c r="D649" i="2"/>
  <c r="C649" i="2"/>
  <c r="H649" i="2"/>
  <c r="G649" i="2"/>
  <c r="F649" i="2"/>
  <c r="B649" i="2"/>
  <c r="D648" i="2"/>
  <c r="C648" i="2"/>
  <c r="H648" i="2"/>
  <c r="G648" i="2"/>
  <c r="F648" i="2"/>
  <c r="B648" i="2"/>
  <c r="D647" i="2"/>
  <c r="C647" i="2"/>
  <c r="H647" i="2"/>
  <c r="G647" i="2"/>
  <c r="F647" i="2"/>
  <c r="B647" i="2"/>
  <c r="D646" i="2"/>
  <c r="C646" i="2"/>
  <c r="H646" i="2"/>
  <c r="G646" i="2"/>
  <c r="F646" i="2"/>
  <c r="B646" i="2"/>
  <c r="D645" i="2"/>
  <c r="C645" i="2"/>
  <c r="H645" i="2"/>
  <c r="G645" i="2"/>
  <c r="F645" i="2"/>
  <c r="B645" i="2"/>
  <c r="D644" i="2"/>
  <c r="C644" i="2"/>
  <c r="H644" i="2"/>
  <c r="G644" i="2"/>
  <c r="F644" i="2"/>
  <c r="B644" i="2"/>
  <c r="D643" i="2"/>
  <c r="C643" i="2"/>
  <c r="H643" i="2"/>
  <c r="G643" i="2"/>
  <c r="F643" i="2"/>
  <c r="B643" i="2"/>
  <c r="D642" i="2"/>
  <c r="C642" i="2"/>
  <c r="H642" i="2"/>
  <c r="G642" i="2"/>
  <c r="F642" i="2"/>
  <c r="B642" i="2"/>
  <c r="D641" i="2"/>
  <c r="C641" i="2"/>
  <c r="H641" i="2"/>
  <c r="G641" i="2"/>
  <c r="F641" i="2"/>
  <c r="B641" i="2"/>
  <c r="D640" i="2"/>
  <c r="C640" i="2"/>
  <c r="H640" i="2"/>
  <c r="G640" i="2"/>
  <c r="F640" i="2"/>
  <c r="B640" i="2"/>
  <c r="D639" i="2"/>
  <c r="C639" i="2"/>
  <c r="H639" i="2"/>
  <c r="G639" i="2"/>
  <c r="F639" i="2"/>
  <c r="B639" i="2"/>
  <c r="D638" i="2"/>
  <c r="C638" i="2"/>
  <c r="H638" i="2"/>
  <c r="G638" i="2"/>
  <c r="F638" i="2"/>
  <c r="B638" i="2"/>
  <c r="D637" i="2"/>
  <c r="C637" i="2"/>
  <c r="H637" i="2"/>
  <c r="G637" i="2"/>
  <c r="F637" i="2"/>
  <c r="B637" i="2"/>
  <c r="D636" i="2"/>
  <c r="C636" i="2"/>
  <c r="H636" i="2"/>
  <c r="G636" i="2"/>
  <c r="F636" i="2"/>
  <c r="B636" i="2"/>
  <c r="D635" i="2"/>
  <c r="C635" i="2"/>
  <c r="H635" i="2"/>
  <c r="G635" i="2"/>
  <c r="F635" i="2"/>
  <c r="B635" i="2"/>
  <c r="D634" i="2"/>
  <c r="C634" i="2"/>
  <c r="H634" i="2"/>
  <c r="G634" i="2"/>
  <c r="F634" i="2"/>
  <c r="B634" i="2"/>
  <c r="D633" i="2"/>
  <c r="C633" i="2"/>
  <c r="H633" i="2"/>
  <c r="G633" i="2"/>
  <c r="F633" i="2"/>
  <c r="B633" i="2"/>
  <c r="D632" i="2"/>
  <c r="C632" i="2"/>
  <c r="H632" i="2"/>
  <c r="G632" i="2"/>
  <c r="F632" i="2"/>
  <c r="B632" i="2"/>
  <c r="D631" i="2"/>
  <c r="C631" i="2"/>
  <c r="H631" i="2"/>
  <c r="G631" i="2"/>
  <c r="F631" i="2"/>
  <c r="B631" i="2"/>
  <c r="D630" i="2"/>
  <c r="C630" i="2"/>
  <c r="H630" i="2"/>
  <c r="G630" i="2"/>
  <c r="F630" i="2"/>
  <c r="B630" i="2"/>
  <c r="D629" i="2"/>
  <c r="C629" i="2"/>
  <c r="H629" i="2"/>
  <c r="G629" i="2"/>
  <c r="F629" i="2"/>
  <c r="B629" i="2"/>
  <c r="D628" i="2"/>
  <c r="C628" i="2"/>
  <c r="H628" i="2"/>
  <c r="G628" i="2"/>
  <c r="F628" i="2"/>
  <c r="B628" i="2"/>
  <c r="D627" i="2"/>
  <c r="C627" i="2"/>
  <c r="H627" i="2"/>
  <c r="G627" i="2"/>
  <c r="F627" i="2"/>
  <c r="B627" i="2"/>
  <c r="D626" i="2"/>
  <c r="C626" i="2"/>
  <c r="H626" i="2"/>
  <c r="G626" i="2"/>
  <c r="F626" i="2"/>
  <c r="B626" i="2"/>
  <c r="D625" i="2"/>
  <c r="C625" i="2"/>
  <c r="H625" i="2"/>
  <c r="G625" i="2"/>
  <c r="F625" i="2"/>
  <c r="B625" i="2"/>
  <c r="D624" i="2"/>
  <c r="C624" i="2"/>
  <c r="H624" i="2"/>
  <c r="G624" i="2"/>
  <c r="F624" i="2"/>
  <c r="B624" i="2"/>
  <c r="D623" i="2"/>
  <c r="C623" i="2"/>
  <c r="H623" i="2"/>
  <c r="G623" i="2"/>
  <c r="F623" i="2"/>
  <c r="B623" i="2"/>
  <c r="D622" i="2"/>
  <c r="C622" i="2"/>
  <c r="H622" i="2"/>
  <c r="G622" i="2"/>
  <c r="F622" i="2"/>
  <c r="B622" i="2"/>
  <c r="D621" i="2"/>
  <c r="C621" i="2"/>
  <c r="H621" i="2"/>
  <c r="G621" i="2"/>
  <c r="F621" i="2"/>
  <c r="B621" i="2"/>
  <c r="D620" i="2"/>
  <c r="C620" i="2"/>
  <c r="H620" i="2"/>
  <c r="G620" i="2"/>
  <c r="F620" i="2"/>
  <c r="B620" i="2"/>
  <c r="D619" i="2"/>
  <c r="C619" i="2"/>
  <c r="H619" i="2"/>
  <c r="G619" i="2"/>
  <c r="F619" i="2"/>
  <c r="B619" i="2"/>
  <c r="D618" i="2"/>
  <c r="C618" i="2"/>
  <c r="H618" i="2"/>
  <c r="G618" i="2"/>
  <c r="F618" i="2"/>
  <c r="B618" i="2"/>
  <c r="D617" i="2"/>
  <c r="C617" i="2"/>
  <c r="H617" i="2"/>
  <c r="G617" i="2"/>
  <c r="F617" i="2"/>
  <c r="B617" i="2"/>
  <c r="D616" i="2"/>
  <c r="C616" i="2"/>
  <c r="H616" i="2"/>
  <c r="G616" i="2"/>
  <c r="F616" i="2"/>
  <c r="B616" i="2"/>
  <c r="D615" i="2"/>
  <c r="C615" i="2"/>
  <c r="H615" i="2"/>
  <c r="G615" i="2"/>
  <c r="F615" i="2"/>
  <c r="B615" i="2"/>
  <c r="D614" i="2"/>
  <c r="C614" i="2"/>
  <c r="H614" i="2"/>
  <c r="G614" i="2"/>
  <c r="F614" i="2"/>
  <c r="B614" i="2"/>
  <c r="D613" i="2"/>
  <c r="C613" i="2"/>
  <c r="H613" i="2"/>
  <c r="G613" i="2"/>
  <c r="F613" i="2"/>
  <c r="B613" i="2"/>
  <c r="D612" i="2"/>
  <c r="C612" i="2"/>
  <c r="H612" i="2"/>
  <c r="G612" i="2"/>
  <c r="F612" i="2"/>
  <c r="B612" i="2"/>
  <c r="D611" i="2"/>
  <c r="C611" i="2"/>
  <c r="H611" i="2"/>
  <c r="G611" i="2"/>
  <c r="F611" i="2"/>
  <c r="B611" i="2"/>
  <c r="D610" i="2"/>
  <c r="C610" i="2"/>
  <c r="H610" i="2"/>
  <c r="G610" i="2"/>
  <c r="F610" i="2"/>
  <c r="B610" i="2"/>
  <c r="D609" i="2"/>
  <c r="C609" i="2"/>
  <c r="H609" i="2"/>
  <c r="G609" i="2"/>
  <c r="F609" i="2"/>
  <c r="B609" i="2"/>
  <c r="D608" i="2"/>
  <c r="C608" i="2"/>
  <c r="H608" i="2"/>
  <c r="G608" i="2"/>
  <c r="F608" i="2"/>
  <c r="B608" i="2"/>
  <c r="D607" i="2"/>
  <c r="C607" i="2"/>
  <c r="H607" i="2"/>
  <c r="G607" i="2"/>
  <c r="F607" i="2"/>
  <c r="B607" i="2"/>
  <c r="D606" i="2"/>
  <c r="C606" i="2"/>
  <c r="H606" i="2"/>
  <c r="G606" i="2"/>
  <c r="F606" i="2"/>
  <c r="B606" i="2"/>
  <c r="D605" i="2"/>
  <c r="C605" i="2"/>
  <c r="H605" i="2"/>
  <c r="G605" i="2"/>
  <c r="F605" i="2"/>
  <c r="B605" i="2"/>
  <c r="D604" i="2"/>
  <c r="C604" i="2"/>
  <c r="H604" i="2"/>
  <c r="G604" i="2"/>
  <c r="F604" i="2"/>
  <c r="B604" i="2"/>
  <c r="D603" i="2"/>
  <c r="C603" i="2"/>
  <c r="H603" i="2"/>
  <c r="G603" i="2"/>
  <c r="F603" i="2"/>
  <c r="B603" i="2"/>
  <c r="D602" i="2"/>
  <c r="C602" i="2"/>
  <c r="H602" i="2"/>
  <c r="G602" i="2"/>
  <c r="F602" i="2"/>
  <c r="B602" i="2"/>
  <c r="D601" i="2"/>
  <c r="C601" i="2"/>
  <c r="H601" i="2"/>
  <c r="G601" i="2"/>
  <c r="F601" i="2"/>
  <c r="B601" i="2"/>
  <c r="D600" i="2"/>
  <c r="C600" i="2"/>
  <c r="H600" i="2"/>
  <c r="G600" i="2"/>
  <c r="F600" i="2"/>
  <c r="B600" i="2"/>
  <c r="D599" i="2"/>
  <c r="C599" i="2"/>
  <c r="H599" i="2"/>
  <c r="G599" i="2"/>
  <c r="F599" i="2"/>
  <c r="B599" i="2"/>
  <c r="D598" i="2"/>
  <c r="C598" i="2"/>
  <c r="H598" i="2"/>
  <c r="G598" i="2"/>
  <c r="F598" i="2"/>
  <c r="B598" i="2"/>
  <c r="D597" i="2"/>
  <c r="C597" i="2"/>
  <c r="H597" i="2"/>
  <c r="G597" i="2"/>
  <c r="F597" i="2"/>
  <c r="B597" i="2"/>
  <c r="D596" i="2"/>
  <c r="C596" i="2"/>
  <c r="H596" i="2"/>
  <c r="G596" i="2"/>
  <c r="F596" i="2"/>
  <c r="B596" i="2"/>
  <c r="D595" i="2"/>
  <c r="C595" i="2"/>
  <c r="H595" i="2"/>
  <c r="G595" i="2"/>
  <c r="F595" i="2"/>
  <c r="B595" i="2"/>
  <c r="D594" i="2"/>
  <c r="C594" i="2"/>
  <c r="H594" i="2"/>
  <c r="G594" i="2"/>
  <c r="F594" i="2"/>
  <c r="B594" i="2"/>
  <c r="D593" i="2"/>
  <c r="C593" i="2"/>
  <c r="H593" i="2"/>
  <c r="G593" i="2"/>
  <c r="F593" i="2"/>
  <c r="B593" i="2"/>
  <c r="D592" i="2"/>
  <c r="C592" i="2"/>
  <c r="H592" i="2"/>
  <c r="G592" i="2"/>
  <c r="F592" i="2"/>
  <c r="B592" i="2"/>
  <c r="D591" i="2"/>
  <c r="C591" i="2"/>
  <c r="H591" i="2"/>
  <c r="G591" i="2"/>
  <c r="F591" i="2"/>
  <c r="B591" i="2"/>
  <c r="D590" i="2"/>
  <c r="C590" i="2"/>
  <c r="H590" i="2"/>
  <c r="G590" i="2"/>
  <c r="F590" i="2"/>
  <c r="B590" i="2"/>
  <c r="D589" i="2"/>
  <c r="C589" i="2"/>
  <c r="H589" i="2"/>
  <c r="G589" i="2"/>
  <c r="F589" i="2"/>
  <c r="B589" i="2"/>
  <c r="D588" i="2"/>
  <c r="C588" i="2"/>
  <c r="H588" i="2"/>
  <c r="G588" i="2"/>
  <c r="F588" i="2"/>
  <c r="B588" i="2"/>
  <c r="D587" i="2"/>
  <c r="C587" i="2"/>
  <c r="H587" i="2"/>
  <c r="G587" i="2"/>
  <c r="F587" i="2"/>
  <c r="B587" i="2"/>
  <c r="D586" i="2"/>
  <c r="C586" i="2"/>
  <c r="H586" i="2"/>
  <c r="G586" i="2"/>
  <c r="F586" i="2"/>
  <c r="B586" i="2"/>
  <c r="D585" i="2"/>
  <c r="C585" i="2"/>
  <c r="H585" i="2"/>
  <c r="G585" i="2"/>
  <c r="F585" i="2"/>
  <c r="B585" i="2"/>
  <c r="D584" i="2"/>
  <c r="C584" i="2"/>
  <c r="H584" i="2"/>
  <c r="G584" i="2"/>
  <c r="F584" i="2"/>
  <c r="B584" i="2"/>
  <c r="D583" i="2"/>
  <c r="C583" i="2"/>
  <c r="H583" i="2"/>
  <c r="G583" i="2"/>
  <c r="F583" i="2"/>
  <c r="B583" i="2"/>
  <c r="D582" i="2"/>
  <c r="C582" i="2"/>
  <c r="H582" i="2"/>
  <c r="G582" i="2"/>
  <c r="F582" i="2"/>
  <c r="B582" i="2"/>
  <c r="D581" i="2"/>
  <c r="C581" i="2"/>
  <c r="H581" i="2"/>
  <c r="G581" i="2"/>
  <c r="F581" i="2"/>
  <c r="B581" i="2"/>
  <c r="D580" i="2"/>
  <c r="C580" i="2"/>
  <c r="H580" i="2"/>
  <c r="G580" i="2"/>
  <c r="F580" i="2"/>
  <c r="B580" i="2"/>
  <c r="D579" i="2"/>
  <c r="C579" i="2"/>
  <c r="H579" i="2"/>
  <c r="G579" i="2"/>
  <c r="F579" i="2"/>
  <c r="B579" i="2"/>
  <c r="D578" i="2"/>
  <c r="C578" i="2"/>
  <c r="H578" i="2"/>
  <c r="G578" i="2"/>
  <c r="F578" i="2"/>
  <c r="B578" i="2"/>
  <c r="D577" i="2"/>
  <c r="C577" i="2"/>
  <c r="H577" i="2"/>
  <c r="G577" i="2"/>
  <c r="F577" i="2"/>
  <c r="B577" i="2"/>
  <c r="D576" i="2"/>
  <c r="C576" i="2"/>
  <c r="H576" i="2"/>
  <c r="G576" i="2"/>
  <c r="F576" i="2"/>
  <c r="B576" i="2"/>
  <c r="D575" i="2"/>
  <c r="C575" i="2"/>
  <c r="H575" i="2"/>
  <c r="G575" i="2"/>
  <c r="F575" i="2"/>
  <c r="B575" i="2"/>
  <c r="D574" i="2"/>
  <c r="C574" i="2"/>
  <c r="H574" i="2"/>
  <c r="G574" i="2"/>
  <c r="F574" i="2"/>
  <c r="B574" i="2"/>
  <c r="D573" i="2"/>
  <c r="C573" i="2"/>
  <c r="H573" i="2"/>
  <c r="G573" i="2"/>
  <c r="F573" i="2"/>
  <c r="B573" i="2"/>
  <c r="D572" i="2"/>
  <c r="C572" i="2"/>
  <c r="H572" i="2"/>
  <c r="G572" i="2"/>
  <c r="F572" i="2"/>
  <c r="B572" i="2"/>
  <c r="D571" i="2"/>
  <c r="C571" i="2"/>
  <c r="H571" i="2"/>
  <c r="G571" i="2"/>
  <c r="F571" i="2"/>
  <c r="B571" i="2"/>
  <c r="D570" i="2"/>
  <c r="C570" i="2"/>
  <c r="H570" i="2"/>
  <c r="G570" i="2"/>
  <c r="F570" i="2"/>
  <c r="B570" i="2"/>
  <c r="D569" i="2"/>
  <c r="C569" i="2"/>
  <c r="H569" i="2"/>
  <c r="G569" i="2"/>
  <c r="F569" i="2"/>
  <c r="B569" i="2"/>
  <c r="D568" i="2"/>
  <c r="C568" i="2"/>
  <c r="H568" i="2"/>
  <c r="G568" i="2"/>
  <c r="F568" i="2"/>
  <c r="B568" i="2"/>
  <c r="D567" i="2"/>
  <c r="C567" i="2"/>
  <c r="H567" i="2"/>
  <c r="G567" i="2"/>
  <c r="F567" i="2"/>
  <c r="B567" i="2"/>
  <c r="D566" i="2"/>
  <c r="C566" i="2"/>
  <c r="H566" i="2"/>
  <c r="G566" i="2"/>
  <c r="F566" i="2"/>
  <c r="B566" i="2"/>
  <c r="D565" i="2"/>
  <c r="C565" i="2"/>
  <c r="H565" i="2"/>
  <c r="G565" i="2"/>
  <c r="F565" i="2"/>
  <c r="B565" i="2"/>
  <c r="D564" i="2"/>
  <c r="C564" i="2"/>
  <c r="H564" i="2"/>
  <c r="G564" i="2"/>
  <c r="F564" i="2"/>
  <c r="B564" i="2"/>
  <c r="D563" i="2"/>
  <c r="C563" i="2"/>
  <c r="H563" i="2"/>
  <c r="G563" i="2"/>
  <c r="F563" i="2"/>
  <c r="B563" i="2"/>
  <c r="D562" i="2"/>
  <c r="C562" i="2"/>
  <c r="H562" i="2"/>
  <c r="G562" i="2"/>
  <c r="F562" i="2"/>
  <c r="B562" i="2"/>
  <c r="D561" i="2"/>
  <c r="C561" i="2"/>
  <c r="H561" i="2"/>
  <c r="G561" i="2"/>
  <c r="F561" i="2"/>
  <c r="B561" i="2"/>
  <c r="D560" i="2"/>
  <c r="C560" i="2"/>
  <c r="H560" i="2"/>
  <c r="G560" i="2"/>
  <c r="F560" i="2"/>
  <c r="B560" i="2"/>
  <c r="D559" i="2"/>
  <c r="C559" i="2"/>
  <c r="H559" i="2"/>
  <c r="G559" i="2"/>
  <c r="F559" i="2"/>
  <c r="B559" i="2"/>
  <c r="D558" i="2"/>
  <c r="C558" i="2"/>
  <c r="H558" i="2"/>
  <c r="G558" i="2"/>
  <c r="F558" i="2"/>
  <c r="B558" i="2"/>
  <c r="D557" i="2"/>
  <c r="C557" i="2"/>
  <c r="H557" i="2"/>
  <c r="G557" i="2"/>
  <c r="F557" i="2"/>
  <c r="B557" i="2"/>
  <c r="D556" i="2"/>
  <c r="C556" i="2"/>
  <c r="H556" i="2"/>
  <c r="G556" i="2"/>
  <c r="F556" i="2"/>
  <c r="B556" i="2"/>
  <c r="D555" i="2"/>
  <c r="C555" i="2"/>
  <c r="H555" i="2"/>
  <c r="G555" i="2"/>
  <c r="F555" i="2"/>
  <c r="B555" i="2"/>
  <c r="D554" i="2"/>
  <c r="C554" i="2"/>
  <c r="H554" i="2"/>
  <c r="G554" i="2"/>
  <c r="F554" i="2"/>
  <c r="B554" i="2"/>
  <c r="D553" i="2"/>
  <c r="C553" i="2"/>
  <c r="H553" i="2"/>
  <c r="G553" i="2"/>
  <c r="F553" i="2"/>
  <c r="B553" i="2"/>
  <c r="D552" i="2"/>
  <c r="C552" i="2"/>
  <c r="H552" i="2"/>
  <c r="G552" i="2"/>
  <c r="F552" i="2"/>
  <c r="B552" i="2"/>
  <c r="D551" i="2"/>
  <c r="C551" i="2"/>
  <c r="H551" i="2"/>
  <c r="G551" i="2"/>
  <c r="F551" i="2"/>
  <c r="B551" i="2"/>
  <c r="D550" i="2"/>
  <c r="C550" i="2"/>
  <c r="H550" i="2"/>
  <c r="G550" i="2"/>
  <c r="F550" i="2"/>
  <c r="B550" i="2"/>
  <c r="D549" i="2"/>
  <c r="C549" i="2"/>
  <c r="H549" i="2"/>
  <c r="G549" i="2"/>
  <c r="F549" i="2"/>
  <c r="B549" i="2"/>
  <c r="D548" i="2"/>
  <c r="C548" i="2"/>
  <c r="H548" i="2"/>
  <c r="G548" i="2"/>
  <c r="F548" i="2"/>
  <c r="B548" i="2"/>
  <c r="D547" i="2"/>
  <c r="C547" i="2"/>
  <c r="H547" i="2"/>
  <c r="G547" i="2"/>
  <c r="F547" i="2"/>
  <c r="B547" i="2"/>
  <c r="D546" i="2"/>
  <c r="C546" i="2"/>
  <c r="H546" i="2"/>
  <c r="G546" i="2"/>
  <c r="F546" i="2"/>
  <c r="B546" i="2"/>
  <c r="D545" i="2"/>
  <c r="C545" i="2"/>
  <c r="H545" i="2"/>
  <c r="G545" i="2"/>
  <c r="F545" i="2"/>
  <c r="B545" i="2"/>
  <c r="D544" i="2"/>
  <c r="C544" i="2"/>
  <c r="H544" i="2"/>
  <c r="G544" i="2"/>
  <c r="F544" i="2"/>
  <c r="B544" i="2"/>
  <c r="D543" i="2"/>
  <c r="C543" i="2"/>
  <c r="H543" i="2"/>
  <c r="G543" i="2"/>
  <c r="F543" i="2"/>
  <c r="B543" i="2"/>
  <c r="D542" i="2"/>
  <c r="C542" i="2"/>
  <c r="H542" i="2"/>
  <c r="G542" i="2"/>
  <c r="F542" i="2"/>
  <c r="B542" i="2"/>
  <c r="D541" i="2"/>
  <c r="C541" i="2"/>
  <c r="H541" i="2"/>
  <c r="G541" i="2"/>
  <c r="F541" i="2"/>
  <c r="B541" i="2"/>
  <c r="D540" i="2"/>
  <c r="C540" i="2"/>
  <c r="H540" i="2"/>
  <c r="G540" i="2"/>
  <c r="F540" i="2"/>
  <c r="B540" i="2"/>
  <c r="D539" i="2"/>
  <c r="C539" i="2"/>
  <c r="H539" i="2"/>
  <c r="G539" i="2"/>
  <c r="F539" i="2"/>
  <c r="B539" i="2"/>
  <c r="D538" i="2"/>
  <c r="C538" i="2"/>
  <c r="H538" i="2"/>
  <c r="G538" i="2"/>
  <c r="F538" i="2"/>
  <c r="B538" i="2"/>
  <c r="D537" i="2"/>
  <c r="C537" i="2"/>
  <c r="H537" i="2"/>
  <c r="G537" i="2"/>
  <c r="F537" i="2"/>
  <c r="B537" i="2"/>
  <c r="D536" i="2"/>
  <c r="C536" i="2"/>
  <c r="H536" i="2"/>
  <c r="G536" i="2"/>
  <c r="F536" i="2"/>
  <c r="B536" i="2"/>
  <c r="D535" i="2"/>
  <c r="C535" i="2"/>
  <c r="H535" i="2"/>
  <c r="G535" i="2"/>
  <c r="F535" i="2"/>
  <c r="B535" i="2"/>
  <c r="D534" i="2"/>
  <c r="C534" i="2"/>
  <c r="H534" i="2"/>
  <c r="G534" i="2"/>
  <c r="F534" i="2"/>
  <c r="B534" i="2"/>
  <c r="D533" i="2"/>
  <c r="C533" i="2"/>
  <c r="H533" i="2"/>
  <c r="G533" i="2"/>
  <c r="F533" i="2"/>
  <c r="B533" i="2"/>
  <c r="D532" i="2"/>
  <c r="C532" i="2"/>
  <c r="H532" i="2"/>
  <c r="G532" i="2"/>
  <c r="F532" i="2"/>
  <c r="B532" i="2"/>
  <c r="D531" i="2"/>
  <c r="C531" i="2"/>
  <c r="H531" i="2"/>
  <c r="G531" i="2"/>
  <c r="F531" i="2"/>
  <c r="B531" i="2"/>
  <c r="D530" i="2"/>
  <c r="C530" i="2"/>
  <c r="H530" i="2"/>
  <c r="G530" i="2"/>
  <c r="F530" i="2"/>
  <c r="B530" i="2"/>
  <c r="D529" i="2"/>
  <c r="C529" i="2"/>
  <c r="H529" i="2"/>
  <c r="G529" i="2"/>
  <c r="F529" i="2"/>
  <c r="B529" i="2"/>
  <c r="D528" i="2"/>
  <c r="C528" i="2"/>
  <c r="H528" i="2"/>
  <c r="G528" i="2"/>
  <c r="F528" i="2"/>
  <c r="B528" i="2"/>
  <c r="D527" i="2"/>
  <c r="C527" i="2"/>
  <c r="H527" i="2"/>
  <c r="G527" i="2"/>
  <c r="F527" i="2"/>
  <c r="B527" i="2"/>
  <c r="D526" i="2"/>
  <c r="C526" i="2"/>
  <c r="H526" i="2"/>
  <c r="G526" i="2"/>
  <c r="F526" i="2"/>
  <c r="B526" i="2"/>
  <c r="D525" i="2"/>
  <c r="C525" i="2"/>
  <c r="H525" i="2"/>
  <c r="G525" i="2"/>
  <c r="F525" i="2"/>
  <c r="B525" i="2"/>
  <c r="D524" i="2"/>
  <c r="C524" i="2"/>
  <c r="H524" i="2"/>
  <c r="G524" i="2"/>
  <c r="F524" i="2"/>
  <c r="B524" i="2"/>
  <c r="D523" i="2"/>
  <c r="C523" i="2"/>
  <c r="H523" i="2"/>
  <c r="G523" i="2"/>
  <c r="F523" i="2"/>
  <c r="B523" i="2"/>
  <c r="D522" i="2"/>
  <c r="C522" i="2"/>
  <c r="H522" i="2"/>
  <c r="G522" i="2"/>
  <c r="F522" i="2"/>
  <c r="B522" i="2"/>
  <c r="D521" i="2"/>
  <c r="C521" i="2"/>
  <c r="H521" i="2"/>
  <c r="G521" i="2"/>
  <c r="F521" i="2"/>
  <c r="B521" i="2"/>
  <c r="D520" i="2"/>
  <c r="C520" i="2"/>
  <c r="H520" i="2"/>
  <c r="G520" i="2"/>
  <c r="F520" i="2"/>
  <c r="B520" i="2"/>
  <c r="D519" i="2"/>
  <c r="C519" i="2"/>
  <c r="H519" i="2"/>
  <c r="G519" i="2"/>
  <c r="F519" i="2"/>
  <c r="B519" i="2"/>
  <c r="D518" i="2"/>
  <c r="C518" i="2"/>
  <c r="H518" i="2"/>
  <c r="G518" i="2"/>
  <c r="F518" i="2"/>
  <c r="B518" i="2"/>
  <c r="D517" i="2"/>
  <c r="C517" i="2"/>
  <c r="H517" i="2"/>
  <c r="G517" i="2"/>
  <c r="F517" i="2"/>
  <c r="B517" i="2"/>
  <c r="D516" i="2"/>
  <c r="C516" i="2"/>
  <c r="H516" i="2"/>
  <c r="G516" i="2"/>
  <c r="F516" i="2"/>
  <c r="B516" i="2"/>
  <c r="D515" i="2"/>
  <c r="C515" i="2"/>
  <c r="H515" i="2"/>
  <c r="G515" i="2"/>
  <c r="F515" i="2"/>
  <c r="B515" i="2"/>
  <c r="D514" i="2"/>
  <c r="C514" i="2"/>
  <c r="H514" i="2"/>
  <c r="G514" i="2"/>
  <c r="F514" i="2"/>
  <c r="B514" i="2"/>
  <c r="D513" i="2"/>
  <c r="C513" i="2"/>
  <c r="H513" i="2"/>
  <c r="G513" i="2"/>
  <c r="F513" i="2"/>
  <c r="B513" i="2"/>
  <c r="D512" i="2"/>
  <c r="C512" i="2"/>
  <c r="H512" i="2"/>
  <c r="G512" i="2"/>
  <c r="F512" i="2"/>
  <c r="B512" i="2"/>
  <c r="D511" i="2"/>
  <c r="C511" i="2"/>
  <c r="H511" i="2"/>
  <c r="G511" i="2"/>
  <c r="F511" i="2"/>
  <c r="B511" i="2"/>
  <c r="D510" i="2"/>
  <c r="C510" i="2"/>
  <c r="H510" i="2"/>
  <c r="G510" i="2"/>
  <c r="F510" i="2"/>
  <c r="B510" i="2"/>
  <c r="D509" i="2"/>
  <c r="C509" i="2"/>
  <c r="H509" i="2"/>
  <c r="G509" i="2"/>
  <c r="F509" i="2"/>
  <c r="B509" i="2"/>
  <c r="D508" i="2"/>
  <c r="C508" i="2"/>
  <c r="H508" i="2"/>
  <c r="G508" i="2"/>
  <c r="F508" i="2"/>
  <c r="B508" i="2"/>
  <c r="D507" i="2"/>
  <c r="C507" i="2"/>
  <c r="H507" i="2"/>
  <c r="G507" i="2"/>
  <c r="F507" i="2"/>
  <c r="B507" i="2"/>
  <c r="D506" i="2"/>
  <c r="C506" i="2"/>
  <c r="H506" i="2"/>
  <c r="G506" i="2"/>
  <c r="F506" i="2"/>
  <c r="B506" i="2"/>
  <c r="D505" i="2"/>
  <c r="C505" i="2"/>
  <c r="H505" i="2"/>
  <c r="G505" i="2"/>
  <c r="F505" i="2"/>
  <c r="B505" i="2"/>
  <c r="D504" i="2"/>
  <c r="C504" i="2"/>
  <c r="H504" i="2"/>
  <c r="G504" i="2"/>
  <c r="F504" i="2"/>
  <c r="B504" i="2"/>
  <c r="D503" i="2"/>
  <c r="C503" i="2"/>
  <c r="H503" i="2"/>
  <c r="G503" i="2"/>
  <c r="F503" i="2"/>
  <c r="B503" i="2"/>
  <c r="D502" i="2"/>
  <c r="C502" i="2"/>
  <c r="H502" i="2"/>
  <c r="G502" i="2"/>
  <c r="F502" i="2"/>
  <c r="B502" i="2"/>
  <c r="D501" i="2"/>
  <c r="C501" i="2"/>
  <c r="H501" i="2"/>
  <c r="G501" i="2"/>
  <c r="F501" i="2"/>
  <c r="B501" i="2"/>
  <c r="D500" i="2"/>
  <c r="C500" i="2"/>
  <c r="H500" i="2"/>
  <c r="G500" i="2"/>
  <c r="F500" i="2"/>
  <c r="B500" i="2"/>
  <c r="D499" i="2"/>
  <c r="C499" i="2"/>
  <c r="H499" i="2"/>
  <c r="G499" i="2"/>
  <c r="F499" i="2"/>
  <c r="B499" i="2"/>
  <c r="D498" i="2"/>
  <c r="C498" i="2"/>
  <c r="H498" i="2"/>
  <c r="G498" i="2"/>
  <c r="F498" i="2"/>
  <c r="B498" i="2"/>
  <c r="D497" i="2"/>
  <c r="C497" i="2"/>
  <c r="H497" i="2"/>
  <c r="G497" i="2"/>
  <c r="F497" i="2"/>
  <c r="B497" i="2"/>
  <c r="D496" i="2"/>
  <c r="C496" i="2"/>
  <c r="H496" i="2"/>
  <c r="G496" i="2"/>
  <c r="F496" i="2"/>
  <c r="B496" i="2"/>
  <c r="D495" i="2"/>
  <c r="C495" i="2"/>
  <c r="H495" i="2"/>
  <c r="G495" i="2"/>
  <c r="F495" i="2"/>
  <c r="B495" i="2"/>
  <c r="D494" i="2"/>
  <c r="C494" i="2"/>
  <c r="H494" i="2"/>
  <c r="G494" i="2"/>
  <c r="F494" i="2"/>
  <c r="B494" i="2"/>
  <c r="D493" i="2"/>
  <c r="C493" i="2"/>
  <c r="H493" i="2"/>
  <c r="G493" i="2"/>
  <c r="F493" i="2"/>
  <c r="B493" i="2"/>
  <c r="D492" i="2"/>
  <c r="C492" i="2"/>
  <c r="H492" i="2"/>
  <c r="G492" i="2"/>
  <c r="F492" i="2"/>
  <c r="B492" i="2"/>
  <c r="D491" i="2"/>
  <c r="C491" i="2"/>
  <c r="H491" i="2"/>
  <c r="G491" i="2"/>
  <c r="F491" i="2"/>
  <c r="B491" i="2"/>
  <c r="D490" i="2"/>
  <c r="C490" i="2"/>
  <c r="H490" i="2"/>
  <c r="G490" i="2"/>
  <c r="F490" i="2"/>
  <c r="B490" i="2"/>
  <c r="D489" i="2"/>
  <c r="C489" i="2"/>
  <c r="H489" i="2"/>
  <c r="G489" i="2"/>
  <c r="F489" i="2"/>
  <c r="B489" i="2"/>
  <c r="D488" i="2"/>
  <c r="C488" i="2"/>
  <c r="H488" i="2"/>
  <c r="G488" i="2"/>
  <c r="F488" i="2"/>
  <c r="B488" i="2"/>
  <c r="D487" i="2"/>
  <c r="C487" i="2"/>
  <c r="H487" i="2"/>
  <c r="G487" i="2"/>
  <c r="F487" i="2"/>
  <c r="B487" i="2"/>
  <c r="D486" i="2"/>
  <c r="C486" i="2"/>
  <c r="H486" i="2"/>
  <c r="G486" i="2"/>
  <c r="F486" i="2"/>
  <c r="B486" i="2"/>
  <c r="D485" i="2"/>
  <c r="C485" i="2"/>
  <c r="H485" i="2"/>
  <c r="G485" i="2"/>
  <c r="F485" i="2"/>
  <c r="B485" i="2"/>
  <c r="D484" i="2"/>
  <c r="C484" i="2"/>
  <c r="H484" i="2"/>
  <c r="G484" i="2"/>
  <c r="F484" i="2"/>
  <c r="B484" i="2"/>
  <c r="D483" i="2"/>
  <c r="C483" i="2"/>
  <c r="H483" i="2"/>
  <c r="G483" i="2"/>
  <c r="F483" i="2"/>
  <c r="B483" i="2"/>
  <c r="D482" i="2"/>
  <c r="C482" i="2"/>
  <c r="H482" i="2"/>
  <c r="G482" i="2"/>
  <c r="F482" i="2"/>
  <c r="B482" i="2"/>
  <c r="D481" i="2"/>
  <c r="C481" i="2"/>
  <c r="H481" i="2"/>
  <c r="G481" i="2"/>
  <c r="F481" i="2"/>
  <c r="B481" i="2"/>
  <c r="D480" i="2"/>
  <c r="C480" i="2"/>
  <c r="H480" i="2"/>
  <c r="G480" i="2"/>
  <c r="F480" i="2"/>
  <c r="B480" i="2"/>
  <c r="D479" i="2"/>
  <c r="C479" i="2"/>
  <c r="H479" i="2"/>
  <c r="G479" i="2"/>
  <c r="F479" i="2"/>
  <c r="B479" i="2"/>
  <c r="D478" i="2"/>
  <c r="C478" i="2"/>
  <c r="H478" i="2"/>
  <c r="G478" i="2"/>
  <c r="F478" i="2"/>
  <c r="B478" i="2"/>
  <c r="D477" i="2"/>
  <c r="C477" i="2"/>
  <c r="H477" i="2"/>
  <c r="G477" i="2"/>
  <c r="F477" i="2"/>
  <c r="B477" i="2"/>
  <c r="D476" i="2"/>
  <c r="C476" i="2"/>
  <c r="H476" i="2"/>
  <c r="G476" i="2"/>
  <c r="F476" i="2"/>
  <c r="B476" i="2"/>
  <c r="D475" i="2"/>
  <c r="C475" i="2"/>
  <c r="H475" i="2"/>
  <c r="G475" i="2"/>
  <c r="F475" i="2"/>
  <c r="B475" i="2"/>
  <c r="D474" i="2"/>
  <c r="C474" i="2"/>
  <c r="H474" i="2"/>
  <c r="G474" i="2"/>
  <c r="F474" i="2"/>
  <c r="B474" i="2"/>
  <c r="D473" i="2"/>
  <c r="C473" i="2"/>
  <c r="H473" i="2"/>
  <c r="G473" i="2"/>
  <c r="F473" i="2"/>
  <c r="B473" i="2"/>
  <c r="D472" i="2"/>
  <c r="C472" i="2"/>
  <c r="H472" i="2"/>
  <c r="G472" i="2"/>
  <c r="F472" i="2"/>
  <c r="B472" i="2"/>
  <c r="D471" i="2"/>
  <c r="C471" i="2"/>
  <c r="H471" i="2"/>
  <c r="G471" i="2"/>
  <c r="F471" i="2"/>
  <c r="B471" i="2"/>
  <c r="D470" i="2"/>
  <c r="C470" i="2"/>
  <c r="H470" i="2"/>
  <c r="G470" i="2"/>
  <c r="F470" i="2"/>
  <c r="B470" i="2"/>
  <c r="D469" i="2"/>
  <c r="C469" i="2"/>
  <c r="H469" i="2"/>
  <c r="G469" i="2"/>
  <c r="F469" i="2"/>
  <c r="B469" i="2"/>
  <c r="D468" i="2"/>
  <c r="C468" i="2"/>
  <c r="H468" i="2"/>
  <c r="G468" i="2"/>
  <c r="F468" i="2"/>
  <c r="B468" i="2"/>
  <c r="D467" i="2"/>
  <c r="C467" i="2"/>
  <c r="H467" i="2"/>
  <c r="G467" i="2"/>
  <c r="F467" i="2"/>
  <c r="B467" i="2"/>
  <c r="D466" i="2"/>
  <c r="C466" i="2"/>
  <c r="H466" i="2"/>
  <c r="G466" i="2"/>
  <c r="F466" i="2"/>
  <c r="B466" i="2"/>
  <c r="D465" i="2"/>
  <c r="C465" i="2"/>
  <c r="H465" i="2"/>
  <c r="G465" i="2"/>
  <c r="F465" i="2"/>
  <c r="B465" i="2"/>
  <c r="D464" i="2"/>
  <c r="C464" i="2"/>
  <c r="H464" i="2"/>
  <c r="G464" i="2"/>
  <c r="F464" i="2"/>
  <c r="B464" i="2"/>
  <c r="D463" i="2"/>
  <c r="C463" i="2"/>
  <c r="H463" i="2"/>
  <c r="G463" i="2"/>
  <c r="F463" i="2"/>
  <c r="B463" i="2"/>
  <c r="D462" i="2"/>
  <c r="C462" i="2"/>
  <c r="H462" i="2"/>
  <c r="G462" i="2"/>
  <c r="F462" i="2"/>
  <c r="B462" i="2"/>
  <c r="D461" i="2"/>
  <c r="C461" i="2"/>
  <c r="H461" i="2"/>
  <c r="G461" i="2"/>
  <c r="F461" i="2"/>
  <c r="B461" i="2"/>
  <c r="D460" i="2"/>
  <c r="C460" i="2"/>
  <c r="H460" i="2"/>
  <c r="G460" i="2"/>
  <c r="F460" i="2"/>
  <c r="B460" i="2"/>
  <c r="D459" i="2"/>
  <c r="C459" i="2"/>
  <c r="H459" i="2"/>
  <c r="G459" i="2"/>
  <c r="F459" i="2"/>
  <c r="B459" i="2"/>
  <c r="D458" i="2"/>
  <c r="C458" i="2"/>
  <c r="H458" i="2"/>
  <c r="G458" i="2"/>
  <c r="F458" i="2"/>
  <c r="B458" i="2"/>
  <c r="D457" i="2"/>
  <c r="C457" i="2"/>
  <c r="H457" i="2"/>
  <c r="G457" i="2"/>
  <c r="F457" i="2"/>
  <c r="B457" i="2"/>
  <c r="D456" i="2"/>
  <c r="C456" i="2"/>
  <c r="H456" i="2"/>
  <c r="G456" i="2"/>
  <c r="F456" i="2"/>
  <c r="B456" i="2"/>
  <c r="D455" i="2"/>
  <c r="C455" i="2"/>
  <c r="H455" i="2"/>
  <c r="G455" i="2"/>
  <c r="F455" i="2"/>
  <c r="B455" i="2"/>
  <c r="D454" i="2"/>
  <c r="C454" i="2"/>
  <c r="H454" i="2"/>
  <c r="G454" i="2"/>
  <c r="F454" i="2"/>
  <c r="B454" i="2"/>
  <c r="D453" i="2"/>
  <c r="C453" i="2"/>
  <c r="H453" i="2"/>
  <c r="G453" i="2"/>
  <c r="F453" i="2"/>
  <c r="B453" i="2"/>
  <c r="D452" i="2"/>
  <c r="C452" i="2"/>
  <c r="H452" i="2"/>
  <c r="G452" i="2"/>
  <c r="F452" i="2"/>
  <c r="B452" i="2"/>
  <c r="D451" i="2"/>
  <c r="C451" i="2"/>
  <c r="H451" i="2"/>
  <c r="G451" i="2"/>
  <c r="F451" i="2"/>
  <c r="B451" i="2"/>
  <c r="D450" i="2"/>
  <c r="C450" i="2"/>
  <c r="H450" i="2"/>
  <c r="G450" i="2"/>
  <c r="F450" i="2"/>
  <c r="B450" i="2"/>
  <c r="D449" i="2"/>
  <c r="C449" i="2"/>
  <c r="H449" i="2"/>
  <c r="G449" i="2"/>
  <c r="F449" i="2"/>
  <c r="B449" i="2"/>
  <c r="D448" i="2"/>
  <c r="C448" i="2"/>
  <c r="H448" i="2"/>
  <c r="G448" i="2"/>
  <c r="F448" i="2"/>
  <c r="B448" i="2"/>
  <c r="D447" i="2"/>
  <c r="C447" i="2"/>
  <c r="H447" i="2"/>
  <c r="G447" i="2"/>
  <c r="F447" i="2"/>
  <c r="B447" i="2"/>
  <c r="D446" i="2"/>
  <c r="C446" i="2"/>
  <c r="H446" i="2"/>
  <c r="G446" i="2"/>
  <c r="F446" i="2"/>
  <c r="B446" i="2"/>
  <c r="D445" i="2"/>
  <c r="C445" i="2"/>
  <c r="H445" i="2"/>
  <c r="G445" i="2"/>
  <c r="F445" i="2"/>
  <c r="B445" i="2"/>
  <c r="D444" i="2"/>
  <c r="C444" i="2"/>
  <c r="H444" i="2"/>
  <c r="G444" i="2"/>
  <c r="F444" i="2"/>
  <c r="B444" i="2"/>
  <c r="D443" i="2"/>
  <c r="C443" i="2"/>
  <c r="H443" i="2"/>
  <c r="G443" i="2"/>
  <c r="F443" i="2"/>
  <c r="B443" i="2"/>
  <c r="D442" i="2"/>
  <c r="C442" i="2"/>
  <c r="H442" i="2"/>
  <c r="G442" i="2"/>
  <c r="F442" i="2"/>
  <c r="B442" i="2"/>
  <c r="D441" i="2"/>
  <c r="C441" i="2"/>
  <c r="H441" i="2"/>
  <c r="G441" i="2"/>
  <c r="F441" i="2"/>
  <c r="B441" i="2"/>
  <c r="D440" i="2"/>
  <c r="C440" i="2"/>
  <c r="H440" i="2"/>
  <c r="G440" i="2"/>
  <c r="F440" i="2"/>
  <c r="B440" i="2"/>
  <c r="D439" i="2"/>
  <c r="C439" i="2"/>
  <c r="H439" i="2"/>
  <c r="G439" i="2"/>
  <c r="F439" i="2"/>
  <c r="B439" i="2"/>
  <c r="D438" i="2"/>
  <c r="C438" i="2"/>
  <c r="H438" i="2"/>
  <c r="G438" i="2"/>
  <c r="F438" i="2"/>
  <c r="B438" i="2"/>
  <c r="D437" i="2"/>
  <c r="C437" i="2"/>
  <c r="H437" i="2"/>
  <c r="G437" i="2"/>
  <c r="F437" i="2"/>
  <c r="B437" i="2"/>
  <c r="D436" i="2"/>
  <c r="C436" i="2"/>
  <c r="H436" i="2"/>
  <c r="G436" i="2"/>
  <c r="F436" i="2"/>
  <c r="B436" i="2"/>
  <c r="D435" i="2"/>
  <c r="C435" i="2"/>
  <c r="H435" i="2"/>
  <c r="G435" i="2"/>
  <c r="F435" i="2"/>
  <c r="B435" i="2"/>
  <c r="D434" i="2"/>
  <c r="C434" i="2"/>
  <c r="H434" i="2"/>
  <c r="G434" i="2"/>
  <c r="F434" i="2"/>
  <c r="B434" i="2"/>
  <c r="D433" i="2"/>
  <c r="C433" i="2"/>
  <c r="H433" i="2"/>
  <c r="G433" i="2"/>
  <c r="F433" i="2"/>
  <c r="B433" i="2"/>
  <c r="D432" i="2"/>
  <c r="C432" i="2"/>
  <c r="H432" i="2"/>
  <c r="G432" i="2"/>
  <c r="F432" i="2"/>
  <c r="B432" i="2"/>
  <c r="D431" i="2"/>
  <c r="C431" i="2"/>
  <c r="H431" i="2"/>
  <c r="G431" i="2"/>
  <c r="F431" i="2"/>
  <c r="B431" i="2"/>
  <c r="D430" i="2"/>
  <c r="C430" i="2"/>
  <c r="H430" i="2"/>
  <c r="G430" i="2"/>
  <c r="F430" i="2"/>
  <c r="B430" i="2"/>
  <c r="D429" i="2"/>
  <c r="C429" i="2"/>
  <c r="H429" i="2"/>
  <c r="G429" i="2"/>
  <c r="F429" i="2"/>
  <c r="B429" i="2"/>
  <c r="D428" i="2"/>
  <c r="C428" i="2"/>
  <c r="H428" i="2"/>
  <c r="G428" i="2"/>
  <c r="F428" i="2"/>
  <c r="B428" i="2"/>
  <c r="D427" i="2"/>
  <c r="C427" i="2"/>
  <c r="H427" i="2"/>
  <c r="G427" i="2"/>
  <c r="F427" i="2"/>
  <c r="B427" i="2"/>
  <c r="D426" i="2"/>
  <c r="C426" i="2"/>
  <c r="H426" i="2"/>
  <c r="G426" i="2"/>
  <c r="F426" i="2"/>
  <c r="B426" i="2"/>
  <c r="D425" i="2"/>
  <c r="C425" i="2"/>
  <c r="H425" i="2"/>
  <c r="G425" i="2"/>
  <c r="F425" i="2"/>
  <c r="B425" i="2"/>
  <c r="D424" i="2"/>
  <c r="C424" i="2"/>
  <c r="H424" i="2"/>
  <c r="G424" i="2"/>
  <c r="F424" i="2"/>
  <c r="B424" i="2"/>
  <c r="D423" i="2"/>
  <c r="C423" i="2"/>
  <c r="H423" i="2"/>
  <c r="G423" i="2"/>
  <c r="F423" i="2"/>
  <c r="B423" i="2"/>
  <c r="D422" i="2"/>
  <c r="C422" i="2"/>
  <c r="H422" i="2"/>
  <c r="G422" i="2"/>
  <c r="F422" i="2"/>
  <c r="B422" i="2"/>
  <c r="D421" i="2"/>
  <c r="C421" i="2"/>
  <c r="H421" i="2"/>
  <c r="G421" i="2"/>
  <c r="F421" i="2"/>
  <c r="B421" i="2"/>
  <c r="D420" i="2"/>
  <c r="C420" i="2"/>
  <c r="H420" i="2"/>
  <c r="G420" i="2"/>
  <c r="F420" i="2"/>
  <c r="B420" i="2"/>
  <c r="D419" i="2"/>
  <c r="C419" i="2"/>
  <c r="H419" i="2"/>
  <c r="G419" i="2"/>
  <c r="F419" i="2"/>
  <c r="B419" i="2"/>
  <c r="D418" i="2"/>
  <c r="C418" i="2"/>
  <c r="H418" i="2"/>
  <c r="G418" i="2"/>
  <c r="F418" i="2"/>
  <c r="B418" i="2"/>
  <c r="D417" i="2"/>
  <c r="C417" i="2"/>
  <c r="H417" i="2"/>
  <c r="G417" i="2"/>
  <c r="F417" i="2"/>
  <c r="B417" i="2"/>
  <c r="D416" i="2"/>
  <c r="C416" i="2"/>
  <c r="H416" i="2"/>
  <c r="G416" i="2"/>
  <c r="F416" i="2"/>
  <c r="B416" i="2"/>
  <c r="D415" i="2"/>
  <c r="C415" i="2"/>
  <c r="H415" i="2"/>
  <c r="G415" i="2"/>
  <c r="F415" i="2"/>
  <c r="B415" i="2"/>
  <c r="D414" i="2"/>
  <c r="C414" i="2"/>
  <c r="H414" i="2"/>
  <c r="G414" i="2"/>
  <c r="F414" i="2"/>
  <c r="B414" i="2"/>
  <c r="D413" i="2"/>
  <c r="C413" i="2"/>
  <c r="H413" i="2"/>
  <c r="G413" i="2"/>
  <c r="F413" i="2"/>
  <c r="B413" i="2"/>
  <c r="D412" i="2"/>
  <c r="C412" i="2"/>
  <c r="H412" i="2"/>
  <c r="G412" i="2"/>
  <c r="F412" i="2"/>
  <c r="B412" i="2"/>
  <c r="D411" i="2"/>
  <c r="C411" i="2"/>
  <c r="H411" i="2"/>
  <c r="G411" i="2"/>
  <c r="F411" i="2"/>
  <c r="B411" i="2"/>
  <c r="D410" i="2"/>
  <c r="C410" i="2"/>
  <c r="H410" i="2"/>
  <c r="G410" i="2"/>
  <c r="F410" i="2"/>
  <c r="B410" i="2"/>
  <c r="D409" i="2"/>
  <c r="C409" i="2"/>
  <c r="H409" i="2"/>
  <c r="G409" i="2"/>
  <c r="F409" i="2"/>
  <c r="B409" i="2"/>
  <c r="D408" i="2"/>
  <c r="C408" i="2"/>
  <c r="H408" i="2"/>
  <c r="G408" i="2"/>
  <c r="F408" i="2"/>
  <c r="B408" i="2"/>
  <c r="D407" i="2"/>
  <c r="C407" i="2"/>
  <c r="H407" i="2"/>
  <c r="G407" i="2"/>
  <c r="F407" i="2"/>
  <c r="B407" i="2"/>
  <c r="D406" i="2"/>
  <c r="C406" i="2"/>
  <c r="H406" i="2"/>
  <c r="G406" i="2"/>
  <c r="F406" i="2"/>
  <c r="B406" i="2"/>
  <c r="D405" i="2"/>
  <c r="C405" i="2"/>
  <c r="H405" i="2"/>
  <c r="G405" i="2"/>
  <c r="F405" i="2"/>
  <c r="B405" i="2"/>
  <c r="D404" i="2"/>
  <c r="C404" i="2"/>
  <c r="H404" i="2"/>
  <c r="G404" i="2"/>
  <c r="F404" i="2"/>
  <c r="B404" i="2"/>
  <c r="D403" i="2"/>
  <c r="C403" i="2"/>
  <c r="H403" i="2"/>
  <c r="G403" i="2"/>
  <c r="F403" i="2"/>
  <c r="B403" i="2"/>
  <c r="D402" i="2"/>
  <c r="C402" i="2"/>
  <c r="H402" i="2"/>
  <c r="G402" i="2"/>
  <c r="F402" i="2"/>
  <c r="B402" i="2"/>
  <c r="D401" i="2"/>
  <c r="C401" i="2"/>
  <c r="H401" i="2"/>
  <c r="G401" i="2"/>
  <c r="F401" i="2"/>
  <c r="B401" i="2"/>
  <c r="D400" i="2"/>
  <c r="C400" i="2"/>
  <c r="H400" i="2"/>
  <c r="G400" i="2"/>
  <c r="F400" i="2"/>
  <c r="B400" i="2"/>
  <c r="D399" i="2"/>
  <c r="C399" i="2"/>
  <c r="H399" i="2"/>
  <c r="G399" i="2"/>
  <c r="F399" i="2"/>
  <c r="B399" i="2"/>
  <c r="D398" i="2"/>
  <c r="C398" i="2"/>
  <c r="H398" i="2"/>
  <c r="G398" i="2"/>
  <c r="F398" i="2"/>
  <c r="B398" i="2"/>
  <c r="D397" i="2"/>
  <c r="C397" i="2"/>
  <c r="H397" i="2"/>
  <c r="G397" i="2"/>
  <c r="F397" i="2"/>
  <c r="B397" i="2"/>
  <c r="D396" i="2"/>
  <c r="C396" i="2"/>
  <c r="H396" i="2"/>
  <c r="G396" i="2"/>
  <c r="F396" i="2"/>
  <c r="B396" i="2"/>
  <c r="D395" i="2"/>
  <c r="C395" i="2"/>
  <c r="H395" i="2"/>
  <c r="G395" i="2"/>
  <c r="F395" i="2"/>
  <c r="B395" i="2"/>
  <c r="D394" i="2"/>
  <c r="C394" i="2"/>
  <c r="H394" i="2"/>
  <c r="G394" i="2"/>
  <c r="F394" i="2"/>
  <c r="B394" i="2"/>
  <c r="D393" i="2"/>
  <c r="C393" i="2"/>
  <c r="H393" i="2"/>
  <c r="G393" i="2"/>
  <c r="F393" i="2"/>
  <c r="B393" i="2"/>
  <c r="D392" i="2"/>
  <c r="C392" i="2"/>
  <c r="H392" i="2"/>
  <c r="G392" i="2"/>
  <c r="F392" i="2"/>
  <c r="B392" i="2"/>
  <c r="D391" i="2"/>
  <c r="C391" i="2"/>
  <c r="H391" i="2"/>
  <c r="G391" i="2"/>
  <c r="F391" i="2"/>
  <c r="B391" i="2"/>
  <c r="D390" i="2"/>
  <c r="C390" i="2"/>
  <c r="H390" i="2"/>
  <c r="G390" i="2"/>
  <c r="F390" i="2"/>
  <c r="B390" i="2"/>
  <c r="D389" i="2"/>
  <c r="C389" i="2"/>
  <c r="H389" i="2"/>
  <c r="G389" i="2"/>
  <c r="F389" i="2"/>
  <c r="B389" i="2"/>
  <c r="D388" i="2"/>
  <c r="C388" i="2"/>
  <c r="H388" i="2"/>
  <c r="G388" i="2"/>
  <c r="F388" i="2"/>
  <c r="B388" i="2"/>
  <c r="D387" i="2"/>
  <c r="C387" i="2"/>
  <c r="H387" i="2"/>
  <c r="G387" i="2"/>
  <c r="F387" i="2"/>
  <c r="B387" i="2"/>
  <c r="D386" i="2"/>
  <c r="C386" i="2"/>
  <c r="H386" i="2"/>
  <c r="G386" i="2"/>
  <c r="F386" i="2"/>
  <c r="B386" i="2"/>
  <c r="D385" i="2"/>
  <c r="C385" i="2"/>
  <c r="H385" i="2"/>
  <c r="G385" i="2"/>
  <c r="F385" i="2"/>
  <c r="B385" i="2"/>
  <c r="D384" i="2"/>
  <c r="C384" i="2"/>
  <c r="H384" i="2"/>
  <c r="G384" i="2"/>
  <c r="F384" i="2"/>
  <c r="B384" i="2"/>
  <c r="D383" i="2"/>
  <c r="C383" i="2"/>
  <c r="H383" i="2"/>
  <c r="G383" i="2"/>
  <c r="F383" i="2"/>
  <c r="B383" i="2"/>
  <c r="D382" i="2"/>
  <c r="C382" i="2"/>
  <c r="H382" i="2"/>
  <c r="G382" i="2"/>
  <c r="F382" i="2"/>
  <c r="B382" i="2"/>
  <c r="D381" i="2"/>
  <c r="C381" i="2"/>
  <c r="H381" i="2"/>
  <c r="G381" i="2"/>
  <c r="F381" i="2"/>
  <c r="B381" i="2"/>
  <c r="D380" i="2"/>
  <c r="C380" i="2"/>
  <c r="H380" i="2"/>
  <c r="G380" i="2"/>
  <c r="F380" i="2"/>
  <c r="B380" i="2"/>
  <c r="D379" i="2"/>
  <c r="C379" i="2"/>
  <c r="H379" i="2"/>
  <c r="G379" i="2"/>
  <c r="F379" i="2"/>
  <c r="B379" i="2"/>
  <c r="D378" i="2"/>
  <c r="C378" i="2"/>
  <c r="H378" i="2"/>
  <c r="G378" i="2"/>
  <c r="F378" i="2"/>
  <c r="B378" i="2"/>
  <c r="D377" i="2"/>
  <c r="C377" i="2"/>
  <c r="H377" i="2"/>
  <c r="G377" i="2"/>
  <c r="F377" i="2"/>
  <c r="B377" i="2"/>
  <c r="D376" i="2"/>
  <c r="C376" i="2"/>
  <c r="H376" i="2"/>
  <c r="G376" i="2"/>
  <c r="F376" i="2"/>
  <c r="B376" i="2"/>
  <c r="D375" i="2"/>
  <c r="C375" i="2"/>
  <c r="H375" i="2"/>
  <c r="G375" i="2"/>
  <c r="F375" i="2"/>
  <c r="B375" i="2"/>
  <c r="D374" i="2"/>
  <c r="C374" i="2"/>
  <c r="H374" i="2"/>
  <c r="G374" i="2"/>
  <c r="F374" i="2"/>
  <c r="B374" i="2"/>
  <c r="D373" i="2"/>
  <c r="C373" i="2"/>
  <c r="H373" i="2"/>
  <c r="G373" i="2"/>
  <c r="F373" i="2"/>
  <c r="B373" i="2"/>
  <c r="D372" i="2"/>
  <c r="C372" i="2"/>
  <c r="H372" i="2"/>
  <c r="G372" i="2"/>
  <c r="F372" i="2"/>
  <c r="B372" i="2"/>
  <c r="D371" i="2"/>
  <c r="C371" i="2"/>
  <c r="H371" i="2"/>
  <c r="G371" i="2"/>
  <c r="F371" i="2"/>
  <c r="B371" i="2"/>
  <c r="D370" i="2"/>
  <c r="C370" i="2"/>
  <c r="H370" i="2"/>
  <c r="G370" i="2"/>
  <c r="F370" i="2"/>
  <c r="B370" i="2"/>
  <c r="D369" i="2"/>
  <c r="C369" i="2"/>
  <c r="H369" i="2"/>
  <c r="G369" i="2"/>
  <c r="F369" i="2"/>
  <c r="B369" i="2"/>
  <c r="D368" i="2"/>
  <c r="C368" i="2"/>
  <c r="H368" i="2"/>
  <c r="G368" i="2"/>
  <c r="F368" i="2"/>
  <c r="B368" i="2"/>
  <c r="D367" i="2"/>
  <c r="C367" i="2"/>
  <c r="H367" i="2"/>
  <c r="G367" i="2"/>
  <c r="F367" i="2"/>
  <c r="B367" i="2"/>
  <c r="D366" i="2"/>
  <c r="C366" i="2"/>
  <c r="H366" i="2"/>
  <c r="G366" i="2"/>
  <c r="F366" i="2"/>
  <c r="B366" i="2"/>
  <c r="D365" i="2"/>
  <c r="C365" i="2"/>
  <c r="H365" i="2"/>
  <c r="G365" i="2"/>
  <c r="F365" i="2"/>
  <c r="B365" i="2"/>
  <c r="D364" i="2"/>
  <c r="C364" i="2"/>
  <c r="H364" i="2"/>
  <c r="G364" i="2"/>
  <c r="F364" i="2"/>
  <c r="B364" i="2"/>
  <c r="D363" i="2"/>
  <c r="C363" i="2"/>
  <c r="H363" i="2"/>
  <c r="G363" i="2"/>
  <c r="F363" i="2"/>
  <c r="B363" i="2"/>
  <c r="D362" i="2"/>
  <c r="C362" i="2"/>
  <c r="H362" i="2"/>
  <c r="G362" i="2"/>
  <c r="F362" i="2"/>
  <c r="B362" i="2"/>
  <c r="D361" i="2"/>
  <c r="C361" i="2"/>
  <c r="H361" i="2"/>
  <c r="G361" i="2"/>
  <c r="F361" i="2"/>
  <c r="B361" i="2"/>
  <c r="D360" i="2"/>
  <c r="C360" i="2"/>
  <c r="H360" i="2"/>
  <c r="G360" i="2"/>
  <c r="F360" i="2"/>
  <c r="B360" i="2"/>
  <c r="D359" i="2"/>
  <c r="C359" i="2"/>
  <c r="H359" i="2"/>
  <c r="G359" i="2"/>
  <c r="F359" i="2"/>
  <c r="B359" i="2"/>
  <c r="D358" i="2"/>
  <c r="C358" i="2"/>
  <c r="H358" i="2"/>
  <c r="G358" i="2"/>
  <c r="F358" i="2"/>
  <c r="B358" i="2"/>
  <c r="D357" i="2"/>
  <c r="C357" i="2"/>
  <c r="H357" i="2"/>
  <c r="G357" i="2"/>
  <c r="F357" i="2"/>
  <c r="B357" i="2"/>
  <c r="D356" i="2"/>
  <c r="C356" i="2"/>
  <c r="H356" i="2"/>
  <c r="G356" i="2"/>
  <c r="F356" i="2"/>
  <c r="B356" i="2"/>
  <c r="D355" i="2"/>
  <c r="C355" i="2"/>
  <c r="H355" i="2"/>
  <c r="G355" i="2"/>
  <c r="F355" i="2"/>
  <c r="B355" i="2"/>
  <c r="D354" i="2"/>
  <c r="C354" i="2"/>
  <c r="H354" i="2"/>
  <c r="G354" i="2"/>
  <c r="F354" i="2"/>
  <c r="B354" i="2"/>
  <c r="D353" i="2"/>
  <c r="C353" i="2"/>
  <c r="H353" i="2"/>
  <c r="G353" i="2"/>
  <c r="F353" i="2"/>
  <c r="B353" i="2"/>
  <c r="D352" i="2"/>
  <c r="C352" i="2"/>
  <c r="H352" i="2"/>
  <c r="G352" i="2"/>
  <c r="F352" i="2"/>
  <c r="B352" i="2"/>
  <c r="D351" i="2"/>
  <c r="C351" i="2"/>
  <c r="H351" i="2"/>
  <c r="G351" i="2"/>
  <c r="F351" i="2"/>
  <c r="B351" i="2"/>
  <c r="D350" i="2"/>
  <c r="C350" i="2"/>
  <c r="H350" i="2"/>
  <c r="G350" i="2"/>
  <c r="F350" i="2"/>
  <c r="B350" i="2"/>
  <c r="D349" i="2"/>
  <c r="C349" i="2"/>
  <c r="H349" i="2"/>
  <c r="G349" i="2"/>
  <c r="F349" i="2"/>
  <c r="B349" i="2"/>
  <c r="D348" i="2"/>
  <c r="C348" i="2"/>
  <c r="H348" i="2"/>
  <c r="G348" i="2"/>
  <c r="F348" i="2"/>
  <c r="B348" i="2"/>
  <c r="D347" i="2"/>
  <c r="C347" i="2"/>
  <c r="H347" i="2"/>
  <c r="G347" i="2"/>
  <c r="F347" i="2"/>
  <c r="B347" i="2"/>
  <c r="D346" i="2"/>
  <c r="C346" i="2"/>
  <c r="H346" i="2"/>
  <c r="G346" i="2"/>
  <c r="F346" i="2"/>
  <c r="B346" i="2"/>
  <c r="D345" i="2"/>
  <c r="C345" i="2"/>
  <c r="H345" i="2"/>
  <c r="G345" i="2"/>
  <c r="F345" i="2"/>
  <c r="B345" i="2"/>
  <c r="D344" i="2"/>
  <c r="C344" i="2"/>
  <c r="H344" i="2"/>
  <c r="G344" i="2"/>
  <c r="F344" i="2"/>
  <c r="B344" i="2"/>
  <c r="D343" i="2"/>
  <c r="C343" i="2"/>
  <c r="H343" i="2"/>
  <c r="G343" i="2"/>
  <c r="F343" i="2"/>
  <c r="B343" i="2"/>
  <c r="D342" i="2"/>
  <c r="C342" i="2"/>
  <c r="H342" i="2"/>
  <c r="G342" i="2"/>
  <c r="F342" i="2"/>
  <c r="B342" i="2"/>
  <c r="D341" i="2"/>
  <c r="C341" i="2"/>
  <c r="H341" i="2"/>
  <c r="G341" i="2"/>
  <c r="F341" i="2"/>
  <c r="B341" i="2"/>
  <c r="D340" i="2"/>
  <c r="C340" i="2"/>
  <c r="H340" i="2"/>
  <c r="G340" i="2"/>
  <c r="F340" i="2"/>
  <c r="B340" i="2"/>
  <c r="D339" i="2"/>
  <c r="C339" i="2"/>
  <c r="H339" i="2"/>
  <c r="G339" i="2"/>
  <c r="F339" i="2"/>
  <c r="B339" i="2"/>
  <c r="D338" i="2"/>
  <c r="C338" i="2"/>
  <c r="H338" i="2"/>
  <c r="G338" i="2"/>
  <c r="F338" i="2"/>
  <c r="B338" i="2"/>
  <c r="D337" i="2"/>
  <c r="C337" i="2"/>
  <c r="H337" i="2"/>
  <c r="G337" i="2"/>
  <c r="F337" i="2"/>
  <c r="B337" i="2"/>
  <c r="D336" i="2"/>
  <c r="C336" i="2"/>
  <c r="H336" i="2"/>
  <c r="G336" i="2"/>
  <c r="F336" i="2"/>
  <c r="B336" i="2"/>
  <c r="D335" i="2"/>
  <c r="C335" i="2"/>
  <c r="H335" i="2"/>
  <c r="G335" i="2"/>
  <c r="F335" i="2"/>
  <c r="B335" i="2"/>
  <c r="D334" i="2"/>
  <c r="C334" i="2"/>
  <c r="H334" i="2"/>
  <c r="G334" i="2"/>
  <c r="F334" i="2"/>
  <c r="B334" i="2"/>
  <c r="D333" i="2"/>
  <c r="C333" i="2"/>
  <c r="H333" i="2"/>
  <c r="G333" i="2"/>
  <c r="F333" i="2"/>
  <c r="B333" i="2"/>
  <c r="D332" i="2"/>
  <c r="C332" i="2"/>
  <c r="H332" i="2"/>
  <c r="G332" i="2"/>
  <c r="F332" i="2"/>
  <c r="B332" i="2"/>
  <c r="D331" i="2"/>
  <c r="C331" i="2"/>
  <c r="H331" i="2"/>
  <c r="G331" i="2"/>
  <c r="F331" i="2"/>
  <c r="B331" i="2"/>
  <c r="D330" i="2"/>
  <c r="C330" i="2"/>
  <c r="H330" i="2"/>
  <c r="G330" i="2"/>
  <c r="F330" i="2"/>
  <c r="B330" i="2"/>
  <c r="D329" i="2"/>
  <c r="C329" i="2"/>
  <c r="H329" i="2"/>
  <c r="G329" i="2"/>
  <c r="F329" i="2"/>
  <c r="B329" i="2"/>
  <c r="D328" i="2"/>
  <c r="C328" i="2"/>
  <c r="H328" i="2"/>
  <c r="G328" i="2"/>
  <c r="F328" i="2"/>
  <c r="B328" i="2"/>
  <c r="D327" i="2"/>
  <c r="C327" i="2"/>
  <c r="H327" i="2"/>
  <c r="G327" i="2"/>
  <c r="F327" i="2"/>
  <c r="B327" i="2"/>
  <c r="D326" i="2"/>
  <c r="C326" i="2"/>
  <c r="H326" i="2"/>
  <c r="G326" i="2"/>
  <c r="F326" i="2"/>
  <c r="B326" i="2"/>
  <c r="D325" i="2"/>
  <c r="C325" i="2"/>
  <c r="H325" i="2"/>
  <c r="G325" i="2"/>
  <c r="F325" i="2"/>
  <c r="B325" i="2"/>
  <c r="D324" i="2"/>
  <c r="C324" i="2"/>
  <c r="H324" i="2"/>
  <c r="G324" i="2"/>
  <c r="F324" i="2"/>
  <c r="B324" i="2"/>
  <c r="D323" i="2"/>
  <c r="C323" i="2"/>
  <c r="H323" i="2"/>
  <c r="G323" i="2"/>
  <c r="F323" i="2"/>
  <c r="B323" i="2"/>
  <c r="D322" i="2"/>
  <c r="C322" i="2"/>
  <c r="H322" i="2"/>
  <c r="G322" i="2"/>
  <c r="F322" i="2"/>
  <c r="B322" i="2"/>
  <c r="D321" i="2"/>
  <c r="C321" i="2"/>
  <c r="H321" i="2"/>
  <c r="G321" i="2"/>
  <c r="F321" i="2"/>
  <c r="B321" i="2"/>
  <c r="D320" i="2"/>
  <c r="C320" i="2"/>
  <c r="H320" i="2"/>
  <c r="G320" i="2"/>
  <c r="F320" i="2"/>
  <c r="B320" i="2"/>
  <c r="D319" i="2"/>
  <c r="C319" i="2"/>
  <c r="H319" i="2"/>
  <c r="G319" i="2"/>
  <c r="F319" i="2"/>
  <c r="B319" i="2"/>
  <c r="D318" i="2"/>
  <c r="C318" i="2"/>
  <c r="H318" i="2"/>
  <c r="G318" i="2"/>
  <c r="F318" i="2"/>
  <c r="B318" i="2"/>
  <c r="D317" i="2"/>
  <c r="C317" i="2"/>
  <c r="H317" i="2"/>
  <c r="G317" i="2"/>
  <c r="F317" i="2"/>
  <c r="B317" i="2"/>
  <c r="D316" i="2"/>
  <c r="C316" i="2"/>
  <c r="H316" i="2"/>
  <c r="G316" i="2"/>
  <c r="F316" i="2"/>
  <c r="B316" i="2"/>
  <c r="D315" i="2"/>
  <c r="C315" i="2"/>
  <c r="H315" i="2"/>
  <c r="G315" i="2"/>
  <c r="F315" i="2"/>
  <c r="B315" i="2"/>
  <c r="D314" i="2"/>
  <c r="C314" i="2"/>
  <c r="H314" i="2"/>
  <c r="G314" i="2"/>
  <c r="F314" i="2"/>
  <c r="B314" i="2"/>
  <c r="D313" i="2"/>
  <c r="C313" i="2"/>
  <c r="H313" i="2"/>
  <c r="G313" i="2"/>
  <c r="F313" i="2"/>
  <c r="B313" i="2"/>
  <c r="D312" i="2"/>
  <c r="C312" i="2"/>
  <c r="H312" i="2"/>
  <c r="G312" i="2"/>
  <c r="F312" i="2"/>
  <c r="B312" i="2"/>
  <c r="D311" i="2"/>
  <c r="C311" i="2"/>
  <c r="H311" i="2"/>
  <c r="G311" i="2"/>
  <c r="F311" i="2"/>
  <c r="B311" i="2"/>
  <c r="D310" i="2"/>
  <c r="C310" i="2"/>
  <c r="H310" i="2"/>
  <c r="G310" i="2"/>
  <c r="F310" i="2"/>
  <c r="B310" i="2"/>
  <c r="D309" i="2"/>
  <c r="C309" i="2"/>
  <c r="H309" i="2"/>
  <c r="G309" i="2"/>
  <c r="F309" i="2"/>
  <c r="B309" i="2"/>
  <c r="D308" i="2"/>
  <c r="C308" i="2"/>
  <c r="H308" i="2"/>
  <c r="G308" i="2"/>
  <c r="F308" i="2"/>
  <c r="B308" i="2"/>
  <c r="D307" i="2"/>
  <c r="C307" i="2"/>
  <c r="H307" i="2"/>
  <c r="G307" i="2"/>
  <c r="F307" i="2"/>
  <c r="B307" i="2"/>
  <c r="D306" i="2"/>
  <c r="C306" i="2"/>
  <c r="H306" i="2"/>
  <c r="G306" i="2"/>
  <c r="F306" i="2"/>
  <c r="B306" i="2"/>
  <c r="D305" i="2"/>
  <c r="C305" i="2"/>
  <c r="H305" i="2"/>
  <c r="G305" i="2"/>
  <c r="F305" i="2"/>
  <c r="B305" i="2"/>
  <c r="D304" i="2"/>
  <c r="C304" i="2"/>
  <c r="H304" i="2"/>
  <c r="G304" i="2"/>
  <c r="F304" i="2"/>
  <c r="B304" i="2"/>
  <c r="D303" i="2"/>
  <c r="C303" i="2"/>
  <c r="H303" i="2"/>
  <c r="G303" i="2"/>
  <c r="F303" i="2"/>
  <c r="B303" i="2"/>
  <c r="D302" i="2"/>
  <c r="C302" i="2"/>
  <c r="H302" i="2"/>
  <c r="G302" i="2"/>
  <c r="F302" i="2"/>
  <c r="B302" i="2"/>
  <c r="D301" i="2"/>
  <c r="C301" i="2"/>
  <c r="H301" i="2"/>
  <c r="G301" i="2"/>
  <c r="F301" i="2"/>
  <c r="B301" i="2"/>
  <c r="D300" i="2"/>
  <c r="C300" i="2"/>
  <c r="H300" i="2"/>
  <c r="G300" i="2"/>
  <c r="F300" i="2"/>
  <c r="B300" i="2"/>
  <c r="D299" i="2"/>
  <c r="C299" i="2"/>
  <c r="H299" i="2"/>
  <c r="G299" i="2"/>
  <c r="F299" i="2"/>
  <c r="B299" i="2"/>
  <c r="D298" i="2"/>
  <c r="C298" i="2"/>
  <c r="H298" i="2"/>
  <c r="G298" i="2"/>
  <c r="F298" i="2"/>
  <c r="B298" i="2"/>
  <c r="D297" i="2"/>
  <c r="C297" i="2"/>
  <c r="H297" i="2"/>
  <c r="G297" i="2"/>
  <c r="F297" i="2"/>
  <c r="B297" i="2"/>
  <c r="D296" i="2"/>
  <c r="C296" i="2"/>
  <c r="H296" i="2"/>
  <c r="G296" i="2"/>
  <c r="F296" i="2"/>
  <c r="B296" i="2"/>
  <c r="D295" i="2"/>
  <c r="C295" i="2"/>
  <c r="H295" i="2"/>
  <c r="G295" i="2"/>
  <c r="F295" i="2"/>
  <c r="B295" i="2"/>
  <c r="D294" i="2"/>
  <c r="C294" i="2"/>
  <c r="H294" i="2"/>
  <c r="G294" i="2"/>
  <c r="F294" i="2"/>
  <c r="B294" i="2"/>
  <c r="D293" i="2"/>
  <c r="C293" i="2"/>
  <c r="H293" i="2"/>
  <c r="G293" i="2"/>
  <c r="F293" i="2"/>
  <c r="B293" i="2"/>
  <c r="D292" i="2"/>
  <c r="C292" i="2"/>
  <c r="H292" i="2"/>
  <c r="G292" i="2"/>
  <c r="F292" i="2"/>
  <c r="B292" i="2"/>
  <c r="D291" i="2"/>
  <c r="C291" i="2"/>
  <c r="H291" i="2"/>
  <c r="G291" i="2"/>
  <c r="F291" i="2"/>
  <c r="B291" i="2"/>
  <c r="D290" i="2"/>
  <c r="C290" i="2"/>
  <c r="H290" i="2"/>
  <c r="G290" i="2"/>
  <c r="F290" i="2"/>
  <c r="B290" i="2"/>
  <c r="D289" i="2"/>
  <c r="C289" i="2"/>
  <c r="H289" i="2"/>
  <c r="G289" i="2"/>
  <c r="F289" i="2"/>
  <c r="B289" i="2"/>
  <c r="D288" i="2"/>
  <c r="C288" i="2"/>
  <c r="H288" i="2"/>
  <c r="G288" i="2"/>
  <c r="F288" i="2"/>
  <c r="B288" i="2"/>
  <c r="D287" i="2"/>
  <c r="C287" i="2"/>
  <c r="H287" i="2"/>
  <c r="G287" i="2"/>
  <c r="F287" i="2"/>
  <c r="B287" i="2"/>
  <c r="D286" i="2"/>
  <c r="C286" i="2"/>
  <c r="H286" i="2"/>
  <c r="G286" i="2"/>
  <c r="F286" i="2"/>
  <c r="B286" i="2"/>
  <c r="D285" i="2"/>
  <c r="C285" i="2"/>
  <c r="H285" i="2"/>
  <c r="G285" i="2"/>
  <c r="F285" i="2"/>
  <c r="B285" i="2"/>
  <c r="D284" i="2"/>
  <c r="C284" i="2"/>
  <c r="H284" i="2"/>
  <c r="G284" i="2"/>
  <c r="F284" i="2"/>
  <c r="B284" i="2"/>
  <c r="D283" i="2"/>
  <c r="C283" i="2"/>
  <c r="H283" i="2"/>
  <c r="G283" i="2"/>
  <c r="F283" i="2"/>
  <c r="B283" i="2"/>
  <c r="D282" i="2"/>
  <c r="C282" i="2"/>
  <c r="H282" i="2"/>
  <c r="G282" i="2"/>
  <c r="F282" i="2"/>
  <c r="B282" i="2"/>
  <c r="D281" i="2"/>
  <c r="C281" i="2"/>
  <c r="H281" i="2"/>
  <c r="G281" i="2"/>
  <c r="F281" i="2"/>
  <c r="B281" i="2"/>
  <c r="D280" i="2"/>
  <c r="C280" i="2"/>
  <c r="H280" i="2"/>
  <c r="G280" i="2"/>
  <c r="F280" i="2"/>
  <c r="B280" i="2"/>
  <c r="D279" i="2"/>
  <c r="C279" i="2"/>
  <c r="H279" i="2"/>
  <c r="G279" i="2"/>
  <c r="F279" i="2"/>
  <c r="B279" i="2"/>
  <c r="D278" i="2"/>
  <c r="C278" i="2"/>
  <c r="H278" i="2"/>
  <c r="G278" i="2"/>
  <c r="F278" i="2"/>
  <c r="B278" i="2"/>
  <c r="D277" i="2"/>
  <c r="C277" i="2"/>
  <c r="H277" i="2"/>
  <c r="G277" i="2"/>
  <c r="F277" i="2"/>
  <c r="B277" i="2"/>
  <c r="D276" i="2"/>
  <c r="C276" i="2"/>
  <c r="H276" i="2"/>
  <c r="G276" i="2"/>
  <c r="F276" i="2"/>
  <c r="B276" i="2"/>
  <c r="D275" i="2"/>
  <c r="C275" i="2"/>
  <c r="H275" i="2"/>
  <c r="G275" i="2"/>
  <c r="F275" i="2"/>
  <c r="B275" i="2"/>
  <c r="D274" i="2"/>
  <c r="C274" i="2"/>
  <c r="H274" i="2"/>
  <c r="G274" i="2"/>
  <c r="F274" i="2"/>
  <c r="B274" i="2"/>
  <c r="D273" i="2"/>
  <c r="C273" i="2"/>
  <c r="H273" i="2"/>
  <c r="G273" i="2"/>
  <c r="F273" i="2"/>
  <c r="B273" i="2"/>
  <c r="D272" i="2"/>
  <c r="C272" i="2"/>
  <c r="H272" i="2"/>
  <c r="G272" i="2"/>
  <c r="F272" i="2"/>
  <c r="B272" i="2"/>
  <c r="D271" i="2"/>
  <c r="C271" i="2"/>
  <c r="H271" i="2"/>
  <c r="G271" i="2"/>
  <c r="F271" i="2"/>
  <c r="B271" i="2"/>
  <c r="D270" i="2"/>
  <c r="C270" i="2"/>
  <c r="H270" i="2"/>
  <c r="G270" i="2"/>
  <c r="F270" i="2"/>
  <c r="B270" i="2"/>
  <c r="D269" i="2"/>
  <c r="C269" i="2"/>
  <c r="H269" i="2"/>
  <c r="G269" i="2"/>
  <c r="F269" i="2"/>
  <c r="B269" i="2"/>
  <c r="D268" i="2"/>
  <c r="C268" i="2"/>
  <c r="H268" i="2"/>
  <c r="G268" i="2"/>
  <c r="F268" i="2"/>
  <c r="B268" i="2"/>
  <c r="D267" i="2"/>
  <c r="C267" i="2"/>
  <c r="H267" i="2"/>
  <c r="G267" i="2"/>
  <c r="F267" i="2"/>
  <c r="B267" i="2"/>
  <c r="D266" i="2"/>
  <c r="C266" i="2"/>
  <c r="H266" i="2"/>
  <c r="G266" i="2"/>
  <c r="F266" i="2"/>
  <c r="B266" i="2"/>
  <c r="D265" i="2"/>
  <c r="C265" i="2"/>
  <c r="H265" i="2"/>
  <c r="G265" i="2"/>
  <c r="F265" i="2"/>
  <c r="B265" i="2"/>
  <c r="D264" i="2"/>
  <c r="C264" i="2"/>
  <c r="H264" i="2"/>
  <c r="G264" i="2"/>
  <c r="F264" i="2"/>
  <c r="B264" i="2"/>
  <c r="D263" i="2"/>
  <c r="C263" i="2"/>
  <c r="H263" i="2"/>
  <c r="G263" i="2"/>
  <c r="F263" i="2"/>
  <c r="B263" i="2"/>
  <c r="D262" i="2"/>
  <c r="C262" i="2"/>
  <c r="H262" i="2"/>
  <c r="G262" i="2"/>
  <c r="F262" i="2"/>
  <c r="B262" i="2"/>
  <c r="D261" i="2"/>
  <c r="C261" i="2"/>
  <c r="H261" i="2"/>
  <c r="G261" i="2"/>
  <c r="F261" i="2"/>
  <c r="B261" i="2"/>
  <c r="D260" i="2"/>
  <c r="C260" i="2"/>
  <c r="H260" i="2"/>
  <c r="G260" i="2"/>
  <c r="F260" i="2"/>
  <c r="B260" i="2"/>
  <c r="D259" i="2"/>
  <c r="C259" i="2"/>
  <c r="H259" i="2"/>
  <c r="G259" i="2"/>
  <c r="F259" i="2"/>
  <c r="B259" i="2"/>
  <c r="D258" i="2"/>
  <c r="C258" i="2"/>
  <c r="H258" i="2"/>
  <c r="G258" i="2"/>
  <c r="F258" i="2"/>
  <c r="B258" i="2"/>
  <c r="D257" i="2"/>
  <c r="C257" i="2"/>
  <c r="H257" i="2"/>
  <c r="G257" i="2"/>
  <c r="F257" i="2"/>
  <c r="B257" i="2"/>
  <c r="D256" i="2"/>
  <c r="C256" i="2"/>
  <c r="H256" i="2"/>
  <c r="G256" i="2"/>
  <c r="F256" i="2"/>
  <c r="B256" i="2"/>
  <c r="D255" i="2"/>
  <c r="C255" i="2"/>
  <c r="H255" i="2"/>
  <c r="G255" i="2"/>
  <c r="F255" i="2"/>
  <c r="B255" i="2"/>
  <c r="D254" i="2"/>
  <c r="C254" i="2"/>
  <c r="H254" i="2"/>
  <c r="G254" i="2"/>
  <c r="F254" i="2"/>
  <c r="B254" i="2"/>
  <c r="D253" i="2"/>
  <c r="C253" i="2"/>
  <c r="H253" i="2"/>
  <c r="G253" i="2"/>
  <c r="F253" i="2"/>
  <c r="B253" i="2"/>
  <c r="D252" i="2"/>
  <c r="C252" i="2"/>
  <c r="H252" i="2"/>
  <c r="G252" i="2"/>
  <c r="F252" i="2"/>
  <c r="B252" i="2"/>
  <c r="D251" i="2"/>
  <c r="C251" i="2"/>
  <c r="H251" i="2"/>
  <c r="G251" i="2"/>
  <c r="F251" i="2"/>
  <c r="B251" i="2"/>
  <c r="D250" i="2"/>
  <c r="C250" i="2"/>
  <c r="H250" i="2"/>
  <c r="G250" i="2"/>
  <c r="F250" i="2"/>
  <c r="B250" i="2"/>
  <c r="D249" i="2"/>
  <c r="C249" i="2"/>
  <c r="H249" i="2"/>
  <c r="G249" i="2"/>
  <c r="F249" i="2"/>
  <c r="B249" i="2"/>
  <c r="D248" i="2"/>
  <c r="C248" i="2"/>
  <c r="H248" i="2"/>
  <c r="G248" i="2"/>
  <c r="F248" i="2"/>
  <c r="B248" i="2"/>
  <c r="D247" i="2"/>
  <c r="C247" i="2"/>
  <c r="H247" i="2"/>
  <c r="G247" i="2"/>
  <c r="F247" i="2"/>
  <c r="B247" i="2"/>
  <c r="D246" i="2"/>
  <c r="C246" i="2"/>
  <c r="H246" i="2"/>
  <c r="G246" i="2"/>
  <c r="F246" i="2"/>
  <c r="B246" i="2"/>
  <c r="D245" i="2"/>
  <c r="C245" i="2"/>
  <c r="H245" i="2"/>
  <c r="G245" i="2"/>
  <c r="F245" i="2"/>
  <c r="B245" i="2"/>
  <c r="D244" i="2"/>
  <c r="C244" i="2"/>
  <c r="H244" i="2"/>
  <c r="G244" i="2"/>
  <c r="F244" i="2"/>
  <c r="B244" i="2"/>
  <c r="D243" i="2"/>
  <c r="C243" i="2"/>
  <c r="H243" i="2"/>
  <c r="G243" i="2"/>
  <c r="F243" i="2"/>
  <c r="B243" i="2"/>
  <c r="D242" i="2"/>
  <c r="C242" i="2"/>
  <c r="H242" i="2"/>
  <c r="G242" i="2"/>
  <c r="F242" i="2"/>
  <c r="B242" i="2"/>
  <c r="D241" i="2"/>
  <c r="C241" i="2"/>
  <c r="H241" i="2"/>
  <c r="G241" i="2"/>
  <c r="F241" i="2"/>
  <c r="B241" i="2"/>
  <c r="D240" i="2"/>
  <c r="C240" i="2"/>
  <c r="H240" i="2"/>
  <c r="G240" i="2"/>
  <c r="F240" i="2"/>
  <c r="B240" i="2"/>
  <c r="D239" i="2"/>
  <c r="C239" i="2"/>
  <c r="H239" i="2"/>
  <c r="G239" i="2"/>
  <c r="F239" i="2"/>
  <c r="B239" i="2"/>
  <c r="D238" i="2"/>
  <c r="C238" i="2"/>
  <c r="H238" i="2"/>
  <c r="G238" i="2"/>
  <c r="F238" i="2"/>
  <c r="B238" i="2"/>
  <c r="D237" i="2"/>
  <c r="C237" i="2"/>
  <c r="H237" i="2"/>
  <c r="G237" i="2"/>
  <c r="F237" i="2"/>
  <c r="B237" i="2"/>
  <c r="D236" i="2"/>
  <c r="C236" i="2"/>
  <c r="H236" i="2"/>
  <c r="G236" i="2"/>
  <c r="F236" i="2"/>
  <c r="B236" i="2"/>
  <c r="D235" i="2"/>
  <c r="C235" i="2"/>
  <c r="H235" i="2"/>
  <c r="G235" i="2"/>
  <c r="F235" i="2"/>
  <c r="B235" i="2"/>
  <c r="D234" i="2"/>
  <c r="C234" i="2"/>
  <c r="H234" i="2"/>
  <c r="G234" i="2"/>
  <c r="F234" i="2"/>
  <c r="B234" i="2"/>
  <c r="D233" i="2"/>
  <c r="C233" i="2"/>
  <c r="H233" i="2"/>
  <c r="G233" i="2"/>
  <c r="F233" i="2"/>
  <c r="B233" i="2"/>
  <c r="D232" i="2"/>
  <c r="C232" i="2"/>
  <c r="H232" i="2"/>
  <c r="G232" i="2"/>
  <c r="F232" i="2"/>
  <c r="B232" i="2"/>
  <c r="D231" i="2"/>
  <c r="C231" i="2"/>
  <c r="H231" i="2"/>
  <c r="G231" i="2"/>
  <c r="F231" i="2"/>
  <c r="B231" i="2"/>
  <c r="D230" i="2"/>
  <c r="C230" i="2"/>
  <c r="H230" i="2"/>
  <c r="G230" i="2"/>
  <c r="F230" i="2"/>
  <c r="B230" i="2"/>
  <c r="D229" i="2"/>
  <c r="C229" i="2"/>
  <c r="H229" i="2"/>
  <c r="G229" i="2"/>
  <c r="F229" i="2"/>
  <c r="B229" i="2"/>
  <c r="D228" i="2"/>
  <c r="C228" i="2"/>
  <c r="H228" i="2"/>
  <c r="G228" i="2"/>
  <c r="F228" i="2"/>
  <c r="B228" i="2"/>
  <c r="D227" i="2"/>
  <c r="C227" i="2"/>
  <c r="H227" i="2"/>
  <c r="G227" i="2"/>
  <c r="F227" i="2"/>
  <c r="B227" i="2"/>
  <c r="D226" i="2"/>
  <c r="C226" i="2"/>
  <c r="H226" i="2"/>
  <c r="G226" i="2"/>
  <c r="F226" i="2"/>
  <c r="B226" i="2"/>
  <c r="D225" i="2"/>
  <c r="C225" i="2"/>
  <c r="H225" i="2"/>
  <c r="G225" i="2"/>
  <c r="F225" i="2"/>
  <c r="B225" i="2"/>
  <c r="D224" i="2"/>
  <c r="C224" i="2"/>
  <c r="H224" i="2"/>
  <c r="G224" i="2"/>
  <c r="F224" i="2"/>
  <c r="B224" i="2"/>
  <c r="D223" i="2"/>
  <c r="C223" i="2"/>
  <c r="H223" i="2"/>
  <c r="G223" i="2"/>
  <c r="F223" i="2"/>
  <c r="B223" i="2"/>
  <c r="D222" i="2"/>
  <c r="C222" i="2"/>
  <c r="H222" i="2"/>
  <c r="G222" i="2"/>
  <c r="F222" i="2"/>
  <c r="B222" i="2"/>
  <c r="D221" i="2"/>
  <c r="C221" i="2"/>
  <c r="H221" i="2"/>
  <c r="G221" i="2"/>
  <c r="F221" i="2"/>
  <c r="B221" i="2"/>
  <c r="D220" i="2"/>
  <c r="C220" i="2"/>
  <c r="H220" i="2"/>
  <c r="G220" i="2"/>
  <c r="F220" i="2"/>
  <c r="B220" i="2"/>
  <c r="D219" i="2"/>
  <c r="C219" i="2"/>
  <c r="H219" i="2"/>
  <c r="G219" i="2"/>
  <c r="F219" i="2"/>
  <c r="B219" i="2"/>
  <c r="D218" i="2"/>
  <c r="C218" i="2"/>
  <c r="H218" i="2"/>
  <c r="G218" i="2"/>
  <c r="F218" i="2"/>
  <c r="B218" i="2"/>
  <c r="D217" i="2"/>
  <c r="C217" i="2"/>
  <c r="H217" i="2"/>
  <c r="G217" i="2"/>
  <c r="F217" i="2"/>
  <c r="B217" i="2"/>
  <c r="D216" i="2"/>
  <c r="C216" i="2"/>
  <c r="H216" i="2"/>
  <c r="G216" i="2"/>
  <c r="F216" i="2"/>
  <c r="B216" i="2"/>
  <c r="D215" i="2"/>
  <c r="C215" i="2"/>
  <c r="H215" i="2"/>
  <c r="G215" i="2"/>
  <c r="F215" i="2"/>
  <c r="B215" i="2"/>
  <c r="D214" i="2"/>
  <c r="C214" i="2"/>
  <c r="H214" i="2"/>
  <c r="G214" i="2"/>
  <c r="F214" i="2"/>
  <c r="B214" i="2"/>
  <c r="D213" i="2"/>
  <c r="C213" i="2"/>
  <c r="H213" i="2"/>
  <c r="G213" i="2"/>
  <c r="F213" i="2"/>
  <c r="B213" i="2"/>
  <c r="D212" i="2"/>
  <c r="C212" i="2"/>
  <c r="H212" i="2"/>
  <c r="G212" i="2"/>
  <c r="F212" i="2"/>
  <c r="B212" i="2"/>
  <c r="D211" i="2"/>
  <c r="C211" i="2"/>
  <c r="H211" i="2"/>
  <c r="G211" i="2"/>
  <c r="F211" i="2"/>
  <c r="B211" i="2"/>
  <c r="D210" i="2"/>
  <c r="C210" i="2"/>
  <c r="H210" i="2"/>
  <c r="G210" i="2"/>
  <c r="F210" i="2"/>
  <c r="B210" i="2"/>
  <c r="D209" i="2"/>
  <c r="C209" i="2"/>
  <c r="H209" i="2"/>
  <c r="G209" i="2"/>
  <c r="F209" i="2"/>
  <c r="B209" i="2"/>
  <c r="D208" i="2"/>
  <c r="C208" i="2"/>
  <c r="H208" i="2"/>
  <c r="G208" i="2"/>
  <c r="F208" i="2"/>
  <c r="B208" i="2"/>
  <c r="D207" i="2"/>
  <c r="C207" i="2"/>
  <c r="H207" i="2"/>
  <c r="G207" i="2"/>
  <c r="F207" i="2"/>
  <c r="B207" i="2"/>
  <c r="D206" i="2"/>
  <c r="C206" i="2"/>
  <c r="H206" i="2"/>
  <c r="G206" i="2"/>
  <c r="F206" i="2"/>
  <c r="B206" i="2"/>
  <c r="D205" i="2"/>
  <c r="C205" i="2"/>
  <c r="H205" i="2"/>
  <c r="G205" i="2"/>
  <c r="F205" i="2"/>
  <c r="B205" i="2"/>
  <c r="D204" i="2"/>
  <c r="C204" i="2"/>
  <c r="H204" i="2"/>
  <c r="G204" i="2"/>
  <c r="F204" i="2"/>
  <c r="B204" i="2"/>
  <c r="D203" i="2"/>
  <c r="C203" i="2"/>
  <c r="H203" i="2"/>
  <c r="G203" i="2"/>
  <c r="F203" i="2"/>
  <c r="B203" i="2"/>
  <c r="D202" i="2"/>
  <c r="C202" i="2"/>
  <c r="H202" i="2"/>
  <c r="G202" i="2"/>
  <c r="F202" i="2"/>
  <c r="B202" i="2"/>
  <c r="D201" i="2"/>
  <c r="C201" i="2"/>
  <c r="H201" i="2"/>
  <c r="G201" i="2"/>
  <c r="F201" i="2"/>
  <c r="B201" i="2"/>
  <c r="D200" i="2"/>
  <c r="C200" i="2"/>
  <c r="H200" i="2"/>
  <c r="G200" i="2"/>
  <c r="F200" i="2"/>
  <c r="B200" i="2"/>
  <c r="D199" i="2"/>
  <c r="C199" i="2"/>
  <c r="H199" i="2"/>
  <c r="G199" i="2"/>
  <c r="F199" i="2"/>
  <c r="B199" i="2"/>
  <c r="D198" i="2"/>
  <c r="C198" i="2"/>
  <c r="H198" i="2"/>
  <c r="G198" i="2"/>
  <c r="F198" i="2"/>
  <c r="B198" i="2"/>
  <c r="D197" i="2"/>
  <c r="C197" i="2"/>
  <c r="H197" i="2"/>
  <c r="G197" i="2"/>
  <c r="F197" i="2"/>
  <c r="B197" i="2"/>
  <c r="D196" i="2"/>
  <c r="C196" i="2"/>
  <c r="H196" i="2"/>
  <c r="G196" i="2"/>
  <c r="F196" i="2"/>
  <c r="B196" i="2"/>
  <c r="D195" i="2"/>
  <c r="C195" i="2"/>
  <c r="H195" i="2"/>
  <c r="G195" i="2"/>
  <c r="F195" i="2"/>
  <c r="B195" i="2"/>
  <c r="D194" i="2"/>
  <c r="C194" i="2"/>
  <c r="H194" i="2"/>
  <c r="G194" i="2"/>
  <c r="F194" i="2"/>
  <c r="B194" i="2"/>
  <c r="D193" i="2"/>
  <c r="C193" i="2"/>
  <c r="H193" i="2"/>
  <c r="G193" i="2"/>
  <c r="F193" i="2"/>
  <c r="B193" i="2"/>
  <c r="D192" i="2"/>
  <c r="C192" i="2"/>
  <c r="H192" i="2"/>
  <c r="G192" i="2"/>
  <c r="F192" i="2"/>
  <c r="B192" i="2"/>
  <c r="D191" i="2"/>
  <c r="C191" i="2"/>
  <c r="H191" i="2"/>
  <c r="G191" i="2"/>
  <c r="F191" i="2"/>
  <c r="B191" i="2"/>
  <c r="D190" i="2"/>
  <c r="C190" i="2"/>
  <c r="H190" i="2"/>
  <c r="G190" i="2"/>
  <c r="F190" i="2"/>
  <c r="B190" i="2"/>
  <c r="D189" i="2"/>
  <c r="C189" i="2"/>
  <c r="H189" i="2"/>
  <c r="G189" i="2"/>
  <c r="F189" i="2"/>
  <c r="B189" i="2"/>
  <c r="D188" i="2"/>
  <c r="C188" i="2"/>
  <c r="H188" i="2"/>
  <c r="G188" i="2"/>
  <c r="F188" i="2"/>
  <c r="B188" i="2"/>
  <c r="D187" i="2"/>
  <c r="C187" i="2"/>
  <c r="H187" i="2"/>
  <c r="G187" i="2"/>
  <c r="F187" i="2"/>
  <c r="B187" i="2"/>
  <c r="D186" i="2"/>
  <c r="C186" i="2"/>
  <c r="H186" i="2"/>
  <c r="G186" i="2"/>
  <c r="F186" i="2"/>
  <c r="B186" i="2"/>
  <c r="D185" i="2"/>
  <c r="C185" i="2"/>
  <c r="H185" i="2"/>
  <c r="G185" i="2"/>
  <c r="F185" i="2"/>
  <c r="B185" i="2"/>
  <c r="D184" i="2"/>
  <c r="C184" i="2"/>
  <c r="H184" i="2"/>
  <c r="G184" i="2"/>
  <c r="F184" i="2"/>
  <c r="B184" i="2"/>
  <c r="D183" i="2"/>
  <c r="C183" i="2"/>
  <c r="H183" i="2"/>
  <c r="G183" i="2"/>
  <c r="F183" i="2"/>
  <c r="B183" i="2"/>
  <c r="D182" i="2"/>
  <c r="C182" i="2"/>
  <c r="H182" i="2"/>
  <c r="G182" i="2"/>
  <c r="F182" i="2"/>
  <c r="B182" i="2"/>
  <c r="D181" i="2"/>
  <c r="C181" i="2"/>
  <c r="H181" i="2"/>
  <c r="G181" i="2"/>
  <c r="F181" i="2"/>
  <c r="B181" i="2"/>
  <c r="D180" i="2"/>
  <c r="C180" i="2"/>
  <c r="H180" i="2"/>
  <c r="G180" i="2"/>
  <c r="F180" i="2"/>
  <c r="B180" i="2"/>
  <c r="D179" i="2"/>
  <c r="C179" i="2"/>
  <c r="H179" i="2"/>
  <c r="G179" i="2"/>
  <c r="F179" i="2"/>
  <c r="B179" i="2"/>
  <c r="D178" i="2"/>
  <c r="C178" i="2"/>
  <c r="H178" i="2"/>
  <c r="G178" i="2"/>
  <c r="F178" i="2"/>
  <c r="B178" i="2"/>
  <c r="D177" i="2"/>
  <c r="C177" i="2"/>
  <c r="H177" i="2"/>
  <c r="G177" i="2"/>
  <c r="F177" i="2"/>
  <c r="B177" i="2"/>
  <c r="D176" i="2"/>
  <c r="C176" i="2"/>
  <c r="H176" i="2"/>
  <c r="G176" i="2"/>
  <c r="F176" i="2"/>
  <c r="B176" i="2"/>
  <c r="D175" i="2"/>
  <c r="C175" i="2"/>
  <c r="H175" i="2"/>
  <c r="G175" i="2"/>
  <c r="F175" i="2"/>
  <c r="B175" i="2"/>
  <c r="D174" i="2"/>
  <c r="C174" i="2"/>
  <c r="H174" i="2"/>
  <c r="G174" i="2"/>
  <c r="F174" i="2"/>
  <c r="B174" i="2"/>
  <c r="D173" i="2"/>
  <c r="C173" i="2"/>
  <c r="H173" i="2"/>
  <c r="G173" i="2"/>
  <c r="F173" i="2"/>
  <c r="B173" i="2"/>
  <c r="D172" i="2"/>
  <c r="C172" i="2"/>
  <c r="H172" i="2"/>
  <c r="G172" i="2"/>
  <c r="F172" i="2"/>
  <c r="B172" i="2"/>
  <c r="D171" i="2"/>
  <c r="C171" i="2"/>
  <c r="H171" i="2"/>
  <c r="G171" i="2"/>
  <c r="F171" i="2"/>
  <c r="B171" i="2"/>
  <c r="D170" i="2"/>
  <c r="C170" i="2"/>
  <c r="H170" i="2"/>
  <c r="G170" i="2"/>
  <c r="F170" i="2"/>
  <c r="B170" i="2"/>
  <c r="D169" i="2"/>
  <c r="C169" i="2"/>
  <c r="H169" i="2"/>
  <c r="G169" i="2"/>
  <c r="F169" i="2"/>
  <c r="B169" i="2"/>
  <c r="D168" i="2"/>
  <c r="C168" i="2"/>
  <c r="H168" i="2"/>
  <c r="G168" i="2"/>
  <c r="F168" i="2"/>
  <c r="B168" i="2"/>
  <c r="D167" i="2"/>
  <c r="C167" i="2"/>
  <c r="H167" i="2"/>
  <c r="G167" i="2"/>
  <c r="F167" i="2"/>
  <c r="B167" i="2"/>
  <c r="D166" i="2"/>
  <c r="C166" i="2"/>
  <c r="H166" i="2"/>
  <c r="G166" i="2"/>
  <c r="F166" i="2"/>
  <c r="B166" i="2"/>
  <c r="D165" i="2"/>
  <c r="C165" i="2"/>
  <c r="H165" i="2"/>
  <c r="G165" i="2"/>
  <c r="F165" i="2"/>
  <c r="B165" i="2"/>
  <c r="D164" i="2"/>
  <c r="C164" i="2"/>
  <c r="H164" i="2"/>
  <c r="G164" i="2"/>
  <c r="F164" i="2"/>
  <c r="B164" i="2"/>
  <c r="D163" i="2"/>
  <c r="C163" i="2"/>
  <c r="H163" i="2"/>
  <c r="G163" i="2"/>
  <c r="F163" i="2"/>
  <c r="B163" i="2"/>
  <c r="D162" i="2"/>
  <c r="C162" i="2"/>
  <c r="H162" i="2"/>
  <c r="G162" i="2"/>
  <c r="F162" i="2"/>
  <c r="B162" i="2"/>
  <c r="D161" i="2"/>
  <c r="C161" i="2"/>
  <c r="H161" i="2"/>
  <c r="G161" i="2"/>
  <c r="F161" i="2"/>
  <c r="B161" i="2"/>
  <c r="D160" i="2"/>
  <c r="C160" i="2"/>
  <c r="H160" i="2"/>
  <c r="G160" i="2"/>
  <c r="F160" i="2"/>
  <c r="B160" i="2"/>
  <c r="D159" i="2"/>
  <c r="C159" i="2"/>
  <c r="H159" i="2"/>
  <c r="G159" i="2"/>
  <c r="F159" i="2"/>
  <c r="B159" i="2"/>
  <c r="D158" i="2"/>
  <c r="C158" i="2"/>
  <c r="H158" i="2"/>
  <c r="G158" i="2"/>
  <c r="F158" i="2"/>
  <c r="B158" i="2"/>
  <c r="D157" i="2"/>
  <c r="C157" i="2"/>
  <c r="H157" i="2"/>
  <c r="G157" i="2"/>
  <c r="F157" i="2"/>
  <c r="B157" i="2"/>
  <c r="D156" i="2"/>
  <c r="C156" i="2"/>
  <c r="H156" i="2"/>
  <c r="G156" i="2"/>
  <c r="F156" i="2"/>
  <c r="B156" i="2"/>
  <c r="D155" i="2"/>
  <c r="C155" i="2"/>
  <c r="H155" i="2"/>
  <c r="G155" i="2"/>
  <c r="F155" i="2"/>
  <c r="B155" i="2"/>
  <c r="D154" i="2"/>
  <c r="C154" i="2"/>
  <c r="H154" i="2"/>
  <c r="G154" i="2"/>
  <c r="F154" i="2"/>
  <c r="B154" i="2"/>
  <c r="D153" i="2"/>
  <c r="C153" i="2"/>
  <c r="H153" i="2"/>
  <c r="G153" i="2"/>
  <c r="F153" i="2"/>
  <c r="B153" i="2"/>
  <c r="D152" i="2"/>
  <c r="C152" i="2"/>
  <c r="H152" i="2"/>
  <c r="G152" i="2"/>
  <c r="F152" i="2"/>
  <c r="B152" i="2"/>
  <c r="D151" i="2"/>
  <c r="C151" i="2"/>
  <c r="H151" i="2"/>
  <c r="G151" i="2"/>
  <c r="F151" i="2"/>
  <c r="B151" i="2"/>
  <c r="D150" i="2"/>
  <c r="C150" i="2"/>
  <c r="H150" i="2"/>
  <c r="G150" i="2"/>
  <c r="F150" i="2"/>
  <c r="B150" i="2"/>
  <c r="D149" i="2"/>
  <c r="C149" i="2"/>
  <c r="H149" i="2"/>
  <c r="G149" i="2"/>
  <c r="F149" i="2"/>
  <c r="B149" i="2"/>
  <c r="D148" i="2"/>
  <c r="C148" i="2"/>
  <c r="H148" i="2"/>
  <c r="G148" i="2"/>
  <c r="F148" i="2"/>
  <c r="B148" i="2"/>
  <c r="D147" i="2"/>
  <c r="C147" i="2"/>
  <c r="H147" i="2"/>
  <c r="G147" i="2"/>
  <c r="F147" i="2"/>
  <c r="B147" i="2"/>
  <c r="D146" i="2"/>
  <c r="C146" i="2"/>
  <c r="H146" i="2"/>
  <c r="G146" i="2"/>
  <c r="F146" i="2"/>
  <c r="B146" i="2"/>
  <c r="D145" i="2"/>
  <c r="C145" i="2"/>
  <c r="H145" i="2"/>
  <c r="G145" i="2"/>
  <c r="F145" i="2"/>
  <c r="B145" i="2"/>
  <c r="D144" i="2"/>
  <c r="C144" i="2"/>
  <c r="H144" i="2"/>
  <c r="G144" i="2"/>
  <c r="F144" i="2"/>
  <c r="B144" i="2"/>
  <c r="D143" i="2"/>
  <c r="C143" i="2"/>
  <c r="H143" i="2"/>
  <c r="G143" i="2"/>
  <c r="F143" i="2"/>
  <c r="B143" i="2"/>
  <c r="D142" i="2"/>
  <c r="C142" i="2"/>
  <c r="H142" i="2"/>
  <c r="G142" i="2"/>
  <c r="F142" i="2"/>
  <c r="B142" i="2"/>
  <c r="D141" i="2"/>
  <c r="C141" i="2"/>
  <c r="H141" i="2"/>
  <c r="G141" i="2"/>
  <c r="F141" i="2"/>
  <c r="B141" i="2"/>
  <c r="D140" i="2"/>
  <c r="C140" i="2"/>
  <c r="H140" i="2"/>
  <c r="G140" i="2"/>
  <c r="F140" i="2"/>
  <c r="B140" i="2"/>
  <c r="D139" i="2"/>
  <c r="C139" i="2"/>
  <c r="H139" i="2"/>
  <c r="G139" i="2"/>
  <c r="F139" i="2"/>
  <c r="B139" i="2"/>
  <c r="D138" i="2"/>
  <c r="C138" i="2"/>
  <c r="H138" i="2"/>
  <c r="G138" i="2"/>
  <c r="F138" i="2"/>
  <c r="B138" i="2"/>
  <c r="D137" i="2"/>
  <c r="C137" i="2"/>
  <c r="H137" i="2"/>
  <c r="G137" i="2"/>
  <c r="F137" i="2"/>
  <c r="B137" i="2"/>
  <c r="D136" i="2"/>
  <c r="C136" i="2"/>
  <c r="H136" i="2"/>
  <c r="G136" i="2"/>
  <c r="F136" i="2"/>
  <c r="B136" i="2"/>
  <c r="D135" i="2"/>
  <c r="C135" i="2"/>
  <c r="H135" i="2"/>
  <c r="G135" i="2"/>
  <c r="F135" i="2"/>
  <c r="B135" i="2"/>
  <c r="D134" i="2"/>
  <c r="C134" i="2"/>
  <c r="H134" i="2"/>
  <c r="G134" i="2"/>
  <c r="F134" i="2"/>
  <c r="B134" i="2"/>
  <c r="D133" i="2"/>
  <c r="C133" i="2"/>
  <c r="H133" i="2"/>
  <c r="G133" i="2"/>
  <c r="F133" i="2"/>
  <c r="B133" i="2"/>
  <c r="D132" i="2"/>
  <c r="C132" i="2"/>
  <c r="H132" i="2"/>
  <c r="G132" i="2"/>
  <c r="F132" i="2"/>
  <c r="B132" i="2"/>
  <c r="D131" i="2"/>
  <c r="C131" i="2"/>
  <c r="H131" i="2"/>
  <c r="G131" i="2"/>
  <c r="F131" i="2"/>
  <c r="B131" i="2"/>
  <c r="D130" i="2"/>
  <c r="C130" i="2"/>
  <c r="H130" i="2"/>
  <c r="G130" i="2"/>
  <c r="F130" i="2"/>
  <c r="B130" i="2"/>
  <c r="D129" i="2"/>
  <c r="C129" i="2"/>
  <c r="H129" i="2"/>
  <c r="G129" i="2"/>
  <c r="F129" i="2"/>
  <c r="B129" i="2"/>
  <c r="D128" i="2"/>
  <c r="C128" i="2"/>
  <c r="H128" i="2"/>
  <c r="G128" i="2"/>
  <c r="F128" i="2"/>
  <c r="B128" i="2"/>
  <c r="D127" i="2"/>
  <c r="C127" i="2"/>
  <c r="H127" i="2"/>
  <c r="G127" i="2"/>
  <c r="F127" i="2"/>
  <c r="B127" i="2"/>
  <c r="D126" i="2"/>
  <c r="C126" i="2"/>
  <c r="H126" i="2"/>
  <c r="G126" i="2"/>
  <c r="F126" i="2"/>
  <c r="B126" i="2"/>
  <c r="D125" i="2"/>
  <c r="C125" i="2"/>
  <c r="H125" i="2"/>
  <c r="G125" i="2"/>
  <c r="F125" i="2"/>
  <c r="B125" i="2"/>
  <c r="D124" i="2"/>
  <c r="C124" i="2"/>
  <c r="H124" i="2"/>
  <c r="G124" i="2"/>
  <c r="F124" i="2"/>
  <c r="B124" i="2"/>
  <c r="D123" i="2"/>
  <c r="C123" i="2"/>
  <c r="H123" i="2"/>
  <c r="G123" i="2"/>
  <c r="F123" i="2"/>
  <c r="B123" i="2"/>
  <c r="D122" i="2"/>
  <c r="C122" i="2"/>
  <c r="H122" i="2"/>
  <c r="G122" i="2"/>
  <c r="F122" i="2"/>
  <c r="B122" i="2"/>
  <c r="D121" i="2"/>
  <c r="C121" i="2"/>
  <c r="H121" i="2"/>
  <c r="G121" i="2"/>
  <c r="F121" i="2"/>
  <c r="B121" i="2"/>
  <c r="D120" i="2"/>
  <c r="C120" i="2"/>
  <c r="H120" i="2"/>
  <c r="G120" i="2"/>
  <c r="F120" i="2"/>
  <c r="B120" i="2"/>
  <c r="D119" i="2"/>
  <c r="C119" i="2"/>
  <c r="H119" i="2"/>
  <c r="G119" i="2"/>
  <c r="F119" i="2"/>
  <c r="B119" i="2"/>
  <c r="D118" i="2"/>
  <c r="C118" i="2"/>
  <c r="H118" i="2"/>
  <c r="G118" i="2"/>
  <c r="F118" i="2"/>
  <c r="B118" i="2"/>
  <c r="D117" i="2"/>
  <c r="C117" i="2"/>
  <c r="H117" i="2"/>
  <c r="G117" i="2"/>
  <c r="F117" i="2"/>
  <c r="B117" i="2"/>
  <c r="D116" i="2"/>
  <c r="C116" i="2"/>
  <c r="H116" i="2"/>
  <c r="G116" i="2"/>
  <c r="F116" i="2"/>
  <c r="B116" i="2"/>
  <c r="D115" i="2"/>
  <c r="C115" i="2"/>
  <c r="H115" i="2"/>
  <c r="G115" i="2"/>
  <c r="F115" i="2"/>
  <c r="B115" i="2"/>
  <c r="D114" i="2"/>
  <c r="C114" i="2"/>
  <c r="H114" i="2"/>
  <c r="G114" i="2"/>
  <c r="F114" i="2"/>
  <c r="B114" i="2"/>
  <c r="D113" i="2"/>
  <c r="C113" i="2"/>
  <c r="H113" i="2"/>
  <c r="G113" i="2"/>
  <c r="F113" i="2"/>
  <c r="B113" i="2"/>
  <c r="D112" i="2"/>
  <c r="C112" i="2"/>
  <c r="H112" i="2"/>
  <c r="G112" i="2"/>
  <c r="F112" i="2"/>
  <c r="B112" i="2"/>
  <c r="D111" i="2"/>
  <c r="C111" i="2"/>
  <c r="H111" i="2"/>
  <c r="G111" i="2"/>
  <c r="F111" i="2"/>
  <c r="B111" i="2"/>
  <c r="D110" i="2"/>
  <c r="C110" i="2"/>
  <c r="H110" i="2"/>
  <c r="G110" i="2"/>
  <c r="F110" i="2"/>
  <c r="B110" i="2"/>
  <c r="D109" i="2"/>
  <c r="C109" i="2"/>
  <c r="H109" i="2"/>
  <c r="G109" i="2"/>
  <c r="F109" i="2"/>
  <c r="B109" i="2"/>
  <c r="D108" i="2"/>
  <c r="C108" i="2"/>
  <c r="H108" i="2"/>
  <c r="G108" i="2"/>
  <c r="F108" i="2"/>
  <c r="B108" i="2"/>
  <c r="D107" i="2"/>
  <c r="C107" i="2"/>
  <c r="H107" i="2"/>
  <c r="G107" i="2"/>
  <c r="F107" i="2"/>
  <c r="B107" i="2"/>
  <c r="D106" i="2"/>
  <c r="C106" i="2"/>
  <c r="H106" i="2"/>
  <c r="G106" i="2"/>
  <c r="F106" i="2"/>
  <c r="B106" i="2"/>
  <c r="D105" i="2"/>
  <c r="C105" i="2"/>
  <c r="H105" i="2"/>
  <c r="G105" i="2"/>
  <c r="F105" i="2"/>
  <c r="B105" i="2"/>
  <c r="D104" i="2"/>
  <c r="C104" i="2"/>
  <c r="H104" i="2"/>
  <c r="G104" i="2"/>
  <c r="F104" i="2"/>
  <c r="B104" i="2"/>
  <c r="D103" i="2"/>
  <c r="C103" i="2"/>
  <c r="H103" i="2"/>
  <c r="G103" i="2"/>
  <c r="F103" i="2"/>
  <c r="B103" i="2"/>
  <c r="D102" i="2"/>
  <c r="C102" i="2"/>
  <c r="H102" i="2"/>
  <c r="G102" i="2"/>
  <c r="F102" i="2"/>
  <c r="B102" i="2"/>
  <c r="D101" i="2"/>
  <c r="C101" i="2"/>
  <c r="H101" i="2"/>
  <c r="G101" i="2"/>
  <c r="F101" i="2"/>
  <c r="B101" i="2"/>
  <c r="D100" i="2"/>
  <c r="C100" i="2"/>
  <c r="H100" i="2"/>
  <c r="G100" i="2"/>
  <c r="F100" i="2"/>
  <c r="B100" i="2"/>
  <c r="D99" i="2"/>
  <c r="C99" i="2"/>
  <c r="H99" i="2"/>
  <c r="G99" i="2"/>
  <c r="F99" i="2"/>
  <c r="B99" i="2"/>
  <c r="D98" i="2"/>
  <c r="C98" i="2"/>
  <c r="H98" i="2"/>
  <c r="G98" i="2"/>
  <c r="F98" i="2"/>
  <c r="B98" i="2"/>
  <c r="D97" i="2"/>
  <c r="C97" i="2"/>
  <c r="H97" i="2"/>
  <c r="G97" i="2"/>
  <c r="F97" i="2"/>
  <c r="B97" i="2"/>
  <c r="D96" i="2"/>
  <c r="C96" i="2"/>
  <c r="H96" i="2"/>
  <c r="G96" i="2"/>
  <c r="F96" i="2"/>
  <c r="B96" i="2"/>
  <c r="D95" i="2"/>
  <c r="C95" i="2"/>
  <c r="H95" i="2"/>
  <c r="G95" i="2"/>
  <c r="F95" i="2"/>
  <c r="B95" i="2"/>
  <c r="D94" i="2"/>
  <c r="C94" i="2"/>
  <c r="H94" i="2"/>
  <c r="G94" i="2"/>
  <c r="F94" i="2"/>
  <c r="B94" i="2"/>
  <c r="D93" i="2"/>
  <c r="C93" i="2"/>
  <c r="H93" i="2"/>
  <c r="G93" i="2"/>
  <c r="F93" i="2"/>
  <c r="B93" i="2"/>
  <c r="D92" i="2"/>
  <c r="C92" i="2"/>
  <c r="H92" i="2"/>
  <c r="G92" i="2"/>
  <c r="F92" i="2"/>
  <c r="B92" i="2"/>
  <c r="D91" i="2"/>
  <c r="C91" i="2"/>
  <c r="H91" i="2"/>
  <c r="G91" i="2"/>
  <c r="F91" i="2"/>
  <c r="B91" i="2"/>
  <c r="D90" i="2"/>
  <c r="C90" i="2"/>
  <c r="H90" i="2"/>
  <c r="G90" i="2"/>
  <c r="F90" i="2"/>
  <c r="B90" i="2"/>
  <c r="D89" i="2"/>
  <c r="C89" i="2"/>
  <c r="H89" i="2"/>
  <c r="G89" i="2"/>
  <c r="F89" i="2"/>
  <c r="B89" i="2"/>
  <c r="D88" i="2"/>
  <c r="C88" i="2"/>
  <c r="H88" i="2"/>
  <c r="G88" i="2"/>
  <c r="F88" i="2"/>
  <c r="B88" i="2"/>
  <c r="D87" i="2"/>
  <c r="C87" i="2"/>
  <c r="H87" i="2"/>
  <c r="G87" i="2"/>
  <c r="F87" i="2"/>
  <c r="B87" i="2"/>
  <c r="D86" i="2"/>
  <c r="C86" i="2"/>
  <c r="H86" i="2"/>
  <c r="G86" i="2"/>
  <c r="F86" i="2"/>
  <c r="B86" i="2"/>
  <c r="D85" i="2"/>
  <c r="C85" i="2"/>
  <c r="H85" i="2"/>
  <c r="G85" i="2"/>
  <c r="F85" i="2"/>
  <c r="B85" i="2"/>
  <c r="D84" i="2"/>
  <c r="C84" i="2"/>
  <c r="H84" i="2"/>
  <c r="G84" i="2"/>
  <c r="F84" i="2"/>
  <c r="B84" i="2"/>
  <c r="D83" i="2"/>
  <c r="C83" i="2"/>
  <c r="H83" i="2"/>
  <c r="G83" i="2"/>
  <c r="F83" i="2"/>
  <c r="B83" i="2"/>
  <c r="D82" i="2"/>
  <c r="C82" i="2"/>
  <c r="H82" i="2"/>
  <c r="G82" i="2"/>
  <c r="F82" i="2"/>
  <c r="B82" i="2"/>
  <c r="D81" i="2"/>
  <c r="C81" i="2"/>
  <c r="H81" i="2"/>
  <c r="G81" i="2"/>
  <c r="F81" i="2"/>
  <c r="B81" i="2"/>
  <c r="D80" i="2"/>
  <c r="C80" i="2"/>
  <c r="H80" i="2"/>
  <c r="G80" i="2"/>
  <c r="F80" i="2"/>
  <c r="B80" i="2"/>
  <c r="D79" i="2"/>
  <c r="C79" i="2"/>
  <c r="H79" i="2"/>
  <c r="G79" i="2"/>
  <c r="F79" i="2"/>
  <c r="B79" i="2"/>
  <c r="D78" i="2"/>
  <c r="C78" i="2"/>
  <c r="H78" i="2"/>
  <c r="G78" i="2"/>
  <c r="F78" i="2"/>
  <c r="B78" i="2"/>
  <c r="D77" i="2"/>
  <c r="C77" i="2"/>
  <c r="H77" i="2"/>
  <c r="G77" i="2"/>
  <c r="F77" i="2"/>
  <c r="B77" i="2"/>
  <c r="D76" i="2"/>
  <c r="C76" i="2"/>
  <c r="H76" i="2"/>
  <c r="G76" i="2"/>
  <c r="F76" i="2"/>
  <c r="B76" i="2"/>
  <c r="D75" i="2"/>
  <c r="C75" i="2"/>
  <c r="H75" i="2"/>
  <c r="G75" i="2"/>
  <c r="F75" i="2"/>
  <c r="B75" i="2"/>
  <c r="D74" i="2"/>
  <c r="C74" i="2"/>
  <c r="H74" i="2"/>
  <c r="G74" i="2"/>
  <c r="F74" i="2"/>
  <c r="B74" i="2"/>
  <c r="D73" i="2"/>
  <c r="C73" i="2"/>
  <c r="H73" i="2"/>
  <c r="G73" i="2"/>
  <c r="F73" i="2"/>
  <c r="B73" i="2"/>
  <c r="D72" i="2"/>
  <c r="C72" i="2"/>
  <c r="H72" i="2"/>
  <c r="G72" i="2"/>
  <c r="F72" i="2"/>
  <c r="B72" i="2"/>
  <c r="D71" i="2"/>
  <c r="C71" i="2"/>
  <c r="H71" i="2"/>
  <c r="G71" i="2"/>
  <c r="F71" i="2"/>
  <c r="B71" i="2"/>
  <c r="D70" i="2"/>
  <c r="C70" i="2"/>
  <c r="H70" i="2"/>
  <c r="G70" i="2"/>
  <c r="F70" i="2"/>
  <c r="B70" i="2"/>
  <c r="D69" i="2"/>
  <c r="C69" i="2"/>
  <c r="H69" i="2"/>
  <c r="G69" i="2"/>
  <c r="F69" i="2"/>
  <c r="B69" i="2"/>
  <c r="D68" i="2"/>
  <c r="C68" i="2"/>
  <c r="H68" i="2"/>
  <c r="G68" i="2"/>
  <c r="F68" i="2"/>
  <c r="B68" i="2"/>
  <c r="D67" i="2"/>
  <c r="C67" i="2"/>
  <c r="H67" i="2"/>
  <c r="G67" i="2"/>
  <c r="F67" i="2"/>
  <c r="B67" i="2"/>
  <c r="D66" i="2"/>
  <c r="C66" i="2"/>
  <c r="H66" i="2"/>
  <c r="G66" i="2"/>
  <c r="F66" i="2"/>
  <c r="B66" i="2"/>
  <c r="D65" i="2"/>
  <c r="C65" i="2"/>
  <c r="H65" i="2"/>
  <c r="G65" i="2"/>
  <c r="F65" i="2"/>
  <c r="B65" i="2"/>
  <c r="D64" i="2"/>
  <c r="C64" i="2"/>
  <c r="H64" i="2"/>
  <c r="G64" i="2"/>
  <c r="F64" i="2"/>
  <c r="B64" i="2"/>
  <c r="D63" i="2"/>
  <c r="C63" i="2"/>
  <c r="H63" i="2"/>
  <c r="G63" i="2"/>
  <c r="F63" i="2"/>
  <c r="B63" i="2"/>
  <c r="D62" i="2"/>
  <c r="C62" i="2"/>
  <c r="H62" i="2"/>
  <c r="G62" i="2"/>
  <c r="F62" i="2"/>
  <c r="B62" i="2"/>
  <c r="D61" i="2"/>
  <c r="C61" i="2"/>
  <c r="H61" i="2"/>
  <c r="G61" i="2"/>
  <c r="F61" i="2"/>
  <c r="B61" i="2"/>
  <c r="D60" i="2"/>
  <c r="C60" i="2"/>
  <c r="H60" i="2"/>
  <c r="G60" i="2"/>
  <c r="F60" i="2"/>
  <c r="B60" i="2"/>
  <c r="D59" i="2"/>
  <c r="C59" i="2"/>
  <c r="H59" i="2"/>
  <c r="G59" i="2"/>
  <c r="F59" i="2"/>
  <c r="B59" i="2"/>
  <c r="D58" i="2"/>
  <c r="C58" i="2"/>
  <c r="H58" i="2"/>
  <c r="G58" i="2"/>
  <c r="F58" i="2"/>
  <c r="B58" i="2"/>
  <c r="D57" i="2"/>
  <c r="C57" i="2"/>
  <c r="H57" i="2"/>
  <c r="G57" i="2"/>
  <c r="F57" i="2"/>
  <c r="B57" i="2"/>
  <c r="D56" i="2"/>
  <c r="C56" i="2"/>
  <c r="H56" i="2"/>
  <c r="G56" i="2"/>
  <c r="F56" i="2"/>
  <c r="B56" i="2"/>
  <c r="D55" i="2"/>
  <c r="C55" i="2"/>
  <c r="H55" i="2"/>
  <c r="G55" i="2"/>
  <c r="F55" i="2"/>
  <c r="B55" i="2"/>
  <c r="D54" i="2"/>
  <c r="C54" i="2"/>
  <c r="H54" i="2"/>
  <c r="G54" i="2"/>
  <c r="F54" i="2"/>
  <c r="B54" i="2"/>
  <c r="D53" i="2"/>
  <c r="C53" i="2"/>
  <c r="H53" i="2"/>
  <c r="G53" i="2"/>
  <c r="F53" i="2"/>
  <c r="B53" i="2"/>
  <c r="D52" i="2"/>
  <c r="C52" i="2"/>
  <c r="H52" i="2"/>
  <c r="G52" i="2"/>
  <c r="F52" i="2"/>
  <c r="B52" i="2"/>
  <c r="D51" i="2"/>
  <c r="C51" i="2"/>
  <c r="H51" i="2"/>
  <c r="G51" i="2"/>
  <c r="F51" i="2"/>
  <c r="B51" i="2"/>
  <c r="D50" i="2"/>
  <c r="C50" i="2"/>
  <c r="H50" i="2"/>
  <c r="G50" i="2"/>
  <c r="F50" i="2"/>
  <c r="B50" i="2"/>
  <c r="D49" i="2"/>
  <c r="C49" i="2"/>
  <c r="H49" i="2"/>
  <c r="G49" i="2"/>
  <c r="F49" i="2"/>
  <c r="B49" i="2"/>
  <c r="D48" i="2"/>
  <c r="C48" i="2"/>
  <c r="H48" i="2"/>
  <c r="G48" i="2"/>
  <c r="F48" i="2"/>
  <c r="B48" i="2"/>
  <c r="D47" i="2"/>
  <c r="C47" i="2"/>
  <c r="H47" i="2"/>
  <c r="G47" i="2"/>
  <c r="F47" i="2"/>
  <c r="B47" i="2"/>
  <c r="D46" i="2"/>
  <c r="C46" i="2"/>
  <c r="H46" i="2"/>
  <c r="G46" i="2"/>
  <c r="F46" i="2"/>
  <c r="B46" i="2"/>
  <c r="D45" i="2"/>
  <c r="C45" i="2"/>
  <c r="H45" i="2"/>
  <c r="G45" i="2"/>
  <c r="F45" i="2"/>
  <c r="B45" i="2"/>
  <c r="D44" i="2"/>
  <c r="C44" i="2"/>
  <c r="H44" i="2"/>
  <c r="G44" i="2"/>
  <c r="F44" i="2"/>
  <c r="B44" i="2"/>
  <c r="D43" i="2"/>
  <c r="C43" i="2"/>
  <c r="H43" i="2"/>
  <c r="G43" i="2"/>
  <c r="F43" i="2"/>
  <c r="B43" i="2"/>
  <c r="D42" i="2"/>
  <c r="C42" i="2"/>
  <c r="H42" i="2"/>
  <c r="G42" i="2"/>
  <c r="F42" i="2"/>
  <c r="B42" i="2"/>
  <c r="D41" i="2"/>
  <c r="C41" i="2"/>
  <c r="H41" i="2"/>
  <c r="G41" i="2"/>
  <c r="F41" i="2"/>
  <c r="B41" i="2"/>
  <c r="D40" i="2"/>
  <c r="C40" i="2"/>
  <c r="H40" i="2"/>
  <c r="G40" i="2"/>
  <c r="F40" i="2"/>
  <c r="B40" i="2"/>
  <c r="D39" i="2"/>
  <c r="C39" i="2"/>
  <c r="H39" i="2"/>
  <c r="G39" i="2"/>
  <c r="F39" i="2"/>
  <c r="B39" i="2"/>
  <c r="D38" i="2"/>
  <c r="C38" i="2"/>
  <c r="H38" i="2"/>
  <c r="G38" i="2"/>
  <c r="F38" i="2"/>
  <c r="B38" i="2"/>
  <c r="D37" i="2"/>
  <c r="C37" i="2"/>
  <c r="H37" i="2"/>
  <c r="G37" i="2"/>
  <c r="F37" i="2"/>
  <c r="B37" i="2"/>
  <c r="D36" i="2"/>
  <c r="C36" i="2"/>
  <c r="H36" i="2"/>
  <c r="G36" i="2"/>
  <c r="F36" i="2"/>
  <c r="B36" i="2"/>
  <c r="D35" i="2"/>
  <c r="C35" i="2"/>
  <c r="H35" i="2"/>
  <c r="G35" i="2"/>
  <c r="F35" i="2"/>
  <c r="B35" i="2"/>
  <c r="D34" i="2"/>
  <c r="C34" i="2"/>
  <c r="H34" i="2"/>
  <c r="G34" i="2"/>
  <c r="F34" i="2"/>
  <c r="B34" i="2"/>
  <c r="D33" i="2"/>
  <c r="C33" i="2"/>
  <c r="H33" i="2"/>
  <c r="G33" i="2"/>
  <c r="F33" i="2"/>
  <c r="B33" i="2"/>
  <c r="D32" i="2"/>
  <c r="C32" i="2"/>
  <c r="H32" i="2"/>
  <c r="G32" i="2"/>
  <c r="F32" i="2"/>
  <c r="B32" i="2"/>
  <c r="D31" i="2"/>
  <c r="C31" i="2"/>
  <c r="H31" i="2"/>
  <c r="G31" i="2"/>
  <c r="F31" i="2"/>
  <c r="B31" i="2"/>
  <c r="D30" i="2"/>
  <c r="C30" i="2"/>
  <c r="H30" i="2"/>
  <c r="G30" i="2"/>
  <c r="F30" i="2"/>
  <c r="B30" i="2"/>
  <c r="D29" i="2"/>
  <c r="C29" i="2"/>
  <c r="H29" i="2"/>
  <c r="G29" i="2"/>
  <c r="F29" i="2"/>
  <c r="B29" i="2"/>
  <c r="D28" i="2"/>
  <c r="C28" i="2"/>
  <c r="H28" i="2"/>
  <c r="G28" i="2"/>
  <c r="F28" i="2"/>
  <c r="B28" i="2"/>
  <c r="D27" i="2"/>
  <c r="C27" i="2"/>
  <c r="H27" i="2"/>
  <c r="G27" i="2"/>
  <c r="F27" i="2"/>
  <c r="B27" i="2"/>
  <c r="D26" i="2"/>
  <c r="C26" i="2"/>
  <c r="H26" i="2"/>
  <c r="G26" i="2"/>
  <c r="F26" i="2"/>
  <c r="B26" i="2"/>
  <c r="D25" i="2"/>
  <c r="C25" i="2"/>
  <c r="H25" i="2"/>
  <c r="G25" i="2"/>
  <c r="F25" i="2"/>
  <c r="B25" i="2"/>
  <c r="D24" i="2"/>
  <c r="C24" i="2"/>
  <c r="H24" i="2"/>
  <c r="G24" i="2"/>
  <c r="F24" i="2"/>
  <c r="B24" i="2"/>
  <c r="D23" i="2"/>
  <c r="C23" i="2"/>
  <c r="H23" i="2"/>
  <c r="G23" i="2"/>
  <c r="F23" i="2"/>
  <c r="B23" i="2"/>
  <c r="D22" i="2"/>
  <c r="C22" i="2"/>
  <c r="H22" i="2"/>
  <c r="G22" i="2"/>
  <c r="F22" i="2"/>
  <c r="B22" i="2"/>
  <c r="D21" i="2"/>
  <c r="C21" i="2"/>
  <c r="H21" i="2"/>
  <c r="G21" i="2"/>
  <c r="F21" i="2"/>
  <c r="B21" i="2"/>
  <c r="D20" i="2"/>
  <c r="C20" i="2"/>
  <c r="H20" i="2"/>
  <c r="G20" i="2"/>
  <c r="F20" i="2"/>
  <c r="B20" i="2"/>
  <c r="D19" i="2"/>
  <c r="C19" i="2"/>
  <c r="H19" i="2"/>
  <c r="G19" i="2"/>
  <c r="F19" i="2"/>
  <c r="B19" i="2"/>
  <c r="D18" i="2"/>
  <c r="C18" i="2"/>
  <c r="H18" i="2"/>
  <c r="G18" i="2"/>
  <c r="F18" i="2"/>
  <c r="B18" i="2"/>
  <c r="D17" i="2"/>
  <c r="C17" i="2"/>
  <c r="H17" i="2"/>
  <c r="G17" i="2"/>
  <c r="F17" i="2"/>
  <c r="B17" i="2"/>
  <c r="D16" i="2"/>
  <c r="C16" i="2"/>
  <c r="H16" i="2"/>
  <c r="G16" i="2"/>
  <c r="F16" i="2"/>
  <c r="B16" i="2"/>
  <c r="D15" i="2"/>
  <c r="C15" i="2"/>
  <c r="H15" i="2"/>
  <c r="G15" i="2"/>
  <c r="F15" i="2"/>
  <c r="B15" i="2"/>
  <c r="D14" i="2"/>
  <c r="C14" i="2"/>
  <c r="H14" i="2"/>
  <c r="G14" i="2"/>
  <c r="F14" i="2"/>
  <c r="B14" i="2"/>
  <c r="D13" i="2"/>
  <c r="C13" i="2"/>
  <c r="H13" i="2"/>
  <c r="G13" i="2"/>
  <c r="F13" i="2"/>
  <c r="B13" i="2"/>
  <c r="D12" i="2"/>
  <c r="C12" i="2"/>
  <c r="H12" i="2"/>
  <c r="G12" i="2"/>
  <c r="F12" i="2"/>
  <c r="B12" i="2"/>
  <c r="D11" i="2"/>
  <c r="C11" i="2"/>
  <c r="H11" i="2"/>
  <c r="G11" i="2"/>
  <c r="F11" i="2"/>
  <c r="B11" i="2"/>
  <c r="D10" i="2"/>
  <c r="C10" i="2"/>
  <c r="H10" i="2"/>
  <c r="G10" i="2"/>
  <c r="F10" i="2"/>
  <c r="B10" i="2"/>
  <c r="D9" i="2"/>
  <c r="C9" i="2"/>
  <c r="H9" i="2"/>
  <c r="G9" i="2"/>
  <c r="F9" i="2"/>
  <c r="B9" i="2"/>
  <c r="D8" i="2"/>
  <c r="C8" i="2"/>
  <c r="H8" i="2"/>
  <c r="G8" i="2"/>
  <c r="F8" i="2"/>
  <c r="B8" i="2"/>
  <c r="D7" i="2"/>
  <c r="C7" i="2"/>
  <c r="H7" i="2"/>
  <c r="G7" i="2"/>
  <c r="F7" i="2"/>
  <c r="B7" i="2"/>
  <c r="D6" i="2"/>
  <c r="C6" i="2"/>
  <c r="H6" i="2"/>
  <c r="G6" i="2"/>
  <c r="F6" i="2"/>
  <c r="B6" i="2"/>
  <c r="D5" i="2"/>
  <c r="C5" i="2"/>
  <c r="H5" i="2"/>
  <c r="G5" i="2"/>
  <c r="F5" i="2"/>
  <c r="B5" i="2"/>
  <c r="D4" i="2"/>
  <c r="C4" i="2"/>
  <c r="H4" i="2"/>
  <c r="G4" i="2"/>
  <c r="F4" i="2"/>
  <c r="B4" i="2"/>
  <c r="D3" i="2"/>
  <c r="C3" i="2"/>
  <c r="H3" i="2"/>
  <c r="G3" i="2"/>
  <c r="F3" i="2"/>
  <c r="B3" i="2"/>
  <c r="D2" i="2"/>
  <c r="C2" i="2"/>
  <c r="H2" i="2"/>
  <c r="G2" i="2"/>
  <c r="F2" i="2"/>
  <c r="B2" i="2"/>
</calcChain>
</file>

<file path=xl/comments1.xml><?xml version="1.0" encoding="utf-8"?>
<comments xmlns="http://schemas.openxmlformats.org/spreadsheetml/2006/main">
  <authors>
    <author/>
  </authors>
  <commentList>
    <comment ref="A4" authorId="0">
      <text>
        <r>
          <rPr>
            <sz val="10"/>
            <color rgb="FF000000"/>
            <rFont val="Arial"/>
          </rPr>
          <t>The amount of currency produced by a single generator before any multipliers.
	-Anthony Pecorella</t>
        </r>
      </text>
    </comment>
    <comment ref="A5" authorId="0">
      <text>
        <r>
          <rPr>
            <sz val="10"/>
            <color rgb="FF000000"/>
            <rFont val="Arial"/>
          </rPr>
          <t>The cost of the first generator. Each additional one will be multiplied by the mult factor below.
	-Anthony Pecorella</t>
        </r>
      </text>
    </comment>
    <comment ref="A6" authorId="0">
      <text>
        <r>
          <rPr>
            <sz val="10"/>
            <color rgb="FF000000"/>
            <rFont val="Arial"/>
          </rPr>
          <t>The base of the exponential growth. Each generator will cost this much more than the previous.
	-Anthony Pecorella</t>
        </r>
      </text>
    </comment>
    <comment ref="A8" authorId="0">
      <text>
        <r>
          <rPr>
            <sz val="10"/>
            <color rgb="FF000000"/>
            <rFont val="Arial"/>
          </rPr>
          <t>Provides a bonus to the income of the generators once you own at least this many of them. This is a balancing tool for keeping income relevant longer and providing points of prosperity after difficult climbs.</t>
        </r>
      </text>
    </comment>
    <comment ref="A20" authorId="0">
      <text>
        <r>
          <rPr>
            <sz val="10"/>
            <color rgb="FF000000"/>
            <rFont val="Arial"/>
          </rPr>
          <t>An extremely simple model that multiplies income by a total value for each "prestige". This will give you a sense of how many of a generator a player will be able to obtain on prestige.
Note that this does not account for idle time and players will be able to get slightly farther if they are offline for a while.
	-Anthony Pecorella</t>
        </r>
      </text>
    </comment>
  </commentList>
</comments>
</file>

<file path=xl/sharedStrings.xml><?xml version="1.0" encoding="utf-8"?>
<sst xmlns="http://schemas.openxmlformats.org/spreadsheetml/2006/main" count="18" uniqueCount="17">
  <si>
    <t>Number</t>
  </si>
  <si>
    <t>Cost</t>
  </si>
  <si>
    <t>Income</t>
  </si>
  <si>
    <t>Base Value</t>
  </si>
  <si>
    <t>Bonus Mult</t>
  </si>
  <si>
    <t>Prestige 1</t>
  </si>
  <si>
    <t>Prestige 2</t>
  </si>
  <si>
    <t>Prestige 3</t>
  </si>
  <si>
    <t xml:space="preserve">This sheet provides a very simple model of growth for a generator. It uses a basic exponential growth formula with a linear value (i.e. income generation). It also allows you to give bonuses for owning a certain number of a generator, which allows you to temporarily bring the value of these generators back into the range of the cost. Finally, it has a very simple prestige model that allows you to see what the growth curve looks like with a few different multiplier estimates for prestige levels. Please read the cell comments (look for the yellow triangles) for more details and see the second sheet for the specific formulas. </t>
  </si>
  <si>
    <t>Core Stats</t>
  </si>
  <si>
    <t>Base Income</t>
  </si>
  <si>
    <t>Starting Cost</t>
  </si>
  <si>
    <t xml:space="preserve">Cost Mult Factor </t>
  </si>
  <si>
    <t>Ownership Multipliers</t>
  </si>
  <si>
    <t>Bonus 
(per milestone)</t>
  </si>
  <si>
    <t>Prestige Levels</t>
  </si>
  <si>
    <t>Bonus (total)</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</si>
</sst>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font>
    <font>
      <b/>
      <sz val="10"/>
      <name val="Arial"/>
    </font>
    <font>
      <sz val="10"/>
      <name val="Arial"/>
    </font>
    <font>
      <b/>
      <i/>
      <sz val="10"/>
      <name val="Arial"/>
    </font>
    <font>
      <i/>
      <sz val="10"/>
      <name val="Arial"/>
    </font>
  </fonts>
  <fills count="5">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s>
  <borders count="1">
    <border>
      <left/>
      <right/>
      <top/>
      <bottom/>
      <diagonal/>
    </border>
  </borders>
  <cellStyleXfs count="1">
    <xf numFmtId="0" fontId="0" fillId="0" borderId="0"/>
  </cellStyleXfs>
  <cellXfs count="16">
    <xf numFmtId="0" fontId="0" fillId="0" borderId="0" xfId="0" applyFont="1" applyAlignment="1"/>
    <xf numFmtId="0" fontId="1" fillId="2" borderId="0" xfId="0" applyFont="1" applyFill="1" applyAlignment="1"/>
    <xf numFmtId="0" fontId="2" fillId="2" borderId="0" xfId="0" applyFont="1" applyFill="1"/>
    <xf numFmtId="0" fontId="2" fillId="0" borderId="0" xfId="0" applyFont="1" applyAlignment="1"/>
    <xf numFmtId="0" fontId="4" fillId="3" borderId="0" xfId="0" applyFont="1" applyFill="1" applyAlignment="1"/>
    <xf numFmtId="0" fontId="2" fillId="4" borderId="0" xfId="0" applyFont="1" applyFill="1" applyAlignment="1"/>
    <xf numFmtId="0" fontId="1" fillId="3" borderId="0" xfId="0" applyFont="1" applyFill="1" applyAlignment="1"/>
    <xf numFmtId="0" fontId="4" fillId="0" borderId="0" xfId="0" applyFont="1"/>
    <xf numFmtId="0" fontId="4" fillId="0" borderId="0" xfId="0" applyFont="1" applyAlignment="1"/>
    <xf numFmtId="0" fontId="2" fillId="0" borderId="0" xfId="0" applyFont="1" applyAlignment="1">
      <alignment wrapText="1"/>
    </xf>
    <xf numFmtId="0" fontId="0" fillId="0" borderId="0" xfId="0" applyFont="1" applyAlignment="1">
      <alignment wrapText="1"/>
    </xf>
    <xf numFmtId="0" fontId="3" fillId="0" borderId="0" xfId="0" applyFont="1" applyAlignment="1">
      <alignment wrapText="1"/>
    </xf>
    <xf numFmtId="1" fontId="1" fillId="2" borderId="0" xfId="0" applyNumberFormat="1" applyFont="1" applyFill="1" applyAlignment="1"/>
    <xf numFmtId="1" fontId="2" fillId="0" borderId="0" xfId="0" applyNumberFormat="1" applyFont="1"/>
    <xf numFmtId="1" fontId="0" fillId="0" borderId="0" xfId="0" applyNumberFormat="1" applyFont="1" applyAlignment="1"/>
    <xf numFmtId="1" fontId="2" fillId="0" borderId="0" xfId="0" applyNumberFormat="1" applyFont="1" applyAlignmen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Income vs. Cost</a:t>
            </a:r>
          </a:p>
        </c:rich>
      </c:tx>
      <c:layout/>
      <c:overlay val="0"/>
    </c:title>
    <c:autoTitleDeleted val="0"/>
    <c:plotArea>
      <c:layout/>
      <c:lineChart>
        <c:grouping val="standard"/>
        <c:varyColors val="1"/>
        <c:ser>
          <c:idx val="0"/>
          <c:order val="0"/>
          <c:tx>
            <c:strRef>
              <c:f>Calculations!$B$1</c:f>
              <c:strCache>
                <c:ptCount val="1"/>
                <c:pt idx="0">
                  <c:v>Cost</c:v>
                </c:pt>
              </c:strCache>
            </c:strRef>
          </c:tx>
          <c:spPr>
            <a:ln w="25400" cmpd="sng">
              <a:solidFill>
                <a:srgbClr val="3366CC"/>
              </a:solidFill>
            </a:ln>
          </c:spPr>
          <c:marker>
            <c:symbol val="none"/>
          </c:marker>
          <c:cat>
            <c:numRef>
              <c:f>Calculations!$A$2:$A$81</c:f>
              <c:numCache>
                <c:formatCode>General</c:formatCode>
                <c:ptCount val="80"/>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numCache>
            </c:numRef>
          </c:cat>
          <c:val>
            <c:numRef>
              <c:f>Calculations!$B$2:$B$81</c:f>
              <c:numCache>
                <c:formatCode>0</c:formatCode>
                <c:ptCount val="80"/>
                <c:pt idx="0">
                  <c:v>1.06</c:v>
                </c:pt>
                <c:pt idx="1">
                  <c:v>1.1236</c:v>
                </c:pt>
                <c:pt idx="2">
                  <c:v>1.191016</c:v>
                </c:pt>
                <c:pt idx="3">
                  <c:v>1.26247696</c:v>
                </c:pt>
                <c:pt idx="4">
                  <c:v>1.3382255776</c:v>
                </c:pt>
                <c:pt idx="5">
                  <c:v>1.418519112256001</c:v>
                </c:pt>
                <c:pt idx="6">
                  <c:v>1.503630258991361</c:v>
                </c:pt>
                <c:pt idx="7">
                  <c:v>1.593848074530842</c:v>
                </c:pt>
                <c:pt idx="8">
                  <c:v>1.689478959002693</c:v>
                </c:pt>
                <c:pt idx="9">
                  <c:v>1.790847696542854</c:v>
                </c:pt>
                <c:pt idx="10">
                  <c:v>1.898298558335426</c:v>
                </c:pt>
                <c:pt idx="11">
                  <c:v>2.012196471835552</c:v>
                </c:pt>
                <c:pt idx="12">
                  <c:v>2.132928260145685</c:v>
                </c:pt>
                <c:pt idx="13">
                  <c:v>2.260903955754426</c:v>
                </c:pt>
                <c:pt idx="14">
                  <c:v>2.396558193099692</c:v>
                </c:pt>
                <c:pt idx="15">
                  <c:v>2.540351684685673</c:v>
                </c:pt>
                <c:pt idx="16">
                  <c:v>2.692772785766814</c:v>
                </c:pt>
                <c:pt idx="17">
                  <c:v>2.854339152912823</c:v>
                </c:pt>
                <c:pt idx="18">
                  <c:v>3.025599502087592</c:v>
                </c:pt>
                <c:pt idx="19">
                  <c:v>3.207135472212848</c:v>
                </c:pt>
                <c:pt idx="20">
                  <c:v>3.399563600545619</c:v>
                </c:pt>
                <c:pt idx="21">
                  <c:v>3.603537416578356</c:v>
                </c:pt>
                <c:pt idx="22">
                  <c:v>3.819749661573059</c:v>
                </c:pt>
                <c:pt idx="23">
                  <c:v>4.048934641267442</c:v>
                </c:pt>
                <c:pt idx="24">
                  <c:v>4.291870719743488</c:v>
                </c:pt>
                <c:pt idx="25">
                  <c:v>4.549382962928098</c:v>
                </c:pt>
                <c:pt idx="26">
                  <c:v>4.822345940703784</c:v>
                </c:pt>
                <c:pt idx="27">
                  <c:v>5.111686697146012</c:v>
                </c:pt>
                <c:pt idx="28">
                  <c:v>5.418387898974773</c:v>
                </c:pt>
                <c:pt idx="29">
                  <c:v>5.74349117291326</c:v>
                </c:pt>
                <c:pt idx="30">
                  <c:v>6.088100643288056</c:v>
                </c:pt>
                <c:pt idx="31">
                  <c:v>6.453386681885338</c:v>
                </c:pt>
                <c:pt idx="32">
                  <c:v>6.840589882798459</c:v>
                </c:pt>
                <c:pt idx="33">
                  <c:v>7.251025275766367</c:v>
                </c:pt>
                <c:pt idx="34">
                  <c:v>7.68608679231235</c:v>
                </c:pt>
                <c:pt idx="35">
                  <c:v>8.147251999851091</c:v>
                </c:pt>
                <c:pt idx="36">
                  <c:v>8.636087119842157</c:v>
                </c:pt>
                <c:pt idx="37">
                  <c:v>9.154252347032688</c:v>
                </c:pt>
                <c:pt idx="38">
                  <c:v>9.703507487854651</c:v>
                </c:pt>
                <c:pt idx="39">
                  <c:v>10.28571793712593</c:v>
                </c:pt>
                <c:pt idx="40">
                  <c:v>10.90286101335348</c:v>
                </c:pt>
                <c:pt idx="41">
                  <c:v>11.55703267415469</c:v>
                </c:pt>
                <c:pt idx="42">
                  <c:v>12.25045463460398</c:v>
                </c:pt>
                <c:pt idx="43">
                  <c:v>12.98548191268022</c:v>
                </c:pt>
                <c:pt idx="44">
                  <c:v>13.76461082744103</c:v>
                </c:pt>
                <c:pt idx="45">
                  <c:v>14.5904874770875</c:v>
                </c:pt>
                <c:pt idx="46">
                  <c:v>15.46591672571275</c:v>
                </c:pt>
                <c:pt idx="47">
                  <c:v>16.3938717292555</c:v>
                </c:pt>
                <c:pt idx="48">
                  <c:v>17.37750403301084</c:v>
                </c:pt>
                <c:pt idx="49">
                  <c:v>18.42015427499149</c:v>
                </c:pt>
                <c:pt idx="50">
                  <c:v>19.52536353149098</c:v>
                </c:pt>
                <c:pt idx="51">
                  <c:v>20.69688534338044</c:v>
                </c:pt>
                <c:pt idx="52">
                  <c:v>21.93869846398327</c:v>
                </c:pt>
                <c:pt idx="53">
                  <c:v>23.25502037182227</c:v>
                </c:pt>
                <c:pt idx="54">
                  <c:v>24.65032159413161</c:v>
                </c:pt>
                <c:pt idx="55">
                  <c:v>26.1293408897795</c:v>
                </c:pt>
                <c:pt idx="56">
                  <c:v>27.69710134316627</c:v>
                </c:pt>
                <c:pt idx="57">
                  <c:v>29.35892742375625</c:v>
                </c:pt>
                <c:pt idx="58">
                  <c:v>31.12046306918163</c:v>
                </c:pt>
                <c:pt idx="59">
                  <c:v>32.98769085333252</c:v>
                </c:pt>
                <c:pt idx="60">
                  <c:v>34.96695230453248</c:v>
                </c:pt>
                <c:pt idx="61">
                  <c:v>37.06496944280443</c:v>
                </c:pt>
                <c:pt idx="62">
                  <c:v>39.28886760937271</c:v>
                </c:pt>
                <c:pt idx="63">
                  <c:v>41.64619966593506</c:v>
                </c:pt>
                <c:pt idx="64">
                  <c:v>44.14497164589116</c:v>
                </c:pt>
                <c:pt idx="65">
                  <c:v>46.79366994464463</c:v>
                </c:pt>
                <c:pt idx="66">
                  <c:v>49.60129014132332</c:v>
                </c:pt>
                <c:pt idx="67">
                  <c:v>52.57736754980272</c:v>
                </c:pt>
                <c:pt idx="68">
                  <c:v>55.73200960279089</c:v>
                </c:pt>
                <c:pt idx="69">
                  <c:v>59.07593017895834</c:v>
                </c:pt>
                <c:pt idx="70">
                  <c:v>62.62048598969586</c:v>
                </c:pt>
                <c:pt idx="71">
                  <c:v>66.3777151490776</c:v>
                </c:pt>
                <c:pt idx="72">
                  <c:v>70.36037805802225</c:v>
                </c:pt>
                <c:pt idx="73">
                  <c:v>74.58200074150359</c:v>
                </c:pt>
                <c:pt idx="74">
                  <c:v>79.05692078599382</c:v>
                </c:pt>
                <c:pt idx="75">
                  <c:v>83.80033603315346</c:v>
                </c:pt>
                <c:pt idx="76">
                  <c:v>88.82835619514267</c:v>
                </c:pt>
                <c:pt idx="77">
                  <c:v>94.15805756685123</c:v>
                </c:pt>
                <c:pt idx="78">
                  <c:v>99.80754102086233</c:v>
                </c:pt>
                <c:pt idx="79">
                  <c:v>105.795993482114</c:v>
                </c:pt>
              </c:numCache>
            </c:numRef>
          </c:val>
          <c:smooth val="0"/>
        </c:ser>
        <c:ser>
          <c:idx val="1"/>
          <c:order val="1"/>
          <c:tx>
            <c:strRef>
              <c:f>Calculations!$C$1</c:f>
              <c:strCache>
                <c:ptCount val="1"/>
                <c:pt idx="0">
                  <c:v>Income</c:v>
                </c:pt>
              </c:strCache>
            </c:strRef>
          </c:tx>
          <c:spPr>
            <a:ln w="25400" cmpd="sng">
              <a:solidFill>
                <a:srgbClr val="DC3912"/>
              </a:solidFill>
            </a:ln>
          </c:spPr>
          <c:marker>
            <c:symbol val="none"/>
          </c:marker>
          <c:cat>
            <c:numRef>
              <c:f>Calculations!$A$2:$A$81</c:f>
              <c:numCache>
                <c:formatCode>General</c:formatCode>
                <c:ptCount val="80"/>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numCache>
            </c:numRef>
          </c:cat>
          <c:val>
            <c:numRef>
              <c:f>Calculations!$C$2:$C$81</c:f>
              <c:numCache>
                <c:formatCode>0</c:formatCode>
                <c:ptCount val="80"/>
                <c:pt idx="0">
                  <c:v>1.67</c:v>
                </c:pt>
                <c:pt idx="1">
                  <c:v>3.34</c:v>
                </c:pt>
                <c:pt idx="2">
                  <c:v>5.01</c:v>
                </c:pt>
                <c:pt idx="3">
                  <c:v>6.68</c:v>
                </c:pt>
                <c:pt idx="4">
                  <c:v>8.35</c:v>
                </c:pt>
                <c:pt idx="5">
                  <c:v>10.02</c:v>
                </c:pt>
                <c:pt idx="6">
                  <c:v>11.69</c:v>
                </c:pt>
                <c:pt idx="7">
                  <c:v>13.36</c:v>
                </c:pt>
                <c:pt idx="8">
                  <c:v>15.03</c:v>
                </c:pt>
                <c:pt idx="9">
                  <c:v>16.7</c:v>
                </c:pt>
                <c:pt idx="10">
                  <c:v>18.37</c:v>
                </c:pt>
                <c:pt idx="11">
                  <c:v>20.04</c:v>
                </c:pt>
                <c:pt idx="12">
                  <c:v>21.71</c:v>
                </c:pt>
                <c:pt idx="13">
                  <c:v>23.38</c:v>
                </c:pt>
                <c:pt idx="14">
                  <c:v>25.05</c:v>
                </c:pt>
                <c:pt idx="15">
                  <c:v>26.72</c:v>
                </c:pt>
                <c:pt idx="16">
                  <c:v>28.39</c:v>
                </c:pt>
                <c:pt idx="17">
                  <c:v>30.06</c:v>
                </c:pt>
                <c:pt idx="18">
                  <c:v>31.73</c:v>
                </c:pt>
                <c:pt idx="19">
                  <c:v>33.4</c:v>
                </c:pt>
                <c:pt idx="20">
                  <c:v>35.07</c:v>
                </c:pt>
                <c:pt idx="21">
                  <c:v>36.74</c:v>
                </c:pt>
                <c:pt idx="22">
                  <c:v>38.41</c:v>
                </c:pt>
                <c:pt idx="23">
                  <c:v>40.08</c:v>
                </c:pt>
                <c:pt idx="24">
                  <c:v>83.5</c:v>
                </c:pt>
                <c:pt idx="25">
                  <c:v>86.84</c:v>
                </c:pt>
                <c:pt idx="26">
                  <c:v>90.17999999999999</c:v>
                </c:pt>
                <c:pt idx="27">
                  <c:v>93.52</c:v>
                </c:pt>
                <c:pt idx="28">
                  <c:v>96.86</c:v>
                </c:pt>
                <c:pt idx="29">
                  <c:v>100.2</c:v>
                </c:pt>
                <c:pt idx="30">
                  <c:v>103.54</c:v>
                </c:pt>
                <c:pt idx="31">
                  <c:v>106.88</c:v>
                </c:pt>
                <c:pt idx="32">
                  <c:v>110.22</c:v>
                </c:pt>
                <c:pt idx="33">
                  <c:v>113.56</c:v>
                </c:pt>
                <c:pt idx="34">
                  <c:v>116.9</c:v>
                </c:pt>
                <c:pt idx="35">
                  <c:v>120.24</c:v>
                </c:pt>
                <c:pt idx="36">
                  <c:v>123.58</c:v>
                </c:pt>
                <c:pt idx="37">
                  <c:v>126.92</c:v>
                </c:pt>
                <c:pt idx="38">
                  <c:v>130.26</c:v>
                </c:pt>
                <c:pt idx="39">
                  <c:v>133.6</c:v>
                </c:pt>
                <c:pt idx="40">
                  <c:v>136.94</c:v>
                </c:pt>
                <c:pt idx="41">
                  <c:v>140.28</c:v>
                </c:pt>
                <c:pt idx="42">
                  <c:v>143.62</c:v>
                </c:pt>
                <c:pt idx="43">
                  <c:v>146.96</c:v>
                </c:pt>
                <c:pt idx="44">
                  <c:v>150.3</c:v>
                </c:pt>
                <c:pt idx="45">
                  <c:v>153.64</c:v>
                </c:pt>
                <c:pt idx="46">
                  <c:v>156.98</c:v>
                </c:pt>
                <c:pt idx="47">
                  <c:v>160.32</c:v>
                </c:pt>
                <c:pt idx="48">
                  <c:v>163.66</c:v>
                </c:pt>
                <c:pt idx="49">
                  <c:v>334.0</c:v>
                </c:pt>
                <c:pt idx="50">
                  <c:v>340.68</c:v>
                </c:pt>
                <c:pt idx="51">
                  <c:v>347.36</c:v>
                </c:pt>
                <c:pt idx="52">
                  <c:v>354.04</c:v>
                </c:pt>
                <c:pt idx="53">
                  <c:v>360.72</c:v>
                </c:pt>
                <c:pt idx="54">
                  <c:v>367.4</c:v>
                </c:pt>
                <c:pt idx="55">
                  <c:v>374.08</c:v>
                </c:pt>
                <c:pt idx="56">
                  <c:v>380.76</c:v>
                </c:pt>
                <c:pt idx="57">
                  <c:v>387.44</c:v>
                </c:pt>
                <c:pt idx="58">
                  <c:v>394.12</c:v>
                </c:pt>
                <c:pt idx="59">
                  <c:v>400.8</c:v>
                </c:pt>
                <c:pt idx="60">
                  <c:v>407.48</c:v>
                </c:pt>
                <c:pt idx="61">
                  <c:v>414.16</c:v>
                </c:pt>
                <c:pt idx="62">
                  <c:v>420.84</c:v>
                </c:pt>
                <c:pt idx="63">
                  <c:v>427.52</c:v>
                </c:pt>
                <c:pt idx="64">
                  <c:v>434.2</c:v>
                </c:pt>
                <c:pt idx="65">
                  <c:v>440.88</c:v>
                </c:pt>
                <c:pt idx="66">
                  <c:v>447.56</c:v>
                </c:pt>
                <c:pt idx="67">
                  <c:v>454.24</c:v>
                </c:pt>
                <c:pt idx="68">
                  <c:v>460.92</c:v>
                </c:pt>
                <c:pt idx="69">
                  <c:v>467.6</c:v>
                </c:pt>
                <c:pt idx="70">
                  <c:v>474.28</c:v>
                </c:pt>
                <c:pt idx="71">
                  <c:v>480.96</c:v>
                </c:pt>
                <c:pt idx="72">
                  <c:v>487.64</c:v>
                </c:pt>
                <c:pt idx="73">
                  <c:v>494.32</c:v>
                </c:pt>
                <c:pt idx="74">
                  <c:v>501.0</c:v>
                </c:pt>
                <c:pt idx="75">
                  <c:v>507.6799999999999</c:v>
                </c:pt>
                <c:pt idx="76">
                  <c:v>514.36</c:v>
                </c:pt>
                <c:pt idx="77">
                  <c:v>521.04</c:v>
                </c:pt>
                <c:pt idx="78">
                  <c:v>527.72</c:v>
                </c:pt>
                <c:pt idx="79">
                  <c:v>534.4</c:v>
                </c:pt>
              </c:numCache>
            </c:numRef>
          </c:val>
          <c:smooth val="0"/>
        </c:ser>
        <c:dLbls>
          <c:showLegendKey val="0"/>
          <c:showVal val="0"/>
          <c:showCatName val="0"/>
          <c:showSerName val="0"/>
          <c:showPercent val="0"/>
          <c:showBubbleSize val="0"/>
        </c:dLbls>
        <c:marker val="1"/>
        <c:smooth val="0"/>
        <c:axId val="581114744"/>
        <c:axId val="580960552"/>
      </c:lineChart>
      <c:catAx>
        <c:axId val="581114744"/>
        <c:scaling>
          <c:orientation val="minMax"/>
        </c:scaling>
        <c:delete val="1"/>
        <c:axPos val="b"/>
        <c:title>
          <c:tx>
            <c:rich>
              <a:bodyPr/>
              <a:lstStyle/>
              <a:p>
                <a:pPr lvl="0">
                  <a:defRPr/>
                </a:pPr>
                <a:r>
                  <a:rPr lang="en-US"/>
                  <a:t>Count</a:t>
                </a:r>
              </a:p>
            </c:rich>
          </c:tx>
          <c:layout/>
          <c:overlay val="0"/>
        </c:title>
        <c:numFmt formatCode="General" sourceLinked="1"/>
        <c:majorTickMark val="cross"/>
        <c:minorTickMark val="none"/>
        <c:tickLblPos val="nextTo"/>
        <c:crossAx val="580960552"/>
        <c:crosses val="autoZero"/>
        <c:auto val="1"/>
        <c:lblAlgn val="ctr"/>
        <c:lblOffset val="100"/>
        <c:tickLblSkip val="2"/>
        <c:noMultiLvlLbl val="1"/>
      </c:catAx>
      <c:valAx>
        <c:axId val="580960552"/>
        <c:scaling>
          <c:orientation val="minMax"/>
        </c:scaling>
        <c:delete val="0"/>
        <c:axPos val="l"/>
        <c:majorGridlines>
          <c:spPr>
            <a:ln>
              <a:solidFill>
                <a:srgbClr val="B7B7B7"/>
              </a:solidFill>
            </a:ln>
          </c:spPr>
        </c:majorGridlines>
        <c:numFmt formatCode="0" sourceLinked="1"/>
        <c:majorTickMark val="cross"/>
        <c:minorTickMark val="cross"/>
        <c:tickLblPos val="nextTo"/>
        <c:spPr>
          <a:ln w="47625">
            <a:noFill/>
          </a:ln>
        </c:spPr>
        <c:txPr>
          <a:bodyPr/>
          <a:lstStyle/>
          <a:p>
            <a:pPr lvl="0">
              <a:defRPr/>
            </a:pPr>
            <a:endParaRPr lang="en-US"/>
          </a:p>
        </c:txPr>
        <c:crossAx val="581114744"/>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Income vs. Cost (log scale)</a:t>
            </a:r>
          </a:p>
        </c:rich>
      </c:tx>
      <c:layout/>
      <c:overlay val="0"/>
    </c:title>
    <c:autoTitleDeleted val="0"/>
    <c:plotArea>
      <c:layout/>
      <c:lineChart>
        <c:grouping val="standard"/>
        <c:varyColors val="1"/>
        <c:ser>
          <c:idx val="0"/>
          <c:order val="0"/>
          <c:tx>
            <c:strRef>
              <c:f>Calculations!$B$1</c:f>
              <c:strCache>
                <c:ptCount val="1"/>
                <c:pt idx="0">
                  <c:v>Cost</c:v>
                </c:pt>
              </c:strCache>
            </c:strRef>
          </c:tx>
          <c:spPr>
            <a:ln w="25400" cmpd="sng">
              <a:solidFill>
                <a:srgbClr val="3366CC"/>
              </a:solidFill>
            </a:ln>
          </c:spPr>
          <c:marker>
            <c:symbol val="none"/>
          </c:marker>
          <c:cat>
            <c:numRef>
              <c:f>Calculations!$A$2:$A$500</c:f>
              <c:numCache>
                <c:formatCode>General</c:formatCode>
                <c:ptCount val="4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pt idx="99">
                  <c:v>100.0</c:v>
                </c:pt>
                <c:pt idx="100">
                  <c:v>101.0</c:v>
                </c:pt>
                <c:pt idx="101">
                  <c:v>102.0</c:v>
                </c:pt>
                <c:pt idx="102">
                  <c:v>103.0</c:v>
                </c:pt>
                <c:pt idx="103">
                  <c:v>104.0</c:v>
                </c:pt>
                <c:pt idx="104">
                  <c:v>105.0</c:v>
                </c:pt>
                <c:pt idx="105">
                  <c:v>106.0</c:v>
                </c:pt>
                <c:pt idx="106">
                  <c:v>107.0</c:v>
                </c:pt>
                <c:pt idx="107">
                  <c:v>108.0</c:v>
                </c:pt>
                <c:pt idx="108">
                  <c:v>109.0</c:v>
                </c:pt>
                <c:pt idx="109">
                  <c:v>110.0</c:v>
                </c:pt>
                <c:pt idx="110">
                  <c:v>111.0</c:v>
                </c:pt>
                <c:pt idx="111">
                  <c:v>112.0</c:v>
                </c:pt>
                <c:pt idx="112">
                  <c:v>113.0</c:v>
                </c:pt>
                <c:pt idx="113">
                  <c:v>114.0</c:v>
                </c:pt>
                <c:pt idx="114">
                  <c:v>115.0</c:v>
                </c:pt>
                <c:pt idx="115">
                  <c:v>116.0</c:v>
                </c:pt>
                <c:pt idx="116">
                  <c:v>117.0</c:v>
                </c:pt>
                <c:pt idx="117">
                  <c:v>118.0</c:v>
                </c:pt>
                <c:pt idx="118">
                  <c:v>119.0</c:v>
                </c:pt>
                <c:pt idx="119">
                  <c:v>120.0</c:v>
                </c:pt>
                <c:pt idx="120">
                  <c:v>121.0</c:v>
                </c:pt>
                <c:pt idx="121">
                  <c:v>122.0</c:v>
                </c:pt>
                <c:pt idx="122">
                  <c:v>123.0</c:v>
                </c:pt>
                <c:pt idx="123">
                  <c:v>124.0</c:v>
                </c:pt>
                <c:pt idx="124">
                  <c:v>125.0</c:v>
                </c:pt>
                <c:pt idx="125">
                  <c:v>126.0</c:v>
                </c:pt>
                <c:pt idx="126">
                  <c:v>127.0</c:v>
                </c:pt>
                <c:pt idx="127">
                  <c:v>128.0</c:v>
                </c:pt>
                <c:pt idx="128">
                  <c:v>129.0</c:v>
                </c:pt>
                <c:pt idx="129">
                  <c:v>130.0</c:v>
                </c:pt>
                <c:pt idx="130">
                  <c:v>131.0</c:v>
                </c:pt>
                <c:pt idx="131">
                  <c:v>132.0</c:v>
                </c:pt>
                <c:pt idx="132">
                  <c:v>133.0</c:v>
                </c:pt>
                <c:pt idx="133">
                  <c:v>134.0</c:v>
                </c:pt>
                <c:pt idx="134">
                  <c:v>135.0</c:v>
                </c:pt>
                <c:pt idx="135">
                  <c:v>136.0</c:v>
                </c:pt>
                <c:pt idx="136">
                  <c:v>137.0</c:v>
                </c:pt>
                <c:pt idx="137">
                  <c:v>138.0</c:v>
                </c:pt>
                <c:pt idx="138">
                  <c:v>139.0</c:v>
                </c:pt>
                <c:pt idx="139">
                  <c:v>140.0</c:v>
                </c:pt>
                <c:pt idx="140">
                  <c:v>141.0</c:v>
                </c:pt>
                <c:pt idx="141">
                  <c:v>142.0</c:v>
                </c:pt>
                <c:pt idx="142">
                  <c:v>143.0</c:v>
                </c:pt>
                <c:pt idx="143">
                  <c:v>144.0</c:v>
                </c:pt>
                <c:pt idx="144">
                  <c:v>145.0</c:v>
                </c:pt>
                <c:pt idx="145">
                  <c:v>146.0</c:v>
                </c:pt>
                <c:pt idx="146">
                  <c:v>147.0</c:v>
                </c:pt>
                <c:pt idx="147">
                  <c:v>148.0</c:v>
                </c:pt>
                <c:pt idx="148">
                  <c:v>149.0</c:v>
                </c:pt>
                <c:pt idx="149">
                  <c:v>150.0</c:v>
                </c:pt>
                <c:pt idx="150">
                  <c:v>151.0</c:v>
                </c:pt>
                <c:pt idx="151">
                  <c:v>152.0</c:v>
                </c:pt>
                <c:pt idx="152">
                  <c:v>153.0</c:v>
                </c:pt>
                <c:pt idx="153">
                  <c:v>154.0</c:v>
                </c:pt>
                <c:pt idx="154">
                  <c:v>155.0</c:v>
                </c:pt>
                <c:pt idx="155">
                  <c:v>156.0</c:v>
                </c:pt>
                <c:pt idx="156">
                  <c:v>157.0</c:v>
                </c:pt>
                <c:pt idx="157">
                  <c:v>158.0</c:v>
                </c:pt>
                <c:pt idx="158">
                  <c:v>159.0</c:v>
                </c:pt>
                <c:pt idx="159">
                  <c:v>160.0</c:v>
                </c:pt>
                <c:pt idx="160">
                  <c:v>161.0</c:v>
                </c:pt>
                <c:pt idx="161">
                  <c:v>162.0</c:v>
                </c:pt>
                <c:pt idx="162">
                  <c:v>163.0</c:v>
                </c:pt>
                <c:pt idx="163">
                  <c:v>164.0</c:v>
                </c:pt>
                <c:pt idx="164">
                  <c:v>165.0</c:v>
                </c:pt>
                <c:pt idx="165">
                  <c:v>166.0</c:v>
                </c:pt>
                <c:pt idx="166">
                  <c:v>167.0</c:v>
                </c:pt>
                <c:pt idx="167">
                  <c:v>168.0</c:v>
                </c:pt>
                <c:pt idx="168">
                  <c:v>169.0</c:v>
                </c:pt>
                <c:pt idx="169">
                  <c:v>170.0</c:v>
                </c:pt>
                <c:pt idx="170">
                  <c:v>171.0</c:v>
                </c:pt>
                <c:pt idx="171">
                  <c:v>172.0</c:v>
                </c:pt>
                <c:pt idx="172">
                  <c:v>173.0</c:v>
                </c:pt>
                <c:pt idx="173">
                  <c:v>174.0</c:v>
                </c:pt>
                <c:pt idx="174">
                  <c:v>175.0</c:v>
                </c:pt>
                <c:pt idx="175">
                  <c:v>176.0</c:v>
                </c:pt>
                <c:pt idx="176">
                  <c:v>177.0</c:v>
                </c:pt>
                <c:pt idx="177">
                  <c:v>178.0</c:v>
                </c:pt>
                <c:pt idx="178">
                  <c:v>179.0</c:v>
                </c:pt>
                <c:pt idx="179">
                  <c:v>180.0</c:v>
                </c:pt>
                <c:pt idx="180">
                  <c:v>181.0</c:v>
                </c:pt>
                <c:pt idx="181">
                  <c:v>182.0</c:v>
                </c:pt>
                <c:pt idx="182">
                  <c:v>183.0</c:v>
                </c:pt>
                <c:pt idx="183">
                  <c:v>184.0</c:v>
                </c:pt>
                <c:pt idx="184">
                  <c:v>185.0</c:v>
                </c:pt>
                <c:pt idx="185">
                  <c:v>186.0</c:v>
                </c:pt>
                <c:pt idx="186">
                  <c:v>187.0</c:v>
                </c:pt>
                <c:pt idx="187">
                  <c:v>188.0</c:v>
                </c:pt>
                <c:pt idx="188">
                  <c:v>189.0</c:v>
                </c:pt>
                <c:pt idx="189">
                  <c:v>190.0</c:v>
                </c:pt>
                <c:pt idx="190">
                  <c:v>191.0</c:v>
                </c:pt>
                <c:pt idx="191">
                  <c:v>192.0</c:v>
                </c:pt>
                <c:pt idx="192">
                  <c:v>193.0</c:v>
                </c:pt>
                <c:pt idx="193">
                  <c:v>194.0</c:v>
                </c:pt>
                <c:pt idx="194">
                  <c:v>195.0</c:v>
                </c:pt>
                <c:pt idx="195">
                  <c:v>196.0</c:v>
                </c:pt>
                <c:pt idx="196">
                  <c:v>197.0</c:v>
                </c:pt>
                <c:pt idx="197">
                  <c:v>198.0</c:v>
                </c:pt>
                <c:pt idx="198">
                  <c:v>199.0</c:v>
                </c:pt>
                <c:pt idx="199">
                  <c:v>200.0</c:v>
                </c:pt>
                <c:pt idx="200">
                  <c:v>201.0</c:v>
                </c:pt>
                <c:pt idx="201">
                  <c:v>202.0</c:v>
                </c:pt>
                <c:pt idx="202">
                  <c:v>203.0</c:v>
                </c:pt>
                <c:pt idx="203">
                  <c:v>204.0</c:v>
                </c:pt>
                <c:pt idx="204">
                  <c:v>205.0</c:v>
                </c:pt>
                <c:pt idx="205">
                  <c:v>206.0</c:v>
                </c:pt>
                <c:pt idx="206">
                  <c:v>207.0</c:v>
                </c:pt>
                <c:pt idx="207">
                  <c:v>208.0</c:v>
                </c:pt>
                <c:pt idx="208">
                  <c:v>209.0</c:v>
                </c:pt>
                <c:pt idx="209">
                  <c:v>210.0</c:v>
                </c:pt>
                <c:pt idx="210">
                  <c:v>211.0</c:v>
                </c:pt>
                <c:pt idx="211">
                  <c:v>212.0</c:v>
                </c:pt>
                <c:pt idx="212">
                  <c:v>213.0</c:v>
                </c:pt>
                <c:pt idx="213">
                  <c:v>214.0</c:v>
                </c:pt>
                <c:pt idx="214">
                  <c:v>215.0</c:v>
                </c:pt>
                <c:pt idx="215">
                  <c:v>216.0</c:v>
                </c:pt>
                <c:pt idx="216">
                  <c:v>217.0</c:v>
                </c:pt>
                <c:pt idx="217">
                  <c:v>218.0</c:v>
                </c:pt>
                <c:pt idx="218">
                  <c:v>219.0</c:v>
                </c:pt>
                <c:pt idx="219">
                  <c:v>220.0</c:v>
                </c:pt>
                <c:pt idx="220">
                  <c:v>221.0</c:v>
                </c:pt>
                <c:pt idx="221">
                  <c:v>222.0</c:v>
                </c:pt>
                <c:pt idx="222">
                  <c:v>223.0</c:v>
                </c:pt>
                <c:pt idx="223">
                  <c:v>224.0</c:v>
                </c:pt>
                <c:pt idx="224">
                  <c:v>225.0</c:v>
                </c:pt>
                <c:pt idx="225">
                  <c:v>226.0</c:v>
                </c:pt>
                <c:pt idx="226">
                  <c:v>227.0</c:v>
                </c:pt>
                <c:pt idx="227">
                  <c:v>228.0</c:v>
                </c:pt>
                <c:pt idx="228">
                  <c:v>229.0</c:v>
                </c:pt>
                <c:pt idx="229">
                  <c:v>230.0</c:v>
                </c:pt>
                <c:pt idx="230">
                  <c:v>231.0</c:v>
                </c:pt>
                <c:pt idx="231">
                  <c:v>232.0</c:v>
                </c:pt>
                <c:pt idx="232">
                  <c:v>233.0</c:v>
                </c:pt>
                <c:pt idx="233">
                  <c:v>234.0</c:v>
                </c:pt>
                <c:pt idx="234">
                  <c:v>235.0</c:v>
                </c:pt>
                <c:pt idx="235">
                  <c:v>236.0</c:v>
                </c:pt>
                <c:pt idx="236">
                  <c:v>237.0</c:v>
                </c:pt>
                <c:pt idx="237">
                  <c:v>238.0</c:v>
                </c:pt>
                <c:pt idx="238">
                  <c:v>239.0</c:v>
                </c:pt>
                <c:pt idx="239">
                  <c:v>240.0</c:v>
                </c:pt>
                <c:pt idx="240">
                  <c:v>241.0</c:v>
                </c:pt>
                <c:pt idx="241">
                  <c:v>242.0</c:v>
                </c:pt>
                <c:pt idx="242">
                  <c:v>243.0</c:v>
                </c:pt>
                <c:pt idx="243">
                  <c:v>244.0</c:v>
                </c:pt>
                <c:pt idx="244">
                  <c:v>245.0</c:v>
                </c:pt>
                <c:pt idx="245">
                  <c:v>246.0</c:v>
                </c:pt>
                <c:pt idx="246">
                  <c:v>247.0</c:v>
                </c:pt>
                <c:pt idx="247">
                  <c:v>248.0</c:v>
                </c:pt>
                <c:pt idx="248">
                  <c:v>249.0</c:v>
                </c:pt>
                <c:pt idx="249">
                  <c:v>250.0</c:v>
                </c:pt>
                <c:pt idx="250">
                  <c:v>251.0</c:v>
                </c:pt>
                <c:pt idx="251">
                  <c:v>252.0</c:v>
                </c:pt>
                <c:pt idx="252">
                  <c:v>253.0</c:v>
                </c:pt>
                <c:pt idx="253">
                  <c:v>254.0</c:v>
                </c:pt>
                <c:pt idx="254">
                  <c:v>255.0</c:v>
                </c:pt>
                <c:pt idx="255">
                  <c:v>256.0</c:v>
                </c:pt>
                <c:pt idx="256">
                  <c:v>257.0</c:v>
                </c:pt>
                <c:pt idx="257">
                  <c:v>258.0</c:v>
                </c:pt>
                <c:pt idx="258">
                  <c:v>259.0</c:v>
                </c:pt>
                <c:pt idx="259">
                  <c:v>260.0</c:v>
                </c:pt>
                <c:pt idx="260">
                  <c:v>261.0</c:v>
                </c:pt>
                <c:pt idx="261">
                  <c:v>262.0</c:v>
                </c:pt>
                <c:pt idx="262">
                  <c:v>263.0</c:v>
                </c:pt>
                <c:pt idx="263">
                  <c:v>264.0</c:v>
                </c:pt>
                <c:pt idx="264">
                  <c:v>265.0</c:v>
                </c:pt>
                <c:pt idx="265">
                  <c:v>266.0</c:v>
                </c:pt>
                <c:pt idx="266">
                  <c:v>267.0</c:v>
                </c:pt>
                <c:pt idx="267">
                  <c:v>268.0</c:v>
                </c:pt>
                <c:pt idx="268">
                  <c:v>269.0</c:v>
                </c:pt>
                <c:pt idx="269">
                  <c:v>270.0</c:v>
                </c:pt>
                <c:pt idx="270">
                  <c:v>271.0</c:v>
                </c:pt>
                <c:pt idx="271">
                  <c:v>272.0</c:v>
                </c:pt>
                <c:pt idx="272">
                  <c:v>273.0</c:v>
                </c:pt>
                <c:pt idx="273">
                  <c:v>274.0</c:v>
                </c:pt>
                <c:pt idx="274">
                  <c:v>275.0</c:v>
                </c:pt>
                <c:pt idx="275">
                  <c:v>276.0</c:v>
                </c:pt>
                <c:pt idx="276">
                  <c:v>277.0</c:v>
                </c:pt>
                <c:pt idx="277">
                  <c:v>278.0</c:v>
                </c:pt>
                <c:pt idx="278">
                  <c:v>279.0</c:v>
                </c:pt>
                <c:pt idx="279">
                  <c:v>280.0</c:v>
                </c:pt>
                <c:pt idx="280">
                  <c:v>281.0</c:v>
                </c:pt>
                <c:pt idx="281">
                  <c:v>282.0</c:v>
                </c:pt>
                <c:pt idx="282">
                  <c:v>283.0</c:v>
                </c:pt>
                <c:pt idx="283">
                  <c:v>284.0</c:v>
                </c:pt>
                <c:pt idx="284">
                  <c:v>285.0</c:v>
                </c:pt>
                <c:pt idx="285">
                  <c:v>286.0</c:v>
                </c:pt>
                <c:pt idx="286">
                  <c:v>287.0</c:v>
                </c:pt>
                <c:pt idx="287">
                  <c:v>288.0</c:v>
                </c:pt>
                <c:pt idx="288">
                  <c:v>289.0</c:v>
                </c:pt>
                <c:pt idx="289">
                  <c:v>290.0</c:v>
                </c:pt>
                <c:pt idx="290">
                  <c:v>291.0</c:v>
                </c:pt>
                <c:pt idx="291">
                  <c:v>292.0</c:v>
                </c:pt>
                <c:pt idx="292">
                  <c:v>293.0</c:v>
                </c:pt>
                <c:pt idx="293">
                  <c:v>294.0</c:v>
                </c:pt>
                <c:pt idx="294">
                  <c:v>295.0</c:v>
                </c:pt>
                <c:pt idx="295">
                  <c:v>296.0</c:v>
                </c:pt>
                <c:pt idx="296">
                  <c:v>297.0</c:v>
                </c:pt>
                <c:pt idx="297">
                  <c:v>298.0</c:v>
                </c:pt>
                <c:pt idx="298">
                  <c:v>299.0</c:v>
                </c:pt>
                <c:pt idx="299">
                  <c:v>300.0</c:v>
                </c:pt>
                <c:pt idx="300">
                  <c:v>301.0</c:v>
                </c:pt>
                <c:pt idx="301">
                  <c:v>302.0</c:v>
                </c:pt>
                <c:pt idx="302">
                  <c:v>303.0</c:v>
                </c:pt>
                <c:pt idx="303">
                  <c:v>304.0</c:v>
                </c:pt>
                <c:pt idx="304">
                  <c:v>305.0</c:v>
                </c:pt>
                <c:pt idx="305">
                  <c:v>306.0</c:v>
                </c:pt>
                <c:pt idx="306">
                  <c:v>307.0</c:v>
                </c:pt>
                <c:pt idx="307">
                  <c:v>308.0</c:v>
                </c:pt>
                <c:pt idx="308">
                  <c:v>309.0</c:v>
                </c:pt>
                <c:pt idx="309">
                  <c:v>310.0</c:v>
                </c:pt>
                <c:pt idx="310">
                  <c:v>311.0</c:v>
                </c:pt>
                <c:pt idx="311">
                  <c:v>312.0</c:v>
                </c:pt>
                <c:pt idx="312">
                  <c:v>313.0</c:v>
                </c:pt>
                <c:pt idx="313">
                  <c:v>314.0</c:v>
                </c:pt>
                <c:pt idx="314">
                  <c:v>315.0</c:v>
                </c:pt>
                <c:pt idx="315">
                  <c:v>316.0</c:v>
                </c:pt>
                <c:pt idx="316">
                  <c:v>317.0</c:v>
                </c:pt>
                <c:pt idx="317">
                  <c:v>318.0</c:v>
                </c:pt>
                <c:pt idx="318">
                  <c:v>319.0</c:v>
                </c:pt>
                <c:pt idx="319">
                  <c:v>320.0</c:v>
                </c:pt>
                <c:pt idx="320">
                  <c:v>321.0</c:v>
                </c:pt>
                <c:pt idx="321">
                  <c:v>322.0</c:v>
                </c:pt>
                <c:pt idx="322">
                  <c:v>323.0</c:v>
                </c:pt>
                <c:pt idx="323">
                  <c:v>324.0</c:v>
                </c:pt>
                <c:pt idx="324">
                  <c:v>325.0</c:v>
                </c:pt>
                <c:pt idx="325">
                  <c:v>326.0</c:v>
                </c:pt>
                <c:pt idx="326">
                  <c:v>327.0</c:v>
                </c:pt>
                <c:pt idx="327">
                  <c:v>328.0</c:v>
                </c:pt>
                <c:pt idx="328">
                  <c:v>329.0</c:v>
                </c:pt>
                <c:pt idx="329">
                  <c:v>330.0</c:v>
                </c:pt>
                <c:pt idx="330">
                  <c:v>331.0</c:v>
                </c:pt>
                <c:pt idx="331">
                  <c:v>332.0</c:v>
                </c:pt>
                <c:pt idx="332">
                  <c:v>333.0</c:v>
                </c:pt>
                <c:pt idx="333">
                  <c:v>334.0</c:v>
                </c:pt>
                <c:pt idx="334">
                  <c:v>335.0</c:v>
                </c:pt>
                <c:pt idx="335">
                  <c:v>336.0</c:v>
                </c:pt>
                <c:pt idx="336">
                  <c:v>337.0</c:v>
                </c:pt>
                <c:pt idx="337">
                  <c:v>338.0</c:v>
                </c:pt>
                <c:pt idx="338">
                  <c:v>339.0</c:v>
                </c:pt>
                <c:pt idx="339">
                  <c:v>340.0</c:v>
                </c:pt>
                <c:pt idx="340">
                  <c:v>341.0</c:v>
                </c:pt>
                <c:pt idx="341">
                  <c:v>342.0</c:v>
                </c:pt>
                <c:pt idx="342">
                  <c:v>343.0</c:v>
                </c:pt>
                <c:pt idx="343">
                  <c:v>344.0</c:v>
                </c:pt>
                <c:pt idx="344">
                  <c:v>345.0</c:v>
                </c:pt>
                <c:pt idx="345">
                  <c:v>346.0</c:v>
                </c:pt>
                <c:pt idx="346">
                  <c:v>347.0</c:v>
                </c:pt>
                <c:pt idx="347">
                  <c:v>348.0</c:v>
                </c:pt>
                <c:pt idx="348">
                  <c:v>349.0</c:v>
                </c:pt>
                <c:pt idx="349">
                  <c:v>350.0</c:v>
                </c:pt>
                <c:pt idx="350">
                  <c:v>351.0</c:v>
                </c:pt>
                <c:pt idx="351">
                  <c:v>352.0</c:v>
                </c:pt>
                <c:pt idx="352">
                  <c:v>353.0</c:v>
                </c:pt>
                <c:pt idx="353">
                  <c:v>354.0</c:v>
                </c:pt>
                <c:pt idx="354">
                  <c:v>355.0</c:v>
                </c:pt>
                <c:pt idx="355">
                  <c:v>356.0</c:v>
                </c:pt>
                <c:pt idx="356">
                  <c:v>357.0</c:v>
                </c:pt>
                <c:pt idx="357">
                  <c:v>358.0</c:v>
                </c:pt>
                <c:pt idx="358">
                  <c:v>359.0</c:v>
                </c:pt>
                <c:pt idx="359">
                  <c:v>360.0</c:v>
                </c:pt>
                <c:pt idx="360">
                  <c:v>361.0</c:v>
                </c:pt>
                <c:pt idx="361">
                  <c:v>362.0</c:v>
                </c:pt>
                <c:pt idx="362">
                  <c:v>363.0</c:v>
                </c:pt>
                <c:pt idx="363">
                  <c:v>364.0</c:v>
                </c:pt>
                <c:pt idx="364">
                  <c:v>365.0</c:v>
                </c:pt>
                <c:pt idx="365">
                  <c:v>366.0</c:v>
                </c:pt>
                <c:pt idx="366">
                  <c:v>367.0</c:v>
                </c:pt>
                <c:pt idx="367">
                  <c:v>368.0</c:v>
                </c:pt>
                <c:pt idx="368">
                  <c:v>369.0</c:v>
                </c:pt>
                <c:pt idx="369">
                  <c:v>370.0</c:v>
                </c:pt>
                <c:pt idx="370">
                  <c:v>371.0</c:v>
                </c:pt>
                <c:pt idx="371">
                  <c:v>372.0</c:v>
                </c:pt>
                <c:pt idx="372">
                  <c:v>373.0</c:v>
                </c:pt>
                <c:pt idx="373">
                  <c:v>374.0</c:v>
                </c:pt>
                <c:pt idx="374">
                  <c:v>375.0</c:v>
                </c:pt>
                <c:pt idx="375">
                  <c:v>376.0</c:v>
                </c:pt>
                <c:pt idx="376">
                  <c:v>377.0</c:v>
                </c:pt>
                <c:pt idx="377">
                  <c:v>378.0</c:v>
                </c:pt>
                <c:pt idx="378">
                  <c:v>379.0</c:v>
                </c:pt>
                <c:pt idx="379">
                  <c:v>380.0</c:v>
                </c:pt>
                <c:pt idx="380">
                  <c:v>381.0</c:v>
                </c:pt>
                <c:pt idx="381">
                  <c:v>382.0</c:v>
                </c:pt>
                <c:pt idx="382">
                  <c:v>383.0</c:v>
                </c:pt>
                <c:pt idx="383">
                  <c:v>384.0</c:v>
                </c:pt>
                <c:pt idx="384">
                  <c:v>385.0</c:v>
                </c:pt>
                <c:pt idx="385">
                  <c:v>386.0</c:v>
                </c:pt>
                <c:pt idx="386">
                  <c:v>387.0</c:v>
                </c:pt>
                <c:pt idx="387">
                  <c:v>388.0</c:v>
                </c:pt>
                <c:pt idx="388">
                  <c:v>389.0</c:v>
                </c:pt>
                <c:pt idx="389">
                  <c:v>390.0</c:v>
                </c:pt>
                <c:pt idx="390">
                  <c:v>391.0</c:v>
                </c:pt>
                <c:pt idx="391">
                  <c:v>392.0</c:v>
                </c:pt>
                <c:pt idx="392">
                  <c:v>393.0</c:v>
                </c:pt>
                <c:pt idx="393">
                  <c:v>394.0</c:v>
                </c:pt>
                <c:pt idx="394">
                  <c:v>395.0</c:v>
                </c:pt>
                <c:pt idx="395">
                  <c:v>396.0</c:v>
                </c:pt>
                <c:pt idx="396">
                  <c:v>397.0</c:v>
                </c:pt>
                <c:pt idx="397">
                  <c:v>398.0</c:v>
                </c:pt>
                <c:pt idx="398">
                  <c:v>399.0</c:v>
                </c:pt>
                <c:pt idx="399">
                  <c:v>400.0</c:v>
                </c:pt>
                <c:pt idx="400">
                  <c:v>401.0</c:v>
                </c:pt>
                <c:pt idx="401">
                  <c:v>402.0</c:v>
                </c:pt>
                <c:pt idx="402">
                  <c:v>403.0</c:v>
                </c:pt>
                <c:pt idx="403">
                  <c:v>404.0</c:v>
                </c:pt>
                <c:pt idx="404">
                  <c:v>405.0</c:v>
                </c:pt>
                <c:pt idx="405">
                  <c:v>406.0</c:v>
                </c:pt>
                <c:pt idx="406">
                  <c:v>407.0</c:v>
                </c:pt>
                <c:pt idx="407">
                  <c:v>408.0</c:v>
                </c:pt>
                <c:pt idx="408">
                  <c:v>409.0</c:v>
                </c:pt>
                <c:pt idx="409">
                  <c:v>410.0</c:v>
                </c:pt>
                <c:pt idx="410">
                  <c:v>411.0</c:v>
                </c:pt>
                <c:pt idx="411">
                  <c:v>412.0</c:v>
                </c:pt>
                <c:pt idx="412">
                  <c:v>413.0</c:v>
                </c:pt>
                <c:pt idx="413">
                  <c:v>414.0</c:v>
                </c:pt>
                <c:pt idx="414">
                  <c:v>415.0</c:v>
                </c:pt>
                <c:pt idx="415">
                  <c:v>416.0</c:v>
                </c:pt>
                <c:pt idx="416">
                  <c:v>417.0</c:v>
                </c:pt>
                <c:pt idx="417">
                  <c:v>418.0</c:v>
                </c:pt>
                <c:pt idx="418">
                  <c:v>419.0</c:v>
                </c:pt>
                <c:pt idx="419">
                  <c:v>420.0</c:v>
                </c:pt>
                <c:pt idx="420">
                  <c:v>421.0</c:v>
                </c:pt>
                <c:pt idx="421">
                  <c:v>422.0</c:v>
                </c:pt>
                <c:pt idx="422">
                  <c:v>423.0</c:v>
                </c:pt>
                <c:pt idx="423">
                  <c:v>424.0</c:v>
                </c:pt>
                <c:pt idx="424">
                  <c:v>425.0</c:v>
                </c:pt>
                <c:pt idx="425">
                  <c:v>426.0</c:v>
                </c:pt>
                <c:pt idx="426">
                  <c:v>427.0</c:v>
                </c:pt>
                <c:pt idx="427">
                  <c:v>428.0</c:v>
                </c:pt>
                <c:pt idx="428">
                  <c:v>429.0</c:v>
                </c:pt>
                <c:pt idx="429">
                  <c:v>430.0</c:v>
                </c:pt>
                <c:pt idx="430">
                  <c:v>431.0</c:v>
                </c:pt>
                <c:pt idx="431">
                  <c:v>432.0</c:v>
                </c:pt>
                <c:pt idx="432">
                  <c:v>433.0</c:v>
                </c:pt>
                <c:pt idx="433">
                  <c:v>434.0</c:v>
                </c:pt>
                <c:pt idx="434">
                  <c:v>435.0</c:v>
                </c:pt>
                <c:pt idx="435">
                  <c:v>436.0</c:v>
                </c:pt>
                <c:pt idx="436">
                  <c:v>437.0</c:v>
                </c:pt>
                <c:pt idx="437">
                  <c:v>438.0</c:v>
                </c:pt>
                <c:pt idx="438">
                  <c:v>439.0</c:v>
                </c:pt>
                <c:pt idx="439">
                  <c:v>440.0</c:v>
                </c:pt>
                <c:pt idx="440">
                  <c:v>441.0</c:v>
                </c:pt>
                <c:pt idx="441">
                  <c:v>442.0</c:v>
                </c:pt>
                <c:pt idx="442">
                  <c:v>443.0</c:v>
                </c:pt>
                <c:pt idx="443">
                  <c:v>444.0</c:v>
                </c:pt>
                <c:pt idx="444">
                  <c:v>445.0</c:v>
                </c:pt>
                <c:pt idx="445">
                  <c:v>446.0</c:v>
                </c:pt>
                <c:pt idx="446">
                  <c:v>447.0</c:v>
                </c:pt>
                <c:pt idx="447">
                  <c:v>448.0</c:v>
                </c:pt>
                <c:pt idx="448">
                  <c:v>449.0</c:v>
                </c:pt>
                <c:pt idx="449">
                  <c:v>450.0</c:v>
                </c:pt>
                <c:pt idx="450">
                  <c:v>451.0</c:v>
                </c:pt>
                <c:pt idx="451">
                  <c:v>452.0</c:v>
                </c:pt>
                <c:pt idx="452">
                  <c:v>453.0</c:v>
                </c:pt>
                <c:pt idx="453">
                  <c:v>454.0</c:v>
                </c:pt>
                <c:pt idx="454">
                  <c:v>455.0</c:v>
                </c:pt>
                <c:pt idx="455">
                  <c:v>456.0</c:v>
                </c:pt>
                <c:pt idx="456">
                  <c:v>457.0</c:v>
                </c:pt>
                <c:pt idx="457">
                  <c:v>458.0</c:v>
                </c:pt>
                <c:pt idx="458">
                  <c:v>459.0</c:v>
                </c:pt>
                <c:pt idx="459">
                  <c:v>460.0</c:v>
                </c:pt>
                <c:pt idx="460">
                  <c:v>461.0</c:v>
                </c:pt>
                <c:pt idx="461">
                  <c:v>462.0</c:v>
                </c:pt>
                <c:pt idx="462">
                  <c:v>463.0</c:v>
                </c:pt>
                <c:pt idx="463">
                  <c:v>464.0</c:v>
                </c:pt>
                <c:pt idx="464">
                  <c:v>465.0</c:v>
                </c:pt>
                <c:pt idx="465">
                  <c:v>466.0</c:v>
                </c:pt>
                <c:pt idx="466">
                  <c:v>467.0</c:v>
                </c:pt>
                <c:pt idx="467">
                  <c:v>468.0</c:v>
                </c:pt>
                <c:pt idx="468">
                  <c:v>469.0</c:v>
                </c:pt>
                <c:pt idx="469">
                  <c:v>470.0</c:v>
                </c:pt>
                <c:pt idx="470">
                  <c:v>471.0</c:v>
                </c:pt>
                <c:pt idx="471">
                  <c:v>472.0</c:v>
                </c:pt>
                <c:pt idx="472">
                  <c:v>473.0</c:v>
                </c:pt>
                <c:pt idx="473">
                  <c:v>474.0</c:v>
                </c:pt>
                <c:pt idx="474">
                  <c:v>475.0</c:v>
                </c:pt>
                <c:pt idx="475">
                  <c:v>476.0</c:v>
                </c:pt>
                <c:pt idx="476">
                  <c:v>477.0</c:v>
                </c:pt>
                <c:pt idx="477">
                  <c:v>478.0</c:v>
                </c:pt>
                <c:pt idx="478">
                  <c:v>479.0</c:v>
                </c:pt>
                <c:pt idx="479">
                  <c:v>480.0</c:v>
                </c:pt>
                <c:pt idx="480">
                  <c:v>481.0</c:v>
                </c:pt>
                <c:pt idx="481">
                  <c:v>482.0</c:v>
                </c:pt>
                <c:pt idx="482">
                  <c:v>483.0</c:v>
                </c:pt>
                <c:pt idx="483">
                  <c:v>484.0</c:v>
                </c:pt>
                <c:pt idx="484">
                  <c:v>485.0</c:v>
                </c:pt>
                <c:pt idx="485">
                  <c:v>486.0</c:v>
                </c:pt>
                <c:pt idx="486">
                  <c:v>487.0</c:v>
                </c:pt>
                <c:pt idx="487">
                  <c:v>488.0</c:v>
                </c:pt>
                <c:pt idx="488">
                  <c:v>489.0</c:v>
                </c:pt>
                <c:pt idx="489">
                  <c:v>490.0</c:v>
                </c:pt>
                <c:pt idx="490">
                  <c:v>491.0</c:v>
                </c:pt>
                <c:pt idx="491">
                  <c:v>492.0</c:v>
                </c:pt>
                <c:pt idx="492">
                  <c:v>493.0</c:v>
                </c:pt>
                <c:pt idx="493">
                  <c:v>494.0</c:v>
                </c:pt>
                <c:pt idx="494">
                  <c:v>495.0</c:v>
                </c:pt>
                <c:pt idx="495">
                  <c:v>496.0</c:v>
                </c:pt>
                <c:pt idx="496">
                  <c:v>497.0</c:v>
                </c:pt>
                <c:pt idx="497">
                  <c:v>498.0</c:v>
                </c:pt>
                <c:pt idx="498">
                  <c:v>499.0</c:v>
                </c:pt>
              </c:numCache>
            </c:numRef>
          </c:cat>
          <c:val>
            <c:numRef>
              <c:f>Calculations!$B$2:$B$500</c:f>
              <c:numCache>
                <c:formatCode>0</c:formatCode>
                <c:ptCount val="499"/>
                <c:pt idx="0">
                  <c:v>1.06</c:v>
                </c:pt>
                <c:pt idx="1">
                  <c:v>1.1236</c:v>
                </c:pt>
                <c:pt idx="2">
                  <c:v>1.191016</c:v>
                </c:pt>
                <c:pt idx="3">
                  <c:v>1.26247696</c:v>
                </c:pt>
                <c:pt idx="4">
                  <c:v>1.3382255776</c:v>
                </c:pt>
                <c:pt idx="5">
                  <c:v>1.418519112256001</c:v>
                </c:pt>
                <c:pt idx="6">
                  <c:v>1.503630258991361</c:v>
                </c:pt>
                <c:pt idx="7">
                  <c:v>1.593848074530842</c:v>
                </c:pt>
                <c:pt idx="8">
                  <c:v>1.689478959002693</c:v>
                </c:pt>
                <c:pt idx="9">
                  <c:v>1.790847696542854</c:v>
                </c:pt>
                <c:pt idx="10">
                  <c:v>1.898298558335426</c:v>
                </c:pt>
                <c:pt idx="11">
                  <c:v>2.012196471835552</c:v>
                </c:pt>
                <c:pt idx="12">
                  <c:v>2.132928260145685</c:v>
                </c:pt>
                <c:pt idx="13">
                  <c:v>2.260903955754426</c:v>
                </c:pt>
                <c:pt idx="14">
                  <c:v>2.396558193099692</c:v>
                </c:pt>
                <c:pt idx="15">
                  <c:v>2.540351684685673</c:v>
                </c:pt>
                <c:pt idx="16">
                  <c:v>2.692772785766814</c:v>
                </c:pt>
                <c:pt idx="17">
                  <c:v>2.854339152912823</c:v>
                </c:pt>
                <c:pt idx="18">
                  <c:v>3.025599502087592</c:v>
                </c:pt>
                <c:pt idx="19">
                  <c:v>3.207135472212848</c:v>
                </c:pt>
                <c:pt idx="20">
                  <c:v>3.399563600545619</c:v>
                </c:pt>
                <c:pt idx="21">
                  <c:v>3.603537416578356</c:v>
                </c:pt>
                <c:pt idx="22">
                  <c:v>3.819749661573059</c:v>
                </c:pt>
                <c:pt idx="23">
                  <c:v>4.048934641267442</c:v>
                </c:pt>
                <c:pt idx="24">
                  <c:v>4.291870719743488</c:v>
                </c:pt>
                <c:pt idx="25">
                  <c:v>4.549382962928098</c:v>
                </c:pt>
                <c:pt idx="26">
                  <c:v>4.822345940703784</c:v>
                </c:pt>
                <c:pt idx="27">
                  <c:v>5.111686697146012</c:v>
                </c:pt>
                <c:pt idx="28">
                  <c:v>5.418387898974773</c:v>
                </c:pt>
                <c:pt idx="29">
                  <c:v>5.74349117291326</c:v>
                </c:pt>
                <c:pt idx="30">
                  <c:v>6.088100643288056</c:v>
                </c:pt>
                <c:pt idx="31">
                  <c:v>6.453386681885338</c:v>
                </c:pt>
                <c:pt idx="32">
                  <c:v>6.840589882798459</c:v>
                </c:pt>
                <c:pt idx="33">
                  <c:v>7.251025275766367</c:v>
                </c:pt>
                <c:pt idx="34">
                  <c:v>7.68608679231235</c:v>
                </c:pt>
                <c:pt idx="35">
                  <c:v>8.147251999851091</c:v>
                </c:pt>
                <c:pt idx="36">
                  <c:v>8.636087119842157</c:v>
                </c:pt>
                <c:pt idx="37">
                  <c:v>9.154252347032688</c:v>
                </c:pt>
                <c:pt idx="38">
                  <c:v>9.703507487854651</c:v>
                </c:pt>
                <c:pt idx="39">
                  <c:v>10.28571793712593</c:v>
                </c:pt>
                <c:pt idx="40">
                  <c:v>10.90286101335348</c:v>
                </c:pt>
                <c:pt idx="41">
                  <c:v>11.55703267415469</c:v>
                </c:pt>
                <c:pt idx="42">
                  <c:v>12.25045463460398</c:v>
                </c:pt>
                <c:pt idx="43">
                  <c:v>12.98548191268022</c:v>
                </c:pt>
                <c:pt idx="44">
                  <c:v>13.76461082744103</c:v>
                </c:pt>
                <c:pt idx="45">
                  <c:v>14.5904874770875</c:v>
                </c:pt>
                <c:pt idx="46">
                  <c:v>15.46591672571275</c:v>
                </c:pt>
                <c:pt idx="47">
                  <c:v>16.3938717292555</c:v>
                </c:pt>
                <c:pt idx="48">
                  <c:v>17.37750403301084</c:v>
                </c:pt>
                <c:pt idx="49">
                  <c:v>18.42015427499149</c:v>
                </c:pt>
                <c:pt idx="50">
                  <c:v>19.52536353149098</c:v>
                </c:pt>
                <c:pt idx="51">
                  <c:v>20.69688534338044</c:v>
                </c:pt>
                <c:pt idx="52">
                  <c:v>21.93869846398327</c:v>
                </c:pt>
                <c:pt idx="53">
                  <c:v>23.25502037182227</c:v>
                </c:pt>
                <c:pt idx="54">
                  <c:v>24.65032159413161</c:v>
                </c:pt>
                <c:pt idx="55">
                  <c:v>26.1293408897795</c:v>
                </c:pt>
                <c:pt idx="56">
                  <c:v>27.69710134316627</c:v>
                </c:pt>
                <c:pt idx="57">
                  <c:v>29.35892742375625</c:v>
                </c:pt>
                <c:pt idx="58">
                  <c:v>31.12046306918163</c:v>
                </c:pt>
                <c:pt idx="59">
                  <c:v>32.98769085333252</c:v>
                </c:pt>
                <c:pt idx="60">
                  <c:v>34.96695230453248</c:v>
                </c:pt>
                <c:pt idx="61">
                  <c:v>37.06496944280443</c:v>
                </c:pt>
                <c:pt idx="62">
                  <c:v>39.28886760937271</c:v>
                </c:pt>
                <c:pt idx="63">
                  <c:v>41.64619966593506</c:v>
                </c:pt>
                <c:pt idx="64">
                  <c:v>44.14497164589116</c:v>
                </c:pt>
                <c:pt idx="65">
                  <c:v>46.79366994464463</c:v>
                </c:pt>
                <c:pt idx="66">
                  <c:v>49.60129014132332</c:v>
                </c:pt>
                <c:pt idx="67">
                  <c:v>52.57736754980272</c:v>
                </c:pt>
                <c:pt idx="68">
                  <c:v>55.73200960279089</c:v>
                </c:pt>
                <c:pt idx="69">
                  <c:v>59.07593017895834</c:v>
                </c:pt>
                <c:pt idx="70">
                  <c:v>62.62048598969586</c:v>
                </c:pt>
                <c:pt idx="71">
                  <c:v>66.3777151490776</c:v>
                </c:pt>
                <c:pt idx="72">
                  <c:v>70.36037805802225</c:v>
                </c:pt>
                <c:pt idx="73">
                  <c:v>74.58200074150359</c:v>
                </c:pt>
                <c:pt idx="74">
                  <c:v>79.05692078599382</c:v>
                </c:pt>
                <c:pt idx="75">
                  <c:v>83.80033603315346</c:v>
                </c:pt>
                <c:pt idx="76">
                  <c:v>88.82835619514267</c:v>
                </c:pt>
                <c:pt idx="77">
                  <c:v>94.15805756685123</c:v>
                </c:pt>
                <c:pt idx="78">
                  <c:v>99.80754102086233</c:v>
                </c:pt>
                <c:pt idx="79">
                  <c:v>105.795993482114</c:v>
                </c:pt>
                <c:pt idx="80">
                  <c:v>112.143753091041</c:v>
                </c:pt>
                <c:pt idx="81">
                  <c:v>118.8723782765034</c:v>
                </c:pt>
                <c:pt idx="82">
                  <c:v>126.0047209730936</c:v>
                </c:pt>
                <c:pt idx="83">
                  <c:v>133.5650042314792</c:v>
                </c:pt>
                <c:pt idx="84">
                  <c:v>141.578904485368</c:v>
                </c:pt>
                <c:pt idx="85">
                  <c:v>150.07363875449</c:v>
                </c:pt>
                <c:pt idx="86">
                  <c:v>159.0780570797595</c:v>
                </c:pt>
                <c:pt idx="87">
                  <c:v>168.622740504545</c:v>
                </c:pt>
                <c:pt idx="88">
                  <c:v>178.7401049348177</c:v>
                </c:pt>
                <c:pt idx="89">
                  <c:v>189.4645112309068</c:v>
                </c:pt>
                <c:pt idx="90">
                  <c:v>200.8323819047612</c:v>
                </c:pt>
                <c:pt idx="91">
                  <c:v>212.882324819047</c:v>
                </c:pt>
                <c:pt idx="92">
                  <c:v>225.6552643081897</c:v>
                </c:pt>
                <c:pt idx="93">
                  <c:v>239.1945801666811</c:v>
                </c:pt>
                <c:pt idx="94">
                  <c:v>253.5462549766821</c:v>
                </c:pt>
                <c:pt idx="95">
                  <c:v>268.759030275283</c:v>
                </c:pt>
                <c:pt idx="96">
                  <c:v>284.8845720917999</c:v>
                </c:pt>
                <c:pt idx="97">
                  <c:v>301.9776464173079</c:v>
                </c:pt>
                <c:pt idx="98">
                  <c:v>320.0963052023465</c:v>
                </c:pt>
                <c:pt idx="99">
                  <c:v>339.3020835144872</c:v>
                </c:pt>
                <c:pt idx="100">
                  <c:v>359.6602085253564</c:v>
                </c:pt>
                <c:pt idx="101">
                  <c:v>381.239821036878</c:v>
                </c:pt>
                <c:pt idx="102">
                  <c:v>404.1142102990907</c:v>
                </c:pt>
                <c:pt idx="103">
                  <c:v>428.3610629170361</c:v>
                </c:pt>
                <c:pt idx="104">
                  <c:v>454.0627266920582</c:v>
                </c:pt>
                <c:pt idx="105">
                  <c:v>481.3064902935818</c:v>
                </c:pt>
                <c:pt idx="106">
                  <c:v>510.1848797111967</c:v>
                </c:pt>
                <c:pt idx="107">
                  <c:v>540.7959724938686</c:v>
                </c:pt>
                <c:pt idx="108">
                  <c:v>573.2437308435007</c:v>
                </c:pt>
                <c:pt idx="109">
                  <c:v>607.6383546941108</c:v>
                </c:pt>
                <c:pt idx="110">
                  <c:v>644.0966559757576</c:v>
                </c:pt>
                <c:pt idx="111">
                  <c:v>682.742455334303</c:v>
                </c:pt>
                <c:pt idx="112">
                  <c:v>723.7070026543611</c:v>
                </c:pt>
                <c:pt idx="113">
                  <c:v>767.1294228136228</c:v>
                </c:pt>
                <c:pt idx="114">
                  <c:v>813.1571881824402</c:v>
                </c:pt>
                <c:pt idx="115">
                  <c:v>861.9466194733867</c:v>
                </c:pt>
                <c:pt idx="116">
                  <c:v>913.6634166417901</c:v>
                </c:pt>
                <c:pt idx="117">
                  <c:v>968.4832216402975</c:v>
                </c:pt>
                <c:pt idx="118">
                  <c:v>1026.592214938715</c:v>
                </c:pt>
                <c:pt idx="119">
                  <c:v>1088.187747835038</c:v>
                </c:pt>
                <c:pt idx="120">
                  <c:v>1153.479012705141</c:v>
                </c:pt>
                <c:pt idx="121">
                  <c:v>1222.68775346745</c:v>
                </c:pt>
                <c:pt idx="122">
                  <c:v>1296.049018675496</c:v>
                </c:pt>
                <c:pt idx="123">
                  <c:v>1373.811959796026</c:v>
                </c:pt>
                <c:pt idx="124">
                  <c:v>1456.240677383788</c:v>
                </c:pt>
                <c:pt idx="125">
                  <c:v>1543.615118026815</c:v>
                </c:pt>
                <c:pt idx="126">
                  <c:v>1636.232025108424</c:v>
                </c:pt>
                <c:pt idx="127">
                  <c:v>1734.405946614929</c:v>
                </c:pt>
                <c:pt idx="128">
                  <c:v>1838.470303411825</c:v>
                </c:pt>
                <c:pt idx="129">
                  <c:v>1948.778521616535</c:v>
                </c:pt>
                <c:pt idx="130">
                  <c:v>2065.705232913527</c:v>
                </c:pt>
                <c:pt idx="131">
                  <c:v>2189.647546888338</c:v>
                </c:pt>
                <c:pt idx="132">
                  <c:v>2321.026399701639</c:v>
                </c:pt>
                <c:pt idx="133">
                  <c:v>2460.287983683738</c:v>
                </c:pt>
                <c:pt idx="134">
                  <c:v>2607.905262704762</c:v>
                </c:pt>
                <c:pt idx="135">
                  <c:v>2764.379578467048</c:v>
                </c:pt>
                <c:pt idx="136">
                  <c:v>2930.242353175071</c:v>
                </c:pt>
                <c:pt idx="137">
                  <c:v>3106.056894365575</c:v>
                </c:pt>
                <c:pt idx="138">
                  <c:v>3292.42030802751</c:v>
                </c:pt>
                <c:pt idx="139">
                  <c:v>3489.965526509161</c:v>
                </c:pt>
                <c:pt idx="140">
                  <c:v>3699.363458099711</c:v>
                </c:pt>
                <c:pt idx="141">
                  <c:v>3921.325265585694</c:v>
                </c:pt>
                <c:pt idx="142">
                  <c:v>4156.604781520836</c:v>
                </c:pt>
                <c:pt idx="143">
                  <c:v>4406.001068412085</c:v>
                </c:pt>
                <c:pt idx="144">
                  <c:v>4670.36113251681</c:v>
                </c:pt>
                <c:pt idx="145">
                  <c:v>4950.58280046782</c:v>
                </c:pt>
                <c:pt idx="146">
                  <c:v>5247.61776849589</c:v>
                </c:pt>
                <c:pt idx="147">
                  <c:v>5562.474834605643</c:v>
                </c:pt>
                <c:pt idx="148">
                  <c:v>5896.223324681982</c:v>
                </c:pt>
                <c:pt idx="149">
                  <c:v>6249.996724162901</c:v>
                </c:pt>
                <c:pt idx="150">
                  <c:v>6624.996527612676</c:v>
                </c:pt>
                <c:pt idx="151">
                  <c:v>7022.496319269436</c:v>
                </c:pt>
                <c:pt idx="152">
                  <c:v>7443.846098425602</c:v>
                </c:pt>
                <c:pt idx="153">
                  <c:v>7890.47686433114</c:v>
                </c:pt>
                <c:pt idx="154">
                  <c:v>8363.905476191008</c:v>
                </c:pt>
                <c:pt idx="155">
                  <c:v>8865.73980476247</c:v>
                </c:pt>
                <c:pt idx="156">
                  <c:v>9397.684193048219</c:v>
                </c:pt>
                <c:pt idx="157">
                  <c:v>9961.545244631111</c:v>
                </c:pt>
                <c:pt idx="158">
                  <c:v>10559.23795930898</c:v>
                </c:pt>
                <c:pt idx="159">
                  <c:v>11192.79223686752</c:v>
                </c:pt>
                <c:pt idx="160">
                  <c:v>11864.35977107957</c:v>
                </c:pt>
                <c:pt idx="161">
                  <c:v>12576.22135734434</c:v>
                </c:pt>
                <c:pt idx="162">
                  <c:v>13330.79463878501</c:v>
                </c:pt>
                <c:pt idx="163">
                  <c:v>14130.64231711211</c:v>
                </c:pt>
                <c:pt idx="164">
                  <c:v>14978.48085613883</c:v>
                </c:pt>
                <c:pt idx="165">
                  <c:v>15877.18970750717</c:v>
                </c:pt>
                <c:pt idx="166">
                  <c:v>16829.8210899576</c:v>
                </c:pt>
                <c:pt idx="167">
                  <c:v>17839.61035535505</c:v>
                </c:pt>
                <c:pt idx="168">
                  <c:v>18909.98697667635</c:v>
                </c:pt>
                <c:pt idx="169">
                  <c:v>20044.58619527694</c:v>
                </c:pt>
                <c:pt idx="170">
                  <c:v>21247.26136699356</c:v>
                </c:pt>
                <c:pt idx="171">
                  <c:v>22522.09704901317</c:v>
                </c:pt>
                <c:pt idx="172">
                  <c:v>23873.42287195396</c:v>
                </c:pt>
                <c:pt idx="173">
                  <c:v>25305.8282442712</c:v>
                </c:pt>
                <c:pt idx="174">
                  <c:v>26824.17793892749</c:v>
                </c:pt>
                <c:pt idx="175">
                  <c:v>28433.62861526313</c:v>
                </c:pt>
                <c:pt idx="176">
                  <c:v>30139.64633217892</c:v>
                </c:pt>
                <c:pt idx="177">
                  <c:v>31948.02511210965</c:v>
                </c:pt>
                <c:pt idx="178">
                  <c:v>33864.90661883623</c:v>
                </c:pt>
                <c:pt idx="179">
                  <c:v>35896.8010159664</c:v>
                </c:pt>
                <c:pt idx="180">
                  <c:v>38050.6090769244</c:v>
                </c:pt>
                <c:pt idx="181">
                  <c:v>40333.64562153986</c:v>
                </c:pt>
                <c:pt idx="182">
                  <c:v>42753.66435883226</c:v>
                </c:pt>
                <c:pt idx="183">
                  <c:v>45318.88422036218</c:v>
                </c:pt>
                <c:pt idx="184">
                  <c:v>48038.01727358392</c:v>
                </c:pt>
                <c:pt idx="185">
                  <c:v>50920.29830999895</c:v>
                </c:pt>
                <c:pt idx="186">
                  <c:v>53975.5162085989</c:v>
                </c:pt>
                <c:pt idx="187">
                  <c:v>57214.04718111484</c:v>
                </c:pt>
                <c:pt idx="188">
                  <c:v>60646.89001198174</c:v>
                </c:pt>
                <c:pt idx="189">
                  <c:v>64285.70341270065</c:v>
                </c:pt>
                <c:pt idx="190">
                  <c:v>68142.84561746271</c:v>
                </c:pt>
                <c:pt idx="191">
                  <c:v>72231.41635451044</c:v>
                </c:pt>
                <c:pt idx="192">
                  <c:v>76565.30133578107</c:v>
                </c:pt>
                <c:pt idx="193">
                  <c:v>81159.21941592794</c:v>
                </c:pt>
                <c:pt idx="194">
                  <c:v>86028.77258088363</c:v>
                </c:pt>
                <c:pt idx="195">
                  <c:v>91190.49893573666</c:v>
                </c:pt>
                <c:pt idx="196">
                  <c:v>96661.92887188085</c:v>
                </c:pt>
                <c:pt idx="197">
                  <c:v>102461.6446041937</c:v>
                </c:pt>
                <c:pt idx="198">
                  <c:v>108609.3432804454</c:v>
                </c:pt>
                <c:pt idx="199">
                  <c:v>115125.9038772721</c:v>
                </c:pt>
                <c:pt idx="200">
                  <c:v>122033.4581099084</c:v>
                </c:pt>
                <c:pt idx="201">
                  <c:v>129355.4655965029</c:v>
                </c:pt>
                <c:pt idx="202">
                  <c:v>137116.7935322931</c:v>
                </c:pt>
                <c:pt idx="203">
                  <c:v>145343.8011442307</c:v>
                </c:pt>
                <c:pt idx="204">
                  <c:v>154064.4292128845</c:v>
                </c:pt>
                <c:pt idx="205">
                  <c:v>163308.2949656576</c:v>
                </c:pt>
                <c:pt idx="206">
                  <c:v>173106.7926635971</c:v>
                </c:pt>
                <c:pt idx="207">
                  <c:v>183493.2002234129</c:v>
                </c:pt>
                <c:pt idx="208">
                  <c:v>194502.7922368177</c:v>
                </c:pt>
                <c:pt idx="209">
                  <c:v>206172.9597710267</c:v>
                </c:pt>
                <c:pt idx="210">
                  <c:v>218543.3373572884</c:v>
                </c:pt>
                <c:pt idx="211">
                  <c:v>231655.9375987257</c:v>
                </c:pt>
                <c:pt idx="212">
                  <c:v>245555.2938546493</c:v>
                </c:pt>
                <c:pt idx="213">
                  <c:v>260288.6114859282</c:v>
                </c:pt>
                <c:pt idx="214">
                  <c:v>275905.928175084</c:v>
                </c:pt>
                <c:pt idx="215">
                  <c:v>292460.2838655889</c:v>
                </c:pt>
                <c:pt idx="216">
                  <c:v>310007.9008975243</c:v>
                </c:pt>
                <c:pt idx="217">
                  <c:v>328608.3749513758</c:v>
                </c:pt>
                <c:pt idx="218">
                  <c:v>348324.8774484584</c:v>
                </c:pt>
                <c:pt idx="219">
                  <c:v>369224.3700953659</c:v>
                </c:pt>
                <c:pt idx="220">
                  <c:v>391377.8323010879</c:v>
                </c:pt>
                <c:pt idx="221">
                  <c:v>414860.5022391532</c:v>
                </c:pt>
                <c:pt idx="222">
                  <c:v>439752.1323735025</c:v>
                </c:pt>
                <c:pt idx="223">
                  <c:v>466137.2603159125</c:v>
                </c:pt>
                <c:pt idx="224">
                  <c:v>494105.4959348672</c:v>
                </c:pt>
                <c:pt idx="225">
                  <c:v>523751.8256909593</c:v>
                </c:pt>
                <c:pt idx="226">
                  <c:v>555176.935232417</c:v>
                </c:pt>
                <c:pt idx="227">
                  <c:v>588487.5513463621</c:v>
                </c:pt>
                <c:pt idx="228">
                  <c:v>623796.8044271437</c:v>
                </c:pt>
                <c:pt idx="229">
                  <c:v>661224.6126927725</c:v>
                </c:pt>
                <c:pt idx="230">
                  <c:v>700898.089454339</c:v>
                </c:pt>
                <c:pt idx="231">
                  <c:v>742951.9748215992</c:v>
                </c:pt>
                <c:pt idx="232">
                  <c:v>787529.0933108951</c:v>
                </c:pt>
                <c:pt idx="233">
                  <c:v>834780.838909549</c:v>
                </c:pt>
                <c:pt idx="234">
                  <c:v>884867.689244122</c:v>
                </c:pt>
                <c:pt idx="235">
                  <c:v>937959.7505987694</c:v>
                </c:pt>
                <c:pt idx="236">
                  <c:v>994237.3356346957</c:v>
                </c:pt>
                <c:pt idx="237">
                  <c:v>1.05389157577278E6</c:v>
                </c:pt>
                <c:pt idx="238">
                  <c:v>1.11712507031914E6</c:v>
                </c:pt>
                <c:pt idx="239">
                  <c:v>1.18415257453829E6</c:v>
                </c:pt>
                <c:pt idx="240">
                  <c:v>1.25520172901059E6</c:v>
                </c:pt>
                <c:pt idx="241">
                  <c:v>1.33051383275123E6</c:v>
                </c:pt>
                <c:pt idx="242">
                  <c:v>1.4103446627163E6</c:v>
                </c:pt>
                <c:pt idx="243">
                  <c:v>1.49496534247928E6</c:v>
                </c:pt>
                <c:pt idx="244">
                  <c:v>1.58466326302803E6</c:v>
                </c:pt>
                <c:pt idx="245">
                  <c:v>1.67974305880972E6</c:v>
                </c:pt>
                <c:pt idx="246">
                  <c:v>1.7805276423383E6</c:v>
                </c:pt>
                <c:pt idx="247">
                  <c:v>1.8873593008786E6</c:v>
                </c:pt>
                <c:pt idx="248">
                  <c:v>2.00060085893131E6</c:v>
                </c:pt>
                <c:pt idx="249">
                  <c:v>2.12063691046719E6</c:v>
                </c:pt>
                <c:pt idx="250">
                  <c:v>2.24787512509522E6</c:v>
                </c:pt>
                <c:pt idx="251">
                  <c:v>2.38274763260094E6</c:v>
                </c:pt>
                <c:pt idx="252">
                  <c:v>2.52571249055699E6</c:v>
                </c:pt>
                <c:pt idx="253">
                  <c:v>2.67725523999041E6</c:v>
                </c:pt>
                <c:pt idx="254">
                  <c:v>2.83789055438984E6</c:v>
                </c:pt>
                <c:pt idx="255">
                  <c:v>3.00816398765323E6</c:v>
                </c:pt>
                <c:pt idx="256">
                  <c:v>3.18865382691242E6</c:v>
                </c:pt>
                <c:pt idx="257">
                  <c:v>3.37997305652717E6</c:v>
                </c:pt>
                <c:pt idx="258">
                  <c:v>3.5827714399188E6</c:v>
                </c:pt>
                <c:pt idx="259">
                  <c:v>3.79773772631393E6</c:v>
                </c:pt>
                <c:pt idx="260">
                  <c:v>4.02560198989276E6</c:v>
                </c:pt>
                <c:pt idx="261">
                  <c:v>4.26713810928633E6</c:v>
                </c:pt>
                <c:pt idx="262">
                  <c:v>4.52316639584351E6</c:v>
                </c:pt>
                <c:pt idx="263">
                  <c:v>4.79455637959412E6</c:v>
                </c:pt>
                <c:pt idx="264">
                  <c:v>5.08222976236977E6</c:v>
                </c:pt>
                <c:pt idx="265">
                  <c:v>5.38716354811195E6</c:v>
                </c:pt>
                <c:pt idx="266">
                  <c:v>5.71039336099867E6</c:v>
                </c:pt>
                <c:pt idx="267">
                  <c:v>6.05301696265859E6</c:v>
                </c:pt>
                <c:pt idx="268">
                  <c:v>6.41619798041811E6</c:v>
                </c:pt>
                <c:pt idx="269">
                  <c:v>6.80116985924319E6</c:v>
                </c:pt>
                <c:pt idx="270">
                  <c:v>7.20924005079779E6</c:v>
                </c:pt>
                <c:pt idx="271">
                  <c:v>7.64179445384565E6</c:v>
                </c:pt>
                <c:pt idx="272">
                  <c:v>8.10030212107639E6</c:v>
                </c:pt>
                <c:pt idx="273">
                  <c:v>8.58632024834098E6</c:v>
                </c:pt>
                <c:pt idx="274">
                  <c:v>9.10149946324143E6</c:v>
                </c:pt>
                <c:pt idx="275">
                  <c:v>9.64758943103592E6</c:v>
                </c:pt>
                <c:pt idx="276">
                  <c:v>1.02264447968981E7</c:v>
                </c:pt>
                <c:pt idx="277">
                  <c:v>1.0840031484712E7</c:v>
                </c:pt>
                <c:pt idx="278">
                  <c:v>1.14904333737947E7</c:v>
                </c:pt>
                <c:pt idx="279">
                  <c:v>1.21798593762224E7</c:v>
                </c:pt>
                <c:pt idx="280">
                  <c:v>1.29106509387957E7</c:v>
                </c:pt>
                <c:pt idx="281">
                  <c:v>1.36852899951234E7</c:v>
                </c:pt>
                <c:pt idx="282">
                  <c:v>1.45064073948309E7</c:v>
                </c:pt>
                <c:pt idx="283">
                  <c:v>1.53767918385207E7</c:v>
                </c:pt>
                <c:pt idx="284">
                  <c:v>1.6299399348832E7</c:v>
                </c:pt>
                <c:pt idx="285">
                  <c:v>1.72773633097619E7</c:v>
                </c:pt>
                <c:pt idx="286">
                  <c:v>1.83140051083476E7</c:v>
                </c:pt>
                <c:pt idx="287">
                  <c:v>1.94128454148484E7</c:v>
                </c:pt>
                <c:pt idx="288">
                  <c:v>2.05776161397393E7</c:v>
                </c:pt>
                <c:pt idx="289">
                  <c:v>2.18122731081237E7</c:v>
                </c:pt>
                <c:pt idx="290">
                  <c:v>2.31210094946111E7</c:v>
                </c:pt>
                <c:pt idx="291">
                  <c:v>2.45082700642878E7</c:v>
                </c:pt>
                <c:pt idx="292">
                  <c:v>2.59787662681451E7</c:v>
                </c:pt>
                <c:pt idx="293">
                  <c:v>2.75374922442338E7</c:v>
                </c:pt>
                <c:pt idx="294">
                  <c:v>2.91897417788878E7</c:v>
                </c:pt>
                <c:pt idx="295">
                  <c:v>3.09411262856211E7</c:v>
                </c:pt>
                <c:pt idx="296">
                  <c:v>3.27975938627583E7</c:v>
                </c:pt>
                <c:pt idx="297">
                  <c:v>3.47654494945238E7</c:v>
                </c:pt>
                <c:pt idx="298">
                  <c:v>3.68513764641953E7</c:v>
                </c:pt>
                <c:pt idx="299">
                  <c:v>3.9062459052047E7</c:v>
                </c:pt>
                <c:pt idx="300">
                  <c:v>4.14062065951698E7</c:v>
                </c:pt>
                <c:pt idx="301">
                  <c:v>4.389057899088E7</c:v>
                </c:pt>
                <c:pt idx="302">
                  <c:v>4.65240137303328E7</c:v>
                </c:pt>
                <c:pt idx="303">
                  <c:v>4.93154545541528E7</c:v>
                </c:pt>
                <c:pt idx="304">
                  <c:v>5.2274381827402E7</c:v>
                </c:pt>
                <c:pt idx="305">
                  <c:v>5.54108447370461E7</c:v>
                </c:pt>
                <c:pt idx="306">
                  <c:v>5.87354954212688E7</c:v>
                </c:pt>
                <c:pt idx="307">
                  <c:v>6.2259625146545E7</c:v>
                </c:pt>
                <c:pt idx="308">
                  <c:v>6.59952026553377E7</c:v>
                </c:pt>
                <c:pt idx="309">
                  <c:v>6.9954914814658E7</c:v>
                </c:pt>
                <c:pt idx="310">
                  <c:v>7.41522097035374E7</c:v>
                </c:pt>
                <c:pt idx="311">
                  <c:v>7.86013422857497E7</c:v>
                </c:pt>
                <c:pt idx="312">
                  <c:v>8.33174228228946E7</c:v>
                </c:pt>
                <c:pt idx="313">
                  <c:v>8.83164681922683E7</c:v>
                </c:pt>
                <c:pt idx="314">
                  <c:v>9.36154562838044E7</c:v>
                </c:pt>
                <c:pt idx="315">
                  <c:v>9.92323836608327E7</c:v>
                </c:pt>
                <c:pt idx="316">
                  <c:v>1.05186326680483E8</c:v>
                </c:pt>
                <c:pt idx="317">
                  <c:v>1.11497506281312E8</c:v>
                </c:pt>
                <c:pt idx="318">
                  <c:v>1.1818735665819E8</c:v>
                </c:pt>
                <c:pt idx="319">
                  <c:v>1.25278598057682E8</c:v>
                </c:pt>
                <c:pt idx="320">
                  <c:v>1.32795313941143E8</c:v>
                </c:pt>
                <c:pt idx="321">
                  <c:v>1.40763032777611E8</c:v>
                </c:pt>
                <c:pt idx="322">
                  <c:v>1.49208814744268E8</c:v>
                </c:pt>
                <c:pt idx="323">
                  <c:v>1.58161343628924E8</c:v>
                </c:pt>
                <c:pt idx="324">
                  <c:v>1.67651024246659E8</c:v>
                </c:pt>
                <c:pt idx="325">
                  <c:v>1.77710085701459E8</c:v>
                </c:pt>
                <c:pt idx="326">
                  <c:v>1.88372690843547E8</c:v>
                </c:pt>
                <c:pt idx="327">
                  <c:v>1.99675052294159E8</c:v>
                </c:pt>
                <c:pt idx="328">
                  <c:v>2.11655555431809E8</c:v>
                </c:pt>
                <c:pt idx="329">
                  <c:v>2.24354888757718E8</c:v>
                </c:pt>
                <c:pt idx="330">
                  <c:v>2.37816182083181E8</c:v>
                </c:pt>
                <c:pt idx="331">
                  <c:v>2.52085153008171E8</c:v>
                </c:pt>
                <c:pt idx="332">
                  <c:v>2.67210262188662E8</c:v>
                </c:pt>
                <c:pt idx="333">
                  <c:v>2.83242877919981E8</c:v>
                </c:pt>
                <c:pt idx="334">
                  <c:v>3.0023745059518E8</c:v>
                </c:pt>
                <c:pt idx="335">
                  <c:v>3.18251697630891E8</c:v>
                </c:pt>
                <c:pt idx="336">
                  <c:v>3.37346799488745E8</c:v>
                </c:pt>
                <c:pt idx="337">
                  <c:v>3.57587607458069E8</c:v>
                </c:pt>
                <c:pt idx="338">
                  <c:v>3.79042863905554E8</c:v>
                </c:pt>
                <c:pt idx="339">
                  <c:v>4.01785435739887E8</c:v>
                </c:pt>
                <c:pt idx="340">
                  <c:v>4.2589256188428E8</c:v>
                </c:pt>
                <c:pt idx="341">
                  <c:v>4.51446115597337E8</c:v>
                </c:pt>
                <c:pt idx="342">
                  <c:v>4.78532882533177E8</c:v>
                </c:pt>
                <c:pt idx="343">
                  <c:v>5.07244855485168E8</c:v>
                </c:pt>
                <c:pt idx="344">
                  <c:v>5.37679546814278E8</c:v>
                </c:pt>
                <c:pt idx="345">
                  <c:v>5.69940319623135E8</c:v>
                </c:pt>
                <c:pt idx="346">
                  <c:v>6.04136738800523E8</c:v>
                </c:pt>
                <c:pt idx="347">
                  <c:v>6.40384943128554E8</c:v>
                </c:pt>
                <c:pt idx="348">
                  <c:v>6.78808039716267E8</c:v>
                </c:pt>
                <c:pt idx="349">
                  <c:v>7.19536522099243E8</c:v>
                </c:pt>
                <c:pt idx="350">
                  <c:v>7.62708713425198E8</c:v>
                </c:pt>
                <c:pt idx="351">
                  <c:v>8.0847123623071E8</c:v>
                </c:pt>
                <c:pt idx="352">
                  <c:v>8.56979510404553E8</c:v>
                </c:pt>
                <c:pt idx="353">
                  <c:v>9.08398281028826E8</c:v>
                </c:pt>
                <c:pt idx="354">
                  <c:v>9.62902177890555E8</c:v>
                </c:pt>
                <c:pt idx="355">
                  <c:v>1.02067630856399E9</c:v>
                </c:pt>
                <c:pt idx="356">
                  <c:v>1.08191688707783E9</c:v>
                </c:pt>
                <c:pt idx="357">
                  <c:v>1.1468319003025E9</c:v>
                </c:pt>
                <c:pt idx="358">
                  <c:v>1.21564181432065E9</c:v>
                </c:pt>
                <c:pt idx="359">
                  <c:v>1.28858032317989E9</c:v>
                </c:pt>
                <c:pt idx="360">
                  <c:v>1.36589514257068E9</c:v>
                </c:pt>
                <c:pt idx="361">
                  <c:v>1.44784885112492E9</c:v>
                </c:pt>
                <c:pt idx="362">
                  <c:v>1.53471978219242E9</c:v>
                </c:pt>
                <c:pt idx="363">
                  <c:v>1.62680296912396E9</c:v>
                </c:pt>
                <c:pt idx="364">
                  <c:v>1.7244111472714E9</c:v>
                </c:pt>
                <c:pt idx="365">
                  <c:v>1.82787581610768E9</c:v>
                </c:pt>
                <c:pt idx="366">
                  <c:v>1.93754836507414E9</c:v>
                </c:pt>
                <c:pt idx="367">
                  <c:v>2.05380126697859E9</c:v>
                </c:pt>
                <c:pt idx="368">
                  <c:v>2.17702934299731E9</c:v>
                </c:pt>
                <c:pt idx="369">
                  <c:v>2.30765110357715E9</c:v>
                </c:pt>
                <c:pt idx="370">
                  <c:v>2.44611016979178E9</c:v>
                </c:pt>
                <c:pt idx="371">
                  <c:v>2.59287677997928E9</c:v>
                </c:pt>
                <c:pt idx="372">
                  <c:v>2.74844938677804E9</c:v>
                </c:pt>
                <c:pt idx="373">
                  <c:v>2.91335634998472E9</c:v>
                </c:pt>
                <c:pt idx="374">
                  <c:v>3.08815773098381E9</c:v>
                </c:pt>
                <c:pt idx="375">
                  <c:v>3.27344719484283E9</c:v>
                </c:pt>
                <c:pt idx="376">
                  <c:v>3.46985402653341E9</c:v>
                </c:pt>
                <c:pt idx="377">
                  <c:v>3.67804526812541E9</c:v>
                </c:pt>
                <c:pt idx="378">
                  <c:v>3.89872798421293E9</c:v>
                </c:pt>
                <c:pt idx="379">
                  <c:v>4.13265166326571E9</c:v>
                </c:pt>
                <c:pt idx="380">
                  <c:v>4.38061076306165E9</c:v>
                </c:pt>
                <c:pt idx="381">
                  <c:v>4.64344740884535E9</c:v>
                </c:pt>
                <c:pt idx="382">
                  <c:v>4.92205425337608E9</c:v>
                </c:pt>
                <c:pt idx="383">
                  <c:v>5.21737750857864E9</c:v>
                </c:pt>
                <c:pt idx="384">
                  <c:v>5.53042015909336E9</c:v>
                </c:pt>
                <c:pt idx="385">
                  <c:v>5.86224536863896E9</c:v>
                </c:pt>
                <c:pt idx="386">
                  <c:v>6.2139800907573E9</c:v>
                </c:pt>
                <c:pt idx="387">
                  <c:v>6.58681889620274E9</c:v>
                </c:pt>
                <c:pt idx="388">
                  <c:v>6.9820280299749E9</c:v>
                </c:pt>
                <c:pt idx="389">
                  <c:v>7.40094971177339E9</c:v>
                </c:pt>
                <c:pt idx="390">
                  <c:v>7.8450066944798E9</c:v>
                </c:pt>
                <c:pt idx="391">
                  <c:v>8.31570709614859E9</c:v>
                </c:pt>
                <c:pt idx="392">
                  <c:v>8.8146495219175E9</c:v>
                </c:pt>
                <c:pt idx="393">
                  <c:v>9.34352849323255E9</c:v>
                </c:pt>
                <c:pt idx="394">
                  <c:v>9.90414020282651E9</c:v>
                </c:pt>
                <c:pt idx="395">
                  <c:v>1.04983886149961E10</c:v>
                </c:pt>
                <c:pt idx="396">
                  <c:v>1.11282919318959E10</c:v>
                </c:pt>
                <c:pt idx="397">
                  <c:v>1.17959894478096E10</c:v>
                </c:pt>
                <c:pt idx="398">
                  <c:v>1.25037488146782E10</c:v>
                </c:pt>
                <c:pt idx="399">
                  <c:v>1.32539737435589E10</c:v>
                </c:pt>
                <c:pt idx="400">
                  <c:v>1.40492121681724E10</c:v>
                </c:pt>
                <c:pt idx="401">
                  <c:v>1.48921648982628E10</c:v>
                </c:pt>
                <c:pt idx="402">
                  <c:v>1.57856947921585E10</c:v>
                </c:pt>
                <c:pt idx="403">
                  <c:v>1.6732836479688E10</c:v>
                </c:pt>
                <c:pt idx="404">
                  <c:v>1.77368066684693E10</c:v>
                </c:pt>
                <c:pt idx="405">
                  <c:v>1.88010150685775E10</c:v>
                </c:pt>
                <c:pt idx="406">
                  <c:v>1.99290759726921E10</c:v>
                </c:pt>
                <c:pt idx="407">
                  <c:v>2.11248205310537E10</c:v>
                </c:pt>
                <c:pt idx="408">
                  <c:v>2.23923097629169E10</c:v>
                </c:pt>
                <c:pt idx="409">
                  <c:v>2.37358483486919E10</c:v>
                </c:pt>
                <c:pt idx="410">
                  <c:v>2.51599992496134E10</c:v>
                </c:pt>
                <c:pt idx="411">
                  <c:v>2.66695992045902E10</c:v>
                </c:pt>
                <c:pt idx="412">
                  <c:v>2.82697751568656E10</c:v>
                </c:pt>
                <c:pt idx="413">
                  <c:v>2.99659616662776E10</c:v>
                </c:pt>
                <c:pt idx="414">
                  <c:v>3.17639193662542E10</c:v>
                </c:pt>
                <c:pt idx="415">
                  <c:v>3.36697545282295E10</c:v>
                </c:pt>
                <c:pt idx="416">
                  <c:v>3.56899397999233E10</c:v>
                </c:pt>
                <c:pt idx="417">
                  <c:v>3.78313361879187E10</c:v>
                </c:pt>
                <c:pt idx="418">
                  <c:v>4.01012163591938E10</c:v>
                </c:pt>
                <c:pt idx="419">
                  <c:v>4.25072893407454E10</c:v>
                </c:pt>
                <c:pt idx="420">
                  <c:v>4.50577267011901E10</c:v>
                </c:pt>
                <c:pt idx="421">
                  <c:v>4.77611903032616E10</c:v>
                </c:pt>
                <c:pt idx="422">
                  <c:v>5.06268617214573E10</c:v>
                </c:pt>
                <c:pt idx="423">
                  <c:v>5.36644734247447E10</c:v>
                </c:pt>
                <c:pt idx="424">
                  <c:v>5.68843418302294E10</c:v>
                </c:pt>
                <c:pt idx="425">
                  <c:v>6.02974023400431E10</c:v>
                </c:pt>
                <c:pt idx="426">
                  <c:v>6.39152464804457E10</c:v>
                </c:pt>
                <c:pt idx="427">
                  <c:v>6.77501612692725E10</c:v>
                </c:pt>
                <c:pt idx="428">
                  <c:v>7.18151709454288E10</c:v>
                </c:pt>
                <c:pt idx="429">
                  <c:v>7.61240812021546E10</c:v>
                </c:pt>
                <c:pt idx="430">
                  <c:v>8.06915260742839E10</c:v>
                </c:pt>
                <c:pt idx="431">
                  <c:v>8.55330176387409E10</c:v>
                </c:pt>
                <c:pt idx="432">
                  <c:v>9.06649986970653E10</c:v>
                </c:pt>
                <c:pt idx="433">
                  <c:v>9.61048986188893E10</c:v>
                </c:pt>
                <c:pt idx="434">
                  <c:v>1.01871192536023E11</c:v>
                </c:pt>
                <c:pt idx="435">
                  <c:v>1.07983464088184E11</c:v>
                </c:pt>
                <c:pt idx="436">
                  <c:v>1.14462471933475E11</c:v>
                </c:pt>
                <c:pt idx="437">
                  <c:v>1.21330220249484E11</c:v>
                </c:pt>
                <c:pt idx="438">
                  <c:v>1.28610033464453E11</c:v>
                </c:pt>
                <c:pt idx="439">
                  <c:v>1.3632663547232E11</c:v>
                </c:pt>
                <c:pt idx="440">
                  <c:v>1.44506233600659E11</c:v>
                </c:pt>
                <c:pt idx="441">
                  <c:v>1.53176607616698E11</c:v>
                </c:pt>
                <c:pt idx="442">
                  <c:v>1.623672040737E11</c:v>
                </c:pt>
                <c:pt idx="443">
                  <c:v>1.72109236318122E11</c:v>
                </c:pt>
                <c:pt idx="444">
                  <c:v>1.8243579049721E11</c:v>
                </c:pt>
                <c:pt idx="445">
                  <c:v>1.93381937927042E11</c:v>
                </c:pt>
                <c:pt idx="446">
                  <c:v>2.04984854202665E11</c:v>
                </c:pt>
                <c:pt idx="447">
                  <c:v>2.17283945454825E11</c:v>
                </c:pt>
                <c:pt idx="448">
                  <c:v>2.30320982182114E11</c:v>
                </c:pt>
                <c:pt idx="449">
                  <c:v>2.44140241113041E11</c:v>
                </c:pt>
                <c:pt idx="450">
                  <c:v>2.58788655579824E11</c:v>
                </c:pt>
                <c:pt idx="451">
                  <c:v>2.74315974914613E11</c:v>
                </c:pt>
                <c:pt idx="452">
                  <c:v>2.9077493340949E11</c:v>
                </c:pt>
                <c:pt idx="453">
                  <c:v>3.08221429414059E11</c:v>
                </c:pt>
                <c:pt idx="454">
                  <c:v>3.26714715178903E11</c:v>
                </c:pt>
                <c:pt idx="455">
                  <c:v>3.46317598089637E11</c:v>
                </c:pt>
                <c:pt idx="456">
                  <c:v>3.67096653975015E11</c:v>
                </c:pt>
                <c:pt idx="457">
                  <c:v>3.89122453213516E11</c:v>
                </c:pt>
                <c:pt idx="458">
                  <c:v>4.12469800406327E11</c:v>
                </c:pt>
                <c:pt idx="459">
                  <c:v>4.37217988430707E11</c:v>
                </c:pt>
                <c:pt idx="460">
                  <c:v>4.63451067736549E11</c:v>
                </c:pt>
                <c:pt idx="461">
                  <c:v>4.91258131800742E11</c:v>
                </c:pt>
                <c:pt idx="462">
                  <c:v>5.20733619708787E11</c:v>
                </c:pt>
                <c:pt idx="463">
                  <c:v>5.51977636891314E11</c:v>
                </c:pt>
                <c:pt idx="464">
                  <c:v>5.85096295104793E11</c:v>
                </c:pt>
                <c:pt idx="465">
                  <c:v>6.20202072811081E11</c:v>
                </c:pt>
                <c:pt idx="466">
                  <c:v>6.57414197179745E11</c:v>
                </c:pt>
                <c:pt idx="467">
                  <c:v>6.9685904901053E11</c:v>
                </c:pt>
                <c:pt idx="468">
                  <c:v>7.38670591951162E11</c:v>
                </c:pt>
                <c:pt idx="469">
                  <c:v>7.82990827468232E11</c:v>
                </c:pt>
                <c:pt idx="470">
                  <c:v>8.29970277116326E11</c:v>
                </c:pt>
                <c:pt idx="471">
                  <c:v>8.79768493743305E11</c:v>
                </c:pt>
                <c:pt idx="472">
                  <c:v>9.32554603367904E11</c:v>
                </c:pt>
                <c:pt idx="473">
                  <c:v>9.88507879569978E11</c:v>
                </c:pt>
                <c:pt idx="474">
                  <c:v>1.04781835234418E12</c:v>
                </c:pt>
                <c:pt idx="475">
                  <c:v>1.11068745348483E12</c:v>
                </c:pt>
                <c:pt idx="476">
                  <c:v>1.17732870069392E12</c:v>
                </c:pt>
                <c:pt idx="477">
                  <c:v>1.24796842273555E12</c:v>
                </c:pt>
                <c:pt idx="478">
                  <c:v>1.32284652809969E12</c:v>
                </c:pt>
                <c:pt idx="479">
                  <c:v>1.40221731978567E12</c:v>
                </c:pt>
                <c:pt idx="480">
                  <c:v>1.48635035897281E12</c:v>
                </c:pt>
                <c:pt idx="481">
                  <c:v>1.57553138051118E12</c:v>
                </c:pt>
                <c:pt idx="482">
                  <c:v>1.67006326334185E12</c:v>
                </c:pt>
                <c:pt idx="483">
                  <c:v>1.77026705914236E12</c:v>
                </c:pt>
                <c:pt idx="484">
                  <c:v>1.8764830826909E12</c:v>
                </c:pt>
                <c:pt idx="485">
                  <c:v>1.98907206765235E12</c:v>
                </c:pt>
                <c:pt idx="486">
                  <c:v>2.10841639171149E12</c:v>
                </c:pt>
                <c:pt idx="487">
                  <c:v>2.23492137521418E12</c:v>
                </c:pt>
                <c:pt idx="488">
                  <c:v>2.36901665772703E12</c:v>
                </c:pt>
                <c:pt idx="489">
                  <c:v>2.51115765719066E12</c:v>
                </c:pt>
                <c:pt idx="490">
                  <c:v>2.6618271166221E12</c:v>
                </c:pt>
                <c:pt idx="491">
                  <c:v>2.82153674361942E12</c:v>
                </c:pt>
                <c:pt idx="492">
                  <c:v>2.99082894823659E12</c:v>
                </c:pt>
                <c:pt idx="493">
                  <c:v>3.17027868513078E12</c:v>
                </c:pt>
                <c:pt idx="494">
                  <c:v>3.36049540623863E12</c:v>
                </c:pt>
                <c:pt idx="495">
                  <c:v>3.56212513061295E12</c:v>
                </c:pt>
                <c:pt idx="496">
                  <c:v>3.77585263844972E12</c:v>
                </c:pt>
                <c:pt idx="497">
                  <c:v>4.00240379675671E12</c:v>
                </c:pt>
                <c:pt idx="498">
                  <c:v>4.24254802456211E12</c:v>
                </c:pt>
              </c:numCache>
            </c:numRef>
          </c:val>
          <c:smooth val="0"/>
        </c:ser>
        <c:ser>
          <c:idx val="1"/>
          <c:order val="1"/>
          <c:tx>
            <c:strRef>
              <c:f>Calculations!$C$1</c:f>
              <c:strCache>
                <c:ptCount val="1"/>
                <c:pt idx="0">
                  <c:v>Income</c:v>
                </c:pt>
              </c:strCache>
            </c:strRef>
          </c:tx>
          <c:spPr>
            <a:ln w="25400" cmpd="sng">
              <a:solidFill>
                <a:srgbClr val="DC3912"/>
              </a:solidFill>
            </a:ln>
          </c:spPr>
          <c:marker>
            <c:symbol val="none"/>
          </c:marker>
          <c:cat>
            <c:numRef>
              <c:f>Calculations!$A$2:$A$500</c:f>
              <c:numCache>
                <c:formatCode>General</c:formatCode>
                <c:ptCount val="4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pt idx="99">
                  <c:v>100.0</c:v>
                </c:pt>
                <c:pt idx="100">
                  <c:v>101.0</c:v>
                </c:pt>
                <c:pt idx="101">
                  <c:v>102.0</c:v>
                </c:pt>
                <c:pt idx="102">
                  <c:v>103.0</c:v>
                </c:pt>
                <c:pt idx="103">
                  <c:v>104.0</c:v>
                </c:pt>
                <c:pt idx="104">
                  <c:v>105.0</c:v>
                </c:pt>
                <c:pt idx="105">
                  <c:v>106.0</c:v>
                </c:pt>
                <c:pt idx="106">
                  <c:v>107.0</c:v>
                </c:pt>
                <c:pt idx="107">
                  <c:v>108.0</c:v>
                </c:pt>
                <c:pt idx="108">
                  <c:v>109.0</c:v>
                </c:pt>
                <c:pt idx="109">
                  <c:v>110.0</c:v>
                </c:pt>
                <c:pt idx="110">
                  <c:v>111.0</c:v>
                </c:pt>
                <c:pt idx="111">
                  <c:v>112.0</c:v>
                </c:pt>
                <c:pt idx="112">
                  <c:v>113.0</c:v>
                </c:pt>
                <c:pt idx="113">
                  <c:v>114.0</c:v>
                </c:pt>
                <c:pt idx="114">
                  <c:v>115.0</c:v>
                </c:pt>
                <c:pt idx="115">
                  <c:v>116.0</c:v>
                </c:pt>
                <c:pt idx="116">
                  <c:v>117.0</c:v>
                </c:pt>
                <c:pt idx="117">
                  <c:v>118.0</c:v>
                </c:pt>
                <c:pt idx="118">
                  <c:v>119.0</c:v>
                </c:pt>
                <c:pt idx="119">
                  <c:v>120.0</c:v>
                </c:pt>
                <c:pt idx="120">
                  <c:v>121.0</c:v>
                </c:pt>
                <c:pt idx="121">
                  <c:v>122.0</c:v>
                </c:pt>
                <c:pt idx="122">
                  <c:v>123.0</c:v>
                </c:pt>
                <c:pt idx="123">
                  <c:v>124.0</c:v>
                </c:pt>
                <c:pt idx="124">
                  <c:v>125.0</c:v>
                </c:pt>
                <c:pt idx="125">
                  <c:v>126.0</c:v>
                </c:pt>
                <c:pt idx="126">
                  <c:v>127.0</c:v>
                </c:pt>
                <c:pt idx="127">
                  <c:v>128.0</c:v>
                </c:pt>
                <c:pt idx="128">
                  <c:v>129.0</c:v>
                </c:pt>
                <c:pt idx="129">
                  <c:v>130.0</c:v>
                </c:pt>
                <c:pt idx="130">
                  <c:v>131.0</c:v>
                </c:pt>
                <c:pt idx="131">
                  <c:v>132.0</c:v>
                </c:pt>
                <c:pt idx="132">
                  <c:v>133.0</c:v>
                </c:pt>
                <c:pt idx="133">
                  <c:v>134.0</c:v>
                </c:pt>
                <c:pt idx="134">
                  <c:v>135.0</c:v>
                </c:pt>
                <c:pt idx="135">
                  <c:v>136.0</c:v>
                </c:pt>
                <c:pt idx="136">
                  <c:v>137.0</c:v>
                </c:pt>
                <c:pt idx="137">
                  <c:v>138.0</c:v>
                </c:pt>
                <c:pt idx="138">
                  <c:v>139.0</c:v>
                </c:pt>
                <c:pt idx="139">
                  <c:v>140.0</c:v>
                </c:pt>
                <c:pt idx="140">
                  <c:v>141.0</c:v>
                </c:pt>
                <c:pt idx="141">
                  <c:v>142.0</c:v>
                </c:pt>
                <c:pt idx="142">
                  <c:v>143.0</c:v>
                </c:pt>
                <c:pt idx="143">
                  <c:v>144.0</c:v>
                </c:pt>
                <c:pt idx="144">
                  <c:v>145.0</c:v>
                </c:pt>
                <c:pt idx="145">
                  <c:v>146.0</c:v>
                </c:pt>
                <c:pt idx="146">
                  <c:v>147.0</c:v>
                </c:pt>
                <c:pt idx="147">
                  <c:v>148.0</c:v>
                </c:pt>
                <c:pt idx="148">
                  <c:v>149.0</c:v>
                </c:pt>
                <c:pt idx="149">
                  <c:v>150.0</c:v>
                </c:pt>
                <c:pt idx="150">
                  <c:v>151.0</c:v>
                </c:pt>
                <c:pt idx="151">
                  <c:v>152.0</c:v>
                </c:pt>
                <c:pt idx="152">
                  <c:v>153.0</c:v>
                </c:pt>
                <c:pt idx="153">
                  <c:v>154.0</c:v>
                </c:pt>
                <c:pt idx="154">
                  <c:v>155.0</c:v>
                </c:pt>
                <c:pt idx="155">
                  <c:v>156.0</c:v>
                </c:pt>
                <c:pt idx="156">
                  <c:v>157.0</c:v>
                </c:pt>
                <c:pt idx="157">
                  <c:v>158.0</c:v>
                </c:pt>
                <c:pt idx="158">
                  <c:v>159.0</c:v>
                </c:pt>
                <c:pt idx="159">
                  <c:v>160.0</c:v>
                </c:pt>
                <c:pt idx="160">
                  <c:v>161.0</c:v>
                </c:pt>
                <c:pt idx="161">
                  <c:v>162.0</c:v>
                </c:pt>
                <c:pt idx="162">
                  <c:v>163.0</c:v>
                </c:pt>
                <c:pt idx="163">
                  <c:v>164.0</c:v>
                </c:pt>
                <c:pt idx="164">
                  <c:v>165.0</c:v>
                </c:pt>
                <c:pt idx="165">
                  <c:v>166.0</c:v>
                </c:pt>
                <c:pt idx="166">
                  <c:v>167.0</c:v>
                </c:pt>
                <c:pt idx="167">
                  <c:v>168.0</c:v>
                </c:pt>
                <c:pt idx="168">
                  <c:v>169.0</c:v>
                </c:pt>
                <c:pt idx="169">
                  <c:v>170.0</c:v>
                </c:pt>
                <c:pt idx="170">
                  <c:v>171.0</c:v>
                </c:pt>
                <c:pt idx="171">
                  <c:v>172.0</c:v>
                </c:pt>
                <c:pt idx="172">
                  <c:v>173.0</c:v>
                </c:pt>
                <c:pt idx="173">
                  <c:v>174.0</c:v>
                </c:pt>
                <c:pt idx="174">
                  <c:v>175.0</c:v>
                </c:pt>
                <c:pt idx="175">
                  <c:v>176.0</c:v>
                </c:pt>
                <c:pt idx="176">
                  <c:v>177.0</c:v>
                </c:pt>
                <c:pt idx="177">
                  <c:v>178.0</c:v>
                </c:pt>
                <c:pt idx="178">
                  <c:v>179.0</c:v>
                </c:pt>
                <c:pt idx="179">
                  <c:v>180.0</c:v>
                </c:pt>
                <c:pt idx="180">
                  <c:v>181.0</c:v>
                </c:pt>
                <c:pt idx="181">
                  <c:v>182.0</c:v>
                </c:pt>
                <c:pt idx="182">
                  <c:v>183.0</c:v>
                </c:pt>
                <c:pt idx="183">
                  <c:v>184.0</c:v>
                </c:pt>
                <c:pt idx="184">
                  <c:v>185.0</c:v>
                </c:pt>
                <c:pt idx="185">
                  <c:v>186.0</c:v>
                </c:pt>
                <c:pt idx="186">
                  <c:v>187.0</c:v>
                </c:pt>
                <c:pt idx="187">
                  <c:v>188.0</c:v>
                </c:pt>
                <c:pt idx="188">
                  <c:v>189.0</c:v>
                </c:pt>
                <c:pt idx="189">
                  <c:v>190.0</c:v>
                </c:pt>
                <c:pt idx="190">
                  <c:v>191.0</c:v>
                </c:pt>
                <c:pt idx="191">
                  <c:v>192.0</c:v>
                </c:pt>
                <c:pt idx="192">
                  <c:v>193.0</c:v>
                </c:pt>
                <c:pt idx="193">
                  <c:v>194.0</c:v>
                </c:pt>
                <c:pt idx="194">
                  <c:v>195.0</c:v>
                </c:pt>
                <c:pt idx="195">
                  <c:v>196.0</c:v>
                </c:pt>
                <c:pt idx="196">
                  <c:v>197.0</c:v>
                </c:pt>
                <c:pt idx="197">
                  <c:v>198.0</c:v>
                </c:pt>
                <c:pt idx="198">
                  <c:v>199.0</c:v>
                </c:pt>
                <c:pt idx="199">
                  <c:v>200.0</c:v>
                </c:pt>
                <c:pt idx="200">
                  <c:v>201.0</c:v>
                </c:pt>
                <c:pt idx="201">
                  <c:v>202.0</c:v>
                </c:pt>
                <c:pt idx="202">
                  <c:v>203.0</c:v>
                </c:pt>
                <c:pt idx="203">
                  <c:v>204.0</c:v>
                </c:pt>
                <c:pt idx="204">
                  <c:v>205.0</c:v>
                </c:pt>
                <c:pt idx="205">
                  <c:v>206.0</c:v>
                </c:pt>
                <c:pt idx="206">
                  <c:v>207.0</c:v>
                </c:pt>
                <c:pt idx="207">
                  <c:v>208.0</c:v>
                </c:pt>
                <c:pt idx="208">
                  <c:v>209.0</c:v>
                </c:pt>
                <c:pt idx="209">
                  <c:v>210.0</c:v>
                </c:pt>
                <c:pt idx="210">
                  <c:v>211.0</c:v>
                </c:pt>
                <c:pt idx="211">
                  <c:v>212.0</c:v>
                </c:pt>
                <c:pt idx="212">
                  <c:v>213.0</c:v>
                </c:pt>
                <c:pt idx="213">
                  <c:v>214.0</c:v>
                </c:pt>
                <c:pt idx="214">
                  <c:v>215.0</c:v>
                </c:pt>
                <c:pt idx="215">
                  <c:v>216.0</c:v>
                </c:pt>
                <c:pt idx="216">
                  <c:v>217.0</c:v>
                </c:pt>
                <c:pt idx="217">
                  <c:v>218.0</c:v>
                </c:pt>
                <c:pt idx="218">
                  <c:v>219.0</c:v>
                </c:pt>
                <c:pt idx="219">
                  <c:v>220.0</c:v>
                </c:pt>
                <c:pt idx="220">
                  <c:v>221.0</c:v>
                </c:pt>
                <c:pt idx="221">
                  <c:v>222.0</c:v>
                </c:pt>
                <c:pt idx="222">
                  <c:v>223.0</c:v>
                </c:pt>
                <c:pt idx="223">
                  <c:v>224.0</c:v>
                </c:pt>
                <c:pt idx="224">
                  <c:v>225.0</c:v>
                </c:pt>
                <c:pt idx="225">
                  <c:v>226.0</c:v>
                </c:pt>
                <c:pt idx="226">
                  <c:v>227.0</c:v>
                </c:pt>
                <c:pt idx="227">
                  <c:v>228.0</c:v>
                </c:pt>
                <c:pt idx="228">
                  <c:v>229.0</c:v>
                </c:pt>
                <c:pt idx="229">
                  <c:v>230.0</c:v>
                </c:pt>
                <c:pt idx="230">
                  <c:v>231.0</c:v>
                </c:pt>
                <c:pt idx="231">
                  <c:v>232.0</c:v>
                </c:pt>
                <c:pt idx="232">
                  <c:v>233.0</c:v>
                </c:pt>
                <c:pt idx="233">
                  <c:v>234.0</c:v>
                </c:pt>
                <c:pt idx="234">
                  <c:v>235.0</c:v>
                </c:pt>
                <c:pt idx="235">
                  <c:v>236.0</c:v>
                </c:pt>
                <c:pt idx="236">
                  <c:v>237.0</c:v>
                </c:pt>
                <c:pt idx="237">
                  <c:v>238.0</c:v>
                </c:pt>
                <c:pt idx="238">
                  <c:v>239.0</c:v>
                </c:pt>
                <c:pt idx="239">
                  <c:v>240.0</c:v>
                </c:pt>
                <c:pt idx="240">
                  <c:v>241.0</c:v>
                </c:pt>
                <c:pt idx="241">
                  <c:v>242.0</c:v>
                </c:pt>
                <c:pt idx="242">
                  <c:v>243.0</c:v>
                </c:pt>
                <c:pt idx="243">
                  <c:v>244.0</c:v>
                </c:pt>
                <c:pt idx="244">
                  <c:v>245.0</c:v>
                </c:pt>
                <c:pt idx="245">
                  <c:v>246.0</c:v>
                </c:pt>
                <c:pt idx="246">
                  <c:v>247.0</c:v>
                </c:pt>
                <c:pt idx="247">
                  <c:v>248.0</c:v>
                </c:pt>
                <c:pt idx="248">
                  <c:v>249.0</c:v>
                </c:pt>
                <c:pt idx="249">
                  <c:v>250.0</c:v>
                </c:pt>
                <c:pt idx="250">
                  <c:v>251.0</c:v>
                </c:pt>
                <c:pt idx="251">
                  <c:v>252.0</c:v>
                </c:pt>
                <c:pt idx="252">
                  <c:v>253.0</c:v>
                </c:pt>
                <c:pt idx="253">
                  <c:v>254.0</c:v>
                </c:pt>
                <c:pt idx="254">
                  <c:v>255.0</c:v>
                </c:pt>
                <c:pt idx="255">
                  <c:v>256.0</c:v>
                </c:pt>
                <c:pt idx="256">
                  <c:v>257.0</c:v>
                </c:pt>
                <c:pt idx="257">
                  <c:v>258.0</c:v>
                </c:pt>
                <c:pt idx="258">
                  <c:v>259.0</c:v>
                </c:pt>
                <c:pt idx="259">
                  <c:v>260.0</c:v>
                </c:pt>
                <c:pt idx="260">
                  <c:v>261.0</c:v>
                </c:pt>
                <c:pt idx="261">
                  <c:v>262.0</c:v>
                </c:pt>
                <c:pt idx="262">
                  <c:v>263.0</c:v>
                </c:pt>
                <c:pt idx="263">
                  <c:v>264.0</c:v>
                </c:pt>
                <c:pt idx="264">
                  <c:v>265.0</c:v>
                </c:pt>
                <c:pt idx="265">
                  <c:v>266.0</c:v>
                </c:pt>
                <c:pt idx="266">
                  <c:v>267.0</c:v>
                </c:pt>
                <c:pt idx="267">
                  <c:v>268.0</c:v>
                </c:pt>
                <c:pt idx="268">
                  <c:v>269.0</c:v>
                </c:pt>
                <c:pt idx="269">
                  <c:v>270.0</c:v>
                </c:pt>
                <c:pt idx="270">
                  <c:v>271.0</c:v>
                </c:pt>
                <c:pt idx="271">
                  <c:v>272.0</c:v>
                </c:pt>
                <c:pt idx="272">
                  <c:v>273.0</c:v>
                </c:pt>
                <c:pt idx="273">
                  <c:v>274.0</c:v>
                </c:pt>
                <c:pt idx="274">
                  <c:v>275.0</c:v>
                </c:pt>
                <c:pt idx="275">
                  <c:v>276.0</c:v>
                </c:pt>
                <c:pt idx="276">
                  <c:v>277.0</c:v>
                </c:pt>
                <c:pt idx="277">
                  <c:v>278.0</c:v>
                </c:pt>
                <c:pt idx="278">
                  <c:v>279.0</c:v>
                </c:pt>
                <c:pt idx="279">
                  <c:v>280.0</c:v>
                </c:pt>
                <c:pt idx="280">
                  <c:v>281.0</c:v>
                </c:pt>
                <c:pt idx="281">
                  <c:v>282.0</c:v>
                </c:pt>
                <c:pt idx="282">
                  <c:v>283.0</c:v>
                </c:pt>
                <c:pt idx="283">
                  <c:v>284.0</c:v>
                </c:pt>
                <c:pt idx="284">
                  <c:v>285.0</c:v>
                </c:pt>
                <c:pt idx="285">
                  <c:v>286.0</c:v>
                </c:pt>
                <c:pt idx="286">
                  <c:v>287.0</c:v>
                </c:pt>
                <c:pt idx="287">
                  <c:v>288.0</c:v>
                </c:pt>
                <c:pt idx="288">
                  <c:v>289.0</c:v>
                </c:pt>
                <c:pt idx="289">
                  <c:v>290.0</c:v>
                </c:pt>
                <c:pt idx="290">
                  <c:v>291.0</c:v>
                </c:pt>
                <c:pt idx="291">
                  <c:v>292.0</c:v>
                </c:pt>
                <c:pt idx="292">
                  <c:v>293.0</c:v>
                </c:pt>
                <c:pt idx="293">
                  <c:v>294.0</c:v>
                </c:pt>
                <c:pt idx="294">
                  <c:v>295.0</c:v>
                </c:pt>
                <c:pt idx="295">
                  <c:v>296.0</c:v>
                </c:pt>
                <c:pt idx="296">
                  <c:v>297.0</c:v>
                </c:pt>
                <c:pt idx="297">
                  <c:v>298.0</c:v>
                </c:pt>
                <c:pt idx="298">
                  <c:v>299.0</c:v>
                </c:pt>
                <c:pt idx="299">
                  <c:v>300.0</c:v>
                </c:pt>
                <c:pt idx="300">
                  <c:v>301.0</c:v>
                </c:pt>
                <c:pt idx="301">
                  <c:v>302.0</c:v>
                </c:pt>
                <c:pt idx="302">
                  <c:v>303.0</c:v>
                </c:pt>
                <c:pt idx="303">
                  <c:v>304.0</c:v>
                </c:pt>
                <c:pt idx="304">
                  <c:v>305.0</c:v>
                </c:pt>
                <c:pt idx="305">
                  <c:v>306.0</c:v>
                </c:pt>
                <c:pt idx="306">
                  <c:v>307.0</c:v>
                </c:pt>
                <c:pt idx="307">
                  <c:v>308.0</c:v>
                </c:pt>
                <c:pt idx="308">
                  <c:v>309.0</c:v>
                </c:pt>
                <c:pt idx="309">
                  <c:v>310.0</c:v>
                </c:pt>
                <c:pt idx="310">
                  <c:v>311.0</c:v>
                </c:pt>
                <c:pt idx="311">
                  <c:v>312.0</c:v>
                </c:pt>
                <c:pt idx="312">
                  <c:v>313.0</c:v>
                </c:pt>
                <c:pt idx="313">
                  <c:v>314.0</c:v>
                </c:pt>
                <c:pt idx="314">
                  <c:v>315.0</c:v>
                </c:pt>
                <c:pt idx="315">
                  <c:v>316.0</c:v>
                </c:pt>
                <c:pt idx="316">
                  <c:v>317.0</c:v>
                </c:pt>
                <c:pt idx="317">
                  <c:v>318.0</c:v>
                </c:pt>
                <c:pt idx="318">
                  <c:v>319.0</c:v>
                </c:pt>
                <c:pt idx="319">
                  <c:v>320.0</c:v>
                </c:pt>
                <c:pt idx="320">
                  <c:v>321.0</c:v>
                </c:pt>
                <c:pt idx="321">
                  <c:v>322.0</c:v>
                </c:pt>
                <c:pt idx="322">
                  <c:v>323.0</c:v>
                </c:pt>
                <c:pt idx="323">
                  <c:v>324.0</c:v>
                </c:pt>
                <c:pt idx="324">
                  <c:v>325.0</c:v>
                </c:pt>
                <c:pt idx="325">
                  <c:v>326.0</c:v>
                </c:pt>
                <c:pt idx="326">
                  <c:v>327.0</c:v>
                </c:pt>
                <c:pt idx="327">
                  <c:v>328.0</c:v>
                </c:pt>
                <c:pt idx="328">
                  <c:v>329.0</c:v>
                </c:pt>
                <c:pt idx="329">
                  <c:v>330.0</c:v>
                </c:pt>
                <c:pt idx="330">
                  <c:v>331.0</c:v>
                </c:pt>
                <c:pt idx="331">
                  <c:v>332.0</c:v>
                </c:pt>
                <c:pt idx="332">
                  <c:v>333.0</c:v>
                </c:pt>
                <c:pt idx="333">
                  <c:v>334.0</c:v>
                </c:pt>
                <c:pt idx="334">
                  <c:v>335.0</c:v>
                </c:pt>
                <c:pt idx="335">
                  <c:v>336.0</c:v>
                </c:pt>
                <c:pt idx="336">
                  <c:v>337.0</c:v>
                </c:pt>
                <c:pt idx="337">
                  <c:v>338.0</c:v>
                </c:pt>
                <c:pt idx="338">
                  <c:v>339.0</c:v>
                </c:pt>
                <c:pt idx="339">
                  <c:v>340.0</c:v>
                </c:pt>
                <c:pt idx="340">
                  <c:v>341.0</c:v>
                </c:pt>
                <c:pt idx="341">
                  <c:v>342.0</c:v>
                </c:pt>
                <c:pt idx="342">
                  <c:v>343.0</c:v>
                </c:pt>
                <c:pt idx="343">
                  <c:v>344.0</c:v>
                </c:pt>
                <c:pt idx="344">
                  <c:v>345.0</c:v>
                </c:pt>
                <c:pt idx="345">
                  <c:v>346.0</c:v>
                </c:pt>
                <c:pt idx="346">
                  <c:v>347.0</c:v>
                </c:pt>
                <c:pt idx="347">
                  <c:v>348.0</c:v>
                </c:pt>
                <c:pt idx="348">
                  <c:v>349.0</c:v>
                </c:pt>
                <c:pt idx="349">
                  <c:v>350.0</c:v>
                </c:pt>
                <c:pt idx="350">
                  <c:v>351.0</c:v>
                </c:pt>
                <c:pt idx="351">
                  <c:v>352.0</c:v>
                </c:pt>
                <c:pt idx="352">
                  <c:v>353.0</c:v>
                </c:pt>
                <c:pt idx="353">
                  <c:v>354.0</c:v>
                </c:pt>
                <c:pt idx="354">
                  <c:v>355.0</c:v>
                </c:pt>
                <c:pt idx="355">
                  <c:v>356.0</c:v>
                </c:pt>
                <c:pt idx="356">
                  <c:v>357.0</c:v>
                </c:pt>
                <c:pt idx="357">
                  <c:v>358.0</c:v>
                </c:pt>
                <c:pt idx="358">
                  <c:v>359.0</c:v>
                </c:pt>
                <c:pt idx="359">
                  <c:v>360.0</c:v>
                </c:pt>
                <c:pt idx="360">
                  <c:v>361.0</c:v>
                </c:pt>
                <c:pt idx="361">
                  <c:v>362.0</c:v>
                </c:pt>
                <c:pt idx="362">
                  <c:v>363.0</c:v>
                </c:pt>
                <c:pt idx="363">
                  <c:v>364.0</c:v>
                </c:pt>
                <c:pt idx="364">
                  <c:v>365.0</c:v>
                </c:pt>
                <c:pt idx="365">
                  <c:v>366.0</c:v>
                </c:pt>
                <c:pt idx="366">
                  <c:v>367.0</c:v>
                </c:pt>
                <c:pt idx="367">
                  <c:v>368.0</c:v>
                </c:pt>
                <c:pt idx="368">
                  <c:v>369.0</c:v>
                </c:pt>
                <c:pt idx="369">
                  <c:v>370.0</c:v>
                </c:pt>
                <c:pt idx="370">
                  <c:v>371.0</c:v>
                </c:pt>
                <c:pt idx="371">
                  <c:v>372.0</c:v>
                </c:pt>
                <c:pt idx="372">
                  <c:v>373.0</c:v>
                </c:pt>
                <c:pt idx="373">
                  <c:v>374.0</c:v>
                </c:pt>
                <c:pt idx="374">
                  <c:v>375.0</c:v>
                </c:pt>
                <c:pt idx="375">
                  <c:v>376.0</c:v>
                </c:pt>
                <c:pt idx="376">
                  <c:v>377.0</c:v>
                </c:pt>
                <c:pt idx="377">
                  <c:v>378.0</c:v>
                </c:pt>
                <c:pt idx="378">
                  <c:v>379.0</c:v>
                </c:pt>
                <c:pt idx="379">
                  <c:v>380.0</c:v>
                </c:pt>
                <c:pt idx="380">
                  <c:v>381.0</c:v>
                </c:pt>
                <c:pt idx="381">
                  <c:v>382.0</c:v>
                </c:pt>
                <c:pt idx="382">
                  <c:v>383.0</c:v>
                </c:pt>
                <c:pt idx="383">
                  <c:v>384.0</c:v>
                </c:pt>
                <c:pt idx="384">
                  <c:v>385.0</c:v>
                </c:pt>
                <c:pt idx="385">
                  <c:v>386.0</c:v>
                </c:pt>
                <c:pt idx="386">
                  <c:v>387.0</c:v>
                </c:pt>
                <c:pt idx="387">
                  <c:v>388.0</c:v>
                </c:pt>
                <c:pt idx="388">
                  <c:v>389.0</c:v>
                </c:pt>
                <c:pt idx="389">
                  <c:v>390.0</c:v>
                </c:pt>
                <c:pt idx="390">
                  <c:v>391.0</c:v>
                </c:pt>
                <c:pt idx="391">
                  <c:v>392.0</c:v>
                </c:pt>
                <c:pt idx="392">
                  <c:v>393.0</c:v>
                </c:pt>
                <c:pt idx="393">
                  <c:v>394.0</c:v>
                </c:pt>
                <c:pt idx="394">
                  <c:v>395.0</c:v>
                </c:pt>
                <c:pt idx="395">
                  <c:v>396.0</c:v>
                </c:pt>
                <c:pt idx="396">
                  <c:v>397.0</c:v>
                </c:pt>
                <c:pt idx="397">
                  <c:v>398.0</c:v>
                </c:pt>
                <c:pt idx="398">
                  <c:v>399.0</c:v>
                </c:pt>
                <c:pt idx="399">
                  <c:v>400.0</c:v>
                </c:pt>
                <c:pt idx="400">
                  <c:v>401.0</c:v>
                </c:pt>
                <c:pt idx="401">
                  <c:v>402.0</c:v>
                </c:pt>
                <c:pt idx="402">
                  <c:v>403.0</c:v>
                </c:pt>
                <c:pt idx="403">
                  <c:v>404.0</c:v>
                </c:pt>
                <c:pt idx="404">
                  <c:v>405.0</c:v>
                </c:pt>
                <c:pt idx="405">
                  <c:v>406.0</c:v>
                </c:pt>
                <c:pt idx="406">
                  <c:v>407.0</c:v>
                </c:pt>
                <c:pt idx="407">
                  <c:v>408.0</c:v>
                </c:pt>
                <c:pt idx="408">
                  <c:v>409.0</c:v>
                </c:pt>
                <c:pt idx="409">
                  <c:v>410.0</c:v>
                </c:pt>
                <c:pt idx="410">
                  <c:v>411.0</c:v>
                </c:pt>
                <c:pt idx="411">
                  <c:v>412.0</c:v>
                </c:pt>
                <c:pt idx="412">
                  <c:v>413.0</c:v>
                </c:pt>
                <c:pt idx="413">
                  <c:v>414.0</c:v>
                </c:pt>
                <c:pt idx="414">
                  <c:v>415.0</c:v>
                </c:pt>
                <c:pt idx="415">
                  <c:v>416.0</c:v>
                </c:pt>
                <c:pt idx="416">
                  <c:v>417.0</c:v>
                </c:pt>
                <c:pt idx="417">
                  <c:v>418.0</c:v>
                </c:pt>
                <c:pt idx="418">
                  <c:v>419.0</c:v>
                </c:pt>
                <c:pt idx="419">
                  <c:v>420.0</c:v>
                </c:pt>
                <c:pt idx="420">
                  <c:v>421.0</c:v>
                </c:pt>
                <c:pt idx="421">
                  <c:v>422.0</c:v>
                </c:pt>
                <c:pt idx="422">
                  <c:v>423.0</c:v>
                </c:pt>
                <c:pt idx="423">
                  <c:v>424.0</c:v>
                </c:pt>
                <c:pt idx="424">
                  <c:v>425.0</c:v>
                </c:pt>
                <c:pt idx="425">
                  <c:v>426.0</c:v>
                </c:pt>
                <c:pt idx="426">
                  <c:v>427.0</c:v>
                </c:pt>
                <c:pt idx="427">
                  <c:v>428.0</c:v>
                </c:pt>
                <c:pt idx="428">
                  <c:v>429.0</c:v>
                </c:pt>
                <c:pt idx="429">
                  <c:v>430.0</c:v>
                </c:pt>
                <c:pt idx="430">
                  <c:v>431.0</c:v>
                </c:pt>
                <c:pt idx="431">
                  <c:v>432.0</c:v>
                </c:pt>
                <c:pt idx="432">
                  <c:v>433.0</c:v>
                </c:pt>
                <c:pt idx="433">
                  <c:v>434.0</c:v>
                </c:pt>
                <c:pt idx="434">
                  <c:v>435.0</c:v>
                </c:pt>
                <c:pt idx="435">
                  <c:v>436.0</c:v>
                </c:pt>
                <c:pt idx="436">
                  <c:v>437.0</c:v>
                </c:pt>
                <c:pt idx="437">
                  <c:v>438.0</c:v>
                </c:pt>
                <c:pt idx="438">
                  <c:v>439.0</c:v>
                </c:pt>
                <c:pt idx="439">
                  <c:v>440.0</c:v>
                </c:pt>
                <c:pt idx="440">
                  <c:v>441.0</c:v>
                </c:pt>
                <c:pt idx="441">
                  <c:v>442.0</c:v>
                </c:pt>
                <c:pt idx="442">
                  <c:v>443.0</c:v>
                </c:pt>
                <c:pt idx="443">
                  <c:v>444.0</c:v>
                </c:pt>
                <c:pt idx="444">
                  <c:v>445.0</c:v>
                </c:pt>
                <c:pt idx="445">
                  <c:v>446.0</c:v>
                </c:pt>
                <c:pt idx="446">
                  <c:v>447.0</c:v>
                </c:pt>
                <c:pt idx="447">
                  <c:v>448.0</c:v>
                </c:pt>
                <c:pt idx="448">
                  <c:v>449.0</c:v>
                </c:pt>
                <c:pt idx="449">
                  <c:v>450.0</c:v>
                </c:pt>
                <c:pt idx="450">
                  <c:v>451.0</c:v>
                </c:pt>
                <c:pt idx="451">
                  <c:v>452.0</c:v>
                </c:pt>
                <c:pt idx="452">
                  <c:v>453.0</c:v>
                </c:pt>
                <c:pt idx="453">
                  <c:v>454.0</c:v>
                </c:pt>
                <c:pt idx="454">
                  <c:v>455.0</c:v>
                </c:pt>
                <c:pt idx="455">
                  <c:v>456.0</c:v>
                </c:pt>
                <c:pt idx="456">
                  <c:v>457.0</c:v>
                </c:pt>
                <c:pt idx="457">
                  <c:v>458.0</c:v>
                </c:pt>
                <c:pt idx="458">
                  <c:v>459.0</c:v>
                </c:pt>
                <c:pt idx="459">
                  <c:v>460.0</c:v>
                </c:pt>
                <c:pt idx="460">
                  <c:v>461.0</c:v>
                </c:pt>
                <c:pt idx="461">
                  <c:v>462.0</c:v>
                </c:pt>
                <c:pt idx="462">
                  <c:v>463.0</c:v>
                </c:pt>
                <c:pt idx="463">
                  <c:v>464.0</c:v>
                </c:pt>
                <c:pt idx="464">
                  <c:v>465.0</c:v>
                </c:pt>
                <c:pt idx="465">
                  <c:v>466.0</c:v>
                </c:pt>
                <c:pt idx="466">
                  <c:v>467.0</c:v>
                </c:pt>
                <c:pt idx="467">
                  <c:v>468.0</c:v>
                </c:pt>
                <c:pt idx="468">
                  <c:v>469.0</c:v>
                </c:pt>
                <c:pt idx="469">
                  <c:v>470.0</c:v>
                </c:pt>
                <c:pt idx="470">
                  <c:v>471.0</c:v>
                </c:pt>
                <c:pt idx="471">
                  <c:v>472.0</c:v>
                </c:pt>
                <c:pt idx="472">
                  <c:v>473.0</c:v>
                </c:pt>
                <c:pt idx="473">
                  <c:v>474.0</c:v>
                </c:pt>
                <c:pt idx="474">
                  <c:v>475.0</c:v>
                </c:pt>
                <c:pt idx="475">
                  <c:v>476.0</c:v>
                </c:pt>
                <c:pt idx="476">
                  <c:v>477.0</c:v>
                </c:pt>
                <c:pt idx="477">
                  <c:v>478.0</c:v>
                </c:pt>
                <c:pt idx="478">
                  <c:v>479.0</c:v>
                </c:pt>
                <c:pt idx="479">
                  <c:v>480.0</c:v>
                </c:pt>
                <c:pt idx="480">
                  <c:v>481.0</c:v>
                </c:pt>
                <c:pt idx="481">
                  <c:v>482.0</c:v>
                </c:pt>
                <c:pt idx="482">
                  <c:v>483.0</c:v>
                </c:pt>
                <c:pt idx="483">
                  <c:v>484.0</c:v>
                </c:pt>
                <c:pt idx="484">
                  <c:v>485.0</c:v>
                </c:pt>
                <c:pt idx="485">
                  <c:v>486.0</c:v>
                </c:pt>
                <c:pt idx="486">
                  <c:v>487.0</c:v>
                </c:pt>
                <c:pt idx="487">
                  <c:v>488.0</c:v>
                </c:pt>
                <c:pt idx="488">
                  <c:v>489.0</c:v>
                </c:pt>
                <c:pt idx="489">
                  <c:v>490.0</c:v>
                </c:pt>
                <c:pt idx="490">
                  <c:v>491.0</c:v>
                </c:pt>
                <c:pt idx="491">
                  <c:v>492.0</c:v>
                </c:pt>
                <c:pt idx="492">
                  <c:v>493.0</c:v>
                </c:pt>
                <c:pt idx="493">
                  <c:v>494.0</c:v>
                </c:pt>
                <c:pt idx="494">
                  <c:v>495.0</c:v>
                </c:pt>
                <c:pt idx="495">
                  <c:v>496.0</c:v>
                </c:pt>
                <c:pt idx="496">
                  <c:v>497.0</c:v>
                </c:pt>
                <c:pt idx="497">
                  <c:v>498.0</c:v>
                </c:pt>
                <c:pt idx="498">
                  <c:v>499.0</c:v>
                </c:pt>
              </c:numCache>
            </c:numRef>
          </c:cat>
          <c:val>
            <c:numRef>
              <c:f>Calculations!$C$2:$C$500</c:f>
              <c:numCache>
                <c:formatCode>0</c:formatCode>
                <c:ptCount val="499"/>
                <c:pt idx="0">
                  <c:v>1.67</c:v>
                </c:pt>
                <c:pt idx="1">
                  <c:v>3.34</c:v>
                </c:pt>
                <c:pt idx="2">
                  <c:v>5.01</c:v>
                </c:pt>
                <c:pt idx="3">
                  <c:v>6.68</c:v>
                </c:pt>
                <c:pt idx="4">
                  <c:v>8.35</c:v>
                </c:pt>
                <c:pt idx="5">
                  <c:v>10.02</c:v>
                </c:pt>
                <c:pt idx="6">
                  <c:v>11.69</c:v>
                </c:pt>
                <c:pt idx="7">
                  <c:v>13.36</c:v>
                </c:pt>
                <c:pt idx="8">
                  <c:v>15.03</c:v>
                </c:pt>
                <c:pt idx="9">
                  <c:v>16.7</c:v>
                </c:pt>
                <c:pt idx="10">
                  <c:v>18.37</c:v>
                </c:pt>
                <c:pt idx="11">
                  <c:v>20.04</c:v>
                </c:pt>
                <c:pt idx="12">
                  <c:v>21.71</c:v>
                </c:pt>
                <c:pt idx="13">
                  <c:v>23.38</c:v>
                </c:pt>
                <c:pt idx="14">
                  <c:v>25.05</c:v>
                </c:pt>
                <c:pt idx="15">
                  <c:v>26.72</c:v>
                </c:pt>
                <c:pt idx="16">
                  <c:v>28.39</c:v>
                </c:pt>
                <c:pt idx="17">
                  <c:v>30.06</c:v>
                </c:pt>
                <c:pt idx="18">
                  <c:v>31.73</c:v>
                </c:pt>
                <c:pt idx="19">
                  <c:v>33.4</c:v>
                </c:pt>
                <c:pt idx="20">
                  <c:v>35.07</c:v>
                </c:pt>
                <c:pt idx="21">
                  <c:v>36.74</c:v>
                </c:pt>
                <c:pt idx="22">
                  <c:v>38.41</c:v>
                </c:pt>
                <c:pt idx="23">
                  <c:v>40.08</c:v>
                </c:pt>
                <c:pt idx="24">
                  <c:v>83.5</c:v>
                </c:pt>
                <c:pt idx="25">
                  <c:v>86.84</c:v>
                </c:pt>
                <c:pt idx="26">
                  <c:v>90.17999999999999</c:v>
                </c:pt>
                <c:pt idx="27">
                  <c:v>93.52</c:v>
                </c:pt>
                <c:pt idx="28">
                  <c:v>96.86</c:v>
                </c:pt>
                <c:pt idx="29">
                  <c:v>100.2</c:v>
                </c:pt>
                <c:pt idx="30">
                  <c:v>103.54</c:v>
                </c:pt>
                <c:pt idx="31">
                  <c:v>106.88</c:v>
                </c:pt>
                <c:pt idx="32">
                  <c:v>110.22</c:v>
                </c:pt>
                <c:pt idx="33">
                  <c:v>113.56</c:v>
                </c:pt>
                <c:pt idx="34">
                  <c:v>116.9</c:v>
                </c:pt>
                <c:pt idx="35">
                  <c:v>120.24</c:v>
                </c:pt>
                <c:pt idx="36">
                  <c:v>123.58</c:v>
                </c:pt>
                <c:pt idx="37">
                  <c:v>126.92</c:v>
                </c:pt>
                <c:pt idx="38">
                  <c:v>130.26</c:v>
                </c:pt>
                <c:pt idx="39">
                  <c:v>133.6</c:v>
                </c:pt>
                <c:pt idx="40">
                  <c:v>136.94</c:v>
                </c:pt>
                <c:pt idx="41">
                  <c:v>140.28</c:v>
                </c:pt>
                <c:pt idx="42">
                  <c:v>143.62</c:v>
                </c:pt>
                <c:pt idx="43">
                  <c:v>146.96</c:v>
                </c:pt>
                <c:pt idx="44">
                  <c:v>150.3</c:v>
                </c:pt>
                <c:pt idx="45">
                  <c:v>153.64</c:v>
                </c:pt>
                <c:pt idx="46">
                  <c:v>156.98</c:v>
                </c:pt>
                <c:pt idx="47">
                  <c:v>160.32</c:v>
                </c:pt>
                <c:pt idx="48">
                  <c:v>163.66</c:v>
                </c:pt>
                <c:pt idx="49">
                  <c:v>334.0</c:v>
                </c:pt>
                <c:pt idx="50">
                  <c:v>340.68</c:v>
                </c:pt>
                <c:pt idx="51">
                  <c:v>347.36</c:v>
                </c:pt>
                <c:pt idx="52">
                  <c:v>354.04</c:v>
                </c:pt>
                <c:pt idx="53">
                  <c:v>360.72</c:v>
                </c:pt>
                <c:pt idx="54">
                  <c:v>367.4</c:v>
                </c:pt>
                <c:pt idx="55">
                  <c:v>374.08</c:v>
                </c:pt>
                <c:pt idx="56">
                  <c:v>380.76</c:v>
                </c:pt>
                <c:pt idx="57">
                  <c:v>387.44</c:v>
                </c:pt>
                <c:pt idx="58">
                  <c:v>394.12</c:v>
                </c:pt>
                <c:pt idx="59">
                  <c:v>400.8</c:v>
                </c:pt>
                <c:pt idx="60">
                  <c:v>407.48</c:v>
                </c:pt>
                <c:pt idx="61">
                  <c:v>414.16</c:v>
                </c:pt>
                <c:pt idx="62">
                  <c:v>420.84</c:v>
                </c:pt>
                <c:pt idx="63">
                  <c:v>427.52</c:v>
                </c:pt>
                <c:pt idx="64">
                  <c:v>434.2</c:v>
                </c:pt>
                <c:pt idx="65">
                  <c:v>440.88</c:v>
                </c:pt>
                <c:pt idx="66">
                  <c:v>447.56</c:v>
                </c:pt>
                <c:pt idx="67">
                  <c:v>454.24</c:v>
                </c:pt>
                <c:pt idx="68">
                  <c:v>460.92</c:v>
                </c:pt>
                <c:pt idx="69">
                  <c:v>467.6</c:v>
                </c:pt>
                <c:pt idx="70">
                  <c:v>474.28</c:v>
                </c:pt>
                <c:pt idx="71">
                  <c:v>480.96</c:v>
                </c:pt>
                <c:pt idx="72">
                  <c:v>487.64</c:v>
                </c:pt>
                <c:pt idx="73">
                  <c:v>494.32</c:v>
                </c:pt>
                <c:pt idx="74">
                  <c:v>501.0</c:v>
                </c:pt>
                <c:pt idx="75">
                  <c:v>507.6799999999999</c:v>
                </c:pt>
                <c:pt idx="76">
                  <c:v>514.36</c:v>
                </c:pt>
                <c:pt idx="77">
                  <c:v>521.04</c:v>
                </c:pt>
                <c:pt idx="78">
                  <c:v>527.72</c:v>
                </c:pt>
                <c:pt idx="79">
                  <c:v>534.4</c:v>
                </c:pt>
                <c:pt idx="80">
                  <c:v>541.08</c:v>
                </c:pt>
                <c:pt idx="81">
                  <c:v>547.76</c:v>
                </c:pt>
                <c:pt idx="82">
                  <c:v>554.4399999999999</c:v>
                </c:pt>
                <c:pt idx="83">
                  <c:v>561.12</c:v>
                </c:pt>
                <c:pt idx="84">
                  <c:v>567.8</c:v>
                </c:pt>
                <c:pt idx="85">
                  <c:v>574.48</c:v>
                </c:pt>
                <c:pt idx="86">
                  <c:v>581.16</c:v>
                </c:pt>
                <c:pt idx="87">
                  <c:v>587.8399999999999</c:v>
                </c:pt>
                <c:pt idx="88">
                  <c:v>594.52</c:v>
                </c:pt>
                <c:pt idx="89">
                  <c:v>601.2</c:v>
                </c:pt>
                <c:pt idx="90">
                  <c:v>607.88</c:v>
                </c:pt>
                <c:pt idx="91">
                  <c:v>614.5599999999999</c:v>
                </c:pt>
                <c:pt idx="92">
                  <c:v>621.24</c:v>
                </c:pt>
                <c:pt idx="93">
                  <c:v>627.92</c:v>
                </c:pt>
                <c:pt idx="94">
                  <c:v>634.6</c:v>
                </c:pt>
                <c:pt idx="95">
                  <c:v>641.28</c:v>
                </c:pt>
                <c:pt idx="96">
                  <c:v>647.9599999999999</c:v>
                </c:pt>
                <c:pt idx="97">
                  <c:v>654.64</c:v>
                </c:pt>
                <c:pt idx="98">
                  <c:v>661.3199999999999</c:v>
                </c:pt>
                <c:pt idx="99">
                  <c:v>1336.0</c:v>
                </c:pt>
                <c:pt idx="100">
                  <c:v>1349.36</c:v>
                </c:pt>
                <c:pt idx="101">
                  <c:v>1362.72</c:v>
                </c:pt>
                <c:pt idx="102">
                  <c:v>1376.08</c:v>
                </c:pt>
                <c:pt idx="103">
                  <c:v>1389.44</c:v>
                </c:pt>
                <c:pt idx="104">
                  <c:v>1402.8</c:v>
                </c:pt>
                <c:pt idx="105">
                  <c:v>1416.16</c:v>
                </c:pt>
                <c:pt idx="106">
                  <c:v>1429.52</c:v>
                </c:pt>
                <c:pt idx="107">
                  <c:v>1442.88</c:v>
                </c:pt>
                <c:pt idx="108">
                  <c:v>1456.24</c:v>
                </c:pt>
                <c:pt idx="109">
                  <c:v>1469.6</c:v>
                </c:pt>
                <c:pt idx="110">
                  <c:v>1482.96</c:v>
                </c:pt>
                <c:pt idx="111">
                  <c:v>1496.32</c:v>
                </c:pt>
                <c:pt idx="112">
                  <c:v>1509.68</c:v>
                </c:pt>
                <c:pt idx="113">
                  <c:v>1523.04</c:v>
                </c:pt>
                <c:pt idx="114">
                  <c:v>1536.4</c:v>
                </c:pt>
                <c:pt idx="115">
                  <c:v>1549.76</c:v>
                </c:pt>
                <c:pt idx="116">
                  <c:v>1563.12</c:v>
                </c:pt>
                <c:pt idx="117">
                  <c:v>1576.48</c:v>
                </c:pt>
                <c:pt idx="118">
                  <c:v>1589.84</c:v>
                </c:pt>
                <c:pt idx="119">
                  <c:v>1603.2</c:v>
                </c:pt>
                <c:pt idx="120">
                  <c:v>1616.56</c:v>
                </c:pt>
                <c:pt idx="121">
                  <c:v>1629.92</c:v>
                </c:pt>
                <c:pt idx="122">
                  <c:v>1643.28</c:v>
                </c:pt>
                <c:pt idx="123">
                  <c:v>1656.64</c:v>
                </c:pt>
                <c:pt idx="124">
                  <c:v>1670.0</c:v>
                </c:pt>
                <c:pt idx="125">
                  <c:v>1683.36</c:v>
                </c:pt>
                <c:pt idx="126">
                  <c:v>1696.72</c:v>
                </c:pt>
                <c:pt idx="127">
                  <c:v>1710.08</c:v>
                </c:pt>
                <c:pt idx="128">
                  <c:v>1723.44</c:v>
                </c:pt>
                <c:pt idx="129">
                  <c:v>1736.8</c:v>
                </c:pt>
                <c:pt idx="130">
                  <c:v>1750.16</c:v>
                </c:pt>
                <c:pt idx="131">
                  <c:v>1763.52</c:v>
                </c:pt>
                <c:pt idx="132">
                  <c:v>1776.88</c:v>
                </c:pt>
                <c:pt idx="133">
                  <c:v>1790.24</c:v>
                </c:pt>
                <c:pt idx="134">
                  <c:v>1803.6</c:v>
                </c:pt>
                <c:pt idx="135">
                  <c:v>1816.96</c:v>
                </c:pt>
                <c:pt idx="136">
                  <c:v>1830.32</c:v>
                </c:pt>
                <c:pt idx="137">
                  <c:v>1843.68</c:v>
                </c:pt>
                <c:pt idx="138">
                  <c:v>1857.04</c:v>
                </c:pt>
                <c:pt idx="139">
                  <c:v>1870.4</c:v>
                </c:pt>
                <c:pt idx="140">
                  <c:v>1883.76</c:v>
                </c:pt>
                <c:pt idx="141">
                  <c:v>1897.12</c:v>
                </c:pt>
                <c:pt idx="142">
                  <c:v>1910.48</c:v>
                </c:pt>
                <c:pt idx="143">
                  <c:v>1923.84</c:v>
                </c:pt>
                <c:pt idx="144">
                  <c:v>1937.2</c:v>
                </c:pt>
                <c:pt idx="145">
                  <c:v>1950.56</c:v>
                </c:pt>
                <c:pt idx="146">
                  <c:v>1963.92</c:v>
                </c:pt>
                <c:pt idx="147">
                  <c:v>1977.28</c:v>
                </c:pt>
                <c:pt idx="148">
                  <c:v>1990.64</c:v>
                </c:pt>
                <c:pt idx="149">
                  <c:v>2004.0</c:v>
                </c:pt>
                <c:pt idx="150">
                  <c:v>2017.36</c:v>
                </c:pt>
                <c:pt idx="151">
                  <c:v>2030.72</c:v>
                </c:pt>
                <c:pt idx="152">
                  <c:v>2044.08</c:v>
                </c:pt>
                <c:pt idx="153">
                  <c:v>2057.44</c:v>
                </c:pt>
                <c:pt idx="154">
                  <c:v>2070.8</c:v>
                </c:pt>
                <c:pt idx="155">
                  <c:v>2084.16</c:v>
                </c:pt>
                <c:pt idx="156">
                  <c:v>2097.52</c:v>
                </c:pt>
                <c:pt idx="157">
                  <c:v>2110.88</c:v>
                </c:pt>
                <c:pt idx="158">
                  <c:v>2124.24</c:v>
                </c:pt>
                <c:pt idx="159">
                  <c:v>2137.6</c:v>
                </c:pt>
                <c:pt idx="160">
                  <c:v>2150.96</c:v>
                </c:pt>
                <c:pt idx="161">
                  <c:v>2164.32</c:v>
                </c:pt>
                <c:pt idx="162">
                  <c:v>2177.68</c:v>
                </c:pt>
                <c:pt idx="163">
                  <c:v>2191.04</c:v>
                </c:pt>
                <c:pt idx="164">
                  <c:v>2204.4</c:v>
                </c:pt>
                <c:pt idx="165">
                  <c:v>2217.76</c:v>
                </c:pt>
                <c:pt idx="166">
                  <c:v>2231.12</c:v>
                </c:pt>
                <c:pt idx="167">
                  <c:v>2244.48</c:v>
                </c:pt>
                <c:pt idx="168">
                  <c:v>2257.84</c:v>
                </c:pt>
                <c:pt idx="169">
                  <c:v>2271.2</c:v>
                </c:pt>
                <c:pt idx="170">
                  <c:v>2284.56</c:v>
                </c:pt>
                <c:pt idx="171">
                  <c:v>2297.92</c:v>
                </c:pt>
                <c:pt idx="172">
                  <c:v>2311.28</c:v>
                </c:pt>
                <c:pt idx="173">
                  <c:v>2324.64</c:v>
                </c:pt>
                <c:pt idx="174">
                  <c:v>2338.0</c:v>
                </c:pt>
                <c:pt idx="175">
                  <c:v>2351.36</c:v>
                </c:pt>
                <c:pt idx="176">
                  <c:v>2364.72</c:v>
                </c:pt>
                <c:pt idx="177">
                  <c:v>2378.08</c:v>
                </c:pt>
                <c:pt idx="178">
                  <c:v>2391.44</c:v>
                </c:pt>
                <c:pt idx="179">
                  <c:v>2404.8</c:v>
                </c:pt>
                <c:pt idx="180">
                  <c:v>2418.16</c:v>
                </c:pt>
                <c:pt idx="181">
                  <c:v>2431.52</c:v>
                </c:pt>
                <c:pt idx="182">
                  <c:v>2444.88</c:v>
                </c:pt>
                <c:pt idx="183">
                  <c:v>2458.24</c:v>
                </c:pt>
                <c:pt idx="184">
                  <c:v>2471.6</c:v>
                </c:pt>
                <c:pt idx="185">
                  <c:v>2484.96</c:v>
                </c:pt>
                <c:pt idx="186">
                  <c:v>2498.32</c:v>
                </c:pt>
                <c:pt idx="187">
                  <c:v>2511.68</c:v>
                </c:pt>
                <c:pt idx="188">
                  <c:v>2525.04</c:v>
                </c:pt>
                <c:pt idx="189">
                  <c:v>2538.4</c:v>
                </c:pt>
                <c:pt idx="190">
                  <c:v>2551.76</c:v>
                </c:pt>
                <c:pt idx="191">
                  <c:v>2565.12</c:v>
                </c:pt>
                <c:pt idx="192">
                  <c:v>2578.48</c:v>
                </c:pt>
                <c:pt idx="193">
                  <c:v>2591.84</c:v>
                </c:pt>
                <c:pt idx="194">
                  <c:v>2605.2</c:v>
                </c:pt>
                <c:pt idx="195">
                  <c:v>2618.56</c:v>
                </c:pt>
                <c:pt idx="196">
                  <c:v>2631.92</c:v>
                </c:pt>
                <c:pt idx="197">
                  <c:v>2645.28</c:v>
                </c:pt>
                <c:pt idx="198">
                  <c:v>2658.64</c:v>
                </c:pt>
                <c:pt idx="199">
                  <c:v>5344.0</c:v>
                </c:pt>
                <c:pt idx="200">
                  <c:v>5370.72</c:v>
                </c:pt>
                <c:pt idx="201">
                  <c:v>5397.44</c:v>
                </c:pt>
                <c:pt idx="202">
                  <c:v>5424.16</c:v>
                </c:pt>
                <c:pt idx="203">
                  <c:v>5450.88</c:v>
                </c:pt>
                <c:pt idx="204">
                  <c:v>5477.6</c:v>
                </c:pt>
                <c:pt idx="205">
                  <c:v>5504.32</c:v>
                </c:pt>
                <c:pt idx="206">
                  <c:v>5531.04</c:v>
                </c:pt>
                <c:pt idx="207">
                  <c:v>5557.76</c:v>
                </c:pt>
                <c:pt idx="208">
                  <c:v>5584.48</c:v>
                </c:pt>
                <c:pt idx="209">
                  <c:v>5611.2</c:v>
                </c:pt>
                <c:pt idx="210">
                  <c:v>5637.92</c:v>
                </c:pt>
                <c:pt idx="211">
                  <c:v>5664.64</c:v>
                </c:pt>
                <c:pt idx="212">
                  <c:v>5691.36</c:v>
                </c:pt>
                <c:pt idx="213">
                  <c:v>5718.08</c:v>
                </c:pt>
                <c:pt idx="214">
                  <c:v>5744.8</c:v>
                </c:pt>
                <c:pt idx="215">
                  <c:v>5771.52</c:v>
                </c:pt>
                <c:pt idx="216">
                  <c:v>5798.24</c:v>
                </c:pt>
                <c:pt idx="217">
                  <c:v>5824.96</c:v>
                </c:pt>
                <c:pt idx="218">
                  <c:v>5851.68</c:v>
                </c:pt>
                <c:pt idx="219">
                  <c:v>5878.4</c:v>
                </c:pt>
                <c:pt idx="220">
                  <c:v>5905.12</c:v>
                </c:pt>
                <c:pt idx="221">
                  <c:v>5931.84</c:v>
                </c:pt>
                <c:pt idx="222">
                  <c:v>5958.56</c:v>
                </c:pt>
                <c:pt idx="223">
                  <c:v>5985.28</c:v>
                </c:pt>
                <c:pt idx="224">
                  <c:v>6012.0</c:v>
                </c:pt>
                <c:pt idx="225">
                  <c:v>6038.72</c:v>
                </c:pt>
                <c:pt idx="226">
                  <c:v>6065.44</c:v>
                </c:pt>
                <c:pt idx="227">
                  <c:v>6092.16</c:v>
                </c:pt>
                <c:pt idx="228">
                  <c:v>6118.88</c:v>
                </c:pt>
                <c:pt idx="229">
                  <c:v>6145.6</c:v>
                </c:pt>
                <c:pt idx="230">
                  <c:v>6172.32</c:v>
                </c:pt>
                <c:pt idx="231">
                  <c:v>6199.04</c:v>
                </c:pt>
                <c:pt idx="232">
                  <c:v>6225.76</c:v>
                </c:pt>
                <c:pt idx="233">
                  <c:v>6252.48</c:v>
                </c:pt>
                <c:pt idx="234">
                  <c:v>6279.2</c:v>
                </c:pt>
                <c:pt idx="235">
                  <c:v>6305.92</c:v>
                </c:pt>
                <c:pt idx="236">
                  <c:v>6332.64</c:v>
                </c:pt>
                <c:pt idx="237">
                  <c:v>6359.36</c:v>
                </c:pt>
                <c:pt idx="238">
                  <c:v>6386.08</c:v>
                </c:pt>
                <c:pt idx="239">
                  <c:v>6412.8</c:v>
                </c:pt>
                <c:pt idx="240">
                  <c:v>6439.52</c:v>
                </c:pt>
                <c:pt idx="241">
                  <c:v>6466.24</c:v>
                </c:pt>
                <c:pt idx="242">
                  <c:v>6492.96</c:v>
                </c:pt>
                <c:pt idx="243">
                  <c:v>6519.68</c:v>
                </c:pt>
                <c:pt idx="244">
                  <c:v>6546.4</c:v>
                </c:pt>
                <c:pt idx="245">
                  <c:v>6573.12</c:v>
                </c:pt>
                <c:pt idx="246">
                  <c:v>6599.84</c:v>
                </c:pt>
                <c:pt idx="247">
                  <c:v>6626.56</c:v>
                </c:pt>
                <c:pt idx="248">
                  <c:v>6653.28</c:v>
                </c:pt>
                <c:pt idx="249">
                  <c:v>6680.0</c:v>
                </c:pt>
                <c:pt idx="250">
                  <c:v>6706.72</c:v>
                </c:pt>
                <c:pt idx="251">
                  <c:v>6733.44</c:v>
                </c:pt>
                <c:pt idx="252">
                  <c:v>6760.16</c:v>
                </c:pt>
                <c:pt idx="253">
                  <c:v>6786.88</c:v>
                </c:pt>
                <c:pt idx="254">
                  <c:v>6813.6</c:v>
                </c:pt>
                <c:pt idx="255">
                  <c:v>6840.32</c:v>
                </c:pt>
                <c:pt idx="256">
                  <c:v>6867.04</c:v>
                </c:pt>
                <c:pt idx="257">
                  <c:v>6893.76</c:v>
                </c:pt>
                <c:pt idx="258">
                  <c:v>6920.48</c:v>
                </c:pt>
                <c:pt idx="259">
                  <c:v>6947.2</c:v>
                </c:pt>
                <c:pt idx="260">
                  <c:v>6973.92</c:v>
                </c:pt>
                <c:pt idx="261">
                  <c:v>7000.64</c:v>
                </c:pt>
                <c:pt idx="262">
                  <c:v>7027.36</c:v>
                </c:pt>
                <c:pt idx="263">
                  <c:v>7054.08</c:v>
                </c:pt>
                <c:pt idx="264">
                  <c:v>7080.8</c:v>
                </c:pt>
                <c:pt idx="265">
                  <c:v>7107.52</c:v>
                </c:pt>
                <c:pt idx="266">
                  <c:v>7134.24</c:v>
                </c:pt>
                <c:pt idx="267">
                  <c:v>7160.96</c:v>
                </c:pt>
                <c:pt idx="268">
                  <c:v>7187.68</c:v>
                </c:pt>
                <c:pt idx="269">
                  <c:v>7214.4</c:v>
                </c:pt>
                <c:pt idx="270">
                  <c:v>7241.12</c:v>
                </c:pt>
                <c:pt idx="271">
                  <c:v>7267.84</c:v>
                </c:pt>
                <c:pt idx="272">
                  <c:v>7294.56</c:v>
                </c:pt>
                <c:pt idx="273">
                  <c:v>7321.28</c:v>
                </c:pt>
                <c:pt idx="274">
                  <c:v>7348.0</c:v>
                </c:pt>
                <c:pt idx="275">
                  <c:v>7374.72</c:v>
                </c:pt>
                <c:pt idx="276">
                  <c:v>7401.44</c:v>
                </c:pt>
                <c:pt idx="277">
                  <c:v>7428.16</c:v>
                </c:pt>
                <c:pt idx="278">
                  <c:v>7454.88</c:v>
                </c:pt>
                <c:pt idx="279">
                  <c:v>7481.6</c:v>
                </c:pt>
                <c:pt idx="280">
                  <c:v>7508.32</c:v>
                </c:pt>
                <c:pt idx="281">
                  <c:v>7535.04</c:v>
                </c:pt>
                <c:pt idx="282">
                  <c:v>7561.76</c:v>
                </c:pt>
                <c:pt idx="283">
                  <c:v>7588.48</c:v>
                </c:pt>
                <c:pt idx="284">
                  <c:v>7615.2</c:v>
                </c:pt>
                <c:pt idx="285">
                  <c:v>7641.92</c:v>
                </c:pt>
                <c:pt idx="286">
                  <c:v>7668.64</c:v>
                </c:pt>
                <c:pt idx="287">
                  <c:v>7695.36</c:v>
                </c:pt>
                <c:pt idx="288">
                  <c:v>7722.08</c:v>
                </c:pt>
                <c:pt idx="289">
                  <c:v>7748.8</c:v>
                </c:pt>
                <c:pt idx="290">
                  <c:v>7775.52</c:v>
                </c:pt>
                <c:pt idx="291">
                  <c:v>7802.24</c:v>
                </c:pt>
                <c:pt idx="292">
                  <c:v>7828.96</c:v>
                </c:pt>
                <c:pt idx="293">
                  <c:v>7855.68</c:v>
                </c:pt>
                <c:pt idx="294">
                  <c:v>7882.4</c:v>
                </c:pt>
                <c:pt idx="295">
                  <c:v>7909.12</c:v>
                </c:pt>
                <c:pt idx="296">
                  <c:v>7935.84</c:v>
                </c:pt>
                <c:pt idx="297">
                  <c:v>7962.56</c:v>
                </c:pt>
                <c:pt idx="298">
                  <c:v>7989.28</c:v>
                </c:pt>
                <c:pt idx="299">
                  <c:v>16032.0</c:v>
                </c:pt>
                <c:pt idx="300">
                  <c:v>16085.44</c:v>
                </c:pt>
                <c:pt idx="301">
                  <c:v>16138.88</c:v>
                </c:pt>
                <c:pt idx="302">
                  <c:v>16192.32</c:v>
                </c:pt>
                <c:pt idx="303">
                  <c:v>16245.76</c:v>
                </c:pt>
                <c:pt idx="304">
                  <c:v>16299.2</c:v>
                </c:pt>
                <c:pt idx="305">
                  <c:v>16352.64</c:v>
                </c:pt>
                <c:pt idx="306">
                  <c:v>16406.08</c:v>
                </c:pt>
                <c:pt idx="307">
                  <c:v>16459.52</c:v>
                </c:pt>
                <c:pt idx="308">
                  <c:v>16512.96</c:v>
                </c:pt>
                <c:pt idx="309">
                  <c:v>16566.4</c:v>
                </c:pt>
                <c:pt idx="310">
                  <c:v>16619.84</c:v>
                </c:pt>
                <c:pt idx="311">
                  <c:v>16673.28</c:v>
                </c:pt>
                <c:pt idx="312">
                  <c:v>16726.72</c:v>
                </c:pt>
                <c:pt idx="313">
                  <c:v>16780.16</c:v>
                </c:pt>
                <c:pt idx="314">
                  <c:v>16833.6</c:v>
                </c:pt>
                <c:pt idx="315">
                  <c:v>16887.04</c:v>
                </c:pt>
                <c:pt idx="316">
                  <c:v>16940.48</c:v>
                </c:pt>
                <c:pt idx="317">
                  <c:v>16993.92</c:v>
                </c:pt>
                <c:pt idx="318">
                  <c:v>17047.36</c:v>
                </c:pt>
                <c:pt idx="319">
                  <c:v>17100.8</c:v>
                </c:pt>
                <c:pt idx="320">
                  <c:v>17154.24</c:v>
                </c:pt>
                <c:pt idx="321">
                  <c:v>17207.68</c:v>
                </c:pt>
                <c:pt idx="322">
                  <c:v>17261.12</c:v>
                </c:pt>
                <c:pt idx="323">
                  <c:v>17314.56</c:v>
                </c:pt>
                <c:pt idx="324">
                  <c:v>17368.0</c:v>
                </c:pt>
                <c:pt idx="325">
                  <c:v>17421.44</c:v>
                </c:pt>
                <c:pt idx="326">
                  <c:v>17474.88</c:v>
                </c:pt>
                <c:pt idx="327">
                  <c:v>17528.32</c:v>
                </c:pt>
                <c:pt idx="328">
                  <c:v>17581.76</c:v>
                </c:pt>
                <c:pt idx="329">
                  <c:v>17635.2</c:v>
                </c:pt>
                <c:pt idx="330">
                  <c:v>17688.64</c:v>
                </c:pt>
                <c:pt idx="331">
                  <c:v>17742.08</c:v>
                </c:pt>
                <c:pt idx="332">
                  <c:v>17795.52</c:v>
                </c:pt>
                <c:pt idx="333">
                  <c:v>17848.96</c:v>
                </c:pt>
                <c:pt idx="334">
                  <c:v>17902.4</c:v>
                </c:pt>
                <c:pt idx="335">
                  <c:v>17955.84</c:v>
                </c:pt>
                <c:pt idx="336">
                  <c:v>18009.28</c:v>
                </c:pt>
                <c:pt idx="337">
                  <c:v>18062.72</c:v>
                </c:pt>
                <c:pt idx="338">
                  <c:v>18116.16</c:v>
                </c:pt>
                <c:pt idx="339">
                  <c:v>18169.6</c:v>
                </c:pt>
                <c:pt idx="340">
                  <c:v>18223.04</c:v>
                </c:pt>
                <c:pt idx="341">
                  <c:v>18276.48</c:v>
                </c:pt>
                <c:pt idx="342">
                  <c:v>18329.92</c:v>
                </c:pt>
                <c:pt idx="343">
                  <c:v>18383.36</c:v>
                </c:pt>
                <c:pt idx="344">
                  <c:v>18436.8</c:v>
                </c:pt>
                <c:pt idx="345">
                  <c:v>18490.24</c:v>
                </c:pt>
                <c:pt idx="346">
                  <c:v>18543.68</c:v>
                </c:pt>
                <c:pt idx="347">
                  <c:v>18597.12</c:v>
                </c:pt>
                <c:pt idx="348">
                  <c:v>18650.56</c:v>
                </c:pt>
                <c:pt idx="349">
                  <c:v>18704.0</c:v>
                </c:pt>
                <c:pt idx="350">
                  <c:v>18757.44</c:v>
                </c:pt>
                <c:pt idx="351">
                  <c:v>18810.88</c:v>
                </c:pt>
                <c:pt idx="352">
                  <c:v>18864.32</c:v>
                </c:pt>
                <c:pt idx="353">
                  <c:v>18917.76</c:v>
                </c:pt>
                <c:pt idx="354">
                  <c:v>18971.2</c:v>
                </c:pt>
                <c:pt idx="355">
                  <c:v>19024.64</c:v>
                </c:pt>
                <c:pt idx="356">
                  <c:v>19078.08</c:v>
                </c:pt>
                <c:pt idx="357">
                  <c:v>19131.52</c:v>
                </c:pt>
                <c:pt idx="358">
                  <c:v>19184.96</c:v>
                </c:pt>
                <c:pt idx="359">
                  <c:v>19238.4</c:v>
                </c:pt>
                <c:pt idx="360">
                  <c:v>19291.84</c:v>
                </c:pt>
                <c:pt idx="361">
                  <c:v>19345.28</c:v>
                </c:pt>
                <c:pt idx="362">
                  <c:v>19398.72</c:v>
                </c:pt>
                <c:pt idx="363">
                  <c:v>19452.16</c:v>
                </c:pt>
                <c:pt idx="364">
                  <c:v>19505.6</c:v>
                </c:pt>
                <c:pt idx="365">
                  <c:v>19559.04</c:v>
                </c:pt>
                <c:pt idx="366">
                  <c:v>19612.48</c:v>
                </c:pt>
                <c:pt idx="367">
                  <c:v>19665.92</c:v>
                </c:pt>
                <c:pt idx="368">
                  <c:v>19719.36</c:v>
                </c:pt>
                <c:pt idx="369">
                  <c:v>19772.8</c:v>
                </c:pt>
                <c:pt idx="370">
                  <c:v>19826.24</c:v>
                </c:pt>
                <c:pt idx="371">
                  <c:v>19879.68</c:v>
                </c:pt>
                <c:pt idx="372">
                  <c:v>19933.12</c:v>
                </c:pt>
                <c:pt idx="373">
                  <c:v>19986.56</c:v>
                </c:pt>
                <c:pt idx="374">
                  <c:v>20040.0</c:v>
                </c:pt>
                <c:pt idx="375">
                  <c:v>20093.44</c:v>
                </c:pt>
                <c:pt idx="376">
                  <c:v>20146.88</c:v>
                </c:pt>
                <c:pt idx="377">
                  <c:v>20200.32</c:v>
                </c:pt>
                <c:pt idx="378">
                  <c:v>20253.76</c:v>
                </c:pt>
                <c:pt idx="379">
                  <c:v>20307.2</c:v>
                </c:pt>
                <c:pt idx="380">
                  <c:v>20360.64</c:v>
                </c:pt>
                <c:pt idx="381">
                  <c:v>20414.08</c:v>
                </c:pt>
                <c:pt idx="382">
                  <c:v>20467.52</c:v>
                </c:pt>
                <c:pt idx="383">
                  <c:v>20520.96</c:v>
                </c:pt>
                <c:pt idx="384">
                  <c:v>20574.4</c:v>
                </c:pt>
                <c:pt idx="385">
                  <c:v>20627.84</c:v>
                </c:pt>
                <c:pt idx="386">
                  <c:v>20681.28</c:v>
                </c:pt>
                <c:pt idx="387">
                  <c:v>20734.72</c:v>
                </c:pt>
                <c:pt idx="388">
                  <c:v>20788.16</c:v>
                </c:pt>
                <c:pt idx="389">
                  <c:v>20841.6</c:v>
                </c:pt>
                <c:pt idx="390">
                  <c:v>20895.04</c:v>
                </c:pt>
                <c:pt idx="391">
                  <c:v>20948.48</c:v>
                </c:pt>
                <c:pt idx="392">
                  <c:v>21001.92</c:v>
                </c:pt>
                <c:pt idx="393">
                  <c:v>21055.36</c:v>
                </c:pt>
                <c:pt idx="394">
                  <c:v>21108.8</c:v>
                </c:pt>
                <c:pt idx="395">
                  <c:v>21162.24</c:v>
                </c:pt>
                <c:pt idx="396">
                  <c:v>21215.68</c:v>
                </c:pt>
                <c:pt idx="397">
                  <c:v>21269.12</c:v>
                </c:pt>
                <c:pt idx="398">
                  <c:v>21322.56</c:v>
                </c:pt>
                <c:pt idx="399">
                  <c:v>42752.0</c:v>
                </c:pt>
                <c:pt idx="400">
                  <c:v>42858.88</c:v>
                </c:pt>
                <c:pt idx="401">
                  <c:v>42965.76</c:v>
                </c:pt>
                <c:pt idx="402">
                  <c:v>43072.64</c:v>
                </c:pt>
                <c:pt idx="403">
                  <c:v>43179.52</c:v>
                </c:pt>
                <c:pt idx="404">
                  <c:v>43286.4</c:v>
                </c:pt>
                <c:pt idx="405">
                  <c:v>43393.28</c:v>
                </c:pt>
                <c:pt idx="406">
                  <c:v>43500.16</c:v>
                </c:pt>
                <c:pt idx="407">
                  <c:v>43607.04</c:v>
                </c:pt>
                <c:pt idx="408">
                  <c:v>43713.92</c:v>
                </c:pt>
                <c:pt idx="409">
                  <c:v>43820.8</c:v>
                </c:pt>
                <c:pt idx="410">
                  <c:v>43927.68</c:v>
                </c:pt>
                <c:pt idx="411">
                  <c:v>44034.56</c:v>
                </c:pt>
                <c:pt idx="412">
                  <c:v>44141.44</c:v>
                </c:pt>
                <c:pt idx="413">
                  <c:v>44248.32</c:v>
                </c:pt>
                <c:pt idx="414">
                  <c:v>44355.2</c:v>
                </c:pt>
                <c:pt idx="415">
                  <c:v>44462.08</c:v>
                </c:pt>
                <c:pt idx="416">
                  <c:v>44568.96</c:v>
                </c:pt>
                <c:pt idx="417">
                  <c:v>44675.84</c:v>
                </c:pt>
                <c:pt idx="418">
                  <c:v>44782.72</c:v>
                </c:pt>
                <c:pt idx="419">
                  <c:v>44889.6</c:v>
                </c:pt>
                <c:pt idx="420">
                  <c:v>44996.48</c:v>
                </c:pt>
                <c:pt idx="421">
                  <c:v>45103.36</c:v>
                </c:pt>
                <c:pt idx="422">
                  <c:v>45210.24</c:v>
                </c:pt>
                <c:pt idx="423">
                  <c:v>45317.12</c:v>
                </c:pt>
                <c:pt idx="424">
                  <c:v>45424.0</c:v>
                </c:pt>
                <c:pt idx="425">
                  <c:v>45530.88</c:v>
                </c:pt>
                <c:pt idx="426">
                  <c:v>45637.76</c:v>
                </c:pt>
                <c:pt idx="427">
                  <c:v>45744.64</c:v>
                </c:pt>
                <c:pt idx="428">
                  <c:v>45851.52</c:v>
                </c:pt>
                <c:pt idx="429">
                  <c:v>45958.4</c:v>
                </c:pt>
                <c:pt idx="430">
                  <c:v>46065.28</c:v>
                </c:pt>
                <c:pt idx="431">
                  <c:v>46172.16</c:v>
                </c:pt>
                <c:pt idx="432">
                  <c:v>46279.04</c:v>
                </c:pt>
                <c:pt idx="433">
                  <c:v>46385.92</c:v>
                </c:pt>
                <c:pt idx="434">
                  <c:v>46492.8</c:v>
                </c:pt>
                <c:pt idx="435">
                  <c:v>46599.68</c:v>
                </c:pt>
                <c:pt idx="436">
                  <c:v>46706.56</c:v>
                </c:pt>
                <c:pt idx="437">
                  <c:v>46813.44</c:v>
                </c:pt>
                <c:pt idx="438">
                  <c:v>46920.32</c:v>
                </c:pt>
                <c:pt idx="439">
                  <c:v>47027.2</c:v>
                </c:pt>
                <c:pt idx="440">
                  <c:v>47134.08</c:v>
                </c:pt>
                <c:pt idx="441">
                  <c:v>47240.96</c:v>
                </c:pt>
                <c:pt idx="442">
                  <c:v>47347.84</c:v>
                </c:pt>
                <c:pt idx="443">
                  <c:v>47454.72</c:v>
                </c:pt>
                <c:pt idx="444">
                  <c:v>47561.6</c:v>
                </c:pt>
                <c:pt idx="445">
                  <c:v>47668.48</c:v>
                </c:pt>
                <c:pt idx="446">
                  <c:v>47775.36</c:v>
                </c:pt>
                <c:pt idx="447">
                  <c:v>47882.24</c:v>
                </c:pt>
                <c:pt idx="448">
                  <c:v>47989.12</c:v>
                </c:pt>
                <c:pt idx="449">
                  <c:v>48096.0</c:v>
                </c:pt>
                <c:pt idx="450">
                  <c:v>48202.88</c:v>
                </c:pt>
                <c:pt idx="451">
                  <c:v>48309.76</c:v>
                </c:pt>
                <c:pt idx="452">
                  <c:v>48416.64</c:v>
                </c:pt>
                <c:pt idx="453">
                  <c:v>48523.52</c:v>
                </c:pt>
                <c:pt idx="454">
                  <c:v>48630.4</c:v>
                </c:pt>
                <c:pt idx="455">
                  <c:v>48737.28</c:v>
                </c:pt>
                <c:pt idx="456">
                  <c:v>48844.16</c:v>
                </c:pt>
                <c:pt idx="457">
                  <c:v>48951.04</c:v>
                </c:pt>
                <c:pt idx="458">
                  <c:v>49057.92</c:v>
                </c:pt>
                <c:pt idx="459">
                  <c:v>49164.8</c:v>
                </c:pt>
                <c:pt idx="460">
                  <c:v>49271.68</c:v>
                </c:pt>
                <c:pt idx="461">
                  <c:v>49378.56</c:v>
                </c:pt>
                <c:pt idx="462">
                  <c:v>49485.44</c:v>
                </c:pt>
                <c:pt idx="463">
                  <c:v>49592.32</c:v>
                </c:pt>
                <c:pt idx="464">
                  <c:v>49699.2</c:v>
                </c:pt>
                <c:pt idx="465">
                  <c:v>49806.08</c:v>
                </c:pt>
                <c:pt idx="466">
                  <c:v>49912.96</c:v>
                </c:pt>
                <c:pt idx="467">
                  <c:v>50019.84</c:v>
                </c:pt>
                <c:pt idx="468">
                  <c:v>50126.72</c:v>
                </c:pt>
                <c:pt idx="469">
                  <c:v>50233.6</c:v>
                </c:pt>
                <c:pt idx="470">
                  <c:v>50340.48</c:v>
                </c:pt>
                <c:pt idx="471">
                  <c:v>50447.36</c:v>
                </c:pt>
                <c:pt idx="472">
                  <c:v>50554.24</c:v>
                </c:pt>
                <c:pt idx="473">
                  <c:v>50661.12</c:v>
                </c:pt>
                <c:pt idx="474">
                  <c:v>50768.0</c:v>
                </c:pt>
                <c:pt idx="475">
                  <c:v>50874.88</c:v>
                </c:pt>
                <c:pt idx="476">
                  <c:v>50981.76</c:v>
                </c:pt>
                <c:pt idx="477">
                  <c:v>51088.64</c:v>
                </c:pt>
                <c:pt idx="478">
                  <c:v>51195.52</c:v>
                </c:pt>
                <c:pt idx="479">
                  <c:v>51302.4</c:v>
                </c:pt>
                <c:pt idx="480">
                  <c:v>51409.28</c:v>
                </c:pt>
                <c:pt idx="481">
                  <c:v>51516.16</c:v>
                </c:pt>
                <c:pt idx="482">
                  <c:v>51623.04</c:v>
                </c:pt>
                <c:pt idx="483">
                  <c:v>51729.92</c:v>
                </c:pt>
                <c:pt idx="484">
                  <c:v>51836.8</c:v>
                </c:pt>
                <c:pt idx="485">
                  <c:v>51943.68</c:v>
                </c:pt>
                <c:pt idx="486">
                  <c:v>52050.56</c:v>
                </c:pt>
                <c:pt idx="487">
                  <c:v>52157.44</c:v>
                </c:pt>
                <c:pt idx="488">
                  <c:v>52264.32</c:v>
                </c:pt>
                <c:pt idx="489">
                  <c:v>52371.2</c:v>
                </c:pt>
                <c:pt idx="490">
                  <c:v>52478.08</c:v>
                </c:pt>
                <c:pt idx="491">
                  <c:v>52584.96</c:v>
                </c:pt>
                <c:pt idx="492">
                  <c:v>52691.84</c:v>
                </c:pt>
                <c:pt idx="493">
                  <c:v>52798.72</c:v>
                </c:pt>
                <c:pt idx="494">
                  <c:v>52905.6</c:v>
                </c:pt>
                <c:pt idx="495">
                  <c:v>53012.48</c:v>
                </c:pt>
                <c:pt idx="496">
                  <c:v>53119.36</c:v>
                </c:pt>
                <c:pt idx="497">
                  <c:v>53226.24</c:v>
                </c:pt>
                <c:pt idx="498">
                  <c:v>53333.12</c:v>
                </c:pt>
              </c:numCache>
            </c:numRef>
          </c:val>
          <c:smooth val="0"/>
        </c:ser>
        <c:dLbls>
          <c:showLegendKey val="0"/>
          <c:showVal val="0"/>
          <c:showCatName val="0"/>
          <c:showSerName val="0"/>
          <c:showPercent val="0"/>
          <c:showBubbleSize val="0"/>
        </c:dLbls>
        <c:marker val="1"/>
        <c:smooth val="0"/>
        <c:axId val="566359144"/>
        <c:axId val="488361192"/>
      </c:lineChart>
      <c:catAx>
        <c:axId val="566359144"/>
        <c:scaling>
          <c:orientation val="minMax"/>
        </c:scaling>
        <c:delete val="1"/>
        <c:axPos val="b"/>
        <c:title>
          <c:tx>
            <c:rich>
              <a:bodyPr/>
              <a:lstStyle/>
              <a:p>
                <a:pPr lvl="0">
                  <a:defRPr/>
                </a:pPr>
                <a:r>
                  <a:rPr lang="en-US"/>
                  <a:t>Count</a:t>
                </a:r>
              </a:p>
            </c:rich>
          </c:tx>
          <c:layout/>
          <c:overlay val="0"/>
        </c:title>
        <c:numFmt formatCode="General" sourceLinked="1"/>
        <c:majorTickMark val="cross"/>
        <c:minorTickMark val="cross"/>
        <c:tickLblPos val="nextTo"/>
        <c:crossAx val="488361192"/>
        <c:crosses val="autoZero"/>
        <c:auto val="1"/>
        <c:lblAlgn val="ctr"/>
        <c:lblOffset val="100"/>
        <c:noMultiLvlLbl val="1"/>
      </c:catAx>
      <c:valAx>
        <c:axId val="488361192"/>
        <c:scaling>
          <c:logBase val="10.0"/>
          <c:orientation val="minMax"/>
        </c:scaling>
        <c:delete val="0"/>
        <c:axPos val="l"/>
        <c:majorGridlines>
          <c:spPr>
            <a:ln>
              <a:solidFill>
                <a:srgbClr val="B7B7B7"/>
              </a:solidFill>
            </a:ln>
          </c:spPr>
        </c:majorGridlines>
        <c:title>
          <c:tx>
            <c:rich>
              <a:bodyPr/>
              <a:lstStyle/>
              <a:p>
                <a:pPr lvl="0">
                  <a:defRPr/>
                </a:pPr>
                <a:endParaRPr lang="en-US"/>
              </a:p>
            </c:rich>
          </c:tx>
          <c:layout/>
          <c:overlay val="0"/>
        </c:title>
        <c:numFmt formatCode="0" sourceLinked="1"/>
        <c:majorTickMark val="cross"/>
        <c:minorTickMark val="cross"/>
        <c:tickLblPos val="nextTo"/>
        <c:spPr>
          <a:ln w="47625">
            <a:noFill/>
          </a:ln>
        </c:spPr>
        <c:txPr>
          <a:bodyPr/>
          <a:lstStyle/>
          <a:p>
            <a:pPr lvl="0">
              <a:defRPr/>
            </a:pPr>
            <a:endParaRPr lang="en-US"/>
          </a:p>
        </c:txPr>
        <c:crossAx val="566359144"/>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Income vs. Cost with Prestiges (log scale)</a:t>
            </a:r>
          </a:p>
        </c:rich>
      </c:tx>
      <c:layout/>
      <c:overlay val="0"/>
    </c:title>
    <c:autoTitleDeleted val="0"/>
    <c:plotArea>
      <c:layout/>
      <c:lineChart>
        <c:grouping val="standard"/>
        <c:varyColors val="1"/>
        <c:ser>
          <c:idx val="0"/>
          <c:order val="0"/>
          <c:tx>
            <c:strRef>
              <c:f>Calculations!$B$1</c:f>
              <c:strCache>
                <c:ptCount val="1"/>
                <c:pt idx="0">
                  <c:v>Cost</c:v>
                </c:pt>
              </c:strCache>
            </c:strRef>
          </c:tx>
          <c:spPr>
            <a:ln w="25400" cmpd="sng">
              <a:solidFill>
                <a:srgbClr val="3366CC"/>
              </a:solidFill>
            </a:ln>
          </c:spPr>
          <c:marker>
            <c:symbol val="none"/>
          </c:marker>
          <c:cat>
            <c:numRef>
              <c:f>Calculations!$A$2:$A$500</c:f>
              <c:numCache>
                <c:formatCode>General</c:formatCode>
                <c:ptCount val="4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pt idx="99">
                  <c:v>100.0</c:v>
                </c:pt>
                <c:pt idx="100">
                  <c:v>101.0</c:v>
                </c:pt>
                <c:pt idx="101">
                  <c:v>102.0</c:v>
                </c:pt>
                <c:pt idx="102">
                  <c:v>103.0</c:v>
                </c:pt>
                <c:pt idx="103">
                  <c:v>104.0</c:v>
                </c:pt>
                <c:pt idx="104">
                  <c:v>105.0</c:v>
                </c:pt>
                <c:pt idx="105">
                  <c:v>106.0</c:v>
                </c:pt>
                <c:pt idx="106">
                  <c:v>107.0</c:v>
                </c:pt>
                <c:pt idx="107">
                  <c:v>108.0</c:v>
                </c:pt>
                <c:pt idx="108">
                  <c:v>109.0</c:v>
                </c:pt>
                <c:pt idx="109">
                  <c:v>110.0</c:v>
                </c:pt>
                <c:pt idx="110">
                  <c:v>111.0</c:v>
                </c:pt>
                <c:pt idx="111">
                  <c:v>112.0</c:v>
                </c:pt>
                <c:pt idx="112">
                  <c:v>113.0</c:v>
                </c:pt>
                <c:pt idx="113">
                  <c:v>114.0</c:v>
                </c:pt>
                <c:pt idx="114">
                  <c:v>115.0</c:v>
                </c:pt>
                <c:pt idx="115">
                  <c:v>116.0</c:v>
                </c:pt>
                <c:pt idx="116">
                  <c:v>117.0</c:v>
                </c:pt>
                <c:pt idx="117">
                  <c:v>118.0</c:v>
                </c:pt>
                <c:pt idx="118">
                  <c:v>119.0</c:v>
                </c:pt>
                <c:pt idx="119">
                  <c:v>120.0</c:v>
                </c:pt>
                <c:pt idx="120">
                  <c:v>121.0</c:v>
                </c:pt>
                <c:pt idx="121">
                  <c:v>122.0</c:v>
                </c:pt>
                <c:pt idx="122">
                  <c:v>123.0</c:v>
                </c:pt>
                <c:pt idx="123">
                  <c:v>124.0</c:v>
                </c:pt>
                <c:pt idx="124">
                  <c:v>125.0</c:v>
                </c:pt>
                <c:pt idx="125">
                  <c:v>126.0</c:v>
                </c:pt>
                <c:pt idx="126">
                  <c:v>127.0</c:v>
                </c:pt>
                <c:pt idx="127">
                  <c:v>128.0</c:v>
                </c:pt>
                <c:pt idx="128">
                  <c:v>129.0</c:v>
                </c:pt>
                <c:pt idx="129">
                  <c:v>130.0</c:v>
                </c:pt>
                <c:pt idx="130">
                  <c:v>131.0</c:v>
                </c:pt>
                <c:pt idx="131">
                  <c:v>132.0</c:v>
                </c:pt>
                <c:pt idx="132">
                  <c:v>133.0</c:v>
                </c:pt>
                <c:pt idx="133">
                  <c:v>134.0</c:v>
                </c:pt>
                <c:pt idx="134">
                  <c:v>135.0</c:v>
                </c:pt>
                <c:pt idx="135">
                  <c:v>136.0</c:v>
                </c:pt>
                <c:pt idx="136">
                  <c:v>137.0</c:v>
                </c:pt>
                <c:pt idx="137">
                  <c:v>138.0</c:v>
                </c:pt>
                <c:pt idx="138">
                  <c:v>139.0</c:v>
                </c:pt>
                <c:pt idx="139">
                  <c:v>140.0</c:v>
                </c:pt>
                <c:pt idx="140">
                  <c:v>141.0</c:v>
                </c:pt>
                <c:pt idx="141">
                  <c:v>142.0</c:v>
                </c:pt>
                <c:pt idx="142">
                  <c:v>143.0</c:v>
                </c:pt>
                <c:pt idx="143">
                  <c:v>144.0</c:v>
                </c:pt>
                <c:pt idx="144">
                  <c:v>145.0</c:v>
                </c:pt>
                <c:pt idx="145">
                  <c:v>146.0</c:v>
                </c:pt>
                <c:pt idx="146">
                  <c:v>147.0</c:v>
                </c:pt>
                <c:pt idx="147">
                  <c:v>148.0</c:v>
                </c:pt>
                <c:pt idx="148">
                  <c:v>149.0</c:v>
                </c:pt>
                <c:pt idx="149">
                  <c:v>150.0</c:v>
                </c:pt>
                <c:pt idx="150">
                  <c:v>151.0</c:v>
                </c:pt>
                <c:pt idx="151">
                  <c:v>152.0</c:v>
                </c:pt>
                <c:pt idx="152">
                  <c:v>153.0</c:v>
                </c:pt>
                <c:pt idx="153">
                  <c:v>154.0</c:v>
                </c:pt>
                <c:pt idx="154">
                  <c:v>155.0</c:v>
                </c:pt>
                <c:pt idx="155">
                  <c:v>156.0</c:v>
                </c:pt>
                <c:pt idx="156">
                  <c:v>157.0</c:v>
                </c:pt>
                <c:pt idx="157">
                  <c:v>158.0</c:v>
                </c:pt>
                <c:pt idx="158">
                  <c:v>159.0</c:v>
                </c:pt>
                <c:pt idx="159">
                  <c:v>160.0</c:v>
                </c:pt>
                <c:pt idx="160">
                  <c:v>161.0</c:v>
                </c:pt>
                <c:pt idx="161">
                  <c:v>162.0</c:v>
                </c:pt>
                <c:pt idx="162">
                  <c:v>163.0</c:v>
                </c:pt>
                <c:pt idx="163">
                  <c:v>164.0</c:v>
                </c:pt>
                <c:pt idx="164">
                  <c:v>165.0</c:v>
                </c:pt>
                <c:pt idx="165">
                  <c:v>166.0</c:v>
                </c:pt>
                <c:pt idx="166">
                  <c:v>167.0</c:v>
                </c:pt>
                <c:pt idx="167">
                  <c:v>168.0</c:v>
                </c:pt>
                <c:pt idx="168">
                  <c:v>169.0</c:v>
                </c:pt>
                <c:pt idx="169">
                  <c:v>170.0</c:v>
                </c:pt>
                <c:pt idx="170">
                  <c:v>171.0</c:v>
                </c:pt>
                <c:pt idx="171">
                  <c:v>172.0</c:v>
                </c:pt>
                <c:pt idx="172">
                  <c:v>173.0</c:v>
                </c:pt>
                <c:pt idx="173">
                  <c:v>174.0</c:v>
                </c:pt>
                <c:pt idx="174">
                  <c:v>175.0</c:v>
                </c:pt>
                <c:pt idx="175">
                  <c:v>176.0</c:v>
                </c:pt>
                <c:pt idx="176">
                  <c:v>177.0</c:v>
                </c:pt>
                <c:pt idx="177">
                  <c:v>178.0</c:v>
                </c:pt>
                <c:pt idx="178">
                  <c:v>179.0</c:v>
                </c:pt>
                <c:pt idx="179">
                  <c:v>180.0</c:v>
                </c:pt>
                <c:pt idx="180">
                  <c:v>181.0</c:v>
                </c:pt>
                <c:pt idx="181">
                  <c:v>182.0</c:v>
                </c:pt>
                <c:pt idx="182">
                  <c:v>183.0</c:v>
                </c:pt>
                <c:pt idx="183">
                  <c:v>184.0</c:v>
                </c:pt>
                <c:pt idx="184">
                  <c:v>185.0</c:v>
                </c:pt>
                <c:pt idx="185">
                  <c:v>186.0</c:v>
                </c:pt>
                <c:pt idx="186">
                  <c:v>187.0</c:v>
                </c:pt>
                <c:pt idx="187">
                  <c:v>188.0</c:v>
                </c:pt>
                <c:pt idx="188">
                  <c:v>189.0</c:v>
                </c:pt>
                <c:pt idx="189">
                  <c:v>190.0</c:v>
                </c:pt>
                <c:pt idx="190">
                  <c:v>191.0</c:v>
                </c:pt>
                <c:pt idx="191">
                  <c:v>192.0</c:v>
                </c:pt>
                <c:pt idx="192">
                  <c:v>193.0</c:v>
                </c:pt>
                <c:pt idx="193">
                  <c:v>194.0</c:v>
                </c:pt>
                <c:pt idx="194">
                  <c:v>195.0</c:v>
                </c:pt>
                <c:pt idx="195">
                  <c:v>196.0</c:v>
                </c:pt>
                <c:pt idx="196">
                  <c:v>197.0</c:v>
                </c:pt>
                <c:pt idx="197">
                  <c:v>198.0</c:v>
                </c:pt>
                <c:pt idx="198">
                  <c:v>199.0</c:v>
                </c:pt>
                <c:pt idx="199">
                  <c:v>200.0</c:v>
                </c:pt>
                <c:pt idx="200">
                  <c:v>201.0</c:v>
                </c:pt>
                <c:pt idx="201">
                  <c:v>202.0</c:v>
                </c:pt>
                <c:pt idx="202">
                  <c:v>203.0</c:v>
                </c:pt>
                <c:pt idx="203">
                  <c:v>204.0</c:v>
                </c:pt>
                <c:pt idx="204">
                  <c:v>205.0</c:v>
                </c:pt>
                <c:pt idx="205">
                  <c:v>206.0</c:v>
                </c:pt>
                <c:pt idx="206">
                  <c:v>207.0</c:v>
                </c:pt>
                <c:pt idx="207">
                  <c:v>208.0</c:v>
                </c:pt>
                <c:pt idx="208">
                  <c:v>209.0</c:v>
                </c:pt>
                <c:pt idx="209">
                  <c:v>210.0</c:v>
                </c:pt>
                <c:pt idx="210">
                  <c:v>211.0</c:v>
                </c:pt>
                <c:pt idx="211">
                  <c:v>212.0</c:v>
                </c:pt>
                <c:pt idx="212">
                  <c:v>213.0</c:v>
                </c:pt>
                <c:pt idx="213">
                  <c:v>214.0</c:v>
                </c:pt>
                <c:pt idx="214">
                  <c:v>215.0</c:v>
                </c:pt>
                <c:pt idx="215">
                  <c:v>216.0</c:v>
                </c:pt>
                <c:pt idx="216">
                  <c:v>217.0</c:v>
                </c:pt>
                <c:pt idx="217">
                  <c:v>218.0</c:v>
                </c:pt>
                <c:pt idx="218">
                  <c:v>219.0</c:v>
                </c:pt>
                <c:pt idx="219">
                  <c:v>220.0</c:v>
                </c:pt>
                <c:pt idx="220">
                  <c:v>221.0</c:v>
                </c:pt>
                <c:pt idx="221">
                  <c:v>222.0</c:v>
                </c:pt>
                <c:pt idx="222">
                  <c:v>223.0</c:v>
                </c:pt>
                <c:pt idx="223">
                  <c:v>224.0</c:v>
                </c:pt>
                <c:pt idx="224">
                  <c:v>225.0</c:v>
                </c:pt>
                <c:pt idx="225">
                  <c:v>226.0</c:v>
                </c:pt>
                <c:pt idx="226">
                  <c:v>227.0</c:v>
                </c:pt>
                <c:pt idx="227">
                  <c:v>228.0</c:v>
                </c:pt>
                <c:pt idx="228">
                  <c:v>229.0</c:v>
                </c:pt>
                <c:pt idx="229">
                  <c:v>230.0</c:v>
                </c:pt>
                <c:pt idx="230">
                  <c:v>231.0</c:v>
                </c:pt>
                <c:pt idx="231">
                  <c:v>232.0</c:v>
                </c:pt>
                <c:pt idx="232">
                  <c:v>233.0</c:v>
                </c:pt>
                <c:pt idx="233">
                  <c:v>234.0</c:v>
                </c:pt>
                <c:pt idx="234">
                  <c:v>235.0</c:v>
                </c:pt>
                <c:pt idx="235">
                  <c:v>236.0</c:v>
                </c:pt>
                <c:pt idx="236">
                  <c:v>237.0</c:v>
                </c:pt>
                <c:pt idx="237">
                  <c:v>238.0</c:v>
                </c:pt>
                <c:pt idx="238">
                  <c:v>239.0</c:v>
                </c:pt>
                <c:pt idx="239">
                  <c:v>240.0</c:v>
                </c:pt>
                <c:pt idx="240">
                  <c:v>241.0</c:v>
                </c:pt>
                <c:pt idx="241">
                  <c:v>242.0</c:v>
                </c:pt>
                <c:pt idx="242">
                  <c:v>243.0</c:v>
                </c:pt>
                <c:pt idx="243">
                  <c:v>244.0</c:v>
                </c:pt>
                <c:pt idx="244">
                  <c:v>245.0</c:v>
                </c:pt>
                <c:pt idx="245">
                  <c:v>246.0</c:v>
                </c:pt>
                <c:pt idx="246">
                  <c:v>247.0</c:v>
                </c:pt>
                <c:pt idx="247">
                  <c:v>248.0</c:v>
                </c:pt>
                <c:pt idx="248">
                  <c:v>249.0</c:v>
                </c:pt>
                <c:pt idx="249">
                  <c:v>250.0</c:v>
                </c:pt>
                <c:pt idx="250">
                  <c:v>251.0</c:v>
                </c:pt>
                <c:pt idx="251">
                  <c:v>252.0</c:v>
                </c:pt>
                <c:pt idx="252">
                  <c:v>253.0</c:v>
                </c:pt>
                <c:pt idx="253">
                  <c:v>254.0</c:v>
                </c:pt>
                <c:pt idx="254">
                  <c:v>255.0</c:v>
                </c:pt>
                <c:pt idx="255">
                  <c:v>256.0</c:v>
                </c:pt>
                <c:pt idx="256">
                  <c:v>257.0</c:v>
                </c:pt>
                <c:pt idx="257">
                  <c:v>258.0</c:v>
                </c:pt>
                <c:pt idx="258">
                  <c:v>259.0</c:v>
                </c:pt>
                <c:pt idx="259">
                  <c:v>260.0</c:v>
                </c:pt>
                <c:pt idx="260">
                  <c:v>261.0</c:v>
                </c:pt>
                <c:pt idx="261">
                  <c:v>262.0</c:v>
                </c:pt>
                <c:pt idx="262">
                  <c:v>263.0</c:v>
                </c:pt>
                <c:pt idx="263">
                  <c:v>264.0</c:v>
                </c:pt>
                <c:pt idx="264">
                  <c:v>265.0</c:v>
                </c:pt>
                <c:pt idx="265">
                  <c:v>266.0</c:v>
                </c:pt>
                <c:pt idx="266">
                  <c:v>267.0</c:v>
                </c:pt>
                <c:pt idx="267">
                  <c:v>268.0</c:v>
                </c:pt>
                <c:pt idx="268">
                  <c:v>269.0</c:v>
                </c:pt>
                <c:pt idx="269">
                  <c:v>270.0</c:v>
                </c:pt>
                <c:pt idx="270">
                  <c:v>271.0</c:v>
                </c:pt>
                <c:pt idx="271">
                  <c:v>272.0</c:v>
                </c:pt>
                <c:pt idx="272">
                  <c:v>273.0</c:v>
                </c:pt>
                <c:pt idx="273">
                  <c:v>274.0</c:v>
                </c:pt>
                <c:pt idx="274">
                  <c:v>275.0</c:v>
                </c:pt>
                <c:pt idx="275">
                  <c:v>276.0</c:v>
                </c:pt>
                <c:pt idx="276">
                  <c:v>277.0</c:v>
                </c:pt>
                <c:pt idx="277">
                  <c:v>278.0</c:v>
                </c:pt>
                <c:pt idx="278">
                  <c:v>279.0</c:v>
                </c:pt>
                <c:pt idx="279">
                  <c:v>280.0</c:v>
                </c:pt>
                <c:pt idx="280">
                  <c:v>281.0</c:v>
                </c:pt>
                <c:pt idx="281">
                  <c:v>282.0</c:v>
                </c:pt>
                <c:pt idx="282">
                  <c:v>283.0</c:v>
                </c:pt>
                <c:pt idx="283">
                  <c:v>284.0</c:v>
                </c:pt>
                <c:pt idx="284">
                  <c:v>285.0</c:v>
                </c:pt>
                <c:pt idx="285">
                  <c:v>286.0</c:v>
                </c:pt>
                <c:pt idx="286">
                  <c:v>287.0</c:v>
                </c:pt>
                <c:pt idx="287">
                  <c:v>288.0</c:v>
                </c:pt>
                <c:pt idx="288">
                  <c:v>289.0</c:v>
                </c:pt>
                <c:pt idx="289">
                  <c:v>290.0</c:v>
                </c:pt>
                <c:pt idx="290">
                  <c:v>291.0</c:v>
                </c:pt>
                <c:pt idx="291">
                  <c:v>292.0</c:v>
                </c:pt>
                <c:pt idx="292">
                  <c:v>293.0</c:v>
                </c:pt>
                <c:pt idx="293">
                  <c:v>294.0</c:v>
                </c:pt>
                <c:pt idx="294">
                  <c:v>295.0</c:v>
                </c:pt>
                <c:pt idx="295">
                  <c:v>296.0</c:v>
                </c:pt>
                <c:pt idx="296">
                  <c:v>297.0</c:v>
                </c:pt>
                <c:pt idx="297">
                  <c:v>298.0</c:v>
                </c:pt>
                <c:pt idx="298">
                  <c:v>299.0</c:v>
                </c:pt>
                <c:pt idx="299">
                  <c:v>300.0</c:v>
                </c:pt>
                <c:pt idx="300">
                  <c:v>301.0</c:v>
                </c:pt>
                <c:pt idx="301">
                  <c:v>302.0</c:v>
                </c:pt>
                <c:pt idx="302">
                  <c:v>303.0</c:v>
                </c:pt>
                <c:pt idx="303">
                  <c:v>304.0</c:v>
                </c:pt>
                <c:pt idx="304">
                  <c:v>305.0</c:v>
                </c:pt>
                <c:pt idx="305">
                  <c:v>306.0</c:v>
                </c:pt>
                <c:pt idx="306">
                  <c:v>307.0</c:v>
                </c:pt>
                <c:pt idx="307">
                  <c:v>308.0</c:v>
                </c:pt>
                <c:pt idx="308">
                  <c:v>309.0</c:v>
                </c:pt>
                <c:pt idx="309">
                  <c:v>310.0</c:v>
                </c:pt>
                <c:pt idx="310">
                  <c:v>311.0</c:v>
                </c:pt>
                <c:pt idx="311">
                  <c:v>312.0</c:v>
                </c:pt>
                <c:pt idx="312">
                  <c:v>313.0</c:v>
                </c:pt>
                <c:pt idx="313">
                  <c:v>314.0</c:v>
                </c:pt>
                <c:pt idx="314">
                  <c:v>315.0</c:v>
                </c:pt>
                <c:pt idx="315">
                  <c:v>316.0</c:v>
                </c:pt>
                <c:pt idx="316">
                  <c:v>317.0</c:v>
                </c:pt>
                <c:pt idx="317">
                  <c:v>318.0</c:v>
                </c:pt>
                <c:pt idx="318">
                  <c:v>319.0</c:v>
                </c:pt>
                <c:pt idx="319">
                  <c:v>320.0</c:v>
                </c:pt>
                <c:pt idx="320">
                  <c:v>321.0</c:v>
                </c:pt>
                <c:pt idx="321">
                  <c:v>322.0</c:v>
                </c:pt>
                <c:pt idx="322">
                  <c:v>323.0</c:v>
                </c:pt>
                <c:pt idx="323">
                  <c:v>324.0</c:v>
                </c:pt>
                <c:pt idx="324">
                  <c:v>325.0</c:v>
                </c:pt>
                <c:pt idx="325">
                  <c:v>326.0</c:v>
                </c:pt>
                <c:pt idx="326">
                  <c:v>327.0</c:v>
                </c:pt>
                <c:pt idx="327">
                  <c:v>328.0</c:v>
                </c:pt>
                <c:pt idx="328">
                  <c:v>329.0</c:v>
                </c:pt>
                <c:pt idx="329">
                  <c:v>330.0</c:v>
                </c:pt>
                <c:pt idx="330">
                  <c:v>331.0</c:v>
                </c:pt>
                <c:pt idx="331">
                  <c:v>332.0</c:v>
                </c:pt>
                <c:pt idx="332">
                  <c:v>333.0</c:v>
                </c:pt>
                <c:pt idx="333">
                  <c:v>334.0</c:v>
                </c:pt>
                <c:pt idx="334">
                  <c:v>335.0</c:v>
                </c:pt>
                <c:pt idx="335">
                  <c:v>336.0</c:v>
                </c:pt>
                <c:pt idx="336">
                  <c:v>337.0</c:v>
                </c:pt>
                <c:pt idx="337">
                  <c:v>338.0</c:v>
                </c:pt>
                <c:pt idx="338">
                  <c:v>339.0</c:v>
                </c:pt>
                <c:pt idx="339">
                  <c:v>340.0</c:v>
                </c:pt>
                <c:pt idx="340">
                  <c:v>341.0</c:v>
                </c:pt>
                <c:pt idx="341">
                  <c:v>342.0</c:v>
                </c:pt>
                <c:pt idx="342">
                  <c:v>343.0</c:v>
                </c:pt>
                <c:pt idx="343">
                  <c:v>344.0</c:v>
                </c:pt>
                <c:pt idx="344">
                  <c:v>345.0</c:v>
                </c:pt>
                <c:pt idx="345">
                  <c:v>346.0</c:v>
                </c:pt>
                <c:pt idx="346">
                  <c:v>347.0</c:v>
                </c:pt>
                <c:pt idx="347">
                  <c:v>348.0</c:v>
                </c:pt>
                <c:pt idx="348">
                  <c:v>349.0</c:v>
                </c:pt>
                <c:pt idx="349">
                  <c:v>350.0</c:v>
                </c:pt>
                <c:pt idx="350">
                  <c:v>351.0</c:v>
                </c:pt>
                <c:pt idx="351">
                  <c:v>352.0</c:v>
                </c:pt>
                <c:pt idx="352">
                  <c:v>353.0</c:v>
                </c:pt>
                <c:pt idx="353">
                  <c:v>354.0</c:v>
                </c:pt>
                <c:pt idx="354">
                  <c:v>355.0</c:v>
                </c:pt>
                <c:pt idx="355">
                  <c:v>356.0</c:v>
                </c:pt>
                <c:pt idx="356">
                  <c:v>357.0</c:v>
                </c:pt>
                <c:pt idx="357">
                  <c:v>358.0</c:v>
                </c:pt>
                <c:pt idx="358">
                  <c:v>359.0</c:v>
                </c:pt>
                <c:pt idx="359">
                  <c:v>360.0</c:v>
                </c:pt>
                <c:pt idx="360">
                  <c:v>361.0</c:v>
                </c:pt>
                <c:pt idx="361">
                  <c:v>362.0</c:v>
                </c:pt>
                <c:pt idx="362">
                  <c:v>363.0</c:v>
                </c:pt>
                <c:pt idx="363">
                  <c:v>364.0</c:v>
                </c:pt>
                <c:pt idx="364">
                  <c:v>365.0</c:v>
                </c:pt>
                <c:pt idx="365">
                  <c:v>366.0</c:v>
                </c:pt>
                <c:pt idx="366">
                  <c:v>367.0</c:v>
                </c:pt>
                <c:pt idx="367">
                  <c:v>368.0</c:v>
                </c:pt>
                <c:pt idx="368">
                  <c:v>369.0</c:v>
                </c:pt>
                <c:pt idx="369">
                  <c:v>370.0</c:v>
                </c:pt>
                <c:pt idx="370">
                  <c:v>371.0</c:v>
                </c:pt>
                <c:pt idx="371">
                  <c:v>372.0</c:v>
                </c:pt>
                <c:pt idx="372">
                  <c:v>373.0</c:v>
                </c:pt>
                <c:pt idx="373">
                  <c:v>374.0</c:v>
                </c:pt>
                <c:pt idx="374">
                  <c:v>375.0</c:v>
                </c:pt>
                <c:pt idx="375">
                  <c:v>376.0</c:v>
                </c:pt>
                <c:pt idx="376">
                  <c:v>377.0</c:v>
                </c:pt>
                <c:pt idx="377">
                  <c:v>378.0</c:v>
                </c:pt>
                <c:pt idx="378">
                  <c:v>379.0</c:v>
                </c:pt>
                <c:pt idx="379">
                  <c:v>380.0</c:v>
                </c:pt>
                <c:pt idx="380">
                  <c:v>381.0</c:v>
                </c:pt>
                <c:pt idx="381">
                  <c:v>382.0</c:v>
                </c:pt>
                <c:pt idx="382">
                  <c:v>383.0</c:v>
                </c:pt>
                <c:pt idx="383">
                  <c:v>384.0</c:v>
                </c:pt>
                <c:pt idx="384">
                  <c:v>385.0</c:v>
                </c:pt>
                <c:pt idx="385">
                  <c:v>386.0</c:v>
                </c:pt>
                <c:pt idx="386">
                  <c:v>387.0</c:v>
                </c:pt>
                <c:pt idx="387">
                  <c:v>388.0</c:v>
                </c:pt>
                <c:pt idx="388">
                  <c:v>389.0</c:v>
                </c:pt>
                <c:pt idx="389">
                  <c:v>390.0</c:v>
                </c:pt>
                <c:pt idx="390">
                  <c:v>391.0</c:v>
                </c:pt>
                <c:pt idx="391">
                  <c:v>392.0</c:v>
                </c:pt>
                <c:pt idx="392">
                  <c:v>393.0</c:v>
                </c:pt>
                <c:pt idx="393">
                  <c:v>394.0</c:v>
                </c:pt>
                <c:pt idx="394">
                  <c:v>395.0</c:v>
                </c:pt>
                <c:pt idx="395">
                  <c:v>396.0</c:v>
                </c:pt>
                <c:pt idx="396">
                  <c:v>397.0</c:v>
                </c:pt>
                <c:pt idx="397">
                  <c:v>398.0</c:v>
                </c:pt>
                <c:pt idx="398">
                  <c:v>399.0</c:v>
                </c:pt>
                <c:pt idx="399">
                  <c:v>400.0</c:v>
                </c:pt>
                <c:pt idx="400">
                  <c:v>401.0</c:v>
                </c:pt>
                <c:pt idx="401">
                  <c:v>402.0</c:v>
                </c:pt>
                <c:pt idx="402">
                  <c:v>403.0</c:v>
                </c:pt>
                <c:pt idx="403">
                  <c:v>404.0</c:v>
                </c:pt>
                <c:pt idx="404">
                  <c:v>405.0</c:v>
                </c:pt>
                <c:pt idx="405">
                  <c:v>406.0</c:v>
                </c:pt>
                <c:pt idx="406">
                  <c:v>407.0</c:v>
                </c:pt>
                <c:pt idx="407">
                  <c:v>408.0</c:v>
                </c:pt>
                <c:pt idx="408">
                  <c:v>409.0</c:v>
                </c:pt>
                <c:pt idx="409">
                  <c:v>410.0</c:v>
                </c:pt>
                <c:pt idx="410">
                  <c:v>411.0</c:v>
                </c:pt>
                <c:pt idx="411">
                  <c:v>412.0</c:v>
                </c:pt>
                <c:pt idx="412">
                  <c:v>413.0</c:v>
                </c:pt>
                <c:pt idx="413">
                  <c:v>414.0</c:v>
                </c:pt>
                <c:pt idx="414">
                  <c:v>415.0</c:v>
                </c:pt>
                <c:pt idx="415">
                  <c:v>416.0</c:v>
                </c:pt>
                <c:pt idx="416">
                  <c:v>417.0</c:v>
                </c:pt>
                <c:pt idx="417">
                  <c:v>418.0</c:v>
                </c:pt>
                <c:pt idx="418">
                  <c:v>419.0</c:v>
                </c:pt>
                <c:pt idx="419">
                  <c:v>420.0</c:v>
                </c:pt>
                <c:pt idx="420">
                  <c:v>421.0</c:v>
                </c:pt>
                <c:pt idx="421">
                  <c:v>422.0</c:v>
                </c:pt>
                <c:pt idx="422">
                  <c:v>423.0</c:v>
                </c:pt>
                <c:pt idx="423">
                  <c:v>424.0</c:v>
                </c:pt>
                <c:pt idx="424">
                  <c:v>425.0</c:v>
                </c:pt>
                <c:pt idx="425">
                  <c:v>426.0</c:v>
                </c:pt>
                <c:pt idx="426">
                  <c:v>427.0</c:v>
                </c:pt>
                <c:pt idx="427">
                  <c:v>428.0</c:v>
                </c:pt>
                <c:pt idx="428">
                  <c:v>429.0</c:v>
                </c:pt>
                <c:pt idx="429">
                  <c:v>430.0</c:v>
                </c:pt>
                <c:pt idx="430">
                  <c:v>431.0</c:v>
                </c:pt>
                <c:pt idx="431">
                  <c:v>432.0</c:v>
                </c:pt>
                <c:pt idx="432">
                  <c:v>433.0</c:v>
                </c:pt>
                <c:pt idx="433">
                  <c:v>434.0</c:v>
                </c:pt>
                <c:pt idx="434">
                  <c:v>435.0</c:v>
                </c:pt>
                <c:pt idx="435">
                  <c:v>436.0</c:v>
                </c:pt>
                <c:pt idx="436">
                  <c:v>437.0</c:v>
                </c:pt>
                <c:pt idx="437">
                  <c:v>438.0</c:v>
                </c:pt>
                <c:pt idx="438">
                  <c:v>439.0</c:v>
                </c:pt>
                <c:pt idx="439">
                  <c:v>440.0</c:v>
                </c:pt>
                <c:pt idx="440">
                  <c:v>441.0</c:v>
                </c:pt>
                <c:pt idx="441">
                  <c:v>442.0</c:v>
                </c:pt>
                <c:pt idx="442">
                  <c:v>443.0</c:v>
                </c:pt>
                <c:pt idx="443">
                  <c:v>444.0</c:v>
                </c:pt>
                <c:pt idx="444">
                  <c:v>445.0</c:v>
                </c:pt>
                <c:pt idx="445">
                  <c:v>446.0</c:v>
                </c:pt>
                <c:pt idx="446">
                  <c:v>447.0</c:v>
                </c:pt>
                <c:pt idx="447">
                  <c:v>448.0</c:v>
                </c:pt>
                <c:pt idx="448">
                  <c:v>449.0</c:v>
                </c:pt>
                <c:pt idx="449">
                  <c:v>450.0</c:v>
                </c:pt>
                <c:pt idx="450">
                  <c:v>451.0</c:v>
                </c:pt>
                <c:pt idx="451">
                  <c:v>452.0</c:v>
                </c:pt>
                <c:pt idx="452">
                  <c:v>453.0</c:v>
                </c:pt>
                <c:pt idx="453">
                  <c:v>454.0</c:v>
                </c:pt>
                <c:pt idx="454">
                  <c:v>455.0</c:v>
                </c:pt>
                <c:pt idx="455">
                  <c:v>456.0</c:v>
                </c:pt>
                <c:pt idx="456">
                  <c:v>457.0</c:v>
                </c:pt>
                <c:pt idx="457">
                  <c:v>458.0</c:v>
                </c:pt>
                <c:pt idx="458">
                  <c:v>459.0</c:v>
                </c:pt>
                <c:pt idx="459">
                  <c:v>460.0</c:v>
                </c:pt>
                <c:pt idx="460">
                  <c:v>461.0</c:v>
                </c:pt>
                <c:pt idx="461">
                  <c:v>462.0</c:v>
                </c:pt>
                <c:pt idx="462">
                  <c:v>463.0</c:v>
                </c:pt>
                <c:pt idx="463">
                  <c:v>464.0</c:v>
                </c:pt>
                <c:pt idx="464">
                  <c:v>465.0</c:v>
                </c:pt>
                <c:pt idx="465">
                  <c:v>466.0</c:v>
                </c:pt>
                <c:pt idx="466">
                  <c:v>467.0</c:v>
                </c:pt>
                <c:pt idx="467">
                  <c:v>468.0</c:v>
                </c:pt>
                <c:pt idx="468">
                  <c:v>469.0</c:v>
                </c:pt>
                <c:pt idx="469">
                  <c:v>470.0</c:v>
                </c:pt>
                <c:pt idx="470">
                  <c:v>471.0</c:v>
                </c:pt>
                <c:pt idx="471">
                  <c:v>472.0</c:v>
                </c:pt>
                <c:pt idx="472">
                  <c:v>473.0</c:v>
                </c:pt>
                <c:pt idx="473">
                  <c:v>474.0</c:v>
                </c:pt>
                <c:pt idx="474">
                  <c:v>475.0</c:v>
                </c:pt>
                <c:pt idx="475">
                  <c:v>476.0</c:v>
                </c:pt>
                <c:pt idx="476">
                  <c:v>477.0</c:v>
                </c:pt>
                <c:pt idx="477">
                  <c:v>478.0</c:v>
                </c:pt>
                <c:pt idx="478">
                  <c:v>479.0</c:v>
                </c:pt>
                <c:pt idx="479">
                  <c:v>480.0</c:v>
                </c:pt>
                <c:pt idx="480">
                  <c:v>481.0</c:v>
                </c:pt>
                <c:pt idx="481">
                  <c:v>482.0</c:v>
                </c:pt>
                <c:pt idx="482">
                  <c:v>483.0</c:v>
                </c:pt>
                <c:pt idx="483">
                  <c:v>484.0</c:v>
                </c:pt>
                <c:pt idx="484">
                  <c:v>485.0</c:v>
                </c:pt>
                <c:pt idx="485">
                  <c:v>486.0</c:v>
                </c:pt>
                <c:pt idx="486">
                  <c:v>487.0</c:v>
                </c:pt>
                <c:pt idx="487">
                  <c:v>488.0</c:v>
                </c:pt>
                <c:pt idx="488">
                  <c:v>489.0</c:v>
                </c:pt>
                <c:pt idx="489">
                  <c:v>490.0</c:v>
                </c:pt>
                <c:pt idx="490">
                  <c:v>491.0</c:v>
                </c:pt>
                <c:pt idx="491">
                  <c:v>492.0</c:v>
                </c:pt>
                <c:pt idx="492">
                  <c:v>493.0</c:v>
                </c:pt>
                <c:pt idx="493">
                  <c:v>494.0</c:v>
                </c:pt>
                <c:pt idx="494">
                  <c:v>495.0</c:v>
                </c:pt>
                <c:pt idx="495">
                  <c:v>496.0</c:v>
                </c:pt>
                <c:pt idx="496">
                  <c:v>497.0</c:v>
                </c:pt>
                <c:pt idx="497">
                  <c:v>498.0</c:v>
                </c:pt>
                <c:pt idx="498">
                  <c:v>499.0</c:v>
                </c:pt>
              </c:numCache>
            </c:numRef>
          </c:cat>
          <c:val>
            <c:numRef>
              <c:f>Calculations!$B$2:$B$500</c:f>
              <c:numCache>
                <c:formatCode>0</c:formatCode>
                <c:ptCount val="499"/>
                <c:pt idx="0">
                  <c:v>1.06</c:v>
                </c:pt>
                <c:pt idx="1">
                  <c:v>1.1236</c:v>
                </c:pt>
                <c:pt idx="2">
                  <c:v>1.191016</c:v>
                </c:pt>
                <c:pt idx="3">
                  <c:v>1.26247696</c:v>
                </c:pt>
                <c:pt idx="4">
                  <c:v>1.3382255776</c:v>
                </c:pt>
                <c:pt idx="5">
                  <c:v>1.418519112256001</c:v>
                </c:pt>
                <c:pt idx="6">
                  <c:v>1.503630258991361</c:v>
                </c:pt>
                <c:pt idx="7">
                  <c:v>1.593848074530842</c:v>
                </c:pt>
                <c:pt idx="8">
                  <c:v>1.689478959002693</c:v>
                </c:pt>
                <c:pt idx="9">
                  <c:v>1.790847696542854</c:v>
                </c:pt>
                <c:pt idx="10">
                  <c:v>1.898298558335426</c:v>
                </c:pt>
                <c:pt idx="11">
                  <c:v>2.012196471835552</c:v>
                </c:pt>
                <c:pt idx="12">
                  <c:v>2.132928260145685</c:v>
                </c:pt>
                <c:pt idx="13">
                  <c:v>2.260903955754426</c:v>
                </c:pt>
                <c:pt idx="14">
                  <c:v>2.396558193099692</c:v>
                </c:pt>
                <c:pt idx="15">
                  <c:v>2.540351684685673</c:v>
                </c:pt>
                <c:pt idx="16">
                  <c:v>2.692772785766814</c:v>
                </c:pt>
                <c:pt idx="17">
                  <c:v>2.854339152912823</c:v>
                </c:pt>
                <c:pt idx="18">
                  <c:v>3.025599502087592</c:v>
                </c:pt>
                <c:pt idx="19">
                  <c:v>3.207135472212848</c:v>
                </c:pt>
                <c:pt idx="20">
                  <c:v>3.399563600545619</c:v>
                </c:pt>
                <c:pt idx="21">
                  <c:v>3.603537416578356</c:v>
                </c:pt>
                <c:pt idx="22">
                  <c:v>3.819749661573059</c:v>
                </c:pt>
                <c:pt idx="23">
                  <c:v>4.048934641267442</c:v>
                </c:pt>
                <c:pt idx="24">
                  <c:v>4.291870719743488</c:v>
                </c:pt>
                <c:pt idx="25">
                  <c:v>4.549382962928098</c:v>
                </c:pt>
                <c:pt idx="26">
                  <c:v>4.822345940703784</c:v>
                </c:pt>
                <c:pt idx="27">
                  <c:v>5.111686697146012</c:v>
                </c:pt>
                <c:pt idx="28">
                  <c:v>5.418387898974773</c:v>
                </c:pt>
                <c:pt idx="29">
                  <c:v>5.74349117291326</c:v>
                </c:pt>
                <c:pt idx="30">
                  <c:v>6.088100643288056</c:v>
                </c:pt>
                <c:pt idx="31">
                  <c:v>6.453386681885338</c:v>
                </c:pt>
                <c:pt idx="32">
                  <c:v>6.840589882798459</c:v>
                </c:pt>
                <c:pt idx="33">
                  <c:v>7.251025275766367</c:v>
                </c:pt>
                <c:pt idx="34">
                  <c:v>7.68608679231235</c:v>
                </c:pt>
                <c:pt idx="35">
                  <c:v>8.147251999851091</c:v>
                </c:pt>
                <c:pt idx="36">
                  <c:v>8.636087119842157</c:v>
                </c:pt>
                <c:pt idx="37">
                  <c:v>9.154252347032688</c:v>
                </c:pt>
                <c:pt idx="38">
                  <c:v>9.703507487854651</c:v>
                </c:pt>
                <c:pt idx="39">
                  <c:v>10.28571793712593</c:v>
                </c:pt>
                <c:pt idx="40">
                  <c:v>10.90286101335348</c:v>
                </c:pt>
                <c:pt idx="41">
                  <c:v>11.55703267415469</c:v>
                </c:pt>
                <c:pt idx="42">
                  <c:v>12.25045463460398</c:v>
                </c:pt>
                <c:pt idx="43">
                  <c:v>12.98548191268022</c:v>
                </c:pt>
                <c:pt idx="44">
                  <c:v>13.76461082744103</c:v>
                </c:pt>
                <c:pt idx="45">
                  <c:v>14.5904874770875</c:v>
                </c:pt>
                <c:pt idx="46">
                  <c:v>15.46591672571275</c:v>
                </c:pt>
                <c:pt idx="47">
                  <c:v>16.3938717292555</c:v>
                </c:pt>
                <c:pt idx="48">
                  <c:v>17.37750403301084</c:v>
                </c:pt>
                <c:pt idx="49">
                  <c:v>18.42015427499149</c:v>
                </c:pt>
                <c:pt idx="50">
                  <c:v>19.52536353149098</c:v>
                </c:pt>
                <c:pt idx="51">
                  <c:v>20.69688534338044</c:v>
                </c:pt>
                <c:pt idx="52">
                  <c:v>21.93869846398327</c:v>
                </c:pt>
                <c:pt idx="53">
                  <c:v>23.25502037182227</c:v>
                </c:pt>
                <c:pt idx="54">
                  <c:v>24.65032159413161</c:v>
                </c:pt>
                <c:pt idx="55">
                  <c:v>26.1293408897795</c:v>
                </c:pt>
                <c:pt idx="56">
                  <c:v>27.69710134316627</c:v>
                </c:pt>
                <c:pt idx="57">
                  <c:v>29.35892742375625</c:v>
                </c:pt>
                <c:pt idx="58">
                  <c:v>31.12046306918163</c:v>
                </c:pt>
                <c:pt idx="59">
                  <c:v>32.98769085333252</c:v>
                </c:pt>
                <c:pt idx="60">
                  <c:v>34.96695230453248</c:v>
                </c:pt>
                <c:pt idx="61">
                  <c:v>37.06496944280443</c:v>
                </c:pt>
                <c:pt idx="62">
                  <c:v>39.28886760937271</c:v>
                </c:pt>
                <c:pt idx="63">
                  <c:v>41.64619966593506</c:v>
                </c:pt>
                <c:pt idx="64">
                  <c:v>44.14497164589116</c:v>
                </c:pt>
                <c:pt idx="65">
                  <c:v>46.79366994464463</c:v>
                </c:pt>
                <c:pt idx="66">
                  <c:v>49.60129014132332</c:v>
                </c:pt>
                <c:pt idx="67">
                  <c:v>52.57736754980272</c:v>
                </c:pt>
                <c:pt idx="68">
                  <c:v>55.73200960279089</c:v>
                </c:pt>
                <c:pt idx="69">
                  <c:v>59.07593017895834</c:v>
                </c:pt>
                <c:pt idx="70">
                  <c:v>62.62048598969586</c:v>
                </c:pt>
                <c:pt idx="71">
                  <c:v>66.3777151490776</c:v>
                </c:pt>
                <c:pt idx="72">
                  <c:v>70.36037805802225</c:v>
                </c:pt>
                <c:pt idx="73">
                  <c:v>74.58200074150359</c:v>
                </c:pt>
                <c:pt idx="74">
                  <c:v>79.05692078599382</c:v>
                </c:pt>
                <c:pt idx="75">
                  <c:v>83.80033603315346</c:v>
                </c:pt>
                <c:pt idx="76">
                  <c:v>88.82835619514267</c:v>
                </c:pt>
                <c:pt idx="77">
                  <c:v>94.15805756685123</c:v>
                </c:pt>
                <c:pt idx="78">
                  <c:v>99.80754102086233</c:v>
                </c:pt>
                <c:pt idx="79">
                  <c:v>105.795993482114</c:v>
                </c:pt>
                <c:pt idx="80">
                  <c:v>112.143753091041</c:v>
                </c:pt>
                <c:pt idx="81">
                  <c:v>118.8723782765034</c:v>
                </c:pt>
                <c:pt idx="82">
                  <c:v>126.0047209730936</c:v>
                </c:pt>
                <c:pt idx="83">
                  <c:v>133.5650042314792</c:v>
                </c:pt>
                <c:pt idx="84">
                  <c:v>141.578904485368</c:v>
                </c:pt>
                <c:pt idx="85">
                  <c:v>150.07363875449</c:v>
                </c:pt>
                <c:pt idx="86">
                  <c:v>159.0780570797595</c:v>
                </c:pt>
                <c:pt idx="87">
                  <c:v>168.622740504545</c:v>
                </c:pt>
                <c:pt idx="88">
                  <c:v>178.7401049348177</c:v>
                </c:pt>
                <c:pt idx="89">
                  <c:v>189.4645112309068</c:v>
                </c:pt>
                <c:pt idx="90">
                  <c:v>200.8323819047612</c:v>
                </c:pt>
                <c:pt idx="91">
                  <c:v>212.882324819047</c:v>
                </c:pt>
                <c:pt idx="92">
                  <c:v>225.6552643081897</c:v>
                </c:pt>
                <c:pt idx="93">
                  <c:v>239.1945801666811</c:v>
                </c:pt>
                <c:pt idx="94">
                  <c:v>253.5462549766821</c:v>
                </c:pt>
                <c:pt idx="95">
                  <c:v>268.759030275283</c:v>
                </c:pt>
                <c:pt idx="96">
                  <c:v>284.8845720917999</c:v>
                </c:pt>
                <c:pt idx="97">
                  <c:v>301.9776464173079</c:v>
                </c:pt>
                <c:pt idx="98">
                  <c:v>320.0963052023465</c:v>
                </c:pt>
                <c:pt idx="99">
                  <c:v>339.3020835144872</c:v>
                </c:pt>
                <c:pt idx="100">
                  <c:v>359.6602085253564</c:v>
                </c:pt>
                <c:pt idx="101">
                  <c:v>381.239821036878</c:v>
                </c:pt>
                <c:pt idx="102">
                  <c:v>404.1142102990907</c:v>
                </c:pt>
                <c:pt idx="103">
                  <c:v>428.3610629170361</c:v>
                </c:pt>
                <c:pt idx="104">
                  <c:v>454.0627266920582</c:v>
                </c:pt>
                <c:pt idx="105">
                  <c:v>481.3064902935818</c:v>
                </c:pt>
                <c:pt idx="106">
                  <c:v>510.1848797111967</c:v>
                </c:pt>
                <c:pt idx="107">
                  <c:v>540.7959724938686</c:v>
                </c:pt>
                <c:pt idx="108">
                  <c:v>573.2437308435007</c:v>
                </c:pt>
                <c:pt idx="109">
                  <c:v>607.6383546941108</c:v>
                </c:pt>
                <c:pt idx="110">
                  <c:v>644.0966559757576</c:v>
                </c:pt>
                <c:pt idx="111">
                  <c:v>682.742455334303</c:v>
                </c:pt>
                <c:pt idx="112">
                  <c:v>723.7070026543611</c:v>
                </c:pt>
                <c:pt idx="113">
                  <c:v>767.1294228136228</c:v>
                </c:pt>
                <c:pt idx="114">
                  <c:v>813.1571881824402</c:v>
                </c:pt>
                <c:pt idx="115">
                  <c:v>861.9466194733867</c:v>
                </c:pt>
                <c:pt idx="116">
                  <c:v>913.6634166417901</c:v>
                </c:pt>
                <c:pt idx="117">
                  <c:v>968.4832216402975</c:v>
                </c:pt>
                <c:pt idx="118">
                  <c:v>1026.592214938715</c:v>
                </c:pt>
                <c:pt idx="119">
                  <c:v>1088.187747835038</c:v>
                </c:pt>
                <c:pt idx="120">
                  <c:v>1153.479012705141</c:v>
                </c:pt>
                <c:pt idx="121">
                  <c:v>1222.68775346745</c:v>
                </c:pt>
                <c:pt idx="122">
                  <c:v>1296.049018675496</c:v>
                </c:pt>
                <c:pt idx="123">
                  <c:v>1373.811959796026</c:v>
                </c:pt>
                <c:pt idx="124">
                  <c:v>1456.240677383788</c:v>
                </c:pt>
                <c:pt idx="125">
                  <c:v>1543.615118026815</c:v>
                </c:pt>
                <c:pt idx="126">
                  <c:v>1636.232025108424</c:v>
                </c:pt>
                <c:pt idx="127">
                  <c:v>1734.405946614929</c:v>
                </c:pt>
                <c:pt idx="128">
                  <c:v>1838.470303411825</c:v>
                </c:pt>
                <c:pt idx="129">
                  <c:v>1948.778521616535</c:v>
                </c:pt>
                <c:pt idx="130">
                  <c:v>2065.705232913527</c:v>
                </c:pt>
                <c:pt idx="131">
                  <c:v>2189.647546888338</c:v>
                </c:pt>
                <c:pt idx="132">
                  <c:v>2321.026399701639</c:v>
                </c:pt>
                <c:pt idx="133">
                  <c:v>2460.287983683738</c:v>
                </c:pt>
                <c:pt idx="134">
                  <c:v>2607.905262704762</c:v>
                </c:pt>
                <c:pt idx="135">
                  <c:v>2764.379578467048</c:v>
                </c:pt>
                <c:pt idx="136">
                  <c:v>2930.242353175071</c:v>
                </c:pt>
                <c:pt idx="137">
                  <c:v>3106.056894365575</c:v>
                </c:pt>
                <c:pt idx="138">
                  <c:v>3292.42030802751</c:v>
                </c:pt>
                <c:pt idx="139">
                  <c:v>3489.965526509161</c:v>
                </c:pt>
                <c:pt idx="140">
                  <c:v>3699.363458099711</c:v>
                </c:pt>
                <c:pt idx="141">
                  <c:v>3921.325265585694</c:v>
                </c:pt>
                <c:pt idx="142">
                  <c:v>4156.604781520836</c:v>
                </c:pt>
                <c:pt idx="143">
                  <c:v>4406.001068412085</c:v>
                </c:pt>
                <c:pt idx="144">
                  <c:v>4670.36113251681</c:v>
                </c:pt>
                <c:pt idx="145">
                  <c:v>4950.58280046782</c:v>
                </c:pt>
                <c:pt idx="146">
                  <c:v>5247.61776849589</c:v>
                </c:pt>
                <c:pt idx="147">
                  <c:v>5562.474834605643</c:v>
                </c:pt>
                <c:pt idx="148">
                  <c:v>5896.223324681982</c:v>
                </c:pt>
                <c:pt idx="149">
                  <c:v>6249.996724162901</c:v>
                </c:pt>
                <c:pt idx="150">
                  <c:v>6624.996527612676</c:v>
                </c:pt>
                <c:pt idx="151">
                  <c:v>7022.496319269436</c:v>
                </c:pt>
                <c:pt idx="152">
                  <c:v>7443.846098425602</c:v>
                </c:pt>
                <c:pt idx="153">
                  <c:v>7890.47686433114</c:v>
                </c:pt>
                <c:pt idx="154">
                  <c:v>8363.905476191008</c:v>
                </c:pt>
                <c:pt idx="155">
                  <c:v>8865.73980476247</c:v>
                </c:pt>
                <c:pt idx="156">
                  <c:v>9397.684193048219</c:v>
                </c:pt>
                <c:pt idx="157">
                  <c:v>9961.545244631111</c:v>
                </c:pt>
                <c:pt idx="158">
                  <c:v>10559.23795930898</c:v>
                </c:pt>
                <c:pt idx="159">
                  <c:v>11192.79223686752</c:v>
                </c:pt>
                <c:pt idx="160">
                  <c:v>11864.35977107957</c:v>
                </c:pt>
                <c:pt idx="161">
                  <c:v>12576.22135734434</c:v>
                </c:pt>
                <c:pt idx="162">
                  <c:v>13330.79463878501</c:v>
                </c:pt>
                <c:pt idx="163">
                  <c:v>14130.64231711211</c:v>
                </c:pt>
                <c:pt idx="164">
                  <c:v>14978.48085613883</c:v>
                </c:pt>
                <c:pt idx="165">
                  <c:v>15877.18970750717</c:v>
                </c:pt>
                <c:pt idx="166">
                  <c:v>16829.8210899576</c:v>
                </c:pt>
                <c:pt idx="167">
                  <c:v>17839.61035535505</c:v>
                </c:pt>
                <c:pt idx="168">
                  <c:v>18909.98697667635</c:v>
                </c:pt>
                <c:pt idx="169">
                  <c:v>20044.58619527694</c:v>
                </c:pt>
                <c:pt idx="170">
                  <c:v>21247.26136699356</c:v>
                </c:pt>
                <c:pt idx="171">
                  <c:v>22522.09704901317</c:v>
                </c:pt>
                <c:pt idx="172">
                  <c:v>23873.42287195396</c:v>
                </c:pt>
                <c:pt idx="173">
                  <c:v>25305.8282442712</c:v>
                </c:pt>
                <c:pt idx="174">
                  <c:v>26824.17793892749</c:v>
                </c:pt>
                <c:pt idx="175">
                  <c:v>28433.62861526313</c:v>
                </c:pt>
                <c:pt idx="176">
                  <c:v>30139.64633217892</c:v>
                </c:pt>
                <c:pt idx="177">
                  <c:v>31948.02511210965</c:v>
                </c:pt>
                <c:pt idx="178">
                  <c:v>33864.90661883623</c:v>
                </c:pt>
                <c:pt idx="179">
                  <c:v>35896.8010159664</c:v>
                </c:pt>
                <c:pt idx="180">
                  <c:v>38050.6090769244</c:v>
                </c:pt>
                <c:pt idx="181">
                  <c:v>40333.64562153986</c:v>
                </c:pt>
                <c:pt idx="182">
                  <c:v>42753.66435883226</c:v>
                </c:pt>
                <c:pt idx="183">
                  <c:v>45318.88422036218</c:v>
                </c:pt>
                <c:pt idx="184">
                  <c:v>48038.01727358392</c:v>
                </c:pt>
                <c:pt idx="185">
                  <c:v>50920.29830999895</c:v>
                </c:pt>
                <c:pt idx="186">
                  <c:v>53975.5162085989</c:v>
                </c:pt>
                <c:pt idx="187">
                  <c:v>57214.04718111484</c:v>
                </c:pt>
                <c:pt idx="188">
                  <c:v>60646.89001198174</c:v>
                </c:pt>
                <c:pt idx="189">
                  <c:v>64285.70341270065</c:v>
                </c:pt>
                <c:pt idx="190">
                  <c:v>68142.84561746271</c:v>
                </c:pt>
                <c:pt idx="191">
                  <c:v>72231.41635451044</c:v>
                </c:pt>
                <c:pt idx="192">
                  <c:v>76565.30133578107</c:v>
                </c:pt>
                <c:pt idx="193">
                  <c:v>81159.21941592794</c:v>
                </c:pt>
                <c:pt idx="194">
                  <c:v>86028.77258088363</c:v>
                </c:pt>
                <c:pt idx="195">
                  <c:v>91190.49893573666</c:v>
                </c:pt>
                <c:pt idx="196">
                  <c:v>96661.92887188085</c:v>
                </c:pt>
                <c:pt idx="197">
                  <c:v>102461.6446041937</c:v>
                </c:pt>
                <c:pt idx="198">
                  <c:v>108609.3432804454</c:v>
                </c:pt>
                <c:pt idx="199">
                  <c:v>115125.9038772721</c:v>
                </c:pt>
                <c:pt idx="200">
                  <c:v>122033.4581099084</c:v>
                </c:pt>
                <c:pt idx="201">
                  <c:v>129355.4655965029</c:v>
                </c:pt>
                <c:pt idx="202">
                  <c:v>137116.7935322931</c:v>
                </c:pt>
                <c:pt idx="203">
                  <c:v>145343.8011442307</c:v>
                </c:pt>
                <c:pt idx="204">
                  <c:v>154064.4292128845</c:v>
                </c:pt>
                <c:pt idx="205">
                  <c:v>163308.2949656576</c:v>
                </c:pt>
                <c:pt idx="206">
                  <c:v>173106.7926635971</c:v>
                </c:pt>
                <c:pt idx="207">
                  <c:v>183493.2002234129</c:v>
                </c:pt>
                <c:pt idx="208">
                  <c:v>194502.7922368177</c:v>
                </c:pt>
                <c:pt idx="209">
                  <c:v>206172.9597710267</c:v>
                </c:pt>
                <c:pt idx="210">
                  <c:v>218543.3373572884</c:v>
                </c:pt>
                <c:pt idx="211">
                  <c:v>231655.9375987257</c:v>
                </c:pt>
                <c:pt idx="212">
                  <c:v>245555.2938546493</c:v>
                </c:pt>
                <c:pt idx="213">
                  <c:v>260288.6114859282</c:v>
                </c:pt>
                <c:pt idx="214">
                  <c:v>275905.928175084</c:v>
                </c:pt>
                <c:pt idx="215">
                  <c:v>292460.2838655889</c:v>
                </c:pt>
                <c:pt idx="216">
                  <c:v>310007.9008975243</c:v>
                </c:pt>
                <c:pt idx="217">
                  <c:v>328608.3749513758</c:v>
                </c:pt>
                <c:pt idx="218">
                  <c:v>348324.8774484584</c:v>
                </c:pt>
                <c:pt idx="219">
                  <c:v>369224.3700953659</c:v>
                </c:pt>
                <c:pt idx="220">
                  <c:v>391377.8323010879</c:v>
                </c:pt>
                <c:pt idx="221">
                  <c:v>414860.5022391532</c:v>
                </c:pt>
                <c:pt idx="222">
                  <c:v>439752.1323735025</c:v>
                </c:pt>
                <c:pt idx="223">
                  <c:v>466137.2603159125</c:v>
                </c:pt>
                <c:pt idx="224">
                  <c:v>494105.4959348672</c:v>
                </c:pt>
                <c:pt idx="225">
                  <c:v>523751.8256909593</c:v>
                </c:pt>
                <c:pt idx="226">
                  <c:v>555176.935232417</c:v>
                </c:pt>
                <c:pt idx="227">
                  <c:v>588487.5513463621</c:v>
                </c:pt>
                <c:pt idx="228">
                  <c:v>623796.8044271437</c:v>
                </c:pt>
                <c:pt idx="229">
                  <c:v>661224.6126927725</c:v>
                </c:pt>
                <c:pt idx="230">
                  <c:v>700898.089454339</c:v>
                </c:pt>
                <c:pt idx="231">
                  <c:v>742951.9748215992</c:v>
                </c:pt>
                <c:pt idx="232">
                  <c:v>787529.0933108951</c:v>
                </c:pt>
                <c:pt idx="233">
                  <c:v>834780.838909549</c:v>
                </c:pt>
                <c:pt idx="234">
                  <c:v>884867.689244122</c:v>
                </c:pt>
                <c:pt idx="235">
                  <c:v>937959.7505987694</c:v>
                </c:pt>
                <c:pt idx="236">
                  <c:v>994237.3356346957</c:v>
                </c:pt>
                <c:pt idx="237">
                  <c:v>1.05389157577278E6</c:v>
                </c:pt>
                <c:pt idx="238">
                  <c:v>1.11712507031914E6</c:v>
                </c:pt>
                <c:pt idx="239">
                  <c:v>1.18415257453829E6</c:v>
                </c:pt>
                <c:pt idx="240">
                  <c:v>1.25520172901059E6</c:v>
                </c:pt>
                <c:pt idx="241">
                  <c:v>1.33051383275123E6</c:v>
                </c:pt>
                <c:pt idx="242">
                  <c:v>1.4103446627163E6</c:v>
                </c:pt>
                <c:pt idx="243">
                  <c:v>1.49496534247928E6</c:v>
                </c:pt>
                <c:pt idx="244">
                  <c:v>1.58466326302803E6</c:v>
                </c:pt>
                <c:pt idx="245">
                  <c:v>1.67974305880972E6</c:v>
                </c:pt>
                <c:pt idx="246">
                  <c:v>1.7805276423383E6</c:v>
                </c:pt>
                <c:pt idx="247">
                  <c:v>1.8873593008786E6</c:v>
                </c:pt>
                <c:pt idx="248">
                  <c:v>2.00060085893131E6</c:v>
                </c:pt>
                <c:pt idx="249">
                  <c:v>2.12063691046719E6</c:v>
                </c:pt>
                <c:pt idx="250">
                  <c:v>2.24787512509522E6</c:v>
                </c:pt>
                <c:pt idx="251">
                  <c:v>2.38274763260094E6</c:v>
                </c:pt>
                <c:pt idx="252">
                  <c:v>2.52571249055699E6</c:v>
                </c:pt>
                <c:pt idx="253">
                  <c:v>2.67725523999041E6</c:v>
                </c:pt>
                <c:pt idx="254">
                  <c:v>2.83789055438984E6</c:v>
                </c:pt>
                <c:pt idx="255">
                  <c:v>3.00816398765323E6</c:v>
                </c:pt>
                <c:pt idx="256">
                  <c:v>3.18865382691242E6</c:v>
                </c:pt>
                <c:pt idx="257">
                  <c:v>3.37997305652717E6</c:v>
                </c:pt>
                <c:pt idx="258">
                  <c:v>3.5827714399188E6</c:v>
                </c:pt>
                <c:pt idx="259">
                  <c:v>3.79773772631393E6</c:v>
                </c:pt>
                <c:pt idx="260">
                  <c:v>4.02560198989276E6</c:v>
                </c:pt>
                <c:pt idx="261">
                  <c:v>4.26713810928633E6</c:v>
                </c:pt>
                <c:pt idx="262">
                  <c:v>4.52316639584351E6</c:v>
                </c:pt>
                <c:pt idx="263">
                  <c:v>4.79455637959412E6</c:v>
                </c:pt>
                <c:pt idx="264">
                  <c:v>5.08222976236977E6</c:v>
                </c:pt>
                <c:pt idx="265">
                  <c:v>5.38716354811195E6</c:v>
                </c:pt>
                <c:pt idx="266">
                  <c:v>5.71039336099867E6</c:v>
                </c:pt>
                <c:pt idx="267">
                  <c:v>6.05301696265859E6</c:v>
                </c:pt>
                <c:pt idx="268">
                  <c:v>6.41619798041811E6</c:v>
                </c:pt>
                <c:pt idx="269">
                  <c:v>6.80116985924319E6</c:v>
                </c:pt>
                <c:pt idx="270">
                  <c:v>7.20924005079779E6</c:v>
                </c:pt>
                <c:pt idx="271">
                  <c:v>7.64179445384565E6</c:v>
                </c:pt>
                <c:pt idx="272">
                  <c:v>8.10030212107639E6</c:v>
                </c:pt>
                <c:pt idx="273">
                  <c:v>8.58632024834098E6</c:v>
                </c:pt>
                <c:pt idx="274">
                  <c:v>9.10149946324143E6</c:v>
                </c:pt>
                <c:pt idx="275">
                  <c:v>9.64758943103592E6</c:v>
                </c:pt>
                <c:pt idx="276">
                  <c:v>1.02264447968981E7</c:v>
                </c:pt>
                <c:pt idx="277">
                  <c:v>1.0840031484712E7</c:v>
                </c:pt>
                <c:pt idx="278">
                  <c:v>1.14904333737947E7</c:v>
                </c:pt>
                <c:pt idx="279">
                  <c:v>1.21798593762224E7</c:v>
                </c:pt>
                <c:pt idx="280">
                  <c:v>1.29106509387957E7</c:v>
                </c:pt>
                <c:pt idx="281">
                  <c:v>1.36852899951234E7</c:v>
                </c:pt>
                <c:pt idx="282">
                  <c:v>1.45064073948309E7</c:v>
                </c:pt>
                <c:pt idx="283">
                  <c:v>1.53767918385207E7</c:v>
                </c:pt>
                <c:pt idx="284">
                  <c:v>1.6299399348832E7</c:v>
                </c:pt>
                <c:pt idx="285">
                  <c:v>1.72773633097619E7</c:v>
                </c:pt>
                <c:pt idx="286">
                  <c:v>1.83140051083476E7</c:v>
                </c:pt>
                <c:pt idx="287">
                  <c:v>1.94128454148484E7</c:v>
                </c:pt>
                <c:pt idx="288">
                  <c:v>2.05776161397393E7</c:v>
                </c:pt>
                <c:pt idx="289">
                  <c:v>2.18122731081237E7</c:v>
                </c:pt>
                <c:pt idx="290">
                  <c:v>2.31210094946111E7</c:v>
                </c:pt>
                <c:pt idx="291">
                  <c:v>2.45082700642878E7</c:v>
                </c:pt>
                <c:pt idx="292">
                  <c:v>2.59787662681451E7</c:v>
                </c:pt>
                <c:pt idx="293">
                  <c:v>2.75374922442338E7</c:v>
                </c:pt>
                <c:pt idx="294">
                  <c:v>2.91897417788878E7</c:v>
                </c:pt>
                <c:pt idx="295">
                  <c:v>3.09411262856211E7</c:v>
                </c:pt>
                <c:pt idx="296">
                  <c:v>3.27975938627583E7</c:v>
                </c:pt>
                <c:pt idx="297">
                  <c:v>3.47654494945238E7</c:v>
                </c:pt>
                <c:pt idx="298">
                  <c:v>3.68513764641953E7</c:v>
                </c:pt>
                <c:pt idx="299">
                  <c:v>3.9062459052047E7</c:v>
                </c:pt>
                <c:pt idx="300">
                  <c:v>4.14062065951698E7</c:v>
                </c:pt>
                <c:pt idx="301">
                  <c:v>4.389057899088E7</c:v>
                </c:pt>
                <c:pt idx="302">
                  <c:v>4.65240137303328E7</c:v>
                </c:pt>
                <c:pt idx="303">
                  <c:v>4.93154545541528E7</c:v>
                </c:pt>
                <c:pt idx="304">
                  <c:v>5.2274381827402E7</c:v>
                </c:pt>
                <c:pt idx="305">
                  <c:v>5.54108447370461E7</c:v>
                </c:pt>
                <c:pt idx="306">
                  <c:v>5.87354954212688E7</c:v>
                </c:pt>
                <c:pt idx="307">
                  <c:v>6.2259625146545E7</c:v>
                </c:pt>
                <c:pt idx="308">
                  <c:v>6.59952026553377E7</c:v>
                </c:pt>
                <c:pt idx="309">
                  <c:v>6.9954914814658E7</c:v>
                </c:pt>
                <c:pt idx="310">
                  <c:v>7.41522097035374E7</c:v>
                </c:pt>
                <c:pt idx="311">
                  <c:v>7.86013422857497E7</c:v>
                </c:pt>
                <c:pt idx="312">
                  <c:v>8.33174228228946E7</c:v>
                </c:pt>
                <c:pt idx="313">
                  <c:v>8.83164681922683E7</c:v>
                </c:pt>
                <c:pt idx="314">
                  <c:v>9.36154562838044E7</c:v>
                </c:pt>
                <c:pt idx="315">
                  <c:v>9.92323836608327E7</c:v>
                </c:pt>
                <c:pt idx="316">
                  <c:v>1.05186326680483E8</c:v>
                </c:pt>
                <c:pt idx="317">
                  <c:v>1.11497506281312E8</c:v>
                </c:pt>
                <c:pt idx="318">
                  <c:v>1.1818735665819E8</c:v>
                </c:pt>
                <c:pt idx="319">
                  <c:v>1.25278598057682E8</c:v>
                </c:pt>
                <c:pt idx="320">
                  <c:v>1.32795313941143E8</c:v>
                </c:pt>
                <c:pt idx="321">
                  <c:v>1.40763032777611E8</c:v>
                </c:pt>
                <c:pt idx="322">
                  <c:v>1.49208814744268E8</c:v>
                </c:pt>
                <c:pt idx="323">
                  <c:v>1.58161343628924E8</c:v>
                </c:pt>
                <c:pt idx="324">
                  <c:v>1.67651024246659E8</c:v>
                </c:pt>
                <c:pt idx="325">
                  <c:v>1.77710085701459E8</c:v>
                </c:pt>
                <c:pt idx="326">
                  <c:v>1.88372690843547E8</c:v>
                </c:pt>
                <c:pt idx="327">
                  <c:v>1.99675052294159E8</c:v>
                </c:pt>
                <c:pt idx="328">
                  <c:v>2.11655555431809E8</c:v>
                </c:pt>
                <c:pt idx="329">
                  <c:v>2.24354888757718E8</c:v>
                </c:pt>
                <c:pt idx="330">
                  <c:v>2.37816182083181E8</c:v>
                </c:pt>
                <c:pt idx="331">
                  <c:v>2.52085153008171E8</c:v>
                </c:pt>
                <c:pt idx="332">
                  <c:v>2.67210262188662E8</c:v>
                </c:pt>
                <c:pt idx="333">
                  <c:v>2.83242877919981E8</c:v>
                </c:pt>
                <c:pt idx="334">
                  <c:v>3.0023745059518E8</c:v>
                </c:pt>
                <c:pt idx="335">
                  <c:v>3.18251697630891E8</c:v>
                </c:pt>
                <c:pt idx="336">
                  <c:v>3.37346799488745E8</c:v>
                </c:pt>
                <c:pt idx="337">
                  <c:v>3.57587607458069E8</c:v>
                </c:pt>
                <c:pt idx="338">
                  <c:v>3.79042863905554E8</c:v>
                </c:pt>
                <c:pt idx="339">
                  <c:v>4.01785435739887E8</c:v>
                </c:pt>
                <c:pt idx="340">
                  <c:v>4.2589256188428E8</c:v>
                </c:pt>
                <c:pt idx="341">
                  <c:v>4.51446115597337E8</c:v>
                </c:pt>
                <c:pt idx="342">
                  <c:v>4.78532882533177E8</c:v>
                </c:pt>
                <c:pt idx="343">
                  <c:v>5.07244855485168E8</c:v>
                </c:pt>
                <c:pt idx="344">
                  <c:v>5.37679546814278E8</c:v>
                </c:pt>
                <c:pt idx="345">
                  <c:v>5.69940319623135E8</c:v>
                </c:pt>
                <c:pt idx="346">
                  <c:v>6.04136738800523E8</c:v>
                </c:pt>
                <c:pt idx="347">
                  <c:v>6.40384943128554E8</c:v>
                </c:pt>
                <c:pt idx="348">
                  <c:v>6.78808039716267E8</c:v>
                </c:pt>
                <c:pt idx="349">
                  <c:v>7.19536522099243E8</c:v>
                </c:pt>
                <c:pt idx="350">
                  <c:v>7.62708713425198E8</c:v>
                </c:pt>
                <c:pt idx="351">
                  <c:v>8.0847123623071E8</c:v>
                </c:pt>
                <c:pt idx="352">
                  <c:v>8.56979510404553E8</c:v>
                </c:pt>
                <c:pt idx="353">
                  <c:v>9.08398281028826E8</c:v>
                </c:pt>
                <c:pt idx="354">
                  <c:v>9.62902177890555E8</c:v>
                </c:pt>
                <c:pt idx="355">
                  <c:v>1.02067630856399E9</c:v>
                </c:pt>
                <c:pt idx="356">
                  <c:v>1.08191688707783E9</c:v>
                </c:pt>
                <c:pt idx="357">
                  <c:v>1.1468319003025E9</c:v>
                </c:pt>
                <c:pt idx="358">
                  <c:v>1.21564181432065E9</c:v>
                </c:pt>
                <c:pt idx="359">
                  <c:v>1.28858032317989E9</c:v>
                </c:pt>
                <c:pt idx="360">
                  <c:v>1.36589514257068E9</c:v>
                </c:pt>
                <c:pt idx="361">
                  <c:v>1.44784885112492E9</c:v>
                </c:pt>
                <c:pt idx="362">
                  <c:v>1.53471978219242E9</c:v>
                </c:pt>
                <c:pt idx="363">
                  <c:v>1.62680296912396E9</c:v>
                </c:pt>
                <c:pt idx="364">
                  <c:v>1.7244111472714E9</c:v>
                </c:pt>
                <c:pt idx="365">
                  <c:v>1.82787581610768E9</c:v>
                </c:pt>
                <c:pt idx="366">
                  <c:v>1.93754836507414E9</c:v>
                </c:pt>
                <c:pt idx="367">
                  <c:v>2.05380126697859E9</c:v>
                </c:pt>
                <c:pt idx="368">
                  <c:v>2.17702934299731E9</c:v>
                </c:pt>
                <c:pt idx="369">
                  <c:v>2.30765110357715E9</c:v>
                </c:pt>
                <c:pt idx="370">
                  <c:v>2.44611016979178E9</c:v>
                </c:pt>
                <c:pt idx="371">
                  <c:v>2.59287677997928E9</c:v>
                </c:pt>
                <c:pt idx="372">
                  <c:v>2.74844938677804E9</c:v>
                </c:pt>
                <c:pt idx="373">
                  <c:v>2.91335634998472E9</c:v>
                </c:pt>
                <c:pt idx="374">
                  <c:v>3.08815773098381E9</c:v>
                </c:pt>
                <c:pt idx="375">
                  <c:v>3.27344719484283E9</c:v>
                </c:pt>
                <c:pt idx="376">
                  <c:v>3.46985402653341E9</c:v>
                </c:pt>
                <c:pt idx="377">
                  <c:v>3.67804526812541E9</c:v>
                </c:pt>
                <c:pt idx="378">
                  <c:v>3.89872798421293E9</c:v>
                </c:pt>
                <c:pt idx="379">
                  <c:v>4.13265166326571E9</c:v>
                </c:pt>
                <c:pt idx="380">
                  <c:v>4.38061076306165E9</c:v>
                </c:pt>
                <c:pt idx="381">
                  <c:v>4.64344740884535E9</c:v>
                </c:pt>
                <c:pt idx="382">
                  <c:v>4.92205425337608E9</c:v>
                </c:pt>
                <c:pt idx="383">
                  <c:v>5.21737750857864E9</c:v>
                </c:pt>
                <c:pt idx="384">
                  <c:v>5.53042015909336E9</c:v>
                </c:pt>
                <c:pt idx="385">
                  <c:v>5.86224536863896E9</c:v>
                </c:pt>
                <c:pt idx="386">
                  <c:v>6.2139800907573E9</c:v>
                </c:pt>
                <c:pt idx="387">
                  <c:v>6.58681889620274E9</c:v>
                </c:pt>
                <c:pt idx="388">
                  <c:v>6.9820280299749E9</c:v>
                </c:pt>
                <c:pt idx="389">
                  <c:v>7.40094971177339E9</c:v>
                </c:pt>
                <c:pt idx="390">
                  <c:v>7.8450066944798E9</c:v>
                </c:pt>
                <c:pt idx="391">
                  <c:v>8.31570709614859E9</c:v>
                </c:pt>
                <c:pt idx="392">
                  <c:v>8.8146495219175E9</c:v>
                </c:pt>
                <c:pt idx="393">
                  <c:v>9.34352849323255E9</c:v>
                </c:pt>
                <c:pt idx="394">
                  <c:v>9.90414020282651E9</c:v>
                </c:pt>
                <c:pt idx="395">
                  <c:v>1.04983886149961E10</c:v>
                </c:pt>
                <c:pt idx="396">
                  <c:v>1.11282919318959E10</c:v>
                </c:pt>
                <c:pt idx="397">
                  <c:v>1.17959894478096E10</c:v>
                </c:pt>
                <c:pt idx="398">
                  <c:v>1.25037488146782E10</c:v>
                </c:pt>
                <c:pt idx="399">
                  <c:v>1.32539737435589E10</c:v>
                </c:pt>
                <c:pt idx="400">
                  <c:v>1.40492121681724E10</c:v>
                </c:pt>
                <c:pt idx="401">
                  <c:v>1.48921648982628E10</c:v>
                </c:pt>
                <c:pt idx="402">
                  <c:v>1.57856947921585E10</c:v>
                </c:pt>
                <c:pt idx="403">
                  <c:v>1.6732836479688E10</c:v>
                </c:pt>
                <c:pt idx="404">
                  <c:v>1.77368066684693E10</c:v>
                </c:pt>
                <c:pt idx="405">
                  <c:v>1.88010150685775E10</c:v>
                </c:pt>
                <c:pt idx="406">
                  <c:v>1.99290759726921E10</c:v>
                </c:pt>
                <c:pt idx="407">
                  <c:v>2.11248205310537E10</c:v>
                </c:pt>
                <c:pt idx="408">
                  <c:v>2.23923097629169E10</c:v>
                </c:pt>
                <c:pt idx="409">
                  <c:v>2.37358483486919E10</c:v>
                </c:pt>
                <c:pt idx="410">
                  <c:v>2.51599992496134E10</c:v>
                </c:pt>
                <c:pt idx="411">
                  <c:v>2.66695992045902E10</c:v>
                </c:pt>
                <c:pt idx="412">
                  <c:v>2.82697751568656E10</c:v>
                </c:pt>
                <c:pt idx="413">
                  <c:v>2.99659616662776E10</c:v>
                </c:pt>
                <c:pt idx="414">
                  <c:v>3.17639193662542E10</c:v>
                </c:pt>
                <c:pt idx="415">
                  <c:v>3.36697545282295E10</c:v>
                </c:pt>
                <c:pt idx="416">
                  <c:v>3.56899397999233E10</c:v>
                </c:pt>
                <c:pt idx="417">
                  <c:v>3.78313361879187E10</c:v>
                </c:pt>
                <c:pt idx="418">
                  <c:v>4.01012163591938E10</c:v>
                </c:pt>
                <c:pt idx="419">
                  <c:v>4.25072893407454E10</c:v>
                </c:pt>
                <c:pt idx="420">
                  <c:v>4.50577267011901E10</c:v>
                </c:pt>
                <c:pt idx="421">
                  <c:v>4.77611903032616E10</c:v>
                </c:pt>
                <c:pt idx="422">
                  <c:v>5.06268617214573E10</c:v>
                </c:pt>
                <c:pt idx="423">
                  <c:v>5.36644734247447E10</c:v>
                </c:pt>
                <c:pt idx="424">
                  <c:v>5.68843418302294E10</c:v>
                </c:pt>
                <c:pt idx="425">
                  <c:v>6.02974023400431E10</c:v>
                </c:pt>
                <c:pt idx="426">
                  <c:v>6.39152464804457E10</c:v>
                </c:pt>
                <c:pt idx="427">
                  <c:v>6.77501612692725E10</c:v>
                </c:pt>
                <c:pt idx="428">
                  <c:v>7.18151709454288E10</c:v>
                </c:pt>
                <c:pt idx="429">
                  <c:v>7.61240812021546E10</c:v>
                </c:pt>
                <c:pt idx="430">
                  <c:v>8.06915260742839E10</c:v>
                </c:pt>
                <c:pt idx="431">
                  <c:v>8.55330176387409E10</c:v>
                </c:pt>
                <c:pt idx="432">
                  <c:v>9.06649986970653E10</c:v>
                </c:pt>
                <c:pt idx="433">
                  <c:v>9.61048986188893E10</c:v>
                </c:pt>
                <c:pt idx="434">
                  <c:v>1.01871192536023E11</c:v>
                </c:pt>
                <c:pt idx="435">
                  <c:v>1.07983464088184E11</c:v>
                </c:pt>
                <c:pt idx="436">
                  <c:v>1.14462471933475E11</c:v>
                </c:pt>
                <c:pt idx="437">
                  <c:v>1.21330220249484E11</c:v>
                </c:pt>
                <c:pt idx="438">
                  <c:v>1.28610033464453E11</c:v>
                </c:pt>
                <c:pt idx="439">
                  <c:v>1.3632663547232E11</c:v>
                </c:pt>
                <c:pt idx="440">
                  <c:v>1.44506233600659E11</c:v>
                </c:pt>
                <c:pt idx="441">
                  <c:v>1.53176607616698E11</c:v>
                </c:pt>
                <c:pt idx="442">
                  <c:v>1.623672040737E11</c:v>
                </c:pt>
                <c:pt idx="443">
                  <c:v>1.72109236318122E11</c:v>
                </c:pt>
                <c:pt idx="444">
                  <c:v>1.8243579049721E11</c:v>
                </c:pt>
                <c:pt idx="445">
                  <c:v>1.93381937927042E11</c:v>
                </c:pt>
                <c:pt idx="446">
                  <c:v>2.04984854202665E11</c:v>
                </c:pt>
                <c:pt idx="447">
                  <c:v>2.17283945454825E11</c:v>
                </c:pt>
                <c:pt idx="448">
                  <c:v>2.30320982182114E11</c:v>
                </c:pt>
                <c:pt idx="449">
                  <c:v>2.44140241113041E11</c:v>
                </c:pt>
                <c:pt idx="450">
                  <c:v>2.58788655579824E11</c:v>
                </c:pt>
                <c:pt idx="451">
                  <c:v>2.74315974914613E11</c:v>
                </c:pt>
                <c:pt idx="452">
                  <c:v>2.9077493340949E11</c:v>
                </c:pt>
                <c:pt idx="453">
                  <c:v>3.08221429414059E11</c:v>
                </c:pt>
                <c:pt idx="454">
                  <c:v>3.26714715178903E11</c:v>
                </c:pt>
                <c:pt idx="455">
                  <c:v>3.46317598089637E11</c:v>
                </c:pt>
                <c:pt idx="456">
                  <c:v>3.67096653975015E11</c:v>
                </c:pt>
                <c:pt idx="457">
                  <c:v>3.89122453213516E11</c:v>
                </c:pt>
                <c:pt idx="458">
                  <c:v>4.12469800406327E11</c:v>
                </c:pt>
                <c:pt idx="459">
                  <c:v>4.37217988430707E11</c:v>
                </c:pt>
                <c:pt idx="460">
                  <c:v>4.63451067736549E11</c:v>
                </c:pt>
                <c:pt idx="461">
                  <c:v>4.91258131800742E11</c:v>
                </c:pt>
                <c:pt idx="462">
                  <c:v>5.20733619708787E11</c:v>
                </c:pt>
                <c:pt idx="463">
                  <c:v>5.51977636891314E11</c:v>
                </c:pt>
                <c:pt idx="464">
                  <c:v>5.85096295104793E11</c:v>
                </c:pt>
                <c:pt idx="465">
                  <c:v>6.20202072811081E11</c:v>
                </c:pt>
                <c:pt idx="466">
                  <c:v>6.57414197179745E11</c:v>
                </c:pt>
                <c:pt idx="467">
                  <c:v>6.9685904901053E11</c:v>
                </c:pt>
                <c:pt idx="468">
                  <c:v>7.38670591951162E11</c:v>
                </c:pt>
                <c:pt idx="469">
                  <c:v>7.82990827468232E11</c:v>
                </c:pt>
                <c:pt idx="470">
                  <c:v>8.29970277116326E11</c:v>
                </c:pt>
                <c:pt idx="471">
                  <c:v>8.79768493743305E11</c:v>
                </c:pt>
                <c:pt idx="472">
                  <c:v>9.32554603367904E11</c:v>
                </c:pt>
                <c:pt idx="473">
                  <c:v>9.88507879569978E11</c:v>
                </c:pt>
                <c:pt idx="474">
                  <c:v>1.04781835234418E12</c:v>
                </c:pt>
                <c:pt idx="475">
                  <c:v>1.11068745348483E12</c:v>
                </c:pt>
                <c:pt idx="476">
                  <c:v>1.17732870069392E12</c:v>
                </c:pt>
                <c:pt idx="477">
                  <c:v>1.24796842273555E12</c:v>
                </c:pt>
                <c:pt idx="478">
                  <c:v>1.32284652809969E12</c:v>
                </c:pt>
                <c:pt idx="479">
                  <c:v>1.40221731978567E12</c:v>
                </c:pt>
                <c:pt idx="480">
                  <c:v>1.48635035897281E12</c:v>
                </c:pt>
                <c:pt idx="481">
                  <c:v>1.57553138051118E12</c:v>
                </c:pt>
                <c:pt idx="482">
                  <c:v>1.67006326334185E12</c:v>
                </c:pt>
                <c:pt idx="483">
                  <c:v>1.77026705914236E12</c:v>
                </c:pt>
                <c:pt idx="484">
                  <c:v>1.8764830826909E12</c:v>
                </c:pt>
                <c:pt idx="485">
                  <c:v>1.98907206765235E12</c:v>
                </c:pt>
                <c:pt idx="486">
                  <c:v>2.10841639171149E12</c:v>
                </c:pt>
                <c:pt idx="487">
                  <c:v>2.23492137521418E12</c:v>
                </c:pt>
                <c:pt idx="488">
                  <c:v>2.36901665772703E12</c:v>
                </c:pt>
                <c:pt idx="489">
                  <c:v>2.51115765719066E12</c:v>
                </c:pt>
                <c:pt idx="490">
                  <c:v>2.6618271166221E12</c:v>
                </c:pt>
                <c:pt idx="491">
                  <c:v>2.82153674361942E12</c:v>
                </c:pt>
                <c:pt idx="492">
                  <c:v>2.99082894823659E12</c:v>
                </c:pt>
                <c:pt idx="493">
                  <c:v>3.17027868513078E12</c:v>
                </c:pt>
                <c:pt idx="494">
                  <c:v>3.36049540623863E12</c:v>
                </c:pt>
                <c:pt idx="495">
                  <c:v>3.56212513061295E12</c:v>
                </c:pt>
                <c:pt idx="496">
                  <c:v>3.77585263844972E12</c:v>
                </c:pt>
                <c:pt idx="497">
                  <c:v>4.00240379675671E12</c:v>
                </c:pt>
                <c:pt idx="498">
                  <c:v>4.24254802456211E12</c:v>
                </c:pt>
              </c:numCache>
            </c:numRef>
          </c:val>
          <c:smooth val="0"/>
        </c:ser>
        <c:ser>
          <c:idx val="1"/>
          <c:order val="1"/>
          <c:tx>
            <c:strRef>
              <c:f>Calculations!$C$1</c:f>
              <c:strCache>
                <c:ptCount val="1"/>
                <c:pt idx="0">
                  <c:v>Income</c:v>
                </c:pt>
              </c:strCache>
            </c:strRef>
          </c:tx>
          <c:spPr>
            <a:ln w="25400" cmpd="sng">
              <a:solidFill>
                <a:srgbClr val="DC3912"/>
              </a:solidFill>
            </a:ln>
          </c:spPr>
          <c:marker>
            <c:symbol val="none"/>
          </c:marker>
          <c:cat>
            <c:numRef>
              <c:f>Calculations!$A$2:$A$500</c:f>
              <c:numCache>
                <c:formatCode>General</c:formatCode>
                <c:ptCount val="4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pt idx="99">
                  <c:v>100.0</c:v>
                </c:pt>
                <c:pt idx="100">
                  <c:v>101.0</c:v>
                </c:pt>
                <c:pt idx="101">
                  <c:v>102.0</c:v>
                </c:pt>
                <c:pt idx="102">
                  <c:v>103.0</c:v>
                </c:pt>
                <c:pt idx="103">
                  <c:v>104.0</c:v>
                </c:pt>
                <c:pt idx="104">
                  <c:v>105.0</c:v>
                </c:pt>
                <c:pt idx="105">
                  <c:v>106.0</c:v>
                </c:pt>
                <c:pt idx="106">
                  <c:v>107.0</c:v>
                </c:pt>
                <c:pt idx="107">
                  <c:v>108.0</c:v>
                </c:pt>
                <c:pt idx="108">
                  <c:v>109.0</c:v>
                </c:pt>
                <c:pt idx="109">
                  <c:v>110.0</c:v>
                </c:pt>
                <c:pt idx="110">
                  <c:v>111.0</c:v>
                </c:pt>
                <c:pt idx="111">
                  <c:v>112.0</c:v>
                </c:pt>
                <c:pt idx="112">
                  <c:v>113.0</c:v>
                </c:pt>
                <c:pt idx="113">
                  <c:v>114.0</c:v>
                </c:pt>
                <c:pt idx="114">
                  <c:v>115.0</c:v>
                </c:pt>
                <c:pt idx="115">
                  <c:v>116.0</c:v>
                </c:pt>
                <c:pt idx="116">
                  <c:v>117.0</c:v>
                </c:pt>
                <c:pt idx="117">
                  <c:v>118.0</c:v>
                </c:pt>
                <c:pt idx="118">
                  <c:v>119.0</c:v>
                </c:pt>
                <c:pt idx="119">
                  <c:v>120.0</c:v>
                </c:pt>
                <c:pt idx="120">
                  <c:v>121.0</c:v>
                </c:pt>
                <c:pt idx="121">
                  <c:v>122.0</c:v>
                </c:pt>
                <c:pt idx="122">
                  <c:v>123.0</c:v>
                </c:pt>
                <c:pt idx="123">
                  <c:v>124.0</c:v>
                </c:pt>
                <c:pt idx="124">
                  <c:v>125.0</c:v>
                </c:pt>
                <c:pt idx="125">
                  <c:v>126.0</c:v>
                </c:pt>
                <c:pt idx="126">
                  <c:v>127.0</c:v>
                </c:pt>
                <c:pt idx="127">
                  <c:v>128.0</c:v>
                </c:pt>
                <c:pt idx="128">
                  <c:v>129.0</c:v>
                </c:pt>
                <c:pt idx="129">
                  <c:v>130.0</c:v>
                </c:pt>
                <c:pt idx="130">
                  <c:v>131.0</c:v>
                </c:pt>
                <c:pt idx="131">
                  <c:v>132.0</c:v>
                </c:pt>
                <c:pt idx="132">
                  <c:v>133.0</c:v>
                </c:pt>
                <c:pt idx="133">
                  <c:v>134.0</c:v>
                </c:pt>
                <c:pt idx="134">
                  <c:v>135.0</c:v>
                </c:pt>
                <c:pt idx="135">
                  <c:v>136.0</c:v>
                </c:pt>
                <c:pt idx="136">
                  <c:v>137.0</c:v>
                </c:pt>
                <c:pt idx="137">
                  <c:v>138.0</c:v>
                </c:pt>
                <c:pt idx="138">
                  <c:v>139.0</c:v>
                </c:pt>
                <c:pt idx="139">
                  <c:v>140.0</c:v>
                </c:pt>
                <c:pt idx="140">
                  <c:v>141.0</c:v>
                </c:pt>
                <c:pt idx="141">
                  <c:v>142.0</c:v>
                </c:pt>
                <c:pt idx="142">
                  <c:v>143.0</c:v>
                </c:pt>
                <c:pt idx="143">
                  <c:v>144.0</c:v>
                </c:pt>
                <c:pt idx="144">
                  <c:v>145.0</c:v>
                </c:pt>
                <c:pt idx="145">
                  <c:v>146.0</c:v>
                </c:pt>
                <c:pt idx="146">
                  <c:v>147.0</c:v>
                </c:pt>
                <c:pt idx="147">
                  <c:v>148.0</c:v>
                </c:pt>
                <c:pt idx="148">
                  <c:v>149.0</c:v>
                </c:pt>
                <c:pt idx="149">
                  <c:v>150.0</c:v>
                </c:pt>
                <c:pt idx="150">
                  <c:v>151.0</c:v>
                </c:pt>
                <c:pt idx="151">
                  <c:v>152.0</c:v>
                </c:pt>
                <c:pt idx="152">
                  <c:v>153.0</c:v>
                </c:pt>
                <c:pt idx="153">
                  <c:v>154.0</c:v>
                </c:pt>
                <c:pt idx="154">
                  <c:v>155.0</c:v>
                </c:pt>
                <c:pt idx="155">
                  <c:v>156.0</c:v>
                </c:pt>
                <c:pt idx="156">
                  <c:v>157.0</c:v>
                </c:pt>
                <c:pt idx="157">
                  <c:v>158.0</c:v>
                </c:pt>
                <c:pt idx="158">
                  <c:v>159.0</c:v>
                </c:pt>
                <c:pt idx="159">
                  <c:v>160.0</c:v>
                </c:pt>
                <c:pt idx="160">
                  <c:v>161.0</c:v>
                </c:pt>
                <c:pt idx="161">
                  <c:v>162.0</c:v>
                </c:pt>
                <c:pt idx="162">
                  <c:v>163.0</c:v>
                </c:pt>
                <c:pt idx="163">
                  <c:v>164.0</c:v>
                </c:pt>
                <c:pt idx="164">
                  <c:v>165.0</c:v>
                </c:pt>
                <c:pt idx="165">
                  <c:v>166.0</c:v>
                </c:pt>
                <c:pt idx="166">
                  <c:v>167.0</c:v>
                </c:pt>
                <c:pt idx="167">
                  <c:v>168.0</c:v>
                </c:pt>
                <c:pt idx="168">
                  <c:v>169.0</c:v>
                </c:pt>
                <c:pt idx="169">
                  <c:v>170.0</c:v>
                </c:pt>
                <c:pt idx="170">
                  <c:v>171.0</c:v>
                </c:pt>
                <c:pt idx="171">
                  <c:v>172.0</c:v>
                </c:pt>
                <c:pt idx="172">
                  <c:v>173.0</c:v>
                </c:pt>
                <c:pt idx="173">
                  <c:v>174.0</c:v>
                </c:pt>
                <c:pt idx="174">
                  <c:v>175.0</c:v>
                </c:pt>
                <c:pt idx="175">
                  <c:v>176.0</c:v>
                </c:pt>
                <c:pt idx="176">
                  <c:v>177.0</c:v>
                </c:pt>
                <c:pt idx="177">
                  <c:v>178.0</c:v>
                </c:pt>
                <c:pt idx="178">
                  <c:v>179.0</c:v>
                </c:pt>
                <c:pt idx="179">
                  <c:v>180.0</c:v>
                </c:pt>
                <c:pt idx="180">
                  <c:v>181.0</c:v>
                </c:pt>
                <c:pt idx="181">
                  <c:v>182.0</c:v>
                </c:pt>
                <c:pt idx="182">
                  <c:v>183.0</c:v>
                </c:pt>
                <c:pt idx="183">
                  <c:v>184.0</c:v>
                </c:pt>
                <c:pt idx="184">
                  <c:v>185.0</c:v>
                </c:pt>
                <c:pt idx="185">
                  <c:v>186.0</c:v>
                </c:pt>
                <c:pt idx="186">
                  <c:v>187.0</c:v>
                </c:pt>
                <c:pt idx="187">
                  <c:v>188.0</c:v>
                </c:pt>
                <c:pt idx="188">
                  <c:v>189.0</c:v>
                </c:pt>
                <c:pt idx="189">
                  <c:v>190.0</c:v>
                </c:pt>
                <c:pt idx="190">
                  <c:v>191.0</c:v>
                </c:pt>
                <c:pt idx="191">
                  <c:v>192.0</c:v>
                </c:pt>
                <c:pt idx="192">
                  <c:v>193.0</c:v>
                </c:pt>
                <c:pt idx="193">
                  <c:v>194.0</c:v>
                </c:pt>
                <c:pt idx="194">
                  <c:v>195.0</c:v>
                </c:pt>
                <c:pt idx="195">
                  <c:v>196.0</c:v>
                </c:pt>
                <c:pt idx="196">
                  <c:v>197.0</c:v>
                </c:pt>
                <c:pt idx="197">
                  <c:v>198.0</c:v>
                </c:pt>
                <c:pt idx="198">
                  <c:v>199.0</c:v>
                </c:pt>
                <c:pt idx="199">
                  <c:v>200.0</c:v>
                </c:pt>
                <c:pt idx="200">
                  <c:v>201.0</c:v>
                </c:pt>
                <c:pt idx="201">
                  <c:v>202.0</c:v>
                </c:pt>
                <c:pt idx="202">
                  <c:v>203.0</c:v>
                </c:pt>
                <c:pt idx="203">
                  <c:v>204.0</c:v>
                </c:pt>
                <c:pt idx="204">
                  <c:v>205.0</c:v>
                </c:pt>
                <c:pt idx="205">
                  <c:v>206.0</c:v>
                </c:pt>
                <c:pt idx="206">
                  <c:v>207.0</c:v>
                </c:pt>
                <c:pt idx="207">
                  <c:v>208.0</c:v>
                </c:pt>
                <c:pt idx="208">
                  <c:v>209.0</c:v>
                </c:pt>
                <c:pt idx="209">
                  <c:v>210.0</c:v>
                </c:pt>
                <c:pt idx="210">
                  <c:v>211.0</c:v>
                </c:pt>
                <c:pt idx="211">
                  <c:v>212.0</c:v>
                </c:pt>
                <c:pt idx="212">
                  <c:v>213.0</c:v>
                </c:pt>
                <c:pt idx="213">
                  <c:v>214.0</c:v>
                </c:pt>
                <c:pt idx="214">
                  <c:v>215.0</c:v>
                </c:pt>
                <c:pt idx="215">
                  <c:v>216.0</c:v>
                </c:pt>
                <c:pt idx="216">
                  <c:v>217.0</c:v>
                </c:pt>
                <c:pt idx="217">
                  <c:v>218.0</c:v>
                </c:pt>
                <c:pt idx="218">
                  <c:v>219.0</c:v>
                </c:pt>
                <c:pt idx="219">
                  <c:v>220.0</c:v>
                </c:pt>
                <c:pt idx="220">
                  <c:v>221.0</c:v>
                </c:pt>
                <c:pt idx="221">
                  <c:v>222.0</c:v>
                </c:pt>
                <c:pt idx="222">
                  <c:v>223.0</c:v>
                </c:pt>
                <c:pt idx="223">
                  <c:v>224.0</c:v>
                </c:pt>
                <c:pt idx="224">
                  <c:v>225.0</c:v>
                </c:pt>
                <c:pt idx="225">
                  <c:v>226.0</c:v>
                </c:pt>
                <c:pt idx="226">
                  <c:v>227.0</c:v>
                </c:pt>
                <c:pt idx="227">
                  <c:v>228.0</c:v>
                </c:pt>
                <c:pt idx="228">
                  <c:v>229.0</c:v>
                </c:pt>
                <c:pt idx="229">
                  <c:v>230.0</c:v>
                </c:pt>
                <c:pt idx="230">
                  <c:v>231.0</c:v>
                </c:pt>
                <c:pt idx="231">
                  <c:v>232.0</c:v>
                </c:pt>
                <c:pt idx="232">
                  <c:v>233.0</c:v>
                </c:pt>
                <c:pt idx="233">
                  <c:v>234.0</c:v>
                </c:pt>
                <c:pt idx="234">
                  <c:v>235.0</c:v>
                </c:pt>
                <c:pt idx="235">
                  <c:v>236.0</c:v>
                </c:pt>
                <c:pt idx="236">
                  <c:v>237.0</c:v>
                </c:pt>
                <c:pt idx="237">
                  <c:v>238.0</c:v>
                </c:pt>
                <c:pt idx="238">
                  <c:v>239.0</c:v>
                </c:pt>
                <c:pt idx="239">
                  <c:v>240.0</c:v>
                </c:pt>
                <c:pt idx="240">
                  <c:v>241.0</c:v>
                </c:pt>
                <c:pt idx="241">
                  <c:v>242.0</c:v>
                </c:pt>
                <c:pt idx="242">
                  <c:v>243.0</c:v>
                </c:pt>
                <c:pt idx="243">
                  <c:v>244.0</c:v>
                </c:pt>
                <c:pt idx="244">
                  <c:v>245.0</c:v>
                </c:pt>
                <c:pt idx="245">
                  <c:v>246.0</c:v>
                </c:pt>
                <c:pt idx="246">
                  <c:v>247.0</c:v>
                </c:pt>
                <c:pt idx="247">
                  <c:v>248.0</c:v>
                </c:pt>
                <c:pt idx="248">
                  <c:v>249.0</c:v>
                </c:pt>
                <c:pt idx="249">
                  <c:v>250.0</c:v>
                </c:pt>
                <c:pt idx="250">
                  <c:v>251.0</c:v>
                </c:pt>
                <c:pt idx="251">
                  <c:v>252.0</c:v>
                </c:pt>
                <c:pt idx="252">
                  <c:v>253.0</c:v>
                </c:pt>
                <c:pt idx="253">
                  <c:v>254.0</c:v>
                </c:pt>
                <c:pt idx="254">
                  <c:v>255.0</c:v>
                </c:pt>
                <c:pt idx="255">
                  <c:v>256.0</c:v>
                </c:pt>
                <c:pt idx="256">
                  <c:v>257.0</c:v>
                </c:pt>
                <c:pt idx="257">
                  <c:v>258.0</c:v>
                </c:pt>
                <c:pt idx="258">
                  <c:v>259.0</c:v>
                </c:pt>
                <c:pt idx="259">
                  <c:v>260.0</c:v>
                </c:pt>
                <c:pt idx="260">
                  <c:v>261.0</c:v>
                </c:pt>
                <c:pt idx="261">
                  <c:v>262.0</c:v>
                </c:pt>
                <c:pt idx="262">
                  <c:v>263.0</c:v>
                </c:pt>
                <c:pt idx="263">
                  <c:v>264.0</c:v>
                </c:pt>
                <c:pt idx="264">
                  <c:v>265.0</c:v>
                </c:pt>
                <c:pt idx="265">
                  <c:v>266.0</c:v>
                </c:pt>
                <c:pt idx="266">
                  <c:v>267.0</c:v>
                </c:pt>
                <c:pt idx="267">
                  <c:v>268.0</c:v>
                </c:pt>
                <c:pt idx="268">
                  <c:v>269.0</c:v>
                </c:pt>
                <c:pt idx="269">
                  <c:v>270.0</c:v>
                </c:pt>
                <c:pt idx="270">
                  <c:v>271.0</c:v>
                </c:pt>
                <c:pt idx="271">
                  <c:v>272.0</c:v>
                </c:pt>
                <c:pt idx="272">
                  <c:v>273.0</c:v>
                </c:pt>
                <c:pt idx="273">
                  <c:v>274.0</c:v>
                </c:pt>
                <c:pt idx="274">
                  <c:v>275.0</c:v>
                </c:pt>
                <c:pt idx="275">
                  <c:v>276.0</c:v>
                </c:pt>
                <c:pt idx="276">
                  <c:v>277.0</c:v>
                </c:pt>
                <c:pt idx="277">
                  <c:v>278.0</c:v>
                </c:pt>
                <c:pt idx="278">
                  <c:v>279.0</c:v>
                </c:pt>
                <c:pt idx="279">
                  <c:v>280.0</c:v>
                </c:pt>
                <c:pt idx="280">
                  <c:v>281.0</c:v>
                </c:pt>
                <c:pt idx="281">
                  <c:v>282.0</c:v>
                </c:pt>
                <c:pt idx="282">
                  <c:v>283.0</c:v>
                </c:pt>
                <c:pt idx="283">
                  <c:v>284.0</c:v>
                </c:pt>
                <c:pt idx="284">
                  <c:v>285.0</c:v>
                </c:pt>
                <c:pt idx="285">
                  <c:v>286.0</c:v>
                </c:pt>
                <c:pt idx="286">
                  <c:v>287.0</c:v>
                </c:pt>
                <c:pt idx="287">
                  <c:v>288.0</c:v>
                </c:pt>
                <c:pt idx="288">
                  <c:v>289.0</c:v>
                </c:pt>
                <c:pt idx="289">
                  <c:v>290.0</c:v>
                </c:pt>
                <c:pt idx="290">
                  <c:v>291.0</c:v>
                </c:pt>
                <c:pt idx="291">
                  <c:v>292.0</c:v>
                </c:pt>
                <c:pt idx="292">
                  <c:v>293.0</c:v>
                </c:pt>
                <c:pt idx="293">
                  <c:v>294.0</c:v>
                </c:pt>
                <c:pt idx="294">
                  <c:v>295.0</c:v>
                </c:pt>
                <c:pt idx="295">
                  <c:v>296.0</c:v>
                </c:pt>
                <c:pt idx="296">
                  <c:v>297.0</c:v>
                </c:pt>
                <c:pt idx="297">
                  <c:v>298.0</c:v>
                </c:pt>
                <c:pt idx="298">
                  <c:v>299.0</c:v>
                </c:pt>
                <c:pt idx="299">
                  <c:v>300.0</c:v>
                </c:pt>
                <c:pt idx="300">
                  <c:v>301.0</c:v>
                </c:pt>
                <c:pt idx="301">
                  <c:v>302.0</c:v>
                </c:pt>
                <c:pt idx="302">
                  <c:v>303.0</c:v>
                </c:pt>
                <c:pt idx="303">
                  <c:v>304.0</c:v>
                </c:pt>
                <c:pt idx="304">
                  <c:v>305.0</c:v>
                </c:pt>
                <c:pt idx="305">
                  <c:v>306.0</c:v>
                </c:pt>
                <c:pt idx="306">
                  <c:v>307.0</c:v>
                </c:pt>
                <c:pt idx="307">
                  <c:v>308.0</c:v>
                </c:pt>
                <c:pt idx="308">
                  <c:v>309.0</c:v>
                </c:pt>
                <c:pt idx="309">
                  <c:v>310.0</c:v>
                </c:pt>
                <c:pt idx="310">
                  <c:v>311.0</c:v>
                </c:pt>
                <c:pt idx="311">
                  <c:v>312.0</c:v>
                </c:pt>
                <c:pt idx="312">
                  <c:v>313.0</c:v>
                </c:pt>
                <c:pt idx="313">
                  <c:v>314.0</c:v>
                </c:pt>
                <c:pt idx="314">
                  <c:v>315.0</c:v>
                </c:pt>
                <c:pt idx="315">
                  <c:v>316.0</c:v>
                </c:pt>
                <c:pt idx="316">
                  <c:v>317.0</c:v>
                </c:pt>
                <c:pt idx="317">
                  <c:v>318.0</c:v>
                </c:pt>
                <c:pt idx="318">
                  <c:v>319.0</c:v>
                </c:pt>
                <c:pt idx="319">
                  <c:v>320.0</c:v>
                </c:pt>
                <c:pt idx="320">
                  <c:v>321.0</c:v>
                </c:pt>
                <c:pt idx="321">
                  <c:v>322.0</c:v>
                </c:pt>
                <c:pt idx="322">
                  <c:v>323.0</c:v>
                </c:pt>
                <c:pt idx="323">
                  <c:v>324.0</c:v>
                </c:pt>
                <c:pt idx="324">
                  <c:v>325.0</c:v>
                </c:pt>
                <c:pt idx="325">
                  <c:v>326.0</c:v>
                </c:pt>
                <c:pt idx="326">
                  <c:v>327.0</c:v>
                </c:pt>
                <c:pt idx="327">
                  <c:v>328.0</c:v>
                </c:pt>
                <c:pt idx="328">
                  <c:v>329.0</c:v>
                </c:pt>
                <c:pt idx="329">
                  <c:v>330.0</c:v>
                </c:pt>
                <c:pt idx="330">
                  <c:v>331.0</c:v>
                </c:pt>
                <c:pt idx="331">
                  <c:v>332.0</c:v>
                </c:pt>
                <c:pt idx="332">
                  <c:v>333.0</c:v>
                </c:pt>
                <c:pt idx="333">
                  <c:v>334.0</c:v>
                </c:pt>
                <c:pt idx="334">
                  <c:v>335.0</c:v>
                </c:pt>
                <c:pt idx="335">
                  <c:v>336.0</c:v>
                </c:pt>
                <c:pt idx="336">
                  <c:v>337.0</c:v>
                </c:pt>
                <c:pt idx="337">
                  <c:v>338.0</c:v>
                </c:pt>
                <c:pt idx="338">
                  <c:v>339.0</c:v>
                </c:pt>
                <c:pt idx="339">
                  <c:v>340.0</c:v>
                </c:pt>
                <c:pt idx="340">
                  <c:v>341.0</c:v>
                </c:pt>
                <c:pt idx="341">
                  <c:v>342.0</c:v>
                </c:pt>
                <c:pt idx="342">
                  <c:v>343.0</c:v>
                </c:pt>
                <c:pt idx="343">
                  <c:v>344.0</c:v>
                </c:pt>
                <c:pt idx="344">
                  <c:v>345.0</c:v>
                </c:pt>
                <c:pt idx="345">
                  <c:v>346.0</c:v>
                </c:pt>
                <c:pt idx="346">
                  <c:v>347.0</c:v>
                </c:pt>
                <c:pt idx="347">
                  <c:v>348.0</c:v>
                </c:pt>
                <c:pt idx="348">
                  <c:v>349.0</c:v>
                </c:pt>
                <c:pt idx="349">
                  <c:v>350.0</c:v>
                </c:pt>
                <c:pt idx="350">
                  <c:v>351.0</c:v>
                </c:pt>
                <c:pt idx="351">
                  <c:v>352.0</c:v>
                </c:pt>
                <c:pt idx="352">
                  <c:v>353.0</c:v>
                </c:pt>
                <c:pt idx="353">
                  <c:v>354.0</c:v>
                </c:pt>
                <c:pt idx="354">
                  <c:v>355.0</c:v>
                </c:pt>
                <c:pt idx="355">
                  <c:v>356.0</c:v>
                </c:pt>
                <c:pt idx="356">
                  <c:v>357.0</c:v>
                </c:pt>
                <c:pt idx="357">
                  <c:v>358.0</c:v>
                </c:pt>
                <c:pt idx="358">
                  <c:v>359.0</c:v>
                </c:pt>
                <c:pt idx="359">
                  <c:v>360.0</c:v>
                </c:pt>
                <c:pt idx="360">
                  <c:v>361.0</c:v>
                </c:pt>
                <c:pt idx="361">
                  <c:v>362.0</c:v>
                </c:pt>
                <c:pt idx="362">
                  <c:v>363.0</c:v>
                </c:pt>
                <c:pt idx="363">
                  <c:v>364.0</c:v>
                </c:pt>
                <c:pt idx="364">
                  <c:v>365.0</c:v>
                </c:pt>
                <c:pt idx="365">
                  <c:v>366.0</c:v>
                </c:pt>
                <c:pt idx="366">
                  <c:v>367.0</c:v>
                </c:pt>
                <c:pt idx="367">
                  <c:v>368.0</c:v>
                </c:pt>
                <c:pt idx="368">
                  <c:v>369.0</c:v>
                </c:pt>
                <c:pt idx="369">
                  <c:v>370.0</c:v>
                </c:pt>
                <c:pt idx="370">
                  <c:v>371.0</c:v>
                </c:pt>
                <c:pt idx="371">
                  <c:v>372.0</c:v>
                </c:pt>
                <c:pt idx="372">
                  <c:v>373.0</c:v>
                </c:pt>
                <c:pt idx="373">
                  <c:v>374.0</c:v>
                </c:pt>
                <c:pt idx="374">
                  <c:v>375.0</c:v>
                </c:pt>
                <c:pt idx="375">
                  <c:v>376.0</c:v>
                </c:pt>
                <c:pt idx="376">
                  <c:v>377.0</c:v>
                </c:pt>
                <c:pt idx="377">
                  <c:v>378.0</c:v>
                </c:pt>
                <c:pt idx="378">
                  <c:v>379.0</c:v>
                </c:pt>
                <c:pt idx="379">
                  <c:v>380.0</c:v>
                </c:pt>
                <c:pt idx="380">
                  <c:v>381.0</c:v>
                </c:pt>
                <c:pt idx="381">
                  <c:v>382.0</c:v>
                </c:pt>
                <c:pt idx="382">
                  <c:v>383.0</c:v>
                </c:pt>
                <c:pt idx="383">
                  <c:v>384.0</c:v>
                </c:pt>
                <c:pt idx="384">
                  <c:v>385.0</c:v>
                </c:pt>
                <c:pt idx="385">
                  <c:v>386.0</c:v>
                </c:pt>
                <c:pt idx="386">
                  <c:v>387.0</c:v>
                </c:pt>
                <c:pt idx="387">
                  <c:v>388.0</c:v>
                </c:pt>
                <c:pt idx="388">
                  <c:v>389.0</c:v>
                </c:pt>
                <c:pt idx="389">
                  <c:v>390.0</c:v>
                </c:pt>
                <c:pt idx="390">
                  <c:v>391.0</c:v>
                </c:pt>
                <c:pt idx="391">
                  <c:v>392.0</c:v>
                </c:pt>
                <c:pt idx="392">
                  <c:v>393.0</c:v>
                </c:pt>
                <c:pt idx="393">
                  <c:v>394.0</c:v>
                </c:pt>
                <c:pt idx="394">
                  <c:v>395.0</c:v>
                </c:pt>
                <c:pt idx="395">
                  <c:v>396.0</c:v>
                </c:pt>
                <c:pt idx="396">
                  <c:v>397.0</c:v>
                </c:pt>
                <c:pt idx="397">
                  <c:v>398.0</c:v>
                </c:pt>
                <c:pt idx="398">
                  <c:v>399.0</c:v>
                </c:pt>
                <c:pt idx="399">
                  <c:v>400.0</c:v>
                </c:pt>
                <c:pt idx="400">
                  <c:v>401.0</c:v>
                </c:pt>
                <c:pt idx="401">
                  <c:v>402.0</c:v>
                </c:pt>
                <c:pt idx="402">
                  <c:v>403.0</c:v>
                </c:pt>
                <c:pt idx="403">
                  <c:v>404.0</c:v>
                </c:pt>
                <c:pt idx="404">
                  <c:v>405.0</c:v>
                </c:pt>
                <c:pt idx="405">
                  <c:v>406.0</c:v>
                </c:pt>
                <c:pt idx="406">
                  <c:v>407.0</c:v>
                </c:pt>
                <c:pt idx="407">
                  <c:v>408.0</c:v>
                </c:pt>
                <c:pt idx="408">
                  <c:v>409.0</c:v>
                </c:pt>
                <c:pt idx="409">
                  <c:v>410.0</c:v>
                </c:pt>
                <c:pt idx="410">
                  <c:v>411.0</c:v>
                </c:pt>
                <c:pt idx="411">
                  <c:v>412.0</c:v>
                </c:pt>
                <c:pt idx="412">
                  <c:v>413.0</c:v>
                </c:pt>
                <c:pt idx="413">
                  <c:v>414.0</c:v>
                </c:pt>
                <c:pt idx="414">
                  <c:v>415.0</c:v>
                </c:pt>
                <c:pt idx="415">
                  <c:v>416.0</c:v>
                </c:pt>
                <c:pt idx="416">
                  <c:v>417.0</c:v>
                </c:pt>
                <c:pt idx="417">
                  <c:v>418.0</c:v>
                </c:pt>
                <c:pt idx="418">
                  <c:v>419.0</c:v>
                </c:pt>
                <c:pt idx="419">
                  <c:v>420.0</c:v>
                </c:pt>
                <c:pt idx="420">
                  <c:v>421.0</c:v>
                </c:pt>
                <c:pt idx="421">
                  <c:v>422.0</c:v>
                </c:pt>
                <c:pt idx="422">
                  <c:v>423.0</c:v>
                </c:pt>
                <c:pt idx="423">
                  <c:v>424.0</c:v>
                </c:pt>
                <c:pt idx="424">
                  <c:v>425.0</c:v>
                </c:pt>
                <c:pt idx="425">
                  <c:v>426.0</c:v>
                </c:pt>
                <c:pt idx="426">
                  <c:v>427.0</c:v>
                </c:pt>
                <c:pt idx="427">
                  <c:v>428.0</c:v>
                </c:pt>
                <c:pt idx="428">
                  <c:v>429.0</c:v>
                </c:pt>
                <c:pt idx="429">
                  <c:v>430.0</c:v>
                </c:pt>
                <c:pt idx="430">
                  <c:v>431.0</c:v>
                </c:pt>
                <c:pt idx="431">
                  <c:v>432.0</c:v>
                </c:pt>
                <c:pt idx="432">
                  <c:v>433.0</c:v>
                </c:pt>
                <c:pt idx="433">
                  <c:v>434.0</c:v>
                </c:pt>
                <c:pt idx="434">
                  <c:v>435.0</c:v>
                </c:pt>
                <c:pt idx="435">
                  <c:v>436.0</c:v>
                </c:pt>
                <c:pt idx="436">
                  <c:v>437.0</c:v>
                </c:pt>
                <c:pt idx="437">
                  <c:v>438.0</c:v>
                </c:pt>
                <c:pt idx="438">
                  <c:v>439.0</c:v>
                </c:pt>
                <c:pt idx="439">
                  <c:v>440.0</c:v>
                </c:pt>
                <c:pt idx="440">
                  <c:v>441.0</c:v>
                </c:pt>
                <c:pt idx="441">
                  <c:v>442.0</c:v>
                </c:pt>
                <c:pt idx="442">
                  <c:v>443.0</c:v>
                </c:pt>
                <c:pt idx="443">
                  <c:v>444.0</c:v>
                </c:pt>
                <c:pt idx="444">
                  <c:v>445.0</c:v>
                </c:pt>
                <c:pt idx="445">
                  <c:v>446.0</c:v>
                </c:pt>
                <c:pt idx="446">
                  <c:v>447.0</c:v>
                </c:pt>
                <c:pt idx="447">
                  <c:v>448.0</c:v>
                </c:pt>
                <c:pt idx="448">
                  <c:v>449.0</c:v>
                </c:pt>
                <c:pt idx="449">
                  <c:v>450.0</c:v>
                </c:pt>
                <c:pt idx="450">
                  <c:v>451.0</c:v>
                </c:pt>
                <c:pt idx="451">
                  <c:v>452.0</c:v>
                </c:pt>
                <c:pt idx="452">
                  <c:v>453.0</c:v>
                </c:pt>
                <c:pt idx="453">
                  <c:v>454.0</c:v>
                </c:pt>
                <c:pt idx="454">
                  <c:v>455.0</c:v>
                </c:pt>
                <c:pt idx="455">
                  <c:v>456.0</c:v>
                </c:pt>
                <c:pt idx="456">
                  <c:v>457.0</c:v>
                </c:pt>
                <c:pt idx="457">
                  <c:v>458.0</c:v>
                </c:pt>
                <c:pt idx="458">
                  <c:v>459.0</c:v>
                </c:pt>
                <c:pt idx="459">
                  <c:v>460.0</c:v>
                </c:pt>
                <c:pt idx="460">
                  <c:v>461.0</c:v>
                </c:pt>
                <c:pt idx="461">
                  <c:v>462.0</c:v>
                </c:pt>
                <c:pt idx="462">
                  <c:v>463.0</c:v>
                </c:pt>
                <c:pt idx="463">
                  <c:v>464.0</c:v>
                </c:pt>
                <c:pt idx="464">
                  <c:v>465.0</c:v>
                </c:pt>
                <c:pt idx="465">
                  <c:v>466.0</c:v>
                </c:pt>
                <c:pt idx="466">
                  <c:v>467.0</c:v>
                </c:pt>
                <c:pt idx="467">
                  <c:v>468.0</c:v>
                </c:pt>
                <c:pt idx="468">
                  <c:v>469.0</c:v>
                </c:pt>
                <c:pt idx="469">
                  <c:v>470.0</c:v>
                </c:pt>
                <c:pt idx="470">
                  <c:v>471.0</c:v>
                </c:pt>
                <c:pt idx="471">
                  <c:v>472.0</c:v>
                </c:pt>
                <c:pt idx="472">
                  <c:v>473.0</c:v>
                </c:pt>
                <c:pt idx="473">
                  <c:v>474.0</c:v>
                </c:pt>
                <c:pt idx="474">
                  <c:v>475.0</c:v>
                </c:pt>
                <c:pt idx="475">
                  <c:v>476.0</c:v>
                </c:pt>
                <c:pt idx="476">
                  <c:v>477.0</c:v>
                </c:pt>
                <c:pt idx="477">
                  <c:v>478.0</c:v>
                </c:pt>
                <c:pt idx="478">
                  <c:v>479.0</c:v>
                </c:pt>
                <c:pt idx="479">
                  <c:v>480.0</c:v>
                </c:pt>
                <c:pt idx="480">
                  <c:v>481.0</c:v>
                </c:pt>
                <c:pt idx="481">
                  <c:v>482.0</c:v>
                </c:pt>
                <c:pt idx="482">
                  <c:v>483.0</c:v>
                </c:pt>
                <c:pt idx="483">
                  <c:v>484.0</c:v>
                </c:pt>
                <c:pt idx="484">
                  <c:v>485.0</c:v>
                </c:pt>
                <c:pt idx="485">
                  <c:v>486.0</c:v>
                </c:pt>
                <c:pt idx="486">
                  <c:v>487.0</c:v>
                </c:pt>
                <c:pt idx="487">
                  <c:v>488.0</c:v>
                </c:pt>
                <c:pt idx="488">
                  <c:v>489.0</c:v>
                </c:pt>
                <c:pt idx="489">
                  <c:v>490.0</c:v>
                </c:pt>
                <c:pt idx="490">
                  <c:v>491.0</c:v>
                </c:pt>
                <c:pt idx="491">
                  <c:v>492.0</c:v>
                </c:pt>
                <c:pt idx="492">
                  <c:v>493.0</c:v>
                </c:pt>
                <c:pt idx="493">
                  <c:v>494.0</c:v>
                </c:pt>
                <c:pt idx="494">
                  <c:v>495.0</c:v>
                </c:pt>
                <c:pt idx="495">
                  <c:v>496.0</c:v>
                </c:pt>
                <c:pt idx="496">
                  <c:v>497.0</c:v>
                </c:pt>
                <c:pt idx="497">
                  <c:v>498.0</c:v>
                </c:pt>
                <c:pt idx="498">
                  <c:v>499.0</c:v>
                </c:pt>
              </c:numCache>
            </c:numRef>
          </c:cat>
          <c:val>
            <c:numRef>
              <c:f>Calculations!$C$2:$C$500</c:f>
              <c:numCache>
                <c:formatCode>0</c:formatCode>
                <c:ptCount val="499"/>
                <c:pt idx="0">
                  <c:v>1.67</c:v>
                </c:pt>
                <c:pt idx="1">
                  <c:v>3.34</c:v>
                </c:pt>
                <c:pt idx="2">
                  <c:v>5.01</c:v>
                </c:pt>
                <c:pt idx="3">
                  <c:v>6.68</c:v>
                </c:pt>
                <c:pt idx="4">
                  <c:v>8.35</c:v>
                </c:pt>
                <c:pt idx="5">
                  <c:v>10.02</c:v>
                </c:pt>
                <c:pt idx="6">
                  <c:v>11.69</c:v>
                </c:pt>
                <c:pt idx="7">
                  <c:v>13.36</c:v>
                </c:pt>
                <c:pt idx="8">
                  <c:v>15.03</c:v>
                </c:pt>
                <c:pt idx="9">
                  <c:v>16.7</c:v>
                </c:pt>
                <c:pt idx="10">
                  <c:v>18.37</c:v>
                </c:pt>
                <c:pt idx="11">
                  <c:v>20.04</c:v>
                </c:pt>
                <c:pt idx="12">
                  <c:v>21.71</c:v>
                </c:pt>
                <c:pt idx="13">
                  <c:v>23.38</c:v>
                </c:pt>
                <c:pt idx="14">
                  <c:v>25.05</c:v>
                </c:pt>
                <c:pt idx="15">
                  <c:v>26.72</c:v>
                </c:pt>
                <c:pt idx="16">
                  <c:v>28.39</c:v>
                </c:pt>
                <c:pt idx="17">
                  <c:v>30.06</c:v>
                </c:pt>
                <c:pt idx="18">
                  <c:v>31.73</c:v>
                </c:pt>
                <c:pt idx="19">
                  <c:v>33.4</c:v>
                </c:pt>
                <c:pt idx="20">
                  <c:v>35.07</c:v>
                </c:pt>
                <c:pt idx="21">
                  <c:v>36.74</c:v>
                </c:pt>
                <c:pt idx="22">
                  <c:v>38.41</c:v>
                </c:pt>
                <c:pt idx="23">
                  <c:v>40.08</c:v>
                </c:pt>
                <c:pt idx="24">
                  <c:v>83.5</c:v>
                </c:pt>
                <c:pt idx="25">
                  <c:v>86.84</c:v>
                </c:pt>
                <c:pt idx="26">
                  <c:v>90.17999999999999</c:v>
                </c:pt>
                <c:pt idx="27">
                  <c:v>93.52</c:v>
                </c:pt>
                <c:pt idx="28">
                  <c:v>96.86</c:v>
                </c:pt>
                <c:pt idx="29">
                  <c:v>100.2</c:v>
                </c:pt>
                <c:pt idx="30">
                  <c:v>103.54</c:v>
                </c:pt>
                <c:pt idx="31">
                  <c:v>106.88</c:v>
                </c:pt>
                <c:pt idx="32">
                  <c:v>110.22</c:v>
                </c:pt>
                <c:pt idx="33">
                  <c:v>113.56</c:v>
                </c:pt>
                <c:pt idx="34">
                  <c:v>116.9</c:v>
                </c:pt>
                <c:pt idx="35">
                  <c:v>120.24</c:v>
                </c:pt>
                <c:pt idx="36">
                  <c:v>123.58</c:v>
                </c:pt>
                <c:pt idx="37">
                  <c:v>126.92</c:v>
                </c:pt>
                <c:pt idx="38">
                  <c:v>130.26</c:v>
                </c:pt>
                <c:pt idx="39">
                  <c:v>133.6</c:v>
                </c:pt>
                <c:pt idx="40">
                  <c:v>136.94</c:v>
                </c:pt>
                <c:pt idx="41">
                  <c:v>140.28</c:v>
                </c:pt>
                <c:pt idx="42">
                  <c:v>143.62</c:v>
                </c:pt>
                <c:pt idx="43">
                  <c:v>146.96</c:v>
                </c:pt>
                <c:pt idx="44">
                  <c:v>150.3</c:v>
                </c:pt>
                <c:pt idx="45">
                  <c:v>153.64</c:v>
                </c:pt>
                <c:pt idx="46">
                  <c:v>156.98</c:v>
                </c:pt>
                <c:pt idx="47">
                  <c:v>160.32</c:v>
                </c:pt>
                <c:pt idx="48">
                  <c:v>163.66</c:v>
                </c:pt>
                <c:pt idx="49">
                  <c:v>334.0</c:v>
                </c:pt>
                <c:pt idx="50">
                  <c:v>340.68</c:v>
                </c:pt>
                <c:pt idx="51">
                  <c:v>347.36</c:v>
                </c:pt>
                <c:pt idx="52">
                  <c:v>354.04</c:v>
                </c:pt>
                <c:pt idx="53">
                  <c:v>360.72</c:v>
                </c:pt>
                <c:pt idx="54">
                  <c:v>367.4</c:v>
                </c:pt>
                <c:pt idx="55">
                  <c:v>374.08</c:v>
                </c:pt>
                <c:pt idx="56">
                  <c:v>380.76</c:v>
                </c:pt>
                <c:pt idx="57">
                  <c:v>387.44</c:v>
                </c:pt>
                <c:pt idx="58">
                  <c:v>394.12</c:v>
                </c:pt>
                <c:pt idx="59">
                  <c:v>400.8</c:v>
                </c:pt>
                <c:pt idx="60">
                  <c:v>407.48</c:v>
                </c:pt>
                <c:pt idx="61">
                  <c:v>414.16</c:v>
                </c:pt>
                <c:pt idx="62">
                  <c:v>420.84</c:v>
                </c:pt>
                <c:pt idx="63">
                  <c:v>427.52</c:v>
                </c:pt>
                <c:pt idx="64">
                  <c:v>434.2</c:v>
                </c:pt>
                <c:pt idx="65">
                  <c:v>440.88</c:v>
                </c:pt>
                <c:pt idx="66">
                  <c:v>447.56</c:v>
                </c:pt>
                <c:pt idx="67">
                  <c:v>454.24</c:v>
                </c:pt>
                <c:pt idx="68">
                  <c:v>460.92</c:v>
                </c:pt>
                <c:pt idx="69">
                  <c:v>467.6</c:v>
                </c:pt>
                <c:pt idx="70">
                  <c:v>474.28</c:v>
                </c:pt>
                <c:pt idx="71">
                  <c:v>480.96</c:v>
                </c:pt>
                <c:pt idx="72">
                  <c:v>487.64</c:v>
                </c:pt>
                <c:pt idx="73">
                  <c:v>494.32</c:v>
                </c:pt>
                <c:pt idx="74">
                  <c:v>501.0</c:v>
                </c:pt>
                <c:pt idx="75">
                  <c:v>507.6799999999999</c:v>
                </c:pt>
                <c:pt idx="76">
                  <c:v>514.36</c:v>
                </c:pt>
                <c:pt idx="77">
                  <c:v>521.04</c:v>
                </c:pt>
                <c:pt idx="78">
                  <c:v>527.72</c:v>
                </c:pt>
                <c:pt idx="79">
                  <c:v>534.4</c:v>
                </c:pt>
                <c:pt idx="80">
                  <c:v>541.08</c:v>
                </c:pt>
                <c:pt idx="81">
                  <c:v>547.76</c:v>
                </c:pt>
                <c:pt idx="82">
                  <c:v>554.4399999999999</c:v>
                </c:pt>
                <c:pt idx="83">
                  <c:v>561.12</c:v>
                </c:pt>
                <c:pt idx="84">
                  <c:v>567.8</c:v>
                </c:pt>
                <c:pt idx="85">
                  <c:v>574.48</c:v>
                </c:pt>
                <c:pt idx="86">
                  <c:v>581.16</c:v>
                </c:pt>
                <c:pt idx="87">
                  <c:v>587.8399999999999</c:v>
                </c:pt>
                <c:pt idx="88">
                  <c:v>594.52</c:v>
                </c:pt>
                <c:pt idx="89">
                  <c:v>601.2</c:v>
                </c:pt>
                <c:pt idx="90">
                  <c:v>607.88</c:v>
                </c:pt>
                <c:pt idx="91">
                  <c:v>614.5599999999999</c:v>
                </c:pt>
                <c:pt idx="92">
                  <c:v>621.24</c:v>
                </c:pt>
                <c:pt idx="93">
                  <c:v>627.92</c:v>
                </c:pt>
                <c:pt idx="94">
                  <c:v>634.6</c:v>
                </c:pt>
                <c:pt idx="95">
                  <c:v>641.28</c:v>
                </c:pt>
                <c:pt idx="96">
                  <c:v>647.9599999999999</c:v>
                </c:pt>
                <c:pt idx="97">
                  <c:v>654.64</c:v>
                </c:pt>
                <c:pt idx="98">
                  <c:v>661.3199999999999</c:v>
                </c:pt>
                <c:pt idx="99">
                  <c:v>1336.0</c:v>
                </c:pt>
                <c:pt idx="100">
                  <c:v>1349.36</c:v>
                </c:pt>
                <c:pt idx="101">
                  <c:v>1362.72</c:v>
                </c:pt>
                <c:pt idx="102">
                  <c:v>1376.08</c:v>
                </c:pt>
                <c:pt idx="103">
                  <c:v>1389.44</c:v>
                </c:pt>
                <c:pt idx="104">
                  <c:v>1402.8</c:v>
                </c:pt>
                <c:pt idx="105">
                  <c:v>1416.16</c:v>
                </c:pt>
                <c:pt idx="106">
                  <c:v>1429.52</c:v>
                </c:pt>
                <c:pt idx="107">
                  <c:v>1442.88</c:v>
                </c:pt>
                <c:pt idx="108">
                  <c:v>1456.24</c:v>
                </c:pt>
                <c:pt idx="109">
                  <c:v>1469.6</c:v>
                </c:pt>
                <c:pt idx="110">
                  <c:v>1482.96</c:v>
                </c:pt>
                <c:pt idx="111">
                  <c:v>1496.32</c:v>
                </c:pt>
                <c:pt idx="112">
                  <c:v>1509.68</c:v>
                </c:pt>
                <c:pt idx="113">
                  <c:v>1523.04</c:v>
                </c:pt>
                <c:pt idx="114">
                  <c:v>1536.4</c:v>
                </c:pt>
                <c:pt idx="115">
                  <c:v>1549.76</c:v>
                </c:pt>
                <c:pt idx="116">
                  <c:v>1563.12</c:v>
                </c:pt>
                <c:pt idx="117">
                  <c:v>1576.48</c:v>
                </c:pt>
                <c:pt idx="118">
                  <c:v>1589.84</c:v>
                </c:pt>
                <c:pt idx="119">
                  <c:v>1603.2</c:v>
                </c:pt>
                <c:pt idx="120">
                  <c:v>1616.56</c:v>
                </c:pt>
                <c:pt idx="121">
                  <c:v>1629.92</c:v>
                </c:pt>
                <c:pt idx="122">
                  <c:v>1643.28</c:v>
                </c:pt>
                <c:pt idx="123">
                  <c:v>1656.64</c:v>
                </c:pt>
                <c:pt idx="124">
                  <c:v>1670.0</c:v>
                </c:pt>
                <c:pt idx="125">
                  <c:v>1683.36</c:v>
                </c:pt>
                <c:pt idx="126">
                  <c:v>1696.72</c:v>
                </c:pt>
                <c:pt idx="127">
                  <c:v>1710.08</c:v>
                </c:pt>
                <c:pt idx="128">
                  <c:v>1723.44</c:v>
                </c:pt>
                <c:pt idx="129">
                  <c:v>1736.8</c:v>
                </c:pt>
                <c:pt idx="130">
                  <c:v>1750.16</c:v>
                </c:pt>
                <c:pt idx="131">
                  <c:v>1763.52</c:v>
                </c:pt>
                <c:pt idx="132">
                  <c:v>1776.88</c:v>
                </c:pt>
                <c:pt idx="133">
                  <c:v>1790.24</c:v>
                </c:pt>
                <c:pt idx="134">
                  <c:v>1803.6</c:v>
                </c:pt>
                <c:pt idx="135">
                  <c:v>1816.96</c:v>
                </c:pt>
                <c:pt idx="136">
                  <c:v>1830.32</c:v>
                </c:pt>
                <c:pt idx="137">
                  <c:v>1843.68</c:v>
                </c:pt>
                <c:pt idx="138">
                  <c:v>1857.04</c:v>
                </c:pt>
                <c:pt idx="139">
                  <c:v>1870.4</c:v>
                </c:pt>
                <c:pt idx="140">
                  <c:v>1883.76</c:v>
                </c:pt>
                <c:pt idx="141">
                  <c:v>1897.12</c:v>
                </c:pt>
                <c:pt idx="142">
                  <c:v>1910.48</c:v>
                </c:pt>
                <c:pt idx="143">
                  <c:v>1923.84</c:v>
                </c:pt>
                <c:pt idx="144">
                  <c:v>1937.2</c:v>
                </c:pt>
                <c:pt idx="145">
                  <c:v>1950.56</c:v>
                </c:pt>
                <c:pt idx="146">
                  <c:v>1963.92</c:v>
                </c:pt>
                <c:pt idx="147">
                  <c:v>1977.28</c:v>
                </c:pt>
                <c:pt idx="148">
                  <c:v>1990.64</c:v>
                </c:pt>
                <c:pt idx="149">
                  <c:v>2004.0</c:v>
                </c:pt>
                <c:pt idx="150">
                  <c:v>2017.36</c:v>
                </c:pt>
                <c:pt idx="151">
                  <c:v>2030.72</c:v>
                </c:pt>
                <c:pt idx="152">
                  <c:v>2044.08</c:v>
                </c:pt>
                <c:pt idx="153">
                  <c:v>2057.44</c:v>
                </c:pt>
                <c:pt idx="154">
                  <c:v>2070.8</c:v>
                </c:pt>
                <c:pt idx="155">
                  <c:v>2084.16</c:v>
                </c:pt>
                <c:pt idx="156">
                  <c:v>2097.52</c:v>
                </c:pt>
                <c:pt idx="157">
                  <c:v>2110.88</c:v>
                </c:pt>
                <c:pt idx="158">
                  <c:v>2124.24</c:v>
                </c:pt>
                <c:pt idx="159">
                  <c:v>2137.6</c:v>
                </c:pt>
                <c:pt idx="160">
                  <c:v>2150.96</c:v>
                </c:pt>
                <c:pt idx="161">
                  <c:v>2164.32</c:v>
                </c:pt>
                <c:pt idx="162">
                  <c:v>2177.68</c:v>
                </c:pt>
                <c:pt idx="163">
                  <c:v>2191.04</c:v>
                </c:pt>
                <c:pt idx="164">
                  <c:v>2204.4</c:v>
                </c:pt>
                <c:pt idx="165">
                  <c:v>2217.76</c:v>
                </c:pt>
                <c:pt idx="166">
                  <c:v>2231.12</c:v>
                </c:pt>
                <c:pt idx="167">
                  <c:v>2244.48</c:v>
                </c:pt>
                <c:pt idx="168">
                  <c:v>2257.84</c:v>
                </c:pt>
                <c:pt idx="169">
                  <c:v>2271.2</c:v>
                </c:pt>
                <c:pt idx="170">
                  <c:v>2284.56</c:v>
                </c:pt>
                <c:pt idx="171">
                  <c:v>2297.92</c:v>
                </c:pt>
                <c:pt idx="172">
                  <c:v>2311.28</c:v>
                </c:pt>
                <c:pt idx="173">
                  <c:v>2324.64</c:v>
                </c:pt>
                <c:pt idx="174">
                  <c:v>2338.0</c:v>
                </c:pt>
                <c:pt idx="175">
                  <c:v>2351.36</c:v>
                </c:pt>
                <c:pt idx="176">
                  <c:v>2364.72</c:v>
                </c:pt>
                <c:pt idx="177">
                  <c:v>2378.08</c:v>
                </c:pt>
                <c:pt idx="178">
                  <c:v>2391.44</c:v>
                </c:pt>
                <c:pt idx="179">
                  <c:v>2404.8</c:v>
                </c:pt>
                <c:pt idx="180">
                  <c:v>2418.16</c:v>
                </c:pt>
                <c:pt idx="181">
                  <c:v>2431.52</c:v>
                </c:pt>
                <c:pt idx="182">
                  <c:v>2444.88</c:v>
                </c:pt>
                <c:pt idx="183">
                  <c:v>2458.24</c:v>
                </c:pt>
                <c:pt idx="184">
                  <c:v>2471.6</c:v>
                </c:pt>
                <c:pt idx="185">
                  <c:v>2484.96</c:v>
                </c:pt>
                <c:pt idx="186">
                  <c:v>2498.32</c:v>
                </c:pt>
                <c:pt idx="187">
                  <c:v>2511.68</c:v>
                </c:pt>
                <c:pt idx="188">
                  <c:v>2525.04</c:v>
                </c:pt>
                <c:pt idx="189">
                  <c:v>2538.4</c:v>
                </c:pt>
                <c:pt idx="190">
                  <c:v>2551.76</c:v>
                </c:pt>
                <c:pt idx="191">
                  <c:v>2565.12</c:v>
                </c:pt>
                <c:pt idx="192">
                  <c:v>2578.48</c:v>
                </c:pt>
                <c:pt idx="193">
                  <c:v>2591.84</c:v>
                </c:pt>
                <c:pt idx="194">
                  <c:v>2605.2</c:v>
                </c:pt>
                <c:pt idx="195">
                  <c:v>2618.56</c:v>
                </c:pt>
                <c:pt idx="196">
                  <c:v>2631.92</c:v>
                </c:pt>
                <c:pt idx="197">
                  <c:v>2645.28</c:v>
                </c:pt>
                <c:pt idx="198">
                  <c:v>2658.64</c:v>
                </c:pt>
                <c:pt idx="199">
                  <c:v>5344.0</c:v>
                </c:pt>
                <c:pt idx="200">
                  <c:v>5370.72</c:v>
                </c:pt>
                <c:pt idx="201">
                  <c:v>5397.44</c:v>
                </c:pt>
                <c:pt idx="202">
                  <c:v>5424.16</c:v>
                </c:pt>
                <c:pt idx="203">
                  <c:v>5450.88</c:v>
                </c:pt>
                <c:pt idx="204">
                  <c:v>5477.6</c:v>
                </c:pt>
                <c:pt idx="205">
                  <c:v>5504.32</c:v>
                </c:pt>
                <c:pt idx="206">
                  <c:v>5531.04</c:v>
                </c:pt>
                <c:pt idx="207">
                  <c:v>5557.76</c:v>
                </c:pt>
                <c:pt idx="208">
                  <c:v>5584.48</c:v>
                </c:pt>
                <c:pt idx="209">
                  <c:v>5611.2</c:v>
                </c:pt>
                <c:pt idx="210">
                  <c:v>5637.92</c:v>
                </c:pt>
                <c:pt idx="211">
                  <c:v>5664.64</c:v>
                </c:pt>
                <c:pt idx="212">
                  <c:v>5691.36</c:v>
                </c:pt>
                <c:pt idx="213">
                  <c:v>5718.08</c:v>
                </c:pt>
                <c:pt idx="214">
                  <c:v>5744.8</c:v>
                </c:pt>
                <c:pt idx="215">
                  <c:v>5771.52</c:v>
                </c:pt>
                <c:pt idx="216">
                  <c:v>5798.24</c:v>
                </c:pt>
                <c:pt idx="217">
                  <c:v>5824.96</c:v>
                </c:pt>
                <c:pt idx="218">
                  <c:v>5851.68</c:v>
                </c:pt>
                <c:pt idx="219">
                  <c:v>5878.4</c:v>
                </c:pt>
                <c:pt idx="220">
                  <c:v>5905.12</c:v>
                </c:pt>
                <c:pt idx="221">
                  <c:v>5931.84</c:v>
                </c:pt>
                <c:pt idx="222">
                  <c:v>5958.56</c:v>
                </c:pt>
                <c:pt idx="223">
                  <c:v>5985.28</c:v>
                </c:pt>
                <c:pt idx="224">
                  <c:v>6012.0</c:v>
                </c:pt>
                <c:pt idx="225">
                  <c:v>6038.72</c:v>
                </c:pt>
                <c:pt idx="226">
                  <c:v>6065.44</c:v>
                </c:pt>
                <c:pt idx="227">
                  <c:v>6092.16</c:v>
                </c:pt>
                <c:pt idx="228">
                  <c:v>6118.88</c:v>
                </c:pt>
                <c:pt idx="229">
                  <c:v>6145.6</c:v>
                </c:pt>
                <c:pt idx="230">
                  <c:v>6172.32</c:v>
                </c:pt>
                <c:pt idx="231">
                  <c:v>6199.04</c:v>
                </c:pt>
                <c:pt idx="232">
                  <c:v>6225.76</c:v>
                </c:pt>
                <c:pt idx="233">
                  <c:v>6252.48</c:v>
                </c:pt>
                <c:pt idx="234">
                  <c:v>6279.2</c:v>
                </c:pt>
                <c:pt idx="235">
                  <c:v>6305.92</c:v>
                </c:pt>
                <c:pt idx="236">
                  <c:v>6332.64</c:v>
                </c:pt>
                <c:pt idx="237">
                  <c:v>6359.36</c:v>
                </c:pt>
                <c:pt idx="238">
                  <c:v>6386.08</c:v>
                </c:pt>
                <c:pt idx="239">
                  <c:v>6412.8</c:v>
                </c:pt>
                <c:pt idx="240">
                  <c:v>6439.52</c:v>
                </c:pt>
                <c:pt idx="241">
                  <c:v>6466.24</c:v>
                </c:pt>
                <c:pt idx="242">
                  <c:v>6492.96</c:v>
                </c:pt>
                <c:pt idx="243">
                  <c:v>6519.68</c:v>
                </c:pt>
                <c:pt idx="244">
                  <c:v>6546.4</c:v>
                </c:pt>
                <c:pt idx="245">
                  <c:v>6573.12</c:v>
                </c:pt>
                <c:pt idx="246">
                  <c:v>6599.84</c:v>
                </c:pt>
                <c:pt idx="247">
                  <c:v>6626.56</c:v>
                </c:pt>
                <c:pt idx="248">
                  <c:v>6653.28</c:v>
                </c:pt>
                <c:pt idx="249">
                  <c:v>6680.0</c:v>
                </c:pt>
                <c:pt idx="250">
                  <c:v>6706.72</c:v>
                </c:pt>
                <c:pt idx="251">
                  <c:v>6733.44</c:v>
                </c:pt>
                <c:pt idx="252">
                  <c:v>6760.16</c:v>
                </c:pt>
                <c:pt idx="253">
                  <c:v>6786.88</c:v>
                </c:pt>
                <c:pt idx="254">
                  <c:v>6813.6</c:v>
                </c:pt>
                <c:pt idx="255">
                  <c:v>6840.32</c:v>
                </c:pt>
                <c:pt idx="256">
                  <c:v>6867.04</c:v>
                </c:pt>
                <c:pt idx="257">
                  <c:v>6893.76</c:v>
                </c:pt>
                <c:pt idx="258">
                  <c:v>6920.48</c:v>
                </c:pt>
                <c:pt idx="259">
                  <c:v>6947.2</c:v>
                </c:pt>
                <c:pt idx="260">
                  <c:v>6973.92</c:v>
                </c:pt>
                <c:pt idx="261">
                  <c:v>7000.64</c:v>
                </c:pt>
                <c:pt idx="262">
                  <c:v>7027.36</c:v>
                </c:pt>
                <c:pt idx="263">
                  <c:v>7054.08</c:v>
                </c:pt>
                <c:pt idx="264">
                  <c:v>7080.8</c:v>
                </c:pt>
                <c:pt idx="265">
                  <c:v>7107.52</c:v>
                </c:pt>
                <c:pt idx="266">
                  <c:v>7134.24</c:v>
                </c:pt>
                <c:pt idx="267">
                  <c:v>7160.96</c:v>
                </c:pt>
                <c:pt idx="268">
                  <c:v>7187.68</c:v>
                </c:pt>
                <c:pt idx="269">
                  <c:v>7214.4</c:v>
                </c:pt>
                <c:pt idx="270">
                  <c:v>7241.12</c:v>
                </c:pt>
                <c:pt idx="271">
                  <c:v>7267.84</c:v>
                </c:pt>
                <c:pt idx="272">
                  <c:v>7294.56</c:v>
                </c:pt>
                <c:pt idx="273">
                  <c:v>7321.28</c:v>
                </c:pt>
                <c:pt idx="274">
                  <c:v>7348.0</c:v>
                </c:pt>
                <c:pt idx="275">
                  <c:v>7374.72</c:v>
                </c:pt>
                <c:pt idx="276">
                  <c:v>7401.44</c:v>
                </c:pt>
                <c:pt idx="277">
                  <c:v>7428.16</c:v>
                </c:pt>
                <c:pt idx="278">
                  <c:v>7454.88</c:v>
                </c:pt>
                <c:pt idx="279">
                  <c:v>7481.6</c:v>
                </c:pt>
                <c:pt idx="280">
                  <c:v>7508.32</c:v>
                </c:pt>
                <c:pt idx="281">
                  <c:v>7535.04</c:v>
                </c:pt>
                <c:pt idx="282">
                  <c:v>7561.76</c:v>
                </c:pt>
                <c:pt idx="283">
                  <c:v>7588.48</c:v>
                </c:pt>
                <c:pt idx="284">
                  <c:v>7615.2</c:v>
                </c:pt>
                <c:pt idx="285">
                  <c:v>7641.92</c:v>
                </c:pt>
                <c:pt idx="286">
                  <c:v>7668.64</c:v>
                </c:pt>
                <c:pt idx="287">
                  <c:v>7695.36</c:v>
                </c:pt>
                <c:pt idx="288">
                  <c:v>7722.08</c:v>
                </c:pt>
                <c:pt idx="289">
                  <c:v>7748.8</c:v>
                </c:pt>
                <c:pt idx="290">
                  <c:v>7775.52</c:v>
                </c:pt>
                <c:pt idx="291">
                  <c:v>7802.24</c:v>
                </c:pt>
                <c:pt idx="292">
                  <c:v>7828.96</c:v>
                </c:pt>
                <c:pt idx="293">
                  <c:v>7855.68</c:v>
                </c:pt>
                <c:pt idx="294">
                  <c:v>7882.4</c:v>
                </c:pt>
                <c:pt idx="295">
                  <c:v>7909.12</c:v>
                </c:pt>
                <c:pt idx="296">
                  <c:v>7935.84</c:v>
                </c:pt>
                <c:pt idx="297">
                  <c:v>7962.56</c:v>
                </c:pt>
                <c:pt idx="298">
                  <c:v>7989.28</c:v>
                </c:pt>
                <c:pt idx="299">
                  <c:v>16032.0</c:v>
                </c:pt>
                <c:pt idx="300">
                  <c:v>16085.44</c:v>
                </c:pt>
                <c:pt idx="301">
                  <c:v>16138.88</c:v>
                </c:pt>
                <c:pt idx="302">
                  <c:v>16192.32</c:v>
                </c:pt>
                <c:pt idx="303">
                  <c:v>16245.76</c:v>
                </c:pt>
                <c:pt idx="304">
                  <c:v>16299.2</c:v>
                </c:pt>
                <c:pt idx="305">
                  <c:v>16352.64</c:v>
                </c:pt>
                <c:pt idx="306">
                  <c:v>16406.08</c:v>
                </c:pt>
                <c:pt idx="307">
                  <c:v>16459.52</c:v>
                </c:pt>
                <c:pt idx="308">
                  <c:v>16512.96</c:v>
                </c:pt>
                <c:pt idx="309">
                  <c:v>16566.4</c:v>
                </c:pt>
                <c:pt idx="310">
                  <c:v>16619.84</c:v>
                </c:pt>
                <c:pt idx="311">
                  <c:v>16673.28</c:v>
                </c:pt>
                <c:pt idx="312">
                  <c:v>16726.72</c:v>
                </c:pt>
                <c:pt idx="313">
                  <c:v>16780.16</c:v>
                </c:pt>
                <c:pt idx="314">
                  <c:v>16833.6</c:v>
                </c:pt>
                <c:pt idx="315">
                  <c:v>16887.04</c:v>
                </c:pt>
                <c:pt idx="316">
                  <c:v>16940.48</c:v>
                </c:pt>
                <c:pt idx="317">
                  <c:v>16993.92</c:v>
                </c:pt>
                <c:pt idx="318">
                  <c:v>17047.36</c:v>
                </c:pt>
                <c:pt idx="319">
                  <c:v>17100.8</c:v>
                </c:pt>
                <c:pt idx="320">
                  <c:v>17154.24</c:v>
                </c:pt>
                <c:pt idx="321">
                  <c:v>17207.68</c:v>
                </c:pt>
                <c:pt idx="322">
                  <c:v>17261.12</c:v>
                </c:pt>
                <c:pt idx="323">
                  <c:v>17314.56</c:v>
                </c:pt>
                <c:pt idx="324">
                  <c:v>17368.0</c:v>
                </c:pt>
                <c:pt idx="325">
                  <c:v>17421.44</c:v>
                </c:pt>
                <c:pt idx="326">
                  <c:v>17474.88</c:v>
                </c:pt>
                <c:pt idx="327">
                  <c:v>17528.32</c:v>
                </c:pt>
                <c:pt idx="328">
                  <c:v>17581.76</c:v>
                </c:pt>
                <c:pt idx="329">
                  <c:v>17635.2</c:v>
                </c:pt>
                <c:pt idx="330">
                  <c:v>17688.64</c:v>
                </c:pt>
                <c:pt idx="331">
                  <c:v>17742.08</c:v>
                </c:pt>
                <c:pt idx="332">
                  <c:v>17795.52</c:v>
                </c:pt>
                <c:pt idx="333">
                  <c:v>17848.96</c:v>
                </c:pt>
                <c:pt idx="334">
                  <c:v>17902.4</c:v>
                </c:pt>
                <c:pt idx="335">
                  <c:v>17955.84</c:v>
                </c:pt>
                <c:pt idx="336">
                  <c:v>18009.28</c:v>
                </c:pt>
                <c:pt idx="337">
                  <c:v>18062.72</c:v>
                </c:pt>
                <c:pt idx="338">
                  <c:v>18116.16</c:v>
                </c:pt>
                <c:pt idx="339">
                  <c:v>18169.6</c:v>
                </c:pt>
                <c:pt idx="340">
                  <c:v>18223.04</c:v>
                </c:pt>
                <c:pt idx="341">
                  <c:v>18276.48</c:v>
                </c:pt>
                <c:pt idx="342">
                  <c:v>18329.92</c:v>
                </c:pt>
                <c:pt idx="343">
                  <c:v>18383.36</c:v>
                </c:pt>
                <c:pt idx="344">
                  <c:v>18436.8</c:v>
                </c:pt>
                <c:pt idx="345">
                  <c:v>18490.24</c:v>
                </c:pt>
                <c:pt idx="346">
                  <c:v>18543.68</c:v>
                </c:pt>
                <c:pt idx="347">
                  <c:v>18597.12</c:v>
                </c:pt>
                <c:pt idx="348">
                  <c:v>18650.56</c:v>
                </c:pt>
                <c:pt idx="349">
                  <c:v>18704.0</c:v>
                </c:pt>
                <c:pt idx="350">
                  <c:v>18757.44</c:v>
                </c:pt>
                <c:pt idx="351">
                  <c:v>18810.88</c:v>
                </c:pt>
                <c:pt idx="352">
                  <c:v>18864.32</c:v>
                </c:pt>
                <c:pt idx="353">
                  <c:v>18917.76</c:v>
                </c:pt>
                <c:pt idx="354">
                  <c:v>18971.2</c:v>
                </c:pt>
                <c:pt idx="355">
                  <c:v>19024.64</c:v>
                </c:pt>
                <c:pt idx="356">
                  <c:v>19078.08</c:v>
                </c:pt>
                <c:pt idx="357">
                  <c:v>19131.52</c:v>
                </c:pt>
                <c:pt idx="358">
                  <c:v>19184.96</c:v>
                </c:pt>
                <c:pt idx="359">
                  <c:v>19238.4</c:v>
                </c:pt>
                <c:pt idx="360">
                  <c:v>19291.84</c:v>
                </c:pt>
                <c:pt idx="361">
                  <c:v>19345.28</c:v>
                </c:pt>
                <c:pt idx="362">
                  <c:v>19398.72</c:v>
                </c:pt>
                <c:pt idx="363">
                  <c:v>19452.16</c:v>
                </c:pt>
                <c:pt idx="364">
                  <c:v>19505.6</c:v>
                </c:pt>
                <c:pt idx="365">
                  <c:v>19559.04</c:v>
                </c:pt>
                <c:pt idx="366">
                  <c:v>19612.48</c:v>
                </c:pt>
                <c:pt idx="367">
                  <c:v>19665.92</c:v>
                </c:pt>
                <c:pt idx="368">
                  <c:v>19719.36</c:v>
                </c:pt>
                <c:pt idx="369">
                  <c:v>19772.8</c:v>
                </c:pt>
                <c:pt idx="370">
                  <c:v>19826.24</c:v>
                </c:pt>
                <c:pt idx="371">
                  <c:v>19879.68</c:v>
                </c:pt>
                <c:pt idx="372">
                  <c:v>19933.12</c:v>
                </c:pt>
                <c:pt idx="373">
                  <c:v>19986.56</c:v>
                </c:pt>
                <c:pt idx="374">
                  <c:v>20040.0</c:v>
                </c:pt>
                <c:pt idx="375">
                  <c:v>20093.44</c:v>
                </c:pt>
                <c:pt idx="376">
                  <c:v>20146.88</c:v>
                </c:pt>
                <c:pt idx="377">
                  <c:v>20200.32</c:v>
                </c:pt>
                <c:pt idx="378">
                  <c:v>20253.76</c:v>
                </c:pt>
                <c:pt idx="379">
                  <c:v>20307.2</c:v>
                </c:pt>
                <c:pt idx="380">
                  <c:v>20360.64</c:v>
                </c:pt>
                <c:pt idx="381">
                  <c:v>20414.08</c:v>
                </c:pt>
                <c:pt idx="382">
                  <c:v>20467.52</c:v>
                </c:pt>
                <c:pt idx="383">
                  <c:v>20520.96</c:v>
                </c:pt>
                <c:pt idx="384">
                  <c:v>20574.4</c:v>
                </c:pt>
                <c:pt idx="385">
                  <c:v>20627.84</c:v>
                </c:pt>
                <c:pt idx="386">
                  <c:v>20681.28</c:v>
                </c:pt>
                <c:pt idx="387">
                  <c:v>20734.72</c:v>
                </c:pt>
                <c:pt idx="388">
                  <c:v>20788.16</c:v>
                </c:pt>
                <c:pt idx="389">
                  <c:v>20841.6</c:v>
                </c:pt>
                <c:pt idx="390">
                  <c:v>20895.04</c:v>
                </c:pt>
                <c:pt idx="391">
                  <c:v>20948.48</c:v>
                </c:pt>
                <c:pt idx="392">
                  <c:v>21001.92</c:v>
                </c:pt>
                <c:pt idx="393">
                  <c:v>21055.36</c:v>
                </c:pt>
                <c:pt idx="394">
                  <c:v>21108.8</c:v>
                </c:pt>
                <c:pt idx="395">
                  <c:v>21162.24</c:v>
                </c:pt>
                <c:pt idx="396">
                  <c:v>21215.68</c:v>
                </c:pt>
                <c:pt idx="397">
                  <c:v>21269.12</c:v>
                </c:pt>
                <c:pt idx="398">
                  <c:v>21322.56</c:v>
                </c:pt>
                <c:pt idx="399">
                  <c:v>42752.0</c:v>
                </c:pt>
                <c:pt idx="400">
                  <c:v>42858.88</c:v>
                </c:pt>
                <c:pt idx="401">
                  <c:v>42965.76</c:v>
                </c:pt>
                <c:pt idx="402">
                  <c:v>43072.64</c:v>
                </c:pt>
                <c:pt idx="403">
                  <c:v>43179.52</c:v>
                </c:pt>
                <c:pt idx="404">
                  <c:v>43286.4</c:v>
                </c:pt>
                <c:pt idx="405">
                  <c:v>43393.28</c:v>
                </c:pt>
                <c:pt idx="406">
                  <c:v>43500.16</c:v>
                </c:pt>
                <c:pt idx="407">
                  <c:v>43607.04</c:v>
                </c:pt>
                <c:pt idx="408">
                  <c:v>43713.92</c:v>
                </c:pt>
                <c:pt idx="409">
                  <c:v>43820.8</c:v>
                </c:pt>
                <c:pt idx="410">
                  <c:v>43927.68</c:v>
                </c:pt>
                <c:pt idx="411">
                  <c:v>44034.56</c:v>
                </c:pt>
                <c:pt idx="412">
                  <c:v>44141.44</c:v>
                </c:pt>
                <c:pt idx="413">
                  <c:v>44248.32</c:v>
                </c:pt>
                <c:pt idx="414">
                  <c:v>44355.2</c:v>
                </c:pt>
                <c:pt idx="415">
                  <c:v>44462.08</c:v>
                </c:pt>
                <c:pt idx="416">
                  <c:v>44568.96</c:v>
                </c:pt>
                <c:pt idx="417">
                  <c:v>44675.84</c:v>
                </c:pt>
                <c:pt idx="418">
                  <c:v>44782.72</c:v>
                </c:pt>
                <c:pt idx="419">
                  <c:v>44889.6</c:v>
                </c:pt>
                <c:pt idx="420">
                  <c:v>44996.48</c:v>
                </c:pt>
                <c:pt idx="421">
                  <c:v>45103.36</c:v>
                </c:pt>
                <c:pt idx="422">
                  <c:v>45210.24</c:v>
                </c:pt>
                <c:pt idx="423">
                  <c:v>45317.12</c:v>
                </c:pt>
                <c:pt idx="424">
                  <c:v>45424.0</c:v>
                </c:pt>
                <c:pt idx="425">
                  <c:v>45530.88</c:v>
                </c:pt>
                <c:pt idx="426">
                  <c:v>45637.76</c:v>
                </c:pt>
                <c:pt idx="427">
                  <c:v>45744.64</c:v>
                </c:pt>
                <c:pt idx="428">
                  <c:v>45851.52</c:v>
                </c:pt>
                <c:pt idx="429">
                  <c:v>45958.4</c:v>
                </c:pt>
                <c:pt idx="430">
                  <c:v>46065.28</c:v>
                </c:pt>
                <c:pt idx="431">
                  <c:v>46172.16</c:v>
                </c:pt>
                <c:pt idx="432">
                  <c:v>46279.04</c:v>
                </c:pt>
                <c:pt idx="433">
                  <c:v>46385.92</c:v>
                </c:pt>
                <c:pt idx="434">
                  <c:v>46492.8</c:v>
                </c:pt>
                <c:pt idx="435">
                  <c:v>46599.68</c:v>
                </c:pt>
                <c:pt idx="436">
                  <c:v>46706.56</c:v>
                </c:pt>
                <c:pt idx="437">
                  <c:v>46813.44</c:v>
                </c:pt>
                <c:pt idx="438">
                  <c:v>46920.32</c:v>
                </c:pt>
                <c:pt idx="439">
                  <c:v>47027.2</c:v>
                </c:pt>
                <c:pt idx="440">
                  <c:v>47134.08</c:v>
                </c:pt>
                <c:pt idx="441">
                  <c:v>47240.96</c:v>
                </c:pt>
                <c:pt idx="442">
                  <c:v>47347.84</c:v>
                </c:pt>
                <c:pt idx="443">
                  <c:v>47454.72</c:v>
                </c:pt>
                <c:pt idx="444">
                  <c:v>47561.6</c:v>
                </c:pt>
                <c:pt idx="445">
                  <c:v>47668.48</c:v>
                </c:pt>
                <c:pt idx="446">
                  <c:v>47775.36</c:v>
                </c:pt>
                <c:pt idx="447">
                  <c:v>47882.24</c:v>
                </c:pt>
                <c:pt idx="448">
                  <c:v>47989.12</c:v>
                </c:pt>
                <c:pt idx="449">
                  <c:v>48096.0</c:v>
                </c:pt>
                <c:pt idx="450">
                  <c:v>48202.88</c:v>
                </c:pt>
                <c:pt idx="451">
                  <c:v>48309.76</c:v>
                </c:pt>
                <c:pt idx="452">
                  <c:v>48416.64</c:v>
                </c:pt>
                <c:pt idx="453">
                  <c:v>48523.52</c:v>
                </c:pt>
                <c:pt idx="454">
                  <c:v>48630.4</c:v>
                </c:pt>
                <c:pt idx="455">
                  <c:v>48737.28</c:v>
                </c:pt>
                <c:pt idx="456">
                  <c:v>48844.16</c:v>
                </c:pt>
                <c:pt idx="457">
                  <c:v>48951.04</c:v>
                </c:pt>
                <c:pt idx="458">
                  <c:v>49057.92</c:v>
                </c:pt>
                <c:pt idx="459">
                  <c:v>49164.8</c:v>
                </c:pt>
                <c:pt idx="460">
                  <c:v>49271.68</c:v>
                </c:pt>
                <c:pt idx="461">
                  <c:v>49378.56</c:v>
                </c:pt>
                <c:pt idx="462">
                  <c:v>49485.44</c:v>
                </c:pt>
                <c:pt idx="463">
                  <c:v>49592.32</c:v>
                </c:pt>
                <c:pt idx="464">
                  <c:v>49699.2</c:v>
                </c:pt>
                <c:pt idx="465">
                  <c:v>49806.08</c:v>
                </c:pt>
                <c:pt idx="466">
                  <c:v>49912.96</c:v>
                </c:pt>
                <c:pt idx="467">
                  <c:v>50019.84</c:v>
                </c:pt>
                <c:pt idx="468">
                  <c:v>50126.72</c:v>
                </c:pt>
                <c:pt idx="469">
                  <c:v>50233.6</c:v>
                </c:pt>
                <c:pt idx="470">
                  <c:v>50340.48</c:v>
                </c:pt>
                <c:pt idx="471">
                  <c:v>50447.36</c:v>
                </c:pt>
                <c:pt idx="472">
                  <c:v>50554.24</c:v>
                </c:pt>
                <c:pt idx="473">
                  <c:v>50661.12</c:v>
                </c:pt>
                <c:pt idx="474">
                  <c:v>50768.0</c:v>
                </c:pt>
                <c:pt idx="475">
                  <c:v>50874.88</c:v>
                </c:pt>
                <c:pt idx="476">
                  <c:v>50981.76</c:v>
                </c:pt>
                <c:pt idx="477">
                  <c:v>51088.64</c:v>
                </c:pt>
                <c:pt idx="478">
                  <c:v>51195.52</c:v>
                </c:pt>
                <c:pt idx="479">
                  <c:v>51302.4</c:v>
                </c:pt>
                <c:pt idx="480">
                  <c:v>51409.28</c:v>
                </c:pt>
                <c:pt idx="481">
                  <c:v>51516.16</c:v>
                </c:pt>
                <c:pt idx="482">
                  <c:v>51623.04</c:v>
                </c:pt>
                <c:pt idx="483">
                  <c:v>51729.92</c:v>
                </c:pt>
                <c:pt idx="484">
                  <c:v>51836.8</c:v>
                </c:pt>
                <c:pt idx="485">
                  <c:v>51943.68</c:v>
                </c:pt>
                <c:pt idx="486">
                  <c:v>52050.56</c:v>
                </c:pt>
                <c:pt idx="487">
                  <c:v>52157.44</c:v>
                </c:pt>
                <c:pt idx="488">
                  <c:v>52264.32</c:v>
                </c:pt>
                <c:pt idx="489">
                  <c:v>52371.2</c:v>
                </c:pt>
                <c:pt idx="490">
                  <c:v>52478.08</c:v>
                </c:pt>
                <c:pt idx="491">
                  <c:v>52584.96</c:v>
                </c:pt>
                <c:pt idx="492">
                  <c:v>52691.84</c:v>
                </c:pt>
                <c:pt idx="493">
                  <c:v>52798.72</c:v>
                </c:pt>
                <c:pt idx="494">
                  <c:v>52905.6</c:v>
                </c:pt>
                <c:pt idx="495">
                  <c:v>53012.48</c:v>
                </c:pt>
                <c:pt idx="496">
                  <c:v>53119.36</c:v>
                </c:pt>
                <c:pt idx="497">
                  <c:v>53226.24</c:v>
                </c:pt>
                <c:pt idx="498">
                  <c:v>53333.12</c:v>
                </c:pt>
              </c:numCache>
            </c:numRef>
          </c:val>
          <c:smooth val="0"/>
        </c:ser>
        <c:ser>
          <c:idx val="2"/>
          <c:order val="2"/>
          <c:tx>
            <c:strRef>
              <c:f>Calculations!$F$1</c:f>
              <c:strCache>
                <c:ptCount val="1"/>
                <c:pt idx="0">
                  <c:v>Prestige 1</c:v>
                </c:pt>
              </c:strCache>
            </c:strRef>
          </c:tx>
          <c:spPr>
            <a:ln w="25400" cmpd="sng">
              <a:solidFill>
                <a:srgbClr val="FF9900"/>
              </a:solidFill>
            </a:ln>
          </c:spPr>
          <c:marker>
            <c:symbol val="none"/>
          </c:marker>
          <c:cat>
            <c:numRef>
              <c:f>Calculations!$A$2:$A$500</c:f>
              <c:numCache>
                <c:formatCode>General</c:formatCode>
                <c:ptCount val="4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pt idx="99">
                  <c:v>100.0</c:v>
                </c:pt>
                <c:pt idx="100">
                  <c:v>101.0</c:v>
                </c:pt>
                <c:pt idx="101">
                  <c:v>102.0</c:v>
                </c:pt>
                <c:pt idx="102">
                  <c:v>103.0</c:v>
                </c:pt>
                <c:pt idx="103">
                  <c:v>104.0</c:v>
                </c:pt>
                <c:pt idx="104">
                  <c:v>105.0</c:v>
                </c:pt>
                <c:pt idx="105">
                  <c:v>106.0</c:v>
                </c:pt>
                <c:pt idx="106">
                  <c:v>107.0</c:v>
                </c:pt>
                <c:pt idx="107">
                  <c:v>108.0</c:v>
                </c:pt>
                <c:pt idx="108">
                  <c:v>109.0</c:v>
                </c:pt>
                <c:pt idx="109">
                  <c:v>110.0</c:v>
                </c:pt>
                <c:pt idx="110">
                  <c:v>111.0</c:v>
                </c:pt>
                <c:pt idx="111">
                  <c:v>112.0</c:v>
                </c:pt>
                <c:pt idx="112">
                  <c:v>113.0</c:v>
                </c:pt>
                <c:pt idx="113">
                  <c:v>114.0</c:v>
                </c:pt>
                <c:pt idx="114">
                  <c:v>115.0</c:v>
                </c:pt>
                <c:pt idx="115">
                  <c:v>116.0</c:v>
                </c:pt>
                <c:pt idx="116">
                  <c:v>117.0</c:v>
                </c:pt>
                <c:pt idx="117">
                  <c:v>118.0</c:v>
                </c:pt>
                <c:pt idx="118">
                  <c:v>119.0</c:v>
                </c:pt>
                <c:pt idx="119">
                  <c:v>120.0</c:v>
                </c:pt>
                <c:pt idx="120">
                  <c:v>121.0</c:v>
                </c:pt>
                <c:pt idx="121">
                  <c:v>122.0</c:v>
                </c:pt>
                <c:pt idx="122">
                  <c:v>123.0</c:v>
                </c:pt>
                <c:pt idx="123">
                  <c:v>124.0</c:v>
                </c:pt>
                <c:pt idx="124">
                  <c:v>125.0</c:v>
                </c:pt>
                <c:pt idx="125">
                  <c:v>126.0</c:v>
                </c:pt>
                <c:pt idx="126">
                  <c:v>127.0</c:v>
                </c:pt>
                <c:pt idx="127">
                  <c:v>128.0</c:v>
                </c:pt>
                <c:pt idx="128">
                  <c:v>129.0</c:v>
                </c:pt>
                <c:pt idx="129">
                  <c:v>130.0</c:v>
                </c:pt>
                <c:pt idx="130">
                  <c:v>131.0</c:v>
                </c:pt>
                <c:pt idx="131">
                  <c:v>132.0</c:v>
                </c:pt>
                <c:pt idx="132">
                  <c:v>133.0</c:v>
                </c:pt>
                <c:pt idx="133">
                  <c:v>134.0</c:v>
                </c:pt>
                <c:pt idx="134">
                  <c:v>135.0</c:v>
                </c:pt>
                <c:pt idx="135">
                  <c:v>136.0</c:v>
                </c:pt>
                <c:pt idx="136">
                  <c:v>137.0</c:v>
                </c:pt>
                <c:pt idx="137">
                  <c:v>138.0</c:v>
                </c:pt>
                <c:pt idx="138">
                  <c:v>139.0</c:v>
                </c:pt>
                <c:pt idx="139">
                  <c:v>140.0</c:v>
                </c:pt>
                <c:pt idx="140">
                  <c:v>141.0</c:v>
                </c:pt>
                <c:pt idx="141">
                  <c:v>142.0</c:v>
                </c:pt>
                <c:pt idx="142">
                  <c:v>143.0</c:v>
                </c:pt>
                <c:pt idx="143">
                  <c:v>144.0</c:v>
                </c:pt>
                <c:pt idx="144">
                  <c:v>145.0</c:v>
                </c:pt>
                <c:pt idx="145">
                  <c:v>146.0</c:v>
                </c:pt>
                <c:pt idx="146">
                  <c:v>147.0</c:v>
                </c:pt>
                <c:pt idx="147">
                  <c:v>148.0</c:v>
                </c:pt>
                <c:pt idx="148">
                  <c:v>149.0</c:v>
                </c:pt>
                <c:pt idx="149">
                  <c:v>150.0</c:v>
                </c:pt>
                <c:pt idx="150">
                  <c:v>151.0</c:v>
                </c:pt>
                <c:pt idx="151">
                  <c:v>152.0</c:v>
                </c:pt>
                <c:pt idx="152">
                  <c:v>153.0</c:v>
                </c:pt>
                <c:pt idx="153">
                  <c:v>154.0</c:v>
                </c:pt>
                <c:pt idx="154">
                  <c:v>155.0</c:v>
                </c:pt>
                <c:pt idx="155">
                  <c:v>156.0</c:v>
                </c:pt>
                <c:pt idx="156">
                  <c:v>157.0</c:v>
                </c:pt>
                <c:pt idx="157">
                  <c:v>158.0</c:v>
                </c:pt>
                <c:pt idx="158">
                  <c:v>159.0</c:v>
                </c:pt>
                <c:pt idx="159">
                  <c:v>160.0</c:v>
                </c:pt>
                <c:pt idx="160">
                  <c:v>161.0</c:v>
                </c:pt>
                <c:pt idx="161">
                  <c:v>162.0</c:v>
                </c:pt>
                <c:pt idx="162">
                  <c:v>163.0</c:v>
                </c:pt>
                <c:pt idx="163">
                  <c:v>164.0</c:v>
                </c:pt>
                <c:pt idx="164">
                  <c:v>165.0</c:v>
                </c:pt>
                <c:pt idx="165">
                  <c:v>166.0</c:v>
                </c:pt>
                <c:pt idx="166">
                  <c:v>167.0</c:v>
                </c:pt>
                <c:pt idx="167">
                  <c:v>168.0</c:v>
                </c:pt>
                <c:pt idx="168">
                  <c:v>169.0</c:v>
                </c:pt>
                <c:pt idx="169">
                  <c:v>170.0</c:v>
                </c:pt>
                <c:pt idx="170">
                  <c:v>171.0</c:v>
                </c:pt>
                <c:pt idx="171">
                  <c:v>172.0</c:v>
                </c:pt>
                <c:pt idx="172">
                  <c:v>173.0</c:v>
                </c:pt>
                <c:pt idx="173">
                  <c:v>174.0</c:v>
                </c:pt>
                <c:pt idx="174">
                  <c:v>175.0</c:v>
                </c:pt>
                <c:pt idx="175">
                  <c:v>176.0</c:v>
                </c:pt>
                <c:pt idx="176">
                  <c:v>177.0</c:v>
                </c:pt>
                <c:pt idx="177">
                  <c:v>178.0</c:v>
                </c:pt>
                <c:pt idx="178">
                  <c:v>179.0</c:v>
                </c:pt>
                <c:pt idx="179">
                  <c:v>180.0</c:v>
                </c:pt>
                <c:pt idx="180">
                  <c:v>181.0</c:v>
                </c:pt>
                <c:pt idx="181">
                  <c:v>182.0</c:v>
                </c:pt>
                <c:pt idx="182">
                  <c:v>183.0</c:v>
                </c:pt>
                <c:pt idx="183">
                  <c:v>184.0</c:v>
                </c:pt>
                <c:pt idx="184">
                  <c:v>185.0</c:v>
                </c:pt>
                <c:pt idx="185">
                  <c:v>186.0</c:v>
                </c:pt>
                <c:pt idx="186">
                  <c:v>187.0</c:v>
                </c:pt>
                <c:pt idx="187">
                  <c:v>188.0</c:v>
                </c:pt>
                <c:pt idx="188">
                  <c:v>189.0</c:v>
                </c:pt>
                <c:pt idx="189">
                  <c:v>190.0</c:v>
                </c:pt>
                <c:pt idx="190">
                  <c:v>191.0</c:v>
                </c:pt>
                <c:pt idx="191">
                  <c:v>192.0</c:v>
                </c:pt>
                <c:pt idx="192">
                  <c:v>193.0</c:v>
                </c:pt>
                <c:pt idx="193">
                  <c:v>194.0</c:v>
                </c:pt>
                <c:pt idx="194">
                  <c:v>195.0</c:v>
                </c:pt>
                <c:pt idx="195">
                  <c:v>196.0</c:v>
                </c:pt>
                <c:pt idx="196">
                  <c:v>197.0</c:v>
                </c:pt>
                <c:pt idx="197">
                  <c:v>198.0</c:v>
                </c:pt>
                <c:pt idx="198">
                  <c:v>199.0</c:v>
                </c:pt>
                <c:pt idx="199">
                  <c:v>200.0</c:v>
                </c:pt>
                <c:pt idx="200">
                  <c:v>201.0</c:v>
                </c:pt>
                <c:pt idx="201">
                  <c:v>202.0</c:v>
                </c:pt>
                <c:pt idx="202">
                  <c:v>203.0</c:v>
                </c:pt>
                <c:pt idx="203">
                  <c:v>204.0</c:v>
                </c:pt>
                <c:pt idx="204">
                  <c:v>205.0</c:v>
                </c:pt>
                <c:pt idx="205">
                  <c:v>206.0</c:v>
                </c:pt>
                <c:pt idx="206">
                  <c:v>207.0</c:v>
                </c:pt>
                <c:pt idx="207">
                  <c:v>208.0</c:v>
                </c:pt>
                <c:pt idx="208">
                  <c:v>209.0</c:v>
                </c:pt>
                <c:pt idx="209">
                  <c:v>210.0</c:v>
                </c:pt>
                <c:pt idx="210">
                  <c:v>211.0</c:v>
                </c:pt>
                <c:pt idx="211">
                  <c:v>212.0</c:v>
                </c:pt>
                <c:pt idx="212">
                  <c:v>213.0</c:v>
                </c:pt>
                <c:pt idx="213">
                  <c:v>214.0</c:v>
                </c:pt>
                <c:pt idx="214">
                  <c:v>215.0</c:v>
                </c:pt>
                <c:pt idx="215">
                  <c:v>216.0</c:v>
                </c:pt>
                <c:pt idx="216">
                  <c:v>217.0</c:v>
                </c:pt>
                <c:pt idx="217">
                  <c:v>218.0</c:v>
                </c:pt>
                <c:pt idx="218">
                  <c:v>219.0</c:v>
                </c:pt>
                <c:pt idx="219">
                  <c:v>220.0</c:v>
                </c:pt>
                <c:pt idx="220">
                  <c:v>221.0</c:v>
                </c:pt>
                <c:pt idx="221">
                  <c:v>222.0</c:v>
                </c:pt>
                <c:pt idx="222">
                  <c:v>223.0</c:v>
                </c:pt>
                <c:pt idx="223">
                  <c:v>224.0</c:v>
                </c:pt>
                <c:pt idx="224">
                  <c:v>225.0</c:v>
                </c:pt>
                <c:pt idx="225">
                  <c:v>226.0</c:v>
                </c:pt>
                <c:pt idx="226">
                  <c:v>227.0</c:v>
                </c:pt>
                <c:pt idx="227">
                  <c:v>228.0</c:v>
                </c:pt>
                <c:pt idx="228">
                  <c:v>229.0</c:v>
                </c:pt>
                <c:pt idx="229">
                  <c:v>230.0</c:v>
                </c:pt>
                <c:pt idx="230">
                  <c:v>231.0</c:v>
                </c:pt>
                <c:pt idx="231">
                  <c:v>232.0</c:v>
                </c:pt>
                <c:pt idx="232">
                  <c:v>233.0</c:v>
                </c:pt>
                <c:pt idx="233">
                  <c:v>234.0</c:v>
                </c:pt>
                <c:pt idx="234">
                  <c:v>235.0</c:v>
                </c:pt>
                <c:pt idx="235">
                  <c:v>236.0</c:v>
                </c:pt>
                <c:pt idx="236">
                  <c:v>237.0</c:v>
                </c:pt>
                <c:pt idx="237">
                  <c:v>238.0</c:v>
                </c:pt>
                <c:pt idx="238">
                  <c:v>239.0</c:v>
                </c:pt>
                <c:pt idx="239">
                  <c:v>240.0</c:v>
                </c:pt>
                <c:pt idx="240">
                  <c:v>241.0</c:v>
                </c:pt>
                <c:pt idx="241">
                  <c:v>242.0</c:v>
                </c:pt>
                <c:pt idx="242">
                  <c:v>243.0</c:v>
                </c:pt>
                <c:pt idx="243">
                  <c:v>244.0</c:v>
                </c:pt>
                <c:pt idx="244">
                  <c:v>245.0</c:v>
                </c:pt>
                <c:pt idx="245">
                  <c:v>246.0</c:v>
                </c:pt>
                <c:pt idx="246">
                  <c:v>247.0</c:v>
                </c:pt>
                <c:pt idx="247">
                  <c:v>248.0</c:v>
                </c:pt>
                <c:pt idx="248">
                  <c:v>249.0</c:v>
                </c:pt>
                <c:pt idx="249">
                  <c:v>250.0</c:v>
                </c:pt>
                <c:pt idx="250">
                  <c:v>251.0</c:v>
                </c:pt>
                <c:pt idx="251">
                  <c:v>252.0</c:v>
                </c:pt>
                <c:pt idx="252">
                  <c:v>253.0</c:v>
                </c:pt>
                <c:pt idx="253">
                  <c:v>254.0</c:v>
                </c:pt>
                <c:pt idx="254">
                  <c:v>255.0</c:v>
                </c:pt>
                <c:pt idx="255">
                  <c:v>256.0</c:v>
                </c:pt>
                <c:pt idx="256">
                  <c:v>257.0</c:v>
                </c:pt>
                <c:pt idx="257">
                  <c:v>258.0</c:v>
                </c:pt>
                <c:pt idx="258">
                  <c:v>259.0</c:v>
                </c:pt>
                <c:pt idx="259">
                  <c:v>260.0</c:v>
                </c:pt>
                <c:pt idx="260">
                  <c:v>261.0</c:v>
                </c:pt>
                <c:pt idx="261">
                  <c:v>262.0</c:v>
                </c:pt>
                <c:pt idx="262">
                  <c:v>263.0</c:v>
                </c:pt>
                <c:pt idx="263">
                  <c:v>264.0</c:v>
                </c:pt>
                <c:pt idx="264">
                  <c:v>265.0</c:v>
                </c:pt>
                <c:pt idx="265">
                  <c:v>266.0</c:v>
                </c:pt>
                <c:pt idx="266">
                  <c:v>267.0</c:v>
                </c:pt>
                <c:pt idx="267">
                  <c:v>268.0</c:v>
                </c:pt>
                <c:pt idx="268">
                  <c:v>269.0</c:v>
                </c:pt>
                <c:pt idx="269">
                  <c:v>270.0</c:v>
                </c:pt>
                <c:pt idx="270">
                  <c:v>271.0</c:v>
                </c:pt>
                <c:pt idx="271">
                  <c:v>272.0</c:v>
                </c:pt>
                <c:pt idx="272">
                  <c:v>273.0</c:v>
                </c:pt>
                <c:pt idx="273">
                  <c:v>274.0</c:v>
                </c:pt>
                <c:pt idx="274">
                  <c:v>275.0</c:v>
                </c:pt>
                <c:pt idx="275">
                  <c:v>276.0</c:v>
                </c:pt>
                <c:pt idx="276">
                  <c:v>277.0</c:v>
                </c:pt>
                <c:pt idx="277">
                  <c:v>278.0</c:v>
                </c:pt>
                <c:pt idx="278">
                  <c:v>279.0</c:v>
                </c:pt>
                <c:pt idx="279">
                  <c:v>280.0</c:v>
                </c:pt>
                <c:pt idx="280">
                  <c:v>281.0</c:v>
                </c:pt>
                <c:pt idx="281">
                  <c:v>282.0</c:v>
                </c:pt>
                <c:pt idx="282">
                  <c:v>283.0</c:v>
                </c:pt>
                <c:pt idx="283">
                  <c:v>284.0</c:v>
                </c:pt>
                <c:pt idx="284">
                  <c:v>285.0</c:v>
                </c:pt>
                <c:pt idx="285">
                  <c:v>286.0</c:v>
                </c:pt>
                <c:pt idx="286">
                  <c:v>287.0</c:v>
                </c:pt>
                <c:pt idx="287">
                  <c:v>288.0</c:v>
                </c:pt>
                <c:pt idx="288">
                  <c:v>289.0</c:v>
                </c:pt>
                <c:pt idx="289">
                  <c:v>290.0</c:v>
                </c:pt>
                <c:pt idx="290">
                  <c:v>291.0</c:v>
                </c:pt>
                <c:pt idx="291">
                  <c:v>292.0</c:v>
                </c:pt>
                <c:pt idx="292">
                  <c:v>293.0</c:v>
                </c:pt>
                <c:pt idx="293">
                  <c:v>294.0</c:v>
                </c:pt>
                <c:pt idx="294">
                  <c:v>295.0</c:v>
                </c:pt>
                <c:pt idx="295">
                  <c:v>296.0</c:v>
                </c:pt>
                <c:pt idx="296">
                  <c:v>297.0</c:v>
                </c:pt>
                <c:pt idx="297">
                  <c:v>298.0</c:v>
                </c:pt>
                <c:pt idx="298">
                  <c:v>299.0</c:v>
                </c:pt>
                <c:pt idx="299">
                  <c:v>300.0</c:v>
                </c:pt>
                <c:pt idx="300">
                  <c:v>301.0</c:v>
                </c:pt>
                <c:pt idx="301">
                  <c:v>302.0</c:v>
                </c:pt>
                <c:pt idx="302">
                  <c:v>303.0</c:v>
                </c:pt>
                <c:pt idx="303">
                  <c:v>304.0</c:v>
                </c:pt>
                <c:pt idx="304">
                  <c:v>305.0</c:v>
                </c:pt>
                <c:pt idx="305">
                  <c:v>306.0</c:v>
                </c:pt>
                <c:pt idx="306">
                  <c:v>307.0</c:v>
                </c:pt>
                <c:pt idx="307">
                  <c:v>308.0</c:v>
                </c:pt>
                <c:pt idx="308">
                  <c:v>309.0</c:v>
                </c:pt>
                <c:pt idx="309">
                  <c:v>310.0</c:v>
                </c:pt>
                <c:pt idx="310">
                  <c:v>311.0</c:v>
                </c:pt>
                <c:pt idx="311">
                  <c:v>312.0</c:v>
                </c:pt>
                <c:pt idx="312">
                  <c:v>313.0</c:v>
                </c:pt>
                <c:pt idx="313">
                  <c:v>314.0</c:v>
                </c:pt>
                <c:pt idx="314">
                  <c:v>315.0</c:v>
                </c:pt>
                <c:pt idx="315">
                  <c:v>316.0</c:v>
                </c:pt>
                <c:pt idx="316">
                  <c:v>317.0</c:v>
                </c:pt>
                <c:pt idx="317">
                  <c:v>318.0</c:v>
                </c:pt>
                <c:pt idx="318">
                  <c:v>319.0</c:v>
                </c:pt>
                <c:pt idx="319">
                  <c:v>320.0</c:v>
                </c:pt>
                <c:pt idx="320">
                  <c:v>321.0</c:v>
                </c:pt>
                <c:pt idx="321">
                  <c:v>322.0</c:v>
                </c:pt>
                <c:pt idx="322">
                  <c:v>323.0</c:v>
                </c:pt>
                <c:pt idx="323">
                  <c:v>324.0</c:v>
                </c:pt>
                <c:pt idx="324">
                  <c:v>325.0</c:v>
                </c:pt>
                <c:pt idx="325">
                  <c:v>326.0</c:v>
                </c:pt>
                <c:pt idx="326">
                  <c:v>327.0</c:v>
                </c:pt>
                <c:pt idx="327">
                  <c:v>328.0</c:v>
                </c:pt>
                <c:pt idx="328">
                  <c:v>329.0</c:v>
                </c:pt>
                <c:pt idx="329">
                  <c:v>330.0</c:v>
                </c:pt>
                <c:pt idx="330">
                  <c:v>331.0</c:v>
                </c:pt>
                <c:pt idx="331">
                  <c:v>332.0</c:v>
                </c:pt>
                <c:pt idx="332">
                  <c:v>333.0</c:v>
                </c:pt>
                <c:pt idx="333">
                  <c:v>334.0</c:v>
                </c:pt>
                <c:pt idx="334">
                  <c:v>335.0</c:v>
                </c:pt>
                <c:pt idx="335">
                  <c:v>336.0</c:v>
                </c:pt>
                <c:pt idx="336">
                  <c:v>337.0</c:v>
                </c:pt>
                <c:pt idx="337">
                  <c:v>338.0</c:v>
                </c:pt>
                <c:pt idx="338">
                  <c:v>339.0</c:v>
                </c:pt>
                <c:pt idx="339">
                  <c:v>340.0</c:v>
                </c:pt>
                <c:pt idx="340">
                  <c:v>341.0</c:v>
                </c:pt>
                <c:pt idx="341">
                  <c:v>342.0</c:v>
                </c:pt>
                <c:pt idx="342">
                  <c:v>343.0</c:v>
                </c:pt>
                <c:pt idx="343">
                  <c:v>344.0</c:v>
                </c:pt>
                <c:pt idx="344">
                  <c:v>345.0</c:v>
                </c:pt>
                <c:pt idx="345">
                  <c:v>346.0</c:v>
                </c:pt>
                <c:pt idx="346">
                  <c:v>347.0</c:v>
                </c:pt>
                <c:pt idx="347">
                  <c:v>348.0</c:v>
                </c:pt>
                <c:pt idx="348">
                  <c:v>349.0</c:v>
                </c:pt>
                <c:pt idx="349">
                  <c:v>350.0</c:v>
                </c:pt>
                <c:pt idx="350">
                  <c:v>351.0</c:v>
                </c:pt>
                <c:pt idx="351">
                  <c:v>352.0</c:v>
                </c:pt>
                <c:pt idx="352">
                  <c:v>353.0</c:v>
                </c:pt>
                <c:pt idx="353">
                  <c:v>354.0</c:v>
                </c:pt>
                <c:pt idx="354">
                  <c:v>355.0</c:v>
                </c:pt>
                <c:pt idx="355">
                  <c:v>356.0</c:v>
                </c:pt>
                <c:pt idx="356">
                  <c:v>357.0</c:v>
                </c:pt>
                <c:pt idx="357">
                  <c:v>358.0</c:v>
                </c:pt>
                <c:pt idx="358">
                  <c:v>359.0</c:v>
                </c:pt>
                <c:pt idx="359">
                  <c:v>360.0</c:v>
                </c:pt>
                <c:pt idx="360">
                  <c:v>361.0</c:v>
                </c:pt>
                <c:pt idx="361">
                  <c:v>362.0</c:v>
                </c:pt>
                <c:pt idx="362">
                  <c:v>363.0</c:v>
                </c:pt>
                <c:pt idx="363">
                  <c:v>364.0</c:v>
                </c:pt>
                <c:pt idx="364">
                  <c:v>365.0</c:v>
                </c:pt>
                <c:pt idx="365">
                  <c:v>366.0</c:v>
                </c:pt>
                <c:pt idx="366">
                  <c:v>367.0</c:v>
                </c:pt>
                <c:pt idx="367">
                  <c:v>368.0</c:v>
                </c:pt>
                <c:pt idx="368">
                  <c:v>369.0</c:v>
                </c:pt>
                <c:pt idx="369">
                  <c:v>370.0</c:v>
                </c:pt>
                <c:pt idx="370">
                  <c:v>371.0</c:v>
                </c:pt>
                <c:pt idx="371">
                  <c:v>372.0</c:v>
                </c:pt>
                <c:pt idx="372">
                  <c:v>373.0</c:v>
                </c:pt>
                <c:pt idx="373">
                  <c:v>374.0</c:v>
                </c:pt>
                <c:pt idx="374">
                  <c:v>375.0</c:v>
                </c:pt>
                <c:pt idx="375">
                  <c:v>376.0</c:v>
                </c:pt>
                <c:pt idx="376">
                  <c:v>377.0</c:v>
                </c:pt>
                <c:pt idx="377">
                  <c:v>378.0</c:v>
                </c:pt>
                <c:pt idx="378">
                  <c:v>379.0</c:v>
                </c:pt>
                <c:pt idx="379">
                  <c:v>380.0</c:v>
                </c:pt>
                <c:pt idx="380">
                  <c:v>381.0</c:v>
                </c:pt>
                <c:pt idx="381">
                  <c:v>382.0</c:v>
                </c:pt>
                <c:pt idx="382">
                  <c:v>383.0</c:v>
                </c:pt>
                <c:pt idx="383">
                  <c:v>384.0</c:v>
                </c:pt>
                <c:pt idx="384">
                  <c:v>385.0</c:v>
                </c:pt>
                <c:pt idx="385">
                  <c:v>386.0</c:v>
                </c:pt>
                <c:pt idx="386">
                  <c:v>387.0</c:v>
                </c:pt>
                <c:pt idx="387">
                  <c:v>388.0</c:v>
                </c:pt>
                <c:pt idx="388">
                  <c:v>389.0</c:v>
                </c:pt>
                <c:pt idx="389">
                  <c:v>390.0</c:v>
                </c:pt>
                <c:pt idx="390">
                  <c:v>391.0</c:v>
                </c:pt>
                <c:pt idx="391">
                  <c:v>392.0</c:v>
                </c:pt>
                <c:pt idx="392">
                  <c:v>393.0</c:v>
                </c:pt>
                <c:pt idx="393">
                  <c:v>394.0</c:v>
                </c:pt>
                <c:pt idx="394">
                  <c:v>395.0</c:v>
                </c:pt>
                <c:pt idx="395">
                  <c:v>396.0</c:v>
                </c:pt>
                <c:pt idx="396">
                  <c:v>397.0</c:v>
                </c:pt>
                <c:pt idx="397">
                  <c:v>398.0</c:v>
                </c:pt>
                <c:pt idx="398">
                  <c:v>399.0</c:v>
                </c:pt>
                <c:pt idx="399">
                  <c:v>400.0</c:v>
                </c:pt>
                <c:pt idx="400">
                  <c:v>401.0</c:v>
                </c:pt>
                <c:pt idx="401">
                  <c:v>402.0</c:v>
                </c:pt>
                <c:pt idx="402">
                  <c:v>403.0</c:v>
                </c:pt>
                <c:pt idx="403">
                  <c:v>404.0</c:v>
                </c:pt>
                <c:pt idx="404">
                  <c:v>405.0</c:v>
                </c:pt>
                <c:pt idx="405">
                  <c:v>406.0</c:v>
                </c:pt>
                <c:pt idx="406">
                  <c:v>407.0</c:v>
                </c:pt>
                <c:pt idx="407">
                  <c:v>408.0</c:v>
                </c:pt>
                <c:pt idx="408">
                  <c:v>409.0</c:v>
                </c:pt>
                <c:pt idx="409">
                  <c:v>410.0</c:v>
                </c:pt>
                <c:pt idx="410">
                  <c:v>411.0</c:v>
                </c:pt>
                <c:pt idx="411">
                  <c:v>412.0</c:v>
                </c:pt>
                <c:pt idx="412">
                  <c:v>413.0</c:v>
                </c:pt>
                <c:pt idx="413">
                  <c:v>414.0</c:v>
                </c:pt>
                <c:pt idx="414">
                  <c:v>415.0</c:v>
                </c:pt>
                <c:pt idx="415">
                  <c:v>416.0</c:v>
                </c:pt>
                <c:pt idx="416">
                  <c:v>417.0</c:v>
                </c:pt>
                <c:pt idx="417">
                  <c:v>418.0</c:v>
                </c:pt>
                <c:pt idx="418">
                  <c:v>419.0</c:v>
                </c:pt>
                <c:pt idx="419">
                  <c:v>420.0</c:v>
                </c:pt>
                <c:pt idx="420">
                  <c:v>421.0</c:v>
                </c:pt>
                <c:pt idx="421">
                  <c:v>422.0</c:v>
                </c:pt>
                <c:pt idx="422">
                  <c:v>423.0</c:v>
                </c:pt>
                <c:pt idx="423">
                  <c:v>424.0</c:v>
                </c:pt>
                <c:pt idx="424">
                  <c:v>425.0</c:v>
                </c:pt>
                <c:pt idx="425">
                  <c:v>426.0</c:v>
                </c:pt>
                <c:pt idx="426">
                  <c:v>427.0</c:v>
                </c:pt>
                <c:pt idx="427">
                  <c:v>428.0</c:v>
                </c:pt>
                <c:pt idx="428">
                  <c:v>429.0</c:v>
                </c:pt>
                <c:pt idx="429">
                  <c:v>430.0</c:v>
                </c:pt>
                <c:pt idx="430">
                  <c:v>431.0</c:v>
                </c:pt>
                <c:pt idx="431">
                  <c:v>432.0</c:v>
                </c:pt>
                <c:pt idx="432">
                  <c:v>433.0</c:v>
                </c:pt>
                <c:pt idx="433">
                  <c:v>434.0</c:v>
                </c:pt>
                <c:pt idx="434">
                  <c:v>435.0</c:v>
                </c:pt>
                <c:pt idx="435">
                  <c:v>436.0</c:v>
                </c:pt>
                <c:pt idx="436">
                  <c:v>437.0</c:v>
                </c:pt>
                <c:pt idx="437">
                  <c:v>438.0</c:v>
                </c:pt>
                <c:pt idx="438">
                  <c:v>439.0</c:v>
                </c:pt>
                <c:pt idx="439">
                  <c:v>440.0</c:v>
                </c:pt>
                <c:pt idx="440">
                  <c:v>441.0</c:v>
                </c:pt>
                <c:pt idx="441">
                  <c:v>442.0</c:v>
                </c:pt>
                <c:pt idx="442">
                  <c:v>443.0</c:v>
                </c:pt>
                <c:pt idx="443">
                  <c:v>444.0</c:v>
                </c:pt>
                <c:pt idx="444">
                  <c:v>445.0</c:v>
                </c:pt>
                <c:pt idx="445">
                  <c:v>446.0</c:v>
                </c:pt>
                <c:pt idx="446">
                  <c:v>447.0</c:v>
                </c:pt>
                <c:pt idx="447">
                  <c:v>448.0</c:v>
                </c:pt>
                <c:pt idx="448">
                  <c:v>449.0</c:v>
                </c:pt>
                <c:pt idx="449">
                  <c:v>450.0</c:v>
                </c:pt>
                <c:pt idx="450">
                  <c:v>451.0</c:v>
                </c:pt>
                <c:pt idx="451">
                  <c:v>452.0</c:v>
                </c:pt>
                <c:pt idx="452">
                  <c:v>453.0</c:v>
                </c:pt>
                <c:pt idx="453">
                  <c:v>454.0</c:v>
                </c:pt>
                <c:pt idx="454">
                  <c:v>455.0</c:v>
                </c:pt>
                <c:pt idx="455">
                  <c:v>456.0</c:v>
                </c:pt>
                <c:pt idx="456">
                  <c:v>457.0</c:v>
                </c:pt>
                <c:pt idx="457">
                  <c:v>458.0</c:v>
                </c:pt>
                <c:pt idx="458">
                  <c:v>459.0</c:v>
                </c:pt>
                <c:pt idx="459">
                  <c:v>460.0</c:v>
                </c:pt>
                <c:pt idx="460">
                  <c:v>461.0</c:v>
                </c:pt>
                <c:pt idx="461">
                  <c:v>462.0</c:v>
                </c:pt>
                <c:pt idx="462">
                  <c:v>463.0</c:v>
                </c:pt>
                <c:pt idx="463">
                  <c:v>464.0</c:v>
                </c:pt>
                <c:pt idx="464">
                  <c:v>465.0</c:v>
                </c:pt>
                <c:pt idx="465">
                  <c:v>466.0</c:v>
                </c:pt>
                <c:pt idx="466">
                  <c:v>467.0</c:v>
                </c:pt>
                <c:pt idx="467">
                  <c:v>468.0</c:v>
                </c:pt>
                <c:pt idx="468">
                  <c:v>469.0</c:v>
                </c:pt>
                <c:pt idx="469">
                  <c:v>470.0</c:v>
                </c:pt>
                <c:pt idx="470">
                  <c:v>471.0</c:v>
                </c:pt>
                <c:pt idx="471">
                  <c:v>472.0</c:v>
                </c:pt>
                <c:pt idx="472">
                  <c:v>473.0</c:v>
                </c:pt>
                <c:pt idx="473">
                  <c:v>474.0</c:v>
                </c:pt>
                <c:pt idx="474">
                  <c:v>475.0</c:v>
                </c:pt>
                <c:pt idx="475">
                  <c:v>476.0</c:v>
                </c:pt>
                <c:pt idx="476">
                  <c:v>477.0</c:v>
                </c:pt>
                <c:pt idx="477">
                  <c:v>478.0</c:v>
                </c:pt>
                <c:pt idx="478">
                  <c:v>479.0</c:v>
                </c:pt>
                <c:pt idx="479">
                  <c:v>480.0</c:v>
                </c:pt>
                <c:pt idx="480">
                  <c:v>481.0</c:v>
                </c:pt>
                <c:pt idx="481">
                  <c:v>482.0</c:v>
                </c:pt>
                <c:pt idx="482">
                  <c:v>483.0</c:v>
                </c:pt>
                <c:pt idx="483">
                  <c:v>484.0</c:v>
                </c:pt>
                <c:pt idx="484">
                  <c:v>485.0</c:v>
                </c:pt>
                <c:pt idx="485">
                  <c:v>486.0</c:v>
                </c:pt>
                <c:pt idx="486">
                  <c:v>487.0</c:v>
                </c:pt>
                <c:pt idx="487">
                  <c:v>488.0</c:v>
                </c:pt>
                <c:pt idx="488">
                  <c:v>489.0</c:v>
                </c:pt>
                <c:pt idx="489">
                  <c:v>490.0</c:v>
                </c:pt>
                <c:pt idx="490">
                  <c:v>491.0</c:v>
                </c:pt>
                <c:pt idx="491">
                  <c:v>492.0</c:v>
                </c:pt>
                <c:pt idx="492">
                  <c:v>493.0</c:v>
                </c:pt>
                <c:pt idx="493">
                  <c:v>494.0</c:v>
                </c:pt>
                <c:pt idx="494">
                  <c:v>495.0</c:v>
                </c:pt>
                <c:pt idx="495">
                  <c:v>496.0</c:v>
                </c:pt>
                <c:pt idx="496">
                  <c:v>497.0</c:v>
                </c:pt>
                <c:pt idx="497">
                  <c:v>498.0</c:v>
                </c:pt>
                <c:pt idx="498">
                  <c:v>499.0</c:v>
                </c:pt>
              </c:numCache>
            </c:numRef>
          </c:cat>
          <c:val>
            <c:numRef>
              <c:f>Calculations!$F$2:$F$500</c:f>
              <c:numCache>
                <c:formatCode>0</c:formatCode>
                <c:ptCount val="499"/>
                <c:pt idx="0">
                  <c:v>8.35</c:v>
                </c:pt>
                <c:pt idx="1">
                  <c:v>16.7</c:v>
                </c:pt>
                <c:pt idx="2">
                  <c:v>25.05</c:v>
                </c:pt>
                <c:pt idx="3">
                  <c:v>33.4</c:v>
                </c:pt>
                <c:pt idx="4">
                  <c:v>41.75</c:v>
                </c:pt>
                <c:pt idx="5">
                  <c:v>50.1</c:v>
                </c:pt>
                <c:pt idx="6">
                  <c:v>58.45</c:v>
                </c:pt>
                <c:pt idx="7">
                  <c:v>66.8</c:v>
                </c:pt>
                <c:pt idx="8">
                  <c:v>75.15</c:v>
                </c:pt>
                <c:pt idx="9">
                  <c:v>83.5</c:v>
                </c:pt>
                <c:pt idx="10">
                  <c:v>91.85</c:v>
                </c:pt>
                <c:pt idx="11">
                  <c:v>100.2</c:v>
                </c:pt>
                <c:pt idx="12">
                  <c:v>108.55</c:v>
                </c:pt>
                <c:pt idx="13">
                  <c:v>116.9</c:v>
                </c:pt>
                <c:pt idx="14">
                  <c:v>125.25</c:v>
                </c:pt>
                <c:pt idx="15">
                  <c:v>133.6</c:v>
                </c:pt>
                <c:pt idx="16">
                  <c:v>141.95</c:v>
                </c:pt>
                <c:pt idx="17">
                  <c:v>150.3</c:v>
                </c:pt>
                <c:pt idx="18">
                  <c:v>158.65</c:v>
                </c:pt>
                <c:pt idx="19">
                  <c:v>167.0</c:v>
                </c:pt>
                <c:pt idx="20">
                  <c:v>175.35</c:v>
                </c:pt>
                <c:pt idx="21">
                  <c:v>183.7</c:v>
                </c:pt>
                <c:pt idx="22">
                  <c:v>192.05</c:v>
                </c:pt>
                <c:pt idx="23">
                  <c:v>200.4</c:v>
                </c:pt>
                <c:pt idx="24">
                  <c:v>417.5</c:v>
                </c:pt>
                <c:pt idx="25">
                  <c:v>434.2</c:v>
                </c:pt>
                <c:pt idx="26">
                  <c:v>450.9</c:v>
                </c:pt>
                <c:pt idx="27">
                  <c:v>467.6</c:v>
                </c:pt>
                <c:pt idx="28">
                  <c:v>484.3</c:v>
                </c:pt>
                <c:pt idx="29">
                  <c:v>500.9999999999999</c:v>
                </c:pt>
                <c:pt idx="30">
                  <c:v>517.7</c:v>
                </c:pt>
                <c:pt idx="31">
                  <c:v>534.4</c:v>
                </c:pt>
                <c:pt idx="32">
                  <c:v>551.1</c:v>
                </c:pt>
                <c:pt idx="33">
                  <c:v>567.8</c:v>
                </c:pt>
                <c:pt idx="34">
                  <c:v>584.5</c:v>
                </c:pt>
                <c:pt idx="35">
                  <c:v>601.2</c:v>
                </c:pt>
                <c:pt idx="36">
                  <c:v>617.9</c:v>
                </c:pt>
                <c:pt idx="37">
                  <c:v>634.6</c:v>
                </c:pt>
                <c:pt idx="38">
                  <c:v>651.3</c:v>
                </c:pt>
                <c:pt idx="39">
                  <c:v>668.0</c:v>
                </c:pt>
                <c:pt idx="40">
                  <c:v>684.7</c:v>
                </c:pt>
                <c:pt idx="41">
                  <c:v>701.4</c:v>
                </c:pt>
                <c:pt idx="42">
                  <c:v>718.1</c:v>
                </c:pt>
                <c:pt idx="43">
                  <c:v>734.8</c:v>
                </c:pt>
                <c:pt idx="44">
                  <c:v>751.4999999999999</c:v>
                </c:pt>
                <c:pt idx="45">
                  <c:v>768.2</c:v>
                </c:pt>
                <c:pt idx="46">
                  <c:v>784.9</c:v>
                </c:pt>
                <c:pt idx="47">
                  <c:v>801.6</c:v>
                </c:pt>
                <c:pt idx="48">
                  <c:v>818.3</c:v>
                </c:pt>
                <c:pt idx="49">
                  <c:v>1670.0</c:v>
                </c:pt>
                <c:pt idx="50">
                  <c:v>1703.4</c:v>
                </c:pt>
                <c:pt idx="51">
                  <c:v>1736.8</c:v>
                </c:pt>
                <c:pt idx="52">
                  <c:v>1770.2</c:v>
                </c:pt>
                <c:pt idx="53">
                  <c:v>1803.6</c:v>
                </c:pt>
                <c:pt idx="54">
                  <c:v>1837.0</c:v>
                </c:pt>
                <c:pt idx="55">
                  <c:v>1870.4</c:v>
                </c:pt>
                <c:pt idx="56">
                  <c:v>1903.8</c:v>
                </c:pt>
                <c:pt idx="57">
                  <c:v>1937.2</c:v>
                </c:pt>
                <c:pt idx="58">
                  <c:v>1970.6</c:v>
                </c:pt>
                <c:pt idx="59">
                  <c:v>2004</c:v>
                </c:pt>
                <c:pt idx="60">
                  <c:v>2037.4</c:v>
                </c:pt>
                <c:pt idx="61">
                  <c:v>2070.8</c:v>
                </c:pt>
                <c:pt idx="62">
                  <c:v>2104.2</c:v>
                </c:pt>
                <c:pt idx="63">
                  <c:v>2137.6</c:v>
                </c:pt>
                <c:pt idx="64">
                  <c:v>2171.0</c:v>
                </c:pt>
                <c:pt idx="65">
                  <c:v>2204.4</c:v>
                </c:pt>
                <c:pt idx="66">
                  <c:v>2237.8</c:v>
                </c:pt>
                <c:pt idx="67">
                  <c:v>2271.2</c:v>
                </c:pt>
                <c:pt idx="68">
                  <c:v>2304.6</c:v>
                </c:pt>
                <c:pt idx="69">
                  <c:v>2338.0</c:v>
                </c:pt>
                <c:pt idx="70">
                  <c:v>2371.4</c:v>
                </c:pt>
                <c:pt idx="71">
                  <c:v>2404.8</c:v>
                </c:pt>
                <c:pt idx="72">
                  <c:v>2438.2</c:v>
                </c:pt>
                <c:pt idx="73">
                  <c:v>2471.6</c:v>
                </c:pt>
                <c:pt idx="74">
                  <c:v>2505.0</c:v>
                </c:pt>
                <c:pt idx="75">
                  <c:v>2538.4</c:v>
                </c:pt>
                <c:pt idx="76">
                  <c:v>2571.8</c:v>
                </c:pt>
                <c:pt idx="77">
                  <c:v>2605.2</c:v>
                </c:pt>
                <c:pt idx="78">
                  <c:v>2638.6</c:v>
                </c:pt>
                <c:pt idx="79">
                  <c:v>2672.0</c:v>
                </c:pt>
                <c:pt idx="80">
                  <c:v>2705.4</c:v>
                </c:pt>
                <c:pt idx="81">
                  <c:v>2738.8</c:v>
                </c:pt>
                <c:pt idx="82">
                  <c:v>2772.2</c:v>
                </c:pt>
                <c:pt idx="83">
                  <c:v>2805.6</c:v>
                </c:pt>
                <c:pt idx="84">
                  <c:v>2839.0</c:v>
                </c:pt>
                <c:pt idx="85">
                  <c:v>2872.4</c:v>
                </c:pt>
                <c:pt idx="86">
                  <c:v>2905.8</c:v>
                </c:pt>
                <c:pt idx="87">
                  <c:v>2939.2</c:v>
                </c:pt>
                <c:pt idx="88">
                  <c:v>2972.6</c:v>
                </c:pt>
                <c:pt idx="89">
                  <c:v>3006</c:v>
                </c:pt>
                <c:pt idx="90">
                  <c:v>3039.4</c:v>
                </c:pt>
                <c:pt idx="91">
                  <c:v>3072.8</c:v>
                </c:pt>
                <c:pt idx="92">
                  <c:v>3106.2</c:v>
                </c:pt>
                <c:pt idx="93">
                  <c:v>3139.6</c:v>
                </c:pt>
                <c:pt idx="94">
                  <c:v>3173.0</c:v>
                </c:pt>
                <c:pt idx="95">
                  <c:v>3206.4</c:v>
                </c:pt>
                <c:pt idx="96">
                  <c:v>3239.8</c:v>
                </c:pt>
                <c:pt idx="97">
                  <c:v>3273.2</c:v>
                </c:pt>
                <c:pt idx="98">
                  <c:v>3306.599999999999</c:v>
                </c:pt>
                <c:pt idx="99">
                  <c:v>6680.0</c:v>
                </c:pt>
                <c:pt idx="100">
                  <c:v>6746.8</c:v>
                </c:pt>
                <c:pt idx="101">
                  <c:v>6813.6</c:v>
                </c:pt>
                <c:pt idx="102">
                  <c:v>6880.4</c:v>
                </c:pt>
                <c:pt idx="103">
                  <c:v>6947.200000000001</c:v>
                </c:pt>
                <c:pt idx="104">
                  <c:v>7014.0</c:v>
                </c:pt>
                <c:pt idx="105">
                  <c:v>7080.8</c:v>
                </c:pt>
                <c:pt idx="106">
                  <c:v>7147.6</c:v>
                </c:pt>
                <c:pt idx="107">
                  <c:v>7214.4</c:v>
                </c:pt>
                <c:pt idx="108">
                  <c:v>7281.2</c:v>
                </c:pt>
                <c:pt idx="109">
                  <c:v>7348.0</c:v>
                </c:pt>
                <c:pt idx="110">
                  <c:v>7414.8</c:v>
                </c:pt>
                <c:pt idx="111">
                  <c:v>7481.6</c:v>
                </c:pt>
                <c:pt idx="112">
                  <c:v>7548.4</c:v>
                </c:pt>
                <c:pt idx="113">
                  <c:v>7615.2</c:v>
                </c:pt>
                <c:pt idx="114">
                  <c:v>7682</c:v>
                </c:pt>
                <c:pt idx="115">
                  <c:v>7748.8</c:v>
                </c:pt>
                <c:pt idx="116">
                  <c:v>7815.6</c:v>
                </c:pt>
                <c:pt idx="117">
                  <c:v>7882.4</c:v>
                </c:pt>
                <c:pt idx="118">
                  <c:v>7949.2</c:v>
                </c:pt>
                <c:pt idx="119">
                  <c:v>8016</c:v>
                </c:pt>
                <c:pt idx="120">
                  <c:v>8082.8</c:v>
                </c:pt>
                <c:pt idx="121">
                  <c:v>8149.6</c:v>
                </c:pt>
                <c:pt idx="122">
                  <c:v>8216.4</c:v>
                </c:pt>
                <c:pt idx="123">
                  <c:v>8283.199999999999</c:v>
                </c:pt>
                <c:pt idx="124">
                  <c:v>8350.0</c:v>
                </c:pt>
                <c:pt idx="125">
                  <c:v>8416.799999999999</c:v>
                </c:pt>
                <c:pt idx="126">
                  <c:v>8483.6</c:v>
                </c:pt>
                <c:pt idx="127">
                  <c:v>8550.4</c:v>
                </c:pt>
                <c:pt idx="128">
                  <c:v>8617.199999999999</c:v>
                </c:pt>
                <c:pt idx="129">
                  <c:v>8684.0</c:v>
                </c:pt>
                <c:pt idx="130">
                  <c:v>8750.799999999999</c:v>
                </c:pt>
                <c:pt idx="131">
                  <c:v>8817.6</c:v>
                </c:pt>
                <c:pt idx="132">
                  <c:v>8884.4</c:v>
                </c:pt>
                <c:pt idx="133">
                  <c:v>8951.2</c:v>
                </c:pt>
                <c:pt idx="134">
                  <c:v>9018.0</c:v>
                </c:pt>
                <c:pt idx="135">
                  <c:v>9084.799999999999</c:v>
                </c:pt>
                <c:pt idx="136">
                  <c:v>9151.6</c:v>
                </c:pt>
                <c:pt idx="137">
                  <c:v>9218.4</c:v>
                </c:pt>
                <c:pt idx="138">
                  <c:v>9285.2</c:v>
                </c:pt>
                <c:pt idx="139">
                  <c:v>9352.0</c:v>
                </c:pt>
                <c:pt idx="140">
                  <c:v>9418.799999999999</c:v>
                </c:pt>
                <c:pt idx="141">
                  <c:v>9485.599999999999</c:v>
                </c:pt>
                <c:pt idx="142">
                  <c:v>9552.4</c:v>
                </c:pt>
                <c:pt idx="143">
                  <c:v>9619.199999999999</c:v>
                </c:pt>
                <c:pt idx="144">
                  <c:v>9686.0</c:v>
                </c:pt>
                <c:pt idx="145">
                  <c:v>9752.799999999999</c:v>
                </c:pt>
                <c:pt idx="146">
                  <c:v>9819.599999999999</c:v>
                </c:pt>
                <c:pt idx="147">
                  <c:v>9886.4</c:v>
                </c:pt>
                <c:pt idx="148">
                  <c:v>9953.199999999999</c:v>
                </c:pt>
                <c:pt idx="149">
                  <c:v>10020.0</c:v>
                </c:pt>
                <c:pt idx="150">
                  <c:v>10086.8</c:v>
                </c:pt>
                <c:pt idx="151">
                  <c:v>10153.6</c:v>
                </c:pt>
                <c:pt idx="152">
                  <c:v>10220.4</c:v>
                </c:pt>
                <c:pt idx="153">
                  <c:v>10287.2</c:v>
                </c:pt>
                <c:pt idx="154">
                  <c:v>10354</c:v>
                </c:pt>
                <c:pt idx="155">
                  <c:v>10420.8</c:v>
                </c:pt>
                <c:pt idx="156">
                  <c:v>10487.6</c:v>
                </c:pt>
                <c:pt idx="157">
                  <c:v>10554.4</c:v>
                </c:pt>
                <c:pt idx="158">
                  <c:v>10621.2</c:v>
                </c:pt>
                <c:pt idx="159">
                  <c:v>10688.0</c:v>
                </c:pt>
                <c:pt idx="160">
                  <c:v>10754.8</c:v>
                </c:pt>
                <c:pt idx="161">
                  <c:v>10821.6</c:v>
                </c:pt>
                <c:pt idx="162">
                  <c:v>10888.4</c:v>
                </c:pt>
                <c:pt idx="163">
                  <c:v>10955.2</c:v>
                </c:pt>
                <c:pt idx="164">
                  <c:v>11022.0</c:v>
                </c:pt>
                <c:pt idx="165">
                  <c:v>11088.8</c:v>
                </c:pt>
                <c:pt idx="166">
                  <c:v>11155.6</c:v>
                </c:pt>
                <c:pt idx="167">
                  <c:v>11222.4</c:v>
                </c:pt>
                <c:pt idx="168">
                  <c:v>11289.2</c:v>
                </c:pt>
                <c:pt idx="169">
                  <c:v>11356.0</c:v>
                </c:pt>
                <c:pt idx="170">
                  <c:v>11422.8</c:v>
                </c:pt>
                <c:pt idx="171">
                  <c:v>11489.6</c:v>
                </c:pt>
                <c:pt idx="172">
                  <c:v>11556.4</c:v>
                </c:pt>
                <c:pt idx="173">
                  <c:v>11623.2</c:v>
                </c:pt>
                <c:pt idx="174">
                  <c:v>11690.0</c:v>
                </c:pt>
                <c:pt idx="175">
                  <c:v>11756.8</c:v>
                </c:pt>
                <c:pt idx="176">
                  <c:v>11823.6</c:v>
                </c:pt>
                <c:pt idx="177">
                  <c:v>11890.4</c:v>
                </c:pt>
                <c:pt idx="178">
                  <c:v>11957.2</c:v>
                </c:pt>
                <c:pt idx="179">
                  <c:v>12024</c:v>
                </c:pt>
                <c:pt idx="180">
                  <c:v>12090.8</c:v>
                </c:pt>
                <c:pt idx="181">
                  <c:v>12157.6</c:v>
                </c:pt>
                <c:pt idx="182">
                  <c:v>12224.4</c:v>
                </c:pt>
                <c:pt idx="183">
                  <c:v>12291.2</c:v>
                </c:pt>
                <c:pt idx="184">
                  <c:v>12358.0</c:v>
                </c:pt>
                <c:pt idx="185">
                  <c:v>12424.8</c:v>
                </c:pt>
                <c:pt idx="186">
                  <c:v>12491.6</c:v>
                </c:pt>
                <c:pt idx="187">
                  <c:v>12558.4</c:v>
                </c:pt>
                <c:pt idx="188">
                  <c:v>12625.2</c:v>
                </c:pt>
                <c:pt idx="189">
                  <c:v>12692.0</c:v>
                </c:pt>
                <c:pt idx="190">
                  <c:v>12758.8</c:v>
                </c:pt>
                <c:pt idx="191">
                  <c:v>12825.6</c:v>
                </c:pt>
                <c:pt idx="192">
                  <c:v>12892.4</c:v>
                </c:pt>
                <c:pt idx="193">
                  <c:v>12959.2</c:v>
                </c:pt>
                <c:pt idx="194">
                  <c:v>13026.0</c:v>
                </c:pt>
                <c:pt idx="195">
                  <c:v>13092.8</c:v>
                </c:pt>
                <c:pt idx="196">
                  <c:v>13159.6</c:v>
                </c:pt>
                <c:pt idx="197">
                  <c:v>13226.4</c:v>
                </c:pt>
                <c:pt idx="198">
                  <c:v>13293.2</c:v>
                </c:pt>
                <c:pt idx="199">
                  <c:v>26720.0</c:v>
                </c:pt>
                <c:pt idx="200">
                  <c:v>26853.6</c:v>
                </c:pt>
                <c:pt idx="201">
                  <c:v>26987.2</c:v>
                </c:pt>
                <c:pt idx="202">
                  <c:v>27120.8</c:v>
                </c:pt>
                <c:pt idx="203">
                  <c:v>27254.4</c:v>
                </c:pt>
                <c:pt idx="204">
                  <c:v>27388</c:v>
                </c:pt>
                <c:pt idx="205">
                  <c:v>27521.6</c:v>
                </c:pt>
                <c:pt idx="206">
                  <c:v>27655.2</c:v>
                </c:pt>
                <c:pt idx="207">
                  <c:v>27788.8</c:v>
                </c:pt>
                <c:pt idx="208">
                  <c:v>27922.4</c:v>
                </c:pt>
                <c:pt idx="209">
                  <c:v>28056.0</c:v>
                </c:pt>
                <c:pt idx="210">
                  <c:v>28189.6</c:v>
                </c:pt>
                <c:pt idx="211">
                  <c:v>28323.2</c:v>
                </c:pt>
                <c:pt idx="212">
                  <c:v>28456.8</c:v>
                </c:pt>
                <c:pt idx="213">
                  <c:v>28590.4</c:v>
                </c:pt>
                <c:pt idx="214">
                  <c:v>28724.0</c:v>
                </c:pt>
                <c:pt idx="215">
                  <c:v>28857.6</c:v>
                </c:pt>
                <c:pt idx="216">
                  <c:v>28991.2</c:v>
                </c:pt>
                <c:pt idx="217">
                  <c:v>29124.8</c:v>
                </c:pt>
                <c:pt idx="218">
                  <c:v>29258.4</c:v>
                </c:pt>
                <c:pt idx="219">
                  <c:v>29392.0</c:v>
                </c:pt>
                <c:pt idx="220">
                  <c:v>29525.6</c:v>
                </c:pt>
                <c:pt idx="221">
                  <c:v>29659.2</c:v>
                </c:pt>
                <c:pt idx="222">
                  <c:v>29792.8</c:v>
                </c:pt>
                <c:pt idx="223">
                  <c:v>29926.4</c:v>
                </c:pt>
                <c:pt idx="224">
                  <c:v>30060.0</c:v>
                </c:pt>
                <c:pt idx="225">
                  <c:v>30193.6</c:v>
                </c:pt>
                <c:pt idx="226">
                  <c:v>30327.2</c:v>
                </c:pt>
                <c:pt idx="227">
                  <c:v>30460.8</c:v>
                </c:pt>
                <c:pt idx="228">
                  <c:v>30594.4</c:v>
                </c:pt>
                <c:pt idx="229">
                  <c:v>30728</c:v>
                </c:pt>
                <c:pt idx="230">
                  <c:v>30861.6</c:v>
                </c:pt>
                <c:pt idx="231">
                  <c:v>30995.2</c:v>
                </c:pt>
                <c:pt idx="232">
                  <c:v>31128.8</c:v>
                </c:pt>
                <c:pt idx="233">
                  <c:v>31262.4</c:v>
                </c:pt>
                <c:pt idx="234">
                  <c:v>31396.0</c:v>
                </c:pt>
                <c:pt idx="235">
                  <c:v>31529.6</c:v>
                </c:pt>
                <c:pt idx="236">
                  <c:v>31663.2</c:v>
                </c:pt>
                <c:pt idx="237">
                  <c:v>31796.8</c:v>
                </c:pt>
                <c:pt idx="238">
                  <c:v>31930.4</c:v>
                </c:pt>
                <c:pt idx="239">
                  <c:v>32064</c:v>
                </c:pt>
                <c:pt idx="240">
                  <c:v>32197.6</c:v>
                </c:pt>
                <c:pt idx="241">
                  <c:v>32331.2</c:v>
                </c:pt>
                <c:pt idx="242">
                  <c:v>32464.8</c:v>
                </c:pt>
                <c:pt idx="243">
                  <c:v>32598.4</c:v>
                </c:pt>
                <c:pt idx="244">
                  <c:v>32732.0</c:v>
                </c:pt>
                <c:pt idx="245">
                  <c:v>32865.6</c:v>
                </c:pt>
                <c:pt idx="246">
                  <c:v>32999.2</c:v>
                </c:pt>
                <c:pt idx="247">
                  <c:v>33132.8</c:v>
                </c:pt>
                <c:pt idx="248">
                  <c:v>33266.4</c:v>
                </c:pt>
                <c:pt idx="249">
                  <c:v>33400.0</c:v>
                </c:pt>
                <c:pt idx="250">
                  <c:v>33533.6</c:v>
                </c:pt>
                <c:pt idx="251">
                  <c:v>33667.2</c:v>
                </c:pt>
                <c:pt idx="252">
                  <c:v>33800.8</c:v>
                </c:pt>
                <c:pt idx="253">
                  <c:v>33934.4</c:v>
                </c:pt>
                <c:pt idx="254">
                  <c:v>34068.0</c:v>
                </c:pt>
                <c:pt idx="255">
                  <c:v>34201.6</c:v>
                </c:pt>
                <c:pt idx="256">
                  <c:v>34335.2</c:v>
                </c:pt>
                <c:pt idx="257">
                  <c:v>34468.8</c:v>
                </c:pt>
                <c:pt idx="258">
                  <c:v>34602.4</c:v>
                </c:pt>
                <c:pt idx="259">
                  <c:v>34736.0</c:v>
                </c:pt>
                <c:pt idx="260">
                  <c:v>34869.6</c:v>
                </c:pt>
                <c:pt idx="261">
                  <c:v>35003.2</c:v>
                </c:pt>
                <c:pt idx="262">
                  <c:v>35136.8</c:v>
                </c:pt>
                <c:pt idx="263">
                  <c:v>35270.4</c:v>
                </c:pt>
                <c:pt idx="264">
                  <c:v>35404.0</c:v>
                </c:pt>
                <c:pt idx="265">
                  <c:v>35537.6</c:v>
                </c:pt>
                <c:pt idx="266">
                  <c:v>35671.2</c:v>
                </c:pt>
                <c:pt idx="267">
                  <c:v>35804.8</c:v>
                </c:pt>
                <c:pt idx="268">
                  <c:v>35938.4</c:v>
                </c:pt>
                <c:pt idx="269">
                  <c:v>36072.0</c:v>
                </c:pt>
                <c:pt idx="270">
                  <c:v>36205.6</c:v>
                </c:pt>
                <c:pt idx="271">
                  <c:v>36339.2</c:v>
                </c:pt>
                <c:pt idx="272">
                  <c:v>36472.8</c:v>
                </c:pt>
                <c:pt idx="273">
                  <c:v>36606.4</c:v>
                </c:pt>
                <c:pt idx="274">
                  <c:v>36740.0</c:v>
                </c:pt>
                <c:pt idx="275">
                  <c:v>36873.6</c:v>
                </c:pt>
                <c:pt idx="276">
                  <c:v>37007.2</c:v>
                </c:pt>
                <c:pt idx="277">
                  <c:v>37140.8</c:v>
                </c:pt>
                <c:pt idx="278">
                  <c:v>37274.4</c:v>
                </c:pt>
                <c:pt idx="279">
                  <c:v>37408.0</c:v>
                </c:pt>
                <c:pt idx="280">
                  <c:v>37541.6</c:v>
                </c:pt>
                <c:pt idx="281">
                  <c:v>37675.2</c:v>
                </c:pt>
                <c:pt idx="282">
                  <c:v>37808.8</c:v>
                </c:pt>
                <c:pt idx="283">
                  <c:v>37942.4</c:v>
                </c:pt>
                <c:pt idx="284">
                  <c:v>38076.0</c:v>
                </c:pt>
                <c:pt idx="285">
                  <c:v>38209.6</c:v>
                </c:pt>
                <c:pt idx="286">
                  <c:v>38343.2</c:v>
                </c:pt>
                <c:pt idx="287">
                  <c:v>38476.8</c:v>
                </c:pt>
                <c:pt idx="288">
                  <c:v>38610.4</c:v>
                </c:pt>
                <c:pt idx="289">
                  <c:v>38744.0</c:v>
                </c:pt>
                <c:pt idx="290">
                  <c:v>38877.6</c:v>
                </c:pt>
                <c:pt idx="291">
                  <c:v>39011.2</c:v>
                </c:pt>
                <c:pt idx="292">
                  <c:v>39144.8</c:v>
                </c:pt>
                <c:pt idx="293">
                  <c:v>39278.4</c:v>
                </c:pt>
                <c:pt idx="294">
                  <c:v>39412.0</c:v>
                </c:pt>
                <c:pt idx="295">
                  <c:v>39545.6</c:v>
                </c:pt>
                <c:pt idx="296">
                  <c:v>39679.2</c:v>
                </c:pt>
                <c:pt idx="297">
                  <c:v>39812.8</c:v>
                </c:pt>
                <c:pt idx="298">
                  <c:v>39946.4</c:v>
                </c:pt>
                <c:pt idx="299">
                  <c:v>80160.0</c:v>
                </c:pt>
                <c:pt idx="300">
                  <c:v>80427.2</c:v>
                </c:pt>
                <c:pt idx="301">
                  <c:v>80694.4</c:v>
                </c:pt>
                <c:pt idx="302">
                  <c:v>80961.6</c:v>
                </c:pt>
                <c:pt idx="303">
                  <c:v>81228.79999999999</c:v>
                </c:pt>
                <c:pt idx="304">
                  <c:v>81496.0</c:v>
                </c:pt>
                <c:pt idx="305">
                  <c:v>81763.2</c:v>
                </c:pt>
                <c:pt idx="306">
                  <c:v>82030.4</c:v>
                </c:pt>
                <c:pt idx="307">
                  <c:v>82297.6</c:v>
                </c:pt>
                <c:pt idx="308">
                  <c:v>82564.79999999999</c:v>
                </c:pt>
                <c:pt idx="309">
                  <c:v>82831.99999999999</c:v>
                </c:pt>
                <c:pt idx="310">
                  <c:v>83099.2</c:v>
                </c:pt>
                <c:pt idx="311">
                  <c:v>83366.4</c:v>
                </c:pt>
                <c:pt idx="312">
                  <c:v>83633.6</c:v>
                </c:pt>
                <c:pt idx="313">
                  <c:v>83900.8</c:v>
                </c:pt>
                <c:pt idx="314">
                  <c:v>84168.0</c:v>
                </c:pt>
                <c:pt idx="315">
                  <c:v>84435.20000000001</c:v>
                </c:pt>
                <c:pt idx="316">
                  <c:v>84702.4</c:v>
                </c:pt>
                <c:pt idx="317">
                  <c:v>84969.6</c:v>
                </c:pt>
                <c:pt idx="318">
                  <c:v>85236.8</c:v>
                </c:pt>
                <c:pt idx="319">
                  <c:v>85504.0</c:v>
                </c:pt>
                <c:pt idx="320">
                  <c:v>85771.19999999998</c:v>
                </c:pt>
                <c:pt idx="321">
                  <c:v>86038.4</c:v>
                </c:pt>
                <c:pt idx="322">
                  <c:v>86305.6</c:v>
                </c:pt>
                <c:pt idx="323">
                  <c:v>86572.79999999999</c:v>
                </c:pt>
                <c:pt idx="324">
                  <c:v>86840.0</c:v>
                </c:pt>
                <c:pt idx="325">
                  <c:v>87107.2</c:v>
                </c:pt>
                <c:pt idx="326">
                  <c:v>87374.40000000001</c:v>
                </c:pt>
                <c:pt idx="327">
                  <c:v>87641.6</c:v>
                </c:pt>
                <c:pt idx="328">
                  <c:v>87908.79999999999</c:v>
                </c:pt>
                <c:pt idx="329">
                  <c:v>88176.0</c:v>
                </c:pt>
                <c:pt idx="330">
                  <c:v>88443.2</c:v>
                </c:pt>
                <c:pt idx="331">
                  <c:v>88710.4</c:v>
                </c:pt>
                <c:pt idx="332">
                  <c:v>88977.6</c:v>
                </c:pt>
                <c:pt idx="333">
                  <c:v>89244.79999999999</c:v>
                </c:pt>
                <c:pt idx="334">
                  <c:v>89511.99999999999</c:v>
                </c:pt>
                <c:pt idx="335">
                  <c:v>89779.2</c:v>
                </c:pt>
                <c:pt idx="336">
                  <c:v>90046.4</c:v>
                </c:pt>
                <c:pt idx="337">
                  <c:v>90313.6</c:v>
                </c:pt>
                <c:pt idx="338">
                  <c:v>90580.8</c:v>
                </c:pt>
                <c:pt idx="339">
                  <c:v>90848.0</c:v>
                </c:pt>
                <c:pt idx="340">
                  <c:v>91115.20000000001</c:v>
                </c:pt>
                <c:pt idx="341">
                  <c:v>91382.4</c:v>
                </c:pt>
                <c:pt idx="342">
                  <c:v>91649.6</c:v>
                </c:pt>
                <c:pt idx="343">
                  <c:v>91916.8</c:v>
                </c:pt>
                <c:pt idx="344">
                  <c:v>92184.0</c:v>
                </c:pt>
                <c:pt idx="345">
                  <c:v>92451.19999999998</c:v>
                </c:pt>
                <c:pt idx="346">
                  <c:v>92718.4</c:v>
                </c:pt>
                <c:pt idx="347">
                  <c:v>92985.6</c:v>
                </c:pt>
                <c:pt idx="348">
                  <c:v>93252.79999999999</c:v>
                </c:pt>
                <c:pt idx="349">
                  <c:v>93520.0</c:v>
                </c:pt>
                <c:pt idx="350">
                  <c:v>93787.2</c:v>
                </c:pt>
                <c:pt idx="351">
                  <c:v>94054.4</c:v>
                </c:pt>
                <c:pt idx="352">
                  <c:v>94321.6</c:v>
                </c:pt>
                <c:pt idx="353">
                  <c:v>94588.79999999999</c:v>
                </c:pt>
                <c:pt idx="354">
                  <c:v>94856.0</c:v>
                </c:pt>
                <c:pt idx="355">
                  <c:v>95123.2</c:v>
                </c:pt>
                <c:pt idx="356">
                  <c:v>95390.4</c:v>
                </c:pt>
                <c:pt idx="357">
                  <c:v>95657.6</c:v>
                </c:pt>
                <c:pt idx="358">
                  <c:v>95924.79999999999</c:v>
                </c:pt>
                <c:pt idx="359">
                  <c:v>96191.99999999999</c:v>
                </c:pt>
                <c:pt idx="360">
                  <c:v>96459.2</c:v>
                </c:pt>
                <c:pt idx="361">
                  <c:v>96726.4</c:v>
                </c:pt>
                <c:pt idx="362">
                  <c:v>96993.6</c:v>
                </c:pt>
                <c:pt idx="363">
                  <c:v>97260.8</c:v>
                </c:pt>
                <c:pt idx="364">
                  <c:v>97528.0</c:v>
                </c:pt>
                <c:pt idx="365">
                  <c:v>97795.20000000001</c:v>
                </c:pt>
                <c:pt idx="366">
                  <c:v>98062.4</c:v>
                </c:pt>
                <c:pt idx="367">
                  <c:v>98329.6</c:v>
                </c:pt>
                <c:pt idx="368">
                  <c:v>98596.8</c:v>
                </c:pt>
                <c:pt idx="369">
                  <c:v>98864.0</c:v>
                </c:pt>
                <c:pt idx="370">
                  <c:v>99131.19999999998</c:v>
                </c:pt>
                <c:pt idx="371">
                  <c:v>99398.4</c:v>
                </c:pt>
                <c:pt idx="372">
                  <c:v>99665.6</c:v>
                </c:pt>
                <c:pt idx="373">
                  <c:v>99932.79999999999</c:v>
                </c:pt>
                <c:pt idx="374">
                  <c:v>100200.0</c:v>
                </c:pt>
                <c:pt idx="375">
                  <c:v>100467.2</c:v>
                </c:pt>
                <c:pt idx="376">
                  <c:v>100734.4</c:v>
                </c:pt>
                <c:pt idx="377">
                  <c:v>101001.6</c:v>
                </c:pt>
                <c:pt idx="378">
                  <c:v>101268.8</c:v>
                </c:pt>
                <c:pt idx="379">
                  <c:v>101536.0</c:v>
                </c:pt>
                <c:pt idx="380">
                  <c:v>101803.2</c:v>
                </c:pt>
                <c:pt idx="381">
                  <c:v>102070.4</c:v>
                </c:pt>
                <c:pt idx="382">
                  <c:v>102337.6</c:v>
                </c:pt>
                <c:pt idx="383">
                  <c:v>102604.8</c:v>
                </c:pt>
                <c:pt idx="384">
                  <c:v>102872</c:v>
                </c:pt>
                <c:pt idx="385">
                  <c:v>103139.2</c:v>
                </c:pt>
                <c:pt idx="386">
                  <c:v>103406.4</c:v>
                </c:pt>
                <c:pt idx="387">
                  <c:v>103673.6</c:v>
                </c:pt>
                <c:pt idx="388">
                  <c:v>103940.8</c:v>
                </c:pt>
                <c:pt idx="389">
                  <c:v>104208.0</c:v>
                </c:pt>
                <c:pt idx="390">
                  <c:v>104475.2</c:v>
                </c:pt>
                <c:pt idx="391">
                  <c:v>104742.4</c:v>
                </c:pt>
                <c:pt idx="392">
                  <c:v>105009.6</c:v>
                </c:pt>
                <c:pt idx="393">
                  <c:v>105276.8</c:v>
                </c:pt>
                <c:pt idx="394">
                  <c:v>105544.0</c:v>
                </c:pt>
                <c:pt idx="395">
                  <c:v>105811.2</c:v>
                </c:pt>
                <c:pt idx="396">
                  <c:v>106078.4</c:v>
                </c:pt>
                <c:pt idx="397">
                  <c:v>106345.6</c:v>
                </c:pt>
                <c:pt idx="398">
                  <c:v>106612.8</c:v>
                </c:pt>
                <c:pt idx="399">
                  <c:v>213760.0</c:v>
                </c:pt>
                <c:pt idx="400">
                  <c:v>214294.4</c:v>
                </c:pt>
                <c:pt idx="401">
                  <c:v>214828.8</c:v>
                </c:pt>
                <c:pt idx="402">
                  <c:v>215363.2</c:v>
                </c:pt>
                <c:pt idx="403">
                  <c:v>215897.6</c:v>
                </c:pt>
                <c:pt idx="404">
                  <c:v>216432.0</c:v>
                </c:pt>
                <c:pt idx="405">
                  <c:v>216966.4</c:v>
                </c:pt>
                <c:pt idx="406">
                  <c:v>217500.8</c:v>
                </c:pt>
                <c:pt idx="407">
                  <c:v>218035.2</c:v>
                </c:pt>
                <c:pt idx="408">
                  <c:v>218569.6</c:v>
                </c:pt>
                <c:pt idx="409">
                  <c:v>219104</c:v>
                </c:pt>
                <c:pt idx="410">
                  <c:v>219638.4</c:v>
                </c:pt>
                <c:pt idx="411">
                  <c:v>220172.8</c:v>
                </c:pt>
                <c:pt idx="412">
                  <c:v>220707.2</c:v>
                </c:pt>
                <c:pt idx="413">
                  <c:v>221241.6</c:v>
                </c:pt>
                <c:pt idx="414">
                  <c:v>221776.0</c:v>
                </c:pt>
                <c:pt idx="415">
                  <c:v>222310.4</c:v>
                </c:pt>
                <c:pt idx="416">
                  <c:v>222844.8</c:v>
                </c:pt>
                <c:pt idx="417">
                  <c:v>223379.2</c:v>
                </c:pt>
                <c:pt idx="418">
                  <c:v>223913.6</c:v>
                </c:pt>
                <c:pt idx="419">
                  <c:v>224448.0</c:v>
                </c:pt>
                <c:pt idx="420">
                  <c:v>224982.4</c:v>
                </c:pt>
                <c:pt idx="421">
                  <c:v>225516.8</c:v>
                </c:pt>
                <c:pt idx="422">
                  <c:v>226051.2</c:v>
                </c:pt>
                <c:pt idx="423">
                  <c:v>226585.6</c:v>
                </c:pt>
                <c:pt idx="424">
                  <c:v>227120.0</c:v>
                </c:pt>
                <c:pt idx="425">
                  <c:v>227654.4</c:v>
                </c:pt>
                <c:pt idx="426">
                  <c:v>228188.8</c:v>
                </c:pt>
                <c:pt idx="427">
                  <c:v>228723.2</c:v>
                </c:pt>
                <c:pt idx="428">
                  <c:v>229257.6</c:v>
                </c:pt>
                <c:pt idx="429">
                  <c:v>229792.0</c:v>
                </c:pt>
                <c:pt idx="430">
                  <c:v>230326.4</c:v>
                </c:pt>
                <c:pt idx="431">
                  <c:v>230860.8</c:v>
                </c:pt>
                <c:pt idx="432">
                  <c:v>231395.2</c:v>
                </c:pt>
                <c:pt idx="433">
                  <c:v>231929.6</c:v>
                </c:pt>
                <c:pt idx="434">
                  <c:v>232464</c:v>
                </c:pt>
                <c:pt idx="435">
                  <c:v>232998.4</c:v>
                </c:pt>
                <c:pt idx="436">
                  <c:v>233532.8</c:v>
                </c:pt>
                <c:pt idx="437">
                  <c:v>234067.2</c:v>
                </c:pt>
                <c:pt idx="438">
                  <c:v>234601.6</c:v>
                </c:pt>
                <c:pt idx="439">
                  <c:v>235136.0</c:v>
                </c:pt>
                <c:pt idx="440">
                  <c:v>235670.4</c:v>
                </c:pt>
                <c:pt idx="441">
                  <c:v>236204.8</c:v>
                </c:pt>
                <c:pt idx="442">
                  <c:v>236739.2</c:v>
                </c:pt>
                <c:pt idx="443">
                  <c:v>237273.6</c:v>
                </c:pt>
                <c:pt idx="444">
                  <c:v>237808.0</c:v>
                </c:pt>
                <c:pt idx="445">
                  <c:v>238342.4</c:v>
                </c:pt>
                <c:pt idx="446">
                  <c:v>238876.8</c:v>
                </c:pt>
                <c:pt idx="447">
                  <c:v>239411.2</c:v>
                </c:pt>
                <c:pt idx="448">
                  <c:v>239945.6</c:v>
                </c:pt>
                <c:pt idx="449">
                  <c:v>240480.0</c:v>
                </c:pt>
                <c:pt idx="450">
                  <c:v>241014.4</c:v>
                </c:pt>
                <c:pt idx="451">
                  <c:v>241548.8</c:v>
                </c:pt>
                <c:pt idx="452">
                  <c:v>242083.2</c:v>
                </c:pt>
                <c:pt idx="453">
                  <c:v>242617.6</c:v>
                </c:pt>
                <c:pt idx="454">
                  <c:v>243152.0</c:v>
                </c:pt>
                <c:pt idx="455">
                  <c:v>243686.4</c:v>
                </c:pt>
                <c:pt idx="456">
                  <c:v>244220.8</c:v>
                </c:pt>
                <c:pt idx="457">
                  <c:v>244755.2</c:v>
                </c:pt>
                <c:pt idx="458">
                  <c:v>245289.6</c:v>
                </c:pt>
                <c:pt idx="459">
                  <c:v>245824</c:v>
                </c:pt>
                <c:pt idx="460">
                  <c:v>246358.4</c:v>
                </c:pt>
                <c:pt idx="461">
                  <c:v>246892.8</c:v>
                </c:pt>
                <c:pt idx="462">
                  <c:v>247427.2</c:v>
                </c:pt>
                <c:pt idx="463">
                  <c:v>247961.6</c:v>
                </c:pt>
                <c:pt idx="464">
                  <c:v>248496.0</c:v>
                </c:pt>
                <c:pt idx="465">
                  <c:v>249030.4</c:v>
                </c:pt>
                <c:pt idx="466">
                  <c:v>249564.8</c:v>
                </c:pt>
                <c:pt idx="467">
                  <c:v>250099.2</c:v>
                </c:pt>
                <c:pt idx="468">
                  <c:v>250633.6</c:v>
                </c:pt>
                <c:pt idx="469">
                  <c:v>251168.0</c:v>
                </c:pt>
                <c:pt idx="470">
                  <c:v>251702.4</c:v>
                </c:pt>
                <c:pt idx="471">
                  <c:v>252236.8</c:v>
                </c:pt>
                <c:pt idx="472">
                  <c:v>252771.2</c:v>
                </c:pt>
                <c:pt idx="473">
                  <c:v>253305.6</c:v>
                </c:pt>
                <c:pt idx="474">
                  <c:v>253840.0</c:v>
                </c:pt>
                <c:pt idx="475">
                  <c:v>254374.4</c:v>
                </c:pt>
                <c:pt idx="476">
                  <c:v>254908.8</c:v>
                </c:pt>
                <c:pt idx="477">
                  <c:v>255443.2</c:v>
                </c:pt>
                <c:pt idx="478">
                  <c:v>255977.6</c:v>
                </c:pt>
                <c:pt idx="479">
                  <c:v>256512</c:v>
                </c:pt>
                <c:pt idx="480">
                  <c:v>257046.4</c:v>
                </c:pt>
                <c:pt idx="481">
                  <c:v>257580.8</c:v>
                </c:pt>
                <c:pt idx="482">
                  <c:v>258115.2</c:v>
                </c:pt>
                <c:pt idx="483">
                  <c:v>258649.6</c:v>
                </c:pt>
                <c:pt idx="484">
                  <c:v>259184</c:v>
                </c:pt>
                <c:pt idx="485">
                  <c:v>259718.4</c:v>
                </c:pt>
                <c:pt idx="486">
                  <c:v>260252.8</c:v>
                </c:pt>
                <c:pt idx="487">
                  <c:v>260787.2</c:v>
                </c:pt>
                <c:pt idx="488">
                  <c:v>261321.6</c:v>
                </c:pt>
                <c:pt idx="489">
                  <c:v>261856.0</c:v>
                </c:pt>
                <c:pt idx="490">
                  <c:v>262390.4</c:v>
                </c:pt>
                <c:pt idx="491">
                  <c:v>262924.8</c:v>
                </c:pt>
                <c:pt idx="492">
                  <c:v>263459.2</c:v>
                </c:pt>
                <c:pt idx="493">
                  <c:v>263993.6</c:v>
                </c:pt>
                <c:pt idx="494">
                  <c:v>264528.0</c:v>
                </c:pt>
                <c:pt idx="495">
                  <c:v>265062.4</c:v>
                </c:pt>
                <c:pt idx="496">
                  <c:v>265596.8</c:v>
                </c:pt>
                <c:pt idx="497">
                  <c:v>266131.2</c:v>
                </c:pt>
                <c:pt idx="498">
                  <c:v>266665.6</c:v>
                </c:pt>
              </c:numCache>
            </c:numRef>
          </c:val>
          <c:smooth val="0"/>
        </c:ser>
        <c:ser>
          <c:idx val="3"/>
          <c:order val="3"/>
          <c:tx>
            <c:strRef>
              <c:f>Calculations!$G$1</c:f>
              <c:strCache>
                <c:ptCount val="1"/>
                <c:pt idx="0">
                  <c:v>Prestige 2</c:v>
                </c:pt>
              </c:strCache>
            </c:strRef>
          </c:tx>
          <c:spPr>
            <a:ln w="25400" cmpd="sng">
              <a:solidFill>
                <a:srgbClr val="109618"/>
              </a:solidFill>
            </a:ln>
          </c:spPr>
          <c:marker>
            <c:symbol val="none"/>
          </c:marker>
          <c:cat>
            <c:numRef>
              <c:f>Calculations!$A$2:$A$500</c:f>
              <c:numCache>
                <c:formatCode>General</c:formatCode>
                <c:ptCount val="4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pt idx="99">
                  <c:v>100.0</c:v>
                </c:pt>
                <c:pt idx="100">
                  <c:v>101.0</c:v>
                </c:pt>
                <c:pt idx="101">
                  <c:v>102.0</c:v>
                </c:pt>
                <c:pt idx="102">
                  <c:v>103.0</c:v>
                </c:pt>
                <c:pt idx="103">
                  <c:v>104.0</c:v>
                </c:pt>
                <c:pt idx="104">
                  <c:v>105.0</c:v>
                </c:pt>
                <c:pt idx="105">
                  <c:v>106.0</c:v>
                </c:pt>
                <c:pt idx="106">
                  <c:v>107.0</c:v>
                </c:pt>
                <c:pt idx="107">
                  <c:v>108.0</c:v>
                </c:pt>
                <c:pt idx="108">
                  <c:v>109.0</c:v>
                </c:pt>
                <c:pt idx="109">
                  <c:v>110.0</c:v>
                </c:pt>
                <c:pt idx="110">
                  <c:v>111.0</c:v>
                </c:pt>
                <c:pt idx="111">
                  <c:v>112.0</c:v>
                </c:pt>
                <c:pt idx="112">
                  <c:v>113.0</c:v>
                </c:pt>
                <c:pt idx="113">
                  <c:v>114.0</c:v>
                </c:pt>
                <c:pt idx="114">
                  <c:v>115.0</c:v>
                </c:pt>
                <c:pt idx="115">
                  <c:v>116.0</c:v>
                </c:pt>
                <c:pt idx="116">
                  <c:v>117.0</c:v>
                </c:pt>
                <c:pt idx="117">
                  <c:v>118.0</c:v>
                </c:pt>
                <c:pt idx="118">
                  <c:v>119.0</c:v>
                </c:pt>
                <c:pt idx="119">
                  <c:v>120.0</c:v>
                </c:pt>
                <c:pt idx="120">
                  <c:v>121.0</c:v>
                </c:pt>
                <c:pt idx="121">
                  <c:v>122.0</c:v>
                </c:pt>
                <c:pt idx="122">
                  <c:v>123.0</c:v>
                </c:pt>
                <c:pt idx="123">
                  <c:v>124.0</c:v>
                </c:pt>
                <c:pt idx="124">
                  <c:v>125.0</c:v>
                </c:pt>
                <c:pt idx="125">
                  <c:v>126.0</c:v>
                </c:pt>
                <c:pt idx="126">
                  <c:v>127.0</c:v>
                </c:pt>
                <c:pt idx="127">
                  <c:v>128.0</c:v>
                </c:pt>
                <c:pt idx="128">
                  <c:v>129.0</c:v>
                </c:pt>
                <c:pt idx="129">
                  <c:v>130.0</c:v>
                </c:pt>
                <c:pt idx="130">
                  <c:v>131.0</c:v>
                </c:pt>
                <c:pt idx="131">
                  <c:v>132.0</c:v>
                </c:pt>
                <c:pt idx="132">
                  <c:v>133.0</c:v>
                </c:pt>
                <c:pt idx="133">
                  <c:v>134.0</c:v>
                </c:pt>
                <c:pt idx="134">
                  <c:v>135.0</c:v>
                </c:pt>
                <c:pt idx="135">
                  <c:v>136.0</c:v>
                </c:pt>
                <c:pt idx="136">
                  <c:v>137.0</c:v>
                </c:pt>
                <c:pt idx="137">
                  <c:v>138.0</c:v>
                </c:pt>
                <c:pt idx="138">
                  <c:v>139.0</c:v>
                </c:pt>
                <c:pt idx="139">
                  <c:v>140.0</c:v>
                </c:pt>
                <c:pt idx="140">
                  <c:v>141.0</c:v>
                </c:pt>
                <c:pt idx="141">
                  <c:v>142.0</c:v>
                </c:pt>
                <c:pt idx="142">
                  <c:v>143.0</c:v>
                </c:pt>
                <c:pt idx="143">
                  <c:v>144.0</c:v>
                </c:pt>
                <c:pt idx="144">
                  <c:v>145.0</c:v>
                </c:pt>
                <c:pt idx="145">
                  <c:v>146.0</c:v>
                </c:pt>
                <c:pt idx="146">
                  <c:v>147.0</c:v>
                </c:pt>
                <c:pt idx="147">
                  <c:v>148.0</c:v>
                </c:pt>
                <c:pt idx="148">
                  <c:v>149.0</c:v>
                </c:pt>
                <c:pt idx="149">
                  <c:v>150.0</c:v>
                </c:pt>
                <c:pt idx="150">
                  <c:v>151.0</c:v>
                </c:pt>
                <c:pt idx="151">
                  <c:v>152.0</c:v>
                </c:pt>
                <c:pt idx="152">
                  <c:v>153.0</c:v>
                </c:pt>
                <c:pt idx="153">
                  <c:v>154.0</c:v>
                </c:pt>
                <c:pt idx="154">
                  <c:v>155.0</c:v>
                </c:pt>
                <c:pt idx="155">
                  <c:v>156.0</c:v>
                </c:pt>
                <c:pt idx="156">
                  <c:v>157.0</c:v>
                </c:pt>
                <c:pt idx="157">
                  <c:v>158.0</c:v>
                </c:pt>
                <c:pt idx="158">
                  <c:v>159.0</c:v>
                </c:pt>
                <c:pt idx="159">
                  <c:v>160.0</c:v>
                </c:pt>
                <c:pt idx="160">
                  <c:v>161.0</c:v>
                </c:pt>
                <c:pt idx="161">
                  <c:v>162.0</c:v>
                </c:pt>
                <c:pt idx="162">
                  <c:v>163.0</c:v>
                </c:pt>
                <c:pt idx="163">
                  <c:v>164.0</c:v>
                </c:pt>
                <c:pt idx="164">
                  <c:v>165.0</c:v>
                </c:pt>
                <c:pt idx="165">
                  <c:v>166.0</c:v>
                </c:pt>
                <c:pt idx="166">
                  <c:v>167.0</c:v>
                </c:pt>
                <c:pt idx="167">
                  <c:v>168.0</c:v>
                </c:pt>
                <c:pt idx="168">
                  <c:v>169.0</c:v>
                </c:pt>
                <c:pt idx="169">
                  <c:v>170.0</c:v>
                </c:pt>
                <c:pt idx="170">
                  <c:v>171.0</c:v>
                </c:pt>
                <c:pt idx="171">
                  <c:v>172.0</c:v>
                </c:pt>
                <c:pt idx="172">
                  <c:v>173.0</c:v>
                </c:pt>
                <c:pt idx="173">
                  <c:v>174.0</c:v>
                </c:pt>
                <c:pt idx="174">
                  <c:v>175.0</c:v>
                </c:pt>
                <c:pt idx="175">
                  <c:v>176.0</c:v>
                </c:pt>
                <c:pt idx="176">
                  <c:v>177.0</c:v>
                </c:pt>
                <c:pt idx="177">
                  <c:v>178.0</c:v>
                </c:pt>
                <c:pt idx="178">
                  <c:v>179.0</c:v>
                </c:pt>
                <c:pt idx="179">
                  <c:v>180.0</c:v>
                </c:pt>
                <c:pt idx="180">
                  <c:v>181.0</c:v>
                </c:pt>
                <c:pt idx="181">
                  <c:v>182.0</c:v>
                </c:pt>
                <c:pt idx="182">
                  <c:v>183.0</c:v>
                </c:pt>
                <c:pt idx="183">
                  <c:v>184.0</c:v>
                </c:pt>
                <c:pt idx="184">
                  <c:v>185.0</c:v>
                </c:pt>
                <c:pt idx="185">
                  <c:v>186.0</c:v>
                </c:pt>
                <c:pt idx="186">
                  <c:v>187.0</c:v>
                </c:pt>
                <c:pt idx="187">
                  <c:v>188.0</c:v>
                </c:pt>
                <c:pt idx="188">
                  <c:v>189.0</c:v>
                </c:pt>
                <c:pt idx="189">
                  <c:v>190.0</c:v>
                </c:pt>
                <c:pt idx="190">
                  <c:v>191.0</c:v>
                </c:pt>
                <c:pt idx="191">
                  <c:v>192.0</c:v>
                </c:pt>
                <c:pt idx="192">
                  <c:v>193.0</c:v>
                </c:pt>
                <c:pt idx="193">
                  <c:v>194.0</c:v>
                </c:pt>
                <c:pt idx="194">
                  <c:v>195.0</c:v>
                </c:pt>
                <c:pt idx="195">
                  <c:v>196.0</c:v>
                </c:pt>
                <c:pt idx="196">
                  <c:v>197.0</c:v>
                </c:pt>
                <c:pt idx="197">
                  <c:v>198.0</c:v>
                </c:pt>
                <c:pt idx="198">
                  <c:v>199.0</c:v>
                </c:pt>
                <c:pt idx="199">
                  <c:v>200.0</c:v>
                </c:pt>
                <c:pt idx="200">
                  <c:v>201.0</c:v>
                </c:pt>
                <c:pt idx="201">
                  <c:v>202.0</c:v>
                </c:pt>
                <c:pt idx="202">
                  <c:v>203.0</c:v>
                </c:pt>
                <c:pt idx="203">
                  <c:v>204.0</c:v>
                </c:pt>
                <c:pt idx="204">
                  <c:v>205.0</c:v>
                </c:pt>
                <c:pt idx="205">
                  <c:v>206.0</c:v>
                </c:pt>
                <c:pt idx="206">
                  <c:v>207.0</c:v>
                </c:pt>
                <c:pt idx="207">
                  <c:v>208.0</c:v>
                </c:pt>
                <c:pt idx="208">
                  <c:v>209.0</c:v>
                </c:pt>
                <c:pt idx="209">
                  <c:v>210.0</c:v>
                </c:pt>
                <c:pt idx="210">
                  <c:v>211.0</c:v>
                </c:pt>
                <c:pt idx="211">
                  <c:v>212.0</c:v>
                </c:pt>
                <c:pt idx="212">
                  <c:v>213.0</c:v>
                </c:pt>
                <c:pt idx="213">
                  <c:v>214.0</c:v>
                </c:pt>
                <c:pt idx="214">
                  <c:v>215.0</c:v>
                </c:pt>
                <c:pt idx="215">
                  <c:v>216.0</c:v>
                </c:pt>
                <c:pt idx="216">
                  <c:v>217.0</c:v>
                </c:pt>
                <c:pt idx="217">
                  <c:v>218.0</c:v>
                </c:pt>
                <c:pt idx="218">
                  <c:v>219.0</c:v>
                </c:pt>
                <c:pt idx="219">
                  <c:v>220.0</c:v>
                </c:pt>
                <c:pt idx="220">
                  <c:v>221.0</c:v>
                </c:pt>
                <c:pt idx="221">
                  <c:v>222.0</c:v>
                </c:pt>
                <c:pt idx="222">
                  <c:v>223.0</c:v>
                </c:pt>
                <c:pt idx="223">
                  <c:v>224.0</c:v>
                </c:pt>
                <c:pt idx="224">
                  <c:v>225.0</c:v>
                </c:pt>
                <c:pt idx="225">
                  <c:v>226.0</c:v>
                </c:pt>
                <c:pt idx="226">
                  <c:v>227.0</c:v>
                </c:pt>
                <c:pt idx="227">
                  <c:v>228.0</c:v>
                </c:pt>
                <c:pt idx="228">
                  <c:v>229.0</c:v>
                </c:pt>
                <c:pt idx="229">
                  <c:v>230.0</c:v>
                </c:pt>
                <c:pt idx="230">
                  <c:v>231.0</c:v>
                </c:pt>
                <c:pt idx="231">
                  <c:v>232.0</c:v>
                </c:pt>
                <c:pt idx="232">
                  <c:v>233.0</c:v>
                </c:pt>
                <c:pt idx="233">
                  <c:v>234.0</c:v>
                </c:pt>
                <c:pt idx="234">
                  <c:v>235.0</c:v>
                </c:pt>
                <c:pt idx="235">
                  <c:v>236.0</c:v>
                </c:pt>
                <c:pt idx="236">
                  <c:v>237.0</c:v>
                </c:pt>
                <c:pt idx="237">
                  <c:v>238.0</c:v>
                </c:pt>
                <c:pt idx="238">
                  <c:v>239.0</c:v>
                </c:pt>
                <c:pt idx="239">
                  <c:v>240.0</c:v>
                </c:pt>
                <c:pt idx="240">
                  <c:v>241.0</c:v>
                </c:pt>
                <c:pt idx="241">
                  <c:v>242.0</c:v>
                </c:pt>
                <c:pt idx="242">
                  <c:v>243.0</c:v>
                </c:pt>
                <c:pt idx="243">
                  <c:v>244.0</c:v>
                </c:pt>
                <c:pt idx="244">
                  <c:v>245.0</c:v>
                </c:pt>
                <c:pt idx="245">
                  <c:v>246.0</c:v>
                </c:pt>
                <c:pt idx="246">
                  <c:v>247.0</c:v>
                </c:pt>
                <c:pt idx="247">
                  <c:v>248.0</c:v>
                </c:pt>
                <c:pt idx="248">
                  <c:v>249.0</c:v>
                </c:pt>
                <c:pt idx="249">
                  <c:v>250.0</c:v>
                </c:pt>
                <c:pt idx="250">
                  <c:v>251.0</c:v>
                </c:pt>
                <c:pt idx="251">
                  <c:v>252.0</c:v>
                </c:pt>
                <c:pt idx="252">
                  <c:v>253.0</c:v>
                </c:pt>
                <c:pt idx="253">
                  <c:v>254.0</c:v>
                </c:pt>
                <c:pt idx="254">
                  <c:v>255.0</c:v>
                </c:pt>
                <c:pt idx="255">
                  <c:v>256.0</c:v>
                </c:pt>
                <c:pt idx="256">
                  <c:v>257.0</c:v>
                </c:pt>
                <c:pt idx="257">
                  <c:v>258.0</c:v>
                </c:pt>
                <c:pt idx="258">
                  <c:v>259.0</c:v>
                </c:pt>
                <c:pt idx="259">
                  <c:v>260.0</c:v>
                </c:pt>
                <c:pt idx="260">
                  <c:v>261.0</c:v>
                </c:pt>
                <c:pt idx="261">
                  <c:v>262.0</c:v>
                </c:pt>
                <c:pt idx="262">
                  <c:v>263.0</c:v>
                </c:pt>
                <c:pt idx="263">
                  <c:v>264.0</c:v>
                </c:pt>
                <c:pt idx="264">
                  <c:v>265.0</c:v>
                </c:pt>
                <c:pt idx="265">
                  <c:v>266.0</c:v>
                </c:pt>
                <c:pt idx="266">
                  <c:v>267.0</c:v>
                </c:pt>
                <c:pt idx="267">
                  <c:v>268.0</c:v>
                </c:pt>
                <c:pt idx="268">
                  <c:v>269.0</c:v>
                </c:pt>
                <c:pt idx="269">
                  <c:v>270.0</c:v>
                </c:pt>
                <c:pt idx="270">
                  <c:v>271.0</c:v>
                </c:pt>
                <c:pt idx="271">
                  <c:v>272.0</c:v>
                </c:pt>
                <c:pt idx="272">
                  <c:v>273.0</c:v>
                </c:pt>
                <c:pt idx="273">
                  <c:v>274.0</c:v>
                </c:pt>
                <c:pt idx="274">
                  <c:v>275.0</c:v>
                </c:pt>
                <c:pt idx="275">
                  <c:v>276.0</c:v>
                </c:pt>
                <c:pt idx="276">
                  <c:v>277.0</c:v>
                </c:pt>
                <c:pt idx="277">
                  <c:v>278.0</c:v>
                </c:pt>
                <c:pt idx="278">
                  <c:v>279.0</c:v>
                </c:pt>
                <c:pt idx="279">
                  <c:v>280.0</c:v>
                </c:pt>
                <c:pt idx="280">
                  <c:v>281.0</c:v>
                </c:pt>
                <c:pt idx="281">
                  <c:v>282.0</c:v>
                </c:pt>
                <c:pt idx="282">
                  <c:v>283.0</c:v>
                </c:pt>
                <c:pt idx="283">
                  <c:v>284.0</c:v>
                </c:pt>
                <c:pt idx="284">
                  <c:v>285.0</c:v>
                </c:pt>
                <c:pt idx="285">
                  <c:v>286.0</c:v>
                </c:pt>
                <c:pt idx="286">
                  <c:v>287.0</c:v>
                </c:pt>
                <c:pt idx="287">
                  <c:v>288.0</c:v>
                </c:pt>
                <c:pt idx="288">
                  <c:v>289.0</c:v>
                </c:pt>
                <c:pt idx="289">
                  <c:v>290.0</c:v>
                </c:pt>
                <c:pt idx="290">
                  <c:v>291.0</c:v>
                </c:pt>
                <c:pt idx="291">
                  <c:v>292.0</c:v>
                </c:pt>
                <c:pt idx="292">
                  <c:v>293.0</c:v>
                </c:pt>
                <c:pt idx="293">
                  <c:v>294.0</c:v>
                </c:pt>
                <c:pt idx="294">
                  <c:v>295.0</c:v>
                </c:pt>
                <c:pt idx="295">
                  <c:v>296.0</c:v>
                </c:pt>
                <c:pt idx="296">
                  <c:v>297.0</c:v>
                </c:pt>
                <c:pt idx="297">
                  <c:v>298.0</c:v>
                </c:pt>
                <c:pt idx="298">
                  <c:v>299.0</c:v>
                </c:pt>
                <c:pt idx="299">
                  <c:v>300.0</c:v>
                </c:pt>
                <c:pt idx="300">
                  <c:v>301.0</c:v>
                </c:pt>
                <c:pt idx="301">
                  <c:v>302.0</c:v>
                </c:pt>
                <c:pt idx="302">
                  <c:v>303.0</c:v>
                </c:pt>
                <c:pt idx="303">
                  <c:v>304.0</c:v>
                </c:pt>
                <c:pt idx="304">
                  <c:v>305.0</c:v>
                </c:pt>
                <c:pt idx="305">
                  <c:v>306.0</c:v>
                </c:pt>
                <c:pt idx="306">
                  <c:v>307.0</c:v>
                </c:pt>
                <c:pt idx="307">
                  <c:v>308.0</c:v>
                </c:pt>
                <c:pt idx="308">
                  <c:v>309.0</c:v>
                </c:pt>
                <c:pt idx="309">
                  <c:v>310.0</c:v>
                </c:pt>
                <c:pt idx="310">
                  <c:v>311.0</c:v>
                </c:pt>
                <c:pt idx="311">
                  <c:v>312.0</c:v>
                </c:pt>
                <c:pt idx="312">
                  <c:v>313.0</c:v>
                </c:pt>
                <c:pt idx="313">
                  <c:v>314.0</c:v>
                </c:pt>
                <c:pt idx="314">
                  <c:v>315.0</c:v>
                </c:pt>
                <c:pt idx="315">
                  <c:v>316.0</c:v>
                </c:pt>
                <c:pt idx="316">
                  <c:v>317.0</c:v>
                </c:pt>
                <c:pt idx="317">
                  <c:v>318.0</c:v>
                </c:pt>
                <c:pt idx="318">
                  <c:v>319.0</c:v>
                </c:pt>
                <c:pt idx="319">
                  <c:v>320.0</c:v>
                </c:pt>
                <c:pt idx="320">
                  <c:v>321.0</c:v>
                </c:pt>
                <c:pt idx="321">
                  <c:v>322.0</c:v>
                </c:pt>
                <c:pt idx="322">
                  <c:v>323.0</c:v>
                </c:pt>
                <c:pt idx="323">
                  <c:v>324.0</c:v>
                </c:pt>
                <c:pt idx="324">
                  <c:v>325.0</c:v>
                </c:pt>
                <c:pt idx="325">
                  <c:v>326.0</c:v>
                </c:pt>
                <c:pt idx="326">
                  <c:v>327.0</c:v>
                </c:pt>
                <c:pt idx="327">
                  <c:v>328.0</c:v>
                </c:pt>
                <c:pt idx="328">
                  <c:v>329.0</c:v>
                </c:pt>
                <c:pt idx="329">
                  <c:v>330.0</c:v>
                </c:pt>
                <c:pt idx="330">
                  <c:v>331.0</c:v>
                </c:pt>
                <c:pt idx="331">
                  <c:v>332.0</c:v>
                </c:pt>
                <c:pt idx="332">
                  <c:v>333.0</c:v>
                </c:pt>
                <c:pt idx="333">
                  <c:v>334.0</c:v>
                </c:pt>
                <c:pt idx="334">
                  <c:v>335.0</c:v>
                </c:pt>
                <c:pt idx="335">
                  <c:v>336.0</c:v>
                </c:pt>
                <c:pt idx="336">
                  <c:v>337.0</c:v>
                </c:pt>
                <c:pt idx="337">
                  <c:v>338.0</c:v>
                </c:pt>
                <c:pt idx="338">
                  <c:v>339.0</c:v>
                </c:pt>
                <c:pt idx="339">
                  <c:v>340.0</c:v>
                </c:pt>
                <c:pt idx="340">
                  <c:v>341.0</c:v>
                </c:pt>
                <c:pt idx="341">
                  <c:v>342.0</c:v>
                </c:pt>
                <c:pt idx="342">
                  <c:v>343.0</c:v>
                </c:pt>
                <c:pt idx="343">
                  <c:v>344.0</c:v>
                </c:pt>
                <c:pt idx="344">
                  <c:v>345.0</c:v>
                </c:pt>
                <c:pt idx="345">
                  <c:v>346.0</c:v>
                </c:pt>
                <c:pt idx="346">
                  <c:v>347.0</c:v>
                </c:pt>
                <c:pt idx="347">
                  <c:v>348.0</c:v>
                </c:pt>
                <c:pt idx="348">
                  <c:v>349.0</c:v>
                </c:pt>
                <c:pt idx="349">
                  <c:v>350.0</c:v>
                </c:pt>
                <c:pt idx="350">
                  <c:v>351.0</c:v>
                </c:pt>
                <c:pt idx="351">
                  <c:v>352.0</c:v>
                </c:pt>
                <c:pt idx="352">
                  <c:v>353.0</c:v>
                </c:pt>
                <c:pt idx="353">
                  <c:v>354.0</c:v>
                </c:pt>
                <c:pt idx="354">
                  <c:v>355.0</c:v>
                </c:pt>
                <c:pt idx="355">
                  <c:v>356.0</c:v>
                </c:pt>
                <c:pt idx="356">
                  <c:v>357.0</c:v>
                </c:pt>
                <c:pt idx="357">
                  <c:v>358.0</c:v>
                </c:pt>
                <c:pt idx="358">
                  <c:v>359.0</c:v>
                </c:pt>
                <c:pt idx="359">
                  <c:v>360.0</c:v>
                </c:pt>
                <c:pt idx="360">
                  <c:v>361.0</c:v>
                </c:pt>
                <c:pt idx="361">
                  <c:v>362.0</c:v>
                </c:pt>
                <c:pt idx="362">
                  <c:v>363.0</c:v>
                </c:pt>
                <c:pt idx="363">
                  <c:v>364.0</c:v>
                </c:pt>
                <c:pt idx="364">
                  <c:v>365.0</c:v>
                </c:pt>
                <c:pt idx="365">
                  <c:v>366.0</c:v>
                </c:pt>
                <c:pt idx="366">
                  <c:v>367.0</c:v>
                </c:pt>
                <c:pt idx="367">
                  <c:v>368.0</c:v>
                </c:pt>
                <c:pt idx="368">
                  <c:v>369.0</c:v>
                </c:pt>
                <c:pt idx="369">
                  <c:v>370.0</c:v>
                </c:pt>
                <c:pt idx="370">
                  <c:v>371.0</c:v>
                </c:pt>
                <c:pt idx="371">
                  <c:v>372.0</c:v>
                </c:pt>
                <c:pt idx="372">
                  <c:v>373.0</c:v>
                </c:pt>
                <c:pt idx="373">
                  <c:v>374.0</c:v>
                </c:pt>
                <c:pt idx="374">
                  <c:v>375.0</c:v>
                </c:pt>
                <c:pt idx="375">
                  <c:v>376.0</c:v>
                </c:pt>
                <c:pt idx="376">
                  <c:v>377.0</c:v>
                </c:pt>
                <c:pt idx="377">
                  <c:v>378.0</c:v>
                </c:pt>
                <c:pt idx="378">
                  <c:v>379.0</c:v>
                </c:pt>
                <c:pt idx="379">
                  <c:v>380.0</c:v>
                </c:pt>
                <c:pt idx="380">
                  <c:v>381.0</c:v>
                </c:pt>
                <c:pt idx="381">
                  <c:v>382.0</c:v>
                </c:pt>
                <c:pt idx="382">
                  <c:v>383.0</c:v>
                </c:pt>
                <c:pt idx="383">
                  <c:v>384.0</c:v>
                </c:pt>
                <c:pt idx="384">
                  <c:v>385.0</c:v>
                </c:pt>
                <c:pt idx="385">
                  <c:v>386.0</c:v>
                </c:pt>
                <c:pt idx="386">
                  <c:v>387.0</c:v>
                </c:pt>
                <c:pt idx="387">
                  <c:v>388.0</c:v>
                </c:pt>
                <c:pt idx="388">
                  <c:v>389.0</c:v>
                </c:pt>
                <c:pt idx="389">
                  <c:v>390.0</c:v>
                </c:pt>
                <c:pt idx="390">
                  <c:v>391.0</c:v>
                </c:pt>
                <c:pt idx="391">
                  <c:v>392.0</c:v>
                </c:pt>
                <c:pt idx="392">
                  <c:v>393.0</c:v>
                </c:pt>
                <c:pt idx="393">
                  <c:v>394.0</c:v>
                </c:pt>
                <c:pt idx="394">
                  <c:v>395.0</c:v>
                </c:pt>
                <c:pt idx="395">
                  <c:v>396.0</c:v>
                </c:pt>
                <c:pt idx="396">
                  <c:v>397.0</c:v>
                </c:pt>
                <c:pt idx="397">
                  <c:v>398.0</c:v>
                </c:pt>
                <c:pt idx="398">
                  <c:v>399.0</c:v>
                </c:pt>
                <c:pt idx="399">
                  <c:v>400.0</c:v>
                </c:pt>
                <c:pt idx="400">
                  <c:v>401.0</c:v>
                </c:pt>
                <c:pt idx="401">
                  <c:v>402.0</c:v>
                </c:pt>
                <c:pt idx="402">
                  <c:v>403.0</c:v>
                </c:pt>
                <c:pt idx="403">
                  <c:v>404.0</c:v>
                </c:pt>
                <c:pt idx="404">
                  <c:v>405.0</c:v>
                </c:pt>
                <c:pt idx="405">
                  <c:v>406.0</c:v>
                </c:pt>
                <c:pt idx="406">
                  <c:v>407.0</c:v>
                </c:pt>
                <c:pt idx="407">
                  <c:v>408.0</c:v>
                </c:pt>
                <c:pt idx="408">
                  <c:v>409.0</c:v>
                </c:pt>
                <c:pt idx="409">
                  <c:v>410.0</c:v>
                </c:pt>
                <c:pt idx="410">
                  <c:v>411.0</c:v>
                </c:pt>
                <c:pt idx="411">
                  <c:v>412.0</c:v>
                </c:pt>
                <c:pt idx="412">
                  <c:v>413.0</c:v>
                </c:pt>
                <c:pt idx="413">
                  <c:v>414.0</c:v>
                </c:pt>
                <c:pt idx="414">
                  <c:v>415.0</c:v>
                </c:pt>
                <c:pt idx="415">
                  <c:v>416.0</c:v>
                </c:pt>
                <c:pt idx="416">
                  <c:v>417.0</c:v>
                </c:pt>
                <c:pt idx="417">
                  <c:v>418.0</c:v>
                </c:pt>
                <c:pt idx="418">
                  <c:v>419.0</c:v>
                </c:pt>
                <c:pt idx="419">
                  <c:v>420.0</c:v>
                </c:pt>
                <c:pt idx="420">
                  <c:v>421.0</c:v>
                </c:pt>
                <c:pt idx="421">
                  <c:v>422.0</c:v>
                </c:pt>
                <c:pt idx="422">
                  <c:v>423.0</c:v>
                </c:pt>
                <c:pt idx="423">
                  <c:v>424.0</c:v>
                </c:pt>
                <c:pt idx="424">
                  <c:v>425.0</c:v>
                </c:pt>
                <c:pt idx="425">
                  <c:v>426.0</c:v>
                </c:pt>
                <c:pt idx="426">
                  <c:v>427.0</c:v>
                </c:pt>
                <c:pt idx="427">
                  <c:v>428.0</c:v>
                </c:pt>
                <c:pt idx="428">
                  <c:v>429.0</c:v>
                </c:pt>
                <c:pt idx="429">
                  <c:v>430.0</c:v>
                </c:pt>
                <c:pt idx="430">
                  <c:v>431.0</c:v>
                </c:pt>
                <c:pt idx="431">
                  <c:v>432.0</c:v>
                </c:pt>
                <c:pt idx="432">
                  <c:v>433.0</c:v>
                </c:pt>
                <c:pt idx="433">
                  <c:v>434.0</c:v>
                </c:pt>
                <c:pt idx="434">
                  <c:v>435.0</c:v>
                </c:pt>
                <c:pt idx="435">
                  <c:v>436.0</c:v>
                </c:pt>
                <c:pt idx="436">
                  <c:v>437.0</c:v>
                </c:pt>
                <c:pt idx="437">
                  <c:v>438.0</c:v>
                </c:pt>
                <c:pt idx="438">
                  <c:v>439.0</c:v>
                </c:pt>
                <c:pt idx="439">
                  <c:v>440.0</c:v>
                </c:pt>
                <c:pt idx="440">
                  <c:v>441.0</c:v>
                </c:pt>
                <c:pt idx="441">
                  <c:v>442.0</c:v>
                </c:pt>
                <c:pt idx="442">
                  <c:v>443.0</c:v>
                </c:pt>
                <c:pt idx="443">
                  <c:v>444.0</c:v>
                </c:pt>
                <c:pt idx="444">
                  <c:v>445.0</c:v>
                </c:pt>
                <c:pt idx="445">
                  <c:v>446.0</c:v>
                </c:pt>
                <c:pt idx="446">
                  <c:v>447.0</c:v>
                </c:pt>
                <c:pt idx="447">
                  <c:v>448.0</c:v>
                </c:pt>
                <c:pt idx="448">
                  <c:v>449.0</c:v>
                </c:pt>
                <c:pt idx="449">
                  <c:v>450.0</c:v>
                </c:pt>
                <c:pt idx="450">
                  <c:v>451.0</c:v>
                </c:pt>
                <c:pt idx="451">
                  <c:v>452.0</c:v>
                </c:pt>
                <c:pt idx="452">
                  <c:v>453.0</c:v>
                </c:pt>
                <c:pt idx="453">
                  <c:v>454.0</c:v>
                </c:pt>
                <c:pt idx="454">
                  <c:v>455.0</c:v>
                </c:pt>
                <c:pt idx="455">
                  <c:v>456.0</c:v>
                </c:pt>
                <c:pt idx="456">
                  <c:v>457.0</c:v>
                </c:pt>
                <c:pt idx="457">
                  <c:v>458.0</c:v>
                </c:pt>
                <c:pt idx="458">
                  <c:v>459.0</c:v>
                </c:pt>
                <c:pt idx="459">
                  <c:v>460.0</c:v>
                </c:pt>
                <c:pt idx="460">
                  <c:v>461.0</c:v>
                </c:pt>
                <c:pt idx="461">
                  <c:v>462.0</c:v>
                </c:pt>
                <c:pt idx="462">
                  <c:v>463.0</c:v>
                </c:pt>
                <c:pt idx="463">
                  <c:v>464.0</c:v>
                </c:pt>
                <c:pt idx="464">
                  <c:v>465.0</c:v>
                </c:pt>
                <c:pt idx="465">
                  <c:v>466.0</c:v>
                </c:pt>
                <c:pt idx="466">
                  <c:v>467.0</c:v>
                </c:pt>
                <c:pt idx="467">
                  <c:v>468.0</c:v>
                </c:pt>
                <c:pt idx="468">
                  <c:v>469.0</c:v>
                </c:pt>
                <c:pt idx="469">
                  <c:v>470.0</c:v>
                </c:pt>
                <c:pt idx="470">
                  <c:v>471.0</c:v>
                </c:pt>
                <c:pt idx="471">
                  <c:v>472.0</c:v>
                </c:pt>
                <c:pt idx="472">
                  <c:v>473.0</c:v>
                </c:pt>
                <c:pt idx="473">
                  <c:v>474.0</c:v>
                </c:pt>
                <c:pt idx="474">
                  <c:v>475.0</c:v>
                </c:pt>
                <c:pt idx="475">
                  <c:v>476.0</c:v>
                </c:pt>
                <c:pt idx="476">
                  <c:v>477.0</c:v>
                </c:pt>
                <c:pt idx="477">
                  <c:v>478.0</c:v>
                </c:pt>
                <c:pt idx="478">
                  <c:v>479.0</c:v>
                </c:pt>
                <c:pt idx="479">
                  <c:v>480.0</c:v>
                </c:pt>
                <c:pt idx="480">
                  <c:v>481.0</c:v>
                </c:pt>
                <c:pt idx="481">
                  <c:v>482.0</c:v>
                </c:pt>
                <c:pt idx="482">
                  <c:v>483.0</c:v>
                </c:pt>
                <c:pt idx="483">
                  <c:v>484.0</c:v>
                </c:pt>
                <c:pt idx="484">
                  <c:v>485.0</c:v>
                </c:pt>
                <c:pt idx="485">
                  <c:v>486.0</c:v>
                </c:pt>
                <c:pt idx="486">
                  <c:v>487.0</c:v>
                </c:pt>
                <c:pt idx="487">
                  <c:v>488.0</c:v>
                </c:pt>
                <c:pt idx="488">
                  <c:v>489.0</c:v>
                </c:pt>
                <c:pt idx="489">
                  <c:v>490.0</c:v>
                </c:pt>
                <c:pt idx="490">
                  <c:v>491.0</c:v>
                </c:pt>
                <c:pt idx="491">
                  <c:v>492.0</c:v>
                </c:pt>
                <c:pt idx="492">
                  <c:v>493.0</c:v>
                </c:pt>
                <c:pt idx="493">
                  <c:v>494.0</c:v>
                </c:pt>
                <c:pt idx="494">
                  <c:v>495.0</c:v>
                </c:pt>
                <c:pt idx="495">
                  <c:v>496.0</c:v>
                </c:pt>
                <c:pt idx="496">
                  <c:v>497.0</c:v>
                </c:pt>
                <c:pt idx="497">
                  <c:v>498.0</c:v>
                </c:pt>
                <c:pt idx="498">
                  <c:v>499.0</c:v>
                </c:pt>
              </c:numCache>
            </c:numRef>
          </c:cat>
          <c:val>
            <c:numRef>
              <c:f>Calculations!$G$2:$G$500</c:f>
              <c:numCache>
                <c:formatCode>0</c:formatCode>
                <c:ptCount val="499"/>
                <c:pt idx="0">
                  <c:v>125.25</c:v>
                </c:pt>
                <c:pt idx="1">
                  <c:v>250.5</c:v>
                </c:pt>
                <c:pt idx="2">
                  <c:v>375.75</c:v>
                </c:pt>
                <c:pt idx="3">
                  <c:v>501.0</c:v>
                </c:pt>
                <c:pt idx="4">
                  <c:v>626.25</c:v>
                </c:pt>
                <c:pt idx="5">
                  <c:v>751.5</c:v>
                </c:pt>
                <c:pt idx="6">
                  <c:v>876.75</c:v>
                </c:pt>
                <c:pt idx="7">
                  <c:v>1002.0</c:v>
                </c:pt>
                <c:pt idx="8">
                  <c:v>1127.25</c:v>
                </c:pt>
                <c:pt idx="9">
                  <c:v>1252.5</c:v>
                </c:pt>
                <c:pt idx="10">
                  <c:v>1377.75</c:v>
                </c:pt>
                <c:pt idx="11">
                  <c:v>1503.0</c:v>
                </c:pt>
                <c:pt idx="12">
                  <c:v>1628.25</c:v>
                </c:pt>
                <c:pt idx="13">
                  <c:v>1753.5</c:v>
                </c:pt>
                <c:pt idx="14">
                  <c:v>1878.75</c:v>
                </c:pt>
                <c:pt idx="15">
                  <c:v>2004.0</c:v>
                </c:pt>
                <c:pt idx="16">
                  <c:v>2129.25</c:v>
                </c:pt>
                <c:pt idx="17">
                  <c:v>2254.5</c:v>
                </c:pt>
                <c:pt idx="18">
                  <c:v>2379.75</c:v>
                </c:pt>
                <c:pt idx="19">
                  <c:v>2505.0</c:v>
                </c:pt>
                <c:pt idx="20">
                  <c:v>2630.25</c:v>
                </c:pt>
                <c:pt idx="21">
                  <c:v>2755.5</c:v>
                </c:pt>
                <c:pt idx="22">
                  <c:v>2880.75</c:v>
                </c:pt>
                <c:pt idx="23">
                  <c:v>3006.0</c:v>
                </c:pt>
                <c:pt idx="24">
                  <c:v>6262.5</c:v>
                </c:pt>
                <c:pt idx="25">
                  <c:v>6513.0</c:v>
                </c:pt>
                <c:pt idx="26">
                  <c:v>6763.5</c:v>
                </c:pt>
                <c:pt idx="27">
                  <c:v>7014.0</c:v>
                </c:pt>
                <c:pt idx="28">
                  <c:v>7264.5</c:v>
                </c:pt>
                <c:pt idx="29">
                  <c:v>7515</c:v>
                </c:pt>
                <c:pt idx="30">
                  <c:v>7765.5</c:v>
                </c:pt>
                <c:pt idx="31">
                  <c:v>8016.0</c:v>
                </c:pt>
                <c:pt idx="32">
                  <c:v>8266.5</c:v>
                </c:pt>
                <c:pt idx="33">
                  <c:v>8517.0</c:v>
                </c:pt>
                <c:pt idx="34">
                  <c:v>8767.5</c:v>
                </c:pt>
                <c:pt idx="35">
                  <c:v>9018.0</c:v>
                </c:pt>
                <c:pt idx="36">
                  <c:v>9268.5</c:v>
                </c:pt>
                <c:pt idx="37">
                  <c:v>9518.999999999998</c:v>
                </c:pt>
                <c:pt idx="38">
                  <c:v>9769.5</c:v>
                </c:pt>
                <c:pt idx="39">
                  <c:v>10020.0</c:v>
                </c:pt>
                <c:pt idx="40">
                  <c:v>10270.5</c:v>
                </c:pt>
                <c:pt idx="41">
                  <c:v>10521.0</c:v>
                </c:pt>
                <c:pt idx="42">
                  <c:v>10771.5</c:v>
                </c:pt>
                <c:pt idx="43">
                  <c:v>11022</c:v>
                </c:pt>
                <c:pt idx="44">
                  <c:v>11272.5</c:v>
                </c:pt>
                <c:pt idx="45">
                  <c:v>11523</c:v>
                </c:pt>
                <c:pt idx="46">
                  <c:v>11773.5</c:v>
                </c:pt>
                <c:pt idx="47">
                  <c:v>12024.0</c:v>
                </c:pt>
                <c:pt idx="48">
                  <c:v>12274.5</c:v>
                </c:pt>
                <c:pt idx="49">
                  <c:v>25050.0</c:v>
                </c:pt>
                <c:pt idx="50">
                  <c:v>25551.0</c:v>
                </c:pt>
                <c:pt idx="51">
                  <c:v>26052.0</c:v>
                </c:pt>
                <c:pt idx="52">
                  <c:v>26553</c:v>
                </c:pt>
                <c:pt idx="53">
                  <c:v>27054</c:v>
                </c:pt>
                <c:pt idx="54">
                  <c:v>27555.0</c:v>
                </c:pt>
                <c:pt idx="55">
                  <c:v>28056.0</c:v>
                </c:pt>
                <c:pt idx="56">
                  <c:v>28557.0</c:v>
                </c:pt>
                <c:pt idx="57">
                  <c:v>29058.0</c:v>
                </c:pt>
                <c:pt idx="58">
                  <c:v>29559.0</c:v>
                </c:pt>
                <c:pt idx="59">
                  <c:v>3006</c:v>
                </c:pt>
                <c:pt idx="60">
                  <c:v>30561</c:v>
                </c:pt>
                <c:pt idx="61">
                  <c:v>31062</c:v>
                </c:pt>
                <c:pt idx="62">
                  <c:v>31563</c:v>
                </c:pt>
                <c:pt idx="63">
                  <c:v>32064.0</c:v>
                </c:pt>
                <c:pt idx="64">
                  <c:v>32565.0</c:v>
                </c:pt>
                <c:pt idx="65">
                  <c:v>33066.0</c:v>
                </c:pt>
                <c:pt idx="66">
                  <c:v>33567.0</c:v>
                </c:pt>
                <c:pt idx="67">
                  <c:v>34068.0</c:v>
                </c:pt>
                <c:pt idx="68">
                  <c:v>34569.0</c:v>
                </c:pt>
                <c:pt idx="69">
                  <c:v>35070.0</c:v>
                </c:pt>
                <c:pt idx="70">
                  <c:v>35571.0</c:v>
                </c:pt>
                <c:pt idx="71">
                  <c:v>36072.0</c:v>
                </c:pt>
                <c:pt idx="72">
                  <c:v>36573.0</c:v>
                </c:pt>
                <c:pt idx="73">
                  <c:v>37074.0</c:v>
                </c:pt>
                <c:pt idx="74">
                  <c:v>37575.0</c:v>
                </c:pt>
                <c:pt idx="75">
                  <c:v>38076</c:v>
                </c:pt>
                <c:pt idx="76">
                  <c:v>38577.0</c:v>
                </c:pt>
                <c:pt idx="77">
                  <c:v>39078.0</c:v>
                </c:pt>
                <c:pt idx="78">
                  <c:v>39579.0</c:v>
                </c:pt>
                <c:pt idx="79">
                  <c:v>40080.0</c:v>
                </c:pt>
                <c:pt idx="80">
                  <c:v>40581</c:v>
                </c:pt>
                <c:pt idx="81">
                  <c:v>41082.0</c:v>
                </c:pt>
                <c:pt idx="82">
                  <c:v>41583</c:v>
                </c:pt>
                <c:pt idx="83">
                  <c:v>42084.0</c:v>
                </c:pt>
                <c:pt idx="84">
                  <c:v>42585.0</c:v>
                </c:pt>
                <c:pt idx="85">
                  <c:v>43086.0</c:v>
                </c:pt>
                <c:pt idx="86">
                  <c:v>43587.0</c:v>
                </c:pt>
                <c:pt idx="87">
                  <c:v>44088</c:v>
                </c:pt>
                <c:pt idx="88">
                  <c:v>44589.0</c:v>
                </c:pt>
                <c:pt idx="89">
                  <c:v>4509</c:v>
                </c:pt>
                <c:pt idx="90">
                  <c:v>45591.0</c:v>
                </c:pt>
                <c:pt idx="91">
                  <c:v>46092</c:v>
                </c:pt>
                <c:pt idx="92">
                  <c:v>46593.0</c:v>
                </c:pt>
                <c:pt idx="93">
                  <c:v>47094.0</c:v>
                </c:pt>
                <c:pt idx="94">
                  <c:v>47595.0</c:v>
                </c:pt>
                <c:pt idx="95">
                  <c:v>48096.0</c:v>
                </c:pt>
                <c:pt idx="96">
                  <c:v>48597</c:v>
                </c:pt>
                <c:pt idx="97">
                  <c:v>49098.0</c:v>
                </c:pt>
                <c:pt idx="98">
                  <c:v>49599</c:v>
                </c:pt>
                <c:pt idx="99">
                  <c:v>100200.0</c:v>
                </c:pt>
                <c:pt idx="100">
                  <c:v>101202</c:v>
                </c:pt>
                <c:pt idx="101">
                  <c:v>102204.0</c:v>
                </c:pt>
                <c:pt idx="102">
                  <c:v>103206.0</c:v>
                </c:pt>
                <c:pt idx="103">
                  <c:v>104208.0</c:v>
                </c:pt>
                <c:pt idx="104">
                  <c:v>105210.0</c:v>
                </c:pt>
                <c:pt idx="105">
                  <c:v>106212</c:v>
                </c:pt>
                <c:pt idx="106">
                  <c:v>107214.0</c:v>
                </c:pt>
                <c:pt idx="107">
                  <c:v>108216</c:v>
                </c:pt>
                <c:pt idx="108">
                  <c:v>109218.0</c:v>
                </c:pt>
                <c:pt idx="109">
                  <c:v>110220.0</c:v>
                </c:pt>
                <c:pt idx="110">
                  <c:v>111222.0</c:v>
                </c:pt>
                <c:pt idx="111">
                  <c:v>112224.0</c:v>
                </c:pt>
                <c:pt idx="112">
                  <c:v>113226</c:v>
                </c:pt>
                <c:pt idx="113">
                  <c:v>114228.0</c:v>
                </c:pt>
                <c:pt idx="114">
                  <c:v>11523</c:v>
                </c:pt>
                <c:pt idx="115">
                  <c:v>116232.0</c:v>
                </c:pt>
                <c:pt idx="116">
                  <c:v>117234</c:v>
                </c:pt>
                <c:pt idx="117">
                  <c:v>118236.0</c:v>
                </c:pt>
                <c:pt idx="118">
                  <c:v>119238.0</c:v>
                </c:pt>
                <c:pt idx="119">
                  <c:v>12024</c:v>
                </c:pt>
                <c:pt idx="120">
                  <c:v>121242.0</c:v>
                </c:pt>
                <c:pt idx="121">
                  <c:v>122244</c:v>
                </c:pt>
                <c:pt idx="122">
                  <c:v>123246.0</c:v>
                </c:pt>
                <c:pt idx="123">
                  <c:v>124248</c:v>
                </c:pt>
                <c:pt idx="124">
                  <c:v>125250.0</c:v>
                </c:pt>
                <c:pt idx="125">
                  <c:v>126252</c:v>
                </c:pt>
                <c:pt idx="126">
                  <c:v>127254.0</c:v>
                </c:pt>
                <c:pt idx="127">
                  <c:v>128256.0</c:v>
                </c:pt>
                <c:pt idx="128">
                  <c:v>129258</c:v>
                </c:pt>
                <c:pt idx="129">
                  <c:v>130260.0</c:v>
                </c:pt>
                <c:pt idx="130">
                  <c:v>131262.0</c:v>
                </c:pt>
                <c:pt idx="131">
                  <c:v>132264.0</c:v>
                </c:pt>
                <c:pt idx="132">
                  <c:v>133266.0</c:v>
                </c:pt>
                <c:pt idx="133">
                  <c:v>134268.0</c:v>
                </c:pt>
                <c:pt idx="134">
                  <c:v>135270.0</c:v>
                </c:pt>
                <c:pt idx="135">
                  <c:v>136272.0</c:v>
                </c:pt>
                <c:pt idx="136">
                  <c:v>137274.0</c:v>
                </c:pt>
                <c:pt idx="137">
                  <c:v>138276.0</c:v>
                </c:pt>
                <c:pt idx="138">
                  <c:v>139278.0</c:v>
                </c:pt>
                <c:pt idx="139">
                  <c:v>140280.0</c:v>
                </c:pt>
                <c:pt idx="140">
                  <c:v>141282.0</c:v>
                </c:pt>
                <c:pt idx="141">
                  <c:v>142284.0</c:v>
                </c:pt>
                <c:pt idx="142">
                  <c:v>143286.0</c:v>
                </c:pt>
                <c:pt idx="143">
                  <c:v>144288.0</c:v>
                </c:pt>
                <c:pt idx="144">
                  <c:v>145290.0</c:v>
                </c:pt>
                <c:pt idx="145">
                  <c:v>146292.0</c:v>
                </c:pt>
                <c:pt idx="146">
                  <c:v>147294.0</c:v>
                </c:pt>
                <c:pt idx="147">
                  <c:v>148296.0</c:v>
                </c:pt>
                <c:pt idx="148">
                  <c:v>149298.0</c:v>
                </c:pt>
                <c:pt idx="149">
                  <c:v>150300.0</c:v>
                </c:pt>
                <c:pt idx="150">
                  <c:v>151302.0</c:v>
                </c:pt>
                <c:pt idx="151">
                  <c:v>152304</c:v>
                </c:pt>
                <c:pt idx="152">
                  <c:v>153306.0</c:v>
                </c:pt>
                <c:pt idx="153">
                  <c:v>154308.0</c:v>
                </c:pt>
                <c:pt idx="154">
                  <c:v>15531</c:v>
                </c:pt>
                <c:pt idx="155">
                  <c:v>156312.0</c:v>
                </c:pt>
                <c:pt idx="156">
                  <c:v>157314.0</c:v>
                </c:pt>
                <c:pt idx="157">
                  <c:v>158316.0</c:v>
                </c:pt>
                <c:pt idx="158">
                  <c:v>159318</c:v>
                </c:pt>
                <c:pt idx="159">
                  <c:v>160320.0</c:v>
                </c:pt>
                <c:pt idx="160">
                  <c:v>161322.0</c:v>
                </c:pt>
                <c:pt idx="161">
                  <c:v>162324</c:v>
                </c:pt>
                <c:pt idx="162">
                  <c:v>163326.0</c:v>
                </c:pt>
                <c:pt idx="163">
                  <c:v>164328.0</c:v>
                </c:pt>
                <c:pt idx="164">
                  <c:v>165330.0</c:v>
                </c:pt>
                <c:pt idx="165">
                  <c:v>166332</c:v>
                </c:pt>
                <c:pt idx="166">
                  <c:v>167334.0</c:v>
                </c:pt>
                <c:pt idx="167">
                  <c:v>168336.0</c:v>
                </c:pt>
                <c:pt idx="168">
                  <c:v>169338</c:v>
                </c:pt>
                <c:pt idx="169">
                  <c:v>170340.0</c:v>
                </c:pt>
                <c:pt idx="170">
                  <c:v>171342.0</c:v>
                </c:pt>
                <c:pt idx="171">
                  <c:v>172344.0</c:v>
                </c:pt>
                <c:pt idx="172">
                  <c:v>173346</c:v>
                </c:pt>
                <c:pt idx="173">
                  <c:v>174348.0</c:v>
                </c:pt>
                <c:pt idx="174">
                  <c:v>175350.0</c:v>
                </c:pt>
                <c:pt idx="175">
                  <c:v>176352</c:v>
                </c:pt>
                <c:pt idx="176">
                  <c:v>177354</c:v>
                </c:pt>
                <c:pt idx="177">
                  <c:v>178356.0</c:v>
                </c:pt>
                <c:pt idx="178">
                  <c:v>179358.0</c:v>
                </c:pt>
                <c:pt idx="179">
                  <c:v>18036</c:v>
                </c:pt>
                <c:pt idx="180">
                  <c:v>181362.0</c:v>
                </c:pt>
                <c:pt idx="181">
                  <c:v>182364.0</c:v>
                </c:pt>
                <c:pt idx="182">
                  <c:v>183366.0</c:v>
                </c:pt>
                <c:pt idx="183">
                  <c:v>184368</c:v>
                </c:pt>
                <c:pt idx="184">
                  <c:v>185370.0</c:v>
                </c:pt>
                <c:pt idx="185">
                  <c:v>186372.0</c:v>
                </c:pt>
                <c:pt idx="186">
                  <c:v>187374</c:v>
                </c:pt>
                <c:pt idx="187">
                  <c:v>188376.0</c:v>
                </c:pt>
                <c:pt idx="188">
                  <c:v>189378.0</c:v>
                </c:pt>
                <c:pt idx="189">
                  <c:v>190380.0</c:v>
                </c:pt>
                <c:pt idx="190">
                  <c:v>191382</c:v>
                </c:pt>
                <c:pt idx="191">
                  <c:v>192384.0</c:v>
                </c:pt>
                <c:pt idx="192">
                  <c:v>193386.0</c:v>
                </c:pt>
                <c:pt idx="193">
                  <c:v>194388</c:v>
                </c:pt>
                <c:pt idx="194">
                  <c:v>195390.0</c:v>
                </c:pt>
                <c:pt idx="195">
                  <c:v>196392.0</c:v>
                </c:pt>
                <c:pt idx="196">
                  <c:v>197394.0</c:v>
                </c:pt>
                <c:pt idx="197">
                  <c:v>198396</c:v>
                </c:pt>
                <c:pt idx="198">
                  <c:v>199398.0</c:v>
                </c:pt>
                <c:pt idx="199">
                  <c:v>400800.0</c:v>
                </c:pt>
                <c:pt idx="200">
                  <c:v>402804</c:v>
                </c:pt>
                <c:pt idx="201">
                  <c:v>404808</c:v>
                </c:pt>
                <c:pt idx="202">
                  <c:v>406812.0</c:v>
                </c:pt>
                <c:pt idx="203">
                  <c:v>408816.0</c:v>
                </c:pt>
                <c:pt idx="204">
                  <c:v>41082</c:v>
                </c:pt>
                <c:pt idx="205">
                  <c:v>412824.0</c:v>
                </c:pt>
                <c:pt idx="206">
                  <c:v>414828.0</c:v>
                </c:pt>
                <c:pt idx="207">
                  <c:v>416832.0</c:v>
                </c:pt>
                <c:pt idx="208">
                  <c:v>418836</c:v>
                </c:pt>
                <c:pt idx="209">
                  <c:v>420840.0</c:v>
                </c:pt>
                <c:pt idx="210">
                  <c:v>422844.0</c:v>
                </c:pt>
                <c:pt idx="211">
                  <c:v>424848</c:v>
                </c:pt>
                <c:pt idx="212">
                  <c:v>426852.0</c:v>
                </c:pt>
                <c:pt idx="213">
                  <c:v>428856.0</c:v>
                </c:pt>
                <c:pt idx="214">
                  <c:v>430860.0</c:v>
                </c:pt>
                <c:pt idx="215">
                  <c:v>432864</c:v>
                </c:pt>
                <c:pt idx="216">
                  <c:v>434868.0</c:v>
                </c:pt>
                <c:pt idx="217">
                  <c:v>436872.0</c:v>
                </c:pt>
                <c:pt idx="218">
                  <c:v>438876</c:v>
                </c:pt>
                <c:pt idx="219">
                  <c:v>440880.0</c:v>
                </c:pt>
                <c:pt idx="220">
                  <c:v>442884.0</c:v>
                </c:pt>
                <c:pt idx="221">
                  <c:v>444888.0</c:v>
                </c:pt>
                <c:pt idx="222">
                  <c:v>446892</c:v>
                </c:pt>
                <c:pt idx="223">
                  <c:v>448896.0</c:v>
                </c:pt>
                <c:pt idx="224">
                  <c:v>450900.0</c:v>
                </c:pt>
                <c:pt idx="225">
                  <c:v>452904</c:v>
                </c:pt>
                <c:pt idx="226">
                  <c:v>454908</c:v>
                </c:pt>
                <c:pt idx="227">
                  <c:v>456912.0</c:v>
                </c:pt>
                <c:pt idx="228">
                  <c:v>458916.0</c:v>
                </c:pt>
                <c:pt idx="229">
                  <c:v>46092</c:v>
                </c:pt>
                <c:pt idx="230">
                  <c:v>462924.0</c:v>
                </c:pt>
                <c:pt idx="231">
                  <c:v>464928.0</c:v>
                </c:pt>
                <c:pt idx="232">
                  <c:v>466932</c:v>
                </c:pt>
                <c:pt idx="233">
                  <c:v>468936</c:v>
                </c:pt>
                <c:pt idx="234">
                  <c:v>470940.0</c:v>
                </c:pt>
                <c:pt idx="235">
                  <c:v>472944.0</c:v>
                </c:pt>
                <c:pt idx="236">
                  <c:v>474948</c:v>
                </c:pt>
                <c:pt idx="237">
                  <c:v>476952.0</c:v>
                </c:pt>
                <c:pt idx="238">
                  <c:v>478956.0</c:v>
                </c:pt>
                <c:pt idx="239">
                  <c:v>48096</c:v>
                </c:pt>
                <c:pt idx="240">
                  <c:v>482964</c:v>
                </c:pt>
                <c:pt idx="241">
                  <c:v>484968.0</c:v>
                </c:pt>
                <c:pt idx="242">
                  <c:v>486972.0</c:v>
                </c:pt>
                <c:pt idx="243">
                  <c:v>488976</c:v>
                </c:pt>
                <c:pt idx="244">
                  <c:v>490980.0</c:v>
                </c:pt>
                <c:pt idx="245">
                  <c:v>492984.0</c:v>
                </c:pt>
                <c:pt idx="246">
                  <c:v>494988.0</c:v>
                </c:pt>
                <c:pt idx="247">
                  <c:v>496992</c:v>
                </c:pt>
                <c:pt idx="248">
                  <c:v>498996.0</c:v>
                </c:pt>
                <c:pt idx="249">
                  <c:v>501000.0</c:v>
                </c:pt>
                <c:pt idx="250">
                  <c:v>503004</c:v>
                </c:pt>
                <c:pt idx="251">
                  <c:v>505008</c:v>
                </c:pt>
                <c:pt idx="252">
                  <c:v>507012.0</c:v>
                </c:pt>
                <c:pt idx="253">
                  <c:v>509016.0</c:v>
                </c:pt>
                <c:pt idx="254">
                  <c:v>51102</c:v>
                </c:pt>
                <c:pt idx="255">
                  <c:v>513024.0</c:v>
                </c:pt>
                <c:pt idx="256">
                  <c:v>515028.0</c:v>
                </c:pt>
                <c:pt idx="257">
                  <c:v>517032</c:v>
                </c:pt>
                <c:pt idx="258">
                  <c:v>519036</c:v>
                </c:pt>
                <c:pt idx="259">
                  <c:v>521040.0</c:v>
                </c:pt>
                <c:pt idx="260">
                  <c:v>523044.0</c:v>
                </c:pt>
                <c:pt idx="261">
                  <c:v>525048.0</c:v>
                </c:pt>
                <c:pt idx="262">
                  <c:v>527052.0</c:v>
                </c:pt>
                <c:pt idx="263">
                  <c:v>529056.0</c:v>
                </c:pt>
                <c:pt idx="264">
                  <c:v>531060.0</c:v>
                </c:pt>
                <c:pt idx="265">
                  <c:v>533064.0</c:v>
                </c:pt>
                <c:pt idx="266">
                  <c:v>535068.0</c:v>
                </c:pt>
                <c:pt idx="267">
                  <c:v>537072.0</c:v>
                </c:pt>
                <c:pt idx="268">
                  <c:v>539076.0</c:v>
                </c:pt>
                <c:pt idx="269">
                  <c:v>541080.0</c:v>
                </c:pt>
                <c:pt idx="270">
                  <c:v>543084.0</c:v>
                </c:pt>
                <c:pt idx="271">
                  <c:v>545088.0</c:v>
                </c:pt>
                <c:pt idx="272">
                  <c:v>547092.0</c:v>
                </c:pt>
                <c:pt idx="273">
                  <c:v>549096.0</c:v>
                </c:pt>
                <c:pt idx="274">
                  <c:v>551100.0</c:v>
                </c:pt>
                <c:pt idx="275">
                  <c:v>553104.0</c:v>
                </c:pt>
                <c:pt idx="276">
                  <c:v>555108.0</c:v>
                </c:pt>
                <c:pt idx="277">
                  <c:v>557112.0</c:v>
                </c:pt>
                <c:pt idx="278">
                  <c:v>559116.0</c:v>
                </c:pt>
                <c:pt idx="279">
                  <c:v>561120.0</c:v>
                </c:pt>
                <c:pt idx="280">
                  <c:v>563124.0</c:v>
                </c:pt>
                <c:pt idx="281">
                  <c:v>565128.0</c:v>
                </c:pt>
                <c:pt idx="282">
                  <c:v>567132.0</c:v>
                </c:pt>
                <c:pt idx="283">
                  <c:v>569136.0</c:v>
                </c:pt>
                <c:pt idx="284">
                  <c:v>571140.0</c:v>
                </c:pt>
                <c:pt idx="285">
                  <c:v>573144.0</c:v>
                </c:pt>
                <c:pt idx="286">
                  <c:v>575148.0</c:v>
                </c:pt>
                <c:pt idx="287">
                  <c:v>577152.0</c:v>
                </c:pt>
                <c:pt idx="288">
                  <c:v>579156.0</c:v>
                </c:pt>
                <c:pt idx="289">
                  <c:v>581160.0</c:v>
                </c:pt>
                <c:pt idx="290">
                  <c:v>583164.0</c:v>
                </c:pt>
                <c:pt idx="291">
                  <c:v>585168.0</c:v>
                </c:pt>
                <c:pt idx="292">
                  <c:v>587172.0</c:v>
                </c:pt>
                <c:pt idx="293">
                  <c:v>589176.0</c:v>
                </c:pt>
                <c:pt idx="294">
                  <c:v>591180.0</c:v>
                </c:pt>
                <c:pt idx="295">
                  <c:v>593184.0</c:v>
                </c:pt>
                <c:pt idx="296">
                  <c:v>595188.0</c:v>
                </c:pt>
                <c:pt idx="297">
                  <c:v>597192.0</c:v>
                </c:pt>
                <c:pt idx="298">
                  <c:v>599196.0</c:v>
                </c:pt>
                <c:pt idx="299">
                  <c:v>1.2024E6</c:v>
                </c:pt>
                <c:pt idx="300">
                  <c:v>1.206408E6</c:v>
                </c:pt>
                <c:pt idx="301">
                  <c:v>1.210416E6</c:v>
                </c:pt>
                <c:pt idx="302">
                  <c:v>1.214424E6</c:v>
                </c:pt>
                <c:pt idx="303">
                  <c:v>1.218432E6</c:v>
                </c:pt>
                <c:pt idx="304">
                  <c:v>1.22244E6</c:v>
                </c:pt>
                <c:pt idx="305">
                  <c:v>1.226448E6</c:v>
                </c:pt>
                <c:pt idx="306">
                  <c:v>1.230456E6</c:v>
                </c:pt>
                <c:pt idx="307">
                  <c:v>1.234464E6</c:v>
                </c:pt>
                <c:pt idx="308">
                  <c:v>1.238472E6</c:v>
                </c:pt>
                <c:pt idx="309">
                  <c:v>1.24248E6</c:v>
                </c:pt>
                <c:pt idx="310">
                  <c:v>1.246488E6</c:v>
                </c:pt>
                <c:pt idx="311">
                  <c:v>1.250496E6</c:v>
                </c:pt>
                <c:pt idx="312">
                  <c:v>1.254504E6</c:v>
                </c:pt>
                <c:pt idx="313">
                  <c:v>1.258512E6</c:v>
                </c:pt>
                <c:pt idx="314">
                  <c:v>1.26252E6</c:v>
                </c:pt>
                <c:pt idx="315">
                  <c:v>1.266528E6</c:v>
                </c:pt>
                <c:pt idx="316">
                  <c:v>1.270536E6</c:v>
                </c:pt>
                <c:pt idx="317">
                  <c:v>1.274544E6</c:v>
                </c:pt>
                <c:pt idx="318">
                  <c:v>1.278552E6</c:v>
                </c:pt>
                <c:pt idx="319">
                  <c:v>1.28256E6</c:v>
                </c:pt>
                <c:pt idx="320">
                  <c:v>1.286568E6</c:v>
                </c:pt>
                <c:pt idx="321">
                  <c:v>1.290576E6</c:v>
                </c:pt>
                <c:pt idx="322">
                  <c:v>1.294584E6</c:v>
                </c:pt>
                <c:pt idx="323">
                  <c:v>1.298592E6</c:v>
                </c:pt>
                <c:pt idx="324">
                  <c:v>1.3026E6</c:v>
                </c:pt>
                <c:pt idx="325">
                  <c:v>1.306608E6</c:v>
                </c:pt>
                <c:pt idx="326">
                  <c:v>1.310616E6</c:v>
                </c:pt>
                <c:pt idx="327">
                  <c:v>1.314624E6</c:v>
                </c:pt>
                <c:pt idx="328">
                  <c:v>1.318632E6</c:v>
                </c:pt>
                <c:pt idx="329">
                  <c:v>1.32264E6</c:v>
                </c:pt>
                <c:pt idx="330">
                  <c:v>1.326648E6</c:v>
                </c:pt>
                <c:pt idx="331">
                  <c:v>1.330656E6</c:v>
                </c:pt>
                <c:pt idx="332">
                  <c:v>1.334664E6</c:v>
                </c:pt>
                <c:pt idx="333">
                  <c:v>1.338672E6</c:v>
                </c:pt>
                <c:pt idx="334">
                  <c:v>1.34268E6</c:v>
                </c:pt>
                <c:pt idx="335">
                  <c:v>1.346688E6</c:v>
                </c:pt>
                <c:pt idx="336">
                  <c:v>1.350696E6</c:v>
                </c:pt>
                <c:pt idx="337">
                  <c:v>1.354704E6</c:v>
                </c:pt>
                <c:pt idx="338">
                  <c:v>1.358712E6</c:v>
                </c:pt>
                <c:pt idx="339">
                  <c:v>1.36272E6</c:v>
                </c:pt>
                <c:pt idx="340">
                  <c:v>1.366728E6</c:v>
                </c:pt>
                <c:pt idx="341">
                  <c:v>1.370736E6</c:v>
                </c:pt>
                <c:pt idx="342">
                  <c:v>1.374744E6</c:v>
                </c:pt>
                <c:pt idx="343">
                  <c:v>1.378752E6</c:v>
                </c:pt>
                <c:pt idx="344">
                  <c:v>1.38276E6</c:v>
                </c:pt>
                <c:pt idx="345">
                  <c:v>1.386768E6</c:v>
                </c:pt>
                <c:pt idx="346">
                  <c:v>1.390776E6</c:v>
                </c:pt>
                <c:pt idx="347">
                  <c:v>1.394784E6</c:v>
                </c:pt>
                <c:pt idx="348">
                  <c:v>1.398792E6</c:v>
                </c:pt>
                <c:pt idx="349">
                  <c:v>1.4028E6</c:v>
                </c:pt>
                <c:pt idx="350">
                  <c:v>1.406808E6</c:v>
                </c:pt>
                <c:pt idx="351">
                  <c:v>1.410816E6</c:v>
                </c:pt>
                <c:pt idx="352">
                  <c:v>1.414824E6</c:v>
                </c:pt>
                <c:pt idx="353">
                  <c:v>1.418832E6</c:v>
                </c:pt>
                <c:pt idx="354">
                  <c:v>1.42284E6</c:v>
                </c:pt>
                <c:pt idx="355">
                  <c:v>1.426848E6</c:v>
                </c:pt>
                <c:pt idx="356">
                  <c:v>1.430856E6</c:v>
                </c:pt>
                <c:pt idx="357">
                  <c:v>1.434864E6</c:v>
                </c:pt>
                <c:pt idx="358">
                  <c:v>1.438872E6</c:v>
                </c:pt>
                <c:pt idx="359">
                  <c:v>1.44288E6</c:v>
                </c:pt>
                <c:pt idx="360">
                  <c:v>1.446888E6</c:v>
                </c:pt>
                <c:pt idx="361">
                  <c:v>1.450896E6</c:v>
                </c:pt>
                <c:pt idx="362">
                  <c:v>1.454904E6</c:v>
                </c:pt>
                <c:pt idx="363">
                  <c:v>1.458912E6</c:v>
                </c:pt>
                <c:pt idx="364">
                  <c:v>1.46292E6</c:v>
                </c:pt>
                <c:pt idx="365">
                  <c:v>1.466928E6</c:v>
                </c:pt>
                <c:pt idx="366">
                  <c:v>1.470936E6</c:v>
                </c:pt>
                <c:pt idx="367">
                  <c:v>1.474944E6</c:v>
                </c:pt>
                <c:pt idx="368">
                  <c:v>1.478952E6</c:v>
                </c:pt>
                <c:pt idx="369">
                  <c:v>1.48296E6</c:v>
                </c:pt>
                <c:pt idx="370">
                  <c:v>1.486968E6</c:v>
                </c:pt>
                <c:pt idx="371">
                  <c:v>1.490976E6</c:v>
                </c:pt>
                <c:pt idx="372">
                  <c:v>1.494984E6</c:v>
                </c:pt>
                <c:pt idx="373">
                  <c:v>1.498992E6</c:v>
                </c:pt>
                <c:pt idx="374">
                  <c:v>1.503E6</c:v>
                </c:pt>
                <c:pt idx="375">
                  <c:v>1.507008E6</c:v>
                </c:pt>
                <c:pt idx="376">
                  <c:v>1.511016E6</c:v>
                </c:pt>
                <c:pt idx="377">
                  <c:v>1.515024E6</c:v>
                </c:pt>
                <c:pt idx="378">
                  <c:v>1.519032E6</c:v>
                </c:pt>
                <c:pt idx="379">
                  <c:v>1.52304E6</c:v>
                </c:pt>
                <c:pt idx="380">
                  <c:v>1.527048E6</c:v>
                </c:pt>
                <c:pt idx="381">
                  <c:v>1.531056E6</c:v>
                </c:pt>
                <c:pt idx="382">
                  <c:v>1.535064E6</c:v>
                </c:pt>
                <c:pt idx="383">
                  <c:v>1.539072E6</c:v>
                </c:pt>
                <c:pt idx="384">
                  <c:v>1.54308E6</c:v>
                </c:pt>
                <c:pt idx="385">
                  <c:v>1.547088E6</c:v>
                </c:pt>
                <c:pt idx="386">
                  <c:v>1.551096E6</c:v>
                </c:pt>
                <c:pt idx="387">
                  <c:v>1.555104E6</c:v>
                </c:pt>
                <c:pt idx="388">
                  <c:v>1.559112E6</c:v>
                </c:pt>
                <c:pt idx="389">
                  <c:v>1.56312E6</c:v>
                </c:pt>
                <c:pt idx="390">
                  <c:v>1.567128E6</c:v>
                </c:pt>
                <c:pt idx="391">
                  <c:v>1.571136E6</c:v>
                </c:pt>
                <c:pt idx="392">
                  <c:v>1.575144E6</c:v>
                </c:pt>
                <c:pt idx="393">
                  <c:v>1.579152E6</c:v>
                </c:pt>
                <c:pt idx="394">
                  <c:v>1.58316E6</c:v>
                </c:pt>
                <c:pt idx="395">
                  <c:v>1.587168E6</c:v>
                </c:pt>
                <c:pt idx="396">
                  <c:v>1.591176E6</c:v>
                </c:pt>
                <c:pt idx="397">
                  <c:v>1.595184E6</c:v>
                </c:pt>
                <c:pt idx="398">
                  <c:v>1.599192E6</c:v>
                </c:pt>
                <c:pt idx="399">
                  <c:v>3.2064E6</c:v>
                </c:pt>
                <c:pt idx="400">
                  <c:v>3.214416E6</c:v>
                </c:pt>
                <c:pt idx="401">
                  <c:v>3.222432E6</c:v>
                </c:pt>
                <c:pt idx="402">
                  <c:v>3.230448E6</c:v>
                </c:pt>
                <c:pt idx="403">
                  <c:v>3.238464E6</c:v>
                </c:pt>
                <c:pt idx="404">
                  <c:v>3.24648E6</c:v>
                </c:pt>
                <c:pt idx="405">
                  <c:v>3.254496E6</c:v>
                </c:pt>
                <c:pt idx="406">
                  <c:v>3.262512E6</c:v>
                </c:pt>
                <c:pt idx="407">
                  <c:v>3.270528E6</c:v>
                </c:pt>
                <c:pt idx="408">
                  <c:v>3.278544E6</c:v>
                </c:pt>
                <c:pt idx="409">
                  <c:v>3.28656E6</c:v>
                </c:pt>
                <c:pt idx="410">
                  <c:v>3.294576E6</c:v>
                </c:pt>
                <c:pt idx="411">
                  <c:v>3.302592E6</c:v>
                </c:pt>
                <c:pt idx="412">
                  <c:v>3.310608E6</c:v>
                </c:pt>
                <c:pt idx="413">
                  <c:v>3.318624E6</c:v>
                </c:pt>
                <c:pt idx="414">
                  <c:v>3.32664E6</c:v>
                </c:pt>
                <c:pt idx="415">
                  <c:v>3.334656E6</c:v>
                </c:pt>
                <c:pt idx="416">
                  <c:v>3.342672E6</c:v>
                </c:pt>
                <c:pt idx="417">
                  <c:v>3.350688E6</c:v>
                </c:pt>
                <c:pt idx="418">
                  <c:v>3.358704E6</c:v>
                </c:pt>
                <c:pt idx="419">
                  <c:v>3.36672E6</c:v>
                </c:pt>
                <c:pt idx="420">
                  <c:v>3.374736E6</c:v>
                </c:pt>
                <c:pt idx="421">
                  <c:v>3.382752E6</c:v>
                </c:pt>
                <c:pt idx="422">
                  <c:v>3.390768E6</c:v>
                </c:pt>
                <c:pt idx="423">
                  <c:v>3.398784E6</c:v>
                </c:pt>
                <c:pt idx="424">
                  <c:v>3.4068E6</c:v>
                </c:pt>
                <c:pt idx="425">
                  <c:v>3.414816E6</c:v>
                </c:pt>
                <c:pt idx="426">
                  <c:v>3.422832E6</c:v>
                </c:pt>
                <c:pt idx="427">
                  <c:v>3.430848E6</c:v>
                </c:pt>
                <c:pt idx="428">
                  <c:v>3.438864E6</c:v>
                </c:pt>
                <c:pt idx="429">
                  <c:v>3.44688E6</c:v>
                </c:pt>
                <c:pt idx="430">
                  <c:v>3.454896E6</c:v>
                </c:pt>
                <c:pt idx="431">
                  <c:v>3.462912E6</c:v>
                </c:pt>
                <c:pt idx="432">
                  <c:v>3.470928E6</c:v>
                </c:pt>
                <c:pt idx="433">
                  <c:v>3.478944E6</c:v>
                </c:pt>
                <c:pt idx="434">
                  <c:v>3.48696E6</c:v>
                </c:pt>
                <c:pt idx="435">
                  <c:v>3.494976E6</c:v>
                </c:pt>
                <c:pt idx="436">
                  <c:v>3.502992E6</c:v>
                </c:pt>
                <c:pt idx="437">
                  <c:v>3.511008E6</c:v>
                </c:pt>
                <c:pt idx="438">
                  <c:v>3.519024E6</c:v>
                </c:pt>
                <c:pt idx="439">
                  <c:v>3.52704E6</c:v>
                </c:pt>
                <c:pt idx="440">
                  <c:v>3.535056E6</c:v>
                </c:pt>
                <c:pt idx="441">
                  <c:v>3.543072E6</c:v>
                </c:pt>
                <c:pt idx="442">
                  <c:v>3.551088E6</c:v>
                </c:pt>
                <c:pt idx="443">
                  <c:v>3.559104E6</c:v>
                </c:pt>
                <c:pt idx="444">
                  <c:v>3.56712E6</c:v>
                </c:pt>
                <c:pt idx="445">
                  <c:v>3.575136E6</c:v>
                </c:pt>
                <c:pt idx="446">
                  <c:v>3.583152E6</c:v>
                </c:pt>
                <c:pt idx="447">
                  <c:v>3.591168E6</c:v>
                </c:pt>
                <c:pt idx="448">
                  <c:v>3.599184E6</c:v>
                </c:pt>
                <c:pt idx="449">
                  <c:v>3.6072E6</c:v>
                </c:pt>
                <c:pt idx="450">
                  <c:v>3.615216E6</c:v>
                </c:pt>
                <c:pt idx="451">
                  <c:v>3.623232E6</c:v>
                </c:pt>
                <c:pt idx="452">
                  <c:v>3.631248E6</c:v>
                </c:pt>
                <c:pt idx="453">
                  <c:v>3.639264E6</c:v>
                </c:pt>
                <c:pt idx="454">
                  <c:v>3.64728E6</c:v>
                </c:pt>
                <c:pt idx="455">
                  <c:v>3.655296E6</c:v>
                </c:pt>
                <c:pt idx="456">
                  <c:v>3.663312E6</c:v>
                </c:pt>
                <c:pt idx="457">
                  <c:v>3.671328E6</c:v>
                </c:pt>
                <c:pt idx="458">
                  <c:v>3.679344E6</c:v>
                </c:pt>
                <c:pt idx="459">
                  <c:v>3.68736E6</c:v>
                </c:pt>
                <c:pt idx="460">
                  <c:v>3.695376E6</c:v>
                </c:pt>
                <c:pt idx="461">
                  <c:v>3.703392E6</c:v>
                </c:pt>
                <c:pt idx="462">
                  <c:v>3.711408E6</c:v>
                </c:pt>
                <c:pt idx="463">
                  <c:v>3.719424E6</c:v>
                </c:pt>
                <c:pt idx="464">
                  <c:v>3.72744E6</c:v>
                </c:pt>
                <c:pt idx="465">
                  <c:v>3.735456E6</c:v>
                </c:pt>
                <c:pt idx="466">
                  <c:v>3.743472E6</c:v>
                </c:pt>
                <c:pt idx="467">
                  <c:v>3.751488E6</c:v>
                </c:pt>
                <c:pt idx="468">
                  <c:v>3.759504E6</c:v>
                </c:pt>
                <c:pt idx="469">
                  <c:v>3.76752E6</c:v>
                </c:pt>
                <c:pt idx="470">
                  <c:v>3.775536E6</c:v>
                </c:pt>
                <c:pt idx="471">
                  <c:v>3.783552E6</c:v>
                </c:pt>
                <c:pt idx="472">
                  <c:v>3.791568E6</c:v>
                </c:pt>
                <c:pt idx="473">
                  <c:v>3.799584E6</c:v>
                </c:pt>
                <c:pt idx="474">
                  <c:v>3.8076E6</c:v>
                </c:pt>
                <c:pt idx="475">
                  <c:v>3.815616E6</c:v>
                </c:pt>
                <c:pt idx="476">
                  <c:v>3.823632E6</c:v>
                </c:pt>
                <c:pt idx="477">
                  <c:v>3.831648E6</c:v>
                </c:pt>
                <c:pt idx="478">
                  <c:v>3.839664E6</c:v>
                </c:pt>
                <c:pt idx="479">
                  <c:v>3.84768E6</c:v>
                </c:pt>
                <c:pt idx="480">
                  <c:v>3.855696E6</c:v>
                </c:pt>
                <c:pt idx="481">
                  <c:v>3.863712E6</c:v>
                </c:pt>
                <c:pt idx="482">
                  <c:v>3.871728E6</c:v>
                </c:pt>
                <c:pt idx="483">
                  <c:v>3.879744E6</c:v>
                </c:pt>
                <c:pt idx="484">
                  <c:v>3.88776E6</c:v>
                </c:pt>
                <c:pt idx="485">
                  <c:v>3.895776E6</c:v>
                </c:pt>
                <c:pt idx="486">
                  <c:v>3.903792E6</c:v>
                </c:pt>
                <c:pt idx="487">
                  <c:v>3.911808E6</c:v>
                </c:pt>
                <c:pt idx="488">
                  <c:v>3.919824E6</c:v>
                </c:pt>
                <c:pt idx="489">
                  <c:v>3.92784E6</c:v>
                </c:pt>
                <c:pt idx="490">
                  <c:v>3.935856E6</c:v>
                </c:pt>
                <c:pt idx="491">
                  <c:v>3.943872E6</c:v>
                </c:pt>
                <c:pt idx="492">
                  <c:v>3.951888E6</c:v>
                </c:pt>
                <c:pt idx="493">
                  <c:v>3.959904E6</c:v>
                </c:pt>
                <c:pt idx="494">
                  <c:v>3.96792E6</c:v>
                </c:pt>
                <c:pt idx="495">
                  <c:v>3.975936E6</c:v>
                </c:pt>
                <c:pt idx="496">
                  <c:v>3.983952E6</c:v>
                </c:pt>
                <c:pt idx="497">
                  <c:v>3.991968E6</c:v>
                </c:pt>
                <c:pt idx="498">
                  <c:v>3.999984E6</c:v>
                </c:pt>
              </c:numCache>
            </c:numRef>
          </c:val>
          <c:smooth val="0"/>
        </c:ser>
        <c:ser>
          <c:idx val="4"/>
          <c:order val="4"/>
          <c:tx>
            <c:strRef>
              <c:f>Calculations!$H$1</c:f>
              <c:strCache>
                <c:ptCount val="1"/>
                <c:pt idx="0">
                  <c:v>Prestige 3</c:v>
                </c:pt>
              </c:strCache>
            </c:strRef>
          </c:tx>
          <c:spPr>
            <a:ln w="25400" cmpd="sng">
              <a:solidFill>
                <a:srgbClr val="990099"/>
              </a:solidFill>
            </a:ln>
          </c:spPr>
          <c:marker>
            <c:symbol val="none"/>
          </c:marker>
          <c:cat>
            <c:numRef>
              <c:f>Calculations!$A$2:$A$500</c:f>
              <c:numCache>
                <c:formatCode>General</c:formatCode>
                <c:ptCount val="4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pt idx="99">
                  <c:v>100.0</c:v>
                </c:pt>
                <c:pt idx="100">
                  <c:v>101.0</c:v>
                </c:pt>
                <c:pt idx="101">
                  <c:v>102.0</c:v>
                </c:pt>
                <c:pt idx="102">
                  <c:v>103.0</c:v>
                </c:pt>
                <c:pt idx="103">
                  <c:v>104.0</c:v>
                </c:pt>
                <c:pt idx="104">
                  <c:v>105.0</c:v>
                </c:pt>
                <c:pt idx="105">
                  <c:v>106.0</c:v>
                </c:pt>
                <c:pt idx="106">
                  <c:v>107.0</c:v>
                </c:pt>
                <c:pt idx="107">
                  <c:v>108.0</c:v>
                </c:pt>
                <c:pt idx="108">
                  <c:v>109.0</c:v>
                </c:pt>
                <c:pt idx="109">
                  <c:v>110.0</c:v>
                </c:pt>
                <c:pt idx="110">
                  <c:v>111.0</c:v>
                </c:pt>
                <c:pt idx="111">
                  <c:v>112.0</c:v>
                </c:pt>
                <c:pt idx="112">
                  <c:v>113.0</c:v>
                </c:pt>
                <c:pt idx="113">
                  <c:v>114.0</c:v>
                </c:pt>
                <c:pt idx="114">
                  <c:v>115.0</c:v>
                </c:pt>
                <c:pt idx="115">
                  <c:v>116.0</c:v>
                </c:pt>
                <c:pt idx="116">
                  <c:v>117.0</c:v>
                </c:pt>
                <c:pt idx="117">
                  <c:v>118.0</c:v>
                </c:pt>
                <c:pt idx="118">
                  <c:v>119.0</c:v>
                </c:pt>
                <c:pt idx="119">
                  <c:v>120.0</c:v>
                </c:pt>
                <c:pt idx="120">
                  <c:v>121.0</c:v>
                </c:pt>
                <c:pt idx="121">
                  <c:v>122.0</c:v>
                </c:pt>
                <c:pt idx="122">
                  <c:v>123.0</c:v>
                </c:pt>
                <c:pt idx="123">
                  <c:v>124.0</c:v>
                </c:pt>
                <c:pt idx="124">
                  <c:v>125.0</c:v>
                </c:pt>
                <c:pt idx="125">
                  <c:v>126.0</c:v>
                </c:pt>
                <c:pt idx="126">
                  <c:v>127.0</c:v>
                </c:pt>
                <c:pt idx="127">
                  <c:v>128.0</c:v>
                </c:pt>
                <c:pt idx="128">
                  <c:v>129.0</c:v>
                </c:pt>
                <c:pt idx="129">
                  <c:v>130.0</c:v>
                </c:pt>
                <c:pt idx="130">
                  <c:v>131.0</c:v>
                </c:pt>
                <c:pt idx="131">
                  <c:v>132.0</c:v>
                </c:pt>
                <c:pt idx="132">
                  <c:v>133.0</c:v>
                </c:pt>
                <c:pt idx="133">
                  <c:v>134.0</c:v>
                </c:pt>
                <c:pt idx="134">
                  <c:v>135.0</c:v>
                </c:pt>
                <c:pt idx="135">
                  <c:v>136.0</c:v>
                </c:pt>
                <c:pt idx="136">
                  <c:v>137.0</c:v>
                </c:pt>
                <c:pt idx="137">
                  <c:v>138.0</c:v>
                </c:pt>
                <c:pt idx="138">
                  <c:v>139.0</c:v>
                </c:pt>
                <c:pt idx="139">
                  <c:v>140.0</c:v>
                </c:pt>
                <c:pt idx="140">
                  <c:v>141.0</c:v>
                </c:pt>
                <c:pt idx="141">
                  <c:v>142.0</c:v>
                </c:pt>
                <c:pt idx="142">
                  <c:v>143.0</c:v>
                </c:pt>
                <c:pt idx="143">
                  <c:v>144.0</c:v>
                </c:pt>
                <c:pt idx="144">
                  <c:v>145.0</c:v>
                </c:pt>
                <c:pt idx="145">
                  <c:v>146.0</c:v>
                </c:pt>
                <c:pt idx="146">
                  <c:v>147.0</c:v>
                </c:pt>
                <c:pt idx="147">
                  <c:v>148.0</c:v>
                </c:pt>
                <c:pt idx="148">
                  <c:v>149.0</c:v>
                </c:pt>
                <c:pt idx="149">
                  <c:v>150.0</c:v>
                </c:pt>
                <c:pt idx="150">
                  <c:v>151.0</c:v>
                </c:pt>
                <c:pt idx="151">
                  <c:v>152.0</c:v>
                </c:pt>
                <c:pt idx="152">
                  <c:v>153.0</c:v>
                </c:pt>
                <c:pt idx="153">
                  <c:v>154.0</c:v>
                </c:pt>
                <c:pt idx="154">
                  <c:v>155.0</c:v>
                </c:pt>
                <c:pt idx="155">
                  <c:v>156.0</c:v>
                </c:pt>
                <c:pt idx="156">
                  <c:v>157.0</c:v>
                </c:pt>
                <c:pt idx="157">
                  <c:v>158.0</c:v>
                </c:pt>
                <c:pt idx="158">
                  <c:v>159.0</c:v>
                </c:pt>
                <c:pt idx="159">
                  <c:v>160.0</c:v>
                </c:pt>
                <c:pt idx="160">
                  <c:v>161.0</c:v>
                </c:pt>
                <c:pt idx="161">
                  <c:v>162.0</c:v>
                </c:pt>
                <c:pt idx="162">
                  <c:v>163.0</c:v>
                </c:pt>
                <c:pt idx="163">
                  <c:v>164.0</c:v>
                </c:pt>
                <c:pt idx="164">
                  <c:v>165.0</c:v>
                </c:pt>
                <c:pt idx="165">
                  <c:v>166.0</c:v>
                </c:pt>
                <c:pt idx="166">
                  <c:v>167.0</c:v>
                </c:pt>
                <c:pt idx="167">
                  <c:v>168.0</c:v>
                </c:pt>
                <c:pt idx="168">
                  <c:v>169.0</c:v>
                </c:pt>
                <c:pt idx="169">
                  <c:v>170.0</c:v>
                </c:pt>
                <c:pt idx="170">
                  <c:v>171.0</c:v>
                </c:pt>
                <c:pt idx="171">
                  <c:v>172.0</c:v>
                </c:pt>
                <c:pt idx="172">
                  <c:v>173.0</c:v>
                </c:pt>
                <c:pt idx="173">
                  <c:v>174.0</c:v>
                </c:pt>
                <c:pt idx="174">
                  <c:v>175.0</c:v>
                </c:pt>
                <c:pt idx="175">
                  <c:v>176.0</c:v>
                </c:pt>
                <c:pt idx="176">
                  <c:v>177.0</c:v>
                </c:pt>
                <c:pt idx="177">
                  <c:v>178.0</c:v>
                </c:pt>
                <c:pt idx="178">
                  <c:v>179.0</c:v>
                </c:pt>
                <c:pt idx="179">
                  <c:v>180.0</c:v>
                </c:pt>
                <c:pt idx="180">
                  <c:v>181.0</c:v>
                </c:pt>
                <c:pt idx="181">
                  <c:v>182.0</c:v>
                </c:pt>
                <c:pt idx="182">
                  <c:v>183.0</c:v>
                </c:pt>
                <c:pt idx="183">
                  <c:v>184.0</c:v>
                </c:pt>
                <c:pt idx="184">
                  <c:v>185.0</c:v>
                </c:pt>
                <c:pt idx="185">
                  <c:v>186.0</c:v>
                </c:pt>
                <c:pt idx="186">
                  <c:v>187.0</c:v>
                </c:pt>
                <c:pt idx="187">
                  <c:v>188.0</c:v>
                </c:pt>
                <c:pt idx="188">
                  <c:v>189.0</c:v>
                </c:pt>
                <c:pt idx="189">
                  <c:v>190.0</c:v>
                </c:pt>
                <c:pt idx="190">
                  <c:v>191.0</c:v>
                </c:pt>
                <c:pt idx="191">
                  <c:v>192.0</c:v>
                </c:pt>
                <c:pt idx="192">
                  <c:v>193.0</c:v>
                </c:pt>
                <c:pt idx="193">
                  <c:v>194.0</c:v>
                </c:pt>
                <c:pt idx="194">
                  <c:v>195.0</c:v>
                </c:pt>
                <c:pt idx="195">
                  <c:v>196.0</c:v>
                </c:pt>
                <c:pt idx="196">
                  <c:v>197.0</c:v>
                </c:pt>
                <c:pt idx="197">
                  <c:v>198.0</c:v>
                </c:pt>
                <c:pt idx="198">
                  <c:v>199.0</c:v>
                </c:pt>
                <c:pt idx="199">
                  <c:v>200.0</c:v>
                </c:pt>
                <c:pt idx="200">
                  <c:v>201.0</c:v>
                </c:pt>
                <c:pt idx="201">
                  <c:v>202.0</c:v>
                </c:pt>
                <c:pt idx="202">
                  <c:v>203.0</c:v>
                </c:pt>
                <c:pt idx="203">
                  <c:v>204.0</c:v>
                </c:pt>
                <c:pt idx="204">
                  <c:v>205.0</c:v>
                </c:pt>
                <c:pt idx="205">
                  <c:v>206.0</c:v>
                </c:pt>
                <c:pt idx="206">
                  <c:v>207.0</c:v>
                </c:pt>
                <c:pt idx="207">
                  <c:v>208.0</c:v>
                </c:pt>
                <c:pt idx="208">
                  <c:v>209.0</c:v>
                </c:pt>
                <c:pt idx="209">
                  <c:v>210.0</c:v>
                </c:pt>
                <c:pt idx="210">
                  <c:v>211.0</c:v>
                </c:pt>
                <c:pt idx="211">
                  <c:v>212.0</c:v>
                </c:pt>
                <c:pt idx="212">
                  <c:v>213.0</c:v>
                </c:pt>
                <c:pt idx="213">
                  <c:v>214.0</c:v>
                </c:pt>
                <c:pt idx="214">
                  <c:v>215.0</c:v>
                </c:pt>
                <c:pt idx="215">
                  <c:v>216.0</c:v>
                </c:pt>
                <c:pt idx="216">
                  <c:v>217.0</c:v>
                </c:pt>
                <c:pt idx="217">
                  <c:v>218.0</c:v>
                </c:pt>
                <c:pt idx="218">
                  <c:v>219.0</c:v>
                </c:pt>
                <c:pt idx="219">
                  <c:v>220.0</c:v>
                </c:pt>
                <c:pt idx="220">
                  <c:v>221.0</c:v>
                </c:pt>
                <c:pt idx="221">
                  <c:v>222.0</c:v>
                </c:pt>
                <c:pt idx="222">
                  <c:v>223.0</c:v>
                </c:pt>
                <c:pt idx="223">
                  <c:v>224.0</c:v>
                </c:pt>
                <c:pt idx="224">
                  <c:v>225.0</c:v>
                </c:pt>
                <c:pt idx="225">
                  <c:v>226.0</c:v>
                </c:pt>
                <c:pt idx="226">
                  <c:v>227.0</c:v>
                </c:pt>
                <c:pt idx="227">
                  <c:v>228.0</c:v>
                </c:pt>
                <c:pt idx="228">
                  <c:v>229.0</c:v>
                </c:pt>
                <c:pt idx="229">
                  <c:v>230.0</c:v>
                </c:pt>
                <c:pt idx="230">
                  <c:v>231.0</c:v>
                </c:pt>
                <c:pt idx="231">
                  <c:v>232.0</c:v>
                </c:pt>
                <c:pt idx="232">
                  <c:v>233.0</c:v>
                </c:pt>
                <c:pt idx="233">
                  <c:v>234.0</c:v>
                </c:pt>
                <c:pt idx="234">
                  <c:v>235.0</c:v>
                </c:pt>
                <c:pt idx="235">
                  <c:v>236.0</c:v>
                </c:pt>
                <c:pt idx="236">
                  <c:v>237.0</c:v>
                </c:pt>
                <c:pt idx="237">
                  <c:v>238.0</c:v>
                </c:pt>
                <c:pt idx="238">
                  <c:v>239.0</c:v>
                </c:pt>
                <c:pt idx="239">
                  <c:v>240.0</c:v>
                </c:pt>
                <c:pt idx="240">
                  <c:v>241.0</c:v>
                </c:pt>
                <c:pt idx="241">
                  <c:v>242.0</c:v>
                </c:pt>
                <c:pt idx="242">
                  <c:v>243.0</c:v>
                </c:pt>
                <c:pt idx="243">
                  <c:v>244.0</c:v>
                </c:pt>
                <c:pt idx="244">
                  <c:v>245.0</c:v>
                </c:pt>
                <c:pt idx="245">
                  <c:v>246.0</c:v>
                </c:pt>
                <c:pt idx="246">
                  <c:v>247.0</c:v>
                </c:pt>
                <c:pt idx="247">
                  <c:v>248.0</c:v>
                </c:pt>
                <c:pt idx="248">
                  <c:v>249.0</c:v>
                </c:pt>
                <c:pt idx="249">
                  <c:v>250.0</c:v>
                </c:pt>
                <c:pt idx="250">
                  <c:v>251.0</c:v>
                </c:pt>
                <c:pt idx="251">
                  <c:v>252.0</c:v>
                </c:pt>
                <c:pt idx="252">
                  <c:v>253.0</c:v>
                </c:pt>
                <c:pt idx="253">
                  <c:v>254.0</c:v>
                </c:pt>
                <c:pt idx="254">
                  <c:v>255.0</c:v>
                </c:pt>
                <c:pt idx="255">
                  <c:v>256.0</c:v>
                </c:pt>
                <c:pt idx="256">
                  <c:v>257.0</c:v>
                </c:pt>
                <c:pt idx="257">
                  <c:v>258.0</c:v>
                </c:pt>
                <c:pt idx="258">
                  <c:v>259.0</c:v>
                </c:pt>
                <c:pt idx="259">
                  <c:v>260.0</c:v>
                </c:pt>
                <c:pt idx="260">
                  <c:v>261.0</c:v>
                </c:pt>
                <c:pt idx="261">
                  <c:v>262.0</c:v>
                </c:pt>
                <c:pt idx="262">
                  <c:v>263.0</c:v>
                </c:pt>
                <c:pt idx="263">
                  <c:v>264.0</c:v>
                </c:pt>
                <c:pt idx="264">
                  <c:v>265.0</c:v>
                </c:pt>
                <c:pt idx="265">
                  <c:v>266.0</c:v>
                </c:pt>
                <c:pt idx="266">
                  <c:v>267.0</c:v>
                </c:pt>
                <c:pt idx="267">
                  <c:v>268.0</c:v>
                </c:pt>
                <c:pt idx="268">
                  <c:v>269.0</c:v>
                </c:pt>
                <c:pt idx="269">
                  <c:v>270.0</c:v>
                </c:pt>
                <c:pt idx="270">
                  <c:v>271.0</c:v>
                </c:pt>
                <c:pt idx="271">
                  <c:v>272.0</c:v>
                </c:pt>
                <c:pt idx="272">
                  <c:v>273.0</c:v>
                </c:pt>
                <c:pt idx="273">
                  <c:v>274.0</c:v>
                </c:pt>
                <c:pt idx="274">
                  <c:v>275.0</c:v>
                </c:pt>
                <c:pt idx="275">
                  <c:v>276.0</c:v>
                </c:pt>
                <c:pt idx="276">
                  <c:v>277.0</c:v>
                </c:pt>
                <c:pt idx="277">
                  <c:v>278.0</c:v>
                </c:pt>
                <c:pt idx="278">
                  <c:v>279.0</c:v>
                </c:pt>
                <c:pt idx="279">
                  <c:v>280.0</c:v>
                </c:pt>
                <c:pt idx="280">
                  <c:v>281.0</c:v>
                </c:pt>
                <c:pt idx="281">
                  <c:v>282.0</c:v>
                </c:pt>
                <c:pt idx="282">
                  <c:v>283.0</c:v>
                </c:pt>
                <c:pt idx="283">
                  <c:v>284.0</c:v>
                </c:pt>
                <c:pt idx="284">
                  <c:v>285.0</c:v>
                </c:pt>
                <c:pt idx="285">
                  <c:v>286.0</c:v>
                </c:pt>
                <c:pt idx="286">
                  <c:v>287.0</c:v>
                </c:pt>
                <c:pt idx="287">
                  <c:v>288.0</c:v>
                </c:pt>
                <c:pt idx="288">
                  <c:v>289.0</c:v>
                </c:pt>
                <c:pt idx="289">
                  <c:v>290.0</c:v>
                </c:pt>
                <c:pt idx="290">
                  <c:v>291.0</c:v>
                </c:pt>
                <c:pt idx="291">
                  <c:v>292.0</c:v>
                </c:pt>
                <c:pt idx="292">
                  <c:v>293.0</c:v>
                </c:pt>
                <c:pt idx="293">
                  <c:v>294.0</c:v>
                </c:pt>
                <c:pt idx="294">
                  <c:v>295.0</c:v>
                </c:pt>
                <c:pt idx="295">
                  <c:v>296.0</c:v>
                </c:pt>
                <c:pt idx="296">
                  <c:v>297.0</c:v>
                </c:pt>
                <c:pt idx="297">
                  <c:v>298.0</c:v>
                </c:pt>
                <c:pt idx="298">
                  <c:v>299.0</c:v>
                </c:pt>
                <c:pt idx="299">
                  <c:v>300.0</c:v>
                </c:pt>
                <c:pt idx="300">
                  <c:v>301.0</c:v>
                </c:pt>
                <c:pt idx="301">
                  <c:v>302.0</c:v>
                </c:pt>
                <c:pt idx="302">
                  <c:v>303.0</c:v>
                </c:pt>
                <c:pt idx="303">
                  <c:v>304.0</c:v>
                </c:pt>
                <c:pt idx="304">
                  <c:v>305.0</c:v>
                </c:pt>
                <c:pt idx="305">
                  <c:v>306.0</c:v>
                </c:pt>
                <c:pt idx="306">
                  <c:v>307.0</c:v>
                </c:pt>
                <c:pt idx="307">
                  <c:v>308.0</c:v>
                </c:pt>
                <c:pt idx="308">
                  <c:v>309.0</c:v>
                </c:pt>
                <c:pt idx="309">
                  <c:v>310.0</c:v>
                </c:pt>
                <c:pt idx="310">
                  <c:v>311.0</c:v>
                </c:pt>
                <c:pt idx="311">
                  <c:v>312.0</c:v>
                </c:pt>
                <c:pt idx="312">
                  <c:v>313.0</c:v>
                </c:pt>
                <c:pt idx="313">
                  <c:v>314.0</c:v>
                </c:pt>
                <c:pt idx="314">
                  <c:v>315.0</c:v>
                </c:pt>
                <c:pt idx="315">
                  <c:v>316.0</c:v>
                </c:pt>
                <c:pt idx="316">
                  <c:v>317.0</c:v>
                </c:pt>
                <c:pt idx="317">
                  <c:v>318.0</c:v>
                </c:pt>
                <c:pt idx="318">
                  <c:v>319.0</c:v>
                </c:pt>
                <c:pt idx="319">
                  <c:v>320.0</c:v>
                </c:pt>
                <c:pt idx="320">
                  <c:v>321.0</c:v>
                </c:pt>
                <c:pt idx="321">
                  <c:v>322.0</c:v>
                </c:pt>
                <c:pt idx="322">
                  <c:v>323.0</c:v>
                </c:pt>
                <c:pt idx="323">
                  <c:v>324.0</c:v>
                </c:pt>
                <c:pt idx="324">
                  <c:v>325.0</c:v>
                </c:pt>
                <c:pt idx="325">
                  <c:v>326.0</c:v>
                </c:pt>
                <c:pt idx="326">
                  <c:v>327.0</c:v>
                </c:pt>
                <c:pt idx="327">
                  <c:v>328.0</c:v>
                </c:pt>
                <c:pt idx="328">
                  <c:v>329.0</c:v>
                </c:pt>
                <c:pt idx="329">
                  <c:v>330.0</c:v>
                </c:pt>
                <c:pt idx="330">
                  <c:v>331.0</c:v>
                </c:pt>
                <c:pt idx="331">
                  <c:v>332.0</c:v>
                </c:pt>
                <c:pt idx="332">
                  <c:v>333.0</c:v>
                </c:pt>
                <c:pt idx="333">
                  <c:v>334.0</c:v>
                </c:pt>
                <c:pt idx="334">
                  <c:v>335.0</c:v>
                </c:pt>
                <c:pt idx="335">
                  <c:v>336.0</c:v>
                </c:pt>
                <c:pt idx="336">
                  <c:v>337.0</c:v>
                </c:pt>
                <c:pt idx="337">
                  <c:v>338.0</c:v>
                </c:pt>
                <c:pt idx="338">
                  <c:v>339.0</c:v>
                </c:pt>
                <c:pt idx="339">
                  <c:v>340.0</c:v>
                </c:pt>
                <c:pt idx="340">
                  <c:v>341.0</c:v>
                </c:pt>
                <c:pt idx="341">
                  <c:v>342.0</c:v>
                </c:pt>
                <c:pt idx="342">
                  <c:v>343.0</c:v>
                </c:pt>
                <c:pt idx="343">
                  <c:v>344.0</c:v>
                </c:pt>
                <c:pt idx="344">
                  <c:v>345.0</c:v>
                </c:pt>
                <c:pt idx="345">
                  <c:v>346.0</c:v>
                </c:pt>
                <c:pt idx="346">
                  <c:v>347.0</c:v>
                </c:pt>
                <c:pt idx="347">
                  <c:v>348.0</c:v>
                </c:pt>
                <c:pt idx="348">
                  <c:v>349.0</c:v>
                </c:pt>
                <c:pt idx="349">
                  <c:v>350.0</c:v>
                </c:pt>
                <c:pt idx="350">
                  <c:v>351.0</c:v>
                </c:pt>
                <c:pt idx="351">
                  <c:v>352.0</c:v>
                </c:pt>
                <c:pt idx="352">
                  <c:v>353.0</c:v>
                </c:pt>
                <c:pt idx="353">
                  <c:v>354.0</c:v>
                </c:pt>
                <c:pt idx="354">
                  <c:v>355.0</c:v>
                </c:pt>
                <c:pt idx="355">
                  <c:v>356.0</c:v>
                </c:pt>
                <c:pt idx="356">
                  <c:v>357.0</c:v>
                </c:pt>
                <c:pt idx="357">
                  <c:v>358.0</c:v>
                </c:pt>
                <c:pt idx="358">
                  <c:v>359.0</c:v>
                </c:pt>
                <c:pt idx="359">
                  <c:v>360.0</c:v>
                </c:pt>
                <c:pt idx="360">
                  <c:v>361.0</c:v>
                </c:pt>
                <c:pt idx="361">
                  <c:v>362.0</c:v>
                </c:pt>
                <c:pt idx="362">
                  <c:v>363.0</c:v>
                </c:pt>
                <c:pt idx="363">
                  <c:v>364.0</c:v>
                </c:pt>
                <c:pt idx="364">
                  <c:v>365.0</c:v>
                </c:pt>
                <c:pt idx="365">
                  <c:v>366.0</c:v>
                </c:pt>
                <c:pt idx="366">
                  <c:v>367.0</c:v>
                </c:pt>
                <c:pt idx="367">
                  <c:v>368.0</c:v>
                </c:pt>
                <c:pt idx="368">
                  <c:v>369.0</c:v>
                </c:pt>
                <c:pt idx="369">
                  <c:v>370.0</c:v>
                </c:pt>
                <c:pt idx="370">
                  <c:v>371.0</c:v>
                </c:pt>
                <c:pt idx="371">
                  <c:v>372.0</c:v>
                </c:pt>
                <c:pt idx="372">
                  <c:v>373.0</c:v>
                </c:pt>
                <c:pt idx="373">
                  <c:v>374.0</c:v>
                </c:pt>
                <c:pt idx="374">
                  <c:v>375.0</c:v>
                </c:pt>
                <c:pt idx="375">
                  <c:v>376.0</c:v>
                </c:pt>
                <c:pt idx="376">
                  <c:v>377.0</c:v>
                </c:pt>
                <c:pt idx="377">
                  <c:v>378.0</c:v>
                </c:pt>
                <c:pt idx="378">
                  <c:v>379.0</c:v>
                </c:pt>
                <c:pt idx="379">
                  <c:v>380.0</c:v>
                </c:pt>
                <c:pt idx="380">
                  <c:v>381.0</c:v>
                </c:pt>
                <c:pt idx="381">
                  <c:v>382.0</c:v>
                </c:pt>
                <c:pt idx="382">
                  <c:v>383.0</c:v>
                </c:pt>
                <c:pt idx="383">
                  <c:v>384.0</c:v>
                </c:pt>
                <c:pt idx="384">
                  <c:v>385.0</c:v>
                </c:pt>
                <c:pt idx="385">
                  <c:v>386.0</c:v>
                </c:pt>
                <c:pt idx="386">
                  <c:v>387.0</c:v>
                </c:pt>
                <c:pt idx="387">
                  <c:v>388.0</c:v>
                </c:pt>
                <c:pt idx="388">
                  <c:v>389.0</c:v>
                </c:pt>
                <c:pt idx="389">
                  <c:v>390.0</c:v>
                </c:pt>
                <c:pt idx="390">
                  <c:v>391.0</c:v>
                </c:pt>
                <c:pt idx="391">
                  <c:v>392.0</c:v>
                </c:pt>
                <c:pt idx="392">
                  <c:v>393.0</c:v>
                </c:pt>
                <c:pt idx="393">
                  <c:v>394.0</c:v>
                </c:pt>
                <c:pt idx="394">
                  <c:v>395.0</c:v>
                </c:pt>
                <c:pt idx="395">
                  <c:v>396.0</c:v>
                </c:pt>
                <c:pt idx="396">
                  <c:v>397.0</c:v>
                </c:pt>
                <c:pt idx="397">
                  <c:v>398.0</c:v>
                </c:pt>
                <c:pt idx="398">
                  <c:v>399.0</c:v>
                </c:pt>
                <c:pt idx="399">
                  <c:v>400.0</c:v>
                </c:pt>
                <c:pt idx="400">
                  <c:v>401.0</c:v>
                </c:pt>
                <c:pt idx="401">
                  <c:v>402.0</c:v>
                </c:pt>
                <c:pt idx="402">
                  <c:v>403.0</c:v>
                </c:pt>
                <c:pt idx="403">
                  <c:v>404.0</c:v>
                </c:pt>
                <c:pt idx="404">
                  <c:v>405.0</c:v>
                </c:pt>
                <c:pt idx="405">
                  <c:v>406.0</c:v>
                </c:pt>
                <c:pt idx="406">
                  <c:v>407.0</c:v>
                </c:pt>
                <c:pt idx="407">
                  <c:v>408.0</c:v>
                </c:pt>
                <c:pt idx="408">
                  <c:v>409.0</c:v>
                </c:pt>
                <c:pt idx="409">
                  <c:v>410.0</c:v>
                </c:pt>
                <c:pt idx="410">
                  <c:v>411.0</c:v>
                </c:pt>
                <c:pt idx="411">
                  <c:v>412.0</c:v>
                </c:pt>
                <c:pt idx="412">
                  <c:v>413.0</c:v>
                </c:pt>
                <c:pt idx="413">
                  <c:v>414.0</c:v>
                </c:pt>
                <c:pt idx="414">
                  <c:v>415.0</c:v>
                </c:pt>
                <c:pt idx="415">
                  <c:v>416.0</c:v>
                </c:pt>
                <c:pt idx="416">
                  <c:v>417.0</c:v>
                </c:pt>
                <c:pt idx="417">
                  <c:v>418.0</c:v>
                </c:pt>
                <c:pt idx="418">
                  <c:v>419.0</c:v>
                </c:pt>
                <c:pt idx="419">
                  <c:v>420.0</c:v>
                </c:pt>
                <c:pt idx="420">
                  <c:v>421.0</c:v>
                </c:pt>
                <c:pt idx="421">
                  <c:v>422.0</c:v>
                </c:pt>
                <c:pt idx="422">
                  <c:v>423.0</c:v>
                </c:pt>
                <c:pt idx="423">
                  <c:v>424.0</c:v>
                </c:pt>
                <c:pt idx="424">
                  <c:v>425.0</c:v>
                </c:pt>
                <c:pt idx="425">
                  <c:v>426.0</c:v>
                </c:pt>
                <c:pt idx="426">
                  <c:v>427.0</c:v>
                </c:pt>
                <c:pt idx="427">
                  <c:v>428.0</c:v>
                </c:pt>
                <c:pt idx="428">
                  <c:v>429.0</c:v>
                </c:pt>
                <c:pt idx="429">
                  <c:v>430.0</c:v>
                </c:pt>
                <c:pt idx="430">
                  <c:v>431.0</c:v>
                </c:pt>
                <c:pt idx="431">
                  <c:v>432.0</c:v>
                </c:pt>
                <c:pt idx="432">
                  <c:v>433.0</c:v>
                </c:pt>
                <c:pt idx="433">
                  <c:v>434.0</c:v>
                </c:pt>
                <c:pt idx="434">
                  <c:v>435.0</c:v>
                </c:pt>
                <c:pt idx="435">
                  <c:v>436.0</c:v>
                </c:pt>
                <c:pt idx="436">
                  <c:v>437.0</c:v>
                </c:pt>
                <c:pt idx="437">
                  <c:v>438.0</c:v>
                </c:pt>
                <c:pt idx="438">
                  <c:v>439.0</c:v>
                </c:pt>
                <c:pt idx="439">
                  <c:v>440.0</c:v>
                </c:pt>
                <c:pt idx="440">
                  <c:v>441.0</c:v>
                </c:pt>
                <c:pt idx="441">
                  <c:v>442.0</c:v>
                </c:pt>
                <c:pt idx="442">
                  <c:v>443.0</c:v>
                </c:pt>
                <c:pt idx="443">
                  <c:v>444.0</c:v>
                </c:pt>
                <c:pt idx="444">
                  <c:v>445.0</c:v>
                </c:pt>
                <c:pt idx="445">
                  <c:v>446.0</c:v>
                </c:pt>
                <c:pt idx="446">
                  <c:v>447.0</c:v>
                </c:pt>
                <c:pt idx="447">
                  <c:v>448.0</c:v>
                </c:pt>
                <c:pt idx="448">
                  <c:v>449.0</c:v>
                </c:pt>
                <c:pt idx="449">
                  <c:v>450.0</c:v>
                </c:pt>
                <c:pt idx="450">
                  <c:v>451.0</c:v>
                </c:pt>
                <c:pt idx="451">
                  <c:v>452.0</c:v>
                </c:pt>
                <c:pt idx="452">
                  <c:v>453.0</c:v>
                </c:pt>
                <c:pt idx="453">
                  <c:v>454.0</c:v>
                </c:pt>
                <c:pt idx="454">
                  <c:v>455.0</c:v>
                </c:pt>
                <c:pt idx="455">
                  <c:v>456.0</c:v>
                </c:pt>
                <c:pt idx="456">
                  <c:v>457.0</c:v>
                </c:pt>
                <c:pt idx="457">
                  <c:v>458.0</c:v>
                </c:pt>
                <c:pt idx="458">
                  <c:v>459.0</c:v>
                </c:pt>
                <c:pt idx="459">
                  <c:v>460.0</c:v>
                </c:pt>
                <c:pt idx="460">
                  <c:v>461.0</c:v>
                </c:pt>
                <c:pt idx="461">
                  <c:v>462.0</c:v>
                </c:pt>
                <c:pt idx="462">
                  <c:v>463.0</c:v>
                </c:pt>
                <c:pt idx="463">
                  <c:v>464.0</c:v>
                </c:pt>
                <c:pt idx="464">
                  <c:v>465.0</c:v>
                </c:pt>
                <c:pt idx="465">
                  <c:v>466.0</c:v>
                </c:pt>
                <c:pt idx="466">
                  <c:v>467.0</c:v>
                </c:pt>
                <c:pt idx="467">
                  <c:v>468.0</c:v>
                </c:pt>
                <c:pt idx="468">
                  <c:v>469.0</c:v>
                </c:pt>
                <c:pt idx="469">
                  <c:v>470.0</c:v>
                </c:pt>
                <c:pt idx="470">
                  <c:v>471.0</c:v>
                </c:pt>
                <c:pt idx="471">
                  <c:v>472.0</c:v>
                </c:pt>
                <c:pt idx="472">
                  <c:v>473.0</c:v>
                </c:pt>
                <c:pt idx="473">
                  <c:v>474.0</c:v>
                </c:pt>
                <c:pt idx="474">
                  <c:v>475.0</c:v>
                </c:pt>
                <c:pt idx="475">
                  <c:v>476.0</c:v>
                </c:pt>
                <c:pt idx="476">
                  <c:v>477.0</c:v>
                </c:pt>
                <c:pt idx="477">
                  <c:v>478.0</c:v>
                </c:pt>
                <c:pt idx="478">
                  <c:v>479.0</c:v>
                </c:pt>
                <c:pt idx="479">
                  <c:v>480.0</c:v>
                </c:pt>
                <c:pt idx="480">
                  <c:v>481.0</c:v>
                </c:pt>
                <c:pt idx="481">
                  <c:v>482.0</c:v>
                </c:pt>
                <c:pt idx="482">
                  <c:v>483.0</c:v>
                </c:pt>
                <c:pt idx="483">
                  <c:v>484.0</c:v>
                </c:pt>
                <c:pt idx="484">
                  <c:v>485.0</c:v>
                </c:pt>
                <c:pt idx="485">
                  <c:v>486.0</c:v>
                </c:pt>
                <c:pt idx="486">
                  <c:v>487.0</c:v>
                </c:pt>
                <c:pt idx="487">
                  <c:v>488.0</c:v>
                </c:pt>
                <c:pt idx="488">
                  <c:v>489.0</c:v>
                </c:pt>
                <c:pt idx="489">
                  <c:v>490.0</c:v>
                </c:pt>
                <c:pt idx="490">
                  <c:v>491.0</c:v>
                </c:pt>
                <c:pt idx="491">
                  <c:v>492.0</c:v>
                </c:pt>
                <c:pt idx="492">
                  <c:v>493.0</c:v>
                </c:pt>
                <c:pt idx="493">
                  <c:v>494.0</c:v>
                </c:pt>
                <c:pt idx="494">
                  <c:v>495.0</c:v>
                </c:pt>
                <c:pt idx="495">
                  <c:v>496.0</c:v>
                </c:pt>
                <c:pt idx="496">
                  <c:v>497.0</c:v>
                </c:pt>
                <c:pt idx="497">
                  <c:v>498.0</c:v>
                </c:pt>
                <c:pt idx="498">
                  <c:v>499.0</c:v>
                </c:pt>
              </c:numCache>
            </c:numRef>
          </c:cat>
          <c:val>
            <c:numRef>
              <c:f>Calculations!$H$2:$H$500</c:f>
              <c:numCache>
                <c:formatCode>0</c:formatCode>
                <c:ptCount val="499"/>
                <c:pt idx="0">
                  <c:v>1670.0</c:v>
                </c:pt>
                <c:pt idx="1">
                  <c:v>3340.0</c:v>
                </c:pt>
                <c:pt idx="2">
                  <c:v>5010.0</c:v>
                </c:pt>
                <c:pt idx="3">
                  <c:v>6680.0</c:v>
                </c:pt>
                <c:pt idx="4">
                  <c:v>8350.0</c:v>
                </c:pt>
                <c:pt idx="5">
                  <c:v>10020.0</c:v>
                </c:pt>
                <c:pt idx="6">
                  <c:v>11690.0</c:v>
                </c:pt>
                <c:pt idx="7">
                  <c:v>13360.0</c:v>
                </c:pt>
                <c:pt idx="8">
                  <c:v>15030.0</c:v>
                </c:pt>
                <c:pt idx="9">
                  <c:v>16700.0</c:v>
                </c:pt>
                <c:pt idx="10">
                  <c:v>1837</c:v>
                </c:pt>
                <c:pt idx="11">
                  <c:v>20040.0</c:v>
                </c:pt>
                <c:pt idx="12">
                  <c:v>21710.0</c:v>
                </c:pt>
                <c:pt idx="13">
                  <c:v>23380.0</c:v>
                </c:pt>
                <c:pt idx="14">
                  <c:v>2505</c:v>
                </c:pt>
                <c:pt idx="15">
                  <c:v>26720.0</c:v>
                </c:pt>
                <c:pt idx="16">
                  <c:v>28390.0</c:v>
                </c:pt>
                <c:pt idx="17">
                  <c:v>30060.0</c:v>
                </c:pt>
                <c:pt idx="18">
                  <c:v>3173</c:v>
                </c:pt>
                <c:pt idx="19">
                  <c:v>33400.0</c:v>
                </c:pt>
                <c:pt idx="20">
                  <c:v>35070.0</c:v>
                </c:pt>
                <c:pt idx="21">
                  <c:v>3674</c:v>
                </c:pt>
                <c:pt idx="22">
                  <c:v>38410.0</c:v>
                </c:pt>
                <c:pt idx="23">
                  <c:v>40080.0</c:v>
                </c:pt>
                <c:pt idx="24">
                  <c:v>83500.0</c:v>
                </c:pt>
                <c:pt idx="25">
                  <c:v>86840.0</c:v>
                </c:pt>
                <c:pt idx="26">
                  <c:v>90179.99999999999</c:v>
                </c:pt>
                <c:pt idx="27">
                  <c:v>93520.0</c:v>
                </c:pt>
                <c:pt idx="28">
                  <c:v>96860.0</c:v>
                </c:pt>
                <c:pt idx="29">
                  <c:v>1002</c:v>
                </c:pt>
                <c:pt idx="30">
                  <c:v>10354</c:v>
                </c:pt>
                <c:pt idx="31">
                  <c:v>106880.0</c:v>
                </c:pt>
                <c:pt idx="32">
                  <c:v>110220.0</c:v>
                </c:pt>
                <c:pt idx="33">
                  <c:v>113560.0</c:v>
                </c:pt>
                <c:pt idx="34">
                  <c:v>1169</c:v>
                </c:pt>
                <c:pt idx="35">
                  <c:v>120240.0</c:v>
                </c:pt>
                <c:pt idx="36">
                  <c:v>123580.0</c:v>
                </c:pt>
                <c:pt idx="37">
                  <c:v>12692</c:v>
                </c:pt>
                <c:pt idx="38">
                  <c:v>13026</c:v>
                </c:pt>
                <c:pt idx="39">
                  <c:v>133600.0</c:v>
                </c:pt>
                <c:pt idx="40">
                  <c:v>136940.0</c:v>
                </c:pt>
                <c:pt idx="41">
                  <c:v>140280.0</c:v>
                </c:pt>
                <c:pt idx="42">
                  <c:v>143620.0</c:v>
                </c:pt>
                <c:pt idx="43">
                  <c:v>14696</c:v>
                </c:pt>
                <c:pt idx="44">
                  <c:v>1503</c:v>
                </c:pt>
                <c:pt idx="45">
                  <c:v>153640.0</c:v>
                </c:pt>
                <c:pt idx="46">
                  <c:v>156980.0</c:v>
                </c:pt>
                <c:pt idx="47">
                  <c:v>160320.0</c:v>
                </c:pt>
                <c:pt idx="48">
                  <c:v>163660.0</c:v>
                </c:pt>
                <c:pt idx="49">
                  <c:v>334000.0</c:v>
                </c:pt>
                <c:pt idx="50">
                  <c:v>340680.0</c:v>
                </c:pt>
                <c:pt idx="51">
                  <c:v>347360.0</c:v>
                </c:pt>
                <c:pt idx="52">
                  <c:v>35404</c:v>
                </c:pt>
                <c:pt idx="53">
                  <c:v>36072</c:v>
                </c:pt>
                <c:pt idx="54">
                  <c:v>367400.0</c:v>
                </c:pt>
                <c:pt idx="55">
                  <c:v>374080.0</c:v>
                </c:pt>
                <c:pt idx="56">
                  <c:v>380760.0</c:v>
                </c:pt>
                <c:pt idx="57">
                  <c:v>387440.0</c:v>
                </c:pt>
                <c:pt idx="58">
                  <c:v>394120.0</c:v>
                </c:pt>
                <c:pt idx="59">
                  <c:v>4008</c:v>
                </c:pt>
                <c:pt idx="60">
                  <c:v>40748</c:v>
                </c:pt>
                <c:pt idx="61">
                  <c:v>41416</c:v>
                </c:pt>
                <c:pt idx="62">
                  <c:v>420840.0</c:v>
                </c:pt>
                <c:pt idx="63">
                  <c:v>427520.0</c:v>
                </c:pt>
                <c:pt idx="64">
                  <c:v>434200.0</c:v>
                </c:pt>
                <c:pt idx="65">
                  <c:v>440880.0</c:v>
                </c:pt>
                <c:pt idx="66">
                  <c:v>447560.0</c:v>
                </c:pt>
                <c:pt idx="67">
                  <c:v>454240.0</c:v>
                </c:pt>
                <c:pt idx="68">
                  <c:v>46092</c:v>
                </c:pt>
                <c:pt idx="69">
                  <c:v>4676</c:v>
                </c:pt>
                <c:pt idx="70">
                  <c:v>474280.0</c:v>
                </c:pt>
                <c:pt idx="71">
                  <c:v>480960.0</c:v>
                </c:pt>
                <c:pt idx="72">
                  <c:v>487640.0</c:v>
                </c:pt>
                <c:pt idx="73">
                  <c:v>494320.0</c:v>
                </c:pt>
                <c:pt idx="74">
                  <c:v>501000.0</c:v>
                </c:pt>
                <c:pt idx="75">
                  <c:v>50768</c:v>
                </c:pt>
                <c:pt idx="76">
                  <c:v>514360.0</c:v>
                </c:pt>
                <c:pt idx="77">
                  <c:v>52104</c:v>
                </c:pt>
                <c:pt idx="78">
                  <c:v>527720.0</c:v>
                </c:pt>
                <c:pt idx="79">
                  <c:v>534400.0</c:v>
                </c:pt>
                <c:pt idx="80">
                  <c:v>541079.9999999999</c:v>
                </c:pt>
                <c:pt idx="81">
                  <c:v>547760.0</c:v>
                </c:pt>
                <c:pt idx="82">
                  <c:v>554439.9999999999</c:v>
                </c:pt>
                <c:pt idx="83">
                  <c:v>561120.0</c:v>
                </c:pt>
                <c:pt idx="84">
                  <c:v>567800.0</c:v>
                </c:pt>
                <c:pt idx="85">
                  <c:v>574480.0</c:v>
                </c:pt>
                <c:pt idx="86">
                  <c:v>581160.0</c:v>
                </c:pt>
                <c:pt idx="87">
                  <c:v>587839.9999999999</c:v>
                </c:pt>
                <c:pt idx="88">
                  <c:v>594520.0</c:v>
                </c:pt>
                <c:pt idx="89">
                  <c:v>601199.9999999999</c:v>
                </c:pt>
                <c:pt idx="90">
                  <c:v>607880.0</c:v>
                </c:pt>
                <c:pt idx="91">
                  <c:v>614560.0</c:v>
                </c:pt>
                <c:pt idx="92">
                  <c:v>621240.0</c:v>
                </c:pt>
                <c:pt idx="93">
                  <c:v>627920.0</c:v>
                </c:pt>
                <c:pt idx="94">
                  <c:v>634600.0</c:v>
                </c:pt>
                <c:pt idx="95">
                  <c:v>641280.0</c:v>
                </c:pt>
                <c:pt idx="96">
                  <c:v>647959.9999999999</c:v>
                </c:pt>
                <c:pt idx="97">
                  <c:v>654640.0</c:v>
                </c:pt>
                <c:pt idx="98">
                  <c:v>661319.9999999999</c:v>
                </c:pt>
                <c:pt idx="99">
                  <c:v>1.336E6</c:v>
                </c:pt>
                <c:pt idx="100">
                  <c:v>1.34936E6</c:v>
                </c:pt>
                <c:pt idx="101">
                  <c:v>1.36272E6</c:v>
                </c:pt>
                <c:pt idx="102">
                  <c:v>1.37608E6</c:v>
                </c:pt>
                <c:pt idx="103">
                  <c:v>1.38944E6</c:v>
                </c:pt>
                <c:pt idx="104">
                  <c:v>1.4028E6</c:v>
                </c:pt>
                <c:pt idx="105">
                  <c:v>1.41616E6</c:v>
                </c:pt>
                <c:pt idx="106">
                  <c:v>1.42952E6</c:v>
                </c:pt>
                <c:pt idx="107">
                  <c:v>1.44288E6</c:v>
                </c:pt>
                <c:pt idx="108">
                  <c:v>1.45624E6</c:v>
                </c:pt>
                <c:pt idx="109">
                  <c:v>1.4696E6</c:v>
                </c:pt>
                <c:pt idx="110">
                  <c:v>1.48296E6</c:v>
                </c:pt>
                <c:pt idx="111">
                  <c:v>1.49632E6</c:v>
                </c:pt>
                <c:pt idx="112">
                  <c:v>1.50968E6</c:v>
                </c:pt>
                <c:pt idx="113">
                  <c:v>1.52304E6</c:v>
                </c:pt>
                <c:pt idx="114">
                  <c:v>1.5364E6</c:v>
                </c:pt>
                <c:pt idx="115">
                  <c:v>1.54976E6</c:v>
                </c:pt>
                <c:pt idx="116">
                  <c:v>1.56312E6</c:v>
                </c:pt>
                <c:pt idx="117">
                  <c:v>1.57648E6</c:v>
                </c:pt>
                <c:pt idx="118">
                  <c:v>1.58984E6</c:v>
                </c:pt>
                <c:pt idx="119">
                  <c:v>1.6032E6</c:v>
                </c:pt>
                <c:pt idx="120">
                  <c:v>1.61656E6</c:v>
                </c:pt>
                <c:pt idx="121">
                  <c:v>1.62992E6</c:v>
                </c:pt>
                <c:pt idx="122">
                  <c:v>1.64328E6</c:v>
                </c:pt>
                <c:pt idx="123">
                  <c:v>1.65664E6</c:v>
                </c:pt>
                <c:pt idx="124">
                  <c:v>1.67E6</c:v>
                </c:pt>
                <c:pt idx="125">
                  <c:v>1.68336E6</c:v>
                </c:pt>
                <c:pt idx="126">
                  <c:v>1.69672E6</c:v>
                </c:pt>
                <c:pt idx="127">
                  <c:v>1.71008E6</c:v>
                </c:pt>
                <c:pt idx="128">
                  <c:v>1.72344E6</c:v>
                </c:pt>
                <c:pt idx="129">
                  <c:v>1.7368E6</c:v>
                </c:pt>
                <c:pt idx="130">
                  <c:v>1.75016E6</c:v>
                </c:pt>
                <c:pt idx="131">
                  <c:v>1.76352E6</c:v>
                </c:pt>
                <c:pt idx="132">
                  <c:v>1.77688E6</c:v>
                </c:pt>
                <c:pt idx="133">
                  <c:v>1.79024E6</c:v>
                </c:pt>
                <c:pt idx="134">
                  <c:v>1.8036E6</c:v>
                </c:pt>
                <c:pt idx="135">
                  <c:v>1.81696E6</c:v>
                </c:pt>
                <c:pt idx="136">
                  <c:v>1.83032E6</c:v>
                </c:pt>
                <c:pt idx="137">
                  <c:v>1.84368E6</c:v>
                </c:pt>
                <c:pt idx="138">
                  <c:v>1.85704E6</c:v>
                </c:pt>
                <c:pt idx="139">
                  <c:v>1.8704E6</c:v>
                </c:pt>
                <c:pt idx="140">
                  <c:v>1.88376E6</c:v>
                </c:pt>
                <c:pt idx="141">
                  <c:v>1.89712E6</c:v>
                </c:pt>
                <c:pt idx="142">
                  <c:v>1.91048E6</c:v>
                </c:pt>
                <c:pt idx="143">
                  <c:v>1.92384E6</c:v>
                </c:pt>
                <c:pt idx="144">
                  <c:v>1.9372E6</c:v>
                </c:pt>
                <c:pt idx="145">
                  <c:v>1.95056E6</c:v>
                </c:pt>
                <c:pt idx="146">
                  <c:v>1.96392E6</c:v>
                </c:pt>
                <c:pt idx="147">
                  <c:v>1.97728E6</c:v>
                </c:pt>
                <c:pt idx="148">
                  <c:v>1.99064E6</c:v>
                </c:pt>
                <c:pt idx="149">
                  <c:v>2.004E6</c:v>
                </c:pt>
                <c:pt idx="150">
                  <c:v>2.01736E6</c:v>
                </c:pt>
                <c:pt idx="151">
                  <c:v>2.03072E6</c:v>
                </c:pt>
                <c:pt idx="152">
                  <c:v>2.04408E6</c:v>
                </c:pt>
                <c:pt idx="153">
                  <c:v>2.05744E6</c:v>
                </c:pt>
                <c:pt idx="154">
                  <c:v>2.0708E6</c:v>
                </c:pt>
                <c:pt idx="155">
                  <c:v>2.08416E6</c:v>
                </c:pt>
                <c:pt idx="156">
                  <c:v>2.09752E6</c:v>
                </c:pt>
                <c:pt idx="157">
                  <c:v>2.11088E6</c:v>
                </c:pt>
                <c:pt idx="158">
                  <c:v>2.12424E6</c:v>
                </c:pt>
                <c:pt idx="159">
                  <c:v>2.1376E6</c:v>
                </c:pt>
                <c:pt idx="160">
                  <c:v>2.15096E6</c:v>
                </c:pt>
                <c:pt idx="161">
                  <c:v>2.16432E6</c:v>
                </c:pt>
                <c:pt idx="162">
                  <c:v>2.17768E6</c:v>
                </c:pt>
                <c:pt idx="163">
                  <c:v>2.19104E6</c:v>
                </c:pt>
                <c:pt idx="164">
                  <c:v>2.2044E6</c:v>
                </c:pt>
                <c:pt idx="165">
                  <c:v>2.21776E6</c:v>
                </c:pt>
                <c:pt idx="166">
                  <c:v>2.23112E6</c:v>
                </c:pt>
                <c:pt idx="167">
                  <c:v>2.24448E6</c:v>
                </c:pt>
                <c:pt idx="168">
                  <c:v>2.25784E6</c:v>
                </c:pt>
                <c:pt idx="169">
                  <c:v>2.2712E6</c:v>
                </c:pt>
                <c:pt idx="170">
                  <c:v>2.28456E6</c:v>
                </c:pt>
                <c:pt idx="171">
                  <c:v>2.29792E6</c:v>
                </c:pt>
                <c:pt idx="172">
                  <c:v>2.31128E6</c:v>
                </c:pt>
                <c:pt idx="173">
                  <c:v>2.32464E6</c:v>
                </c:pt>
                <c:pt idx="174">
                  <c:v>2.338E6</c:v>
                </c:pt>
                <c:pt idx="175">
                  <c:v>2.35136E6</c:v>
                </c:pt>
                <c:pt idx="176">
                  <c:v>2.36472E6</c:v>
                </c:pt>
                <c:pt idx="177">
                  <c:v>2.37808E6</c:v>
                </c:pt>
                <c:pt idx="178">
                  <c:v>2.39144E6</c:v>
                </c:pt>
                <c:pt idx="179">
                  <c:v>2.4048E6</c:v>
                </c:pt>
                <c:pt idx="180">
                  <c:v>2.41816E6</c:v>
                </c:pt>
                <c:pt idx="181">
                  <c:v>2.43152E6</c:v>
                </c:pt>
                <c:pt idx="182">
                  <c:v>2.44488E6</c:v>
                </c:pt>
                <c:pt idx="183">
                  <c:v>2.45824E6</c:v>
                </c:pt>
                <c:pt idx="184">
                  <c:v>2.4716E6</c:v>
                </c:pt>
                <c:pt idx="185">
                  <c:v>2.48496E6</c:v>
                </c:pt>
                <c:pt idx="186">
                  <c:v>2.49832E6</c:v>
                </c:pt>
                <c:pt idx="187">
                  <c:v>2.51168E6</c:v>
                </c:pt>
                <c:pt idx="188">
                  <c:v>2.52504E6</c:v>
                </c:pt>
                <c:pt idx="189">
                  <c:v>2.5384E6</c:v>
                </c:pt>
                <c:pt idx="190">
                  <c:v>2.55176E6</c:v>
                </c:pt>
                <c:pt idx="191">
                  <c:v>2.56512E6</c:v>
                </c:pt>
                <c:pt idx="192">
                  <c:v>2.57848E6</c:v>
                </c:pt>
                <c:pt idx="193">
                  <c:v>2.59184E6</c:v>
                </c:pt>
                <c:pt idx="194">
                  <c:v>2.6052E6</c:v>
                </c:pt>
                <c:pt idx="195">
                  <c:v>2.61856E6</c:v>
                </c:pt>
                <c:pt idx="196">
                  <c:v>2.63192E6</c:v>
                </c:pt>
                <c:pt idx="197">
                  <c:v>2.64528E6</c:v>
                </c:pt>
                <c:pt idx="198">
                  <c:v>2.65864E6</c:v>
                </c:pt>
                <c:pt idx="199">
                  <c:v>5.344E6</c:v>
                </c:pt>
                <c:pt idx="200">
                  <c:v>5.37072E6</c:v>
                </c:pt>
                <c:pt idx="201">
                  <c:v>5.39744E6</c:v>
                </c:pt>
                <c:pt idx="202">
                  <c:v>5.42416E6</c:v>
                </c:pt>
                <c:pt idx="203">
                  <c:v>5.45088E6</c:v>
                </c:pt>
                <c:pt idx="204">
                  <c:v>5.4776E6</c:v>
                </c:pt>
                <c:pt idx="205">
                  <c:v>5.50432E6</c:v>
                </c:pt>
                <c:pt idx="206">
                  <c:v>5.53104E6</c:v>
                </c:pt>
                <c:pt idx="207">
                  <c:v>5.55776E6</c:v>
                </c:pt>
                <c:pt idx="208">
                  <c:v>5.58448E6</c:v>
                </c:pt>
                <c:pt idx="209">
                  <c:v>5.6112E6</c:v>
                </c:pt>
                <c:pt idx="210">
                  <c:v>5.63792E6</c:v>
                </c:pt>
                <c:pt idx="211">
                  <c:v>5.66464E6</c:v>
                </c:pt>
                <c:pt idx="212">
                  <c:v>5.69136E6</c:v>
                </c:pt>
                <c:pt idx="213">
                  <c:v>5.71808E6</c:v>
                </c:pt>
                <c:pt idx="214">
                  <c:v>5.7448E6</c:v>
                </c:pt>
                <c:pt idx="215">
                  <c:v>5.77152E6</c:v>
                </c:pt>
                <c:pt idx="216">
                  <c:v>5.79824E6</c:v>
                </c:pt>
                <c:pt idx="217">
                  <c:v>5.82496E6</c:v>
                </c:pt>
                <c:pt idx="218">
                  <c:v>5.85168E6</c:v>
                </c:pt>
                <c:pt idx="219">
                  <c:v>5.8784E6</c:v>
                </c:pt>
                <c:pt idx="220">
                  <c:v>5.90512E6</c:v>
                </c:pt>
                <c:pt idx="221">
                  <c:v>5.93184E6</c:v>
                </c:pt>
                <c:pt idx="222">
                  <c:v>5.95856E6</c:v>
                </c:pt>
                <c:pt idx="223">
                  <c:v>5.98528E6</c:v>
                </c:pt>
                <c:pt idx="224">
                  <c:v>6.012E6</c:v>
                </c:pt>
                <c:pt idx="225">
                  <c:v>6.03872E6</c:v>
                </c:pt>
                <c:pt idx="226">
                  <c:v>6.06544E6</c:v>
                </c:pt>
                <c:pt idx="227">
                  <c:v>6.09216E6</c:v>
                </c:pt>
                <c:pt idx="228">
                  <c:v>6.11888E6</c:v>
                </c:pt>
                <c:pt idx="229">
                  <c:v>6.1456E6</c:v>
                </c:pt>
                <c:pt idx="230">
                  <c:v>6.17232E6</c:v>
                </c:pt>
                <c:pt idx="231">
                  <c:v>6.19904E6</c:v>
                </c:pt>
                <c:pt idx="232">
                  <c:v>6.22576E6</c:v>
                </c:pt>
                <c:pt idx="233">
                  <c:v>6.25248E6</c:v>
                </c:pt>
                <c:pt idx="234">
                  <c:v>6.2792E6</c:v>
                </c:pt>
                <c:pt idx="235">
                  <c:v>6.30592E6</c:v>
                </c:pt>
                <c:pt idx="236">
                  <c:v>6.33264E6</c:v>
                </c:pt>
                <c:pt idx="237">
                  <c:v>6.35936E6</c:v>
                </c:pt>
                <c:pt idx="238">
                  <c:v>6.38608E6</c:v>
                </c:pt>
                <c:pt idx="239">
                  <c:v>6.4128E6</c:v>
                </c:pt>
                <c:pt idx="240">
                  <c:v>6.43952E6</c:v>
                </c:pt>
                <c:pt idx="241">
                  <c:v>6.46624E6</c:v>
                </c:pt>
                <c:pt idx="242">
                  <c:v>6.49296E6</c:v>
                </c:pt>
                <c:pt idx="243">
                  <c:v>6.51968E6</c:v>
                </c:pt>
                <c:pt idx="244">
                  <c:v>6.5464E6</c:v>
                </c:pt>
                <c:pt idx="245">
                  <c:v>6.57312E6</c:v>
                </c:pt>
                <c:pt idx="246">
                  <c:v>6.59984E6</c:v>
                </c:pt>
                <c:pt idx="247">
                  <c:v>6.62656E6</c:v>
                </c:pt>
                <c:pt idx="248">
                  <c:v>6.65328E6</c:v>
                </c:pt>
                <c:pt idx="249">
                  <c:v>6.68E6</c:v>
                </c:pt>
                <c:pt idx="250">
                  <c:v>6.70672E6</c:v>
                </c:pt>
                <c:pt idx="251">
                  <c:v>6.73344E6</c:v>
                </c:pt>
                <c:pt idx="252">
                  <c:v>6.76016E6</c:v>
                </c:pt>
                <c:pt idx="253">
                  <c:v>6.78688E6</c:v>
                </c:pt>
                <c:pt idx="254">
                  <c:v>6.8136E6</c:v>
                </c:pt>
                <c:pt idx="255">
                  <c:v>6.84032E6</c:v>
                </c:pt>
                <c:pt idx="256">
                  <c:v>6.86704E6</c:v>
                </c:pt>
                <c:pt idx="257">
                  <c:v>6.89376E6</c:v>
                </c:pt>
                <c:pt idx="258">
                  <c:v>6.92048E6</c:v>
                </c:pt>
                <c:pt idx="259">
                  <c:v>6.9472E6</c:v>
                </c:pt>
                <c:pt idx="260">
                  <c:v>6.97392E6</c:v>
                </c:pt>
                <c:pt idx="261">
                  <c:v>7.00064E6</c:v>
                </c:pt>
                <c:pt idx="262">
                  <c:v>7.02736E6</c:v>
                </c:pt>
                <c:pt idx="263">
                  <c:v>7.05408E6</c:v>
                </c:pt>
                <c:pt idx="264">
                  <c:v>7.0808E6</c:v>
                </c:pt>
                <c:pt idx="265">
                  <c:v>7.10752E6</c:v>
                </c:pt>
                <c:pt idx="266">
                  <c:v>7.13424E6</c:v>
                </c:pt>
                <c:pt idx="267">
                  <c:v>7.16096E6</c:v>
                </c:pt>
                <c:pt idx="268">
                  <c:v>7.18768E6</c:v>
                </c:pt>
                <c:pt idx="269">
                  <c:v>7.2144E6</c:v>
                </c:pt>
                <c:pt idx="270">
                  <c:v>7.24112E6</c:v>
                </c:pt>
                <c:pt idx="271">
                  <c:v>7.26784E6</c:v>
                </c:pt>
                <c:pt idx="272">
                  <c:v>7.29456E6</c:v>
                </c:pt>
                <c:pt idx="273">
                  <c:v>7.32128E6</c:v>
                </c:pt>
                <c:pt idx="274">
                  <c:v>7.348E6</c:v>
                </c:pt>
                <c:pt idx="275">
                  <c:v>7.37472E6</c:v>
                </c:pt>
                <c:pt idx="276">
                  <c:v>7.40144E6</c:v>
                </c:pt>
                <c:pt idx="277">
                  <c:v>7.42816E6</c:v>
                </c:pt>
                <c:pt idx="278">
                  <c:v>7.45488E6</c:v>
                </c:pt>
                <c:pt idx="279">
                  <c:v>7.4816E6</c:v>
                </c:pt>
                <c:pt idx="280">
                  <c:v>7.50832E6</c:v>
                </c:pt>
                <c:pt idx="281">
                  <c:v>7.53504E6</c:v>
                </c:pt>
                <c:pt idx="282">
                  <c:v>7.56176E6</c:v>
                </c:pt>
                <c:pt idx="283">
                  <c:v>7.58848E6</c:v>
                </c:pt>
                <c:pt idx="284">
                  <c:v>7.6152E6</c:v>
                </c:pt>
                <c:pt idx="285">
                  <c:v>7.64192E6</c:v>
                </c:pt>
                <c:pt idx="286">
                  <c:v>7.66864E6</c:v>
                </c:pt>
                <c:pt idx="287">
                  <c:v>7.69536E6</c:v>
                </c:pt>
                <c:pt idx="288">
                  <c:v>7.72208E6</c:v>
                </c:pt>
                <c:pt idx="289">
                  <c:v>7.7488E6</c:v>
                </c:pt>
                <c:pt idx="290">
                  <c:v>7.77552E6</c:v>
                </c:pt>
                <c:pt idx="291">
                  <c:v>7.80224E6</c:v>
                </c:pt>
                <c:pt idx="292">
                  <c:v>7.82896E6</c:v>
                </c:pt>
                <c:pt idx="293">
                  <c:v>7.85568E6</c:v>
                </c:pt>
                <c:pt idx="294">
                  <c:v>7.8824E6</c:v>
                </c:pt>
                <c:pt idx="295">
                  <c:v>7.90912E6</c:v>
                </c:pt>
                <c:pt idx="296">
                  <c:v>7.93584E6</c:v>
                </c:pt>
                <c:pt idx="297">
                  <c:v>7.96256E6</c:v>
                </c:pt>
                <c:pt idx="298">
                  <c:v>7.98928E6</c:v>
                </c:pt>
                <c:pt idx="299">
                  <c:v>1.6032E7</c:v>
                </c:pt>
                <c:pt idx="300">
                  <c:v>1.608544E7</c:v>
                </c:pt>
                <c:pt idx="301">
                  <c:v>1.613888E7</c:v>
                </c:pt>
                <c:pt idx="302">
                  <c:v>1.619232E7</c:v>
                </c:pt>
                <c:pt idx="303">
                  <c:v>1.624576E7</c:v>
                </c:pt>
                <c:pt idx="304">
                  <c:v>1.62992E7</c:v>
                </c:pt>
                <c:pt idx="305">
                  <c:v>1.635264E7</c:v>
                </c:pt>
                <c:pt idx="306">
                  <c:v>1.640608E7</c:v>
                </c:pt>
                <c:pt idx="307">
                  <c:v>1.645952E7</c:v>
                </c:pt>
                <c:pt idx="308">
                  <c:v>1.651296E7</c:v>
                </c:pt>
                <c:pt idx="309">
                  <c:v>1.65664E7</c:v>
                </c:pt>
                <c:pt idx="310">
                  <c:v>1.661984E7</c:v>
                </c:pt>
                <c:pt idx="311">
                  <c:v>1.667328E7</c:v>
                </c:pt>
                <c:pt idx="312">
                  <c:v>1.672672E7</c:v>
                </c:pt>
                <c:pt idx="313">
                  <c:v>1.678016E7</c:v>
                </c:pt>
                <c:pt idx="314">
                  <c:v>1.68336E7</c:v>
                </c:pt>
                <c:pt idx="315">
                  <c:v>1.688704E7</c:v>
                </c:pt>
                <c:pt idx="316">
                  <c:v>1.694048E7</c:v>
                </c:pt>
                <c:pt idx="317">
                  <c:v>1.699392E7</c:v>
                </c:pt>
                <c:pt idx="318">
                  <c:v>1.704736E7</c:v>
                </c:pt>
                <c:pt idx="319">
                  <c:v>1.71008E7</c:v>
                </c:pt>
                <c:pt idx="320">
                  <c:v>1.715424E7</c:v>
                </c:pt>
                <c:pt idx="321">
                  <c:v>1.720768E7</c:v>
                </c:pt>
                <c:pt idx="322">
                  <c:v>1.726112E7</c:v>
                </c:pt>
                <c:pt idx="323">
                  <c:v>1.731456E7</c:v>
                </c:pt>
                <c:pt idx="324">
                  <c:v>1.7368E7</c:v>
                </c:pt>
                <c:pt idx="325">
                  <c:v>1.742144E7</c:v>
                </c:pt>
                <c:pt idx="326">
                  <c:v>1.747488E7</c:v>
                </c:pt>
                <c:pt idx="327">
                  <c:v>1.752832E7</c:v>
                </c:pt>
                <c:pt idx="328">
                  <c:v>1.758176E7</c:v>
                </c:pt>
                <c:pt idx="329">
                  <c:v>1.76352E7</c:v>
                </c:pt>
                <c:pt idx="330">
                  <c:v>1.768864E7</c:v>
                </c:pt>
                <c:pt idx="331">
                  <c:v>1.774208E7</c:v>
                </c:pt>
                <c:pt idx="332">
                  <c:v>1.779552E7</c:v>
                </c:pt>
                <c:pt idx="333">
                  <c:v>1.784896E7</c:v>
                </c:pt>
                <c:pt idx="334">
                  <c:v>1.79024E7</c:v>
                </c:pt>
                <c:pt idx="335">
                  <c:v>1.795584E7</c:v>
                </c:pt>
                <c:pt idx="336">
                  <c:v>1.800928E7</c:v>
                </c:pt>
                <c:pt idx="337">
                  <c:v>1.806272E7</c:v>
                </c:pt>
                <c:pt idx="338">
                  <c:v>1.811616E7</c:v>
                </c:pt>
                <c:pt idx="339">
                  <c:v>1.81696E7</c:v>
                </c:pt>
                <c:pt idx="340">
                  <c:v>1.822304E7</c:v>
                </c:pt>
                <c:pt idx="341">
                  <c:v>1.827648E7</c:v>
                </c:pt>
                <c:pt idx="342">
                  <c:v>1.832992E7</c:v>
                </c:pt>
                <c:pt idx="343">
                  <c:v>1.838336E7</c:v>
                </c:pt>
                <c:pt idx="344">
                  <c:v>1.84368E7</c:v>
                </c:pt>
                <c:pt idx="345">
                  <c:v>1.849024E7</c:v>
                </c:pt>
                <c:pt idx="346">
                  <c:v>1.854368E7</c:v>
                </c:pt>
                <c:pt idx="347">
                  <c:v>1.859712E7</c:v>
                </c:pt>
                <c:pt idx="348">
                  <c:v>1.865056E7</c:v>
                </c:pt>
                <c:pt idx="349">
                  <c:v>1.8704E7</c:v>
                </c:pt>
                <c:pt idx="350">
                  <c:v>1.875744E7</c:v>
                </c:pt>
                <c:pt idx="351">
                  <c:v>1.881088E7</c:v>
                </c:pt>
                <c:pt idx="352">
                  <c:v>1.886432E7</c:v>
                </c:pt>
                <c:pt idx="353">
                  <c:v>1.891776E7</c:v>
                </c:pt>
                <c:pt idx="354">
                  <c:v>1.89712E7</c:v>
                </c:pt>
                <c:pt idx="355">
                  <c:v>1.902464E7</c:v>
                </c:pt>
                <c:pt idx="356">
                  <c:v>1.907808E7</c:v>
                </c:pt>
                <c:pt idx="357">
                  <c:v>1.913152E7</c:v>
                </c:pt>
                <c:pt idx="358">
                  <c:v>1.918496E7</c:v>
                </c:pt>
                <c:pt idx="359">
                  <c:v>1.92384E7</c:v>
                </c:pt>
                <c:pt idx="360">
                  <c:v>1.929184E7</c:v>
                </c:pt>
                <c:pt idx="361">
                  <c:v>1.934528E7</c:v>
                </c:pt>
                <c:pt idx="362">
                  <c:v>1.939872E7</c:v>
                </c:pt>
                <c:pt idx="363">
                  <c:v>1.945216E7</c:v>
                </c:pt>
                <c:pt idx="364">
                  <c:v>1.95056E7</c:v>
                </c:pt>
                <c:pt idx="365">
                  <c:v>1.955904E7</c:v>
                </c:pt>
                <c:pt idx="366">
                  <c:v>1.961248E7</c:v>
                </c:pt>
                <c:pt idx="367">
                  <c:v>1.966592E7</c:v>
                </c:pt>
                <c:pt idx="368">
                  <c:v>1.971936E7</c:v>
                </c:pt>
                <c:pt idx="369">
                  <c:v>1.97728E7</c:v>
                </c:pt>
                <c:pt idx="370">
                  <c:v>1.982624E7</c:v>
                </c:pt>
                <c:pt idx="371">
                  <c:v>1.987968E7</c:v>
                </c:pt>
                <c:pt idx="372">
                  <c:v>1.993312E7</c:v>
                </c:pt>
                <c:pt idx="373">
                  <c:v>1.998656E7</c:v>
                </c:pt>
                <c:pt idx="374">
                  <c:v>2.004E7</c:v>
                </c:pt>
                <c:pt idx="375">
                  <c:v>2.009344E7</c:v>
                </c:pt>
                <c:pt idx="376">
                  <c:v>2.014688E7</c:v>
                </c:pt>
                <c:pt idx="377">
                  <c:v>2.020032E7</c:v>
                </c:pt>
                <c:pt idx="378">
                  <c:v>2.025376E7</c:v>
                </c:pt>
                <c:pt idx="379">
                  <c:v>2.03072E7</c:v>
                </c:pt>
                <c:pt idx="380">
                  <c:v>2.036064E7</c:v>
                </c:pt>
                <c:pt idx="381">
                  <c:v>2.041408E7</c:v>
                </c:pt>
                <c:pt idx="382">
                  <c:v>2.046752E7</c:v>
                </c:pt>
                <c:pt idx="383">
                  <c:v>2.052096E7</c:v>
                </c:pt>
                <c:pt idx="384">
                  <c:v>2.05744E7</c:v>
                </c:pt>
                <c:pt idx="385">
                  <c:v>2.062784E7</c:v>
                </c:pt>
                <c:pt idx="386">
                  <c:v>2.068128E7</c:v>
                </c:pt>
                <c:pt idx="387">
                  <c:v>2.073472E7</c:v>
                </c:pt>
                <c:pt idx="388">
                  <c:v>2.078816E7</c:v>
                </c:pt>
                <c:pt idx="389">
                  <c:v>2.08416E7</c:v>
                </c:pt>
                <c:pt idx="390">
                  <c:v>2.089504E7</c:v>
                </c:pt>
                <c:pt idx="391">
                  <c:v>2.094848E7</c:v>
                </c:pt>
                <c:pt idx="392">
                  <c:v>2.100192E7</c:v>
                </c:pt>
                <c:pt idx="393">
                  <c:v>2.105536E7</c:v>
                </c:pt>
                <c:pt idx="394">
                  <c:v>2.11088E7</c:v>
                </c:pt>
                <c:pt idx="395">
                  <c:v>2.116224E7</c:v>
                </c:pt>
                <c:pt idx="396">
                  <c:v>2.121568E7</c:v>
                </c:pt>
                <c:pt idx="397">
                  <c:v>2.126912E7</c:v>
                </c:pt>
                <c:pt idx="398">
                  <c:v>2.132256E7</c:v>
                </c:pt>
                <c:pt idx="399">
                  <c:v>4.2752E7</c:v>
                </c:pt>
                <c:pt idx="400">
                  <c:v>4.285888E7</c:v>
                </c:pt>
                <c:pt idx="401">
                  <c:v>4.296576E7</c:v>
                </c:pt>
                <c:pt idx="402">
                  <c:v>4.307264E7</c:v>
                </c:pt>
                <c:pt idx="403">
                  <c:v>4.317952E7</c:v>
                </c:pt>
                <c:pt idx="404">
                  <c:v>4.32864E7</c:v>
                </c:pt>
                <c:pt idx="405">
                  <c:v>4.339328E7</c:v>
                </c:pt>
                <c:pt idx="406">
                  <c:v>4.350016E7</c:v>
                </c:pt>
                <c:pt idx="407">
                  <c:v>4.360704E7</c:v>
                </c:pt>
                <c:pt idx="408">
                  <c:v>4.371392E7</c:v>
                </c:pt>
                <c:pt idx="409">
                  <c:v>4.38208E7</c:v>
                </c:pt>
                <c:pt idx="410">
                  <c:v>4.392768E7</c:v>
                </c:pt>
                <c:pt idx="411">
                  <c:v>4.403456E7</c:v>
                </c:pt>
                <c:pt idx="412">
                  <c:v>4.414144E7</c:v>
                </c:pt>
                <c:pt idx="413">
                  <c:v>4.424832E7</c:v>
                </c:pt>
                <c:pt idx="414">
                  <c:v>4.43552E7</c:v>
                </c:pt>
                <c:pt idx="415">
                  <c:v>4.446208E7</c:v>
                </c:pt>
                <c:pt idx="416">
                  <c:v>4.456896E7</c:v>
                </c:pt>
                <c:pt idx="417">
                  <c:v>4.467584E7</c:v>
                </c:pt>
                <c:pt idx="418">
                  <c:v>4.478272E7</c:v>
                </c:pt>
                <c:pt idx="419">
                  <c:v>4.48896E7</c:v>
                </c:pt>
                <c:pt idx="420">
                  <c:v>4.499648E7</c:v>
                </c:pt>
                <c:pt idx="421">
                  <c:v>4.510336E7</c:v>
                </c:pt>
                <c:pt idx="422">
                  <c:v>4.521024E7</c:v>
                </c:pt>
                <c:pt idx="423">
                  <c:v>4.531712E7</c:v>
                </c:pt>
                <c:pt idx="424">
                  <c:v>4.5424E7</c:v>
                </c:pt>
                <c:pt idx="425">
                  <c:v>4.553088E7</c:v>
                </c:pt>
                <c:pt idx="426">
                  <c:v>4.563776E7</c:v>
                </c:pt>
                <c:pt idx="427">
                  <c:v>4.574464E7</c:v>
                </c:pt>
                <c:pt idx="428">
                  <c:v>4.585152E7</c:v>
                </c:pt>
                <c:pt idx="429">
                  <c:v>4.59584E7</c:v>
                </c:pt>
                <c:pt idx="430">
                  <c:v>4.606528E7</c:v>
                </c:pt>
                <c:pt idx="431">
                  <c:v>4.617216E7</c:v>
                </c:pt>
                <c:pt idx="432">
                  <c:v>4.627904E7</c:v>
                </c:pt>
                <c:pt idx="433">
                  <c:v>4.638592E7</c:v>
                </c:pt>
                <c:pt idx="434">
                  <c:v>4.64928E7</c:v>
                </c:pt>
                <c:pt idx="435">
                  <c:v>4.659968E7</c:v>
                </c:pt>
                <c:pt idx="436">
                  <c:v>4.670656E7</c:v>
                </c:pt>
                <c:pt idx="437">
                  <c:v>4.681344E7</c:v>
                </c:pt>
                <c:pt idx="438">
                  <c:v>4.692032E7</c:v>
                </c:pt>
                <c:pt idx="439">
                  <c:v>4.70272E7</c:v>
                </c:pt>
                <c:pt idx="440">
                  <c:v>4.713408E7</c:v>
                </c:pt>
                <c:pt idx="441">
                  <c:v>4.724096E7</c:v>
                </c:pt>
                <c:pt idx="442">
                  <c:v>4.734784E7</c:v>
                </c:pt>
                <c:pt idx="443">
                  <c:v>4.745472E7</c:v>
                </c:pt>
                <c:pt idx="444">
                  <c:v>4.75616E7</c:v>
                </c:pt>
                <c:pt idx="445">
                  <c:v>4.766848E7</c:v>
                </c:pt>
                <c:pt idx="446">
                  <c:v>4.777536E7</c:v>
                </c:pt>
                <c:pt idx="447">
                  <c:v>4.788224E7</c:v>
                </c:pt>
                <c:pt idx="448">
                  <c:v>4.798912E7</c:v>
                </c:pt>
                <c:pt idx="449">
                  <c:v>4.8096E7</c:v>
                </c:pt>
                <c:pt idx="450">
                  <c:v>4.820288E7</c:v>
                </c:pt>
                <c:pt idx="451">
                  <c:v>4.830976E7</c:v>
                </c:pt>
                <c:pt idx="452">
                  <c:v>4.841664E7</c:v>
                </c:pt>
                <c:pt idx="453">
                  <c:v>4.852352E7</c:v>
                </c:pt>
                <c:pt idx="454">
                  <c:v>4.86304E7</c:v>
                </c:pt>
                <c:pt idx="455">
                  <c:v>4.873728E7</c:v>
                </c:pt>
                <c:pt idx="456">
                  <c:v>4.884416E7</c:v>
                </c:pt>
                <c:pt idx="457">
                  <c:v>4.895104E7</c:v>
                </c:pt>
                <c:pt idx="458">
                  <c:v>4.905792E7</c:v>
                </c:pt>
                <c:pt idx="459">
                  <c:v>4.91648E7</c:v>
                </c:pt>
                <c:pt idx="460">
                  <c:v>4.927168E7</c:v>
                </c:pt>
                <c:pt idx="461">
                  <c:v>4.937856E7</c:v>
                </c:pt>
                <c:pt idx="462">
                  <c:v>4.948544E7</c:v>
                </c:pt>
                <c:pt idx="463">
                  <c:v>4.959232E7</c:v>
                </c:pt>
                <c:pt idx="464">
                  <c:v>4.96992E7</c:v>
                </c:pt>
                <c:pt idx="465">
                  <c:v>4.980608E7</c:v>
                </c:pt>
                <c:pt idx="466">
                  <c:v>4.991296E7</c:v>
                </c:pt>
                <c:pt idx="467">
                  <c:v>5.001984E7</c:v>
                </c:pt>
                <c:pt idx="468">
                  <c:v>5.012672E7</c:v>
                </c:pt>
                <c:pt idx="469">
                  <c:v>5.02336E7</c:v>
                </c:pt>
                <c:pt idx="470">
                  <c:v>5.034048E7</c:v>
                </c:pt>
                <c:pt idx="471">
                  <c:v>5.044736E7</c:v>
                </c:pt>
                <c:pt idx="472">
                  <c:v>5.055424E7</c:v>
                </c:pt>
                <c:pt idx="473">
                  <c:v>5.066112E7</c:v>
                </c:pt>
                <c:pt idx="474">
                  <c:v>5.0768E7</c:v>
                </c:pt>
                <c:pt idx="475">
                  <c:v>5.087488E7</c:v>
                </c:pt>
                <c:pt idx="476">
                  <c:v>5.098176E7</c:v>
                </c:pt>
                <c:pt idx="477">
                  <c:v>5.108864E7</c:v>
                </c:pt>
                <c:pt idx="478">
                  <c:v>5.119552E7</c:v>
                </c:pt>
                <c:pt idx="479">
                  <c:v>5.13024E7</c:v>
                </c:pt>
                <c:pt idx="480">
                  <c:v>5.140928E7</c:v>
                </c:pt>
                <c:pt idx="481">
                  <c:v>5.151616E7</c:v>
                </c:pt>
                <c:pt idx="482">
                  <c:v>5.162304E7</c:v>
                </c:pt>
                <c:pt idx="483">
                  <c:v>5.172992E7</c:v>
                </c:pt>
                <c:pt idx="484">
                  <c:v>5.18368E7</c:v>
                </c:pt>
                <c:pt idx="485">
                  <c:v>5.194368E7</c:v>
                </c:pt>
                <c:pt idx="486">
                  <c:v>5.205056E7</c:v>
                </c:pt>
                <c:pt idx="487">
                  <c:v>5.215744E7</c:v>
                </c:pt>
                <c:pt idx="488">
                  <c:v>5.226432E7</c:v>
                </c:pt>
                <c:pt idx="489">
                  <c:v>5.23712E7</c:v>
                </c:pt>
                <c:pt idx="490">
                  <c:v>5.247808E7</c:v>
                </c:pt>
                <c:pt idx="491">
                  <c:v>5.258496E7</c:v>
                </c:pt>
                <c:pt idx="492">
                  <c:v>5.269184E7</c:v>
                </c:pt>
                <c:pt idx="493">
                  <c:v>5.279872E7</c:v>
                </c:pt>
                <c:pt idx="494">
                  <c:v>5.29056E7</c:v>
                </c:pt>
                <c:pt idx="495">
                  <c:v>5.301248E7</c:v>
                </c:pt>
                <c:pt idx="496">
                  <c:v>5.311936E7</c:v>
                </c:pt>
                <c:pt idx="497">
                  <c:v>5.322624E7</c:v>
                </c:pt>
                <c:pt idx="498">
                  <c:v>5.333312E7</c:v>
                </c:pt>
              </c:numCache>
            </c:numRef>
          </c:val>
          <c:smooth val="0"/>
        </c:ser>
        <c:dLbls>
          <c:showLegendKey val="0"/>
          <c:showVal val="0"/>
          <c:showCatName val="0"/>
          <c:showSerName val="0"/>
          <c:showPercent val="0"/>
          <c:showBubbleSize val="0"/>
        </c:dLbls>
        <c:marker val="1"/>
        <c:smooth val="0"/>
        <c:axId val="580881736"/>
        <c:axId val="544383576"/>
      </c:lineChart>
      <c:catAx>
        <c:axId val="580881736"/>
        <c:scaling>
          <c:orientation val="minMax"/>
        </c:scaling>
        <c:delete val="1"/>
        <c:axPos val="b"/>
        <c:title>
          <c:tx>
            <c:rich>
              <a:bodyPr/>
              <a:lstStyle/>
              <a:p>
                <a:pPr lvl="0">
                  <a:defRPr/>
                </a:pPr>
                <a:r>
                  <a:rPr lang="en-US"/>
                  <a:t>Count</a:t>
                </a:r>
              </a:p>
            </c:rich>
          </c:tx>
          <c:layout/>
          <c:overlay val="0"/>
        </c:title>
        <c:numFmt formatCode="General" sourceLinked="1"/>
        <c:majorTickMark val="cross"/>
        <c:minorTickMark val="cross"/>
        <c:tickLblPos val="nextTo"/>
        <c:crossAx val="544383576"/>
        <c:crosses val="autoZero"/>
        <c:auto val="1"/>
        <c:lblAlgn val="ctr"/>
        <c:lblOffset val="100"/>
        <c:noMultiLvlLbl val="1"/>
      </c:catAx>
      <c:valAx>
        <c:axId val="544383576"/>
        <c:scaling>
          <c:logBase val="10.0"/>
          <c:orientation val="minMax"/>
        </c:scaling>
        <c:delete val="0"/>
        <c:axPos val="l"/>
        <c:majorGridlines>
          <c:spPr>
            <a:ln>
              <a:solidFill>
                <a:srgbClr val="B7B7B7"/>
              </a:solidFill>
            </a:ln>
          </c:spPr>
        </c:majorGridlines>
        <c:title>
          <c:tx>
            <c:rich>
              <a:bodyPr/>
              <a:lstStyle/>
              <a:p>
                <a:pPr lvl="0">
                  <a:defRPr/>
                </a:pPr>
                <a:endParaRPr lang="en-US"/>
              </a:p>
            </c:rich>
          </c:tx>
          <c:layout/>
          <c:overlay val="0"/>
        </c:title>
        <c:numFmt formatCode="0" sourceLinked="1"/>
        <c:majorTickMark val="cross"/>
        <c:minorTickMark val="cross"/>
        <c:tickLblPos val="nextTo"/>
        <c:spPr>
          <a:ln w="47625">
            <a:noFill/>
          </a:ln>
        </c:spPr>
        <c:txPr>
          <a:bodyPr/>
          <a:lstStyle/>
          <a:p>
            <a:pPr lvl="0">
              <a:defRPr/>
            </a:pPr>
            <a:endParaRPr lang="en-US"/>
          </a:p>
        </c:txPr>
        <c:crossAx val="580881736"/>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Income vs. Cost with Prestiges</a:t>
            </a:r>
          </a:p>
        </c:rich>
      </c:tx>
      <c:layout/>
      <c:overlay val="0"/>
    </c:title>
    <c:autoTitleDeleted val="0"/>
    <c:plotArea>
      <c:layout/>
      <c:lineChart>
        <c:grouping val="standard"/>
        <c:varyColors val="1"/>
        <c:ser>
          <c:idx val="0"/>
          <c:order val="0"/>
          <c:tx>
            <c:strRef>
              <c:f>Calculations!$B$1</c:f>
              <c:strCache>
                <c:ptCount val="1"/>
                <c:pt idx="0">
                  <c:v>Cost</c:v>
                </c:pt>
              </c:strCache>
            </c:strRef>
          </c:tx>
          <c:spPr>
            <a:ln w="25400" cmpd="sng">
              <a:solidFill>
                <a:srgbClr val="3366CC"/>
              </a:solidFill>
            </a:ln>
          </c:spPr>
          <c:marker>
            <c:symbol val="none"/>
          </c:marker>
          <c:cat>
            <c:numRef>
              <c:f>Calculations!$A$2:$A$99</c:f>
              <c:numCache>
                <c:formatCode>General</c:formatCode>
                <c:ptCount val="98"/>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numCache>
            </c:numRef>
          </c:cat>
          <c:val>
            <c:numRef>
              <c:f>Calculations!$B$2:$B$99</c:f>
              <c:numCache>
                <c:formatCode>0</c:formatCode>
                <c:ptCount val="98"/>
                <c:pt idx="0">
                  <c:v>1.06</c:v>
                </c:pt>
                <c:pt idx="1">
                  <c:v>1.1236</c:v>
                </c:pt>
                <c:pt idx="2">
                  <c:v>1.191016</c:v>
                </c:pt>
                <c:pt idx="3">
                  <c:v>1.26247696</c:v>
                </c:pt>
                <c:pt idx="4">
                  <c:v>1.3382255776</c:v>
                </c:pt>
                <c:pt idx="5">
                  <c:v>1.418519112256001</c:v>
                </c:pt>
                <c:pt idx="6">
                  <c:v>1.503630258991361</c:v>
                </c:pt>
                <c:pt idx="7">
                  <c:v>1.593848074530842</c:v>
                </c:pt>
                <c:pt idx="8">
                  <c:v>1.689478959002693</c:v>
                </c:pt>
                <c:pt idx="9">
                  <c:v>1.790847696542854</c:v>
                </c:pt>
                <c:pt idx="10">
                  <c:v>1.898298558335426</c:v>
                </c:pt>
                <c:pt idx="11">
                  <c:v>2.012196471835552</c:v>
                </c:pt>
                <c:pt idx="12">
                  <c:v>2.132928260145685</c:v>
                </c:pt>
                <c:pt idx="13">
                  <c:v>2.260903955754426</c:v>
                </c:pt>
                <c:pt idx="14">
                  <c:v>2.396558193099692</c:v>
                </c:pt>
                <c:pt idx="15">
                  <c:v>2.540351684685673</c:v>
                </c:pt>
                <c:pt idx="16">
                  <c:v>2.692772785766814</c:v>
                </c:pt>
                <c:pt idx="17">
                  <c:v>2.854339152912823</c:v>
                </c:pt>
                <c:pt idx="18">
                  <c:v>3.025599502087592</c:v>
                </c:pt>
                <c:pt idx="19">
                  <c:v>3.207135472212848</c:v>
                </c:pt>
                <c:pt idx="20">
                  <c:v>3.399563600545619</c:v>
                </c:pt>
                <c:pt idx="21">
                  <c:v>3.603537416578356</c:v>
                </c:pt>
                <c:pt idx="22">
                  <c:v>3.819749661573059</c:v>
                </c:pt>
                <c:pt idx="23">
                  <c:v>4.048934641267442</c:v>
                </c:pt>
                <c:pt idx="24">
                  <c:v>4.291870719743488</c:v>
                </c:pt>
                <c:pt idx="25">
                  <c:v>4.549382962928098</c:v>
                </c:pt>
                <c:pt idx="26">
                  <c:v>4.822345940703784</c:v>
                </c:pt>
                <c:pt idx="27">
                  <c:v>5.111686697146012</c:v>
                </c:pt>
                <c:pt idx="28">
                  <c:v>5.418387898974773</c:v>
                </c:pt>
                <c:pt idx="29">
                  <c:v>5.74349117291326</c:v>
                </c:pt>
                <c:pt idx="30">
                  <c:v>6.088100643288056</c:v>
                </c:pt>
                <c:pt idx="31">
                  <c:v>6.453386681885338</c:v>
                </c:pt>
                <c:pt idx="32">
                  <c:v>6.840589882798459</c:v>
                </c:pt>
                <c:pt idx="33">
                  <c:v>7.251025275766367</c:v>
                </c:pt>
                <c:pt idx="34">
                  <c:v>7.68608679231235</c:v>
                </c:pt>
                <c:pt idx="35">
                  <c:v>8.147251999851091</c:v>
                </c:pt>
                <c:pt idx="36">
                  <c:v>8.636087119842157</c:v>
                </c:pt>
                <c:pt idx="37">
                  <c:v>9.154252347032688</c:v>
                </c:pt>
                <c:pt idx="38">
                  <c:v>9.703507487854651</c:v>
                </c:pt>
                <c:pt idx="39">
                  <c:v>10.28571793712593</c:v>
                </c:pt>
                <c:pt idx="40">
                  <c:v>10.90286101335348</c:v>
                </c:pt>
                <c:pt idx="41">
                  <c:v>11.55703267415469</c:v>
                </c:pt>
                <c:pt idx="42">
                  <c:v>12.25045463460398</c:v>
                </c:pt>
                <c:pt idx="43">
                  <c:v>12.98548191268022</c:v>
                </c:pt>
                <c:pt idx="44">
                  <c:v>13.76461082744103</c:v>
                </c:pt>
                <c:pt idx="45">
                  <c:v>14.5904874770875</c:v>
                </c:pt>
                <c:pt idx="46">
                  <c:v>15.46591672571275</c:v>
                </c:pt>
                <c:pt idx="47">
                  <c:v>16.3938717292555</c:v>
                </c:pt>
                <c:pt idx="48">
                  <c:v>17.37750403301084</c:v>
                </c:pt>
                <c:pt idx="49">
                  <c:v>18.42015427499149</c:v>
                </c:pt>
                <c:pt idx="50">
                  <c:v>19.52536353149098</c:v>
                </c:pt>
                <c:pt idx="51">
                  <c:v>20.69688534338044</c:v>
                </c:pt>
                <c:pt idx="52">
                  <c:v>21.93869846398327</c:v>
                </c:pt>
                <c:pt idx="53">
                  <c:v>23.25502037182227</c:v>
                </c:pt>
                <c:pt idx="54">
                  <c:v>24.65032159413161</c:v>
                </c:pt>
                <c:pt idx="55">
                  <c:v>26.1293408897795</c:v>
                </c:pt>
                <c:pt idx="56">
                  <c:v>27.69710134316627</c:v>
                </c:pt>
                <c:pt idx="57">
                  <c:v>29.35892742375625</c:v>
                </c:pt>
                <c:pt idx="58">
                  <c:v>31.12046306918163</c:v>
                </c:pt>
                <c:pt idx="59">
                  <c:v>32.98769085333252</c:v>
                </c:pt>
                <c:pt idx="60">
                  <c:v>34.96695230453248</c:v>
                </c:pt>
                <c:pt idx="61">
                  <c:v>37.06496944280443</c:v>
                </c:pt>
                <c:pt idx="62">
                  <c:v>39.28886760937271</c:v>
                </c:pt>
                <c:pt idx="63">
                  <c:v>41.64619966593506</c:v>
                </c:pt>
                <c:pt idx="64">
                  <c:v>44.14497164589116</c:v>
                </c:pt>
                <c:pt idx="65">
                  <c:v>46.79366994464463</c:v>
                </c:pt>
                <c:pt idx="66">
                  <c:v>49.60129014132332</c:v>
                </c:pt>
                <c:pt idx="67">
                  <c:v>52.57736754980272</c:v>
                </c:pt>
                <c:pt idx="68">
                  <c:v>55.73200960279089</c:v>
                </c:pt>
                <c:pt idx="69">
                  <c:v>59.07593017895834</c:v>
                </c:pt>
                <c:pt idx="70">
                  <c:v>62.62048598969586</c:v>
                </c:pt>
                <c:pt idx="71">
                  <c:v>66.3777151490776</c:v>
                </c:pt>
                <c:pt idx="72">
                  <c:v>70.36037805802225</c:v>
                </c:pt>
                <c:pt idx="73">
                  <c:v>74.58200074150359</c:v>
                </c:pt>
                <c:pt idx="74">
                  <c:v>79.05692078599382</c:v>
                </c:pt>
                <c:pt idx="75">
                  <c:v>83.80033603315346</c:v>
                </c:pt>
                <c:pt idx="76">
                  <c:v>88.82835619514267</c:v>
                </c:pt>
                <c:pt idx="77">
                  <c:v>94.15805756685123</c:v>
                </c:pt>
                <c:pt idx="78">
                  <c:v>99.80754102086233</c:v>
                </c:pt>
                <c:pt idx="79">
                  <c:v>105.795993482114</c:v>
                </c:pt>
                <c:pt idx="80">
                  <c:v>112.143753091041</c:v>
                </c:pt>
                <c:pt idx="81">
                  <c:v>118.8723782765034</c:v>
                </c:pt>
                <c:pt idx="82">
                  <c:v>126.0047209730936</c:v>
                </c:pt>
                <c:pt idx="83">
                  <c:v>133.5650042314792</c:v>
                </c:pt>
                <c:pt idx="84">
                  <c:v>141.578904485368</c:v>
                </c:pt>
                <c:pt idx="85">
                  <c:v>150.07363875449</c:v>
                </c:pt>
                <c:pt idx="86">
                  <c:v>159.0780570797595</c:v>
                </c:pt>
                <c:pt idx="87">
                  <c:v>168.622740504545</c:v>
                </c:pt>
                <c:pt idx="88">
                  <c:v>178.7401049348177</c:v>
                </c:pt>
                <c:pt idx="89">
                  <c:v>189.4645112309068</c:v>
                </c:pt>
                <c:pt idx="90">
                  <c:v>200.8323819047612</c:v>
                </c:pt>
                <c:pt idx="91">
                  <c:v>212.882324819047</c:v>
                </c:pt>
                <c:pt idx="92">
                  <c:v>225.6552643081897</c:v>
                </c:pt>
                <c:pt idx="93">
                  <c:v>239.1945801666811</c:v>
                </c:pt>
                <c:pt idx="94">
                  <c:v>253.5462549766821</c:v>
                </c:pt>
                <c:pt idx="95">
                  <c:v>268.759030275283</c:v>
                </c:pt>
                <c:pt idx="96">
                  <c:v>284.8845720917999</c:v>
                </c:pt>
                <c:pt idx="97">
                  <c:v>301.9776464173079</c:v>
                </c:pt>
              </c:numCache>
            </c:numRef>
          </c:val>
          <c:smooth val="0"/>
        </c:ser>
        <c:ser>
          <c:idx val="1"/>
          <c:order val="1"/>
          <c:tx>
            <c:strRef>
              <c:f>Calculations!$C$1</c:f>
              <c:strCache>
                <c:ptCount val="1"/>
                <c:pt idx="0">
                  <c:v>Income</c:v>
                </c:pt>
              </c:strCache>
            </c:strRef>
          </c:tx>
          <c:spPr>
            <a:ln w="25400" cmpd="sng">
              <a:solidFill>
                <a:srgbClr val="DC3912"/>
              </a:solidFill>
            </a:ln>
          </c:spPr>
          <c:marker>
            <c:symbol val="none"/>
          </c:marker>
          <c:cat>
            <c:numRef>
              <c:f>Calculations!$A$2:$A$99</c:f>
              <c:numCache>
                <c:formatCode>General</c:formatCode>
                <c:ptCount val="98"/>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numCache>
            </c:numRef>
          </c:cat>
          <c:val>
            <c:numRef>
              <c:f>Calculations!$C$2:$C$99</c:f>
              <c:numCache>
                <c:formatCode>0</c:formatCode>
                <c:ptCount val="98"/>
                <c:pt idx="0">
                  <c:v>1.67</c:v>
                </c:pt>
                <c:pt idx="1">
                  <c:v>3.34</c:v>
                </c:pt>
                <c:pt idx="2">
                  <c:v>5.01</c:v>
                </c:pt>
                <c:pt idx="3">
                  <c:v>6.68</c:v>
                </c:pt>
                <c:pt idx="4">
                  <c:v>8.35</c:v>
                </c:pt>
                <c:pt idx="5">
                  <c:v>10.02</c:v>
                </c:pt>
                <c:pt idx="6">
                  <c:v>11.69</c:v>
                </c:pt>
                <c:pt idx="7">
                  <c:v>13.36</c:v>
                </c:pt>
                <c:pt idx="8">
                  <c:v>15.03</c:v>
                </c:pt>
                <c:pt idx="9">
                  <c:v>16.7</c:v>
                </c:pt>
                <c:pt idx="10">
                  <c:v>18.37</c:v>
                </c:pt>
                <c:pt idx="11">
                  <c:v>20.04</c:v>
                </c:pt>
                <c:pt idx="12">
                  <c:v>21.71</c:v>
                </c:pt>
                <c:pt idx="13">
                  <c:v>23.38</c:v>
                </c:pt>
                <c:pt idx="14">
                  <c:v>25.05</c:v>
                </c:pt>
                <c:pt idx="15">
                  <c:v>26.72</c:v>
                </c:pt>
                <c:pt idx="16">
                  <c:v>28.39</c:v>
                </c:pt>
                <c:pt idx="17">
                  <c:v>30.06</c:v>
                </c:pt>
                <c:pt idx="18">
                  <c:v>31.73</c:v>
                </c:pt>
                <c:pt idx="19">
                  <c:v>33.4</c:v>
                </c:pt>
                <c:pt idx="20">
                  <c:v>35.07</c:v>
                </c:pt>
                <c:pt idx="21">
                  <c:v>36.74</c:v>
                </c:pt>
                <c:pt idx="22">
                  <c:v>38.41</c:v>
                </c:pt>
                <c:pt idx="23">
                  <c:v>40.08</c:v>
                </c:pt>
                <c:pt idx="24">
                  <c:v>83.5</c:v>
                </c:pt>
                <c:pt idx="25">
                  <c:v>86.84</c:v>
                </c:pt>
                <c:pt idx="26">
                  <c:v>90.17999999999999</c:v>
                </c:pt>
                <c:pt idx="27">
                  <c:v>93.52</c:v>
                </c:pt>
                <c:pt idx="28">
                  <c:v>96.86</c:v>
                </c:pt>
                <c:pt idx="29">
                  <c:v>100.2</c:v>
                </c:pt>
                <c:pt idx="30">
                  <c:v>103.54</c:v>
                </c:pt>
                <c:pt idx="31">
                  <c:v>106.88</c:v>
                </c:pt>
                <c:pt idx="32">
                  <c:v>110.22</c:v>
                </c:pt>
                <c:pt idx="33">
                  <c:v>113.56</c:v>
                </c:pt>
                <c:pt idx="34">
                  <c:v>116.9</c:v>
                </c:pt>
                <c:pt idx="35">
                  <c:v>120.24</c:v>
                </c:pt>
                <c:pt idx="36">
                  <c:v>123.58</c:v>
                </c:pt>
                <c:pt idx="37">
                  <c:v>126.92</c:v>
                </c:pt>
                <c:pt idx="38">
                  <c:v>130.26</c:v>
                </c:pt>
                <c:pt idx="39">
                  <c:v>133.6</c:v>
                </c:pt>
                <c:pt idx="40">
                  <c:v>136.94</c:v>
                </c:pt>
                <c:pt idx="41">
                  <c:v>140.28</c:v>
                </c:pt>
                <c:pt idx="42">
                  <c:v>143.62</c:v>
                </c:pt>
                <c:pt idx="43">
                  <c:v>146.96</c:v>
                </c:pt>
                <c:pt idx="44">
                  <c:v>150.3</c:v>
                </c:pt>
                <c:pt idx="45">
                  <c:v>153.64</c:v>
                </c:pt>
                <c:pt idx="46">
                  <c:v>156.98</c:v>
                </c:pt>
                <c:pt idx="47">
                  <c:v>160.32</c:v>
                </c:pt>
                <c:pt idx="48">
                  <c:v>163.66</c:v>
                </c:pt>
                <c:pt idx="49">
                  <c:v>334.0</c:v>
                </c:pt>
                <c:pt idx="50">
                  <c:v>340.68</c:v>
                </c:pt>
                <c:pt idx="51">
                  <c:v>347.36</c:v>
                </c:pt>
                <c:pt idx="52">
                  <c:v>354.04</c:v>
                </c:pt>
                <c:pt idx="53">
                  <c:v>360.72</c:v>
                </c:pt>
                <c:pt idx="54">
                  <c:v>367.4</c:v>
                </c:pt>
                <c:pt idx="55">
                  <c:v>374.08</c:v>
                </c:pt>
                <c:pt idx="56">
                  <c:v>380.76</c:v>
                </c:pt>
                <c:pt idx="57">
                  <c:v>387.44</c:v>
                </c:pt>
                <c:pt idx="58">
                  <c:v>394.12</c:v>
                </c:pt>
                <c:pt idx="59">
                  <c:v>400.8</c:v>
                </c:pt>
                <c:pt idx="60">
                  <c:v>407.48</c:v>
                </c:pt>
                <c:pt idx="61">
                  <c:v>414.16</c:v>
                </c:pt>
                <c:pt idx="62">
                  <c:v>420.84</c:v>
                </c:pt>
                <c:pt idx="63">
                  <c:v>427.52</c:v>
                </c:pt>
                <c:pt idx="64">
                  <c:v>434.2</c:v>
                </c:pt>
                <c:pt idx="65">
                  <c:v>440.88</c:v>
                </c:pt>
                <c:pt idx="66">
                  <c:v>447.56</c:v>
                </c:pt>
                <c:pt idx="67">
                  <c:v>454.24</c:v>
                </c:pt>
                <c:pt idx="68">
                  <c:v>460.92</c:v>
                </c:pt>
                <c:pt idx="69">
                  <c:v>467.6</c:v>
                </c:pt>
                <c:pt idx="70">
                  <c:v>474.28</c:v>
                </c:pt>
                <c:pt idx="71">
                  <c:v>480.96</c:v>
                </c:pt>
                <c:pt idx="72">
                  <c:v>487.64</c:v>
                </c:pt>
                <c:pt idx="73">
                  <c:v>494.32</c:v>
                </c:pt>
                <c:pt idx="74">
                  <c:v>501.0</c:v>
                </c:pt>
                <c:pt idx="75">
                  <c:v>507.6799999999999</c:v>
                </c:pt>
                <c:pt idx="76">
                  <c:v>514.36</c:v>
                </c:pt>
                <c:pt idx="77">
                  <c:v>521.04</c:v>
                </c:pt>
                <c:pt idx="78">
                  <c:v>527.72</c:v>
                </c:pt>
                <c:pt idx="79">
                  <c:v>534.4</c:v>
                </c:pt>
                <c:pt idx="80">
                  <c:v>541.08</c:v>
                </c:pt>
                <c:pt idx="81">
                  <c:v>547.76</c:v>
                </c:pt>
                <c:pt idx="82">
                  <c:v>554.4399999999999</c:v>
                </c:pt>
                <c:pt idx="83">
                  <c:v>561.12</c:v>
                </c:pt>
                <c:pt idx="84">
                  <c:v>567.8</c:v>
                </c:pt>
                <c:pt idx="85">
                  <c:v>574.48</c:v>
                </c:pt>
                <c:pt idx="86">
                  <c:v>581.16</c:v>
                </c:pt>
                <c:pt idx="87">
                  <c:v>587.8399999999999</c:v>
                </c:pt>
                <c:pt idx="88">
                  <c:v>594.52</c:v>
                </c:pt>
                <c:pt idx="89">
                  <c:v>601.2</c:v>
                </c:pt>
                <c:pt idx="90">
                  <c:v>607.88</c:v>
                </c:pt>
                <c:pt idx="91">
                  <c:v>614.5599999999999</c:v>
                </c:pt>
                <c:pt idx="92">
                  <c:v>621.24</c:v>
                </c:pt>
                <c:pt idx="93">
                  <c:v>627.92</c:v>
                </c:pt>
                <c:pt idx="94">
                  <c:v>634.6</c:v>
                </c:pt>
                <c:pt idx="95">
                  <c:v>641.28</c:v>
                </c:pt>
                <c:pt idx="96">
                  <c:v>647.9599999999999</c:v>
                </c:pt>
                <c:pt idx="97">
                  <c:v>654.64</c:v>
                </c:pt>
              </c:numCache>
            </c:numRef>
          </c:val>
          <c:smooth val="0"/>
        </c:ser>
        <c:ser>
          <c:idx val="2"/>
          <c:order val="2"/>
          <c:tx>
            <c:strRef>
              <c:f>Calculations!$F$1</c:f>
              <c:strCache>
                <c:ptCount val="1"/>
                <c:pt idx="0">
                  <c:v>Prestige 1</c:v>
                </c:pt>
              </c:strCache>
            </c:strRef>
          </c:tx>
          <c:spPr>
            <a:ln w="25400" cmpd="sng">
              <a:solidFill>
                <a:srgbClr val="FF9900"/>
              </a:solidFill>
            </a:ln>
          </c:spPr>
          <c:marker>
            <c:symbol val="none"/>
          </c:marker>
          <c:cat>
            <c:numRef>
              <c:f>Calculations!$A$2:$A$99</c:f>
              <c:numCache>
                <c:formatCode>General</c:formatCode>
                <c:ptCount val="98"/>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numCache>
            </c:numRef>
          </c:cat>
          <c:val>
            <c:numRef>
              <c:f>Calculations!$F$2:$F$226</c:f>
              <c:numCache>
                <c:formatCode>0</c:formatCode>
                <c:ptCount val="225"/>
                <c:pt idx="0">
                  <c:v>8.35</c:v>
                </c:pt>
                <c:pt idx="1">
                  <c:v>16.7</c:v>
                </c:pt>
                <c:pt idx="2">
                  <c:v>25.05</c:v>
                </c:pt>
                <c:pt idx="3">
                  <c:v>33.4</c:v>
                </c:pt>
                <c:pt idx="4">
                  <c:v>41.75</c:v>
                </c:pt>
                <c:pt idx="5">
                  <c:v>50.1</c:v>
                </c:pt>
                <c:pt idx="6">
                  <c:v>58.45</c:v>
                </c:pt>
                <c:pt idx="7">
                  <c:v>66.8</c:v>
                </c:pt>
                <c:pt idx="8">
                  <c:v>75.15</c:v>
                </c:pt>
                <c:pt idx="9">
                  <c:v>83.5</c:v>
                </c:pt>
                <c:pt idx="10">
                  <c:v>91.85</c:v>
                </c:pt>
                <c:pt idx="11">
                  <c:v>100.2</c:v>
                </c:pt>
                <c:pt idx="12">
                  <c:v>108.55</c:v>
                </c:pt>
                <c:pt idx="13">
                  <c:v>116.9</c:v>
                </c:pt>
                <c:pt idx="14">
                  <c:v>125.25</c:v>
                </c:pt>
                <c:pt idx="15">
                  <c:v>133.6</c:v>
                </c:pt>
                <c:pt idx="16">
                  <c:v>141.95</c:v>
                </c:pt>
                <c:pt idx="17">
                  <c:v>150.3</c:v>
                </c:pt>
                <c:pt idx="18">
                  <c:v>158.65</c:v>
                </c:pt>
                <c:pt idx="19">
                  <c:v>167.0</c:v>
                </c:pt>
                <c:pt idx="20">
                  <c:v>175.35</c:v>
                </c:pt>
                <c:pt idx="21">
                  <c:v>183.7</c:v>
                </c:pt>
                <c:pt idx="22">
                  <c:v>192.05</c:v>
                </c:pt>
                <c:pt idx="23">
                  <c:v>200.4</c:v>
                </c:pt>
                <c:pt idx="24">
                  <c:v>417.5</c:v>
                </c:pt>
                <c:pt idx="25">
                  <c:v>434.2</c:v>
                </c:pt>
                <c:pt idx="26">
                  <c:v>450.9</c:v>
                </c:pt>
                <c:pt idx="27">
                  <c:v>467.6</c:v>
                </c:pt>
                <c:pt idx="28">
                  <c:v>484.3</c:v>
                </c:pt>
                <c:pt idx="29">
                  <c:v>500.9999999999999</c:v>
                </c:pt>
                <c:pt idx="30">
                  <c:v>517.7</c:v>
                </c:pt>
                <c:pt idx="31">
                  <c:v>534.4</c:v>
                </c:pt>
                <c:pt idx="32">
                  <c:v>551.1</c:v>
                </c:pt>
                <c:pt idx="33">
                  <c:v>567.8</c:v>
                </c:pt>
                <c:pt idx="34">
                  <c:v>584.5</c:v>
                </c:pt>
                <c:pt idx="35">
                  <c:v>601.2</c:v>
                </c:pt>
                <c:pt idx="36">
                  <c:v>617.9</c:v>
                </c:pt>
                <c:pt idx="37">
                  <c:v>634.6</c:v>
                </c:pt>
                <c:pt idx="38">
                  <c:v>651.3</c:v>
                </c:pt>
                <c:pt idx="39">
                  <c:v>668.0</c:v>
                </c:pt>
                <c:pt idx="40">
                  <c:v>684.7</c:v>
                </c:pt>
                <c:pt idx="41">
                  <c:v>701.4</c:v>
                </c:pt>
                <c:pt idx="42">
                  <c:v>718.1</c:v>
                </c:pt>
                <c:pt idx="43">
                  <c:v>734.8</c:v>
                </c:pt>
                <c:pt idx="44">
                  <c:v>751.4999999999999</c:v>
                </c:pt>
                <c:pt idx="45">
                  <c:v>768.2</c:v>
                </c:pt>
                <c:pt idx="46">
                  <c:v>784.9</c:v>
                </c:pt>
                <c:pt idx="47">
                  <c:v>801.6</c:v>
                </c:pt>
                <c:pt idx="48">
                  <c:v>818.3</c:v>
                </c:pt>
                <c:pt idx="49">
                  <c:v>1670.0</c:v>
                </c:pt>
                <c:pt idx="50">
                  <c:v>1703.4</c:v>
                </c:pt>
                <c:pt idx="51">
                  <c:v>1736.8</c:v>
                </c:pt>
                <c:pt idx="52">
                  <c:v>1770.2</c:v>
                </c:pt>
                <c:pt idx="53">
                  <c:v>1803.6</c:v>
                </c:pt>
                <c:pt idx="54">
                  <c:v>1837.0</c:v>
                </c:pt>
                <c:pt idx="55">
                  <c:v>1870.4</c:v>
                </c:pt>
                <c:pt idx="56">
                  <c:v>1903.8</c:v>
                </c:pt>
                <c:pt idx="57">
                  <c:v>1937.2</c:v>
                </c:pt>
                <c:pt idx="58">
                  <c:v>1970.6</c:v>
                </c:pt>
                <c:pt idx="59">
                  <c:v>2004</c:v>
                </c:pt>
                <c:pt idx="60">
                  <c:v>2037.4</c:v>
                </c:pt>
                <c:pt idx="61">
                  <c:v>2070.8</c:v>
                </c:pt>
                <c:pt idx="62">
                  <c:v>2104.2</c:v>
                </c:pt>
                <c:pt idx="63">
                  <c:v>2137.6</c:v>
                </c:pt>
                <c:pt idx="64">
                  <c:v>2171.0</c:v>
                </c:pt>
                <c:pt idx="65">
                  <c:v>2204.4</c:v>
                </c:pt>
                <c:pt idx="66">
                  <c:v>2237.8</c:v>
                </c:pt>
                <c:pt idx="67">
                  <c:v>2271.2</c:v>
                </c:pt>
                <c:pt idx="68">
                  <c:v>2304.6</c:v>
                </c:pt>
                <c:pt idx="69">
                  <c:v>2338.0</c:v>
                </c:pt>
                <c:pt idx="70">
                  <c:v>2371.4</c:v>
                </c:pt>
                <c:pt idx="71">
                  <c:v>2404.8</c:v>
                </c:pt>
                <c:pt idx="72">
                  <c:v>2438.2</c:v>
                </c:pt>
                <c:pt idx="73">
                  <c:v>2471.6</c:v>
                </c:pt>
                <c:pt idx="74">
                  <c:v>2505.0</c:v>
                </c:pt>
                <c:pt idx="75">
                  <c:v>2538.4</c:v>
                </c:pt>
                <c:pt idx="76">
                  <c:v>2571.8</c:v>
                </c:pt>
                <c:pt idx="77">
                  <c:v>2605.2</c:v>
                </c:pt>
                <c:pt idx="78">
                  <c:v>2638.6</c:v>
                </c:pt>
                <c:pt idx="79">
                  <c:v>2672.0</c:v>
                </c:pt>
                <c:pt idx="80">
                  <c:v>2705.4</c:v>
                </c:pt>
                <c:pt idx="81">
                  <c:v>2738.8</c:v>
                </c:pt>
                <c:pt idx="82">
                  <c:v>2772.2</c:v>
                </c:pt>
                <c:pt idx="83">
                  <c:v>2805.6</c:v>
                </c:pt>
                <c:pt idx="84">
                  <c:v>2839.0</c:v>
                </c:pt>
                <c:pt idx="85">
                  <c:v>2872.4</c:v>
                </c:pt>
                <c:pt idx="86">
                  <c:v>2905.8</c:v>
                </c:pt>
                <c:pt idx="87">
                  <c:v>2939.2</c:v>
                </c:pt>
                <c:pt idx="88">
                  <c:v>2972.6</c:v>
                </c:pt>
                <c:pt idx="89">
                  <c:v>3006</c:v>
                </c:pt>
                <c:pt idx="90">
                  <c:v>3039.4</c:v>
                </c:pt>
                <c:pt idx="91">
                  <c:v>3072.8</c:v>
                </c:pt>
                <c:pt idx="92">
                  <c:v>3106.2</c:v>
                </c:pt>
                <c:pt idx="93">
                  <c:v>3139.6</c:v>
                </c:pt>
                <c:pt idx="94">
                  <c:v>3173.0</c:v>
                </c:pt>
                <c:pt idx="95">
                  <c:v>3206.4</c:v>
                </c:pt>
                <c:pt idx="96">
                  <c:v>3239.8</c:v>
                </c:pt>
                <c:pt idx="97">
                  <c:v>3273.2</c:v>
                </c:pt>
                <c:pt idx="98">
                  <c:v>3306.599999999999</c:v>
                </c:pt>
                <c:pt idx="99">
                  <c:v>6680.0</c:v>
                </c:pt>
                <c:pt idx="100">
                  <c:v>6746.8</c:v>
                </c:pt>
                <c:pt idx="101">
                  <c:v>6813.6</c:v>
                </c:pt>
                <c:pt idx="102">
                  <c:v>6880.4</c:v>
                </c:pt>
                <c:pt idx="103">
                  <c:v>6947.200000000001</c:v>
                </c:pt>
                <c:pt idx="104">
                  <c:v>7014.0</c:v>
                </c:pt>
                <c:pt idx="105">
                  <c:v>7080.8</c:v>
                </c:pt>
                <c:pt idx="106">
                  <c:v>7147.6</c:v>
                </c:pt>
                <c:pt idx="107">
                  <c:v>7214.4</c:v>
                </c:pt>
                <c:pt idx="108">
                  <c:v>7281.2</c:v>
                </c:pt>
                <c:pt idx="109">
                  <c:v>7348.0</c:v>
                </c:pt>
                <c:pt idx="110">
                  <c:v>7414.8</c:v>
                </c:pt>
                <c:pt idx="111">
                  <c:v>7481.6</c:v>
                </c:pt>
                <c:pt idx="112">
                  <c:v>7548.4</c:v>
                </c:pt>
                <c:pt idx="113">
                  <c:v>7615.2</c:v>
                </c:pt>
                <c:pt idx="114">
                  <c:v>7682</c:v>
                </c:pt>
                <c:pt idx="115">
                  <c:v>7748.8</c:v>
                </c:pt>
                <c:pt idx="116">
                  <c:v>7815.6</c:v>
                </c:pt>
                <c:pt idx="117">
                  <c:v>7882.4</c:v>
                </c:pt>
                <c:pt idx="118">
                  <c:v>7949.2</c:v>
                </c:pt>
                <c:pt idx="119">
                  <c:v>8016</c:v>
                </c:pt>
                <c:pt idx="120">
                  <c:v>8082.8</c:v>
                </c:pt>
                <c:pt idx="121">
                  <c:v>8149.6</c:v>
                </c:pt>
                <c:pt idx="122">
                  <c:v>8216.4</c:v>
                </c:pt>
                <c:pt idx="123">
                  <c:v>8283.199999999999</c:v>
                </c:pt>
                <c:pt idx="124">
                  <c:v>8350.0</c:v>
                </c:pt>
                <c:pt idx="125">
                  <c:v>8416.799999999999</c:v>
                </c:pt>
                <c:pt idx="126">
                  <c:v>8483.6</c:v>
                </c:pt>
                <c:pt idx="127">
                  <c:v>8550.4</c:v>
                </c:pt>
                <c:pt idx="128">
                  <c:v>8617.199999999999</c:v>
                </c:pt>
                <c:pt idx="129">
                  <c:v>8684.0</c:v>
                </c:pt>
                <c:pt idx="130">
                  <c:v>8750.799999999999</c:v>
                </c:pt>
                <c:pt idx="131">
                  <c:v>8817.6</c:v>
                </c:pt>
                <c:pt idx="132">
                  <c:v>8884.4</c:v>
                </c:pt>
                <c:pt idx="133">
                  <c:v>8951.2</c:v>
                </c:pt>
                <c:pt idx="134">
                  <c:v>9018.0</c:v>
                </c:pt>
                <c:pt idx="135">
                  <c:v>9084.799999999999</c:v>
                </c:pt>
                <c:pt idx="136">
                  <c:v>9151.6</c:v>
                </c:pt>
                <c:pt idx="137">
                  <c:v>9218.4</c:v>
                </c:pt>
                <c:pt idx="138">
                  <c:v>9285.2</c:v>
                </c:pt>
                <c:pt idx="139">
                  <c:v>9352.0</c:v>
                </c:pt>
                <c:pt idx="140">
                  <c:v>9418.799999999999</c:v>
                </c:pt>
                <c:pt idx="141">
                  <c:v>9485.599999999999</c:v>
                </c:pt>
                <c:pt idx="142">
                  <c:v>9552.4</c:v>
                </c:pt>
                <c:pt idx="143">
                  <c:v>9619.199999999999</c:v>
                </c:pt>
                <c:pt idx="144">
                  <c:v>9686.0</c:v>
                </c:pt>
                <c:pt idx="145">
                  <c:v>9752.799999999999</c:v>
                </c:pt>
                <c:pt idx="146">
                  <c:v>9819.599999999999</c:v>
                </c:pt>
                <c:pt idx="147">
                  <c:v>9886.4</c:v>
                </c:pt>
                <c:pt idx="148">
                  <c:v>9953.199999999999</c:v>
                </c:pt>
                <c:pt idx="149">
                  <c:v>10020.0</c:v>
                </c:pt>
                <c:pt idx="150">
                  <c:v>10086.8</c:v>
                </c:pt>
                <c:pt idx="151">
                  <c:v>10153.6</c:v>
                </c:pt>
                <c:pt idx="152">
                  <c:v>10220.4</c:v>
                </c:pt>
                <c:pt idx="153">
                  <c:v>10287.2</c:v>
                </c:pt>
                <c:pt idx="154">
                  <c:v>10354</c:v>
                </c:pt>
                <c:pt idx="155">
                  <c:v>10420.8</c:v>
                </c:pt>
                <c:pt idx="156">
                  <c:v>10487.6</c:v>
                </c:pt>
                <c:pt idx="157">
                  <c:v>10554.4</c:v>
                </c:pt>
                <c:pt idx="158">
                  <c:v>10621.2</c:v>
                </c:pt>
                <c:pt idx="159">
                  <c:v>10688.0</c:v>
                </c:pt>
                <c:pt idx="160">
                  <c:v>10754.8</c:v>
                </c:pt>
                <c:pt idx="161">
                  <c:v>10821.6</c:v>
                </c:pt>
                <c:pt idx="162">
                  <c:v>10888.4</c:v>
                </c:pt>
                <c:pt idx="163">
                  <c:v>10955.2</c:v>
                </c:pt>
                <c:pt idx="164">
                  <c:v>11022.0</c:v>
                </c:pt>
                <c:pt idx="165">
                  <c:v>11088.8</c:v>
                </c:pt>
                <c:pt idx="166">
                  <c:v>11155.6</c:v>
                </c:pt>
                <c:pt idx="167">
                  <c:v>11222.4</c:v>
                </c:pt>
                <c:pt idx="168">
                  <c:v>11289.2</c:v>
                </c:pt>
                <c:pt idx="169">
                  <c:v>11356.0</c:v>
                </c:pt>
                <c:pt idx="170">
                  <c:v>11422.8</c:v>
                </c:pt>
                <c:pt idx="171">
                  <c:v>11489.6</c:v>
                </c:pt>
                <c:pt idx="172">
                  <c:v>11556.4</c:v>
                </c:pt>
                <c:pt idx="173">
                  <c:v>11623.2</c:v>
                </c:pt>
                <c:pt idx="174">
                  <c:v>11690.0</c:v>
                </c:pt>
                <c:pt idx="175">
                  <c:v>11756.8</c:v>
                </c:pt>
                <c:pt idx="176">
                  <c:v>11823.6</c:v>
                </c:pt>
                <c:pt idx="177">
                  <c:v>11890.4</c:v>
                </c:pt>
                <c:pt idx="178">
                  <c:v>11957.2</c:v>
                </c:pt>
                <c:pt idx="179">
                  <c:v>12024</c:v>
                </c:pt>
                <c:pt idx="180">
                  <c:v>12090.8</c:v>
                </c:pt>
                <c:pt idx="181">
                  <c:v>12157.6</c:v>
                </c:pt>
                <c:pt idx="182">
                  <c:v>12224.4</c:v>
                </c:pt>
                <c:pt idx="183">
                  <c:v>12291.2</c:v>
                </c:pt>
                <c:pt idx="184">
                  <c:v>12358.0</c:v>
                </c:pt>
                <c:pt idx="185">
                  <c:v>12424.8</c:v>
                </c:pt>
                <c:pt idx="186">
                  <c:v>12491.6</c:v>
                </c:pt>
                <c:pt idx="187">
                  <c:v>12558.4</c:v>
                </c:pt>
                <c:pt idx="188">
                  <c:v>12625.2</c:v>
                </c:pt>
                <c:pt idx="189">
                  <c:v>12692.0</c:v>
                </c:pt>
                <c:pt idx="190">
                  <c:v>12758.8</c:v>
                </c:pt>
                <c:pt idx="191">
                  <c:v>12825.6</c:v>
                </c:pt>
                <c:pt idx="192">
                  <c:v>12892.4</c:v>
                </c:pt>
                <c:pt idx="193">
                  <c:v>12959.2</c:v>
                </c:pt>
                <c:pt idx="194">
                  <c:v>13026.0</c:v>
                </c:pt>
                <c:pt idx="195">
                  <c:v>13092.8</c:v>
                </c:pt>
                <c:pt idx="196">
                  <c:v>13159.6</c:v>
                </c:pt>
                <c:pt idx="197">
                  <c:v>13226.4</c:v>
                </c:pt>
                <c:pt idx="198">
                  <c:v>13293.2</c:v>
                </c:pt>
                <c:pt idx="199">
                  <c:v>26720.0</c:v>
                </c:pt>
                <c:pt idx="200">
                  <c:v>26853.6</c:v>
                </c:pt>
                <c:pt idx="201">
                  <c:v>26987.2</c:v>
                </c:pt>
                <c:pt idx="202">
                  <c:v>27120.8</c:v>
                </c:pt>
                <c:pt idx="203">
                  <c:v>27254.4</c:v>
                </c:pt>
                <c:pt idx="204">
                  <c:v>27388</c:v>
                </c:pt>
                <c:pt idx="205">
                  <c:v>27521.6</c:v>
                </c:pt>
                <c:pt idx="206">
                  <c:v>27655.2</c:v>
                </c:pt>
                <c:pt idx="207">
                  <c:v>27788.8</c:v>
                </c:pt>
                <c:pt idx="208">
                  <c:v>27922.4</c:v>
                </c:pt>
                <c:pt idx="209">
                  <c:v>28056.0</c:v>
                </c:pt>
                <c:pt idx="210">
                  <c:v>28189.6</c:v>
                </c:pt>
                <c:pt idx="211">
                  <c:v>28323.2</c:v>
                </c:pt>
                <c:pt idx="212">
                  <c:v>28456.8</c:v>
                </c:pt>
                <c:pt idx="213">
                  <c:v>28590.4</c:v>
                </c:pt>
                <c:pt idx="214">
                  <c:v>28724.0</c:v>
                </c:pt>
                <c:pt idx="215">
                  <c:v>28857.6</c:v>
                </c:pt>
                <c:pt idx="216">
                  <c:v>28991.2</c:v>
                </c:pt>
                <c:pt idx="217">
                  <c:v>29124.8</c:v>
                </c:pt>
                <c:pt idx="218">
                  <c:v>29258.4</c:v>
                </c:pt>
                <c:pt idx="219">
                  <c:v>29392.0</c:v>
                </c:pt>
                <c:pt idx="220">
                  <c:v>29525.6</c:v>
                </c:pt>
                <c:pt idx="221">
                  <c:v>29659.2</c:v>
                </c:pt>
                <c:pt idx="222">
                  <c:v>29792.8</c:v>
                </c:pt>
                <c:pt idx="223">
                  <c:v>29926.4</c:v>
                </c:pt>
                <c:pt idx="224">
                  <c:v>30060.0</c:v>
                </c:pt>
              </c:numCache>
            </c:numRef>
          </c:val>
          <c:smooth val="0"/>
        </c:ser>
        <c:ser>
          <c:idx val="3"/>
          <c:order val="3"/>
          <c:tx>
            <c:strRef>
              <c:f>Calculations!$G$1</c:f>
              <c:strCache>
                <c:ptCount val="1"/>
                <c:pt idx="0">
                  <c:v>Prestige 2</c:v>
                </c:pt>
              </c:strCache>
            </c:strRef>
          </c:tx>
          <c:spPr>
            <a:ln w="25400" cmpd="sng">
              <a:solidFill>
                <a:srgbClr val="109618"/>
              </a:solidFill>
            </a:ln>
          </c:spPr>
          <c:marker>
            <c:symbol val="none"/>
          </c:marker>
          <c:cat>
            <c:numRef>
              <c:f>Calculations!$A$2:$A$99</c:f>
              <c:numCache>
                <c:formatCode>General</c:formatCode>
                <c:ptCount val="98"/>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numCache>
            </c:numRef>
          </c:cat>
          <c:val>
            <c:numRef>
              <c:f>Calculations!$G$2:$G$226</c:f>
              <c:numCache>
                <c:formatCode>0</c:formatCode>
                <c:ptCount val="225"/>
                <c:pt idx="0">
                  <c:v>125.25</c:v>
                </c:pt>
                <c:pt idx="1">
                  <c:v>250.5</c:v>
                </c:pt>
                <c:pt idx="2">
                  <c:v>375.75</c:v>
                </c:pt>
                <c:pt idx="3">
                  <c:v>501.0</c:v>
                </c:pt>
                <c:pt idx="4">
                  <c:v>626.25</c:v>
                </c:pt>
                <c:pt idx="5">
                  <c:v>751.5</c:v>
                </c:pt>
                <c:pt idx="6">
                  <c:v>876.75</c:v>
                </c:pt>
                <c:pt idx="7">
                  <c:v>1002.0</c:v>
                </c:pt>
                <c:pt idx="8">
                  <c:v>1127.25</c:v>
                </c:pt>
                <c:pt idx="9">
                  <c:v>1252.5</c:v>
                </c:pt>
                <c:pt idx="10">
                  <c:v>1377.75</c:v>
                </c:pt>
                <c:pt idx="11">
                  <c:v>1503.0</c:v>
                </c:pt>
                <c:pt idx="12">
                  <c:v>1628.25</c:v>
                </c:pt>
                <c:pt idx="13">
                  <c:v>1753.5</c:v>
                </c:pt>
                <c:pt idx="14">
                  <c:v>1878.75</c:v>
                </c:pt>
                <c:pt idx="15">
                  <c:v>2004.0</c:v>
                </c:pt>
                <c:pt idx="16">
                  <c:v>2129.25</c:v>
                </c:pt>
                <c:pt idx="17">
                  <c:v>2254.5</c:v>
                </c:pt>
                <c:pt idx="18">
                  <c:v>2379.75</c:v>
                </c:pt>
                <c:pt idx="19">
                  <c:v>2505.0</c:v>
                </c:pt>
                <c:pt idx="20">
                  <c:v>2630.25</c:v>
                </c:pt>
                <c:pt idx="21">
                  <c:v>2755.5</c:v>
                </c:pt>
                <c:pt idx="22">
                  <c:v>2880.75</c:v>
                </c:pt>
                <c:pt idx="23">
                  <c:v>3006.0</c:v>
                </c:pt>
                <c:pt idx="24">
                  <c:v>6262.5</c:v>
                </c:pt>
                <c:pt idx="25">
                  <c:v>6513.0</c:v>
                </c:pt>
                <c:pt idx="26">
                  <c:v>6763.5</c:v>
                </c:pt>
                <c:pt idx="27">
                  <c:v>7014.0</c:v>
                </c:pt>
                <c:pt idx="28">
                  <c:v>7264.5</c:v>
                </c:pt>
                <c:pt idx="29">
                  <c:v>7515</c:v>
                </c:pt>
                <c:pt idx="30">
                  <c:v>7765.5</c:v>
                </c:pt>
                <c:pt idx="31">
                  <c:v>8016.0</c:v>
                </c:pt>
                <c:pt idx="32">
                  <c:v>8266.5</c:v>
                </c:pt>
                <c:pt idx="33">
                  <c:v>8517.0</c:v>
                </c:pt>
                <c:pt idx="34">
                  <c:v>8767.5</c:v>
                </c:pt>
                <c:pt idx="35">
                  <c:v>9018.0</c:v>
                </c:pt>
                <c:pt idx="36">
                  <c:v>9268.5</c:v>
                </c:pt>
                <c:pt idx="37">
                  <c:v>9518.999999999998</c:v>
                </c:pt>
                <c:pt idx="38">
                  <c:v>9769.5</c:v>
                </c:pt>
                <c:pt idx="39">
                  <c:v>10020.0</c:v>
                </c:pt>
                <c:pt idx="40">
                  <c:v>10270.5</c:v>
                </c:pt>
                <c:pt idx="41">
                  <c:v>10521.0</c:v>
                </c:pt>
                <c:pt idx="42">
                  <c:v>10771.5</c:v>
                </c:pt>
                <c:pt idx="43">
                  <c:v>11022</c:v>
                </c:pt>
                <c:pt idx="44">
                  <c:v>11272.5</c:v>
                </c:pt>
                <c:pt idx="45">
                  <c:v>11523</c:v>
                </c:pt>
                <c:pt idx="46">
                  <c:v>11773.5</c:v>
                </c:pt>
                <c:pt idx="47">
                  <c:v>12024.0</c:v>
                </c:pt>
                <c:pt idx="48">
                  <c:v>12274.5</c:v>
                </c:pt>
                <c:pt idx="49">
                  <c:v>25050.0</c:v>
                </c:pt>
                <c:pt idx="50">
                  <c:v>25551.0</c:v>
                </c:pt>
                <c:pt idx="51">
                  <c:v>26052.0</c:v>
                </c:pt>
                <c:pt idx="52">
                  <c:v>26553</c:v>
                </c:pt>
                <c:pt idx="53">
                  <c:v>27054</c:v>
                </c:pt>
                <c:pt idx="54">
                  <c:v>27555.0</c:v>
                </c:pt>
                <c:pt idx="55">
                  <c:v>28056.0</c:v>
                </c:pt>
                <c:pt idx="56">
                  <c:v>28557.0</c:v>
                </c:pt>
                <c:pt idx="57">
                  <c:v>29058.0</c:v>
                </c:pt>
                <c:pt idx="58">
                  <c:v>29559.0</c:v>
                </c:pt>
                <c:pt idx="59">
                  <c:v>3006</c:v>
                </c:pt>
                <c:pt idx="60">
                  <c:v>30561</c:v>
                </c:pt>
                <c:pt idx="61">
                  <c:v>31062</c:v>
                </c:pt>
                <c:pt idx="62">
                  <c:v>31563</c:v>
                </c:pt>
                <c:pt idx="63">
                  <c:v>32064.0</c:v>
                </c:pt>
                <c:pt idx="64">
                  <c:v>32565.0</c:v>
                </c:pt>
                <c:pt idx="65">
                  <c:v>33066.0</c:v>
                </c:pt>
                <c:pt idx="66">
                  <c:v>33567.0</c:v>
                </c:pt>
                <c:pt idx="67">
                  <c:v>34068.0</c:v>
                </c:pt>
                <c:pt idx="68">
                  <c:v>34569.0</c:v>
                </c:pt>
                <c:pt idx="69">
                  <c:v>35070.0</c:v>
                </c:pt>
                <c:pt idx="70">
                  <c:v>35571.0</c:v>
                </c:pt>
                <c:pt idx="71">
                  <c:v>36072.0</c:v>
                </c:pt>
                <c:pt idx="72">
                  <c:v>36573.0</c:v>
                </c:pt>
                <c:pt idx="73">
                  <c:v>37074.0</c:v>
                </c:pt>
                <c:pt idx="74">
                  <c:v>37575.0</c:v>
                </c:pt>
                <c:pt idx="75">
                  <c:v>38076</c:v>
                </c:pt>
                <c:pt idx="76">
                  <c:v>38577.0</c:v>
                </c:pt>
                <c:pt idx="77">
                  <c:v>39078.0</c:v>
                </c:pt>
                <c:pt idx="78">
                  <c:v>39579.0</c:v>
                </c:pt>
                <c:pt idx="79">
                  <c:v>40080.0</c:v>
                </c:pt>
                <c:pt idx="80">
                  <c:v>40581</c:v>
                </c:pt>
                <c:pt idx="81">
                  <c:v>41082.0</c:v>
                </c:pt>
                <c:pt idx="82">
                  <c:v>41583</c:v>
                </c:pt>
                <c:pt idx="83">
                  <c:v>42084.0</c:v>
                </c:pt>
                <c:pt idx="84">
                  <c:v>42585.0</c:v>
                </c:pt>
                <c:pt idx="85">
                  <c:v>43086.0</c:v>
                </c:pt>
                <c:pt idx="86">
                  <c:v>43587.0</c:v>
                </c:pt>
                <c:pt idx="87">
                  <c:v>44088</c:v>
                </c:pt>
                <c:pt idx="88">
                  <c:v>44589.0</c:v>
                </c:pt>
                <c:pt idx="89">
                  <c:v>4509</c:v>
                </c:pt>
                <c:pt idx="90">
                  <c:v>45591.0</c:v>
                </c:pt>
                <c:pt idx="91">
                  <c:v>46092</c:v>
                </c:pt>
                <c:pt idx="92">
                  <c:v>46593.0</c:v>
                </c:pt>
                <c:pt idx="93">
                  <c:v>47094.0</c:v>
                </c:pt>
                <c:pt idx="94">
                  <c:v>47595.0</c:v>
                </c:pt>
                <c:pt idx="95">
                  <c:v>48096.0</c:v>
                </c:pt>
                <c:pt idx="96">
                  <c:v>48597</c:v>
                </c:pt>
                <c:pt idx="97">
                  <c:v>49098.0</c:v>
                </c:pt>
                <c:pt idx="98">
                  <c:v>49599</c:v>
                </c:pt>
                <c:pt idx="99">
                  <c:v>100200.0</c:v>
                </c:pt>
                <c:pt idx="100">
                  <c:v>101202</c:v>
                </c:pt>
                <c:pt idx="101">
                  <c:v>102204.0</c:v>
                </c:pt>
                <c:pt idx="102">
                  <c:v>103206.0</c:v>
                </c:pt>
                <c:pt idx="103">
                  <c:v>104208.0</c:v>
                </c:pt>
                <c:pt idx="104">
                  <c:v>105210.0</c:v>
                </c:pt>
                <c:pt idx="105">
                  <c:v>106212</c:v>
                </c:pt>
                <c:pt idx="106">
                  <c:v>107214.0</c:v>
                </c:pt>
                <c:pt idx="107">
                  <c:v>108216</c:v>
                </c:pt>
                <c:pt idx="108">
                  <c:v>109218.0</c:v>
                </c:pt>
                <c:pt idx="109">
                  <c:v>110220.0</c:v>
                </c:pt>
                <c:pt idx="110">
                  <c:v>111222.0</c:v>
                </c:pt>
                <c:pt idx="111">
                  <c:v>112224.0</c:v>
                </c:pt>
                <c:pt idx="112">
                  <c:v>113226</c:v>
                </c:pt>
                <c:pt idx="113">
                  <c:v>114228.0</c:v>
                </c:pt>
                <c:pt idx="114">
                  <c:v>11523</c:v>
                </c:pt>
                <c:pt idx="115">
                  <c:v>116232.0</c:v>
                </c:pt>
                <c:pt idx="116">
                  <c:v>117234</c:v>
                </c:pt>
                <c:pt idx="117">
                  <c:v>118236.0</c:v>
                </c:pt>
                <c:pt idx="118">
                  <c:v>119238.0</c:v>
                </c:pt>
                <c:pt idx="119">
                  <c:v>12024</c:v>
                </c:pt>
                <c:pt idx="120">
                  <c:v>121242.0</c:v>
                </c:pt>
                <c:pt idx="121">
                  <c:v>122244</c:v>
                </c:pt>
                <c:pt idx="122">
                  <c:v>123246.0</c:v>
                </c:pt>
                <c:pt idx="123">
                  <c:v>124248</c:v>
                </c:pt>
                <c:pt idx="124">
                  <c:v>125250.0</c:v>
                </c:pt>
                <c:pt idx="125">
                  <c:v>126252</c:v>
                </c:pt>
                <c:pt idx="126">
                  <c:v>127254.0</c:v>
                </c:pt>
                <c:pt idx="127">
                  <c:v>128256.0</c:v>
                </c:pt>
                <c:pt idx="128">
                  <c:v>129258</c:v>
                </c:pt>
                <c:pt idx="129">
                  <c:v>130260.0</c:v>
                </c:pt>
                <c:pt idx="130">
                  <c:v>131262.0</c:v>
                </c:pt>
                <c:pt idx="131">
                  <c:v>132264.0</c:v>
                </c:pt>
                <c:pt idx="132">
                  <c:v>133266.0</c:v>
                </c:pt>
                <c:pt idx="133">
                  <c:v>134268.0</c:v>
                </c:pt>
                <c:pt idx="134">
                  <c:v>135270.0</c:v>
                </c:pt>
                <c:pt idx="135">
                  <c:v>136272.0</c:v>
                </c:pt>
                <c:pt idx="136">
                  <c:v>137274.0</c:v>
                </c:pt>
                <c:pt idx="137">
                  <c:v>138276.0</c:v>
                </c:pt>
                <c:pt idx="138">
                  <c:v>139278.0</c:v>
                </c:pt>
                <c:pt idx="139">
                  <c:v>140280.0</c:v>
                </c:pt>
                <c:pt idx="140">
                  <c:v>141282.0</c:v>
                </c:pt>
                <c:pt idx="141">
                  <c:v>142284.0</c:v>
                </c:pt>
                <c:pt idx="142">
                  <c:v>143286.0</c:v>
                </c:pt>
                <c:pt idx="143">
                  <c:v>144288.0</c:v>
                </c:pt>
                <c:pt idx="144">
                  <c:v>145290.0</c:v>
                </c:pt>
                <c:pt idx="145">
                  <c:v>146292.0</c:v>
                </c:pt>
                <c:pt idx="146">
                  <c:v>147294.0</c:v>
                </c:pt>
                <c:pt idx="147">
                  <c:v>148296.0</c:v>
                </c:pt>
                <c:pt idx="148">
                  <c:v>149298.0</c:v>
                </c:pt>
                <c:pt idx="149">
                  <c:v>150300.0</c:v>
                </c:pt>
                <c:pt idx="150">
                  <c:v>151302.0</c:v>
                </c:pt>
                <c:pt idx="151">
                  <c:v>152304</c:v>
                </c:pt>
                <c:pt idx="152">
                  <c:v>153306.0</c:v>
                </c:pt>
                <c:pt idx="153">
                  <c:v>154308.0</c:v>
                </c:pt>
                <c:pt idx="154">
                  <c:v>15531</c:v>
                </c:pt>
                <c:pt idx="155">
                  <c:v>156312.0</c:v>
                </c:pt>
                <c:pt idx="156">
                  <c:v>157314.0</c:v>
                </c:pt>
                <c:pt idx="157">
                  <c:v>158316.0</c:v>
                </c:pt>
                <c:pt idx="158">
                  <c:v>159318</c:v>
                </c:pt>
                <c:pt idx="159">
                  <c:v>160320.0</c:v>
                </c:pt>
                <c:pt idx="160">
                  <c:v>161322.0</c:v>
                </c:pt>
                <c:pt idx="161">
                  <c:v>162324</c:v>
                </c:pt>
                <c:pt idx="162">
                  <c:v>163326.0</c:v>
                </c:pt>
                <c:pt idx="163">
                  <c:v>164328.0</c:v>
                </c:pt>
                <c:pt idx="164">
                  <c:v>165330.0</c:v>
                </c:pt>
                <c:pt idx="165">
                  <c:v>166332</c:v>
                </c:pt>
                <c:pt idx="166">
                  <c:v>167334.0</c:v>
                </c:pt>
                <c:pt idx="167">
                  <c:v>168336.0</c:v>
                </c:pt>
                <c:pt idx="168">
                  <c:v>169338</c:v>
                </c:pt>
                <c:pt idx="169">
                  <c:v>170340.0</c:v>
                </c:pt>
                <c:pt idx="170">
                  <c:v>171342.0</c:v>
                </c:pt>
                <c:pt idx="171">
                  <c:v>172344.0</c:v>
                </c:pt>
                <c:pt idx="172">
                  <c:v>173346</c:v>
                </c:pt>
                <c:pt idx="173">
                  <c:v>174348.0</c:v>
                </c:pt>
                <c:pt idx="174">
                  <c:v>175350.0</c:v>
                </c:pt>
                <c:pt idx="175">
                  <c:v>176352</c:v>
                </c:pt>
                <c:pt idx="176">
                  <c:v>177354</c:v>
                </c:pt>
                <c:pt idx="177">
                  <c:v>178356.0</c:v>
                </c:pt>
                <c:pt idx="178">
                  <c:v>179358.0</c:v>
                </c:pt>
                <c:pt idx="179">
                  <c:v>18036</c:v>
                </c:pt>
                <c:pt idx="180">
                  <c:v>181362.0</c:v>
                </c:pt>
                <c:pt idx="181">
                  <c:v>182364.0</c:v>
                </c:pt>
                <c:pt idx="182">
                  <c:v>183366.0</c:v>
                </c:pt>
                <c:pt idx="183">
                  <c:v>184368</c:v>
                </c:pt>
                <c:pt idx="184">
                  <c:v>185370.0</c:v>
                </c:pt>
                <c:pt idx="185">
                  <c:v>186372.0</c:v>
                </c:pt>
                <c:pt idx="186">
                  <c:v>187374</c:v>
                </c:pt>
                <c:pt idx="187">
                  <c:v>188376.0</c:v>
                </c:pt>
                <c:pt idx="188">
                  <c:v>189378.0</c:v>
                </c:pt>
                <c:pt idx="189">
                  <c:v>190380.0</c:v>
                </c:pt>
                <c:pt idx="190">
                  <c:v>191382</c:v>
                </c:pt>
                <c:pt idx="191">
                  <c:v>192384.0</c:v>
                </c:pt>
                <c:pt idx="192">
                  <c:v>193386.0</c:v>
                </c:pt>
                <c:pt idx="193">
                  <c:v>194388</c:v>
                </c:pt>
                <c:pt idx="194">
                  <c:v>195390.0</c:v>
                </c:pt>
                <c:pt idx="195">
                  <c:v>196392.0</c:v>
                </c:pt>
                <c:pt idx="196">
                  <c:v>197394.0</c:v>
                </c:pt>
                <c:pt idx="197">
                  <c:v>198396</c:v>
                </c:pt>
                <c:pt idx="198">
                  <c:v>199398.0</c:v>
                </c:pt>
                <c:pt idx="199">
                  <c:v>400800.0</c:v>
                </c:pt>
                <c:pt idx="200">
                  <c:v>402804</c:v>
                </c:pt>
                <c:pt idx="201">
                  <c:v>404808</c:v>
                </c:pt>
                <c:pt idx="202">
                  <c:v>406812.0</c:v>
                </c:pt>
                <c:pt idx="203">
                  <c:v>408816.0</c:v>
                </c:pt>
                <c:pt idx="204">
                  <c:v>41082</c:v>
                </c:pt>
                <c:pt idx="205">
                  <c:v>412824.0</c:v>
                </c:pt>
                <c:pt idx="206">
                  <c:v>414828.0</c:v>
                </c:pt>
                <c:pt idx="207">
                  <c:v>416832.0</c:v>
                </c:pt>
                <c:pt idx="208">
                  <c:v>418836</c:v>
                </c:pt>
                <c:pt idx="209">
                  <c:v>420840.0</c:v>
                </c:pt>
                <c:pt idx="210">
                  <c:v>422844.0</c:v>
                </c:pt>
                <c:pt idx="211">
                  <c:v>424848</c:v>
                </c:pt>
                <c:pt idx="212">
                  <c:v>426852.0</c:v>
                </c:pt>
                <c:pt idx="213">
                  <c:v>428856.0</c:v>
                </c:pt>
                <c:pt idx="214">
                  <c:v>430860.0</c:v>
                </c:pt>
                <c:pt idx="215">
                  <c:v>432864</c:v>
                </c:pt>
                <c:pt idx="216">
                  <c:v>434868.0</c:v>
                </c:pt>
                <c:pt idx="217">
                  <c:v>436872.0</c:v>
                </c:pt>
                <c:pt idx="218">
                  <c:v>438876</c:v>
                </c:pt>
                <c:pt idx="219">
                  <c:v>440880.0</c:v>
                </c:pt>
                <c:pt idx="220">
                  <c:v>442884.0</c:v>
                </c:pt>
                <c:pt idx="221">
                  <c:v>444888.0</c:v>
                </c:pt>
                <c:pt idx="222">
                  <c:v>446892</c:v>
                </c:pt>
                <c:pt idx="223">
                  <c:v>448896.0</c:v>
                </c:pt>
                <c:pt idx="224">
                  <c:v>450900.0</c:v>
                </c:pt>
              </c:numCache>
            </c:numRef>
          </c:val>
          <c:smooth val="0"/>
        </c:ser>
        <c:ser>
          <c:idx val="4"/>
          <c:order val="4"/>
          <c:tx>
            <c:strRef>
              <c:f>Calculations!$H$1</c:f>
              <c:strCache>
                <c:ptCount val="1"/>
                <c:pt idx="0">
                  <c:v>Prestige 3</c:v>
                </c:pt>
              </c:strCache>
            </c:strRef>
          </c:tx>
          <c:spPr>
            <a:ln w="25400" cmpd="sng">
              <a:solidFill>
                <a:srgbClr val="990099"/>
              </a:solidFill>
            </a:ln>
          </c:spPr>
          <c:marker>
            <c:symbol val="none"/>
          </c:marker>
          <c:cat>
            <c:numRef>
              <c:f>Calculations!$A$2:$A$99</c:f>
              <c:numCache>
                <c:formatCode>General</c:formatCode>
                <c:ptCount val="98"/>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numCache>
            </c:numRef>
          </c:cat>
          <c:val>
            <c:numRef>
              <c:f>Calculations!$H$2:$H$99</c:f>
              <c:numCache>
                <c:formatCode>0</c:formatCode>
                <c:ptCount val="98"/>
                <c:pt idx="0">
                  <c:v>1670.0</c:v>
                </c:pt>
                <c:pt idx="1">
                  <c:v>3340.0</c:v>
                </c:pt>
                <c:pt idx="2">
                  <c:v>5010.0</c:v>
                </c:pt>
                <c:pt idx="3">
                  <c:v>6680.0</c:v>
                </c:pt>
                <c:pt idx="4">
                  <c:v>8350.0</c:v>
                </c:pt>
                <c:pt idx="5">
                  <c:v>10020.0</c:v>
                </c:pt>
                <c:pt idx="6">
                  <c:v>11690.0</c:v>
                </c:pt>
                <c:pt idx="7">
                  <c:v>13360.0</c:v>
                </c:pt>
                <c:pt idx="8">
                  <c:v>15030.0</c:v>
                </c:pt>
                <c:pt idx="9">
                  <c:v>16700.0</c:v>
                </c:pt>
                <c:pt idx="10">
                  <c:v>1837</c:v>
                </c:pt>
                <c:pt idx="11">
                  <c:v>20040.0</c:v>
                </c:pt>
                <c:pt idx="12">
                  <c:v>21710.0</c:v>
                </c:pt>
                <c:pt idx="13">
                  <c:v>23380.0</c:v>
                </c:pt>
                <c:pt idx="14">
                  <c:v>2505</c:v>
                </c:pt>
                <c:pt idx="15">
                  <c:v>26720.0</c:v>
                </c:pt>
                <c:pt idx="16">
                  <c:v>28390.0</c:v>
                </c:pt>
                <c:pt idx="17">
                  <c:v>30060.0</c:v>
                </c:pt>
                <c:pt idx="18">
                  <c:v>3173</c:v>
                </c:pt>
                <c:pt idx="19">
                  <c:v>33400.0</c:v>
                </c:pt>
                <c:pt idx="20">
                  <c:v>35070.0</c:v>
                </c:pt>
                <c:pt idx="21">
                  <c:v>3674</c:v>
                </c:pt>
                <c:pt idx="22">
                  <c:v>38410.0</c:v>
                </c:pt>
                <c:pt idx="23">
                  <c:v>40080.0</c:v>
                </c:pt>
                <c:pt idx="24">
                  <c:v>83500.0</c:v>
                </c:pt>
                <c:pt idx="25">
                  <c:v>86840.0</c:v>
                </c:pt>
                <c:pt idx="26">
                  <c:v>90179.99999999999</c:v>
                </c:pt>
                <c:pt idx="27">
                  <c:v>93520.0</c:v>
                </c:pt>
                <c:pt idx="28">
                  <c:v>96860.0</c:v>
                </c:pt>
                <c:pt idx="29">
                  <c:v>1002</c:v>
                </c:pt>
                <c:pt idx="30">
                  <c:v>10354</c:v>
                </c:pt>
                <c:pt idx="31">
                  <c:v>106880.0</c:v>
                </c:pt>
                <c:pt idx="32">
                  <c:v>110220.0</c:v>
                </c:pt>
                <c:pt idx="33">
                  <c:v>113560.0</c:v>
                </c:pt>
                <c:pt idx="34">
                  <c:v>1169</c:v>
                </c:pt>
                <c:pt idx="35">
                  <c:v>120240.0</c:v>
                </c:pt>
                <c:pt idx="36">
                  <c:v>123580.0</c:v>
                </c:pt>
                <c:pt idx="37">
                  <c:v>12692</c:v>
                </c:pt>
                <c:pt idx="38">
                  <c:v>13026</c:v>
                </c:pt>
                <c:pt idx="39">
                  <c:v>133600.0</c:v>
                </c:pt>
                <c:pt idx="40">
                  <c:v>136940.0</c:v>
                </c:pt>
                <c:pt idx="41">
                  <c:v>140280.0</c:v>
                </c:pt>
                <c:pt idx="42">
                  <c:v>143620.0</c:v>
                </c:pt>
                <c:pt idx="43">
                  <c:v>14696</c:v>
                </c:pt>
                <c:pt idx="44">
                  <c:v>1503</c:v>
                </c:pt>
                <c:pt idx="45">
                  <c:v>153640.0</c:v>
                </c:pt>
                <c:pt idx="46">
                  <c:v>156980.0</c:v>
                </c:pt>
                <c:pt idx="47">
                  <c:v>160320.0</c:v>
                </c:pt>
                <c:pt idx="48">
                  <c:v>163660.0</c:v>
                </c:pt>
                <c:pt idx="49">
                  <c:v>334000.0</c:v>
                </c:pt>
                <c:pt idx="50">
                  <c:v>340680.0</c:v>
                </c:pt>
                <c:pt idx="51">
                  <c:v>347360.0</c:v>
                </c:pt>
                <c:pt idx="52">
                  <c:v>35404</c:v>
                </c:pt>
                <c:pt idx="53">
                  <c:v>36072</c:v>
                </c:pt>
                <c:pt idx="54">
                  <c:v>367400.0</c:v>
                </c:pt>
                <c:pt idx="55">
                  <c:v>374080.0</c:v>
                </c:pt>
                <c:pt idx="56">
                  <c:v>380760.0</c:v>
                </c:pt>
                <c:pt idx="57">
                  <c:v>387440.0</c:v>
                </c:pt>
                <c:pt idx="58">
                  <c:v>394120.0</c:v>
                </c:pt>
                <c:pt idx="59">
                  <c:v>4008</c:v>
                </c:pt>
                <c:pt idx="60">
                  <c:v>40748</c:v>
                </c:pt>
                <c:pt idx="61">
                  <c:v>41416</c:v>
                </c:pt>
                <c:pt idx="62">
                  <c:v>420840.0</c:v>
                </c:pt>
                <c:pt idx="63">
                  <c:v>427520.0</c:v>
                </c:pt>
                <c:pt idx="64">
                  <c:v>434200.0</c:v>
                </c:pt>
                <c:pt idx="65">
                  <c:v>440880.0</c:v>
                </c:pt>
                <c:pt idx="66">
                  <c:v>447560.0</c:v>
                </c:pt>
                <c:pt idx="67">
                  <c:v>454240.0</c:v>
                </c:pt>
                <c:pt idx="68">
                  <c:v>46092</c:v>
                </c:pt>
                <c:pt idx="69">
                  <c:v>4676</c:v>
                </c:pt>
                <c:pt idx="70">
                  <c:v>474280.0</c:v>
                </c:pt>
                <c:pt idx="71">
                  <c:v>480960.0</c:v>
                </c:pt>
                <c:pt idx="72">
                  <c:v>487640.0</c:v>
                </c:pt>
                <c:pt idx="73">
                  <c:v>494320.0</c:v>
                </c:pt>
                <c:pt idx="74">
                  <c:v>501000.0</c:v>
                </c:pt>
                <c:pt idx="75">
                  <c:v>50768</c:v>
                </c:pt>
                <c:pt idx="76">
                  <c:v>514360.0</c:v>
                </c:pt>
                <c:pt idx="77">
                  <c:v>52104</c:v>
                </c:pt>
                <c:pt idx="78">
                  <c:v>527720.0</c:v>
                </c:pt>
                <c:pt idx="79">
                  <c:v>534400.0</c:v>
                </c:pt>
                <c:pt idx="80">
                  <c:v>541079.9999999999</c:v>
                </c:pt>
                <c:pt idx="81">
                  <c:v>547760.0</c:v>
                </c:pt>
                <c:pt idx="82">
                  <c:v>554439.9999999999</c:v>
                </c:pt>
                <c:pt idx="83">
                  <c:v>561120.0</c:v>
                </c:pt>
                <c:pt idx="84">
                  <c:v>567800.0</c:v>
                </c:pt>
                <c:pt idx="85">
                  <c:v>574480.0</c:v>
                </c:pt>
                <c:pt idx="86">
                  <c:v>581160.0</c:v>
                </c:pt>
                <c:pt idx="87">
                  <c:v>587839.9999999999</c:v>
                </c:pt>
                <c:pt idx="88">
                  <c:v>594520.0</c:v>
                </c:pt>
                <c:pt idx="89">
                  <c:v>601199.9999999999</c:v>
                </c:pt>
                <c:pt idx="90">
                  <c:v>607880.0</c:v>
                </c:pt>
                <c:pt idx="91">
                  <c:v>614560.0</c:v>
                </c:pt>
                <c:pt idx="92">
                  <c:v>621240.0</c:v>
                </c:pt>
                <c:pt idx="93">
                  <c:v>627920.0</c:v>
                </c:pt>
                <c:pt idx="94">
                  <c:v>634600.0</c:v>
                </c:pt>
                <c:pt idx="95">
                  <c:v>641280.0</c:v>
                </c:pt>
                <c:pt idx="96">
                  <c:v>647959.9999999999</c:v>
                </c:pt>
                <c:pt idx="97">
                  <c:v>654640.0</c:v>
                </c:pt>
              </c:numCache>
            </c:numRef>
          </c:val>
          <c:smooth val="0"/>
        </c:ser>
        <c:dLbls>
          <c:showLegendKey val="0"/>
          <c:showVal val="0"/>
          <c:showCatName val="0"/>
          <c:showSerName val="0"/>
          <c:showPercent val="0"/>
          <c:showBubbleSize val="0"/>
        </c:dLbls>
        <c:marker val="1"/>
        <c:smooth val="0"/>
        <c:axId val="544440904"/>
        <c:axId val="387749800"/>
      </c:lineChart>
      <c:catAx>
        <c:axId val="544440904"/>
        <c:scaling>
          <c:orientation val="minMax"/>
        </c:scaling>
        <c:delete val="1"/>
        <c:axPos val="b"/>
        <c:title>
          <c:tx>
            <c:rich>
              <a:bodyPr/>
              <a:lstStyle/>
              <a:p>
                <a:pPr lvl="0">
                  <a:defRPr/>
                </a:pPr>
                <a:r>
                  <a:rPr lang="en-US"/>
                  <a:t>Count</a:t>
                </a:r>
              </a:p>
            </c:rich>
          </c:tx>
          <c:layout/>
          <c:overlay val="0"/>
        </c:title>
        <c:numFmt formatCode="General" sourceLinked="1"/>
        <c:majorTickMark val="cross"/>
        <c:minorTickMark val="cross"/>
        <c:tickLblPos val="nextTo"/>
        <c:crossAx val="387749800"/>
        <c:crosses val="autoZero"/>
        <c:auto val="1"/>
        <c:lblAlgn val="ctr"/>
        <c:lblOffset val="100"/>
        <c:noMultiLvlLbl val="1"/>
      </c:catAx>
      <c:valAx>
        <c:axId val="387749800"/>
        <c:scaling>
          <c:orientation val="minMax"/>
        </c:scaling>
        <c:delete val="0"/>
        <c:axPos val="l"/>
        <c:majorGridlines>
          <c:spPr>
            <a:ln>
              <a:solidFill>
                <a:srgbClr val="B7B7B7"/>
              </a:solidFill>
            </a:ln>
          </c:spPr>
        </c:majorGridlines>
        <c:title>
          <c:tx>
            <c:rich>
              <a:bodyPr/>
              <a:lstStyle/>
              <a:p>
                <a:pPr lvl="0">
                  <a:defRPr/>
                </a:pPr>
                <a:endParaRPr lang="en-US"/>
              </a:p>
            </c:rich>
          </c:tx>
          <c:layout/>
          <c:overlay val="0"/>
        </c:title>
        <c:numFmt formatCode="0" sourceLinked="1"/>
        <c:majorTickMark val="cross"/>
        <c:minorTickMark val="cross"/>
        <c:tickLblPos val="nextTo"/>
        <c:spPr>
          <a:ln w="47625">
            <a:noFill/>
          </a:ln>
        </c:spPr>
        <c:txPr>
          <a:bodyPr/>
          <a:lstStyle/>
          <a:p>
            <a:pPr lvl="0">
              <a:defRPr/>
            </a:pPr>
            <a:endParaRPr lang="en-US"/>
          </a:p>
        </c:txPr>
        <c:crossAx val="544440904"/>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4" Type="http://schemas.openxmlformats.org/officeDocument/2006/relationships/chart" Target="../charts/chart4.xml"/><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942975</xdr:colOff>
      <xdr:row>2</xdr:row>
      <xdr:rowOff>0</xdr:rowOff>
    </xdr:from>
    <xdr:to>
      <xdr:col>8</xdr:col>
      <xdr:colOff>885825</xdr:colOff>
      <xdr:row>19</xdr:row>
      <xdr:rowOff>133350</xdr:rowOff>
    </xdr:to>
    <xdr:graphicFrame macro="">
      <xdr:nvGraphicFramePr>
        <xdr:cNvPr id="2"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200025</xdr:colOff>
      <xdr:row>1</xdr:row>
      <xdr:rowOff>190500</xdr:rowOff>
    </xdr:from>
    <xdr:to>
      <xdr:col>15</xdr:col>
      <xdr:colOff>142875</xdr:colOff>
      <xdr:row>19</xdr:row>
      <xdr:rowOff>123825</xdr:rowOff>
    </xdr:to>
    <xdr:graphicFrame macro="">
      <xdr:nvGraphicFramePr>
        <xdr:cNvPr id="3"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9</xdr:col>
      <xdr:colOff>180974</xdr:colOff>
      <xdr:row>20</xdr:row>
      <xdr:rowOff>180975</xdr:rowOff>
    </xdr:from>
    <xdr:to>
      <xdr:col>15</xdr:col>
      <xdr:colOff>139699</xdr:colOff>
      <xdr:row>39</xdr:row>
      <xdr:rowOff>63500</xdr:rowOff>
    </xdr:to>
    <xdr:graphicFrame macro="">
      <xdr:nvGraphicFramePr>
        <xdr:cNvPr id="4" name="Chart 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2</xdr:col>
      <xdr:colOff>974725</xdr:colOff>
      <xdr:row>20</xdr:row>
      <xdr:rowOff>171450</xdr:rowOff>
    </xdr:from>
    <xdr:to>
      <xdr:col>8</xdr:col>
      <xdr:colOff>876300</xdr:colOff>
      <xdr:row>39</xdr:row>
      <xdr:rowOff>38100</xdr:rowOff>
    </xdr:to>
    <xdr:graphicFrame macro="">
      <xdr:nvGraphicFramePr>
        <xdr:cNvPr id="5" name="Chart 4"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0</xdr:colOff>
      <xdr:row>0</xdr:row>
      <xdr:rowOff>0</xdr:rowOff>
    </xdr:from>
    <xdr:to>
      <xdr:col>11</xdr:col>
      <xdr:colOff>469900</xdr:colOff>
      <xdr:row>66</xdr:row>
      <xdr:rowOff>127000</xdr:rowOff>
    </xdr:to>
    <xdr:sp macro="" textlink="">
      <xdr:nvSpPr>
        <xdr:cNvPr id="1029" name="Rectangle 5" hidden="1"/>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3"/>
  <sheetViews>
    <sheetView tabSelected="1" workbookViewId="0">
      <selection activeCell="C28" sqref="C28"/>
    </sheetView>
  </sheetViews>
  <sheetFormatPr baseColWidth="10" defaultColWidth="14.5" defaultRowHeight="15.75" customHeight="1" x14ac:dyDescent="0"/>
  <cols>
    <col min="1" max="1" width="16.5" customWidth="1"/>
    <col min="2" max="2" width="13.5" customWidth="1"/>
  </cols>
  <sheetData>
    <row r="1" spans="1:9" ht="50" customHeight="1">
      <c r="A1" s="9" t="s">
        <v>8</v>
      </c>
      <c r="B1" s="10"/>
      <c r="C1" s="10"/>
      <c r="D1" s="10"/>
      <c r="E1" s="10"/>
      <c r="F1" s="10"/>
      <c r="G1" s="10"/>
      <c r="H1" s="10"/>
      <c r="I1" s="10"/>
    </row>
    <row r="2" spans="1:9" ht="15.75" customHeight="1">
      <c r="E2" s="3"/>
    </row>
    <row r="3" spans="1:9" ht="15.75" customHeight="1">
      <c r="A3" s="11" t="s">
        <v>9</v>
      </c>
    </row>
    <row r="4" spans="1:9" ht="15.75" customHeight="1">
      <c r="A4" s="4" t="s">
        <v>10</v>
      </c>
      <c r="B4" s="5">
        <v>1.67</v>
      </c>
    </row>
    <row r="5" spans="1:9" ht="15.75" customHeight="1">
      <c r="A5" s="4" t="s">
        <v>11</v>
      </c>
      <c r="B5" s="5">
        <v>1</v>
      </c>
    </row>
    <row r="6" spans="1:9" ht="15.75" customHeight="1">
      <c r="A6" s="4" t="s">
        <v>12</v>
      </c>
      <c r="B6" s="5">
        <v>1.06</v>
      </c>
    </row>
    <row r="8" spans="1:9" ht="15.75" customHeight="1">
      <c r="A8" s="6" t="s">
        <v>13</v>
      </c>
      <c r="B8" s="7"/>
    </row>
    <row r="9" spans="1:9" ht="15.75" customHeight="1">
      <c r="A9" s="8" t="s">
        <v>0</v>
      </c>
      <c r="B9" s="8" t="s">
        <v>14</v>
      </c>
    </row>
    <row r="10" spans="1:9" ht="15.75" customHeight="1">
      <c r="A10" s="5">
        <v>25</v>
      </c>
      <c r="B10" s="5">
        <v>2</v>
      </c>
    </row>
    <row r="11" spans="1:9" ht="15.75" customHeight="1">
      <c r="A11" s="5">
        <v>50</v>
      </c>
      <c r="B11" s="5">
        <v>2</v>
      </c>
    </row>
    <row r="12" spans="1:9" ht="15.75" customHeight="1">
      <c r="A12" s="5">
        <v>100</v>
      </c>
      <c r="B12" s="5">
        <v>2</v>
      </c>
    </row>
    <row r="13" spans="1:9" ht="15.75" customHeight="1">
      <c r="A13" s="5">
        <v>200</v>
      </c>
      <c r="B13" s="5">
        <v>2</v>
      </c>
    </row>
    <row r="14" spans="1:9" ht="15.75" customHeight="1">
      <c r="A14" s="5">
        <v>300</v>
      </c>
      <c r="B14" s="5">
        <v>2</v>
      </c>
    </row>
    <row r="15" spans="1:9" ht="15.75" customHeight="1">
      <c r="A15" s="5">
        <v>400</v>
      </c>
      <c r="B15" s="5">
        <v>2</v>
      </c>
    </row>
    <row r="16" spans="1:9" ht="15.75" customHeight="1">
      <c r="A16" s="5">
        <v>500</v>
      </c>
      <c r="B16" s="5">
        <v>2</v>
      </c>
    </row>
    <row r="17" spans="1:2" ht="15.75" customHeight="1">
      <c r="A17" s="5">
        <v>600</v>
      </c>
      <c r="B17" s="5">
        <v>2</v>
      </c>
    </row>
    <row r="18" spans="1:2" ht="15.75" customHeight="1">
      <c r="A18" s="5">
        <v>1000</v>
      </c>
      <c r="B18" s="5">
        <v>2</v>
      </c>
    </row>
    <row r="20" spans="1:2" ht="15.75" customHeight="1">
      <c r="A20" s="6" t="s">
        <v>15</v>
      </c>
      <c r="B20" s="8" t="s">
        <v>16</v>
      </c>
    </row>
    <row r="21" spans="1:2" ht="15.75" customHeight="1">
      <c r="A21" s="3">
        <v>1</v>
      </c>
      <c r="B21" s="5">
        <v>5</v>
      </c>
    </row>
    <row r="22" spans="1:2" ht="15.75" customHeight="1">
      <c r="A22" s="3">
        <v>2</v>
      </c>
      <c r="B22" s="5">
        <v>75</v>
      </c>
    </row>
    <row r="23" spans="1:2" ht="15.75" customHeight="1">
      <c r="A23" s="3">
        <v>3</v>
      </c>
      <c r="B23" s="5">
        <v>1000</v>
      </c>
    </row>
  </sheetData>
  <mergeCells count="1">
    <mergeCell ref="A1:I1"/>
  </mergeCells>
  <pageMargins left="0.75" right="0.75" top="1" bottom="1" header="0.5" footer="0.5"/>
  <pageSetup orientation="portrait" horizontalDpi="4294967292" verticalDpi="4294967292"/>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49"/>
  <sheetViews>
    <sheetView workbookViewId="0">
      <pane ySplit="1" topLeftCell="A2" activePane="bottomLeft" state="frozen"/>
      <selection pane="bottomLeft" activeCell="F24" sqref="F24"/>
    </sheetView>
  </sheetViews>
  <sheetFormatPr baseColWidth="10" defaultColWidth="14.5" defaultRowHeight="15.75" customHeight="1" x14ac:dyDescent="0"/>
  <cols>
    <col min="2" max="8" width="14.5" style="14"/>
  </cols>
  <sheetData>
    <row r="1" spans="1:23" ht="15.75" customHeight="1">
      <c r="A1" s="1" t="s">
        <v>0</v>
      </c>
      <c r="B1" s="12" t="s">
        <v>1</v>
      </c>
      <c r="C1" s="12" t="s">
        <v>2</v>
      </c>
      <c r="D1" s="12" t="s">
        <v>3</v>
      </c>
      <c r="E1" s="12" t="s">
        <v>4</v>
      </c>
      <c r="F1" s="12" t="s">
        <v>5</v>
      </c>
      <c r="G1" s="12" t="s">
        <v>6</v>
      </c>
      <c r="H1" s="12" t="s">
        <v>7</v>
      </c>
      <c r="I1" s="2"/>
      <c r="J1" s="2"/>
      <c r="K1" s="2"/>
      <c r="L1" s="2"/>
      <c r="M1" s="2"/>
      <c r="N1" s="2"/>
      <c r="O1" s="2"/>
      <c r="P1" s="2"/>
      <c r="Q1" s="2"/>
      <c r="R1" s="2"/>
      <c r="S1" s="2"/>
      <c r="T1" s="2"/>
      <c r="U1" s="2"/>
      <c r="V1" s="2"/>
      <c r="W1" s="2"/>
    </row>
    <row r="2" spans="1:23" ht="15.75" customHeight="1">
      <c r="A2" s="3">
        <v>1</v>
      </c>
      <c r="B2" s="13">
        <f>'Exponential Item Growth'!$B$5*'Exponential Item Growth'!$B$6^A2</f>
        <v>1.06</v>
      </c>
      <c r="C2" s="14">
        <f t="shared" ref="C2:C751" si="0">E2*D2</f>
        <v>1.67</v>
      </c>
      <c r="D2" s="15">
        <f>A2*'Exponential Item Growth'!$B$4</f>
        <v>1.67</v>
      </c>
      <c r="E2" s="15">
        <v>1</v>
      </c>
      <c r="F2" s="14">
        <f>C2*'Exponential Item Growth'!$B$21</f>
        <v>8.35</v>
      </c>
      <c r="G2" s="14">
        <f>'Exponential Item Growth'!$B$22*C2</f>
        <v>125.25</v>
      </c>
      <c r="H2" s="14">
        <f>'Exponential Item Growth'!$B$23*C2</f>
        <v>1670</v>
      </c>
    </row>
    <row r="3" spans="1:23" ht="15.75" customHeight="1">
      <c r="A3" s="3">
        <v>2</v>
      </c>
      <c r="B3" s="13">
        <f>'Exponential Item Growth'!$B$5*'Exponential Item Growth'!$B$6^A3</f>
        <v>1.1236000000000002</v>
      </c>
      <c r="C3" s="14">
        <f t="shared" si="0"/>
        <v>3.34</v>
      </c>
      <c r="D3" s="15">
        <f>A3*'Exponential Item Growth'!$B$4</f>
        <v>3.34</v>
      </c>
      <c r="E3" s="14">
        <f>IF(ISNA(VLOOKUP(A3,'Exponential Item Growth'!$A$10:$B$18,2,FALSE)),E2, E2*VLOOKUP(A3,'Exponential Item Growth'!$A$10:$B$18,2,FALSE))</f>
        <v>1</v>
      </c>
      <c r="F3" s="14">
        <f>C3*'Exponential Item Growth'!$B$21</f>
        <v>16.7</v>
      </c>
      <c r="G3" s="14">
        <f>'Exponential Item Growth'!$B$22*C3</f>
        <v>250.5</v>
      </c>
      <c r="H3" s="14">
        <f>'Exponential Item Growth'!$B$23*C3</f>
        <v>3340</v>
      </c>
    </row>
    <row r="4" spans="1:23" ht="15.75" customHeight="1">
      <c r="A4" s="3">
        <v>3</v>
      </c>
      <c r="B4" s="13">
        <f>'Exponential Item Growth'!$B$5*'Exponential Item Growth'!$B$6^A4</f>
        <v>1.1910160000000003</v>
      </c>
      <c r="C4" s="14">
        <f t="shared" si="0"/>
        <v>5.01</v>
      </c>
      <c r="D4" s="15">
        <f>A4*'Exponential Item Growth'!$B$4</f>
        <v>5.01</v>
      </c>
      <c r="E4" s="14">
        <f>IF(ISNA(VLOOKUP(A4,'Exponential Item Growth'!$A$10:$B$18,2,FALSE)),E3, E3*VLOOKUP(A4,'Exponential Item Growth'!$A$10:$B$18,2,FALSE))</f>
        <v>1</v>
      </c>
      <c r="F4" s="14">
        <f>C4*'Exponential Item Growth'!$B$21</f>
        <v>25.049999999999997</v>
      </c>
      <c r="G4" s="14">
        <f>'Exponential Item Growth'!$B$22*C4</f>
        <v>375.75</v>
      </c>
      <c r="H4" s="14">
        <f>'Exponential Item Growth'!$B$23*C4</f>
        <v>5010</v>
      </c>
    </row>
    <row r="5" spans="1:23" ht="15.75" customHeight="1">
      <c r="A5" s="3">
        <v>4</v>
      </c>
      <c r="B5" s="13">
        <f>'Exponential Item Growth'!$B$5*'Exponential Item Growth'!$B$6^A5</f>
        <v>1.2624769600000003</v>
      </c>
      <c r="C5" s="14">
        <f t="shared" si="0"/>
        <v>6.68</v>
      </c>
      <c r="D5" s="15">
        <f>A5*'Exponential Item Growth'!$B$4</f>
        <v>6.68</v>
      </c>
      <c r="E5" s="14">
        <f>IF(ISNA(VLOOKUP(A5,'Exponential Item Growth'!$A$10:$B$18,2,FALSE)),E4, E4*VLOOKUP(A5,'Exponential Item Growth'!$A$10:$B$18,2,FALSE))</f>
        <v>1</v>
      </c>
      <c r="F5" s="14">
        <f>C5*'Exponential Item Growth'!$B$21</f>
        <v>33.4</v>
      </c>
      <c r="G5" s="14">
        <f>'Exponential Item Growth'!$B$22*C5</f>
        <v>501</v>
      </c>
      <c r="H5" s="14">
        <f>'Exponential Item Growth'!$B$23*C5</f>
        <v>6680</v>
      </c>
    </row>
    <row r="6" spans="1:23" ht="15.75" customHeight="1">
      <c r="A6" s="3">
        <v>5</v>
      </c>
      <c r="B6" s="13">
        <f>'Exponential Item Growth'!$B$5*'Exponential Item Growth'!$B$6^A6</f>
        <v>1.3382255776000005</v>
      </c>
      <c r="C6" s="14">
        <f t="shared" si="0"/>
        <v>8.35</v>
      </c>
      <c r="D6" s="15">
        <f>A6*'Exponential Item Growth'!$B$4</f>
        <v>8.35</v>
      </c>
      <c r="E6" s="14">
        <f>IF(ISNA(VLOOKUP(A6,'Exponential Item Growth'!$A$10:$B$18,2,FALSE)),E5, E5*VLOOKUP(A6,'Exponential Item Growth'!$A$10:$B$18,2,FALSE))</f>
        <v>1</v>
      </c>
      <c r="F6" s="14">
        <f>C6*'Exponential Item Growth'!$B$21</f>
        <v>41.75</v>
      </c>
      <c r="G6" s="14">
        <f>'Exponential Item Growth'!$B$22*C6</f>
        <v>626.25</v>
      </c>
      <c r="H6" s="14">
        <f>'Exponential Item Growth'!$B$23*C6</f>
        <v>8350</v>
      </c>
    </row>
    <row r="7" spans="1:23" ht="15.75" customHeight="1">
      <c r="A7" s="3">
        <v>6</v>
      </c>
      <c r="B7" s="13">
        <f>'Exponential Item Growth'!$B$5*'Exponential Item Growth'!$B$6^A7</f>
        <v>1.4185191122560006</v>
      </c>
      <c r="C7" s="14">
        <f t="shared" si="0"/>
        <v>10.02</v>
      </c>
      <c r="D7" s="15">
        <f>A7*'Exponential Item Growth'!$B$4</f>
        <v>10.02</v>
      </c>
      <c r="E7" s="14">
        <f>IF(ISNA(VLOOKUP(A7,'Exponential Item Growth'!$A$10:$B$18,2,FALSE)),E6, E6*VLOOKUP(A7,'Exponential Item Growth'!$A$10:$B$18,2,FALSE))</f>
        <v>1</v>
      </c>
      <c r="F7" s="14">
        <f>C7*'Exponential Item Growth'!$B$21</f>
        <v>50.099999999999994</v>
      </c>
      <c r="G7" s="14">
        <f>'Exponential Item Growth'!$B$22*C7</f>
        <v>751.5</v>
      </c>
      <c r="H7" s="14">
        <f>'Exponential Item Growth'!$B$23*C7</f>
        <v>10020</v>
      </c>
    </row>
    <row r="8" spans="1:23" ht="15.75" customHeight="1">
      <c r="A8" s="3">
        <v>7</v>
      </c>
      <c r="B8" s="13">
        <f>'Exponential Item Growth'!$B$5*'Exponential Item Growth'!$B$6^A8</f>
        <v>1.5036302589913608</v>
      </c>
      <c r="C8" s="14">
        <f t="shared" si="0"/>
        <v>11.69</v>
      </c>
      <c r="D8" s="15">
        <f>A8*'Exponential Item Growth'!$B$4</f>
        <v>11.69</v>
      </c>
      <c r="E8" s="14">
        <f>IF(ISNA(VLOOKUP(A8,'Exponential Item Growth'!$A$10:$B$18,2,FALSE)),E7, E7*VLOOKUP(A8,'Exponential Item Growth'!$A$10:$B$18,2,FALSE))</f>
        <v>1</v>
      </c>
      <c r="F8" s="14">
        <f>C8*'Exponential Item Growth'!$B$21</f>
        <v>58.449999999999996</v>
      </c>
      <c r="G8" s="14">
        <f>'Exponential Item Growth'!$B$22*C8</f>
        <v>876.75</v>
      </c>
      <c r="H8" s="14">
        <f>'Exponential Item Growth'!$B$23*C8</f>
        <v>11690</v>
      </c>
    </row>
    <row r="9" spans="1:23" ht="15.75" customHeight="1">
      <c r="A9" s="3">
        <v>8</v>
      </c>
      <c r="B9" s="13">
        <f>'Exponential Item Growth'!$B$5*'Exponential Item Growth'!$B$6^A9</f>
        <v>1.5938480745308423</v>
      </c>
      <c r="C9" s="14">
        <f t="shared" si="0"/>
        <v>13.36</v>
      </c>
      <c r="D9" s="15">
        <f>A9*'Exponential Item Growth'!$B$4</f>
        <v>13.36</v>
      </c>
      <c r="E9" s="14">
        <f>IF(ISNA(VLOOKUP(A9,'Exponential Item Growth'!$A$10:$B$18,2,FALSE)),E8, E8*VLOOKUP(A9,'Exponential Item Growth'!$A$10:$B$18,2,FALSE))</f>
        <v>1</v>
      </c>
      <c r="F9" s="14">
        <f>C9*'Exponential Item Growth'!$B$21</f>
        <v>66.8</v>
      </c>
      <c r="G9" s="14">
        <f>'Exponential Item Growth'!$B$22*C9</f>
        <v>1002</v>
      </c>
      <c r="H9" s="14">
        <f>'Exponential Item Growth'!$B$23*C9</f>
        <v>13360</v>
      </c>
    </row>
    <row r="10" spans="1:23" ht="15.75" customHeight="1">
      <c r="A10" s="3">
        <v>9</v>
      </c>
      <c r="B10" s="13">
        <f>'Exponential Item Growth'!$B$5*'Exponential Item Growth'!$B$6^A10</f>
        <v>1.6894789590026928</v>
      </c>
      <c r="C10" s="14">
        <f t="shared" si="0"/>
        <v>15.03</v>
      </c>
      <c r="D10" s="15">
        <f>A10*'Exponential Item Growth'!$B$4</f>
        <v>15.03</v>
      </c>
      <c r="E10" s="14">
        <f>IF(ISNA(VLOOKUP(A10,'Exponential Item Growth'!$A$10:$B$18,2,FALSE)),E9, E9*VLOOKUP(A10,'Exponential Item Growth'!$A$10:$B$18,2,FALSE))</f>
        <v>1</v>
      </c>
      <c r="F10" s="14">
        <f>C10*'Exponential Item Growth'!$B$21</f>
        <v>75.149999999999991</v>
      </c>
      <c r="G10" s="14">
        <f>'Exponential Item Growth'!$B$22*C10</f>
        <v>1127.25</v>
      </c>
      <c r="H10" s="14">
        <f>'Exponential Item Growth'!$B$23*C10</f>
        <v>15030</v>
      </c>
    </row>
    <row r="11" spans="1:23" ht="15.75" customHeight="1">
      <c r="A11" s="3">
        <v>10</v>
      </c>
      <c r="B11" s="13">
        <f>'Exponential Item Growth'!$B$5*'Exponential Item Growth'!$B$6^A11</f>
        <v>1.7908476965428546</v>
      </c>
      <c r="C11" s="14">
        <f t="shared" si="0"/>
        <v>16.7</v>
      </c>
      <c r="D11" s="15">
        <f>A11*'Exponential Item Growth'!$B$4</f>
        <v>16.7</v>
      </c>
      <c r="E11" s="14">
        <f>IF(ISNA(VLOOKUP(A11,'Exponential Item Growth'!$A$10:$B$18,2,FALSE)),E10, E10*VLOOKUP(A11,'Exponential Item Growth'!$A$10:$B$18,2,FALSE))</f>
        <v>1</v>
      </c>
      <c r="F11" s="14">
        <f>C11*'Exponential Item Growth'!$B$21</f>
        <v>83.5</v>
      </c>
      <c r="G11" s="14">
        <f>'Exponential Item Growth'!$B$22*C11</f>
        <v>1252.5</v>
      </c>
      <c r="H11" s="14">
        <f>'Exponential Item Growth'!$B$23*C11</f>
        <v>16700</v>
      </c>
    </row>
    <row r="12" spans="1:23" ht="15.75" customHeight="1">
      <c r="A12" s="3">
        <v>11</v>
      </c>
      <c r="B12" s="13">
        <f>'Exponential Item Growth'!$B$5*'Exponential Item Growth'!$B$6^A12</f>
        <v>1.8982985583354262</v>
      </c>
      <c r="C12" s="14">
        <f t="shared" si="0"/>
        <v>18.369999999999997</v>
      </c>
      <c r="D12" s="15">
        <f>A12*'Exponential Item Growth'!$B$4</f>
        <v>18.369999999999997</v>
      </c>
      <c r="E12" s="14">
        <f>IF(ISNA(VLOOKUP(A12,'Exponential Item Growth'!$A$10:$B$18,2,FALSE)),E11, E11*VLOOKUP(A12,'Exponential Item Growth'!$A$10:$B$18,2,FALSE))</f>
        <v>1</v>
      </c>
      <c r="F12" s="14">
        <f>C12*'Exponential Item Growth'!$B$21</f>
        <v>91.85</v>
      </c>
      <c r="G12" s="14">
        <f>'Exponential Item Growth'!$B$22*C12</f>
        <v>1377.7499999999998</v>
      </c>
      <c r="H12" s="14">
        <f>'Exponential Item Growth'!$B$23*C12</f>
        <v>18369.999999999996</v>
      </c>
    </row>
    <row r="13" spans="1:23" ht="15.75" customHeight="1">
      <c r="A13" s="3">
        <v>12</v>
      </c>
      <c r="B13" s="13">
        <f>'Exponential Item Growth'!$B$5*'Exponential Item Growth'!$B$6^A13</f>
        <v>2.0121964718355518</v>
      </c>
      <c r="C13" s="14">
        <f t="shared" si="0"/>
        <v>20.04</v>
      </c>
      <c r="D13" s="15">
        <f>A13*'Exponential Item Growth'!$B$4</f>
        <v>20.04</v>
      </c>
      <c r="E13" s="14">
        <f>IF(ISNA(VLOOKUP(A13,'Exponential Item Growth'!$A$10:$B$18,2,FALSE)),E12, E12*VLOOKUP(A13,'Exponential Item Growth'!$A$10:$B$18,2,FALSE))</f>
        <v>1</v>
      </c>
      <c r="F13" s="14">
        <f>C13*'Exponential Item Growth'!$B$21</f>
        <v>100.19999999999999</v>
      </c>
      <c r="G13" s="14">
        <f>'Exponential Item Growth'!$B$22*C13</f>
        <v>1503</v>
      </c>
      <c r="H13" s="14">
        <f>'Exponential Item Growth'!$B$23*C13</f>
        <v>20040</v>
      </c>
    </row>
    <row r="14" spans="1:23" ht="15.75" customHeight="1">
      <c r="A14" s="3">
        <v>13</v>
      </c>
      <c r="B14" s="13">
        <f>'Exponential Item Growth'!$B$5*'Exponential Item Growth'!$B$6^A14</f>
        <v>2.1329282601456852</v>
      </c>
      <c r="C14" s="14">
        <f t="shared" si="0"/>
        <v>21.71</v>
      </c>
      <c r="D14" s="15">
        <f>A14*'Exponential Item Growth'!$B$4</f>
        <v>21.71</v>
      </c>
      <c r="E14" s="14">
        <f>IF(ISNA(VLOOKUP(A14,'Exponential Item Growth'!$A$10:$B$18,2,FALSE)),E13, E13*VLOOKUP(A14,'Exponential Item Growth'!$A$10:$B$18,2,FALSE))</f>
        <v>1</v>
      </c>
      <c r="F14" s="14">
        <f>C14*'Exponential Item Growth'!$B$21</f>
        <v>108.55000000000001</v>
      </c>
      <c r="G14" s="14">
        <f>'Exponential Item Growth'!$B$22*C14</f>
        <v>1628.25</v>
      </c>
      <c r="H14" s="14">
        <f>'Exponential Item Growth'!$B$23*C14</f>
        <v>21710</v>
      </c>
    </row>
    <row r="15" spans="1:23" ht="15.75" customHeight="1">
      <c r="A15" s="3">
        <v>14</v>
      </c>
      <c r="B15" s="13">
        <f>'Exponential Item Growth'!$B$5*'Exponential Item Growth'!$B$6^A15</f>
        <v>2.2609039557544262</v>
      </c>
      <c r="C15" s="14">
        <f t="shared" si="0"/>
        <v>23.38</v>
      </c>
      <c r="D15" s="15">
        <f>A15*'Exponential Item Growth'!$B$4</f>
        <v>23.38</v>
      </c>
      <c r="E15" s="14">
        <f>IF(ISNA(VLOOKUP(A15,'Exponential Item Growth'!$A$10:$B$18,2,FALSE)),E14, E14*VLOOKUP(A15,'Exponential Item Growth'!$A$10:$B$18,2,FALSE))</f>
        <v>1</v>
      </c>
      <c r="F15" s="14">
        <f>C15*'Exponential Item Growth'!$B$21</f>
        <v>116.89999999999999</v>
      </c>
      <c r="G15" s="14">
        <f>'Exponential Item Growth'!$B$22*C15</f>
        <v>1753.5</v>
      </c>
      <c r="H15" s="14">
        <f>'Exponential Item Growth'!$B$23*C15</f>
        <v>23380</v>
      </c>
    </row>
    <row r="16" spans="1:23" ht="15.75" customHeight="1">
      <c r="A16" s="3">
        <v>15</v>
      </c>
      <c r="B16" s="13">
        <f>'Exponential Item Growth'!$B$5*'Exponential Item Growth'!$B$6^A16</f>
        <v>2.3965581930996924</v>
      </c>
      <c r="C16" s="14">
        <f t="shared" si="0"/>
        <v>25.049999999999997</v>
      </c>
      <c r="D16" s="15">
        <f>A16*'Exponential Item Growth'!$B$4</f>
        <v>25.049999999999997</v>
      </c>
      <c r="E16" s="14">
        <f>IF(ISNA(VLOOKUP(A16,'Exponential Item Growth'!$A$10:$B$18,2,FALSE)),E15, E15*VLOOKUP(A16,'Exponential Item Growth'!$A$10:$B$18,2,FALSE))</f>
        <v>1</v>
      </c>
      <c r="F16" s="14">
        <f>C16*'Exponential Item Growth'!$B$21</f>
        <v>125.24999999999999</v>
      </c>
      <c r="G16" s="14">
        <f>'Exponential Item Growth'!$B$22*C16</f>
        <v>1878.7499999999998</v>
      </c>
      <c r="H16" s="14">
        <f>'Exponential Item Growth'!$B$23*C16</f>
        <v>25049.999999999996</v>
      </c>
      <c r="K16" s="3"/>
    </row>
    <row r="17" spans="1:8" ht="15.75" customHeight="1">
      <c r="A17" s="3">
        <v>16</v>
      </c>
      <c r="B17" s="13">
        <f>'Exponential Item Growth'!$B$5*'Exponential Item Growth'!$B$6^A17</f>
        <v>2.5403516846856733</v>
      </c>
      <c r="C17" s="14">
        <f t="shared" si="0"/>
        <v>26.72</v>
      </c>
      <c r="D17" s="15">
        <f>A17*'Exponential Item Growth'!$B$4</f>
        <v>26.72</v>
      </c>
      <c r="E17" s="14">
        <f>IF(ISNA(VLOOKUP(A17,'Exponential Item Growth'!$A$10:$B$18,2,FALSE)),E16, E16*VLOOKUP(A17,'Exponential Item Growth'!$A$10:$B$18,2,FALSE))</f>
        <v>1</v>
      </c>
      <c r="F17" s="14">
        <f>C17*'Exponential Item Growth'!$B$21</f>
        <v>133.6</v>
      </c>
      <c r="G17" s="14">
        <f>'Exponential Item Growth'!$B$22*C17</f>
        <v>2004</v>
      </c>
      <c r="H17" s="14">
        <f>'Exponential Item Growth'!$B$23*C17</f>
        <v>26720</v>
      </c>
    </row>
    <row r="18" spans="1:8" ht="15.75" customHeight="1">
      <c r="A18" s="3">
        <v>17</v>
      </c>
      <c r="B18" s="13">
        <f>'Exponential Item Growth'!$B$5*'Exponential Item Growth'!$B$6^A18</f>
        <v>2.692772785766814</v>
      </c>
      <c r="C18" s="14">
        <f t="shared" si="0"/>
        <v>28.39</v>
      </c>
      <c r="D18" s="15">
        <f>A18*'Exponential Item Growth'!$B$4</f>
        <v>28.39</v>
      </c>
      <c r="E18" s="14">
        <f>IF(ISNA(VLOOKUP(A18,'Exponential Item Growth'!$A$10:$B$18,2,FALSE)),E17, E17*VLOOKUP(A18,'Exponential Item Growth'!$A$10:$B$18,2,FALSE))</f>
        <v>1</v>
      </c>
      <c r="F18" s="14">
        <f>C18*'Exponential Item Growth'!$B$21</f>
        <v>141.94999999999999</v>
      </c>
      <c r="G18" s="14">
        <f>'Exponential Item Growth'!$B$22*C18</f>
        <v>2129.25</v>
      </c>
      <c r="H18" s="14">
        <f>'Exponential Item Growth'!$B$23*C18</f>
        <v>28390</v>
      </c>
    </row>
    <row r="19" spans="1:8" ht="15.75" customHeight="1">
      <c r="A19" s="3">
        <v>18</v>
      </c>
      <c r="B19" s="13">
        <f>'Exponential Item Growth'!$B$5*'Exponential Item Growth'!$B$6^A19</f>
        <v>2.8543391529128228</v>
      </c>
      <c r="C19" s="14">
        <f t="shared" si="0"/>
        <v>30.06</v>
      </c>
      <c r="D19" s="15">
        <f>A19*'Exponential Item Growth'!$B$4</f>
        <v>30.06</v>
      </c>
      <c r="E19" s="14">
        <f>IF(ISNA(VLOOKUP(A19,'Exponential Item Growth'!$A$10:$B$18,2,FALSE)),E18, E18*VLOOKUP(A19,'Exponential Item Growth'!$A$10:$B$18,2,FALSE))</f>
        <v>1</v>
      </c>
      <c r="F19" s="14">
        <f>C19*'Exponential Item Growth'!$B$21</f>
        <v>150.29999999999998</v>
      </c>
      <c r="G19" s="14">
        <f>'Exponential Item Growth'!$B$22*C19</f>
        <v>2254.5</v>
      </c>
      <c r="H19" s="14">
        <f>'Exponential Item Growth'!$B$23*C19</f>
        <v>30060</v>
      </c>
    </row>
    <row r="20" spans="1:8" ht="15.75" customHeight="1">
      <c r="A20" s="3">
        <v>19</v>
      </c>
      <c r="B20" s="13">
        <f>'Exponential Item Growth'!$B$5*'Exponential Item Growth'!$B$6^A20</f>
        <v>3.0255995020875925</v>
      </c>
      <c r="C20" s="14">
        <f t="shared" si="0"/>
        <v>31.729999999999997</v>
      </c>
      <c r="D20" s="15">
        <f>A20*'Exponential Item Growth'!$B$4</f>
        <v>31.729999999999997</v>
      </c>
      <c r="E20" s="14">
        <f>IF(ISNA(VLOOKUP(A20,'Exponential Item Growth'!$A$10:$B$18,2,FALSE)),E19, E19*VLOOKUP(A20,'Exponential Item Growth'!$A$10:$B$18,2,FALSE))</f>
        <v>1</v>
      </c>
      <c r="F20" s="14">
        <f>C20*'Exponential Item Growth'!$B$21</f>
        <v>158.64999999999998</v>
      </c>
      <c r="G20" s="14">
        <f>'Exponential Item Growth'!$B$22*C20</f>
        <v>2379.7499999999995</v>
      </c>
      <c r="H20" s="14">
        <f>'Exponential Item Growth'!$B$23*C20</f>
        <v>31729.999999999996</v>
      </c>
    </row>
    <row r="21" spans="1:8" ht="15.75" customHeight="1">
      <c r="A21" s="3">
        <v>20</v>
      </c>
      <c r="B21" s="13">
        <f>'Exponential Item Growth'!$B$5*'Exponential Item Growth'!$B$6^A21</f>
        <v>3.207135472212848</v>
      </c>
      <c r="C21" s="14">
        <f t="shared" si="0"/>
        <v>33.4</v>
      </c>
      <c r="D21" s="15">
        <f>A21*'Exponential Item Growth'!$B$4</f>
        <v>33.4</v>
      </c>
      <c r="E21" s="14">
        <f>IF(ISNA(VLOOKUP(A21,'Exponential Item Growth'!$A$10:$B$18,2,FALSE)),E20, E20*VLOOKUP(A21,'Exponential Item Growth'!$A$10:$B$18,2,FALSE))</f>
        <v>1</v>
      </c>
      <c r="F21" s="14">
        <f>C21*'Exponential Item Growth'!$B$21</f>
        <v>167</v>
      </c>
      <c r="G21" s="14">
        <f>'Exponential Item Growth'!$B$22*C21</f>
        <v>2505</v>
      </c>
      <c r="H21" s="14">
        <f>'Exponential Item Growth'!$B$23*C21</f>
        <v>33400</v>
      </c>
    </row>
    <row r="22" spans="1:8" ht="15.75" customHeight="1">
      <c r="A22" s="3">
        <v>21</v>
      </c>
      <c r="B22" s="13">
        <f>'Exponential Item Growth'!$B$5*'Exponential Item Growth'!$B$6^A22</f>
        <v>3.3995636005456196</v>
      </c>
      <c r="C22" s="14">
        <f t="shared" si="0"/>
        <v>35.07</v>
      </c>
      <c r="D22" s="15">
        <f>A22*'Exponential Item Growth'!$B$4</f>
        <v>35.07</v>
      </c>
      <c r="E22" s="14">
        <f>IF(ISNA(VLOOKUP(A22,'Exponential Item Growth'!$A$10:$B$18,2,FALSE)),E21, E21*VLOOKUP(A22,'Exponential Item Growth'!$A$10:$B$18,2,FALSE))</f>
        <v>1</v>
      </c>
      <c r="F22" s="14">
        <f>C22*'Exponential Item Growth'!$B$21</f>
        <v>175.35</v>
      </c>
      <c r="G22" s="14">
        <f>'Exponential Item Growth'!$B$22*C22</f>
        <v>2630.25</v>
      </c>
      <c r="H22" s="14">
        <f>'Exponential Item Growth'!$B$23*C22</f>
        <v>35070</v>
      </c>
    </row>
    <row r="23" spans="1:8" ht="15.75" customHeight="1">
      <c r="A23" s="3">
        <v>22</v>
      </c>
      <c r="B23" s="13">
        <f>'Exponential Item Growth'!$B$5*'Exponential Item Growth'!$B$6^A23</f>
        <v>3.6035374165783569</v>
      </c>
      <c r="C23" s="14">
        <f t="shared" si="0"/>
        <v>36.739999999999995</v>
      </c>
      <c r="D23" s="15">
        <f>A23*'Exponential Item Growth'!$B$4</f>
        <v>36.739999999999995</v>
      </c>
      <c r="E23" s="14">
        <f>IF(ISNA(VLOOKUP(A23,'Exponential Item Growth'!$A$10:$B$18,2,FALSE)),E22, E22*VLOOKUP(A23,'Exponential Item Growth'!$A$10:$B$18,2,FALSE))</f>
        <v>1</v>
      </c>
      <c r="F23" s="14">
        <f>C23*'Exponential Item Growth'!$B$21</f>
        <v>183.7</v>
      </c>
      <c r="G23" s="14">
        <f>'Exponential Item Growth'!$B$22*C23</f>
        <v>2755.4999999999995</v>
      </c>
      <c r="H23" s="14">
        <f>'Exponential Item Growth'!$B$23*C23</f>
        <v>36739.999999999993</v>
      </c>
    </row>
    <row r="24" spans="1:8" ht="15.75" customHeight="1">
      <c r="A24" s="3">
        <v>23</v>
      </c>
      <c r="B24" s="13">
        <f>'Exponential Item Growth'!$B$5*'Exponential Item Growth'!$B$6^A24</f>
        <v>3.8197496615730588</v>
      </c>
      <c r="C24" s="14">
        <f t="shared" si="0"/>
        <v>38.409999999999997</v>
      </c>
      <c r="D24" s="15">
        <f>A24*'Exponential Item Growth'!$B$4</f>
        <v>38.409999999999997</v>
      </c>
      <c r="E24" s="14">
        <f>IF(ISNA(VLOOKUP(A24,'Exponential Item Growth'!$A$10:$B$18,2,FALSE)),E23, E23*VLOOKUP(A24,'Exponential Item Growth'!$A$10:$B$18,2,FALSE))</f>
        <v>1</v>
      </c>
      <c r="F24" s="14">
        <f>C24*'Exponential Item Growth'!$B$21</f>
        <v>192.04999999999998</v>
      </c>
      <c r="G24" s="14">
        <f>'Exponential Item Growth'!$B$22*C24</f>
        <v>2880.7499999999995</v>
      </c>
      <c r="H24" s="14">
        <f>'Exponential Item Growth'!$B$23*C24</f>
        <v>38410</v>
      </c>
    </row>
    <row r="25" spans="1:8" ht="15.75" customHeight="1">
      <c r="A25" s="3">
        <v>24</v>
      </c>
      <c r="B25" s="13">
        <f>'Exponential Item Growth'!$B$5*'Exponential Item Growth'!$B$6^A25</f>
        <v>4.0489346412674418</v>
      </c>
      <c r="C25" s="14">
        <f t="shared" si="0"/>
        <v>40.08</v>
      </c>
      <c r="D25" s="15">
        <f>A25*'Exponential Item Growth'!$B$4</f>
        <v>40.08</v>
      </c>
      <c r="E25" s="14">
        <f>IF(ISNA(VLOOKUP(A25,'Exponential Item Growth'!$A$10:$B$18,2,FALSE)),E24, E24*VLOOKUP(A25,'Exponential Item Growth'!$A$10:$B$18,2,FALSE))</f>
        <v>1</v>
      </c>
      <c r="F25" s="14">
        <f>C25*'Exponential Item Growth'!$B$21</f>
        <v>200.39999999999998</v>
      </c>
      <c r="G25" s="14">
        <f>'Exponential Item Growth'!$B$22*C25</f>
        <v>3006</v>
      </c>
      <c r="H25" s="14">
        <f>'Exponential Item Growth'!$B$23*C25</f>
        <v>40080</v>
      </c>
    </row>
    <row r="26" spans="1:8" ht="15.75" customHeight="1">
      <c r="A26" s="3">
        <v>25</v>
      </c>
      <c r="B26" s="13">
        <f>'Exponential Item Growth'!$B$5*'Exponential Item Growth'!$B$6^A26</f>
        <v>4.2918707197434882</v>
      </c>
      <c r="C26" s="14">
        <f t="shared" si="0"/>
        <v>83.5</v>
      </c>
      <c r="D26" s="15">
        <f>A26*'Exponential Item Growth'!$B$4</f>
        <v>41.75</v>
      </c>
      <c r="E26" s="14">
        <f>IF(ISNA(VLOOKUP(A26,'Exponential Item Growth'!$A$10:$B$18,2,FALSE)),E25, E25*VLOOKUP(A26,'Exponential Item Growth'!$A$10:$B$18,2,FALSE))</f>
        <v>2</v>
      </c>
      <c r="F26" s="14">
        <f>C26*'Exponential Item Growth'!$B$21</f>
        <v>417.5</v>
      </c>
      <c r="G26" s="14">
        <f>'Exponential Item Growth'!$B$22*C26</f>
        <v>6262.5</v>
      </c>
      <c r="H26" s="14">
        <f>'Exponential Item Growth'!$B$23*C26</f>
        <v>83500</v>
      </c>
    </row>
    <row r="27" spans="1:8" ht="15.75" customHeight="1">
      <c r="A27" s="3">
        <v>26</v>
      </c>
      <c r="B27" s="13">
        <f>'Exponential Item Growth'!$B$5*'Exponential Item Growth'!$B$6^A27</f>
        <v>4.5493829629280977</v>
      </c>
      <c r="C27" s="14">
        <f t="shared" si="0"/>
        <v>86.84</v>
      </c>
      <c r="D27" s="15">
        <f>A27*'Exponential Item Growth'!$B$4</f>
        <v>43.42</v>
      </c>
      <c r="E27" s="14">
        <f>IF(ISNA(VLOOKUP(A27,'Exponential Item Growth'!$A$10:$B$18,2,FALSE)),E26, E26*VLOOKUP(A27,'Exponential Item Growth'!$A$10:$B$18,2,FALSE))</f>
        <v>2</v>
      </c>
      <c r="F27" s="14">
        <f>C27*'Exponential Item Growth'!$B$21</f>
        <v>434.20000000000005</v>
      </c>
      <c r="G27" s="14">
        <f>'Exponential Item Growth'!$B$22*C27</f>
        <v>6513</v>
      </c>
      <c r="H27" s="14">
        <f>'Exponential Item Growth'!$B$23*C27</f>
        <v>86840</v>
      </c>
    </row>
    <row r="28" spans="1:8" ht="15.75" customHeight="1">
      <c r="A28" s="3">
        <v>27</v>
      </c>
      <c r="B28" s="13">
        <f>'Exponential Item Growth'!$B$5*'Exponential Item Growth'!$B$6^A28</f>
        <v>4.8223459407037845</v>
      </c>
      <c r="C28" s="14">
        <f t="shared" si="0"/>
        <v>90.179999999999993</v>
      </c>
      <c r="D28" s="15">
        <f>A28*'Exponential Item Growth'!$B$4</f>
        <v>45.089999999999996</v>
      </c>
      <c r="E28" s="14">
        <f>IF(ISNA(VLOOKUP(A28,'Exponential Item Growth'!$A$10:$B$18,2,FALSE)),E27, E27*VLOOKUP(A28,'Exponential Item Growth'!$A$10:$B$18,2,FALSE))</f>
        <v>2</v>
      </c>
      <c r="F28" s="14">
        <f>C28*'Exponential Item Growth'!$B$21</f>
        <v>450.9</v>
      </c>
      <c r="G28" s="14">
        <f>'Exponential Item Growth'!$B$22*C28</f>
        <v>6763.4999999999991</v>
      </c>
      <c r="H28" s="14">
        <f>'Exponential Item Growth'!$B$23*C28</f>
        <v>90179.999999999985</v>
      </c>
    </row>
    <row r="29" spans="1:8" ht="15.75" customHeight="1">
      <c r="A29" s="3">
        <v>28</v>
      </c>
      <c r="B29" s="13">
        <f>'Exponential Item Growth'!$B$5*'Exponential Item Growth'!$B$6^A29</f>
        <v>5.1116866971460118</v>
      </c>
      <c r="C29" s="14">
        <f t="shared" si="0"/>
        <v>93.52</v>
      </c>
      <c r="D29" s="15">
        <f>A29*'Exponential Item Growth'!$B$4</f>
        <v>46.76</v>
      </c>
      <c r="E29" s="14">
        <f>IF(ISNA(VLOOKUP(A29,'Exponential Item Growth'!$A$10:$B$18,2,FALSE)),E28, E28*VLOOKUP(A29,'Exponential Item Growth'!$A$10:$B$18,2,FALSE))</f>
        <v>2</v>
      </c>
      <c r="F29" s="14">
        <f>C29*'Exponential Item Growth'!$B$21</f>
        <v>467.59999999999997</v>
      </c>
      <c r="G29" s="14">
        <f>'Exponential Item Growth'!$B$22*C29</f>
        <v>7014</v>
      </c>
      <c r="H29" s="14">
        <f>'Exponential Item Growth'!$B$23*C29</f>
        <v>93520</v>
      </c>
    </row>
    <row r="30" spans="1:8" ht="15.75" customHeight="1">
      <c r="A30" s="3">
        <v>29</v>
      </c>
      <c r="B30" s="13">
        <f>'Exponential Item Growth'!$B$5*'Exponential Item Growth'!$B$6^A30</f>
        <v>5.4183878989747729</v>
      </c>
      <c r="C30" s="14">
        <f t="shared" si="0"/>
        <v>96.86</v>
      </c>
      <c r="D30" s="15">
        <f>A30*'Exponential Item Growth'!$B$4</f>
        <v>48.43</v>
      </c>
      <c r="E30" s="14">
        <f>IF(ISNA(VLOOKUP(A30,'Exponential Item Growth'!$A$10:$B$18,2,FALSE)),E29, E29*VLOOKUP(A30,'Exponential Item Growth'!$A$10:$B$18,2,FALSE))</f>
        <v>2</v>
      </c>
      <c r="F30" s="14">
        <f>C30*'Exponential Item Growth'!$B$21</f>
        <v>484.3</v>
      </c>
      <c r="G30" s="14">
        <f>'Exponential Item Growth'!$B$22*C30</f>
        <v>7264.5</v>
      </c>
      <c r="H30" s="14">
        <f>'Exponential Item Growth'!$B$23*C30</f>
        <v>96860</v>
      </c>
    </row>
    <row r="31" spans="1:8" ht="15.75" customHeight="1">
      <c r="A31" s="3">
        <v>30</v>
      </c>
      <c r="B31" s="13">
        <f>'Exponential Item Growth'!$B$5*'Exponential Item Growth'!$B$6^A31</f>
        <v>5.7434911729132594</v>
      </c>
      <c r="C31" s="14">
        <f t="shared" si="0"/>
        <v>100.19999999999999</v>
      </c>
      <c r="D31" s="15">
        <f>A31*'Exponential Item Growth'!$B$4</f>
        <v>50.099999999999994</v>
      </c>
      <c r="E31" s="14">
        <f>IF(ISNA(VLOOKUP(A31,'Exponential Item Growth'!$A$10:$B$18,2,FALSE)),E30, E30*VLOOKUP(A31,'Exponential Item Growth'!$A$10:$B$18,2,FALSE))</f>
        <v>2</v>
      </c>
      <c r="F31" s="14">
        <f>C31*'Exponential Item Growth'!$B$21</f>
        <v>500.99999999999994</v>
      </c>
      <c r="G31" s="14">
        <f>'Exponential Item Growth'!$B$22*C31</f>
        <v>7514.9999999999991</v>
      </c>
      <c r="H31" s="14">
        <f>'Exponential Item Growth'!$B$23*C31</f>
        <v>100199.99999999999</v>
      </c>
    </row>
    <row r="32" spans="1:8" ht="15.75" customHeight="1">
      <c r="A32" s="3">
        <v>31</v>
      </c>
      <c r="B32" s="13">
        <f>'Exponential Item Growth'!$B$5*'Exponential Item Growth'!$B$6^A32</f>
        <v>6.0881006432880564</v>
      </c>
      <c r="C32" s="14">
        <f t="shared" si="0"/>
        <v>103.53999999999999</v>
      </c>
      <c r="D32" s="15">
        <f>A32*'Exponential Item Growth'!$B$4</f>
        <v>51.769999999999996</v>
      </c>
      <c r="E32" s="14">
        <f>IF(ISNA(VLOOKUP(A32,'Exponential Item Growth'!$A$10:$B$18,2,FALSE)),E31, E31*VLOOKUP(A32,'Exponential Item Growth'!$A$10:$B$18,2,FALSE))</f>
        <v>2</v>
      </c>
      <c r="F32" s="14">
        <f>C32*'Exponential Item Growth'!$B$21</f>
        <v>517.69999999999993</v>
      </c>
      <c r="G32" s="14">
        <f>'Exponential Item Growth'!$B$22*C32</f>
        <v>7765.4999999999991</v>
      </c>
      <c r="H32" s="14">
        <f>'Exponential Item Growth'!$B$23*C32</f>
        <v>103539.99999999999</v>
      </c>
    </row>
    <row r="33" spans="1:8" ht="15.75" customHeight="1">
      <c r="A33" s="3">
        <v>32</v>
      </c>
      <c r="B33" s="13">
        <f>'Exponential Item Growth'!$B$5*'Exponential Item Growth'!$B$6^A33</f>
        <v>6.4533866818853385</v>
      </c>
      <c r="C33" s="14">
        <f t="shared" si="0"/>
        <v>106.88</v>
      </c>
      <c r="D33" s="15">
        <f>A33*'Exponential Item Growth'!$B$4</f>
        <v>53.44</v>
      </c>
      <c r="E33" s="14">
        <f>IF(ISNA(VLOOKUP(A33,'Exponential Item Growth'!$A$10:$B$18,2,FALSE)),E32, E32*VLOOKUP(A33,'Exponential Item Growth'!$A$10:$B$18,2,FALSE))</f>
        <v>2</v>
      </c>
      <c r="F33" s="14">
        <f>C33*'Exponential Item Growth'!$B$21</f>
        <v>534.4</v>
      </c>
      <c r="G33" s="14">
        <f>'Exponential Item Growth'!$B$22*C33</f>
        <v>8016</v>
      </c>
      <c r="H33" s="14">
        <f>'Exponential Item Growth'!$B$23*C33</f>
        <v>106880</v>
      </c>
    </row>
    <row r="34" spans="1:8" ht="15.75" customHeight="1">
      <c r="A34" s="3">
        <v>33</v>
      </c>
      <c r="B34" s="13">
        <f>'Exponential Item Growth'!$B$5*'Exponential Item Growth'!$B$6^A34</f>
        <v>6.8405898827984588</v>
      </c>
      <c r="C34" s="14">
        <f t="shared" si="0"/>
        <v>110.22</v>
      </c>
      <c r="D34" s="15">
        <f>A34*'Exponential Item Growth'!$B$4</f>
        <v>55.11</v>
      </c>
      <c r="E34" s="14">
        <f>IF(ISNA(VLOOKUP(A34,'Exponential Item Growth'!$A$10:$B$18,2,FALSE)),E33, E33*VLOOKUP(A34,'Exponential Item Growth'!$A$10:$B$18,2,FALSE))</f>
        <v>2</v>
      </c>
      <c r="F34" s="14">
        <f>C34*'Exponential Item Growth'!$B$21</f>
        <v>551.1</v>
      </c>
      <c r="G34" s="14">
        <f>'Exponential Item Growth'!$B$22*C34</f>
        <v>8266.5</v>
      </c>
      <c r="H34" s="14">
        <f>'Exponential Item Growth'!$B$23*C34</f>
        <v>110220</v>
      </c>
    </row>
    <row r="35" spans="1:8" ht="15.75" customHeight="1">
      <c r="A35" s="3">
        <v>34</v>
      </c>
      <c r="B35" s="13">
        <f>'Exponential Item Growth'!$B$5*'Exponential Item Growth'!$B$6^A35</f>
        <v>7.2510252757663674</v>
      </c>
      <c r="C35" s="14">
        <f t="shared" si="0"/>
        <v>113.56</v>
      </c>
      <c r="D35" s="15">
        <f>A35*'Exponential Item Growth'!$B$4</f>
        <v>56.78</v>
      </c>
      <c r="E35" s="14">
        <f>IF(ISNA(VLOOKUP(A35,'Exponential Item Growth'!$A$10:$B$18,2,FALSE)),E34, E34*VLOOKUP(A35,'Exponential Item Growth'!$A$10:$B$18,2,FALSE))</f>
        <v>2</v>
      </c>
      <c r="F35" s="14">
        <f>C35*'Exponential Item Growth'!$B$21</f>
        <v>567.79999999999995</v>
      </c>
      <c r="G35" s="14">
        <f>'Exponential Item Growth'!$B$22*C35</f>
        <v>8517</v>
      </c>
      <c r="H35" s="14">
        <f>'Exponential Item Growth'!$B$23*C35</f>
        <v>113560</v>
      </c>
    </row>
    <row r="36" spans="1:8" ht="15.75" customHeight="1">
      <c r="A36" s="3">
        <v>35</v>
      </c>
      <c r="B36" s="13">
        <f>'Exponential Item Growth'!$B$5*'Exponential Item Growth'!$B$6^A36</f>
        <v>7.6860867923123504</v>
      </c>
      <c r="C36" s="14">
        <f t="shared" si="0"/>
        <v>116.89999999999999</v>
      </c>
      <c r="D36" s="15">
        <f>A36*'Exponential Item Growth'!$B$4</f>
        <v>58.449999999999996</v>
      </c>
      <c r="E36" s="14">
        <f>IF(ISNA(VLOOKUP(A36,'Exponential Item Growth'!$A$10:$B$18,2,FALSE)),E35, E35*VLOOKUP(A36,'Exponential Item Growth'!$A$10:$B$18,2,FALSE))</f>
        <v>2</v>
      </c>
      <c r="F36" s="14">
        <f>C36*'Exponential Item Growth'!$B$21</f>
        <v>584.5</v>
      </c>
      <c r="G36" s="14">
        <f>'Exponential Item Growth'!$B$22*C36</f>
        <v>8767.5</v>
      </c>
      <c r="H36" s="14">
        <f>'Exponential Item Growth'!$B$23*C36</f>
        <v>116899.99999999999</v>
      </c>
    </row>
    <row r="37" spans="1:8" ht="15.75" customHeight="1">
      <c r="A37" s="3">
        <v>36</v>
      </c>
      <c r="B37" s="13">
        <f>'Exponential Item Growth'!$B$5*'Exponential Item Growth'!$B$6^A37</f>
        <v>8.1472519998510915</v>
      </c>
      <c r="C37" s="14">
        <f t="shared" si="0"/>
        <v>120.24</v>
      </c>
      <c r="D37" s="15">
        <f>A37*'Exponential Item Growth'!$B$4</f>
        <v>60.12</v>
      </c>
      <c r="E37" s="14">
        <f>IF(ISNA(VLOOKUP(A37,'Exponential Item Growth'!$A$10:$B$18,2,FALSE)),E36, E36*VLOOKUP(A37,'Exponential Item Growth'!$A$10:$B$18,2,FALSE))</f>
        <v>2</v>
      </c>
      <c r="F37" s="14">
        <f>C37*'Exponential Item Growth'!$B$21</f>
        <v>601.19999999999993</v>
      </c>
      <c r="G37" s="14">
        <f>'Exponential Item Growth'!$B$22*C37</f>
        <v>9018</v>
      </c>
      <c r="H37" s="14">
        <f>'Exponential Item Growth'!$B$23*C37</f>
        <v>120240</v>
      </c>
    </row>
    <row r="38" spans="1:8" ht="15.75" customHeight="1">
      <c r="A38" s="3">
        <v>37</v>
      </c>
      <c r="B38" s="13">
        <f>'Exponential Item Growth'!$B$5*'Exponential Item Growth'!$B$6^A38</f>
        <v>8.6360871198421574</v>
      </c>
      <c r="C38" s="14">
        <f t="shared" si="0"/>
        <v>123.58</v>
      </c>
      <c r="D38" s="15">
        <f>A38*'Exponential Item Growth'!$B$4</f>
        <v>61.79</v>
      </c>
      <c r="E38" s="14">
        <f>IF(ISNA(VLOOKUP(A38,'Exponential Item Growth'!$A$10:$B$18,2,FALSE)),E37, E37*VLOOKUP(A38,'Exponential Item Growth'!$A$10:$B$18,2,FALSE))</f>
        <v>2</v>
      </c>
      <c r="F38" s="14">
        <f>C38*'Exponential Item Growth'!$B$21</f>
        <v>617.9</v>
      </c>
      <c r="G38" s="14">
        <f>'Exponential Item Growth'!$B$22*C38</f>
        <v>9268.5</v>
      </c>
      <c r="H38" s="14">
        <f>'Exponential Item Growth'!$B$23*C38</f>
        <v>123580</v>
      </c>
    </row>
    <row r="39" spans="1:8" ht="15.75" customHeight="1">
      <c r="A39" s="3">
        <v>38</v>
      </c>
      <c r="B39" s="13">
        <f>'Exponential Item Growth'!$B$5*'Exponential Item Growth'!$B$6^A39</f>
        <v>9.1542523470326884</v>
      </c>
      <c r="C39" s="14">
        <f t="shared" si="0"/>
        <v>126.91999999999999</v>
      </c>
      <c r="D39" s="15">
        <f>A39*'Exponential Item Growth'!$B$4</f>
        <v>63.459999999999994</v>
      </c>
      <c r="E39" s="14">
        <f>IF(ISNA(VLOOKUP(A39,'Exponential Item Growth'!$A$10:$B$18,2,FALSE)),E38, E38*VLOOKUP(A39,'Exponential Item Growth'!$A$10:$B$18,2,FALSE))</f>
        <v>2</v>
      </c>
      <c r="F39" s="14">
        <f>C39*'Exponential Item Growth'!$B$21</f>
        <v>634.59999999999991</v>
      </c>
      <c r="G39" s="14">
        <f>'Exponential Item Growth'!$B$22*C39</f>
        <v>9518.9999999999982</v>
      </c>
      <c r="H39" s="14">
        <f>'Exponential Item Growth'!$B$23*C39</f>
        <v>126919.99999999999</v>
      </c>
    </row>
    <row r="40" spans="1:8" ht="15.75" customHeight="1">
      <c r="A40" s="3">
        <v>39</v>
      </c>
      <c r="B40" s="13">
        <f>'Exponential Item Growth'!$B$5*'Exponential Item Growth'!$B$6^A40</f>
        <v>9.703507487854651</v>
      </c>
      <c r="C40" s="14">
        <f t="shared" si="0"/>
        <v>130.26</v>
      </c>
      <c r="D40" s="15">
        <f>A40*'Exponential Item Growth'!$B$4</f>
        <v>65.13</v>
      </c>
      <c r="E40" s="14">
        <f>IF(ISNA(VLOOKUP(A40,'Exponential Item Growth'!$A$10:$B$18,2,FALSE)),E39, E39*VLOOKUP(A40,'Exponential Item Growth'!$A$10:$B$18,2,FALSE))</f>
        <v>2</v>
      </c>
      <c r="F40" s="14">
        <f>C40*'Exponential Item Growth'!$B$21</f>
        <v>651.29999999999995</v>
      </c>
      <c r="G40" s="14">
        <f>'Exponential Item Growth'!$B$22*C40</f>
        <v>9769.5</v>
      </c>
      <c r="H40" s="14">
        <f>'Exponential Item Growth'!$B$23*C40</f>
        <v>130259.99999999999</v>
      </c>
    </row>
    <row r="41" spans="1:8" ht="15.75" customHeight="1">
      <c r="A41" s="3">
        <v>40</v>
      </c>
      <c r="B41" s="13">
        <f>'Exponential Item Growth'!$B$5*'Exponential Item Growth'!$B$6^A41</f>
        <v>10.285717937125929</v>
      </c>
      <c r="C41" s="14">
        <f t="shared" si="0"/>
        <v>133.6</v>
      </c>
      <c r="D41" s="15">
        <f>A41*'Exponential Item Growth'!$B$4</f>
        <v>66.8</v>
      </c>
      <c r="E41" s="14">
        <f>IF(ISNA(VLOOKUP(A41,'Exponential Item Growth'!$A$10:$B$18,2,FALSE)),E40, E40*VLOOKUP(A41,'Exponential Item Growth'!$A$10:$B$18,2,FALSE))</f>
        <v>2</v>
      </c>
      <c r="F41" s="14">
        <f>C41*'Exponential Item Growth'!$B$21</f>
        <v>668</v>
      </c>
      <c r="G41" s="14">
        <f>'Exponential Item Growth'!$B$22*C41</f>
        <v>10020</v>
      </c>
      <c r="H41" s="14">
        <f>'Exponential Item Growth'!$B$23*C41</f>
        <v>133600</v>
      </c>
    </row>
    <row r="42" spans="1:8" ht="15.75" customHeight="1">
      <c r="A42" s="3">
        <v>41</v>
      </c>
      <c r="B42" s="13">
        <f>'Exponential Item Growth'!$B$5*'Exponential Item Growth'!$B$6^A42</f>
        <v>10.902861013353483</v>
      </c>
      <c r="C42" s="14">
        <f t="shared" si="0"/>
        <v>136.94</v>
      </c>
      <c r="D42" s="15">
        <f>A42*'Exponential Item Growth'!$B$4</f>
        <v>68.47</v>
      </c>
      <c r="E42" s="14">
        <f>IF(ISNA(VLOOKUP(A42,'Exponential Item Growth'!$A$10:$B$18,2,FALSE)),E41, E41*VLOOKUP(A42,'Exponential Item Growth'!$A$10:$B$18,2,FALSE))</f>
        <v>2</v>
      </c>
      <c r="F42" s="14">
        <f>C42*'Exponential Item Growth'!$B$21</f>
        <v>684.7</v>
      </c>
      <c r="G42" s="14">
        <f>'Exponential Item Growth'!$B$22*C42</f>
        <v>10270.5</v>
      </c>
      <c r="H42" s="14">
        <f>'Exponential Item Growth'!$B$23*C42</f>
        <v>136940</v>
      </c>
    </row>
    <row r="43" spans="1:8" ht="15.75" customHeight="1">
      <c r="A43" s="3">
        <v>42</v>
      </c>
      <c r="B43" s="13">
        <f>'Exponential Item Growth'!$B$5*'Exponential Item Growth'!$B$6^A43</f>
        <v>11.557032674154694</v>
      </c>
      <c r="C43" s="14">
        <f t="shared" si="0"/>
        <v>140.28</v>
      </c>
      <c r="D43" s="15">
        <f>A43*'Exponential Item Growth'!$B$4</f>
        <v>70.14</v>
      </c>
      <c r="E43" s="14">
        <f>IF(ISNA(VLOOKUP(A43,'Exponential Item Growth'!$A$10:$B$18,2,FALSE)),E42, E42*VLOOKUP(A43,'Exponential Item Growth'!$A$10:$B$18,2,FALSE))</f>
        <v>2</v>
      </c>
      <c r="F43" s="14">
        <f>C43*'Exponential Item Growth'!$B$21</f>
        <v>701.4</v>
      </c>
      <c r="G43" s="14">
        <f>'Exponential Item Growth'!$B$22*C43</f>
        <v>10521</v>
      </c>
      <c r="H43" s="14">
        <f>'Exponential Item Growth'!$B$23*C43</f>
        <v>140280</v>
      </c>
    </row>
    <row r="44" spans="1:8" ht="15.75" customHeight="1">
      <c r="A44" s="3">
        <v>43</v>
      </c>
      <c r="B44" s="13">
        <f>'Exponential Item Growth'!$B$5*'Exponential Item Growth'!$B$6^A44</f>
        <v>12.250454634603978</v>
      </c>
      <c r="C44" s="14">
        <f t="shared" si="0"/>
        <v>143.62</v>
      </c>
      <c r="D44" s="15">
        <f>A44*'Exponential Item Growth'!$B$4</f>
        <v>71.81</v>
      </c>
      <c r="E44" s="14">
        <f>IF(ISNA(VLOOKUP(A44,'Exponential Item Growth'!$A$10:$B$18,2,FALSE)),E43, E43*VLOOKUP(A44,'Exponential Item Growth'!$A$10:$B$18,2,FALSE))</f>
        <v>2</v>
      </c>
      <c r="F44" s="14">
        <f>C44*'Exponential Item Growth'!$B$21</f>
        <v>718.1</v>
      </c>
      <c r="G44" s="14">
        <f>'Exponential Item Growth'!$B$22*C44</f>
        <v>10771.5</v>
      </c>
      <c r="H44" s="14">
        <f>'Exponential Item Growth'!$B$23*C44</f>
        <v>143620</v>
      </c>
    </row>
    <row r="45" spans="1:8" ht="15.75" customHeight="1">
      <c r="A45" s="3">
        <v>44</v>
      </c>
      <c r="B45" s="13">
        <f>'Exponential Item Growth'!$B$5*'Exponential Item Growth'!$B$6^A45</f>
        <v>12.985481912680218</v>
      </c>
      <c r="C45" s="14">
        <f t="shared" si="0"/>
        <v>146.95999999999998</v>
      </c>
      <c r="D45" s="15">
        <f>A45*'Exponential Item Growth'!$B$4</f>
        <v>73.47999999999999</v>
      </c>
      <c r="E45" s="14">
        <f>IF(ISNA(VLOOKUP(A45,'Exponential Item Growth'!$A$10:$B$18,2,FALSE)),E44, E44*VLOOKUP(A45,'Exponential Item Growth'!$A$10:$B$18,2,FALSE))</f>
        <v>2</v>
      </c>
      <c r="F45" s="14">
        <f>C45*'Exponential Item Growth'!$B$21</f>
        <v>734.8</v>
      </c>
      <c r="G45" s="14">
        <f>'Exponential Item Growth'!$B$22*C45</f>
        <v>11021.999999999998</v>
      </c>
      <c r="H45" s="14">
        <f>'Exponential Item Growth'!$B$23*C45</f>
        <v>146959.99999999997</v>
      </c>
    </row>
    <row r="46" spans="1:8" ht="15.75" customHeight="1">
      <c r="A46" s="3">
        <v>45</v>
      </c>
      <c r="B46" s="13">
        <f>'Exponential Item Growth'!$B$5*'Exponential Item Growth'!$B$6^A46</f>
        <v>13.764610827441031</v>
      </c>
      <c r="C46" s="14">
        <f t="shared" si="0"/>
        <v>150.29999999999998</v>
      </c>
      <c r="D46" s="15">
        <f>A46*'Exponential Item Growth'!$B$4</f>
        <v>75.149999999999991</v>
      </c>
      <c r="E46" s="14">
        <f>IF(ISNA(VLOOKUP(A46,'Exponential Item Growth'!$A$10:$B$18,2,FALSE)),E45, E45*VLOOKUP(A46,'Exponential Item Growth'!$A$10:$B$18,2,FALSE))</f>
        <v>2</v>
      </c>
      <c r="F46" s="14">
        <f>C46*'Exponential Item Growth'!$B$21</f>
        <v>751.49999999999989</v>
      </c>
      <c r="G46" s="14">
        <f>'Exponential Item Growth'!$B$22*C46</f>
        <v>11272.499999999998</v>
      </c>
      <c r="H46" s="14">
        <f>'Exponential Item Growth'!$B$23*C46</f>
        <v>150299.99999999997</v>
      </c>
    </row>
    <row r="47" spans="1:8" ht="15.75" customHeight="1">
      <c r="A47" s="3">
        <v>46</v>
      </c>
      <c r="B47" s="13">
        <f>'Exponential Item Growth'!$B$5*'Exponential Item Growth'!$B$6^A47</f>
        <v>14.590487477087493</v>
      </c>
      <c r="C47" s="14">
        <f t="shared" si="0"/>
        <v>153.63999999999999</v>
      </c>
      <c r="D47" s="15">
        <f>A47*'Exponential Item Growth'!$B$4</f>
        <v>76.819999999999993</v>
      </c>
      <c r="E47" s="14">
        <f>IF(ISNA(VLOOKUP(A47,'Exponential Item Growth'!$A$10:$B$18,2,FALSE)),E46, E46*VLOOKUP(A47,'Exponential Item Growth'!$A$10:$B$18,2,FALSE))</f>
        <v>2</v>
      </c>
      <c r="F47" s="14">
        <f>C47*'Exponential Item Growth'!$B$21</f>
        <v>768.19999999999993</v>
      </c>
      <c r="G47" s="14">
        <f>'Exponential Item Growth'!$B$22*C47</f>
        <v>11522.999999999998</v>
      </c>
      <c r="H47" s="14">
        <f>'Exponential Item Growth'!$B$23*C47</f>
        <v>153640</v>
      </c>
    </row>
    <row r="48" spans="1:8" ht="15.75" customHeight="1">
      <c r="A48" s="3">
        <v>47</v>
      </c>
      <c r="B48" s="13">
        <f>'Exponential Item Growth'!$B$5*'Exponential Item Growth'!$B$6^A48</f>
        <v>15.465916725712747</v>
      </c>
      <c r="C48" s="14">
        <f t="shared" si="0"/>
        <v>156.97999999999999</v>
      </c>
      <c r="D48" s="15">
        <f>A48*'Exponential Item Growth'!$B$4</f>
        <v>78.489999999999995</v>
      </c>
      <c r="E48" s="14">
        <f>IF(ISNA(VLOOKUP(A48,'Exponential Item Growth'!$A$10:$B$18,2,FALSE)),E47, E47*VLOOKUP(A48,'Exponential Item Growth'!$A$10:$B$18,2,FALSE))</f>
        <v>2</v>
      </c>
      <c r="F48" s="14">
        <f>C48*'Exponential Item Growth'!$B$21</f>
        <v>784.9</v>
      </c>
      <c r="G48" s="14">
        <f>'Exponential Item Growth'!$B$22*C48</f>
        <v>11773.5</v>
      </c>
      <c r="H48" s="14">
        <f>'Exponential Item Growth'!$B$23*C48</f>
        <v>156980</v>
      </c>
    </row>
    <row r="49" spans="1:8" ht="15.75" customHeight="1">
      <c r="A49" s="3">
        <v>48</v>
      </c>
      <c r="B49" s="13">
        <f>'Exponential Item Growth'!$B$5*'Exponential Item Growth'!$B$6^A49</f>
        <v>16.393871729255508</v>
      </c>
      <c r="C49" s="14">
        <f t="shared" si="0"/>
        <v>160.32</v>
      </c>
      <c r="D49" s="15">
        <f>A49*'Exponential Item Growth'!$B$4</f>
        <v>80.16</v>
      </c>
      <c r="E49" s="14">
        <f>IF(ISNA(VLOOKUP(A49,'Exponential Item Growth'!$A$10:$B$18,2,FALSE)),E48, E48*VLOOKUP(A49,'Exponential Item Growth'!$A$10:$B$18,2,FALSE))</f>
        <v>2</v>
      </c>
      <c r="F49" s="14">
        <f>C49*'Exponential Item Growth'!$B$21</f>
        <v>801.59999999999991</v>
      </c>
      <c r="G49" s="14">
        <f>'Exponential Item Growth'!$B$22*C49</f>
        <v>12024</v>
      </c>
      <c r="H49" s="14">
        <f>'Exponential Item Growth'!$B$23*C49</f>
        <v>160320</v>
      </c>
    </row>
    <row r="50" spans="1:8" ht="15.75" customHeight="1">
      <c r="A50" s="3">
        <v>49</v>
      </c>
      <c r="B50" s="13">
        <f>'Exponential Item Growth'!$B$5*'Exponential Item Growth'!$B$6^A50</f>
        <v>17.37750403301084</v>
      </c>
      <c r="C50" s="14">
        <f t="shared" si="0"/>
        <v>163.66</v>
      </c>
      <c r="D50" s="15">
        <f>A50*'Exponential Item Growth'!$B$4</f>
        <v>81.83</v>
      </c>
      <c r="E50" s="14">
        <f>IF(ISNA(VLOOKUP(A50,'Exponential Item Growth'!$A$10:$B$18,2,FALSE)),E49, E49*VLOOKUP(A50,'Exponential Item Growth'!$A$10:$B$18,2,FALSE))</f>
        <v>2</v>
      </c>
      <c r="F50" s="14">
        <f>C50*'Exponential Item Growth'!$B$21</f>
        <v>818.3</v>
      </c>
      <c r="G50" s="14">
        <f>'Exponential Item Growth'!$B$22*C50</f>
        <v>12274.5</v>
      </c>
      <c r="H50" s="14">
        <f>'Exponential Item Growth'!$B$23*C50</f>
        <v>163660</v>
      </c>
    </row>
    <row r="51" spans="1:8" ht="15.75" customHeight="1">
      <c r="A51" s="3">
        <v>50</v>
      </c>
      <c r="B51" s="13">
        <f>'Exponential Item Growth'!$B$5*'Exponential Item Growth'!$B$6^A51</f>
        <v>18.420154274991489</v>
      </c>
      <c r="C51" s="14">
        <f t="shared" si="0"/>
        <v>334</v>
      </c>
      <c r="D51" s="15">
        <f>A51*'Exponential Item Growth'!$B$4</f>
        <v>83.5</v>
      </c>
      <c r="E51" s="14">
        <f>IF(ISNA(VLOOKUP(A51,'Exponential Item Growth'!$A$10:$B$18,2,FALSE)),E50, E50*VLOOKUP(A51,'Exponential Item Growth'!$A$10:$B$18,2,FALSE))</f>
        <v>4</v>
      </c>
      <c r="F51" s="14">
        <f>C51*'Exponential Item Growth'!$B$21</f>
        <v>1670</v>
      </c>
      <c r="G51" s="14">
        <f>'Exponential Item Growth'!$B$22*C51</f>
        <v>25050</v>
      </c>
      <c r="H51" s="14">
        <f>'Exponential Item Growth'!$B$23*C51</f>
        <v>334000</v>
      </c>
    </row>
    <row r="52" spans="1:8" ht="15.75" customHeight="1">
      <c r="A52" s="3">
        <v>51</v>
      </c>
      <c r="B52" s="13">
        <f>'Exponential Item Growth'!$B$5*'Exponential Item Growth'!$B$6^A52</f>
        <v>19.525363531490981</v>
      </c>
      <c r="C52" s="14">
        <f t="shared" si="0"/>
        <v>340.68</v>
      </c>
      <c r="D52" s="15">
        <f>A52*'Exponential Item Growth'!$B$4</f>
        <v>85.17</v>
      </c>
      <c r="E52" s="14">
        <f>IF(ISNA(VLOOKUP(A52,'Exponential Item Growth'!$A$10:$B$18,2,FALSE)),E51, E51*VLOOKUP(A52,'Exponential Item Growth'!$A$10:$B$18,2,FALSE))</f>
        <v>4</v>
      </c>
      <c r="F52" s="14">
        <f>C52*'Exponential Item Growth'!$B$21</f>
        <v>1703.4</v>
      </c>
      <c r="G52" s="14">
        <f>'Exponential Item Growth'!$B$22*C52</f>
        <v>25551</v>
      </c>
      <c r="H52" s="14">
        <f>'Exponential Item Growth'!$B$23*C52</f>
        <v>340680</v>
      </c>
    </row>
    <row r="53" spans="1:8" ht="15.75" customHeight="1">
      <c r="A53" s="3">
        <v>52</v>
      </c>
      <c r="B53" s="13">
        <f>'Exponential Item Growth'!$B$5*'Exponential Item Growth'!$B$6^A53</f>
        <v>20.696885343380441</v>
      </c>
      <c r="C53" s="14">
        <f t="shared" si="0"/>
        <v>347.36</v>
      </c>
      <c r="D53" s="15">
        <f>A53*'Exponential Item Growth'!$B$4</f>
        <v>86.84</v>
      </c>
      <c r="E53" s="14">
        <f>IF(ISNA(VLOOKUP(A53,'Exponential Item Growth'!$A$10:$B$18,2,FALSE)),E52, E52*VLOOKUP(A53,'Exponential Item Growth'!$A$10:$B$18,2,FALSE))</f>
        <v>4</v>
      </c>
      <c r="F53" s="14">
        <f>C53*'Exponential Item Growth'!$B$21</f>
        <v>1736.8000000000002</v>
      </c>
      <c r="G53" s="14">
        <f>'Exponential Item Growth'!$B$22*C53</f>
        <v>26052</v>
      </c>
      <c r="H53" s="14">
        <f>'Exponential Item Growth'!$B$23*C53</f>
        <v>347360</v>
      </c>
    </row>
    <row r="54" spans="1:8" ht="15.75" customHeight="1">
      <c r="A54" s="3">
        <v>53</v>
      </c>
      <c r="B54" s="13">
        <f>'Exponential Item Growth'!$B$5*'Exponential Item Growth'!$B$6^A54</f>
        <v>21.938698463983272</v>
      </c>
      <c r="C54" s="14">
        <f t="shared" si="0"/>
        <v>354.03999999999996</v>
      </c>
      <c r="D54" s="15">
        <f>A54*'Exponential Item Growth'!$B$4</f>
        <v>88.509999999999991</v>
      </c>
      <c r="E54" s="14">
        <f>IF(ISNA(VLOOKUP(A54,'Exponential Item Growth'!$A$10:$B$18,2,FALSE)),E53, E53*VLOOKUP(A54,'Exponential Item Growth'!$A$10:$B$18,2,FALSE))</f>
        <v>4</v>
      </c>
      <c r="F54" s="14">
        <f>C54*'Exponential Item Growth'!$B$21</f>
        <v>1770.1999999999998</v>
      </c>
      <c r="G54" s="14">
        <f>'Exponential Item Growth'!$B$22*C54</f>
        <v>26552.999999999996</v>
      </c>
      <c r="H54" s="14">
        <f>'Exponential Item Growth'!$B$23*C54</f>
        <v>354039.99999999994</v>
      </c>
    </row>
    <row r="55" spans="1:8" ht="15.75" customHeight="1">
      <c r="A55" s="3">
        <v>54</v>
      </c>
      <c r="B55" s="13">
        <f>'Exponential Item Growth'!$B$5*'Exponential Item Growth'!$B$6^A55</f>
        <v>23.255020371822269</v>
      </c>
      <c r="C55" s="14">
        <f t="shared" si="0"/>
        <v>360.71999999999997</v>
      </c>
      <c r="D55" s="15">
        <f>A55*'Exponential Item Growth'!$B$4</f>
        <v>90.179999999999993</v>
      </c>
      <c r="E55" s="14">
        <f>IF(ISNA(VLOOKUP(A55,'Exponential Item Growth'!$A$10:$B$18,2,FALSE)),E54, E54*VLOOKUP(A55,'Exponential Item Growth'!$A$10:$B$18,2,FALSE))</f>
        <v>4</v>
      </c>
      <c r="F55" s="14">
        <f>C55*'Exponential Item Growth'!$B$21</f>
        <v>1803.6</v>
      </c>
      <c r="G55" s="14">
        <f>'Exponential Item Growth'!$B$22*C55</f>
        <v>27053.999999999996</v>
      </c>
      <c r="H55" s="14">
        <f>'Exponential Item Growth'!$B$23*C55</f>
        <v>360719.99999999994</v>
      </c>
    </row>
    <row r="56" spans="1:8" ht="15.75" customHeight="1">
      <c r="A56" s="3">
        <v>55</v>
      </c>
      <c r="B56" s="13">
        <f>'Exponential Item Growth'!$B$5*'Exponential Item Growth'!$B$6^A56</f>
        <v>24.650321594131608</v>
      </c>
      <c r="C56" s="14">
        <f t="shared" si="0"/>
        <v>367.4</v>
      </c>
      <c r="D56" s="15">
        <f>A56*'Exponential Item Growth'!$B$4</f>
        <v>91.85</v>
      </c>
      <c r="E56" s="14">
        <f>IF(ISNA(VLOOKUP(A56,'Exponential Item Growth'!$A$10:$B$18,2,FALSE)),E55, E55*VLOOKUP(A56,'Exponential Item Growth'!$A$10:$B$18,2,FALSE))</f>
        <v>4</v>
      </c>
      <c r="F56" s="14">
        <f>C56*'Exponential Item Growth'!$B$21</f>
        <v>1837</v>
      </c>
      <c r="G56" s="14">
        <f>'Exponential Item Growth'!$B$22*C56</f>
        <v>27555</v>
      </c>
      <c r="H56" s="14">
        <f>'Exponential Item Growth'!$B$23*C56</f>
        <v>367400</v>
      </c>
    </row>
    <row r="57" spans="1:8" ht="15.75" customHeight="1">
      <c r="A57" s="3">
        <v>56</v>
      </c>
      <c r="B57" s="13">
        <f>'Exponential Item Growth'!$B$5*'Exponential Item Growth'!$B$6^A57</f>
        <v>26.129340889779499</v>
      </c>
      <c r="C57" s="14">
        <f t="shared" si="0"/>
        <v>374.08</v>
      </c>
      <c r="D57" s="15">
        <f>A57*'Exponential Item Growth'!$B$4</f>
        <v>93.52</v>
      </c>
      <c r="E57" s="14">
        <f>IF(ISNA(VLOOKUP(A57,'Exponential Item Growth'!$A$10:$B$18,2,FALSE)),E56, E56*VLOOKUP(A57,'Exponential Item Growth'!$A$10:$B$18,2,FALSE))</f>
        <v>4</v>
      </c>
      <c r="F57" s="14">
        <f>C57*'Exponential Item Growth'!$B$21</f>
        <v>1870.3999999999999</v>
      </c>
      <c r="G57" s="14">
        <f>'Exponential Item Growth'!$B$22*C57</f>
        <v>28056</v>
      </c>
      <c r="H57" s="14">
        <f>'Exponential Item Growth'!$B$23*C57</f>
        <v>374080</v>
      </c>
    </row>
    <row r="58" spans="1:8" ht="15.75" customHeight="1">
      <c r="A58" s="3">
        <v>57</v>
      </c>
      <c r="B58" s="13">
        <f>'Exponential Item Growth'!$B$5*'Exponential Item Growth'!$B$6^A58</f>
        <v>27.69710134316627</v>
      </c>
      <c r="C58" s="14">
        <f t="shared" si="0"/>
        <v>380.76</v>
      </c>
      <c r="D58" s="15">
        <f>A58*'Exponential Item Growth'!$B$4</f>
        <v>95.19</v>
      </c>
      <c r="E58" s="14">
        <f>IF(ISNA(VLOOKUP(A58,'Exponential Item Growth'!$A$10:$B$18,2,FALSE)),E57, E57*VLOOKUP(A58,'Exponential Item Growth'!$A$10:$B$18,2,FALSE))</f>
        <v>4</v>
      </c>
      <c r="F58" s="14">
        <f>C58*'Exponential Item Growth'!$B$21</f>
        <v>1903.8</v>
      </c>
      <c r="G58" s="14">
        <f>'Exponential Item Growth'!$B$22*C58</f>
        <v>28557</v>
      </c>
      <c r="H58" s="14">
        <f>'Exponential Item Growth'!$B$23*C58</f>
        <v>380760</v>
      </c>
    </row>
    <row r="59" spans="1:8" ht="15.75" customHeight="1">
      <c r="A59" s="3">
        <v>58</v>
      </c>
      <c r="B59" s="13">
        <f>'Exponential Item Growth'!$B$5*'Exponential Item Growth'!$B$6^A59</f>
        <v>29.358927423756246</v>
      </c>
      <c r="C59" s="14">
        <f t="shared" si="0"/>
        <v>387.44</v>
      </c>
      <c r="D59" s="15">
        <f>A59*'Exponential Item Growth'!$B$4</f>
        <v>96.86</v>
      </c>
      <c r="E59" s="14">
        <f>IF(ISNA(VLOOKUP(A59,'Exponential Item Growth'!$A$10:$B$18,2,FALSE)),E58, E58*VLOOKUP(A59,'Exponential Item Growth'!$A$10:$B$18,2,FALSE))</f>
        <v>4</v>
      </c>
      <c r="F59" s="14">
        <f>C59*'Exponential Item Growth'!$B$21</f>
        <v>1937.2</v>
      </c>
      <c r="G59" s="14">
        <f>'Exponential Item Growth'!$B$22*C59</f>
        <v>29058</v>
      </c>
      <c r="H59" s="14">
        <f>'Exponential Item Growth'!$B$23*C59</f>
        <v>387440</v>
      </c>
    </row>
    <row r="60" spans="1:8" ht="15.75" customHeight="1">
      <c r="A60" s="3">
        <v>59</v>
      </c>
      <c r="B60" s="13">
        <f>'Exponential Item Growth'!$B$5*'Exponential Item Growth'!$B$6^A60</f>
        <v>31.120463069181628</v>
      </c>
      <c r="C60" s="14">
        <f t="shared" si="0"/>
        <v>394.12</v>
      </c>
      <c r="D60" s="15">
        <f>A60*'Exponential Item Growth'!$B$4</f>
        <v>98.53</v>
      </c>
      <c r="E60" s="14">
        <f>IF(ISNA(VLOOKUP(A60,'Exponential Item Growth'!$A$10:$B$18,2,FALSE)),E59, E59*VLOOKUP(A60,'Exponential Item Growth'!$A$10:$B$18,2,FALSE))</f>
        <v>4</v>
      </c>
      <c r="F60" s="14">
        <f>C60*'Exponential Item Growth'!$B$21</f>
        <v>1970.6</v>
      </c>
      <c r="G60" s="14">
        <f>'Exponential Item Growth'!$B$22*C60</f>
        <v>29559</v>
      </c>
      <c r="H60" s="14">
        <f>'Exponential Item Growth'!$B$23*C60</f>
        <v>394120</v>
      </c>
    </row>
    <row r="61" spans="1:8" ht="15.75" customHeight="1">
      <c r="A61" s="3">
        <v>60</v>
      </c>
      <c r="B61" s="13">
        <f>'Exponential Item Growth'!$B$5*'Exponential Item Growth'!$B$6^A61</f>
        <v>32.987690853332523</v>
      </c>
      <c r="C61" s="14">
        <f t="shared" si="0"/>
        <v>400.79999999999995</v>
      </c>
      <c r="D61" s="15">
        <f>A61*'Exponential Item Growth'!$B$4</f>
        <v>100.19999999999999</v>
      </c>
      <c r="E61" s="14">
        <f>IF(ISNA(VLOOKUP(A61,'Exponential Item Growth'!$A$10:$B$18,2,FALSE)),E60, E60*VLOOKUP(A61,'Exponential Item Growth'!$A$10:$B$18,2,FALSE))</f>
        <v>4</v>
      </c>
      <c r="F61" s="14">
        <f>C61*'Exponential Item Growth'!$B$21</f>
        <v>2003.9999999999998</v>
      </c>
      <c r="G61" s="14">
        <f>'Exponential Item Growth'!$B$22*C61</f>
        <v>30059.999999999996</v>
      </c>
      <c r="H61" s="14">
        <f>'Exponential Item Growth'!$B$23*C61</f>
        <v>400799.99999999994</v>
      </c>
    </row>
    <row r="62" spans="1:8" ht="15.75" customHeight="1">
      <c r="A62" s="3">
        <v>61</v>
      </c>
      <c r="B62" s="13">
        <f>'Exponential Item Growth'!$B$5*'Exponential Item Growth'!$B$6^A62</f>
        <v>34.966952304532484</v>
      </c>
      <c r="C62" s="14">
        <f t="shared" si="0"/>
        <v>407.47999999999996</v>
      </c>
      <c r="D62" s="15">
        <f>A62*'Exponential Item Growth'!$B$4</f>
        <v>101.86999999999999</v>
      </c>
      <c r="E62" s="14">
        <f>IF(ISNA(VLOOKUP(A62,'Exponential Item Growth'!$A$10:$B$18,2,FALSE)),E61, E61*VLOOKUP(A62,'Exponential Item Growth'!$A$10:$B$18,2,FALSE))</f>
        <v>4</v>
      </c>
      <c r="F62" s="14">
        <f>C62*'Exponential Item Growth'!$B$21</f>
        <v>2037.3999999999999</v>
      </c>
      <c r="G62" s="14">
        <f>'Exponential Item Growth'!$B$22*C62</f>
        <v>30560.999999999996</v>
      </c>
      <c r="H62" s="14">
        <f>'Exponential Item Growth'!$B$23*C62</f>
        <v>407479.99999999994</v>
      </c>
    </row>
    <row r="63" spans="1:8" ht="15.75" customHeight="1">
      <c r="A63" s="3">
        <v>62</v>
      </c>
      <c r="B63" s="13">
        <f>'Exponential Item Growth'!$B$5*'Exponential Item Growth'!$B$6^A63</f>
        <v>37.064969442804433</v>
      </c>
      <c r="C63" s="14">
        <f t="shared" si="0"/>
        <v>414.15999999999997</v>
      </c>
      <c r="D63" s="15">
        <f>A63*'Exponential Item Growth'!$B$4</f>
        <v>103.53999999999999</v>
      </c>
      <c r="E63" s="14">
        <f>IF(ISNA(VLOOKUP(A63,'Exponential Item Growth'!$A$10:$B$18,2,FALSE)),E62, E62*VLOOKUP(A63,'Exponential Item Growth'!$A$10:$B$18,2,FALSE))</f>
        <v>4</v>
      </c>
      <c r="F63" s="14">
        <f>C63*'Exponential Item Growth'!$B$21</f>
        <v>2070.7999999999997</v>
      </c>
      <c r="G63" s="14">
        <f>'Exponential Item Growth'!$B$22*C63</f>
        <v>31061.999999999996</v>
      </c>
      <c r="H63" s="14">
        <f>'Exponential Item Growth'!$B$23*C63</f>
        <v>414159.99999999994</v>
      </c>
    </row>
    <row r="64" spans="1:8" ht="15.75" customHeight="1">
      <c r="A64" s="3">
        <v>63</v>
      </c>
      <c r="B64" s="13">
        <f>'Exponential Item Growth'!$B$5*'Exponential Item Growth'!$B$6^A64</f>
        <v>39.288867609372709</v>
      </c>
      <c r="C64" s="14">
        <f t="shared" si="0"/>
        <v>420.84</v>
      </c>
      <c r="D64" s="15">
        <f>A64*'Exponential Item Growth'!$B$4</f>
        <v>105.21</v>
      </c>
      <c r="E64" s="14">
        <f>IF(ISNA(VLOOKUP(A64,'Exponential Item Growth'!$A$10:$B$18,2,FALSE)),E63, E63*VLOOKUP(A64,'Exponential Item Growth'!$A$10:$B$18,2,FALSE))</f>
        <v>4</v>
      </c>
      <c r="F64" s="14">
        <f>C64*'Exponential Item Growth'!$B$21</f>
        <v>2104.1999999999998</v>
      </c>
      <c r="G64" s="14">
        <f>'Exponential Item Growth'!$B$22*C64</f>
        <v>31562.999999999996</v>
      </c>
      <c r="H64" s="14">
        <f>'Exponential Item Growth'!$B$23*C64</f>
        <v>420840</v>
      </c>
    </row>
    <row r="65" spans="1:8" ht="15.75" customHeight="1">
      <c r="A65" s="3">
        <v>64</v>
      </c>
      <c r="B65" s="13">
        <f>'Exponential Item Growth'!$B$5*'Exponential Item Growth'!$B$6^A65</f>
        <v>41.646199665935058</v>
      </c>
      <c r="C65" s="14">
        <f t="shared" si="0"/>
        <v>427.52</v>
      </c>
      <c r="D65" s="15">
        <f>A65*'Exponential Item Growth'!$B$4</f>
        <v>106.88</v>
      </c>
      <c r="E65" s="14">
        <f>IF(ISNA(VLOOKUP(A65,'Exponential Item Growth'!$A$10:$B$18,2,FALSE)),E64, E64*VLOOKUP(A65,'Exponential Item Growth'!$A$10:$B$18,2,FALSE))</f>
        <v>4</v>
      </c>
      <c r="F65" s="14">
        <f>C65*'Exponential Item Growth'!$B$21</f>
        <v>2137.6</v>
      </c>
      <c r="G65" s="14">
        <f>'Exponential Item Growth'!$B$22*C65</f>
        <v>32064</v>
      </c>
      <c r="H65" s="14">
        <f>'Exponential Item Growth'!$B$23*C65</f>
        <v>427520</v>
      </c>
    </row>
    <row r="66" spans="1:8" ht="15.75" customHeight="1">
      <c r="A66" s="3">
        <v>65</v>
      </c>
      <c r="B66" s="13">
        <f>'Exponential Item Growth'!$B$5*'Exponential Item Growth'!$B$6^A66</f>
        <v>44.144971645891161</v>
      </c>
      <c r="C66" s="14">
        <f t="shared" si="0"/>
        <v>434.2</v>
      </c>
      <c r="D66" s="15">
        <f>A66*'Exponential Item Growth'!$B$4</f>
        <v>108.55</v>
      </c>
      <c r="E66" s="14">
        <f>IF(ISNA(VLOOKUP(A66,'Exponential Item Growth'!$A$10:$B$18,2,FALSE)),E65, E65*VLOOKUP(A66,'Exponential Item Growth'!$A$10:$B$18,2,FALSE))</f>
        <v>4</v>
      </c>
      <c r="F66" s="14">
        <f>C66*'Exponential Item Growth'!$B$21</f>
        <v>2171</v>
      </c>
      <c r="G66" s="14">
        <f>'Exponential Item Growth'!$B$22*C66</f>
        <v>32565</v>
      </c>
      <c r="H66" s="14">
        <f>'Exponential Item Growth'!$B$23*C66</f>
        <v>434200</v>
      </c>
    </row>
    <row r="67" spans="1:8" ht="15.75" customHeight="1">
      <c r="A67" s="3">
        <v>66</v>
      </c>
      <c r="B67" s="13">
        <f>'Exponential Item Growth'!$B$5*'Exponential Item Growth'!$B$6^A67</f>
        <v>46.793669944644634</v>
      </c>
      <c r="C67" s="14">
        <f t="shared" si="0"/>
        <v>440.88</v>
      </c>
      <c r="D67" s="15">
        <f>A67*'Exponential Item Growth'!$B$4</f>
        <v>110.22</v>
      </c>
      <c r="E67" s="14">
        <f>IF(ISNA(VLOOKUP(A67,'Exponential Item Growth'!$A$10:$B$18,2,FALSE)),E66, E66*VLOOKUP(A67,'Exponential Item Growth'!$A$10:$B$18,2,FALSE))</f>
        <v>4</v>
      </c>
      <c r="F67" s="14">
        <f>C67*'Exponential Item Growth'!$B$21</f>
        <v>2204.4</v>
      </c>
      <c r="G67" s="14">
        <f>'Exponential Item Growth'!$B$22*C67</f>
        <v>33066</v>
      </c>
      <c r="H67" s="14">
        <f>'Exponential Item Growth'!$B$23*C67</f>
        <v>440880</v>
      </c>
    </row>
    <row r="68" spans="1:8" ht="15.75" customHeight="1">
      <c r="A68" s="3">
        <v>67</v>
      </c>
      <c r="B68" s="13">
        <f>'Exponential Item Growth'!$B$5*'Exponential Item Growth'!$B$6^A68</f>
        <v>49.601290141323318</v>
      </c>
      <c r="C68" s="14">
        <f t="shared" si="0"/>
        <v>447.56</v>
      </c>
      <c r="D68" s="15">
        <f>A68*'Exponential Item Growth'!$B$4</f>
        <v>111.89</v>
      </c>
      <c r="E68" s="14">
        <f>IF(ISNA(VLOOKUP(A68,'Exponential Item Growth'!$A$10:$B$18,2,FALSE)),E67, E67*VLOOKUP(A68,'Exponential Item Growth'!$A$10:$B$18,2,FALSE))</f>
        <v>4</v>
      </c>
      <c r="F68" s="14">
        <f>C68*'Exponential Item Growth'!$B$21</f>
        <v>2237.8000000000002</v>
      </c>
      <c r="G68" s="14">
        <f>'Exponential Item Growth'!$B$22*C68</f>
        <v>33567</v>
      </c>
      <c r="H68" s="14">
        <f>'Exponential Item Growth'!$B$23*C68</f>
        <v>447560</v>
      </c>
    </row>
    <row r="69" spans="1:8" ht="15.75" customHeight="1">
      <c r="A69" s="3">
        <v>68</v>
      </c>
      <c r="B69" s="13">
        <f>'Exponential Item Growth'!$B$5*'Exponential Item Growth'!$B$6^A69</f>
        <v>52.577367549802723</v>
      </c>
      <c r="C69" s="14">
        <f t="shared" si="0"/>
        <v>454.24</v>
      </c>
      <c r="D69" s="15">
        <f>A69*'Exponential Item Growth'!$B$4</f>
        <v>113.56</v>
      </c>
      <c r="E69" s="14">
        <f>IF(ISNA(VLOOKUP(A69,'Exponential Item Growth'!$A$10:$B$18,2,FALSE)),E68, E68*VLOOKUP(A69,'Exponential Item Growth'!$A$10:$B$18,2,FALSE))</f>
        <v>4</v>
      </c>
      <c r="F69" s="14">
        <f>C69*'Exponential Item Growth'!$B$21</f>
        <v>2271.1999999999998</v>
      </c>
      <c r="G69" s="14">
        <f>'Exponential Item Growth'!$B$22*C69</f>
        <v>34068</v>
      </c>
      <c r="H69" s="14">
        <f>'Exponential Item Growth'!$B$23*C69</f>
        <v>454240</v>
      </c>
    </row>
    <row r="70" spans="1:8" ht="15.75" customHeight="1">
      <c r="A70" s="3">
        <v>69</v>
      </c>
      <c r="B70" s="13">
        <f>'Exponential Item Growth'!$B$5*'Exponential Item Growth'!$B$6^A70</f>
        <v>55.732009602790889</v>
      </c>
      <c r="C70" s="14">
        <f t="shared" si="0"/>
        <v>460.91999999999996</v>
      </c>
      <c r="D70" s="15">
        <f>A70*'Exponential Item Growth'!$B$4</f>
        <v>115.22999999999999</v>
      </c>
      <c r="E70" s="14">
        <f>IF(ISNA(VLOOKUP(A70,'Exponential Item Growth'!$A$10:$B$18,2,FALSE)),E69, E69*VLOOKUP(A70,'Exponential Item Growth'!$A$10:$B$18,2,FALSE))</f>
        <v>4</v>
      </c>
      <c r="F70" s="14">
        <f>C70*'Exponential Item Growth'!$B$21</f>
        <v>2304.6</v>
      </c>
      <c r="G70" s="14">
        <f>'Exponential Item Growth'!$B$22*C70</f>
        <v>34569</v>
      </c>
      <c r="H70" s="14">
        <f>'Exponential Item Growth'!$B$23*C70</f>
        <v>460919.99999999994</v>
      </c>
    </row>
    <row r="71" spans="1:8" ht="15.75" customHeight="1">
      <c r="A71" s="3">
        <v>70</v>
      </c>
      <c r="B71" s="13">
        <f>'Exponential Item Growth'!$B$5*'Exponential Item Growth'!$B$6^A71</f>
        <v>59.075930178958345</v>
      </c>
      <c r="C71" s="14">
        <f t="shared" si="0"/>
        <v>467.59999999999997</v>
      </c>
      <c r="D71" s="15">
        <f>A71*'Exponential Item Growth'!$B$4</f>
        <v>116.89999999999999</v>
      </c>
      <c r="E71" s="14">
        <f>IF(ISNA(VLOOKUP(A71,'Exponential Item Growth'!$A$10:$B$18,2,FALSE)),E70, E70*VLOOKUP(A71,'Exponential Item Growth'!$A$10:$B$18,2,FALSE))</f>
        <v>4</v>
      </c>
      <c r="F71" s="14">
        <f>C71*'Exponential Item Growth'!$B$21</f>
        <v>2338</v>
      </c>
      <c r="G71" s="14">
        <f>'Exponential Item Growth'!$B$22*C71</f>
        <v>35070</v>
      </c>
      <c r="H71" s="14">
        <f>'Exponential Item Growth'!$B$23*C71</f>
        <v>467599.99999999994</v>
      </c>
    </row>
    <row r="72" spans="1:8" ht="15.75" customHeight="1">
      <c r="A72" s="3">
        <v>71</v>
      </c>
      <c r="B72" s="13">
        <f>'Exponential Item Growth'!$B$5*'Exponential Item Growth'!$B$6^A72</f>
        <v>62.620485989695858</v>
      </c>
      <c r="C72" s="14">
        <f t="shared" si="0"/>
        <v>474.28</v>
      </c>
      <c r="D72" s="15">
        <f>A72*'Exponential Item Growth'!$B$4</f>
        <v>118.57</v>
      </c>
      <c r="E72" s="14">
        <f>IF(ISNA(VLOOKUP(A72,'Exponential Item Growth'!$A$10:$B$18,2,FALSE)),E71, E71*VLOOKUP(A72,'Exponential Item Growth'!$A$10:$B$18,2,FALSE))</f>
        <v>4</v>
      </c>
      <c r="F72" s="14">
        <f>C72*'Exponential Item Growth'!$B$21</f>
        <v>2371.3999999999996</v>
      </c>
      <c r="G72" s="14">
        <f>'Exponential Item Growth'!$B$22*C72</f>
        <v>35571</v>
      </c>
      <c r="H72" s="14">
        <f>'Exponential Item Growth'!$B$23*C72</f>
        <v>474280</v>
      </c>
    </row>
    <row r="73" spans="1:8" ht="15.75" customHeight="1">
      <c r="A73" s="3">
        <v>72</v>
      </c>
      <c r="B73" s="13">
        <f>'Exponential Item Growth'!$B$5*'Exponential Item Growth'!$B$6^A73</f>
        <v>66.377715149077602</v>
      </c>
      <c r="C73" s="14">
        <f t="shared" si="0"/>
        <v>480.96</v>
      </c>
      <c r="D73" s="15">
        <f>A73*'Exponential Item Growth'!$B$4</f>
        <v>120.24</v>
      </c>
      <c r="E73" s="14">
        <f>IF(ISNA(VLOOKUP(A73,'Exponential Item Growth'!$A$10:$B$18,2,FALSE)),E72, E72*VLOOKUP(A73,'Exponential Item Growth'!$A$10:$B$18,2,FALSE))</f>
        <v>4</v>
      </c>
      <c r="F73" s="14">
        <f>C73*'Exponential Item Growth'!$B$21</f>
        <v>2404.7999999999997</v>
      </c>
      <c r="G73" s="14">
        <f>'Exponential Item Growth'!$B$22*C73</f>
        <v>36072</v>
      </c>
      <c r="H73" s="14">
        <f>'Exponential Item Growth'!$B$23*C73</f>
        <v>480960</v>
      </c>
    </row>
    <row r="74" spans="1:8" ht="15.75" customHeight="1">
      <c r="A74" s="3">
        <v>73</v>
      </c>
      <c r="B74" s="13">
        <f>'Exponential Item Growth'!$B$5*'Exponential Item Growth'!$B$6^A74</f>
        <v>70.360378058022249</v>
      </c>
      <c r="C74" s="14">
        <f t="shared" si="0"/>
        <v>487.64</v>
      </c>
      <c r="D74" s="15">
        <f>A74*'Exponential Item Growth'!$B$4</f>
        <v>121.91</v>
      </c>
      <c r="E74" s="14">
        <f>IF(ISNA(VLOOKUP(A74,'Exponential Item Growth'!$A$10:$B$18,2,FALSE)),E73, E73*VLOOKUP(A74,'Exponential Item Growth'!$A$10:$B$18,2,FALSE))</f>
        <v>4</v>
      </c>
      <c r="F74" s="14">
        <f>C74*'Exponential Item Growth'!$B$21</f>
        <v>2438.1999999999998</v>
      </c>
      <c r="G74" s="14">
        <f>'Exponential Item Growth'!$B$22*C74</f>
        <v>36573</v>
      </c>
      <c r="H74" s="14">
        <f>'Exponential Item Growth'!$B$23*C74</f>
        <v>487640</v>
      </c>
    </row>
    <row r="75" spans="1:8" ht="15.75" customHeight="1">
      <c r="A75" s="3">
        <v>74</v>
      </c>
      <c r="B75" s="13">
        <f>'Exponential Item Growth'!$B$5*'Exponential Item Growth'!$B$6^A75</f>
        <v>74.582000741503592</v>
      </c>
      <c r="C75" s="14">
        <f t="shared" si="0"/>
        <v>494.32</v>
      </c>
      <c r="D75" s="15">
        <f>A75*'Exponential Item Growth'!$B$4</f>
        <v>123.58</v>
      </c>
      <c r="E75" s="14">
        <f>IF(ISNA(VLOOKUP(A75,'Exponential Item Growth'!$A$10:$B$18,2,FALSE)),E74, E74*VLOOKUP(A75,'Exponential Item Growth'!$A$10:$B$18,2,FALSE))</f>
        <v>4</v>
      </c>
      <c r="F75" s="14">
        <f>C75*'Exponential Item Growth'!$B$21</f>
        <v>2471.6</v>
      </c>
      <c r="G75" s="14">
        <f>'Exponential Item Growth'!$B$22*C75</f>
        <v>37074</v>
      </c>
      <c r="H75" s="14">
        <f>'Exponential Item Growth'!$B$23*C75</f>
        <v>494320</v>
      </c>
    </row>
    <row r="76" spans="1:8" ht="15.75" customHeight="1">
      <c r="A76" s="3">
        <v>75</v>
      </c>
      <c r="B76" s="13">
        <f>'Exponential Item Growth'!$B$5*'Exponential Item Growth'!$B$6^A76</f>
        <v>79.056920785993825</v>
      </c>
      <c r="C76" s="14">
        <f t="shared" si="0"/>
        <v>501</v>
      </c>
      <c r="D76" s="15">
        <f>A76*'Exponential Item Growth'!$B$4</f>
        <v>125.25</v>
      </c>
      <c r="E76" s="14">
        <f>IF(ISNA(VLOOKUP(A76,'Exponential Item Growth'!$A$10:$B$18,2,FALSE)),E75, E75*VLOOKUP(A76,'Exponential Item Growth'!$A$10:$B$18,2,FALSE))</f>
        <v>4</v>
      </c>
      <c r="F76" s="14">
        <f>C76*'Exponential Item Growth'!$B$21</f>
        <v>2505</v>
      </c>
      <c r="G76" s="14">
        <f>'Exponential Item Growth'!$B$22*C76</f>
        <v>37575</v>
      </c>
      <c r="H76" s="14">
        <f>'Exponential Item Growth'!$B$23*C76</f>
        <v>501000</v>
      </c>
    </row>
    <row r="77" spans="1:8" ht="15.75" customHeight="1">
      <c r="A77" s="3">
        <v>76</v>
      </c>
      <c r="B77" s="13">
        <f>'Exponential Item Growth'!$B$5*'Exponential Item Growth'!$B$6^A77</f>
        <v>83.800336033153457</v>
      </c>
      <c r="C77" s="14">
        <f t="shared" si="0"/>
        <v>507.67999999999995</v>
      </c>
      <c r="D77" s="15">
        <f>A77*'Exponential Item Growth'!$B$4</f>
        <v>126.91999999999999</v>
      </c>
      <c r="E77" s="14">
        <f>IF(ISNA(VLOOKUP(A77,'Exponential Item Growth'!$A$10:$B$18,2,FALSE)),E76, E76*VLOOKUP(A77,'Exponential Item Growth'!$A$10:$B$18,2,FALSE))</f>
        <v>4</v>
      </c>
      <c r="F77" s="14">
        <f>C77*'Exponential Item Growth'!$B$21</f>
        <v>2538.3999999999996</v>
      </c>
      <c r="G77" s="14">
        <f>'Exponential Item Growth'!$B$22*C77</f>
        <v>38075.999999999993</v>
      </c>
      <c r="H77" s="14">
        <f>'Exponential Item Growth'!$B$23*C77</f>
        <v>507679.99999999994</v>
      </c>
    </row>
    <row r="78" spans="1:8" ht="15.75" customHeight="1">
      <c r="A78" s="3">
        <v>77</v>
      </c>
      <c r="B78" s="13">
        <f>'Exponential Item Growth'!$B$5*'Exponential Item Growth'!$B$6^A78</f>
        <v>88.828356195142675</v>
      </c>
      <c r="C78" s="14">
        <f t="shared" si="0"/>
        <v>514.36</v>
      </c>
      <c r="D78" s="15">
        <f>A78*'Exponential Item Growth'!$B$4</f>
        <v>128.59</v>
      </c>
      <c r="E78" s="14">
        <f>IF(ISNA(VLOOKUP(A78,'Exponential Item Growth'!$A$10:$B$18,2,FALSE)),E77, E77*VLOOKUP(A78,'Exponential Item Growth'!$A$10:$B$18,2,FALSE))</f>
        <v>4</v>
      </c>
      <c r="F78" s="14">
        <f>C78*'Exponential Item Growth'!$B$21</f>
        <v>2571.8000000000002</v>
      </c>
      <c r="G78" s="14">
        <f>'Exponential Item Growth'!$B$22*C78</f>
        <v>38577</v>
      </c>
      <c r="H78" s="14">
        <f>'Exponential Item Growth'!$B$23*C78</f>
        <v>514360</v>
      </c>
    </row>
    <row r="79" spans="1:8" ht="15.75" customHeight="1">
      <c r="A79" s="3">
        <v>78</v>
      </c>
      <c r="B79" s="13">
        <f>'Exponential Item Growth'!$B$5*'Exponential Item Growth'!$B$6^A79</f>
        <v>94.158057566851227</v>
      </c>
      <c r="C79" s="14">
        <f t="shared" si="0"/>
        <v>521.04</v>
      </c>
      <c r="D79" s="15">
        <f>A79*'Exponential Item Growth'!$B$4</f>
        <v>130.26</v>
      </c>
      <c r="E79" s="14">
        <f>IF(ISNA(VLOOKUP(A79,'Exponential Item Growth'!$A$10:$B$18,2,FALSE)),E78, E78*VLOOKUP(A79,'Exponential Item Growth'!$A$10:$B$18,2,FALSE))</f>
        <v>4</v>
      </c>
      <c r="F79" s="14">
        <f>C79*'Exponential Item Growth'!$B$21</f>
        <v>2605.1999999999998</v>
      </c>
      <c r="G79" s="14">
        <f>'Exponential Item Growth'!$B$22*C79</f>
        <v>39078</v>
      </c>
      <c r="H79" s="14">
        <f>'Exponential Item Growth'!$B$23*C79</f>
        <v>521039.99999999994</v>
      </c>
    </row>
    <row r="80" spans="1:8" ht="15.75" customHeight="1">
      <c r="A80" s="3">
        <v>79</v>
      </c>
      <c r="B80" s="13">
        <f>'Exponential Item Growth'!$B$5*'Exponential Item Growth'!$B$6^A80</f>
        <v>99.807541020862331</v>
      </c>
      <c r="C80" s="14">
        <f t="shared" si="0"/>
        <v>527.72</v>
      </c>
      <c r="D80" s="15">
        <f>A80*'Exponential Item Growth'!$B$4</f>
        <v>131.93</v>
      </c>
      <c r="E80" s="14">
        <f>IF(ISNA(VLOOKUP(A80,'Exponential Item Growth'!$A$10:$B$18,2,FALSE)),E79, E79*VLOOKUP(A80,'Exponential Item Growth'!$A$10:$B$18,2,FALSE))</f>
        <v>4</v>
      </c>
      <c r="F80" s="14">
        <f>C80*'Exponential Item Growth'!$B$21</f>
        <v>2638.6000000000004</v>
      </c>
      <c r="G80" s="14">
        <f>'Exponential Item Growth'!$B$22*C80</f>
        <v>39579</v>
      </c>
      <c r="H80" s="14">
        <f>'Exponential Item Growth'!$B$23*C80</f>
        <v>527720</v>
      </c>
    </row>
    <row r="81" spans="1:8" ht="15.75" customHeight="1">
      <c r="A81" s="3">
        <v>80</v>
      </c>
      <c r="B81" s="13">
        <f>'Exponential Item Growth'!$B$5*'Exponential Item Growth'!$B$6^A81</f>
        <v>105.79599348211404</v>
      </c>
      <c r="C81" s="14">
        <f t="shared" si="0"/>
        <v>534.4</v>
      </c>
      <c r="D81" s="15">
        <f>A81*'Exponential Item Growth'!$B$4</f>
        <v>133.6</v>
      </c>
      <c r="E81" s="14">
        <f>IF(ISNA(VLOOKUP(A81,'Exponential Item Growth'!$A$10:$B$18,2,FALSE)),E80, E80*VLOOKUP(A81,'Exponential Item Growth'!$A$10:$B$18,2,FALSE))</f>
        <v>4</v>
      </c>
      <c r="F81" s="14">
        <f>C81*'Exponential Item Growth'!$B$21</f>
        <v>2672</v>
      </c>
      <c r="G81" s="14">
        <f>'Exponential Item Growth'!$B$22*C81</f>
        <v>40080</v>
      </c>
      <c r="H81" s="14">
        <f>'Exponential Item Growth'!$B$23*C81</f>
        <v>534400</v>
      </c>
    </row>
    <row r="82" spans="1:8" ht="15.75" customHeight="1">
      <c r="A82" s="3">
        <v>81</v>
      </c>
      <c r="B82" s="13">
        <f>'Exponential Item Growth'!$B$5*'Exponential Item Growth'!$B$6^A82</f>
        <v>112.14375309104091</v>
      </c>
      <c r="C82" s="14">
        <f t="shared" si="0"/>
        <v>541.07999999999993</v>
      </c>
      <c r="D82" s="15">
        <f>A82*'Exponential Item Growth'!$B$4</f>
        <v>135.26999999999998</v>
      </c>
      <c r="E82" s="14">
        <f>IF(ISNA(VLOOKUP(A82,'Exponential Item Growth'!$A$10:$B$18,2,FALSE)),E81, E81*VLOOKUP(A82,'Exponential Item Growth'!$A$10:$B$18,2,FALSE))</f>
        <v>4</v>
      </c>
      <c r="F82" s="14">
        <f>C82*'Exponential Item Growth'!$B$21</f>
        <v>2705.3999999999996</v>
      </c>
      <c r="G82" s="14">
        <f>'Exponential Item Growth'!$B$22*C82</f>
        <v>40580.999999999993</v>
      </c>
      <c r="H82" s="14">
        <f>'Exponential Item Growth'!$B$23*C82</f>
        <v>541079.99999999988</v>
      </c>
    </row>
    <row r="83" spans="1:8" ht="15.75" customHeight="1">
      <c r="A83" s="3">
        <v>82</v>
      </c>
      <c r="B83" s="13">
        <f>'Exponential Item Growth'!$B$5*'Exponential Item Growth'!$B$6^A83</f>
        <v>118.87237827650335</v>
      </c>
      <c r="C83" s="14">
        <f t="shared" si="0"/>
        <v>547.76</v>
      </c>
      <c r="D83" s="15">
        <f>A83*'Exponential Item Growth'!$B$4</f>
        <v>136.94</v>
      </c>
      <c r="E83" s="14">
        <f>IF(ISNA(VLOOKUP(A83,'Exponential Item Growth'!$A$10:$B$18,2,FALSE)),E82, E82*VLOOKUP(A83,'Exponential Item Growth'!$A$10:$B$18,2,FALSE))</f>
        <v>4</v>
      </c>
      <c r="F83" s="14">
        <f>C83*'Exponential Item Growth'!$B$21</f>
        <v>2738.8</v>
      </c>
      <c r="G83" s="14">
        <f>'Exponential Item Growth'!$B$22*C83</f>
        <v>41082</v>
      </c>
      <c r="H83" s="14">
        <f>'Exponential Item Growth'!$B$23*C83</f>
        <v>547760</v>
      </c>
    </row>
    <row r="84" spans="1:8" ht="15.75" customHeight="1">
      <c r="A84" s="3">
        <v>83</v>
      </c>
      <c r="B84" s="13">
        <f>'Exponential Item Growth'!$B$5*'Exponential Item Growth'!$B$6^A84</f>
        <v>126.00472097309357</v>
      </c>
      <c r="C84" s="14">
        <f t="shared" si="0"/>
        <v>554.43999999999994</v>
      </c>
      <c r="D84" s="15">
        <f>A84*'Exponential Item Growth'!$B$4</f>
        <v>138.60999999999999</v>
      </c>
      <c r="E84" s="14">
        <f>IF(ISNA(VLOOKUP(A84,'Exponential Item Growth'!$A$10:$B$18,2,FALSE)),E83, E83*VLOOKUP(A84,'Exponential Item Growth'!$A$10:$B$18,2,FALSE))</f>
        <v>4</v>
      </c>
      <c r="F84" s="14">
        <f>C84*'Exponential Item Growth'!$B$21</f>
        <v>2772.2</v>
      </c>
      <c r="G84" s="14">
        <f>'Exponential Item Growth'!$B$22*C84</f>
        <v>41582.999999999993</v>
      </c>
      <c r="H84" s="14">
        <f>'Exponential Item Growth'!$B$23*C84</f>
        <v>554439.99999999988</v>
      </c>
    </row>
    <row r="85" spans="1:8" ht="15.75" customHeight="1">
      <c r="A85" s="3">
        <v>84</v>
      </c>
      <c r="B85" s="13">
        <f>'Exponential Item Growth'!$B$5*'Exponential Item Growth'!$B$6^A85</f>
        <v>133.56500423147918</v>
      </c>
      <c r="C85" s="14">
        <f t="shared" si="0"/>
        <v>561.12</v>
      </c>
      <c r="D85" s="15">
        <f>A85*'Exponential Item Growth'!$B$4</f>
        <v>140.28</v>
      </c>
      <c r="E85" s="14">
        <f>IF(ISNA(VLOOKUP(A85,'Exponential Item Growth'!$A$10:$B$18,2,FALSE)),E84, E84*VLOOKUP(A85,'Exponential Item Growth'!$A$10:$B$18,2,FALSE))</f>
        <v>4</v>
      </c>
      <c r="F85" s="14">
        <f>C85*'Exponential Item Growth'!$B$21</f>
        <v>2805.6</v>
      </c>
      <c r="G85" s="14">
        <f>'Exponential Item Growth'!$B$22*C85</f>
        <v>42084</v>
      </c>
      <c r="H85" s="14">
        <f>'Exponential Item Growth'!$B$23*C85</f>
        <v>561120</v>
      </c>
    </row>
    <row r="86" spans="1:8" ht="15.75" customHeight="1">
      <c r="A86" s="3">
        <v>85</v>
      </c>
      <c r="B86" s="13">
        <f>'Exponential Item Growth'!$B$5*'Exponential Item Growth'!$B$6^A86</f>
        <v>141.57890448536796</v>
      </c>
      <c r="C86" s="14">
        <f t="shared" si="0"/>
        <v>567.79999999999995</v>
      </c>
      <c r="D86" s="15">
        <f>A86*'Exponential Item Growth'!$B$4</f>
        <v>141.94999999999999</v>
      </c>
      <c r="E86" s="14">
        <f>IF(ISNA(VLOOKUP(A86,'Exponential Item Growth'!$A$10:$B$18,2,FALSE)),E85, E85*VLOOKUP(A86,'Exponential Item Growth'!$A$10:$B$18,2,FALSE))</f>
        <v>4</v>
      </c>
      <c r="F86" s="14">
        <f>C86*'Exponential Item Growth'!$B$21</f>
        <v>2839</v>
      </c>
      <c r="G86" s="14">
        <f>'Exponential Item Growth'!$B$22*C86</f>
        <v>42585</v>
      </c>
      <c r="H86" s="14">
        <f>'Exponential Item Growth'!$B$23*C86</f>
        <v>567800</v>
      </c>
    </row>
    <row r="87" spans="1:8" ht="15.75" customHeight="1">
      <c r="A87" s="3">
        <v>86</v>
      </c>
      <c r="B87" s="13">
        <f>'Exponential Item Growth'!$B$5*'Exponential Item Growth'!$B$6^A87</f>
        <v>150.07363875449005</v>
      </c>
      <c r="C87" s="14">
        <f t="shared" si="0"/>
        <v>574.48</v>
      </c>
      <c r="D87" s="15">
        <f>A87*'Exponential Item Growth'!$B$4</f>
        <v>143.62</v>
      </c>
      <c r="E87" s="14">
        <f>IF(ISNA(VLOOKUP(A87,'Exponential Item Growth'!$A$10:$B$18,2,FALSE)),E86, E86*VLOOKUP(A87,'Exponential Item Growth'!$A$10:$B$18,2,FALSE))</f>
        <v>4</v>
      </c>
      <c r="F87" s="14">
        <f>C87*'Exponential Item Growth'!$B$21</f>
        <v>2872.4</v>
      </c>
      <c r="G87" s="14">
        <f>'Exponential Item Growth'!$B$22*C87</f>
        <v>43086</v>
      </c>
      <c r="H87" s="14">
        <f>'Exponential Item Growth'!$B$23*C87</f>
        <v>574480</v>
      </c>
    </row>
    <row r="88" spans="1:8" ht="15.75" customHeight="1">
      <c r="A88" s="3">
        <v>87</v>
      </c>
      <c r="B88" s="13">
        <f>'Exponential Item Growth'!$B$5*'Exponential Item Growth'!$B$6^A88</f>
        <v>159.07805707975947</v>
      </c>
      <c r="C88" s="14">
        <f t="shared" si="0"/>
        <v>581.16</v>
      </c>
      <c r="D88" s="15">
        <f>A88*'Exponential Item Growth'!$B$4</f>
        <v>145.29</v>
      </c>
      <c r="E88" s="14">
        <f>IF(ISNA(VLOOKUP(A88,'Exponential Item Growth'!$A$10:$B$18,2,FALSE)),E87, E87*VLOOKUP(A88,'Exponential Item Growth'!$A$10:$B$18,2,FALSE))</f>
        <v>4</v>
      </c>
      <c r="F88" s="14">
        <f>C88*'Exponential Item Growth'!$B$21</f>
        <v>2905.7999999999997</v>
      </c>
      <c r="G88" s="14">
        <f>'Exponential Item Growth'!$B$22*C88</f>
        <v>43587</v>
      </c>
      <c r="H88" s="14">
        <f>'Exponential Item Growth'!$B$23*C88</f>
        <v>581160</v>
      </c>
    </row>
    <row r="89" spans="1:8" ht="15.75" customHeight="1">
      <c r="A89" s="3">
        <v>88</v>
      </c>
      <c r="B89" s="13">
        <f>'Exponential Item Growth'!$B$5*'Exponential Item Growth'!$B$6^A89</f>
        <v>168.62274050454502</v>
      </c>
      <c r="C89" s="14">
        <f t="shared" si="0"/>
        <v>587.83999999999992</v>
      </c>
      <c r="D89" s="15">
        <f>A89*'Exponential Item Growth'!$B$4</f>
        <v>146.95999999999998</v>
      </c>
      <c r="E89" s="14">
        <f>IF(ISNA(VLOOKUP(A89,'Exponential Item Growth'!$A$10:$B$18,2,FALSE)),E88, E88*VLOOKUP(A89,'Exponential Item Growth'!$A$10:$B$18,2,FALSE))</f>
        <v>4</v>
      </c>
      <c r="F89" s="14">
        <f>C89*'Exponential Item Growth'!$B$21</f>
        <v>2939.2</v>
      </c>
      <c r="G89" s="14">
        <f>'Exponential Item Growth'!$B$22*C89</f>
        <v>44087.999999999993</v>
      </c>
      <c r="H89" s="14">
        <f>'Exponential Item Growth'!$B$23*C89</f>
        <v>587839.99999999988</v>
      </c>
    </row>
    <row r="90" spans="1:8" ht="15.75" customHeight="1">
      <c r="A90" s="3">
        <v>89</v>
      </c>
      <c r="B90" s="13">
        <f>'Exponential Item Growth'!$B$5*'Exponential Item Growth'!$B$6^A90</f>
        <v>178.74010493481771</v>
      </c>
      <c r="C90" s="14">
        <f t="shared" si="0"/>
        <v>594.52</v>
      </c>
      <c r="D90" s="15">
        <f>A90*'Exponential Item Growth'!$B$4</f>
        <v>148.63</v>
      </c>
      <c r="E90" s="14">
        <f>IF(ISNA(VLOOKUP(A90,'Exponential Item Growth'!$A$10:$B$18,2,FALSE)),E89, E89*VLOOKUP(A90,'Exponential Item Growth'!$A$10:$B$18,2,FALSE))</f>
        <v>4</v>
      </c>
      <c r="F90" s="14">
        <f>C90*'Exponential Item Growth'!$B$21</f>
        <v>2972.6</v>
      </c>
      <c r="G90" s="14">
        <f>'Exponential Item Growth'!$B$22*C90</f>
        <v>44589</v>
      </c>
      <c r="H90" s="14">
        <f>'Exponential Item Growth'!$B$23*C90</f>
        <v>594520</v>
      </c>
    </row>
    <row r="91" spans="1:8" ht="15.75" customHeight="1">
      <c r="A91" s="3">
        <v>90</v>
      </c>
      <c r="B91" s="13">
        <f>'Exponential Item Growth'!$B$5*'Exponential Item Growth'!$B$6^A91</f>
        <v>189.46451123090679</v>
      </c>
      <c r="C91" s="14">
        <f t="shared" si="0"/>
        <v>601.19999999999993</v>
      </c>
      <c r="D91" s="15">
        <f>A91*'Exponential Item Growth'!$B$4</f>
        <v>150.29999999999998</v>
      </c>
      <c r="E91" s="14">
        <f>IF(ISNA(VLOOKUP(A91,'Exponential Item Growth'!$A$10:$B$18,2,FALSE)),E90, E90*VLOOKUP(A91,'Exponential Item Growth'!$A$10:$B$18,2,FALSE))</f>
        <v>4</v>
      </c>
      <c r="F91" s="14">
        <f>C91*'Exponential Item Growth'!$B$21</f>
        <v>3005.9999999999995</v>
      </c>
      <c r="G91" s="14">
        <f>'Exponential Item Growth'!$B$22*C91</f>
        <v>45089.999999999993</v>
      </c>
      <c r="H91" s="14">
        <f>'Exponential Item Growth'!$B$23*C91</f>
        <v>601199.99999999988</v>
      </c>
    </row>
    <row r="92" spans="1:8" ht="15.75" customHeight="1">
      <c r="A92" s="3">
        <v>91</v>
      </c>
      <c r="B92" s="13">
        <f>'Exponential Item Growth'!$B$5*'Exponential Item Growth'!$B$6^A92</f>
        <v>200.83238190476123</v>
      </c>
      <c r="C92" s="14">
        <f t="shared" si="0"/>
        <v>607.88</v>
      </c>
      <c r="D92" s="15">
        <f>A92*'Exponential Item Growth'!$B$4</f>
        <v>151.97</v>
      </c>
      <c r="E92" s="14">
        <f>IF(ISNA(VLOOKUP(A92,'Exponential Item Growth'!$A$10:$B$18,2,FALSE)),E91, E91*VLOOKUP(A92,'Exponential Item Growth'!$A$10:$B$18,2,FALSE))</f>
        <v>4</v>
      </c>
      <c r="F92" s="14">
        <f>C92*'Exponential Item Growth'!$B$21</f>
        <v>3039.4</v>
      </c>
      <c r="G92" s="14">
        <f>'Exponential Item Growth'!$B$22*C92</f>
        <v>45591</v>
      </c>
      <c r="H92" s="14">
        <f>'Exponential Item Growth'!$B$23*C92</f>
        <v>607880</v>
      </c>
    </row>
    <row r="93" spans="1:8" ht="15.75" customHeight="1">
      <c r="A93" s="3">
        <v>92</v>
      </c>
      <c r="B93" s="13">
        <f>'Exponential Item Growth'!$B$5*'Exponential Item Growth'!$B$6^A93</f>
        <v>212.88232481904691</v>
      </c>
      <c r="C93" s="14">
        <f t="shared" si="0"/>
        <v>614.55999999999995</v>
      </c>
      <c r="D93" s="15">
        <f>A93*'Exponential Item Growth'!$B$4</f>
        <v>153.63999999999999</v>
      </c>
      <c r="E93" s="14">
        <f>IF(ISNA(VLOOKUP(A93,'Exponential Item Growth'!$A$10:$B$18,2,FALSE)),E92, E92*VLOOKUP(A93,'Exponential Item Growth'!$A$10:$B$18,2,FALSE))</f>
        <v>4</v>
      </c>
      <c r="F93" s="14">
        <f>C93*'Exponential Item Growth'!$B$21</f>
        <v>3072.7999999999997</v>
      </c>
      <c r="G93" s="14">
        <f>'Exponential Item Growth'!$B$22*C93</f>
        <v>46091.999999999993</v>
      </c>
      <c r="H93" s="14">
        <f>'Exponential Item Growth'!$B$23*C93</f>
        <v>614560</v>
      </c>
    </row>
    <row r="94" spans="1:8" ht="15.75" customHeight="1">
      <c r="A94" s="3">
        <v>93</v>
      </c>
      <c r="B94" s="13">
        <f>'Exponential Item Growth'!$B$5*'Exponential Item Growth'!$B$6^A94</f>
        <v>225.65526430818974</v>
      </c>
      <c r="C94" s="14">
        <f t="shared" si="0"/>
        <v>621.24</v>
      </c>
      <c r="D94" s="15">
        <f>A94*'Exponential Item Growth'!$B$4</f>
        <v>155.31</v>
      </c>
      <c r="E94" s="14">
        <f>IF(ISNA(VLOOKUP(A94,'Exponential Item Growth'!$A$10:$B$18,2,FALSE)),E93, E93*VLOOKUP(A94,'Exponential Item Growth'!$A$10:$B$18,2,FALSE))</f>
        <v>4</v>
      </c>
      <c r="F94" s="14">
        <f>C94*'Exponential Item Growth'!$B$21</f>
        <v>3106.2</v>
      </c>
      <c r="G94" s="14">
        <f>'Exponential Item Growth'!$B$22*C94</f>
        <v>46593</v>
      </c>
      <c r="H94" s="14">
        <f>'Exponential Item Growth'!$B$23*C94</f>
        <v>621240</v>
      </c>
    </row>
    <row r="95" spans="1:8" ht="15.75" customHeight="1">
      <c r="A95" s="3">
        <v>94</v>
      </c>
      <c r="B95" s="13">
        <f>'Exponential Item Growth'!$B$5*'Exponential Item Growth'!$B$6^A95</f>
        <v>239.19458016668113</v>
      </c>
      <c r="C95" s="14">
        <f t="shared" si="0"/>
        <v>627.91999999999996</v>
      </c>
      <c r="D95" s="15">
        <f>A95*'Exponential Item Growth'!$B$4</f>
        <v>156.97999999999999</v>
      </c>
      <c r="E95" s="14">
        <f>IF(ISNA(VLOOKUP(A95,'Exponential Item Growth'!$A$10:$B$18,2,FALSE)),E94, E94*VLOOKUP(A95,'Exponential Item Growth'!$A$10:$B$18,2,FALSE))</f>
        <v>4</v>
      </c>
      <c r="F95" s="14">
        <f>C95*'Exponential Item Growth'!$B$21</f>
        <v>3139.6</v>
      </c>
      <c r="G95" s="14">
        <f>'Exponential Item Growth'!$B$22*C95</f>
        <v>47094</v>
      </c>
      <c r="H95" s="14">
        <f>'Exponential Item Growth'!$B$23*C95</f>
        <v>627920</v>
      </c>
    </row>
    <row r="96" spans="1:8" ht="15.75" customHeight="1">
      <c r="A96" s="3">
        <v>95</v>
      </c>
      <c r="B96" s="13">
        <f>'Exponential Item Growth'!$B$5*'Exponential Item Growth'!$B$6^A96</f>
        <v>253.54625497668206</v>
      </c>
      <c r="C96" s="14">
        <f t="shared" si="0"/>
        <v>634.6</v>
      </c>
      <c r="D96" s="15">
        <f>A96*'Exponential Item Growth'!$B$4</f>
        <v>158.65</v>
      </c>
      <c r="E96" s="14">
        <f>IF(ISNA(VLOOKUP(A96,'Exponential Item Growth'!$A$10:$B$18,2,FALSE)),E95, E95*VLOOKUP(A96,'Exponential Item Growth'!$A$10:$B$18,2,FALSE))</f>
        <v>4</v>
      </c>
      <c r="F96" s="14">
        <f>C96*'Exponential Item Growth'!$B$21</f>
        <v>3173</v>
      </c>
      <c r="G96" s="14">
        <f>'Exponential Item Growth'!$B$22*C96</f>
        <v>47595</v>
      </c>
      <c r="H96" s="14">
        <f>'Exponential Item Growth'!$B$23*C96</f>
        <v>634600</v>
      </c>
    </row>
    <row r="97" spans="1:8" ht="15.75" customHeight="1">
      <c r="A97" s="3">
        <v>96</v>
      </c>
      <c r="B97" s="13">
        <f>'Exponential Item Growth'!$B$5*'Exponential Item Growth'!$B$6^A97</f>
        <v>268.75903027528295</v>
      </c>
      <c r="C97" s="14">
        <f t="shared" si="0"/>
        <v>641.28</v>
      </c>
      <c r="D97" s="15">
        <f>A97*'Exponential Item Growth'!$B$4</f>
        <v>160.32</v>
      </c>
      <c r="E97" s="14">
        <f>IF(ISNA(VLOOKUP(A97,'Exponential Item Growth'!$A$10:$B$18,2,FALSE)),E96, E96*VLOOKUP(A97,'Exponential Item Growth'!$A$10:$B$18,2,FALSE))</f>
        <v>4</v>
      </c>
      <c r="F97" s="14">
        <f>C97*'Exponential Item Growth'!$B$21</f>
        <v>3206.3999999999996</v>
      </c>
      <c r="G97" s="14">
        <f>'Exponential Item Growth'!$B$22*C97</f>
        <v>48096</v>
      </c>
      <c r="H97" s="14">
        <f>'Exponential Item Growth'!$B$23*C97</f>
        <v>641280</v>
      </c>
    </row>
    <row r="98" spans="1:8" ht="15.75" customHeight="1">
      <c r="A98" s="3">
        <v>97</v>
      </c>
      <c r="B98" s="13">
        <f>'Exponential Item Growth'!$B$5*'Exponential Item Growth'!$B$6^A98</f>
        <v>284.8845720917999</v>
      </c>
      <c r="C98" s="14">
        <f t="shared" si="0"/>
        <v>647.95999999999992</v>
      </c>
      <c r="D98" s="15">
        <f>A98*'Exponential Item Growth'!$B$4</f>
        <v>161.98999999999998</v>
      </c>
      <c r="E98" s="14">
        <f>IF(ISNA(VLOOKUP(A98,'Exponential Item Growth'!$A$10:$B$18,2,FALSE)),E97, E97*VLOOKUP(A98,'Exponential Item Growth'!$A$10:$B$18,2,FALSE))</f>
        <v>4</v>
      </c>
      <c r="F98" s="14">
        <f>C98*'Exponential Item Growth'!$B$21</f>
        <v>3239.7999999999997</v>
      </c>
      <c r="G98" s="14">
        <f>'Exponential Item Growth'!$B$22*C98</f>
        <v>48596.999999999993</v>
      </c>
      <c r="H98" s="14">
        <f>'Exponential Item Growth'!$B$23*C98</f>
        <v>647959.99999999988</v>
      </c>
    </row>
    <row r="99" spans="1:8" ht="15.75" customHeight="1">
      <c r="A99" s="3">
        <v>98</v>
      </c>
      <c r="B99" s="13">
        <f>'Exponential Item Growth'!$B$5*'Exponential Item Growth'!$B$6^A99</f>
        <v>301.97764641730794</v>
      </c>
      <c r="C99" s="14">
        <f t="shared" si="0"/>
        <v>654.64</v>
      </c>
      <c r="D99" s="15">
        <f>A99*'Exponential Item Growth'!$B$4</f>
        <v>163.66</v>
      </c>
      <c r="E99" s="14">
        <f>IF(ISNA(VLOOKUP(A99,'Exponential Item Growth'!$A$10:$B$18,2,FALSE)),E98, E98*VLOOKUP(A99,'Exponential Item Growth'!$A$10:$B$18,2,FALSE))</f>
        <v>4</v>
      </c>
      <c r="F99" s="14">
        <f>C99*'Exponential Item Growth'!$B$21</f>
        <v>3273.2</v>
      </c>
      <c r="G99" s="14">
        <f>'Exponential Item Growth'!$B$22*C99</f>
        <v>49098</v>
      </c>
      <c r="H99" s="14">
        <f>'Exponential Item Growth'!$B$23*C99</f>
        <v>654640</v>
      </c>
    </row>
    <row r="100" spans="1:8" ht="15.75" customHeight="1">
      <c r="A100" s="3">
        <v>99</v>
      </c>
      <c r="B100" s="13">
        <f>'Exponential Item Growth'!$B$5*'Exponential Item Growth'!$B$6^A100</f>
        <v>320.09630520234646</v>
      </c>
      <c r="C100" s="14">
        <f t="shared" si="0"/>
        <v>661.31999999999994</v>
      </c>
      <c r="D100" s="15">
        <f>A100*'Exponential Item Growth'!$B$4</f>
        <v>165.32999999999998</v>
      </c>
      <c r="E100" s="14">
        <f>IF(ISNA(VLOOKUP(A100,'Exponential Item Growth'!$A$10:$B$18,2,FALSE)),E99, E99*VLOOKUP(A100,'Exponential Item Growth'!$A$10:$B$18,2,FALSE))</f>
        <v>4</v>
      </c>
      <c r="F100" s="14">
        <f>C100*'Exponential Item Growth'!$B$21</f>
        <v>3306.5999999999995</v>
      </c>
      <c r="G100" s="14">
        <f>'Exponential Item Growth'!$B$22*C100</f>
        <v>49598.999999999993</v>
      </c>
      <c r="H100" s="14">
        <f>'Exponential Item Growth'!$B$23*C100</f>
        <v>661319.99999999988</v>
      </c>
    </row>
    <row r="101" spans="1:8" ht="15.75" customHeight="1">
      <c r="A101" s="3">
        <v>100</v>
      </c>
      <c r="B101" s="13">
        <f>'Exponential Item Growth'!$B$5*'Exponential Item Growth'!$B$6^A101</f>
        <v>339.30208351448726</v>
      </c>
      <c r="C101" s="14">
        <f t="shared" si="0"/>
        <v>1336</v>
      </c>
      <c r="D101" s="15">
        <f>A101*'Exponential Item Growth'!$B$4</f>
        <v>167</v>
      </c>
      <c r="E101" s="14">
        <f>IF(ISNA(VLOOKUP(A101,'Exponential Item Growth'!$A$10:$B$18,2,FALSE)),E100, E100*VLOOKUP(A101,'Exponential Item Growth'!$A$10:$B$18,2,FALSE))</f>
        <v>8</v>
      </c>
      <c r="F101" s="14">
        <f>C101*'Exponential Item Growth'!$B$21</f>
        <v>6680</v>
      </c>
      <c r="G101" s="14">
        <f>'Exponential Item Growth'!$B$22*C101</f>
        <v>100200</v>
      </c>
      <c r="H101" s="14">
        <f>'Exponential Item Growth'!$B$23*C101</f>
        <v>1336000</v>
      </c>
    </row>
    <row r="102" spans="1:8" ht="15.75" customHeight="1">
      <c r="A102" s="3">
        <v>101</v>
      </c>
      <c r="B102" s="13">
        <f>'Exponential Item Growth'!$B$5*'Exponential Item Growth'!$B$6^A102</f>
        <v>359.6602085253565</v>
      </c>
      <c r="C102" s="14">
        <f t="shared" si="0"/>
        <v>1349.36</v>
      </c>
      <c r="D102" s="15">
        <f>A102*'Exponential Item Growth'!$B$4</f>
        <v>168.67</v>
      </c>
      <c r="E102" s="14">
        <f>IF(ISNA(VLOOKUP(A102,'Exponential Item Growth'!$A$10:$B$18,2,FALSE)),E101, E101*VLOOKUP(A102,'Exponential Item Growth'!$A$10:$B$18,2,FALSE))</f>
        <v>8</v>
      </c>
      <c r="F102" s="14">
        <f>C102*'Exponential Item Growth'!$B$21</f>
        <v>6746.7999999999993</v>
      </c>
      <c r="G102" s="14">
        <f>'Exponential Item Growth'!$B$22*C102</f>
        <v>101201.99999999999</v>
      </c>
      <c r="H102" s="14">
        <f>'Exponential Item Growth'!$B$23*C102</f>
        <v>1349360</v>
      </c>
    </row>
    <row r="103" spans="1:8" ht="15.75" customHeight="1">
      <c r="A103" s="3">
        <v>102</v>
      </c>
      <c r="B103" s="13">
        <f>'Exponential Item Growth'!$B$5*'Exponential Item Growth'!$B$6^A103</f>
        <v>381.23982103687797</v>
      </c>
      <c r="C103" s="14">
        <f t="shared" si="0"/>
        <v>1362.72</v>
      </c>
      <c r="D103" s="15">
        <f>A103*'Exponential Item Growth'!$B$4</f>
        <v>170.34</v>
      </c>
      <c r="E103" s="14">
        <f>IF(ISNA(VLOOKUP(A103,'Exponential Item Growth'!$A$10:$B$18,2,FALSE)),E102, E102*VLOOKUP(A103,'Exponential Item Growth'!$A$10:$B$18,2,FALSE))</f>
        <v>8</v>
      </c>
      <c r="F103" s="14">
        <f>C103*'Exponential Item Growth'!$B$21</f>
        <v>6813.6</v>
      </c>
      <c r="G103" s="14">
        <f>'Exponential Item Growth'!$B$22*C103</f>
        <v>102204</v>
      </c>
      <c r="H103" s="14">
        <f>'Exponential Item Growth'!$B$23*C103</f>
        <v>1362720</v>
      </c>
    </row>
    <row r="104" spans="1:8" ht="15.75" customHeight="1">
      <c r="A104" s="3">
        <v>103</v>
      </c>
      <c r="B104" s="13">
        <f>'Exponential Item Growth'!$B$5*'Exponential Item Growth'!$B$6^A104</f>
        <v>404.1142102990907</v>
      </c>
      <c r="C104" s="14">
        <f t="shared" si="0"/>
        <v>1376.08</v>
      </c>
      <c r="D104" s="15">
        <f>A104*'Exponential Item Growth'!$B$4</f>
        <v>172.01</v>
      </c>
      <c r="E104" s="14">
        <f>IF(ISNA(VLOOKUP(A104,'Exponential Item Growth'!$A$10:$B$18,2,FALSE)),E103, E103*VLOOKUP(A104,'Exponential Item Growth'!$A$10:$B$18,2,FALSE))</f>
        <v>8</v>
      </c>
      <c r="F104" s="14">
        <f>C104*'Exponential Item Growth'!$B$21</f>
        <v>6880.4</v>
      </c>
      <c r="G104" s="14">
        <f>'Exponential Item Growth'!$B$22*C104</f>
        <v>103206</v>
      </c>
      <c r="H104" s="14">
        <f>'Exponential Item Growth'!$B$23*C104</f>
        <v>1376080</v>
      </c>
    </row>
    <row r="105" spans="1:8" ht="15.75" customHeight="1">
      <c r="A105" s="3">
        <v>104</v>
      </c>
      <c r="B105" s="13">
        <f>'Exponential Item Growth'!$B$5*'Exponential Item Growth'!$B$6^A105</f>
        <v>428.36106291703607</v>
      </c>
      <c r="C105" s="14">
        <f t="shared" si="0"/>
        <v>1389.44</v>
      </c>
      <c r="D105" s="15">
        <f>A105*'Exponential Item Growth'!$B$4</f>
        <v>173.68</v>
      </c>
      <c r="E105" s="14">
        <f>IF(ISNA(VLOOKUP(A105,'Exponential Item Growth'!$A$10:$B$18,2,FALSE)),E104, E104*VLOOKUP(A105,'Exponential Item Growth'!$A$10:$B$18,2,FALSE))</f>
        <v>8</v>
      </c>
      <c r="F105" s="14">
        <f>C105*'Exponential Item Growth'!$B$21</f>
        <v>6947.2000000000007</v>
      </c>
      <c r="G105" s="14">
        <f>'Exponential Item Growth'!$B$22*C105</f>
        <v>104208</v>
      </c>
      <c r="H105" s="14">
        <f>'Exponential Item Growth'!$B$23*C105</f>
        <v>1389440</v>
      </c>
    </row>
    <row r="106" spans="1:8" ht="15.75" customHeight="1">
      <c r="A106" s="3">
        <v>105</v>
      </c>
      <c r="B106" s="13">
        <f>'Exponential Item Growth'!$B$5*'Exponential Item Growth'!$B$6^A106</f>
        <v>454.06272669205822</v>
      </c>
      <c r="C106" s="14">
        <f t="shared" si="0"/>
        <v>1402.8</v>
      </c>
      <c r="D106" s="15">
        <f>A106*'Exponential Item Growth'!$B$4</f>
        <v>175.35</v>
      </c>
      <c r="E106" s="14">
        <f>IF(ISNA(VLOOKUP(A106,'Exponential Item Growth'!$A$10:$B$18,2,FALSE)),E105, E105*VLOOKUP(A106,'Exponential Item Growth'!$A$10:$B$18,2,FALSE))</f>
        <v>8</v>
      </c>
      <c r="F106" s="14">
        <f>C106*'Exponential Item Growth'!$B$21</f>
        <v>7014</v>
      </c>
      <c r="G106" s="14">
        <f>'Exponential Item Growth'!$B$22*C106</f>
        <v>105210</v>
      </c>
      <c r="H106" s="14">
        <f>'Exponential Item Growth'!$B$23*C106</f>
        <v>1402800</v>
      </c>
    </row>
    <row r="107" spans="1:8" ht="15.75" customHeight="1">
      <c r="A107" s="3">
        <v>106</v>
      </c>
      <c r="B107" s="13">
        <f>'Exponential Item Growth'!$B$5*'Exponential Item Growth'!$B$6^A107</f>
        <v>481.30649029358176</v>
      </c>
      <c r="C107" s="14">
        <f t="shared" si="0"/>
        <v>1416.1599999999999</v>
      </c>
      <c r="D107" s="15">
        <f>A107*'Exponential Item Growth'!$B$4</f>
        <v>177.01999999999998</v>
      </c>
      <c r="E107" s="14">
        <f>IF(ISNA(VLOOKUP(A107,'Exponential Item Growth'!$A$10:$B$18,2,FALSE)),E106, E106*VLOOKUP(A107,'Exponential Item Growth'!$A$10:$B$18,2,FALSE))</f>
        <v>8</v>
      </c>
      <c r="F107" s="14">
        <f>C107*'Exponential Item Growth'!$B$21</f>
        <v>7080.7999999999993</v>
      </c>
      <c r="G107" s="14">
        <f>'Exponential Item Growth'!$B$22*C107</f>
        <v>106211.99999999999</v>
      </c>
      <c r="H107" s="14">
        <f>'Exponential Item Growth'!$B$23*C107</f>
        <v>1416159.9999999998</v>
      </c>
    </row>
    <row r="108" spans="1:8" ht="15.75" customHeight="1">
      <c r="A108" s="3">
        <v>107</v>
      </c>
      <c r="B108" s="13">
        <f>'Exponential Item Growth'!$B$5*'Exponential Item Growth'!$B$6^A108</f>
        <v>510.18487971119674</v>
      </c>
      <c r="C108" s="14">
        <f t="shared" si="0"/>
        <v>1429.52</v>
      </c>
      <c r="D108" s="15">
        <f>A108*'Exponential Item Growth'!$B$4</f>
        <v>178.69</v>
      </c>
      <c r="E108" s="14">
        <f>IF(ISNA(VLOOKUP(A108,'Exponential Item Growth'!$A$10:$B$18,2,FALSE)),E107, E107*VLOOKUP(A108,'Exponential Item Growth'!$A$10:$B$18,2,FALSE))</f>
        <v>8</v>
      </c>
      <c r="F108" s="14">
        <f>C108*'Exponential Item Growth'!$B$21</f>
        <v>7147.6</v>
      </c>
      <c r="G108" s="14">
        <f>'Exponential Item Growth'!$B$22*C108</f>
        <v>107214</v>
      </c>
      <c r="H108" s="14">
        <f>'Exponential Item Growth'!$B$23*C108</f>
        <v>1429520</v>
      </c>
    </row>
    <row r="109" spans="1:8" ht="15.75" customHeight="1">
      <c r="A109" s="3">
        <v>108</v>
      </c>
      <c r="B109" s="13">
        <f>'Exponential Item Growth'!$B$5*'Exponential Item Growth'!$B$6^A109</f>
        <v>540.79597249386859</v>
      </c>
      <c r="C109" s="14">
        <f t="shared" si="0"/>
        <v>1442.8799999999999</v>
      </c>
      <c r="D109" s="15">
        <f>A109*'Exponential Item Growth'!$B$4</f>
        <v>180.35999999999999</v>
      </c>
      <c r="E109" s="14">
        <f>IF(ISNA(VLOOKUP(A109,'Exponential Item Growth'!$A$10:$B$18,2,FALSE)),E108, E108*VLOOKUP(A109,'Exponential Item Growth'!$A$10:$B$18,2,FALSE))</f>
        <v>8</v>
      </c>
      <c r="F109" s="14">
        <f>C109*'Exponential Item Growth'!$B$21</f>
        <v>7214.4</v>
      </c>
      <c r="G109" s="14">
        <f>'Exponential Item Growth'!$B$22*C109</f>
        <v>108215.99999999999</v>
      </c>
      <c r="H109" s="14">
        <f>'Exponential Item Growth'!$B$23*C109</f>
        <v>1442879.9999999998</v>
      </c>
    </row>
    <row r="110" spans="1:8" ht="15.75" customHeight="1">
      <c r="A110" s="3">
        <v>109</v>
      </c>
      <c r="B110" s="13">
        <f>'Exponential Item Growth'!$B$5*'Exponential Item Growth'!$B$6^A110</f>
        <v>573.24373084350077</v>
      </c>
      <c r="C110" s="14">
        <f t="shared" si="0"/>
        <v>1456.24</v>
      </c>
      <c r="D110" s="15">
        <f>A110*'Exponential Item Growth'!$B$4</f>
        <v>182.03</v>
      </c>
      <c r="E110" s="14">
        <f>IF(ISNA(VLOOKUP(A110,'Exponential Item Growth'!$A$10:$B$18,2,FALSE)),E109, E109*VLOOKUP(A110,'Exponential Item Growth'!$A$10:$B$18,2,FALSE))</f>
        <v>8</v>
      </c>
      <c r="F110" s="14">
        <f>C110*'Exponential Item Growth'!$B$21</f>
        <v>7281.2</v>
      </c>
      <c r="G110" s="14">
        <f>'Exponential Item Growth'!$B$22*C110</f>
        <v>109218</v>
      </c>
      <c r="H110" s="14">
        <f>'Exponential Item Growth'!$B$23*C110</f>
        <v>1456240</v>
      </c>
    </row>
    <row r="111" spans="1:8" ht="15.75" customHeight="1">
      <c r="A111" s="3">
        <v>110</v>
      </c>
      <c r="B111" s="13">
        <f>'Exponential Item Growth'!$B$5*'Exponential Item Growth'!$B$6^A111</f>
        <v>607.63835469411083</v>
      </c>
      <c r="C111" s="14">
        <f t="shared" si="0"/>
        <v>1469.6</v>
      </c>
      <c r="D111" s="15">
        <f>A111*'Exponential Item Growth'!$B$4</f>
        <v>183.7</v>
      </c>
      <c r="E111" s="14">
        <f>IF(ISNA(VLOOKUP(A111,'Exponential Item Growth'!$A$10:$B$18,2,FALSE)),E110, E110*VLOOKUP(A111,'Exponential Item Growth'!$A$10:$B$18,2,FALSE))</f>
        <v>8</v>
      </c>
      <c r="F111" s="14">
        <f>C111*'Exponential Item Growth'!$B$21</f>
        <v>7348</v>
      </c>
      <c r="G111" s="14">
        <f>'Exponential Item Growth'!$B$22*C111</f>
        <v>110220</v>
      </c>
      <c r="H111" s="14">
        <f>'Exponential Item Growth'!$B$23*C111</f>
        <v>1469600</v>
      </c>
    </row>
    <row r="112" spans="1:8" ht="15.75" customHeight="1">
      <c r="A112" s="3">
        <v>111</v>
      </c>
      <c r="B112" s="13">
        <f>'Exponential Item Growth'!$B$5*'Exponential Item Growth'!$B$6^A112</f>
        <v>644.09665597575759</v>
      </c>
      <c r="C112" s="14">
        <f t="shared" si="0"/>
        <v>1482.96</v>
      </c>
      <c r="D112" s="15">
        <f>A112*'Exponential Item Growth'!$B$4</f>
        <v>185.37</v>
      </c>
      <c r="E112" s="14">
        <f>IF(ISNA(VLOOKUP(A112,'Exponential Item Growth'!$A$10:$B$18,2,FALSE)),E111, E111*VLOOKUP(A112,'Exponential Item Growth'!$A$10:$B$18,2,FALSE))</f>
        <v>8</v>
      </c>
      <c r="F112" s="14">
        <f>C112*'Exponential Item Growth'!$B$21</f>
        <v>7414.8</v>
      </c>
      <c r="G112" s="14">
        <f>'Exponential Item Growth'!$B$22*C112</f>
        <v>111222</v>
      </c>
      <c r="H112" s="14">
        <f>'Exponential Item Growth'!$B$23*C112</f>
        <v>1482960</v>
      </c>
    </row>
    <row r="113" spans="1:8" ht="15.75" customHeight="1">
      <c r="A113" s="3">
        <v>112</v>
      </c>
      <c r="B113" s="13">
        <f>'Exponential Item Growth'!$B$5*'Exponential Item Growth'!$B$6^A113</f>
        <v>682.74245533430292</v>
      </c>
      <c r="C113" s="14">
        <f t="shared" si="0"/>
        <v>1496.32</v>
      </c>
      <c r="D113" s="15">
        <f>A113*'Exponential Item Growth'!$B$4</f>
        <v>187.04</v>
      </c>
      <c r="E113" s="14">
        <f>IF(ISNA(VLOOKUP(A113,'Exponential Item Growth'!$A$10:$B$18,2,FALSE)),E112, E112*VLOOKUP(A113,'Exponential Item Growth'!$A$10:$B$18,2,FALSE))</f>
        <v>8</v>
      </c>
      <c r="F113" s="14">
        <f>C113*'Exponential Item Growth'!$B$21</f>
        <v>7481.5999999999995</v>
      </c>
      <c r="G113" s="14">
        <f>'Exponential Item Growth'!$B$22*C113</f>
        <v>112224</v>
      </c>
      <c r="H113" s="14">
        <f>'Exponential Item Growth'!$B$23*C113</f>
        <v>1496320</v>
      </c>
    </row>
    <row r="114" spans="1:8" ht="15.75" customHeight="1">
      <c r="A114" s="3">
        <v>113</v>
      </c>
      <c r="B114" s="13">
        <f>'Exponential Item Growth'!$B$5*'Exponential Item Growth'!$B$6^A114</f>
        <v>723.70700265436119</v>
      </c>
      <c r="C114" s="14">
        <f t="shared" si="0"/>
        <v>1509.6799999999998</v>
      </c>
      <c r="D114" s="15">
        <f>A114*'Exponential Item Growth'!$B$4</f>
        <v>188.70999999999998</v>
      </c>
      <c r="E114" s="14">
        <f>IF(ISNA(VLOOKUP(A114,'Exponential Item Growth'!$A$10:$B$18,2,FALSE)),E113, E113*VLOOKUP(A114,'Exponential Item Growth'!$A$10:$B$18,2,FALSE))</f>
        <v>8</v>
      </c>
      <c r="F114" s="14">
        <f>C114*'Exponential Item Growth'!$B$21</f>
        <v>7548.4</v>
      </c>
      <c r="G114" s="14">
        <f>'Exponential Item Growth'!$B$22*C114</f>
        <v>113225.99999999999</v>
      </c>
      <c r="H114" s="14">
        <f>'Exponential Item Growth'!$B$23*C114</f>
        <v>1509679.9999999998</v>
      </c>
    </row>
    <row r="115" spans="1:8" ht="15.75" customHeight="1">
      <c r="A115" s="3">
        <v>114</v>
      </c>
      <c r="B115" s="13">
        <f>'Exponential Item Growth'!$B$5*'Exponential Item Growth'!$B$6^A115</f>
        <v>767.1294228136228</v>
      </c>
      <c r="C115" s="14">
        <f t="shared" si="0"/>
        <v>1523.04</v>
      </c>
      <c r="D115" s="15">
        <f>A115*'Exponential Item Growth'!$B$4</f>
        <v>190.38</v>
      </c>
      <c r="E115" s="14">
        <f>IF(ISNA(VLOOKUP(A115,'Exponential Item Growth'!$A$10:$B$18,2,FALSE)),E114, E114*VLOOKUP(A115,'Exponential Item Growth'!$A$10:$B$18,2,FALSE))</f>
        <v>8</v>
      </c>
      <c r="F115" s="14">
        <f>C115*'Exponential Item Growth'!$B$21</f>
        <v>7615.2</v>
      </c>
      <c r="G115" s="14">
        <f>'Exponential Item Growth'!$B$22*C115</f>
        <v>114228</v>
      </c>
      <c r="H115" s="14">
        <f>'Exponential Item Growth'!$B$23*C115</f>
        <v>1523040</v>
      </c>
    </row>
    <row r="116" spans="1:8" ht="15.75" customHeight="1">
      <c r="A116" s="3">
        <v>115</v>
      </c>
      <c r="B116" s="13">
        <f>'Exponential Item Growth'!$B$5*'Exponential Item Growth'!$B$6^A116</f>
        <v>813.15718818244022</v>
      </c>
      <c r="C116" s="14">
        <f t="shared" si="0"/>
        <v>1536.3999999999999</v>
      </c>
      <c r="D116" s="15">
        <f>A116*'Exponential Item Growth'!$B$4</f>
        <v>192.04999999999998</v>
      </c>
      <c r="E116" s="14">
        <f>IF(ISNA(VLOOKUP(A116,'Exponential Item Growth'!$A$10:$B$18,2,FALSE)),E115, E115*VLOOKUP(A116,'Exponential Item Growth'!$A$10:$B$18,2,FALSE))</f>
        <v>8</v>
      </c>
      <c r="F116" s="14">
        <f>C116*'Exponential Item Growth'!$B$21</f>
        <v>7681.9999999999991</v>
      </c>
      <c r="G116" s="14">
        <f>'Exponential Item Growth'!$B$22*C116</f>
        <v>115229.99999999999</v>
      </c>
      <c r="H116" s="14">
        <f>'Exponential Item Growth'!$B$23*C116</f>
        <v>1536399.9999999998</v>
      </c>
    </row>
    <row r="117" spans="1:8" ht="15.75" customHeight="1">
      <c r="A117" s="3">
        <v>116</v>
      </c>
      <c r="B117" s="13">
        <f>'Exponential Item Growth'!$B$5*'Exponential Item Growth'!$B$6^A117</f>
        <v>861.9466194733867</v>
      </c>
      <c r="C117" s="14">
        <f t="shared" si="0"/>
        <v>1549.76</v>
      </c>
      <c r="D117" s="15">
        <f>A117*'Exponential Item Growth'!$B$4</f>
        <v>193.72</v>
      </c>
      <c r="E117" s="14">
        <f>IF(ISNA(VLOOKUP(A117,'Exponential Item Growth'!$A$10:$B$18,2,FALSE)),E116, E116*VLOOKUP(A117,'Exponential Item Growth'!$A$10:$B$18,2,FALSE))</f>
        <v>8</v>
      </c>
      <c r="F117" s="14">
        <f>C117*'Exponential Item Growth'!$B$21</f>
        <v>7748.8</v>
      </c>
      <c r="G117" s="14">
        <f>'Exponential Item Growth'!$B$22*C117</f>
        <v>116232</v>
      </c>
      <c r="H117" s="14">
        <f>'Exponential Item Growth'!$B$23*C117</f>
        <v>1549760</v>
      </c>
    </row>
    <row r="118" spans="1:8" ht="15.75" customHeight="1">
      <c r="A118" s="3">
        <v>117</v>
      </c>
      <c r="B118" s="13">
        <f>'Exponential Item Growth'!$B$5*'Exponential Item Growth'!$B$6^A118</f>
        <v>913.66341664179015</v>
      </c>
      <c r="C118" s="14">
        <f t="shared" si="0"/>
        <v>1563.12</v>
      </c>
      <c r="D118" s="15">
        <f>A118*'Exponential Item Growth'!$B$4</f>
        <v>195.39</v>
      </c>
      <c r="E118" s="14">
        <f>IF(ISNA(VLOOKUP(A118,'Exponential Item Growth'!$A$10:$B$18,2,FALSE)),E117, E117*VLOOKUP(A118,'Exponential Item Growth'!$A$10:$B$18,2,FALSE))</f>
        <v>8</v>
      </c>
      <c r="F118" s="14">
        <f>C118*'Exponential Item Growth'!$B$21</f>
        <v>7815.5999999999995</v>
      </c>
      <c r="G118" s="14">
        <f>'Exponential Item Growth'!$B$22*C118</f>
        <v>117233.99999999999</v>
      </c>
      <c r="H118" s="14">
        <f>'Exponential Item Growth'!$B$23*C118</f>
        <v>1563120</v>
      </c>
    </row>
    <row r="119" spans="1:8" ht="15.75" customHeight="1">
      <c r="A119" s="3">
        <v>118</v>
      </c>
      <c r="B119" s="13">
        <f>'Exponential Item Growth'!$B$5*'Exponential Item Growth'!$B$6^A119</f>
        <v>968.48322164029753</v>
      </c>
      <c r="C119" s="14">
        <f t="shared" si="0"/>
        <v>1576.48</v>
      </c>
      <c r="D119" s="15">
        <f>A119*'Exponential Item Growth'!$B$4</f>
        <v>197.06</v>
      </c>
      <c r="E119" s="14">
        <f>IF(ISNA(VLOOKUP(A119,'Exponential Item Growth'!$A$10:$B$18,2,FALSE)),E118, E118*VLOOKUP(A119,'Exponential Item Growth'!$A$10:$B$18,2,FALSE))</f>
        <v>8</v>
      </c>
      <c r="F119" s="14">
        <f>C119*'Exponential Item Growth'!$B$21</f>
        <v>7882.4</v>
      </c>
      <c r="G119" s="14">
        <f>'Exponential Item Growth'!$B$22*C119</f>
        <v>118236</v>
      </c>
      <c r="H119" s="14">
        <f>'Exponential Item Growth'!$B$23*C119</f>
        <v>1576480</v>
      </c>
    </row>
    <row r="120" spans="1:8" ht="15.75" customHeight="1">
      <c r="A120" s="3">
        <v>119</v>
      </c>
      <c r="B120" s="13">
        <f>'Exponential Item Growth'!$B$5*'Exponential Item Growth'!$B$6^A120</f>
        <v>1026.5922149387154</v>
      </c>
      <c r="C120" s="14">
        <f t="shared" si="0"/>
        <v>1589.84</v>
      </c>
      <c r="D120" s="15">
        <f>A120*'Exponential Item Growth'!$B$4</f>
        <v>198.73</v>
      </c>
      <c r="E120" s="14">
        <f>IF(ISNA(VLOOKUP(A120,'Exponential Item Growth'!$A$10:$B$18,2,FALSE)),E119, E119*VLOOKUP(A120,'Exponential Item Growth'!$A$10:$B$18,2,FALSE))</f>
        <v>8</v>
      </c>
      <c r="F120" s="14">
        <f>C120*'Exponential Item Growth'!$B$21</f>
        <v>7949.2</v>
      </c>
      <c r="G120" s="14">
        <f>'Exponential Item Growth'!$B$22*C120</f>
        <v>119238</v>
      </c>
      <c r="H120" s="14">
        <f>'Exponential Item Growth'!$B$23*C120</f>
        <v>1589840</v>
      </c>
    </row>
    <row r="121" spans="1:8" ht="15.75" customHeight="1">
      <c r="A121" s="3">
        <v>120</v>
      </c>
      <c r="B121" s="13">
        <f>'Exponential Item Growth'!$B$5*'Exponential Item Growth'!$B$6^A121</f>
        <v>1088.1877478350382</v>
      </c>
      <c r="C121" s="14">
        <f t="shared" si="0"/>
        <v>1603.1999999999998</v>
      </c>
      <c r="D121" s="15">
        <f>A121*'Exponential Item Growth'!$B$4</f>
        <v>200.39999999999998</v>
      </c>
      <c r="E121" s="14">
        <f>IF(ISNA(VLOOKUP(A121,'Exponential Item Growth'!$A$10:$B$18,2,FALSE)),E120, E120*VLOOKUP(A121,'Exponential Item Growth'!$A$10:$B$18,2,FALSE))</f>
        <v>8</v>
      </c>
      <c r="F121" s="14">
        <f>C121*'Exponential Item Growth'!$B$21</f>
        <v>8015.9999999999991</v>
      </c>
      <c r="G121" s="14">
        <f>'Exponential Item Growth'!$B$22*C121</f>
        <v>120239.99999999999</v>
      </c>
      <c r="H121" s="14">
        <f>'Exponential Item Growth'!$B$23*C121</f>
        <v>1603199.9999999998</v>
      </c>
    </row>
    <row r="122" spans="1:8" ht="15.75" customHeight="1">
      <c r="A122" s="3">
        <v>121</v>
      </c>
      <c r="B122" s="13">
        <f>'Exponential Item Growth'!$B$5*'Exponential Item Growth'!$B$6^A122</f>
        <v>1153.4790127051406</v>
      </c>
      <c r="C122" s="14">
        <f t="shared" si="0"/>
        <v>1616.56</v>
      </c>
      <c r="D122" s="15">
        <f>A122*'Exponential Item Growth'!$B$4</f>
        <v>202.07</v>
      </c>
      <c r="E122" s="14">
        <f>IF(ISNA(VLOOKUP(A122,'Exponential Item Growth'!$A$10:$B$18,2,FALSE)),E121, E121*VLOOKUP(A122,'Exponential Item Growth'!$A$10:$B$18,2,FALSE))</f>
        <v>8</v>
      </c>
      <c r="F122" s="14">
        <f>C122*'Exponential Item Growth'!$B$21</f>
        <v>8082.7999999999993</v>
      </c>
      <c r="G122" s="14">
        <f>'Exponential Item Growth'!$B$22*C122</f>
        <v>121242</v>
      </c>
      <c r="H122" s="14">
        <f>'Exponential Item Growth'!$B$23*C122</f>
        <v>1616560</v>
      </c>
    </row>
    <row r="123" spans="1:8" ht="15.75" customHeight="1">
      <c r="A123" s="3">
        <v>122</v>
      </c>
      <c r="B123" s="13">
        <f>'Exponential Item Growth'!$B$5*'Exponential Item Growth'!$B$6^A123</f>
        <v>1222.6877534674491</v>
      </c>
      <c r="C123" s="14">
        <f t="shared" si="0"/>
        <v>1629.9199999999998</v>
      </c>
      <c r="D123" s="15">
        <f>A123*'Exponential Item Growth'!$B$4</f>
        <v>203.73999999999998</v>
      </c>
      <c r="E123" s="14">
        <f>IF(ISNA(VLOOKUP(A123,'Exponential Item Growth'!$A$10:$B$18,2,FALSE)),E122, E122*VLOOKUP(A123,'Exponential Item Growth'!$A$10:$B$18,2,FALSE))</f>
        <v>8</v>
      </c>
      <c r="F123" s="14">
        <f>C123*'Exponential Item Growth'!$B$21</f>
        <v>8149.5999999999995</v>
      </c>
      <c r="G123" s="14">
        <f>'Exponential Item Growth'!$B$22*C123</f>
        <v>122243.99999999999</v>
      </c>
      <c r="H123" s="14">
        <f>'Exponential Item Growth'!$B$23*C123</f>
        <v>1629919.9999999998</v>
      </c>
    </row>
    <row r="124" spans="1:8" ht="15.75" customHeight="1">
      <c r="A124" s="3">
        <v>123</v>
      </c>
      <c r="B124" s="13">
        <f>'Exponential Item Growth'!$B$5*'Exponential Item Growth'!$B$6^A124</f>
        <v>1296.0490186754962</v>
      </c>
      <c r="C124" s="14">
        <f t="shared" si="0"/>
        <v>1643.28</v>
      </c>
      <c r="D124" s="15">
        <f>A124*'Exponential Item Growth'!$B$4</f>
        <v>205.41</v>
      </c>
      <c r="E124" s="14">
        <f>IF(ISNA(VLOOKUP(A124,'Exponential Item Growth'!$A$10:$B$18,2,FALSE)),E123, E123*VLOOKUP(A124,'Exponential Item Growth'!$A$10:$B$18,2,FALSE))</f>
        <v>8</v>
      </c>
      <c r="F124" s="14">
        <f>C124*'Exponential Item Growth'!$B$21</f>
        <v>8216.4</v>
      </c>
      <c r="G124" s="14">
        <f>'Exponential Item Growth'!$B$22*C124</f>
        <v>123246</v>
      </c>
      <c r="H124" s="14">
        <f>'Exponential Item Growth'!$B$23*C124</f>
        <v>1643280</v>
      </c>
    </row>
    <row r="125" spans="1:8" ht="15.75" customHeight="1">
      <c r="A125" s="3">
        <v>124</v>
      </c>
      <c r="B125" s="13">
        <f>'Exponential Item Growth'!$B$5*'Exponential Item Growth'!$B$6^A125</f>
        <v>1373.8119597960258</v>
      </c>
      <c r="C125" s="14">
        <f t="shared" si="0"/>
        <v>1656.6399999999999</v>
      </c>
      <c r="D125" s="15">
        <f>A125*'Exponential Item Growth'!$B$4</f>
        <v>207.07999999999998</v>
      </c>
      <c r="E125" s="14">
        <f>IF(ISNA(VLOOKUP(A125,'Exponential Item Growth'!$A$10:$B$18,2,FALSE)),E124, E124*VLOOKUP(A125,'Exponential Item Growth'!$A$10:$B$18,2,FALSE))</f>
        <v>8</v>
      </c>
      <c r="F125" s="14">
        <f>C125*'Exponential Item Growth'!$B$21</f>
        <v>8283.1999999999989</v>
      </c>
      <c r="G125" s="14">
        <f>'Exponential Item Growth'!$B$22*C125</f>
        <v>124247.99999999999</v>
      </c>
      <c r="H125" s="14">
        <f>'Exponential Item Growth'!$B$23*C125</f>
        <v>1656639.9999999998</v>
      </c>
    </row>
    <row r="126" spans="1:8" ht="15.75" customHeight="1">
      <c r="A126" s="3">
        <v>125</v>
      </c>
      <c r="B126" s="13">
        <f>'Exponential Item Growth'!$B$5*'Exponential Item Growth'!$B$6^A126</f>
        <v>1456.2406773837879</v>
      </c>
      <c r="C126" s="14">
        <f t="shared" si="0"/>
        <v>1670</v>
      </c>
      <c r="D126" s="15">
        <f>A126*'Exponential Item Growth'!$B$4</f>
        <v>208.75</v>
      </c>
      <c r="E126" s="14">
        <f>IF(ISNA(VLOOKUP(A126,'Exponential Item Growth'!$A$10:$B$18,2,FALSE)),E125, E125*VLOOKUP(A126,'Exponential Item Growth'!$A$10:$B$18,2,FALSE))</f>
        <v>8</v>
      </c>
      <c r="F126" s="14">
        <f>C126*'Exponential Item Growth'!$B$21</f>
        <v>8350</v>
      </c>
      <c r="G126" s="14">
        <f>'Exponential Item Growth'!$B$22*C126</f>
        <v>125250</v>
      </c>
      <c r="H126" s="14">
        <f>'Exponential Item Growth'!$B$23*C126</f>
        <v>1670000</v>
      </c>
    </row>
    <row r="127" spans="1:8" ht="15.75" customHeight="1">
      <c r="A127" s="3">
        <v>126</v>
      </c>
      <c r="B127" s="13">
        <f>'Exponential Item Growth'!$B$5*'Exponential Item Growth'!$B$6^A127</f>
        <v>1543.615118026815</v>
      </c>
      <c r="C127" s="14">
        <f t="shared" si="0"/>
        <v>1683.36</v>
      </c>
      <c r="D127" s="15">
        <f>A127*'Exponential Item Growth'!$B$4</f>
        <v>210.42</v>
      </c>
      <c r="E127" s="14">
        <f>IF(ISNA(VLOOKUP(A127,'Exponential Item Growth'!$A$10:$B$18,2,FALSE)),E126, E126*VLOOKUP(A127,'Exponential Item Growth'!$A$10:$B$18,2,FALSE))</f>
        <v>8</v>
      </c>
      <c r="F127" s="14">
        <f>C127*'Exponential Item Growth'!$B$21</f>
        <v>8416.7999999999993</v>
      </c>
      <c r="G127" s="14">
        <f>'Exponential Item Growth'!$B$22*C127</f>
        <v>126251.99999999999</v>
      </c>
      <c r="H127" s="14">
        <f>'Exponential Item Growth'!$B$23*C127</f>
        <v>1683360</v>
      </c>
    </row>
    <row r="128" spans="1:8" ht="15.75" customHeight="1">
      <c r="A128" s="3">
        <v>127</v>
      </c>
      <c r="B128" s="13">
        <f>'Exponential Item Growth'!$B$5*'Exponential Item Growth'!$B$6^A128</f>
        <v>1636.2320251084243</v>
      </c>
      <c r="C128" s="14">
        <f t="shared" si="0"/>
        <v>1696.72</v>
      </c>
      <c r="D128" s="15">
        <f>A128*'Exponential Item Growth'!$B$4</f>
        <v>212.09</v>
      </c>
      <c r="E128" s="14">
        <f>IF(ISNA(VLOOKUP(A128,'Exponential Item Growth'!$A$10:$B$18,2,FALSE)),E127, E127*VLOOKUP(A128,'Exponential Item Growth'!$A$10:$B$18,2,FALSE))</f>
        <v>8</v>
      </c>
      <c r="F128" s="14">
        <f>C128*'Exponential Item Growth'!$B$21</f>
        <v>8483.6</v>
      </c>
      <c r="G128" s="14">
        <f>'Exponential Item Growth'!$B$22*C128</f>
        <v>127254</v>
      </c>
      <c r="H128" s="14">
        <f>'Exponential Item Growth'!$B$23*C128</f>
        <v>1696720</v>
      </c>
    </row>
    <row r="129" spans="1:8" ht="15.75" customHeight="1">
      <c r="A129" s="3">
        <v>128</v>
      </c>
      <c r="B129" s="13">
        <f>'Exponential Item Growth'!$B$5*'Exponential Item Growth'!$B$6^A129</f>
        <v>1734.4059466149292</v>
      </c>
      <c r="C129" s="14">
        <f t="shared" si="0"/>
        <v>1710.08</v>
      </c>
      <c r="D129" s="15">
        <f>A129*'Exponential Item Growth'!$B$4</f>
        <v>213.76</v>
      </c>
      <c r="E129" s="14">
        <f>IF(ISNA(VLOOKUP(A129,'Exponential Item Growth'!$A$10:$B$18,2,FALSE)),E128, E128*VLOOKUP(A129,'Exponential Item Growth'!$A$10:$B$18,2,FALSE))</f>
        <v>8</v>
      </c>
      <c r="F129" s="14">
        <f>C129*'Exponential Item Growth'!$B$21</f>
        <v>8550.4</v>
      </c>
      <c r="G129" s="14">
        <f>'Exponential Item Growth'!$B$22*C129</f>
        <v>128256</v>
      </c>
      <c r="H129" s="14">
        <f>'Exponential Item Growth'!$B$23*C129</f>
        <v>1710080</v>
      </c>
    </row>
    <row r="130" spans="1:8" ht="15.75" customHeight="1">
      <c r="A130" s="3">
        <v>129</v>
      </c>
      <c r="B130" s="13">
        <f>'Exponential Item Growth'!$B$5*'Exponential Item Growth'!$B$6^A130</f>
        <v>1838.4703034118252</v>
      </c>
      <c r="C130" s="14">
        <f t="shared" si="0"/>
        <v>1723.4399999999998</v>
      </c>
      <c r="D130" s="15">
        <f>A130*'Exponential Item Growth'!$B$4</f>
        <v>215.42999999999998</v>
      </c>
      <c r="E130" s="14">
        <f>IF(ISNA(VLOOKUP(A130,'Exponential Item Growth'!$A$10:$B$18,2,FALSE)),E129, E129*VLOOKUP(A130,'Exponential Item Growth'!$A$10:$B$18,2,FALSE))</f>
        <v>8</v>
      </c>
      <c r="F130" s="14">
        <f>C130*'Exponential Item Growth'!$B$21</f>
        <v>8617.1999999999989</v>
      </c>
      <c r="G130" s="14">
        <f>'Exponential Item Growth'!$B$22*C130</f>
        <v>129257.99999999999</v>
      </c>
      <c r="H130" s="14">
        <f>'Exponential Item Growth'!$B$23*C130</f>
        <v>1723439.9999999998</v>
      </c>
    </row>
    <row r="131" spans="1:8" ht="15.75" customHeight="1">
      <c r="A131" s="3">
        <v>130</v>
      </c>
      <c r="B131" s="13">
        <f>'Exponential Item Growth'!$B$5*'Exponential Item Growth'!$B$6^A131</f>
        <v>1948.7785216165348</v>
      </c>
      <c r="C131" s="14">
        <f t="shared" si="0"/>
        <v>1736.8</v>
      </c>
      <c r="D131" s="15">
        <f>A131*'Exponential Item Growth'!$B$4</f>
        <v>217.1</v>
      </c>
      <c r="E131" s="14">
        <f>IF(ISNA(VLOOKUP(A131,'Exponential Item Growth'!$A$10:$B$18,2,FALSE)),E130, E130*VLOOKUP(A131,'Exponential Item Growth'!$A$10:$B$18,2,FALSE))</f>
        <v>8</v>
      </c>
      <c r="F131" s="14">
        <f>C131*'Exponential Item Growth'!$B$21</f>
        <v>8684</v>
      </c>
      <c r="G131" s="14">
        <f>'Exponential Item Growth'!$B$22*C131</f>
        <v>130260</v>
      </c>
      <c r="H131" s="14">
        <f>'Exponential Item Growth'!$B$23*C131</f>
        <v>1736800</v>
      </c>
    </row>
    <row r="132" spans="1:8" ht="15.75" customHeight="1">
      <c r="A132" s="3">
        <v>131</v>
      </c>
      <c r="B132" s="13">
        <f>'Exponential Item Growth'!$B$5*'Exponential Item Growth'!$B$6^A132</f>
        <v>2065.7052329135272</v>
      </c>
      <c r="C132" s="14">
        <f t="shared" si="0"/>
        <v>1750.1599999999999</v>
      </c>
      <c r="D132" s="15">
        <f>A132*'Exponential Item Growth'!$B$4</f>
        <v>218.76999999999998</v>
      </c>
      <c r="E132" s="14">
        <f>IF(ISNA(VLOOKUP(A132,'Exponential Item Growth'!$A$10:$B$18,2,FALSE)),E131, E131*VLOOKUP(A132,'Exponential Item Growth'!$A$10:$B$18,2,FALSE))</f>
        <v>8</v>
      </c>
      <c r="F132" s="14">
        <f>C132*'Exponential Item Growth'!$B$21</f>
        <v>8750.7999999999993</v>
      </c>
      <c r="G132" s="14">
        <f>'Exponential Item Growth'!$B$22*C132</f>
        <v>131262</v>
      </c>
      <c r="H132" s="14">
        <f>'Exponential Item Growth'!$B$23*C132</f>
        <v>1750159.9999999998</v>
      </c>
    </row>
    <row r="133" spans="1:8" ht="15.75" customHeight="1">
      <c r="A133" s="3">
        <v>132</v>
      </c>
      <c r="B133" s="13">
        <f>'Exponential Item Growth'!$B$5*'Exponential Item Growth'!$B$6^A133</f>
        <v>2189.6475468883386</v>
      </c>
      <c r="C133" s="14">
        <f t="shared" si="0"/>
        <v>1763.52</v>
      </c>
      <c r="D133" s="15">
        <f>A133*'Exponential Item Growth'!$B$4</f>
        <v>220.44</v>
      </c>
      <c r="E133" s="14">
        <f>IF(ISNA(VLOOKUP(A133,'Exponential Item Growth'!$A$10:$B$18,2,FALSE)),E132, E132*VLOOKUP(A133,'Exponential Item Growth'!$A$10:$B$18,2,FALSE))</f>
        <v>8</v>
      </c>
      <c r="F133" s="14">
        <f>C133*'Exponential Item Growth'!$B$21</f>
        <v>8817.6</v>
      </c>
      <c r="G133" s="14">
        <f>'Exponential Item Growth'!$B$22*C133</f>
        <v>132264</v>
      </c>
      <c r="H133" s="14">
        <f>'Exponential Item Growth'!$B$23*C133</f>
        <v>1763520</v>
      </c>
    </row>
    <row r="134" spans="1:8" ht="15.75" customHeight="1">
      <c r="A134" s="3">
        <v>133</v>
      </c>
      <c r="B134" s="13">
        <f>'Exponential Item Growth'!$B$5*'Exponential Item Growth'!$B$6^A134</f>
        <v>2321.0263997016391</v>
      </c>
      <c r="C134" s="14">
        <f t="shared" si="0"/>
        <v>1776.8799999999999</v>
      </c>
      <c r="D134" s="15">
        <f>A134*'Exponential Item Growth'!$B$4</f>
        <v>222.10999999999999</v>
      </c>
      <c r="E134" s="14">
        <f>IF(ISNA(VLOOKUP(A134,'Exponential Item Growth'!$A$10:$B$18,2,FALSE)),E133, E133*VLOOKUP(A134,'Exponential Item Growth'!$A$10:$B$18,2,FALSE))</f>
        <v>8</v>
      </c>
      <c r="F134" s="14">
        <f>C134*'Exponential Item Growth'!$B$21</f>
        <v>8884.4</v>
      </c>
      <c r="G134" s="14">
        <f>'Exponential Item Growth'!$B$22*C134</f>
        <v>133266</v>
      </c>
      <c r="H134" s="14">
        <f>'Exponential Item Growth'!$B$23*C134</f>
        <v>1776879.9999999998</v>
      </c>
    </row>
    <row r="135" spans="1:8" ht="15.75" customHeight="1">
      <c r="A135" s="3">
        <v>134</v>
      </c>
      <c r="B135" s="13">
        <f>'Exponential Item Growth'!$B$5*'Exponential Item Growth'!$B$6^A135</f>
        <v>2460.2879836837378</v>
      </c>
      <c r="C135" s="14">
        <f t="shared" si="0"/>
        <v>1790.24</v>
      </c>
      <c r="D135" s="15">
        <f>A135*'Exponential Item Growth'!$B$4</f>
        <v>223.78</v>
      </c>
      <c r="E135" s="14">
        <f>IF(ISNA(VLOOKUP(A135,'Exponential Item Growth'!$A$10:$B$18,2,FALSE)),E134, E134*VLOOKUP(A135,'Exponential Item Growth'!$A$10:$B$18,2,FALSE))</f>
        <v>8</v>
      </c>
      <c r="F135" s="14">
        <f>C135*'Exponential Item Growth'!$B$21</f>
        <v>8951.2000000000007</v>
      </c>
      <c r="G135" s="14">
        <f>'Exponential Item Growth'!$B$22*C135</f>
        <v>134268</v>
      </c>
      <c r="H135" s="14">
        <f>'Exponential Item Growth'!$B$23*C135</f>
        <v>1790240</v>
      </c>
    </row>
    <row r="136" spans="1:8" ht="15.75" customHeight="1">
      <c r="A136" s="3">
        <v>135</v>
      </c>
      <c r="B136" s="13">
        <f>'Exponential Item Growth'!$B$5*'Exponential Item Growth'!$B$6^A136</f>
        <v>2607.9052627047622</v>
      </c>
      <c r="C136" s="14">
        <f t="shared" si="0"/>
        <v>1803.6</v>
      </c>
      <c r="D136" s="15">
        <f>A136*'Exponential Item Growth'!$B$4</f>
        <v>225.45</v>
      </c>
      <c r="E136" s="14">
        <f>IF(ISNA(VLOOKUP(A136,'Exponential Item Growth'!$A$10:$B$18,2,FALSE)),E135, E135*VLOOKUP(A136,'Exponential Item Growth'!$A$10:$B$18,2,FALSE))</f>
        <v>8</v>
      </c>
      <c r="F136" s="14">
        <f>C136*'Exponential Item Growth'!$B$21</f>
        <v>9018</v>
      </c>
      <c r="G136" s="14">
        <f>'Exponential Item Growth'!$B$22*C136</f>
        <v>135270</v>
      </c>
      <c r="H136" s="14">
        <f>'Exponential Item Growth'!$B$23*C136</f>
        <v>1803600</v>
      </c>
    </row>
    <row r="137" spans="1:8" ht="15.75" customHeight="1">
      <c r="A137" s="3">
        <v>136</v>
      </c>
      <c r="B137" s="13">
        <f>'Exponential Item Growth'!$B$5*'Exponential Item Growth'!$B$6^A137</f>
        <v>2764.3795784670478</v>
      </c>
      <c r="C137" s="14">
        <f t="shared" si="0"/>
        <v>1816.96</v>
      </c>
      <c r="D137" s="15">
        <f>A137*'Exponential Item Growth'!$B$4</f>
        <v>227.12</v>
      </c>
      <c r="E137" s="14">
        <f>IF(ISNA(VLOOKUP(A137,'Exponential Item Growth'!$A$10:$B$18,2,FALSE)),E136, E136*VLOOKUP(A137,'Exponential Item Growth'!$A$10:$B$18,2,FALSE))</f>
        <v>8</v>
      </c>
      <c r="F137" s="14">
        <f>C137*'Exponential Item Growth'!$B$21</f>
        <v>9084.7999999999993</v>
      </c>
      <c r="G137" s="14">
        <f>'Exponential Item Growth'!$B$22*C137</f>
        <v>136272</v>
      </c>
      <c r="H137" s="14">
        <f>'Exponential Item Growth'!$B$23*C137</f>
        <v>1816960</v>
      </c>
    </row>
    <row r="138" spans="1:8" ht="15.75" customHeight="1">
      <c r="A138" s="3">
        <v>137</v>
      </c>
      <c r="B138" s="13">
        <f>'Exponential Item Growth'!$B$5*'Exponential Item Growth'!$B$6^A138</f>
        <v>2930.2423531750705</v>
      </c>
      <c r="C138" s="14">
        <f t="shared" si="0"/>
        <v>1830.32</v>
      </c>
      <c r="D138" s="15">
        <f>A138*'Exponential Item Growth'!$B$4</f>
        <v>228.79</v>
      </c>
      <c r="E138" s="14">
        <f>IF(ISNA(VLOOKUP(A138,'Exponential Item Growth'!$A$10:$B$18,2,FALSE)),E137, E137*VLOOKUP(A138,'Exponential Item Growth'!$A$10:$B$18,2,FALSE))</f>
        <v>8</v>
      </c>
      <c r="F138" s="14">
        <f>C138*'Exponential Item Growth'!$B$21</f>
        <v>9151.6</v>
      </c>
      <c r="G138" s="14">
        <f>'Exponential Item Growth'!$B$22*C138</f>
        <v>137274</v>
      </c>
      <c r="H138" s="14">
        <f>'Exponential Item Growth'!$B$23*C138</f>
        <v>1830320</v>
      </c>
    </row>
    <row r="139" spans="1:8" ht="15.75" customHeight="1">
      <c r="A139" s="3">
        <v>138</v>
      </c>
      <c r="B139" s="13">
        <f>'Exponential Item Growth'!$B$5*'Exponential Item Growth'!$B$6^A139</f>
        <v>3106.0568943655753</v>
      </c>
      <c r="C139" s="14">
        <f t="shared" si="0"/>
        <v>1843.6799999999998</v>
      </c>
      <c r="D139" s="15">
        <f>A139*'Exponential Item Growth'!$B$4</f>
        <v>230.45999999999998</v>
      </c>
      <c r="E139" s="14">
        <f>IF(ISNA(VLOOKUP(A139,'Exponential Item Growth'!$A$10:$B$18,2,FALSE)),E138, E138*VLOOKUP(A139,'Exponential Item Growth'!$A$10:$B$18,2,FALSE))</f>
        <v>8</v>
      </c>
      <c r="F139" s="14">
        <f>C139*'Exponential Item Growth'!$B$21</f>
        <v>9218.4</v>
      </c>
      <c r="G139" s="14">
        <f>'Exponential Item Growth'!$B$22*C139</f>
        <v>138276</v>
      </c>
      <c r="H139" s="14">
        <f>'Exponential Item Growth'!$B$23*C139</f>
        <v>1843679.9999999998</v>
      </c>
    </row>
    <row r="140" spans="1:8" ht="15.75" customHeight="1">
      <c r="A140" s="3">
        <v>139</v>
      </c>
      <c r="B140" s="13">
        <f>'Exponential Item Growth'!$B$5*'Exponential Item Growth'!$B$6^A140</f>
        <v>3292.4203080275101</v>
      </c>
      <c r="C140" s="14">
        <f t="shared" si="0"/>
        <v>1857.04</v>
      </c>
      <c r="D140" s="15">
        <f>A140*'Exponential Item Growth'!$B$4</f>
        <v>232.13</v>
      </c>
      <c r="E140" s="14">
        <f>IF(ISNA(VLOOKUP(A140,'Exponential Item Growth'!$A$10:$B$18,2,FALSE)),E139, E139*VLOOKUP(A140,'Exponential Item Growth'!$A$10:$B$18,2,FALSE))</f>
        <v>8</v>
      </c>
      <c r="F140" s="14">
        <f>C140*'Exponential Item Growth'!$B$21</f>
        <v>9285.2000000000007</v>
      </c>
      <c r="G140" s="14">
        <f>'Exponential Item Growth'!$B$22*C140</f>
        <v>139278</v>
      </c>
      <c r="H140" s="14">
        <f>'Exponential Item Growth'!$B$23*C140</f>
        <v>1857040</v>
      </c>
    </row>
    <row r="141" spans="1:8" ht="15.75" customHeight="1">
      <c r="A141" s="3">
        <v>140</v>
      </c>
      <c r="B141" s="13">
        <f>'Exponential Item Growth'!$B$5*'Exponential Item Growth'!$B$6^A141</f>
        <v>3489.965526509161</v>
      </c>
      <c r="C141" s="14">
        <f t="shared" si="0"/>
        <v>1870.3999999999999</v>
      </c>
      <c r="D141" s="15">
        <f>A141*'Exponential Item Growth'!$B$4</f>
        <v>233.79999999999998</v>
      </c>
      <c r="E141" s="14">
        <f>IF(ISNA(VLOOKUP(A141,'Exponential Item Growth'!$A$10:$B$18,2,FALSE)),E140, E140*VLOOKUP(A141,'Exponential Item Growth'!$A$10:$B$18,2,FALSE))</f>
        <v>8</v>
      </c>
      <c r="F141" s="14">
        <f>C141*'Exponential Item Growth'!$B$21</f>
        <v>9352</v>
      </c>
      <c r="G141" s="14">
        <f>'Exponential Item Growth'!$B$22*C141</f>
        <v>140280</v>
      </c>
      <c r="H141" s="14">
        <f>'Exponential Item Growth'!$B$23*C141</f>
        <v>1870399.9999999998</v>
      </c>
    </row>
    <row r="142" spans="1:8" ht="15.75" customHeight="1">
      <c r="A142" s="3">
        <v>141</v>
      </c>
      <c r="B142" s="13">
        <f>'Exponential Item Growth'!$B$5*'Exponential Item Growth'!$B$6^A142</f>
        <v>3699.3634580997109</v>
      </c>
      <c r="C142" s="14">
        <f t="shared" si="0"/>
        <v>1883.76</v>
      </c>
      <c r="D142" s="15">
        <f>A142*'Exponential Item Growth'!$B$4</f>
        <v>235.47</v>
      </c>
      <c r="E142" s="14">
        <f>IF(ISNA(VLOOKUP(A142,'Exponential Item Growth'!$A$10:$B$18,2,FALSE)),E141, E141*VLOOKUP(A142,'Exponential Item Growth'!$A$10:$B$18,2,FALSE))</f>
        <v>8</v>
      </c>
      <c r="F142" s="14">
        <f>C142*'Exponential Item Growth'!$B$21</f>
        <v>9418.7999999999993</v>
      </c>
      <c r="G142" s="14">
        <f>'Exponential Item Growth'!$B$22*C142</f>
        <v>141282</v>
      </c>
      <c r="H142" s="14">
        <f>'Exponential Item Growth'!$B$23*C142</f>
        <v>1883760</v>
      </c>
    </row>
    <row r="143" spans="1:8" ht="15.75" customHeight="1">
      <c r="A143" s="3">
        <v>142</v>
      </c>
      <c r="B143" s="13">
        <f>'Exponential Item Growth'!$B$5*'Exponential Item Growth'!$B$6^A143</f>
        <v>3921.3252655856936</v>
      </c>
      <c r="C143" s="14">
        <f t="shared" si="0"/>
        <v>1897.12</v>
      </c>
      <c r="D143" s="15">
        <f>A143*'Exponential Item Growth'!$B$4</f>
        <v>237.14</v>
      </c>
      <c r="E143" s="14">
        <f>IF(ISNA(VLOOKUP(A143,'Exponential Item Growth'!$A$10:$B$18,2,FALSE)),E142, E142*VLOOKUP(A143,'Exponential Item Growth'!$A$10:$B$18,2,FALSE))</f>
        <v>8</v>
      </c>
      <c r="F143" s="14">
        <f>C143*'Exponential Item Growth'!$B$21</f>
        <v>9485.5999999999985</v>
      </c>
      <c r="G143" s="14">
        <f>'Exponential Item Growth'!$B$22*C143</f>
        <v>142284</v>
      </c>
      <c r="H143" s="14">
        <f>'Exponential Item Growth'!$B$23*C143</f>
        <v>1897120</v>
      </c>
    </row>
    <row r="144" spans="1:8" ht="15.75" customHeight="1">
      <c r="A144" s="3">
        <v>143</v>
      </c>
      <c r="B144" s="13">
        <f>'Exponential Item Growth'!$B$5*'Exponential Item Growth'!$B$6^A144</f>
        <v>4156.6047815208367</v>
      </c>
      <c r="C144" s="14">
        <f t="shared" si="0"/>
        <v>1910.48</v>
      </c>
      <c r="D144" s="15">
        <f>A144*'Exponential Item Growth'!$B$4</f>
        <v>238.81</v>
      </c>
      <c r="E144" s="14">
        <f>IF(ISNA(VLOOKUP(A144,'Exponential Item Growth'!$A$10:$B$18,2,FALSE)),E143, E143*VLOOKUP(A144,'Exponential Item Growth'!$A$10:$B$18,2,FALSE))</f>
        <v>8</v>
      </c>
      <c r="F144" s="14">
        <f>C144*'Exponential Item Growth'!$B$21</f>
        <v>9552.4</v>
      </c>
      <c r="G144" s="14">
        <f>'Exponential Item Growth'!$B$22*C144</f>
        <v>143286</v>
      </c>
      <c r="H144" s="14">
        <f>'Exponential Item Growth'!$B$23*C144</f>
        <v>1910480</v>
      </c>
    </row>
    <row r="145" spans="1:8" ht="15.75" customHeight="1">
      <c r="A145" s="3">
        <v>144</v>
      </c>
      <c r="B145" s="13">
        <f>'Exponential Item Growth'!$B$5*'Exponential Item Growth'!$B$6^A145</f>
        <v>4406.0010684120853</v>
      </c>
      <c r="C145" s="14">
        <f t="shared" si="0"/>
        <v>1923.84</v>
      </c>
      <c r="D145" s="15">
        <f>A145*'Exponential Item Growth'!$B$4</f>
        <v>240.48</v>
      </c>
      <c r="E145" s="14">
        <f>IF(ISNA(VLOOKUP(A145,'Exponential Item Growth'!$A$10:$B$18,2,FALSE)),E144, E144*VLOOKUP(A145,'Exponential Item Growth'!$A$10:$B$18,2,FALSE))</f>
        <v>8</v>
      </c>
      <c r="F145" s="14">
        <f>C145*'Exponential Item Growth'!$B$21</f>
        <v>9619.1999999999989</v>
      </c>
      <c r="G145" s="14">
        <f>'Exponential Item Growth'!$B$22*C145</f>
        <v>144288</v>
      </c>
      <c r="H145" s="14">
        <f>'Exponential Item Growth'!$B$23*C145</f>
        <v>1923840</v>
      </c>
    </row>
    <row r="146" spans="1:8" ht="15.75" customHeight="1">
      <c r="A146" s="3">
        <v>145</v>
      </c>
      <c r="B146" s="13">
        <f>'Exponential Item Growth'!$B$5*'Exponential Item Growth'!$B$6^A146</f>
        <v>4670.3611325168113</v>
      </c>
      <c r="C146" s="14">
        <f t="shared" si="0"/>
        <v>1937.1999999999998</v>
      </c>
      <c r="D146" s="15">
        <f>A146*'Exponential Item Growth'!$B$4</f>
        <v>242.14999999999998</v>
      </c>
      <c r="E146" s="14">
        <f>IF(ISNA(VLOOKUP(A146,'Exponential Item Growth'!$A$10:$B$18,2,FALSE)),E145, E145*VLOOKUP(A146,'Exponential Item Growth'!$A$10:$B$18,2,FALSE))</f>
        <v>8</v>
      </c>
      <c r="F146" s="14">
        <f>C146*'Exponential Item Growth'!$B$21</f>
        <v>9686</v>
      </c>
      <c r="G146" s="14">
        <f>'Exponential Item Growth'!$B$22*C146</f>
        <v>145290</v>
      </c>
      <c r="H146" s="14">
        <f>'Exponential Item Growth'!$B$23*C146</f>
        <v>1937199.9999999998</v>
      </c>
    </row>
    <row r="147" spans="1:8" ht="15.75" customHeight="1">
      <c r="A147" s="3">
        <v>146</v>
      </c>
      <c r="B147" s="13">
        <f>'Exponential Item Growth'!$B$5*'Exponential Item Growth'!$B$6^A147</f>
        <v>4950.5828004678197</v>
      </c>
      <c r="C147" s="14">
        <f t="shared" si="0"/>
        <v>1950.56</v>
      </c>
      <c r="D147" s="15">
        <f>A147*'Exponential Item Growth'!$B$4</f>
        <v>243.82</v>
      </c>
      <c r="E147" s="14">
        <f>IF(ISNA(VLOOKUP(A147,'Exponential Item Growth'!$A$10:$B$18,2,FALSE)),E146, E146*VLOOKUP(A147,'Exponential Item Growth'!$A$10:$B$18,2,FALSE))</f>
        <v>8</v>
      </c>
      <c r="F147" s="14">
        <f>C147*'Exponential Item Growth'!$B$21</f>
        <v>9752.7999999999993</v>
      </c>
      <c r="G147" s="14">
        <f>'Exponential Item Growth'!$B$22*C147</f>
        <v>146292</v>
      </c>
      <c r="H147" s="14">
        <f>'Exponential Item Growth'!$B$23*C147</f>
        <v>1950560</v>
      </c>
    </row>
    <row r="148" spans="1:8" ht="15.75" customHeight="1">
      <c r="A148" s="3">
        <v>147</v>
      </c>
      <c r="B148" s="13">
        <f>'Exponential Item Growth'!$B$5*'Exponential Item Growth'!$B$6^A148</f>
        <v>5247.6177684958893</v>
      </c>
      <c r="C148" s="14">
        <f t="shared" si="0"/>
        <v>1963.9199999999998</v>
      </c>
      <c r="D148" s="15">
        <f>A148*'Exponential Item Growth'!$B$4</f>
        <v>245.48999999999998</v>
      </c>
      <c r="E148" s="14">
        <f>IF(ISNA(VLOOKUP(A148,'Exponential Item Growth'!$A$10:$B$18,2,FALSE)),E147, E147*VLOOKUP(A148,'Exponential Item Growth'!$A$10:$B$18,2,FALSE))</f>
        <v>8</v>
      </c>
      <c r="F148" s="14">
        <f>C148*'Exponential Item Growth'!$B$21</f>
        <v>9819.5999999999985</v>
      </c>
      <c r="G148" s="14">
        <f>'Exponential Item Growth'!$B$22*C148</f>
        <v>147294</v>
      </c>
      <c r="H148" s="14">
        <f>'Exponential Item Growth'!$B$23*C148</f>
        <v>1963919.9999999998</v>
      </c>
    </row>
    <row r="149" spans="1:8" ht="15.75" customHeight="1">
      <c r="A149" s="3">
        <v>148</v>
      </c>
      <c r="B149" s="13">
        <f>'Exponential Item Growth'!$B$5*'Exponential Item Growth'!$B$6^A149</f>
        <v>5562.4748346056431</v>
      </c>
      <c r="C149" s="14">
        <f t="shared" si="0"/>
        <v>1977.28</v>
      </c>
      <c r="D149" s="15">
        <f>A149*'Exponential Item Growth'!$B$4</f>
        <v>247.16</v>
      </c>
      <c r="E149" s="14">
        <f>IF(ISNA(VLOOKUP(A149,'Exponential Item Growth'!$A$10:$B$18,2,FALSE)),E148, E148*VLOOKUP(A149,'Exponential Item Growth'!$A$10:$B$18,2,FALSE))</f>
        <v>8</v>
      </c>
      <c r="F149" s="14">
        <f>C149*'Exponential Item Growth'!$B$21</f>
        <v>9886.4</v>
      </c>
      <c r="G149" s="14">
        <f>'Exponential Item Growth'!$B$22*C149</f>
        <v>148296</v>
      </c>
      <c r="H149" s="14">
        <f>'Exponential Item Growth'!$B$23*C149</f>
        <v>1977280</v>
      </c>
    </row>
    <row r="150" spans="1:8" ht="15.75" customHeight="1">
      <c r="A150" s="3">
        <v>149</v>
      </c>
      <c r="B150" s="13">
        <f>'Exponential Item Growth'!$B$5*'Exponential Item Growth'!$B$6^A150</f>
        <v>5896.2233246819824</v>
      </c>
      <c r="C150" s="14">
        <f t="shared" si="0"/>
        <v>1990.6399999999999</v>
      </c>
      <c r="D150" s="15">
        <f>A150*'Exponential Item Growth'!$B$4</f>
        <v>248.82999999999998</v>
      </c>
      <c r="E150" s="14">
        <f>IF(ISNA(VLOOKUP(A150,'Exponential Item Growth'!$A$10:$B$18,2,FALSE)),E149, E149*VLOOKUP(A150,'Exponential Item Growth'!$A$10:$B$18,2,FALSE))</f>
        <v>8</v>
      </c>
      <c r="F150" s="14">
        <f>C150*'Exponential Item Growth'!$B$21</f>
        <v>9953.1999999999989</v>
      </c>
      <c r="G150" s="14">
        <f>'Exponential Item Growth'!$B$22*C150</f>
        <v>149298</v>
      </c>
      <c r="H150" s="14">
        <f>'Exponential Item Growth'!$B$23*C150</f>
        <v>1990639.9999999998</v>
      </c>
    </row>
    <row r="151" spans="1:8" ht="15.75" customHeight="1">
      <c r="A151" s="3">
        <v>150</v>
      </c>
      <c r="B151" s="13">
        <f>'Exponential Item Growth'!$B$5*'Exponential Item Growth'!$B$6^A151</f>
        <v>6249.996724162902</v>
      </c>
      <c r="C151" s="14">
        <f t="shared" si="0"/>
        <v>2004</v>
      </c>
      <c r="D151" s="15">
        <f>A151*'Exponential Item Growth'!$B$4</f>
        <v>250.5</v>
      </c>
      <c r="E151" s="14">
        <f>IF(ISNA(VLOOKUP(A151,'Exponential Item Growth'!$A$10:$B$18,2,FALSE)),E150, E150*VLOOKUP(A151,'Exponential Item Growth'!$A$10:$B$18,2,FALSE))</f>
        <v>8</v>
      </c>
      <c r="F151" s="14">
        <f>C151*'Exponential Item Growth'!$B$21</f>
        <v>10020</v>
      </c>
      <c r="G151" s="14">
        <f>'Exponential Item Growth'!$B$22*C151</f>
        <v>150300</v>
      </c>
      <c r="H151" s="14">
        <f>'Exponential Item Growth'!$B$23*C151</f>
        <v>2004000</v>
      </c>
    </row>
    <row r="152" spans="1:8" ht="15.75" customHeight="1">
      <c r="A152" s="3">
        <v>151</v>
      </c>
      <c r="B152" s="13">
        <f>'Exponential Item Growth'!$B$5*'Exponential Item Growth'!$B$6^A152</f>
        <v>6624.9965276126768</v>
      </c>
      <c r="C152" s="14">
        <f t="shared" si="0"/>
        <v>2017.36</v>
      </c>
      <c r="D152" s="15">
        <f>A152*'Exponential Item Growth'!$B$4</f>
        <v>252.17</v>
      </c>
      <c r="E152" s="14">
        <f>IF(ISNA(VLOOKUP(A152,'Exponential Item Growth'!$A$10:$B$18,2,FALSE)),E151, E151*VLOOKUP(A152,'Exponential Item Growth'!$A$10:$B$18,2,FALSE))</f>
        <v>8</v>
      </c>
      <c r="F152" s="14">
        <f>C152*'Exponential Item Growth'!$B$21</f>
        <v>10086.799999999999</v>
      </c>
      <c r="G152" s="14">
        <f>'Exponential Item Growth'!$B$22*C152</f>
        <v>151302</v>
      </c>
      <c r="H152" s="14">
        <f>'Exponential Item Growth'!$B$23*C152</f>
        <v>2017360</v>
      </c>
    </row>
    <row r="153" spans="1:8" ht="15.75" customHeight="1">
      <c r="A153" s="3">
        <v>152</v>
      </c>
      <c r="B153" s="13">
        <f>'Exponential Item Growth'!$B$5*'Exponential Item Growth'!$B$6^A153</f>
        <v>7022.4963192694368</v>
      </c>
      <c r="C153" s="14">
        <f t="shared" si="0"/>
        <v>2030.7199999999998</v>
      </c>
      <c r="D153" s="15">
        <f>A153*'Exponential Item Growth'!$B$4</f>
        <v>253.83999999999997</v>
      </c>
      <c r="E153" s="14">
        <f>IF(ISNA(VLOOKUP(A153,'Exponential Item Growth'!$A$10:$B$18,2,FALSE)),E152, E152*VLOOKUP(A153,'Exponential Item Growth'!$A$10:$B$18,2,FALSE))</f>
        <v>8</v>
      </c>
      <c r="F153" s="14">
        <f>C153*'Exponential Item Growth'!$B$21</f>
        <v>10153.599999999999</v>
      </c>
      <c r="G153" s="14">
        <f>'Exponential Item Growth'!$B$22*C153</f>
        <v>152303.99999999997</v>
      </c>
      <c r="H153" s="14">
        <f>'Exponential Item Growth'!$B$23*C153</f>
        <v>2030719.9999999998</v>
      </c>
    </row>
    <row r="154" spans="1:8" ht="15.75" customHeight="1">
      <c r="A154" s="3">
        <v>153</v>
      </c>
      <c r="B154" s="13">
        <f>'Exponential Item Growth'!$B$5*'Exponential Item Growth'!$B$6^A154</f>
        <v>7443.8460984256026</v>
      </c>
      <c r="C154" s="14">
        <f t="shared" si="0"/>
        <v>2044.08</v>
      </c>
      <c r="D154" s="15">
        <f>A154*'Exponential Item Growth'!$B$4</f>
        <v>255.51</v>
      </c>
      <c r="E154" s="14">
        <f>IF(ISNA(VLOOKUP(A154,'Exponential Item Growth'!$A$10:$B$18,2,FALSE)),E153, E153*VLOOKUP(A154,'Exponential Item Growth'!$A$10:$B$18,2,FALSE))</f>
        <v>8</v>
      </c>
      <c r="F154" s="14">
        <f>C154*'Exponential Item Growth'!$B$21</f>
        <v>10220.4</v>
      </c>
      <c r="G154" s="14">
        <f>'Exponential Item Growth'!$B$22*C154</f>
        <v>153306</v>
      </c>
      <c r="H154" s="14">
        <f>'Exponential Item Growth'!$B$23*C154</f>
        <v>2044080</v>
      </c>
    </row>
    <row r="155" spans="1:8" ht="15.75" customHeight="1">
      <c r="A155" s="3">
        <v>154</v>
      </c>
      <c r="B155" s="13">
        <f>'Exponential Item Growth'!$B$5*'Exponential Item Growth'!$B$6^A155</f>
        <v>7890.476864331139</v>
      </c>
      <c r="C155" s="14">
        <f t="shared" si="0"/>
        <v>2057.44</v>
      </c>
      <c r="D155" s="15">
        <f>A155*'Exponential Item Growth'!$B$4</f>
        <v>257.18</v>
      </c>
      <c r="E155" s="14">
        <f>IF(ISNA(VLOOKUP(A155,'Exponential Item Growth'!$A$10:$B$18,2,FALSE)),E154, E154*VLOOKUP(A155,'Exponential Item Growth'!$A$10:$B$18,2,FALSE))</f>
        <v>8</v>
      </c>
      <c r="F155" s="14">
        <f>C155*'Exponential Item Growth'!$B$21</f>
        <v>10287.200000000001</v>
      </c>
      <c r="G155" s="14">
        <f>'Exponential Item Growth'!$B$22*C155</f>
        <v>154308</v>
      </c>
      <c r="H155" s="14">
        <f>'Exponential Item Growth'!$B$23*C155</f>
        <v>2057440</v>
      </c>
    </row>
    <row r="156" spans="1:8" ht="15.75" customHeight="1">
      <c r="A156" s="3">
        <v>155</v>
      </c>
      <c r="B156" s="13">
        <f>'Exponential Item Growth'!$B$5*'Exponential Item Growth'!$B$6^A156</f>
        <v>8363.9054761910083</v>
      </c>
      <c r="C156" s="14">
        <f t="shared" si="0"/>
        <v>2070.7999999999997</v>
      </c>
      <c r="D156" s="15">
        <f>A156*'Exponential Item Growth'!$B$4</f>
        <v>258.84999999999997</v>
      </c>
      <c r="E156" s="14">
        <f>IF(ISNA(VLOOKUP(A156,'Exponential Item Growth'!$A$10:$B$18,2,FALSE)),E155, E155*VLOOKUP(A156,'Exponential Item Growth'!$A$10:$B$18,2,FALSE))</f>
        <v>8</v>
      </c>
      <c r="F156" s="14">
        <f>C156*'Exponential Item Growth'!$B$21</f>
        <v>10353.999999999998</v>
      </c>
      <c r="G156" s="14">
        <f>'Exponential Item Growth'!$B$22*C156</f>
        <v>155309.99999999997</v>
      </c>
      <c r="H156" s="14">
        <f>'Exponential Item Growth'!$B$23*C156</f>
        <v>2070799.9999999998</v>
      </c>
    </row>
    <row r="157" spans="1:8" ht="15.75" customHeight="1">
      <c r="A157" s="3">
        <v>156</v>
      </c>
      <c r="B157" s="13">
        <f>'Exponential Item Growth'!$B$5*'Exponential Item Growth'!$B$6^A157</f>
        <v>8865.7398047624702</v>
      </c>
      <c r="C157" s="14">
        <f t="shared" si="0"/>
        <v>2084.16</v>
      </c>
      <c r="D157" s="15">
        <f>A157*'Exponential Item Growth'!$B$4</f>
        <v>260.52</v>
      </c>
      <c r="E157" s="14">
        <f>IF(ISNA(VLOOKUP(A157,'Exponential Item Growth'!$A$10:$B$18,2,FALSE)),E156, E156*VLOOKUP(A157,'Exponential Item Growth'!$A$10:$B$18,2,FALSE))</f>
        <v>8</v>
      </c>
      <c r="F157" s="14">
        <f>C157*'Exponential Item Growth'!$B$21</f>
        <v>10420.799999999999</v>
      </c>
      <c r="G157" s="14">
        <f>'Exponential Item Growth'!$B$22*C157</f>
        <v>156312</v>
      </c>
      <c r="H157" s="14">
        <f>'Exponential Item Growth'!$B$23*C157</f>
        <v>2084159.9999999998</v>
      </c>
    </row>
    <row r="158" spans="1:8" ht="15.75" customHeight="1">
      <c r="A158" s="3">
        <v>157</v>
      </c>
      <c r="B158" s="13">
        <f>'Exponential Item Growth'!$B$5*'Exponential Item Growth'!$B$6^A158</f>
        <v>9397.6841930482187</v>
      </c>
      <c r="C158" s="14">
        <f t="shared" si="0"/>
        <v>2097.52</v>
      </c>
      <c r="D158" s="15">
        <f>A158*'Exponential Item Growth'!$B$4</f>
        <v>262.19</v>
      </c>
      <c r="E158" s="14">
        <f>IF(ISNA(VLOOKUP(A158,'Exponential Item Growth'!$A$10:$B$18,2,FALSE)),E157, E157*VLOOKUP(A158,'Exponential Item Growth'!$A$10:$B$18,2,FALSE))</f>
        <v>8</v>
      </c>
      <c r="F158" s="14">
        <f>C158*'Exponential Item Growth'!$B$21</f>
        <v>10487.6</v>
      </c>
      <c r="G158" s="14">
        <f>'Exponential Item Growth'!$B$22*C158</f>
        <v>157314</v>
      </c>
      <c r="H158" s="14">
        <f>'Exponential Item Growth'!$B$23*C158</f>
        <v>2097520</v>
      </c>
    </row>
    <row r="159" spans="1:8" ht="15.75" customHeight="1">
      <c r="A159" s="3">
        <v>158</v>
      </c>
      <c r="B159" s="13">
        <f>'Exponential Item Growth'!$B$5*'Exponential Item Growth'!$B$6^A159</f>
        <v>9961.5452446311119</v>
      </c>
      <c r="C159" s="14">
        <f t="shared" si="0"/>
        <v>2110.88</v>
      </c>
      <c r="D159" s="15">
        <f>A159*'Exponential Item Growth'!$B$4</f>
        <v>263.86</v>
      </c>
      <c r="E159" s="14">
        <f>IF(ISNA(VLOOKUP(A159,'Exponential Item Growth'!$A$10:$B$18,2,FALSE)),E158, E158*VLOOKUP(A159,'Exponential Item Growth'!$A$10:$B$18,2,FALSE))</f>
        <v>8</v>
      </c>
      <c r="F159" s="14">
        <f>C159*'Exponential Item Growth'!$B$21</f>
        <v>10554.400000000001</v>
      </c>
      <c r="G159" s="14">
        <f>'Exponential Item Growth'!$B$22*C159</f>
        <v>158316</v>
      </c>
      <c r="H159" s="14">
        <f>'Exponential Item Growth'!$B$23*C159</f>
        <v>2110880</v>
      </c>
    </row>
    <row r="160" spans="1:8" ht="15.75" customHeight="1">
      <c r="A160" s="3">
        <v>159</v>
      </c>
      <c r="B160" s="13">
        <f>'Exponential Item Growth'!$B$5*'Exponential Item Growth'!$B$6^A160</f>
        <v>10559.237959308981</v>
      </c>
      <c r="C160" s="14">
        <f t="shared" si="0"/>
        <v>2124.2399999999998</v>
      </c>
      <c r="D160" s="15">
        <f>A160*'Exponential Item Growth'!$B$4</f>
        <v>265.52999999999997</v>
      </c>
      <c r="E160" s="14">
        <f>IF(ISNA(VLOOKUP(A160,'Exponential Item Growth'!$A$10:$B$18,2,FALSE)),E159, E159*VLOOKUP(A160,'Exponential Item Growth'!$A$10:$B$18,2,FALSE))</f>
        <v>8</v>
      </c>
      <c r="F160" s="14">
        <f>C160*'Exponential Item Growth'!$B$21</f>
        <v>10621.199999999999</v>
      </c>
      <c r="G160" s="14">
        <f>'Exponential Item Growth'!$B$22*C160</f>
        <v>159317.99999999997</v>
      </c>
      <c r="H160" s="14">
        <f>'Exponential Item Growth'!$B$23*C160</f>
        <v>2124240</v>
      </c>
    </row>
    <row r="161" spans="1:8" ht="15.75" customHeight="1">
      <c r="A161" s="3">
        <v>160</v>
      </c>
      <c r="B161" s="13">
        <f>'Exponential Item Growth'!$B$5*'Exponential Item Growth'!$B$6^A161</f>
        <v>11192.792236867517</v>
      </c>
      <c r="C161" s="14">
        <f t="shared" si="0"/>
        <v>2137.6</v>
      </c>
      <c r="D161" s="15">
        <f>A161*'Exponential Item Growth'!$B$4</f>
        <v>267.2</v>
      </c>
      <c r="E161" s="14">
        <f>IF(ISNA(VLOOKUP(A161,'Exponential Item Growth'!$A$10:$B$18,2,FALSE)),E160, E160*VLOOKUP(A161,'Exponential Item Growth'!$A$10:$B$18,2,FALSE))</f>
        <v>8</v>
      </c>
      <c r="F161" s="14">
        <f>C161*'Exponential Item Growth'!$B$21</f>
        <v>10688</v>
      </c>
      <c r="G161" s="14">
        <f>'Exponential Item Growth'!$B$22*C161</f>
        <v>160320</v>
      </c>
      <c r="H161" s="14">
        <f>'Exponential Item Growth'!$B$23*C161</f>
        <v>2137600</v>
      </c>
    </row>
    <row r="162" spans="1:8" ht="15.75" customHeight="1">
      <c r="A162" s="3">
        <v>161</v>
      </c>
      <c r="B162" s="13">
        <f>'Exponential Item Growth'!$B$5*'Exponential Item Growth'!$B$6^A162</f>
        <v>11864.359771079569</v>
      </c>
      <c r="C162" s="14">
        <f t="shared" si="0"/>
        <v>2150.96</v>
      </c>
      <c r="D162" s="15">
        <f>A162*'Exponential Item Growth'!$B$4</f>
        <v>268.87</v>
      </c>
      <c r="E162" s="14">
        <f>IF(ISNA(VLOOKUP(A162,'Exponential Item Growth'!$A$10:$B$18,2,FALSE)),E161, E161*VLOOKUP(A162,'Exponential Item Growth'!$A$10:$B$18,2,FALSE))</f>
        <v>8</v>
      </c>
      <c r="F162" s="14">
        <f>C162*'Exponential Item Growth'!$B$21</f>
        <v>10754.8</v>
      </c>
      <c r="G162" s="14">
        <f>'Exponential Item Growth'!$B$22*C162</f>
        <v>161322</v>
      </c>
      <c r="H162" s="14">
        <f>'Exponential Item Growth'!$B$23*C162</f>
        <v>2150960</v>
      </c>
    </row>
    <row r="163" spans="1:8" ht="15.75" customHeight="1">
      <c r="A163" s="3">
        <v>162</v>
      </c>
      <c r="B163" s="13">
        <f>'Exponential Item Growth'!$B$5*'Exponential Item Growth'!$B$6^A163</f>
        <v>12576.221357344344</v>
      </c>
      <c r="C163" s="14">
        <f t="shared" si="0"/>
        <v>2164.3199999999997</v>
      </c>
      <c r="D163" s="15">
        <f>A163*'Exponential Item Growth'!$B$4</f>
        <v>270.53999999999996</v>
      </c>
      <c r="E163" s="14">
        <f>IF(ISNA(VLOOKUP(A163,'Exponential Item Growth'!$A$10:$B$18,2,FALSE)),E162, E162*VLOOKUP(A163,'Exponential Item Growth'!$A$10:$B$18,2,FALSE))</f>
        <v>8</v>
      </c>
      <c r="F163" s="14">
        <f>C163*'Exponential Item Growth'!$B$21</f>
        <v>10821.599999999999</v>
      </c>
      <c r="G163" s="14">
        <f>'Exponential Item Growth'!$B$22*C163</f>
        <v>162323.99999999997</v>
      </c>
      <c r="H163" s="14">
        <f>'Exponential Item Growth'!$B$23*C163</f>
        <v>2164319.9999999995</v>
      </c>
    </row>
    <row r="164" spans="1:8" ht="15.75" customHeight="1">
      <c r="A164" s="3">
        <v>163</v>
      </c>
      <c r="B164" s="13">
        <f>'Exponential Item Growth'!$B$5*'Exponential Item Growth'!$B$6^A164</f>
        <v>13330.794638785008</v>
      </c>
      <c r="C164" s="14">
        <f t="shared" si="0"/>
        <v>2177.6799999999998</v>
      </c>
      <c r="D164" s="15">
        <f>A164*'Exponential Item Growth'!$B$4</f>
        <v>272.20999999999998</v>
      </c>
      <c r="E164" s="14">
        <f>IF(ISNA(VLOOKUP(A164,'Exponential Item Growth'!$A$10:$B$18,2,FALSE)),E163, E163*VLOOKUP(A164,'Exponential Item Growth'!$A$10:$B$18,2,FALSE))</f>
        <v>8</v>
      </c>
      <c r="F164" s="14">
        <f>C164*'Exponential Item Growth'!$B$21</f>
        <v>10888.4</v>
      </c>
      <c r="G164" s="14">
        <f>'Exponential Item Growth'!$B$22*C164</f>
        <v>163326</v>
      </c>
      <c r="H164" s="14">
        <f>'Exponential Item Growth'!$B$23*C164</f>
        <v>2177680</v>
      </c>
    </row>
    <row r="165" spans="1:8" ht="15.75" customHeight="1">
      <c r="A165" s="3">
        <v>164</v>
      </c>
      <c r="B165" s="13">
        <f>'Exponential Item Growth'!$B$5*'Exponential Item Growth'!$B$6^A165</f>
        <v>14130.642317112108</v>
      </c>
      <c r="C165" s="14">
        <f t="shared" si="0"/>
        <v>2191.04</v>
      </c>
      <c r="D165" s="15">
        <f>A165*'Exponential Item Growth'!$B$4</f>
        <v>273.88</v>
      </c>
      <c r="E165" s="14">
        <f>IF(ISNA(VLOOKUP(A165,'Exponential Item Growth'!$A$10:$B$18,2,FALSE)),E164, E164*VLOOKUP(A165,'Exponential Item Growth'!$A$10:$B$18,2,FALSE))</f>
        <v>8</v>
      </c>
      <c r="F165" s="14">
        <f>C165*'Exponential Item Growth'!$B$21</f>
        <v>10955.2</v>
      </c>
      <c r="G165" s="14">
        <f>'Exponential Item Growth'!$B$22*C165</f>
        <v>164328</v>
      </c>
      <c r="H165" s="14">
        <f>'Exponential Item Growth'!$B$23*C165</f>
        <v>2191040</v>
      </c>
    </row>
    <row r="166" spans="1:8" ht="15.75" customHeight="1">
      <c r="A166" s="3">
        <v>165</v>
      </c>
      <c r="B166" s="13">
        <f>'Exponential Item Growth'!$B$5*'Exponential Item Growth'!$B$6^A166</f>
        <v>14978.480856138834</v>
      </c>
      <c r="C166" s="14">
        <f t="shared" si="0"/>
        <v>2204.4</v>
      </c>
      <c r="D166" s="15">
        <f>A166*'Exponential Item Growth'!$B$4</f>
        <v>275.55</v>
      </c>
      <c r="E166" s="14">
        <f>IF(ISNA(VLOOKUP(A166,'Exponential Item Growth'!$A$10:$B$18,2,FALSE)),E165, E165*VLOOKUP(A166,'Exponential Item Growth'!$A$10:$B$18,2,FALSE))</f>
        <v>8</v>
      </c>
      <c r="F166" s="14">
        <f>C166*'Exponential Item Growth'!$B$21</f>
        <v>11022</v>
      </c>
      <c r="G166" s="14">
        <f>'Exponential Item Growth'!$B$22*C166</f>
        <v>165330</v>
      </c>
      <c r="H166" s="14">
        <f>'Exponential Item Growth'!$B$23*C166</f>
        <v>2204400</v>
      </c>
    </row>
    <row r="167" spans="1:8" ht="15.75" customHeight="1">
      <c r="A167" s="3">
        <v>166</v>
      </c>
      <c r="B167" s="13">
        <f>'Exponential Item Growth'!$B$5*'Exponential Item Growth'!$B$6^A167</f>
        <v>15877.189707507168</v>
      </c>
      <c r="C167" s="14">
        <f t="shared" si="0"/>
        <v>2217.7599999999998</v>
      </c>
      <c r="D167" s="15">
        <f>A167*'Exponential Item Growth'!$B$4</f>
        <v>277.21999999999997</v>
      </c>
      <c r="E167" s="14">
        <f>IF(ISNA(VLOOKUP(A167,'Exponential Item Growth'!$A$10:$B$18,2,FALSE)),E166, E166*VLOOKUP(A167,'Exponential Item Growth'!$A$10:$B$18,2,FALSE))</f>
        <v>8</v>
      </c>
      <c r="F167" s="14">
        <f>C167*'Exponential Item Growth'!$B$21</f>
        <v>11088.8</v>
      </c>
      <c r="G167" s="14">
        <f>'Exponential Item Growth'!$B$22*C167</f>
        <v>166331.99999999997</v>
      </c>
      <c r="H167" s="14">
        <f>'Exponential Item Growth'!$B$23*C167</f>
        <v>2217759.9999999995</v>
      </c>
    </row>
    <row r="168" spans="1:8" ht="15.75" customHeight="1">
      <c r="A168" s="3">
        <v>167</v>
      </c>
      <c r="B168" s="13">
        <f>'Exponential Item Growth'!$B$5*'Exponential Item Growth'!$B$6^A168</f>
        <v>16829.821089957601</v>
      </c>
      <c r="C168" s="14">
        <f t="shared" si="0"/>
        <v>2231.12</v>
      </c>
      <c r="D168" s="15">
        <f>A168*'Exponential Item Growth'!$B$4</f>
        <v>278.89</v>
      </c>
      <c r="E168" s="14">
        <f>IF(ISNA(VLOOKUP(A168,'Exponential Item Growth'!$A$10:$B$18,2,FALSE)),E167, E167*VLOOKUP(A168,'Exponential Item Growth'!$A$10:$B$18,2,FALSE))</f>
        <v>8</v>
      </c>
      <c r="F168" s="14">
        <f>C168*'Exponential Item Growth'!$B$21</f>
        <v>11155.599999999999</v>
      </c>
      <c r="G168" s="14">
        <f>'Exponential Item Growth'!$B$22*C168</f>
        <v>167334</v>
      </c>
      <c r="H168" s="14">
        <f>'Exponential Item Growth'!$B$23*C168</f>
        <v>2231120</v>
      </c>
    </row>
    <row r="169" spans="1:8" ht="15.75" customHeight="1">
      <c r="A169" s="3">
        <v>168</v>
      </c>
      <c r="B169" s="13">
        <f>'Exponential Item Growth'!$B$5*'Exponential Item Growth'!$B$6^A169</f>
        <v>17839.610355355053</v>
      </c>
      <c r="C169" s="14">
        <f t="shared" si="0"/>
        <v>2244.48</v>
      </c>
      <c r="D169" s="15">
        <f>A169*'Exponential Item Growth'!$B$4</f>
        <v>280.56</v>
      </c>
      <c r="E169" s="14">
        <f>IF(ISNA(VLOOKUP(A169,'Exponential Item Growth'!$A$10:$B$18,2,FALSE)),E168, E168*VLOOKUP(A169,'Exponential Item Growth'!$A$10:$B$18,2,FALSE))</f>
        <v>8</v>
      </c>
      <c r="F169" s="14">
        <f>C169*'Exponential Item Growth'!$B$21</f>
        <v>11222.4</v>
      </c>
      <c r="G169" s="14">
        <f>'Exponential Item Growth'!$B$22*C169</f>
        <v>168336</v>
      </c>
      <c r="H169" s="14">
        <f>'Exponential Item Growth'!$B$23*C169</f>
        <v>2244480</v>
      </c>
    </row>
    <row r="170" spans="1:8" ht="15.75" customHeight="1">
      <c r="A170" s="3">
        <v>169</v>
      </c>
      <c r="B170" s="13">
        <f>'Exponential Item Growth'!$B$5*'Exponential Item Growth'!$B$6^A170</f>
        <v>18909.986976676355</v>
      </c>
      <c r="C170" s="14">
        <f t="shared" si="0"/>
        <v>2257.8399999999997</v>
      </c>
      <c r="D170" s="15">
        <f>A170*'Exponential Item Growth'!$B$4</f>
        <v>282.22999999999996</v>
      </c>
      <c r="E170" s="14">
        <f>IF(ISNA(VLOOKUP(A170,'Exponential Item Growth'!$A$10:$B$18,2,FALSE)),E169, E169*VLOOKUP(A170,'Exponential Item Growth'!$A$10:$B$18,2,FALSE))</f>
        <v>8</v>
      </c>
      <c r="F170" s="14">
        <f>C170*'Exponential Item Growth'!$B$21</f>
        <v>11289.199999999999</v>
      </c>
      <c r="G170" s="14">
        <f>'Exponential Item Growth'!$B$22*C170</f>
        <v>169337.99999999997</v>
      </c>
      <c r="H170" s="14">
        <f>'Exponential Item Growth'!$B$23*C170</f>
        <v>2257839.9999999995</v>
      </c>
    </row>
    <row r="171" spans="1:8" ht="15.75" customHeight="1">
      <c r="A171" s="3">
        <v>170</v>
      </c>
      <c r="B171" s="13">
        <f>'Exponential Item Growth'!$B$5*'Exponential Item Growth'!$B$6^A171</f>
        <v>20044.586195276941</v>
      </c>
      <c r="C171" s="14">
        <f t="shared" si="0"/>
        <v>2271.1999999999998</v>
      </c>
      <c r="D171" s="15">
        <f>A171*'Exponential Item Growth'!$B$4</f>
        <v>283.89999999999998</v>
      </c>
      <c r="E171" s="14">
        <f>IF(ISNA(VLOOKUP(A171,'Exponential Item Growth'!$A$10:$B$18,2,FALSE)),E170, E170*VLOOKUP(A171,'Exponential Item Growth'!$A$10:$B$18,2,FALSE))</f>
        <v>8</v>
      </c>
      <c r="F171" s="14">
        <f>C171*'Exponential Item Growth'!$B$21</f>
        <v>11356</v>
      </c>
      <c r="G171" s="14">
        <f>'Exponential Item Growth'!$B$22*C171</f>
        <v>170340</v>
      </c>
      <c r="H171" s="14">
        <f>'Exponential Item Growth'!$B$23*C171</f>
        <v>2271200</v>
      </c>
    </row>
    <row r="172" spans="1:8" ht="15.75" customHeight="1">
      <c r="A172" s="3">
        <v>171</v>
      </c>
      <c r="B172" s="13">
        <f>'Exponential Item Growth'!$B$5*'Exponential Item Growth'!$B$6^A172</f>
        <v>21247.26136699356</v>
      </c>
      <c r="C172" s="14">
        <f t="shared" si="0"/>
        <v>2284.56</v>
      </c>
      <c r="D172" s="15">
        <f>A172*'Exponential Item Growth'!$B$4</f>
        <v>285.57</v>
      </c>
      <c r="E172" s="14">
        <f>IF(ISNA(VLOOKUP(A172,'Exponential Item Growth'!$A$10:$B$18,2,FALSE)),E171, E171*VLOOKUP(A172,'Exponential Item Growth'!$A$10:$B$18,2,FALSE))</f>
        <v>8</v>
      </c>
      <c r="F172" s="14">
        <f>C172*'Exponential Item Growth'!$B$21</f>
        <v>11422.8</v>
      </c>
      <c r="G172" s="14">
        <f>'Exponential Item Growth'!$B$22*C172</f>
        <v>171342</v>
      </c>
      <c r="H172" s="14">
        <f>'Exponential Item Growth'!$B$23*C172</f>
        <v>2284560</v>
      </c>
    </row>
    <row r="173" spans="1:8" ht="15.75" customHeight="1">
      <c r="A173" s="3">
        <v>172</v>
      </c>
      <c r="B173" s="13">
        <f>'Exponential Item Growth'!$B$5*'Exponential Item Growth'!$B$6^A173</f>
        <v>22522.097049013173</v>
      </c>
      <c r="C173" s="14">
        <f t="shared" si="0"/>
        <v>2297.92</v>
      </c>
      <c r="D173" s="15">
        <f>A173*'Exponential Item Growth'!$B$4</f>
        <v>287.24</v>
      </c>
      <c r="E173" s="14">
        <f>IF(ISNA(VLOOKUP(A173,'Exponential Item Growth'!$A$10:$B$18,2,FALSE)),E172, E172*VLOOKUP(A173,'Exponential Item Growth'!$A$10:$B$18,2,FALSE))</f>
        <v>8</v>
      </c>
      <c r="F173" s="14">
        <f>C173*'Exponential Item Growth'!$B$21</f>
        <v>11489.6</v>
      </c>
      <c r="G173" s="14">
        <f>'Exponential Item Growth'!$B$22*C173</f>
        <v>172344</v>
      </c>
      <c r="H173" s="14">
        <f>'Exponential Item Growth'!$B$23*C173</f>
        <v>2297920</v>
      </c>
    </row>
    <row r="174" spans="1:8" ht="15.75" customHeight="1">
      <c r="A174" s="3">
        <v>173</v>
      </c>
      <c r="B174" s="13">
        <f>'Exponential Item Growth'!$B$5*'Exponential Item Growth'!$B$6^A174</f>
        <v>23873.422871953964</v>
      </c>
      <c r="C174" s="14">
        <f t="shared" si="0"/>
        <v>2311.2799999999997</v>
      </c>
      <c r="D174" s="15">
        <f>A174*'Exponential Item Growth'!$B$4</f>
        <v>288.90999999999997</v>
      </c>
      <c r="E174" s="14">
        <f>IF(ISNA(VLOOKUP(A174,'Exponential Item Growth'!$A$10:$B$18,2,FALSE)),E173, E173*VLOOKUP(A174,'Exponential Item Growth'!$A$10:$B$18,2,FALSE))</f>
        <v>8</v>
      </c>
      <c r="F174" s="14">
        <f>C174*'Exponential Item Growth'!$B$21</f>
        <v>11556.399999999998</v>
      </c>
      <c r="G174" s="14">
        <f>'Exponential Item Growth'!$B$22*C174</f>
        <v>173345.99999999997</v>
      </c>
      <c r="H174" s="14">
        <f>'Exponential Item Growth'!$B$23*C174</f>
        <v>2311279.9999999995</v>
      </c>
    </row>
    <row r="175" spans="1:8" ht="15.75" customHeight="1">
      <c r="A175" s="3">
        <v>174</v>
      </c>
      <c r="B175" s="13">
        <f>'Exponential Item Growth'!$B$5*'Exponential Item Growth'!$B$6^A175</f>
        <v>25305.828244271204</v>
      </c>
      <c r="C175" s="14">
        <f t="shared" si="0"/>
        <v>2324.64</v>
      </c>
      <c r="D175" s="15">
        <f>A175*'Exponential Item Growth'!$B$4</f>
        <v>290.58</v>
      </c>
      <c r="E175" s="14">
        <f>IF(ISNA(VLOOKUP(A175,'Exponential Item Growth'!$A$10:$B$18,2,FALSE)),E174, E174*VLOOKUP(A175,'Exponential Item Growth'!$A$10:$B$18,2,FALSE))</f>
        <v>8</v>
      </c>
      <c r="F175" s="14">
        <f>C175*'Exponential Item Growth'!$B$21</f>
        <v>11623.199999999999</v>
      </c>
      <c r="G175" s="14">
        <f>'Exponential Item Growth'!$B$22*C175</f>
        <v>174348</v>
      </c>
      <c r="H175" s="14">
        <f>'Exponential Item Growth'!$B$23*C175</f>
        <v>2324640</v>
      </c>
    </row>
    <row r="176" spans="1:8" ht="15.75" customHeight="1">
      <c r="A176" s="3">
        <v>175</v>
      </c>
      <c r="B176" s="13">
        <f>'Exponential Item Growth'!$B$5*'Exponential Item Growth'!$B$6^A176</f>
        <v>26824.177938927485</v>
      </c>
      <c r="C176" s="14">
        <f t="shared" si="0"/>
        <v>2338</v>
      </c>
      <c r="D176" s="15">
        <f>A176*'Exponential Item Growth'!$B$4</f>
        <v>292.25</v>
      </c>
      <c r="E176" s="14">
        <f>IF(ISNA(VLOOKUP(A176,'Exponential Item Growth'!$A$10:$B$18,2,FALSE)),E175, E175*VLOOKUP(A176,'Exponential Item Growth'!$A$10:$B$18,2,FALSE))</f>
        <v>8</v>
      </c>
      <c r="F176" s="14">
        <f>C176*'Exponential Item Growth'!$B$21</f>
        <v>11690</v>
      </c>
      <c r="G176" s="14">
        <f>'Exponential Item Growth'!$B$22*C176</f>
        <v>175350</v>
      </c>
      <c r="H176" s="14">
        <f>'Exponential Item Growth'!$B$23*C176</f>
        <v>2338000</v>
      </c>
    </row>
    <row r="177" spans="1:8" ht="15.75" customHeight="1">
      <c r="A177" s="3">
        <v>176</v>
      </c>
      <c r="B177" s="13">
        <f>'Exponential Item Growth'!$B$5*'Exponential Item Growth'!$B$6^A177</f>
        <v>28433.628615263126</v>
      </c>
      <c r="C177" s="14">
        <f t="shared" si="0"/>
        <v>2351.3599999999997</v>
      </c>
      <c r="D177" s="15">
        <f>A177*'Exponential Item Growth'!$B$4</f>
        <v>293.91999999999996</v>
      </c>
      <c r="E177" s="14">
        <f>IF(ISNA(VLOOKUP(A177,'Exponential Item Growth'!$A$10:$B$18,2,FALSE)),E176, E176*VLOOKUP(A177,'Exponential Item Growth'!$A$10:$B$18,2,FALSE))</f>
        <v>8</v>
      </c>
      <c r="F177" s="14">
        <f>C177*'Exponential Item Growth'!$B$21</f>
        <v>11756.8</v>
      </c>
      <c r="G177" s="14">
        <f>'Exponential Item Growth'!$B$22*C177</f>
        <v>176351.99999999997</v>
      </c>
      <c r="H177" s="14">
        <f>'Exponential Item Growth'!$B$23*C177</f>
        <v>2351359.9999999995</v>
      </c>
    </row>
    <row r="178" spans="1:8" ht="15.75" customHeight="1">
      <c r="A178" s="3">
        <v>177</v>
      </c>
      <c r="B178" s="13">
        <f>'Exponential Item Growth'!$B$5*'Exponential Item Growth'!$B$6^A178</f>
        <v>30139.646332178916</v>
      </c>
      <c r="C178" s="14">
        <f t="shared" si="0"/>
        <v>2364.7199999999998</v>
      </c>
      <c r="D178" s="15">
        <f>A178*'Exponential Item Growth'!$B$4</f>
        <v>295.58999999999997</v>
      </c>
      <c r="E178" s="14">
        <f>IF(ISNA(VLOOKUP(A178,'Exponential Item Growth'!$A$10:$B$18,2,FALSE)),E177, E177*VLOOKUP(A178,'Exponential Item Growth'!$A$10:$B$18,2,FALSE))</f>
        <v>8</v>
      </c>
      <c r="F178" s="14">
        <f>C178*'Exponential Item Growth'!$B$21</f>
        <v>11823.599999999999</v>
      </c>
      <c r="G178" s="14">
        <f>'Exponential Item Growth'!$B$22*C178</f>
        <v>177353.99999999997</v>
      </c>
      <c r="H178" s="14">
        <f>'Exponential Item Growth'!$B$23*C178</f>
        <v>2364720</v>
      </c>
    </row>
    <row r="179" spans="1:8" ht="15.75" customHeight="1">
      <c r="A179" s="3">
        <v>178</v>
      </c>
      <c r="B179" s="13">
        <f>'Exponential Item Growth'!$B$5*'Exponential Item Growth'!$B$6^A179</f>
        <v>31948.025112109648</v>
      </c>
      <c r="C179" s="14">
        <f t="shared" si="0"/>
        <v>2378.08</v>
      </c>
      <c r="D179" s="15">
        <f>A179*'Exponential Item Growth'!$B$4</f>
        <v>297.26</v>
      </c>
      <c r="E179" s="14">
        <f>IF(ISNA(VLOOKUP(A179,'Exponential Item Growth'!$A$10:$B$18,2,FALSE)),E178, E178*VLOOKUP(A179,'Exponential Item Growth'!$A$10:$B$18,2,FALSE))</f>
        <v>8</v>
      </c>
      <c r="F179" s="14">
        <f>C179*'Exponential Item Growth'!$B$21</f>
        <v>11890.4</v>
      </c>
      <c r="G179" s="14">
        <f>'Exponential Item Growth'!$B$22*C179</f>
        <v>178356</v>
      </c>
      <c r="H179" s="14">
        <f>'Exponential Item Growth'!$B$23*C179</f>
        <v>2378080</v>
      </c>
    </row>
    <row r="180" spans="1:8" ht="15.75" customHeight="1">
      <c r="A180" s="3">
        <v>179</v>
      </c>
      <c r="B180" s="13">
        <f>'Exponential Item Growth'!$B$5*'Exponential Item Growth'!$B$6^A180</f>
        <v>33864.906618836234</v>
      </c>
      <c r="C180" s="14">
        <f t="shared" si="0"/>
        <v>2391.44</v>
      </c>
      <c r="D180" s="15">
        <f>A180*'Exponential Item Growth'!$B$4</f>
        <v>298.93</v>
      </c>
      <c r="E180" s="14">
        <f>IF(ISNA(VLOOKUP(A180,'Exponential Item Growth'!$A$10:$B$18,2,FALSE)),E179, E179*VLOOKUP(A180,'Exponential Item Growth'!$A$10:$B$18,2,FALSE))</f>
        <v>8</v>
      </c>
      <c r="F180" s="14">
        <f>C180*'Exponential Item Growth'!$B$21</f>
        <v>11957.2</v>
      </c>
      <c r="G180" s="14">
        <f>'Exponential Item Growth'!$B$22*C180</f>
        <v>179358</v>
      </c>
      <c r="H180" s="14">
        <f>'Exponential Item Growth'!$B$23*C180</f>
        <v>2391440</v>
      </c>
    </row>
    <row r="181" spans="1:8" ht="15.75" customHeight="1">
      <c r="A181" s="3">
        <v>180</v>
      </c>
      <c r="B181" s="13">
        <f>'Exponential Item Growth'!$B$5*'Exponential Item Growth'!$B$6^A181</f>
        <v>35896.801015966405</v>
      </c>
      <c r="C181" s="14">
        <f t="shared" si="0"/>
        <v>2404.7999999999997</v>
      </c>
      <c r="D181" s="15">
        <f>A181*'Exponential Item Growth'!$B$4</f>
        <v>300.59999999999997</v>
      </c>
      <c r="E181" s="14">
        <f>IF(ISNA(VLOOKUP(A181,'Exponential Item Growth'!$A$10:$B$18,2,FALSE)),E180, E180*VLOOKUP(A181,'Exponential Item Growth'!$A$10:$B$18,2,FALSE))</f>
        <v>8</v>
      </c>
      <c r="F181" s="14">
        <f>C181*'Exponential Item Growth'!$B$21</f>
        <v>12023.999999999998</v>
      </c>
      <c r="G181" s="14">
        <f>'Exponential Item Growth'!$B$22*C181</f>
        <v>180359.99999999997</v>
      </c>
      <c r="H181" s="14">
        <f>'Exponential Item Growth'!$B$23*C181</f>
        <v>2404799.9999999995</v>
      </c>
    </row>
    <row r="182" spans="1:8" ht="15.75" customHeight="1">
      <c r="A182" s="3">
        <v>181</v>
      </c>
      <c r="B182" s="13">
        <f>'Exponential Item Growth'!$B$5*'Exponential Item Growth'!$B$6^A182</f>
        <v>38050.609076924404</v>
      </c>
      <c r="C182" s="14">
        <f t="shared" si="0"/>
        <v>2418.16</v>
      </c>
      <c r="D182" s="15">
        <f>A182*'Exponential Item Growth'!$B$4</f>
        <v>302.27</v>
      </c>
      <c r="E182" s="14">
        <f>IF(ISNA(VLOOKUP(A182,'Exponential Item Growth'!$A$10:$B$18,2,FALSE)),E181, E181*VLOOKUP(A182,'Exponential Item Growth'!$A$10:$B$18,2,FALSE))</f>
        <v>8</v>
      </c>
      <c r="F182" s="14">
        <f>C182*'Exponential Item Growth'!$B$21</f>
        <v>12090.8</v>
      </c>
      <c r="G182" s="14">
        <f>'Exponential Item Growth'!$B$22*C182</f>
        <v>181362</v>
      </c>
      <c r="H182" s="14">
        <f>'Exponential Item Growth'!$B$23*C182</f>
        <v>2418160</v>
      </c>
    </row>
    <row r="183" spans="1:8" ht="15.75" customHeight="1">
      <c r="A183" s="3">
        <v>182</v>
      </c>
      <c r="B183" s="13">
        <f>'Exponential Item Growth'!$B$5*'Exponential Item Growth'!$B$6^A183</f>
        <v>40333.645621539865</v>
      </c>
      <c r="C183" s="14">
        <f t="shared" si="0"/>
        <v>2431.52</v>
      </c>
      <c r="D183" s="15">
        <f>A183*'Exponential Item Growth'!$B$4</f>
        <v>303.94</v>
      </c>
      <c r="E183" s="14">
        <f>IF(ISNA(VLOOKUP(A183,'Exponential Item Growth'!$A$10:$B$18,2,FALSE)),E182, E182*VLOOKUP(A183,'Exponential Item Growth'!$A$10:$B$18,2,FALSE))</f>
        <v>8</v>
      </c>
      <c r="F183" s="14">
        <f>C183*'Exponential Item Growth'!$B$21</f>
        <v>12157.6</v>
      </c>
      <c r="G183" s="14">
        <f>'Exponential Item Growth'!$B$22*C183</f>
        <v>182364</v>
      </c>
      <c r="H183" s="14">
        <f>'Exponential Item Growth'!$B$23*C183</f>
        <v>2431520</v>
      </c>
    </row>
    <row r="184" spans="1:8" ht="15.75" customHeight="1">
      <c r="A184" s="3">
        <v>183</v>
      </c>
      <c r="B184" s="13">
        <f>'Exponential Item Growth'!$B$5*'Exponential Item Growth'!$B$6^A184</f>
        <v>42753.664358832262</v>
      </c>
      <c r="C184" s="14">
        <f t="shared" si="0"/>
        <v>2444.88</v>
      </c>
      <c r="D184" s="15">
        <f>A184*'Exponential Item Growth'!$B$4</f>
        <v>305.61</v>
      </c>
      <c r="E184" s="14">
        <f>IF(ISNA(VLOOKUP(A184,'Exponential Item Growth'!$A$10:$B$18,2,FALSE)),E183, E183*VLOOKUP(A184,'Exponential Item Growth'!$A$10:$B$18,2,FALSE))</f>
        <v>8</v>
      </c>
      <c r="F184" s="14">
        <f>C184*'Exponential Item Growth'!$B$21</f>
        <v>12224.400000000001</v>
      </c>
      <c r="G184" s="14">
        <f>'Exponential Item Growth'!$B$22*C184</f>
        <v>183366</v>
      </c>
      <c r="H184" s="14">
        <f>'Exponential Item Growth'!$B$23*C184</f>
        <v>2444880</v>
      </c>
    </row>
    <row r="185" spans="1:8" ht="15.75" customHeight="1">
      <c r="A185" s="3">
        <v>184</v>
      </c>
      <c r="B185" s="13">
        <f>'Exponential Item Growth'!$B$5*'Exponential Item Growth'!$B$6^A185</f>
        <v>45318.88422036219</v>
      </c>
      <c r="C185" s="14">
        <f t="shared" si="0"/>
        <v>2458.2399999999998</v>
      </c>
      <c r="D185" s="15">
        <f>A185*'Exponential Item Growth'!$B$4</f>
        <v>307.27999999999997</v>
      </c>
      <c r="E185" s="14">
        <f>IF(ISNA(VLOOKUP(A185,'Exponential Item Growth'!$A$10:$B$18,2,FALSE)),E184, E184*VLOOKUP(A185,'Exponential Item Growth'!$A$10:$B$18,2,FALSE))</f>
        <v>8</v>
      </c>
      <c r="F185" s="14">
        <f>C185*'Exponential Item Growth'!$B$21</f>
        <v>12291.199999999999</v>
      </c>
      <c r="G185" s="14">
        <f>'Exponential Item Growth'!$B$22*C185</f>
        <v>184367.99999999997</v>
      </c>
      <c r="H185" s="14">
        <f>'Exponential Item Growth'!$B$23*C185</f>
        <v>2458240</v>
      </c>
    </row>
    <row r="186" spans="1:8" ht="15.75" customHeight="1">
      <c r="A186" s="3">
        <v>185</v>
      </c>
      <c r="B186" s="13">
        <f>'Exponential Item Growth'!$B$5*'Exponential Item Growth'!$B$6^A186</f>
        <v>48038.017273583922</v>
      </c>
      <c r="C186" s="14">
        <f t="shared" si="0"/>
        <v>2471.6</v>
      </c>
      <c r="D186" s="15">
        <f>A186*'Exponential Item Growth'!$B$4</f>
        <v>308.95</v>
      </c>
      <c r="E186" s="14">
        <f>IF(ISNA(VLOOKUP(A186,'Exponential Item Growth'!$A$10:$B$18,2,FALSE)),E185, E185*VLOOKUP(A186,'Exponential Item Growth'!$A$10:$B$18,2,FALSE))</f>
        <v>8</v>
      </c>
      <c r="F186" s="14">
        <f>C186*'Exponential Item Growth'!$B$21</f>
        <v>12358</v>
      </c>
      <c r="G186" s="14">
        <f>'Exponential Item Growth'!$B$22*C186</f>
        <v>185370</v>
      </c>
      <c r="H186" s="14">
        <f>'Exponential Item Growth'!$B$23*C186</f>
        <v>2471600</v>
      </c>
    </row>
    <row r="187" spans="1:8" ht="15.75" customHeight="1">
      <c r="A187" s="3">
        <v>186</v>
      </c>
      <c r="B187" s="13">
        <f>'Exponential Item Growth'!$B$5*'Exponential Item Growth'!$B$6^A187</f>
        <v>50920.298309998958</v>
      </c>
      <c r="C187" s="14">
        <f t="shared" si="0"/>
        <v>2484.96</v>
      </c>
      <c r="D187" s="15">
        <f>A187*'Exponential Item Growth'!$B$4</f>
        <v>310.62</v>
      </c>
      <c r="E187" s="14">
        <f>IF(ISNA(VLOOKUP(A187,'Exponential Item Growth'!$A$10:$B$18,2,FALSE)),E186, E186*VLOOKUP(A187,'Exponential Item Growth'!$A$10:$B$18,2,FALSE))</f>
        <v>8</v>
      </c>
      <c r="F187" s="14">
        <f>C187*'Exponential Item Growth'!$B$21</f>
        <v>12424.8</v>
      </c>
      <c r="G187" s="14">
        <f>'Exponential Item Growth'!$B$22*C187</f>
        <v>186372</v>
      </c>
      <c r="H187" s="14">
        <f>'Exponential Item Growth'!$B$23*C187</f>
        <v>2484960</v>
      </c>
    </row>
    <row r="188" spans="1:8" ht="15.75" customHeight="1">
      <c r="A188" s="3">
        <v>187</v>
      </c>
      <c r="B188" s="13">
        <f>'Exponential Item Growth'!$B$5*'Exponential Item Growth'!$B$6^A188</f>
        <v>53975.516208598907</v>
      </c>
      <c r="C188" s="14">
        <f t="shared" si="0"/>
        <v>2498.3199999999997</v>
      </c>
      <c r="D188" s="15">
        <f>A188*'Exponential Item Growth'!$B$4</f>
        <v>312.28999999999996</v>
      </c>
      <c r="E188" s="14">
        <f>IF(ISNA(VLOOKUP(A188,'Exponential Item Growth'!$A$10:$B$18,2,FALSE)),E187, E187*VLOOKUP(A188,'Exponential Item Growth'!$A$10:$B$18,2,FALSE))</f>
        <v>8</v>
      </c>
      <c r="F188" s="14">
        <f>C188*'Exponential Item Growth'!$B$21</f>
        <v>12491.599999999999</v>
      </c>
      <c r="G188" s="14">
        <f>'Exponential Item Growth'!$B$22*C188</f>
        <v>187373.99999999997</v>
      </c>
      <c r="H188" s="14">
        <f>'Exponential Item Growth'!$B$23*C188</f>
        <v>2498319.9999999995</v>
      </c>
    </row>
    <row r="189" spans="1:8" ht="15.75" customHeight="1">
      <c r="A189" s="3">
        <v>188</v>
      </c>
      <c r="B189" s="13">
        <f>'Exponential Item Growth'!$B$5*'Exponential Item Growth'!$B$6^A189</f>
        <v>57214.047181114838</v>
      </c>
      <c r="C189" s="14">
        <f t="shared" si="0"/>
        <v>2511.6799999999998</v>
      </c>
      <c r="D189" s="15">
        <f>A189*'Exponential Item Growth'!$B$4</f>
        <v>313.95999999999998</v>
      </c>
      <c r="E189" s="14">
        <f>IF(ISNA(VLOOKUP(A189,'Exponential Item Growth'!$A$10:$B$18,2,FALSE)),E188, E188*VLOOKUP(A189,'Exponential Item Growth'!$A$10:$B$18,2,FALSE))</f>
        <v>8</v>
      </c>
      <c r="F189" s="14">
        <f>C189*'Exponential Item Growth'!$B$21</f>
        <v>12558.4</v>
      </c>
      <c r="G189" s="14">
        <f>'Exponential Item Growth'!$B$22*C189</f>
        <v>188376</v>
      </c>
      <c r="H189" s="14">
        <f>'Exponential Item Growth'!$B$23*C189</f>
        <v>2511680</v>
      </c>
    </row>
    <row r="190" spans="1:8" ht="15.75" customHeight="1">
      <c r="A190" s="3">
        <v>189</v>
      </c>
      <c r="B190" s="13">
        <f>'Exponential Item Growth'!$B$5*'Exponential Item Growth'!$B$6^A190</f>
        <v>60646.890011981741</v>
      </c>
      <c r="C190" s="14">
        <f t="shared" si="0"/>
        <v>2525.04</v>
      </c>
      <c r="D190" s="15">
        <f>A190*'Exponential Item Growth'!$B$4</f>
        <v>315.63</v>
      </c>
      <c r="E190" s="14">
        <f>IF(ISNA(VLOOKUP(A190,'Exponential Item Growth'!$A$10:$B$18,2,FALSE)),E189, E189*VLOOKUP(A190,'Exponential Item Growth'!$A$10:$B$18,2,FALSE))</f>
        <v>8</v>
      </c>
      <c r="F190" s="14">
        <f>C190*'Exponential Item Growth'!$B$21</f>
        <v>12625.2</v>
      </c>
      <c r="G190" s="14">
        <f>'Exponential Item Growth'!$B$22*C190</f>
        <v>189378</v>
      </c>
      <c r="H190" s="14">
        <f>'Exponential Item Growth'!$B$23*C190</f>
        <v>2525040</v>
      </c>
    </row>
    <row r="191" spans="1:8" ht="15.75" customHeight="1">
      <c r="A191" s="3">
        <v>190</v>
      </c>
      <c r="B191" s="13">
        <f>'Exponential Item Growth'!$B$5*'Exponential Item Growth'!$B$6^A191</f>
        <v>64285.703412700648</v>
      </c>
      <c r="C191" s="14">
        <f t="shared" si="0"/>
        <v>2538.4</v>
      </c>
      <c r="D191" s="15">
        <f>A191*'Exponential Item Growth'!$B$4</f>
        <v>317.3</v>
      </c>
      <c r="E191" s="14">
        <f>IF(ISNA(VLOOKUP(A191,'Exponential Item Growth'!$A$10:$B$18,2,FALSE)),E190, E190*VLOOKUP(A191,'Exponential Item Growth'!$A$10:$B$18,2,FALSE))</f>
        <v>8</v>
      </c>
      <c r="F191" s="14">
        <f>C191*'Exponential Item Growth'!$B$21</f>
        <v>12692</v>
      </c>
      <c r="G191" s="14">
        <f>'Exponential Item Growth'!$B$22*C191</f>
        <v>190380</v>
      </c>
      <c r="H191" s="14">
        <f>'Exponential Item Growth'!$B$23*C191</f>
        <v>2538400</v>
      </c>
    </row>
    <row r="192" spans="1:8" ht="15.75" customHeight="1">
      <c r="A192" s="3">
        <v>191</v>
      </c>
      <c r="B192" s="13">
        <f>'Exponential Item Growth'!$B$5*'Exponential Item Growth'!$B$6^A192</f>
        <v>68142.845617462706</v>
      </c>
      <c r="C192" s="14">
        <f t="shared" si="0"/>
        <v>2551.7599999999998</v>
      </c>
      <c r="D192" s="15">
        <f>A192*'Exponential Item Growth'!$B$4</f>
        <v>318.96999999999997</v>
      </c>
      <c r="E192" s="14">
        <f>IF(ISNA(VLOOKUP(A192,'Exponential Item Growth'!$A$10:$B$18,2,FALSE)),E191, E191*VLOOKUP(A192,'Exponential Item Growth'!$A$10:$B$18,2,FALSE))</f>
        <v>8</v>
      </c>
      <c r="F192" s="14">
        <f>C192*'Exponential Item Growth'!$B$21</f>
        <v>12758.8</v>
      </c>
      <c r="G192" s="14">
        <f>'Exponential Item Growth'!$B$22*C192</f>
        <v>191381.99999999997</v>
      </c>
      <c r="H192" s="14">
        <f>'Exponential Item Growth'!$B$23*C192</f>
        <v>2551759.9999999995</v>
      </c>
    </row>
    <row r="193" spans="1:8" ht="15.75" customHeight="1">
      <c r="A193" s="3">
        <v>192</v>
      </c>
      <c r="B193" s="13">
        <f>'Exponential Item Growth'!$B$5*'Exponential Item Growth'!$B$6^A193</f>
        <v>72231.416354510438</v>
      </c>
      <c r="C193" s="14">
        <f t="shared" si="0"/>
        <v>2565.12</v>
      </c>
      <c r="D193" s="15">
        <f>A193*'Exponential Item Growth'!$B$4</f>
        <v>320.64</v>
      </c>
      <c r="E193" s="14">
        <f>IF(ISNA(VLOOKUP(A193,'Exponential Item Growth'!$A$10:$B$18,2,FALSE)),E192, E192*VLOOKUP(A193,'Exponential Item Growth'!$A$10:$B$18,2,FALSE))</f>
        <v>8</v>
      </c>
      <c r="F193" s="14">
        <f>C193*'Exponential Item Growth'!$B$21</f>
        <v>12825.599999999999</v>
      </c>
      <c r="G193" s="14">
        <f>'Exponential Item Growth'!$B$22*C193</f>
        <v>192384</v>
      </c>
      <c r="H193" s="14">
        <f>'Exponential Item Growth'!$B$23*C193</f>
        <v>2565120</v>
      </c>
    </row>
    <row r="194" spans="1:8" ht="15.75" customHeight="1">
      <c r="A194" s="3">
        <v>193</v>
      </c>
      <c r="B194" s="13">
        <f>'Exponential Item Growth'!$B$5*'Exponential Item Growth'!$B$6^A194</f>
        <v>76565.301335781071</v>
      </c>
      <c r="C194" s="14">
        <f t="shared" si="0"/>
        <v>2578.48</v>
      </c>
      <c r="D194" s="15">
        <f>A194*'Exponential Item Growth'!$B$4</f>
        <v>322.31</v>
      </c>
      <c r="E194" s="14">
        <f>IF(ISNA(VLOOKUP(A194,'Exponential Item Growth'!$A$10:$B$18,2,FALSE)),E193, E193*VLOOKUP(A194,'Exponential Item Growth'!$A$10:$B$18,2,FALSE))</f>
        <v>8</v>
      </c>
      <c r="F194" s="14">
        <f>C194*'Exponential Item Growth'!$B$21</f>
        <v>12892.4</v>
      </c>
      <c r="G194" s="14">
        <f>'Exponential Item Growth'!$B$22*C194</f>
        <v>193386</v>
      </c>
      <c r="H194" s="14">
        <f>'Exponential Item Growth'!$B$23*C194</f>
        <v>2578480</v>
      </c>
    </row>
    <row r="195" spans="1:8" ht="15.75" customHeight="1">
      <c r="A195" s="3">
        <v>194</v>
      </c>
      <c r="B195" s="13">
        <f>'Exponential Item Growth'!$B$5*'Exponential Item Growth'!$B$6^A195</f>
        <v>81159.219415927946</v>
      </c>
      <c r="C195" s="14">
        <f t="shared" si="0"/>
        <v>2591.8399999999997</v>
      </c>
      <c r="D195" s="15">
        <f>A195*'Exponential Item Growth'!$B$4</f>
        <v>323.97999999999996</v>
      </c>
      <c r="E195" s="14">
        <f>IF(ISNA(VLOOKUP(A195,'Exponential Item Growth'!$A$10:$B$18,2,FALSE)),E194, E194*VLOOKUP(A195,'Exponential Item Growth'!$A$10:$B$18,2,FALSE))</f>
        <v>8</v>
      </c>
      <c r="F195" s="14">
        <f>C195*'Exponential Item Growth'!$B$21</f>
        <v>12959.199999999999</v>
      </c>
      <c r="G195" s="14">
        <f>'Exponential Item Growth'!$B$22*C195</f>
        <v>194387.99999999997</v>
      </c>
      <c r="H195" s="14">
        <f>'Exponential Item Growth'!$B$23*C195</f>
        <v>2591839.9999999995</v>
      </c>
    </row>
    <row r="196" spans="1:8" ht="15.75" customHeight="1">
      <c r="A196" s="3">
        <v>195</v>
      </c>
      <c r="B196" s="13">
        <f>'Exponential Item Growth'!$B$5*'Exponential Item Growth'!$B$6^A196</f>
        <v>86028.772580883626</v>
      </c>
      <c r="C196" s="14">
        <f t="shared" si="0"/>
        <v>2605.1999999999998</v>
      </c>
      <c r="D196" s="15">
        <f>A196*'Exponential Item Growth'!$B$4</f>
        <v>325.64999999999998</v>
      </c>
      <c r="E196" s="14">
        <f>IF(ISNA(VLOOKUP(A196,'Exponential Item Growth'!$A$10:$B$18,2,FALSE)),E195, E195*VLOOKUP(A196,'Exponential Item Growth'!$A$10:$B$18,2,FALSE))</f>
        <v>8</v>
      </c>
      <c r="F196" s="14">
        <f>C196*'Exponential Item Growth'!$B$21</f>
        <v>13026</v>
      </c>
      <c r="G196" s="14">
        <f>'Exponential Item Growth'!$B$22*C196</f>
        <v>195390</v>
      </c>
      <c r="H196" s="14">
        <f>'Exponential Item Growth'!$B$23*C196</f>
        <v>2605200</v>
      </c>
    </row>
    <row r="197" spans="1:8" ht="15.75" customHeight="1">
      <c r="A197" s="3">
        <v>196</v>
      </c>
      <c r="B197" s="13">
        <f>'Exponential Item Growth'!$B$5*'Exponential Item Growth'!$B$6^A197</f>
        <v>91190.498935736658</v>
      </c>
      <c r="C197" s="14">
        <f t="shared" si="0"/>
        <v>2618.56</v>
      </c>
      <c r="D197" s="15">
        <f>A197*'Exponential Item Growth'!$B$4</f>
        <v>327.32</v>
      </c>
      <c r="E197" s="14">
        <f>IF(ISNA(VLOOKUP(A197,'Exponential Item Growth'!$A$10:$B$18,2,FALSE)),E196, E196*VLOOKUP(A197,'Exponential Item Growth'!$A$10:$B$18,2,FALSE))</f>
        <v>8</v>
      </c>
      <c r="F197" s="14">
        <f>C197*'Exponential Item Growth'!$B$21</f>
        <v>13092.8</v>
      </c>
      <c r="G197" s="14">
        <f>'Exponential Item Growth'!$B$22*C197</f>
        <v>196392</v>
      </c>
      <c r="H197" s="14">
        <f>'Exponential Item Growth'!$B$23*C197</f>
        <v>2618560</v>
      </c>
    </row>
    <row r="198" spans="1:8" ht="15.75" customHeight="1">
      <c r="A198" s="3">
        <v>197</v>
      </c>
      <c r="B198" s="13">
        <f>'Exponential Item Growth'!$B$5*'Exponential Item Growth'!$B$6^A198</f>
        <v>96661.928871880853</v>
      </c>
      <c r="C198" s="14">
        <f t="shared" si="0"/>
        <v>2631.92</v>
      </c>
      <c r="D198" s="15">
        <f>A198*'Exponential Item Growth'!$B$4</f>
        <v>328.99</v>
      </c>
      <c r="E198" s="14">
        <f>IF(ISNA(VLOOKUP(A198,'Exponential Item Growth'!$A$10:$B$18,2,FALSE)),E197, E197*VLOOKUP(A198,'Exponential Item Growth'!$A$10:$B$18,2,FALSE))</f>
        <v>8</v>
      </c>
      <c r="F198" s="14">
        <f>C198*'Exponential Item Growth'!$B$21</f>
        <v>13159.6</v>
      </c>
      <c r="G198" s="14">
        <f>'Exponential Item Growth'!$B$22*C198</f>
        <v>197394</v>
      </c>
      <c r="H198" s="14">
        <f>'Exponential Item Growth'!$B$23*C198</f>
        <v>2631920</v>
      </c>
    </row>
    <row r="199" spans="1:8" ht="15.75" customHeight="1">
      <c r="A199" s="3">
        <v>198</v>
      </c>
      <c r="B199" s="13">
        <f>'Exponential Item Growth'!$B$5*'Exponential Item Growth'!$B$6^A199</f>
        <v>102461.64460419372</v>
      </c>
      <c r="C199" s="14">
        <f t="shared" si="0"/>
        <v>2645.2799999999997</v>
      </c>
      <c r="D199" s="15">
        <f>A199*'Exponential Item Growth'!$B$4</f>
        <v>330.65999999999997</v>
      </c>
      <c r="E199" s="14">
        <f>IF(ISNA(VLOOKUP(A199,'Exponential Item Growth'!$A$10:$B$18,2,FALSE)),E198, E198*VLOOKUP(A199,'Exponential Item Growth'!$A$10:$B$18,2,FALSE))</f>
        <v>8</v>
      </c>
      <c r="F199" s="14">
        <f>C199*'Exponential Item Growth'!$B$21</f>
        <v>13226.399999999998</v>
      </c>
      <c r="G199" s="14">
        <f>'Exponential Item Growth'!$B$22*C199</f>
        <v>198395.99999999997</v>
      </c>
      <c r="H199" s="14">
        <f>'Exponential Item Growth'!$B$23*C199</f>
        <v>2645279.9999999995</v>
      </c>
    </row>
    <row r="200" spans="1:8" ht="15.75" customHeight="1">
      <c r="A200" s="3">
        <v>199</v>
      </c>
      <c r="B200" s="13">
        <f>'Exponential Item Growth'!$B$5*'Exponential Item Growth'!$B$6^A200</f>
        <v>108609.34328044536</v>
      </c>
      <c r="C200" s="14">
        <f t="shared" si="0"/>
        <v>2658.64</v>
      </c>
      <c r="D200" s="15">
        <f>A200*'Exponential Item Growth'!$B$4</f>
        <v>332.33</v>
      </c>
      <c r="E200" s="14">
        <f>IF(ISNA(VLOOKUP(A200,'Exponential Item Growth'!$A$10:$B$18,2,FALSE)),E199, E199*VLOOKUP(A200,'Exponential Item Growth'!$A$10:$B$18,2,FALSE))</f>
        <v>8</v>
      </c>
      <c r="F200" s="14">
        <f>C200*'Exponential Item Growth'!$B$21</f>
        <v>13293.199999999999</v>
      </c>
      <c r="G200" s="14">
        <f>'Exponential Item Growth'!$B$22*C200</f>
        <v>199398</v>
      </c>
      <c r="H200" s="14">
        <f>'Exponential Item Growth'!$B$23*C200</f>
        <v>2658640</v>
      </c>
    </row>
    <row r="201" spans="1:8" ht="15.75" customHeight="1">
      <c r="A201" s="3">
        <v>200</v>
      </c>
      <c r="B201" s="13">
        <f>'Exponential Item Growth'!$B$5*'Exponential Item Growth'!$B$6^A201</f>
        <v>115125.90387727207</v>
      </c>
      <c r="C201" s="14">
        <f t="shared" si="0"/>
        <v>5344</v>
      </c>
      <c r="D201" s="15">
        <f>A201*'Exponential Item Growth'!$B$4</f>
        <v>334</v>
      </c>
      <c r="E201" s="14">
        <f>IF(ISNA(VLOOKUP(A201,'Exponential Item Growth'!$A$10:$B$18,2,FALSE)),E200, E200*VLOOKUP(A201,'Exponential Item Growth'!$A$10:$B$18,2,FALSE))</f>
        <v>16</v>
      </c>
      <c r="F201" s="14">
        <f>C201*'Exponential Item Growth'!$B$21</f>
        <v>26720</v>
      </c>
      <c r="G201" s="14">
        <f>'Exponential Item Growth'!$B$22*C201</f>
        <v>400800</v>
      </c>
      <c r="H201" s="14">
        <f>'Exponential Item Growth'!$B$23*C201</f>
        <v>5344000</v>
      </c>
    </row>
    <row r="202" spans="1:8" ht="15.75" customHeight="1">
      <c r="A202" s="3">
        <v>201</v>
      </c>
      <c r="B202" s="13">
        <f>'Exponential Item Growth'!$B$5*'Exponential Item Growth'!$B$6^A202</f>
        <v>122033.45810990837</v>
      </c>
      <c r="C202" s="14">
        <f t="shared" si="0"/>
        <v>5370.7199999999993</v>
      </c>
      <c r="D202" s="15">
        <f>A202*'Exponential Item Growth'!$B$4</f>
        <v>335.66999999999996</v>
      </c>
      <c r="E202" s="14">
        <f>IF(ISNA(VLOOKUP(A202,'Exponential Item Growth'!$A$10:$B$18,2,FALSE)),E201, E201*VLOOKUP(A202,'Exponential Item Growth'!$A$10:$B$18,2,FALSE))</f>
        <v>16</v>
      </c>
      <c r="F202" s="14">
        <f>C202*'Exponential Item Growth'!$B$21</f>
        <v>26853.599999999999</v>
      </c>
      <c r="G202" s="14">
        <f>'Exponential Item Growth'!$B$22*C202</f>
        <v>402803.99999999994</v>
      </c>
      <c r="H202" s="14">
        <f>'Exponential Item Growth'!$B$23*C202</f>
        <v>5370719.9999999991</v>
      </c>
    </row>
    <row r="203" spans="1:8" ht="15.75" customHeight="1">
      <c r="A203" s="3">
        <v>202</v>
      </c>
      <c r="B203" s="13">
        <f>'Exponential Item Growth'!$B$5*'Exponential Item Growth'!$B$6^A203</f>
        <v>129355.46559650289</v>
      </c>
      <c r="C203" s="14">
        <f t="shared" si="0"/>
        <v>5397.44</v>
      </c>
      <c r="D203" s="15">
        <f>A203*'Exponential Item Growth'!$B$4</f>
        <v>337.34</v>
      </c>
      <c r="E203" s="14">
        <f>IF(ISNA(VLOOKUP(A203,'Exponential Item Growth'!$A$10:$B$18,2,FALSE)),E202, E202*VLOOKUP(A203,'Exponential Item Growth'!$A$10:$B$18,2,FALSE))</f>
        <v>16</v>
      </c>
      <c r="F203" s="14">
        <f>C203*'Exponential Item Growth'!$B$21</f>
        <v>26987.199999999997</v>
      </c>
      <c r="G203" s="14">
        <f>'Exponential Item Growth'!$B$22*C203</f>
        <v>404807.99999999994</v>
      </c>
      <c r="H203" s="14">
        <f>'Exponential Item Growth'!$B$23*C203</f>
        <v>5397440</v>
      </c>
    </row>
    <row r="204" spans="1:8" ht="15.75" customHeight="1">
      <c r="A204" s="3">
        <v>203</v>
      </c>
      <c r="B204" s="13">
        <f>'Exponential Item Growth'!$B$5*'Exponential Item Growth'!$B$6^A204</f>
        <v>137116.79353229309</v>
      </c>
      <c r="C204" s="14">
        <f t="shared" si="0"/>
        <v>5424.16</v>
      </c>
      <c r="D204" s="15">
        <f>A204*'Exponential Item Growth'!$B$4</f>
        <v>339.01</v>
      </c>
      <c r="E204" s="14">
        <f>IF(ISNA(VLOOKUP(A204,'Exponential Item Growth'!$A$10:$B$18,2,FALSE)),E203, E203*VLOOKUP(A204,'Exponential Item Growth'!$A$10:$B$18,2,FALSE))</f>
        <v>16</v>
      </c>
      <c r="F204" s="14">
        <f>C204*'Exponential Item Growth'!$B$21</f>
        <v>27120.799999999999</v>
      </c>
      <c r="G204" s="14">
        <f>'Exponential Item Growth'!$B$22*C204</f>
        <v>406812</v>
      </c>
      <c r="H204" s="14">
        <f>'Exponential Item Growth'!$B$23*C204</f>
        <v>5424160</v>
      </c>
    </row>
    <row r="205" spans="1:8" ht="15.75" customHeight="1">
      <c r="A205" s="3">
        <v>204</v>
      </c>
      <c r="B205" s="13">
        <f>'Exponential Item Growth'!$B$5*'Exponential Item Growth'!$B$6^A205</f>
        <v>145343.80114423067</v>
      </c>
      <c r="C205" s="14">
        <f t="shared" si="0"/>
        <v>5450.88</v>
      </c>
      <c r="D205" s="15">
        <f>A205*'Exponential Item Growth'!$B$4</f>
        <v>340.68</v>
      </c>
      <c r="E205" s="14">
        <f>IF(ISNA(VLOOKUP(A205,'Exponential Item Growth'!$A$10:$B$18,2,FALSE)),E204, E204*VLOOKUP(A205,'Exponential Item Growth'!$A$10:$B$18,2,FALSE))</f>
        <v>16</v>
      </c>
      <c r="F205" s="14">
        <f>C205*'Exponential Item Growth'!$B$21</f>
        <v>27254.400000000001</v>
      </c>
      <c r="G205" s="14">
        <f>'Exponential Item Growth'!$B$22*C205</f>
        <v>408816</v>
      </c>
      <c r="H205" s="14">
        <f>'Exponential Item Growth'!$B$23*C205</f>
        <v>5450880</v>
      </c>
    </row>
    <row r="206" spans="1:8" ht="15.75" customHeight="1">
      <c r="A206" s="3">
        <v>205</v>
      </c>
      <c r="B206" s="13">
        <f>'Exponential Item Growth'!$B$5*'Exponential Item Growth'!$B$6^A206</f>
        <v>154064.42921288454</v>
      </c>
      <c r="C206" s="14">
        <f t="shared" si="0"/>
        <v>5477.5999999999995</v>
      </c>
      <c r="D206" s="15">
        <f>A206*'Exponential Item Growth'!$B$4</f>
        <v>342.34999999999997</v>
      </c>
      <c r="E206" s="14">
        <f>IF(ISNA(VLOOKUP(A206,'Exponential Item Growth'!$A$10:$B$18,2,FALSE)),E205, E205*VLOOKUP(A206,'Exponential Item Growth'!$A$10:$B$18,2,FALSE))</f>
        <v>16</v>
      </c>
      <c r="F206" s="14">
        <f>C206*'Exponential Item Growth'!$B$21</f>
        <v>27387.999999999996</v>
      </c>
      <c r="G206" s="14">
        <f>'Exponential Item Growth'!$B$22*C206</f>
        <v>410819.99999999994</v>
      </c>
      <c r="H206" s="14">
        <f>'Exponential Item Growth'!$B$23*C206</f>
        <v>5477599.9999999991</v>
      </c>
    </row>
    <row r="207" spans="1:8" ht="15.75" customHeight="1">
      <c r="A207" s="3">
        <v>206</v>
      </c>
      <c r="B207" s="13">
        <f>'Exponential Item Growth'!$B$5*'Exponential Item Growth'!$B$6^A207</f>
        <v>163308.29496565761</v>
      </c>
      <c r="C207" s="14">
        <f t="shared" si="0"/>
        <v>5504.32</v>
      </c>
      <c r="D207" s="15">
        <f>A207*'Exponential Item Growth'!$B$4</f>
        <v>344.02</v>
      </c>
      <c r="E207" s="14">
        <f>IF(ISNA(VLOOKUP(A207,'Exponential Item Growth'!$A$10:$B$18,2,FALSE)),E206, E206*VLOOKUP(A207,'Exponential Item Growth'!$A$10:$B$18,2,FALSE))</f>
        <v>16</v>
      </c>
      <c r="F207" s="14">
        <f>C207*'Exponential Item Growth'!$B$21</f>
        <v>27521.599999999999</v>
      </c>
      <c r="G207" s="14">
        <f>'Exponential Item Growth'!$B$22*C207</f>
        <v>412824</v>
      </c>
      <c r="H207" s="14">
        <f>'Exponential Item Growth'!$B$23*C207</f>
        <v>5504320</v>
      </c>
    </row>
    <row r="208" spans="1:8" ht="15.75" customHeight="1">
      <c r="A208" s="3">
        <v>207</v>
      </c>
      <c r="B208" s="13">
        <f>'Exponential Item Growth'!$B$5*'Exponential Item Growth'!$B$6^A208</f>
        <v>173106.79266359712</v>
      </c>
      <c r="C208" s="14">
        <f t="shared" si="0"/>
        <v>5531.04</v>
      </c>
      <c r="D208" s="15">
        <f>A208*'Exponential Item Growth'!$B$4</f>
        <v>345.69</v>
      </c>
      <c r="E208" s="14">
        <f>IF(ISNA(VLOOKUP(A208,'Exponential Item Growth'!$A$10:$B$18,2,FALSE)),E207, E207*VLOOKUP(A208,'Exponential Item Growth'!$A$10:$B$18,2,FALSE))</f>
        <v>16</v>
      </c>
      <c r="F208" s="14">
        <f>C208*'Exponential Item Growth'!$B$21</f>
        <v>27655.200000000001</v>
      </c>
      <c r="G208" s="14">
        <f>'Exponential Item Growth'!$B$22*C208</f>
        <v>414828</v>
      </c>
      <c r="H208" s="14">
        <f>'Exponential Item Growth'!$B$23*C208</f>
        <v>5531040</v>
      </c>
    </row>
    <row r="209" spans="1:8" ht="15.75" customHeight="1">
      <c r="A209" s="3">
        <v>208</v>
      </c>
      <c r="B209" s="13">
        <f>'Exponential Item Growth'!$B$5*'Exponential Item Growth'!$B$6^A209</f>
        <v>183493.20022341289</v>
      </c>
      <c r="C209" s="14">
        <f t="shared" si="0"/>
        <v>5557.76</v>
      </c>
      <c r="D209" s="15">
        <f>A209*'Exponential Item Growth'!$B$4</f>
        <v>347.36</v>
      </c>
      <c r="E209" s="14">
        <f>IF(ISNA(VLOOKUP(A209,'Exponential Item Growth'!$A$10:$B$18,2,FALSE)),E208, E208*VLOOKUP(A209,'Exponential Item Growth'!$A$10:$B$18,2,FALSE))</f>
        <v>16</v>
      </c>
      <c r="F209" s="14">
        <f>C209*'Exponential Item Growth'!$B$21</f>
        <v>27788.800000000003</v>
      </c>
      <c r="G209" s="14">
        <f>'Exponential Item Growth'!$B$22*C209</f>
        <v>416832</v>
      </c>
      <c r="H209" s="14">
        <f>'Exponential Item Growth'!$B$23*C209</f>
        <v>5557760</v>
      </c>
    </row>
    <row r="210" spans="1:8" ht="15.75" customHeight="1">
      <c r="A210" s="3">
        <v>209</v>
      </c>
      <c r="B210" s="13">
        <f>'Exponential Item Growth'!$B$5*'Exponential Item Growth'!$B$6^A210</f>
        <v>194502.79223681771</v>
      </c>
      <c r="C210" s="14">
        <f t="shared" si="0"/>
        <v>5584.48</v>
      </c>
      <c r="D210" s="15">
        <f>A210*'Exponential Item Growth'!$B$4</f>
        <v>349.03</v>
      </c>
      <c r="E210" s="14">
        <f>IF(ISNA(VLOOKUP(A210,'Exponential Item Growth'!$A$10:$B$18,2,FALSE)),E209, E209*VLOOKUP(A210,'Exponential Item Growth'!$A$10:$B$18,2,FALSE))</f>
        <v>16</v>
      </c>
      <c r="F210" s="14">
        <f>C210*'Exponential Item Growth'!$B$21</f>
        <v>27922.399999999998</v>
      </c>
      <c r="G210" s="14">
        <f>'Exponential Item Growth'!$B$22*C210</f>
        <v>418835.99999999994</v>
      </c>
      <c r="H210" s="14">
        <f>'Exponential Item Growth'!$B$23*C210</f>
        <v>5584480</v>
      </c>
    </row>
    <row r="211" spans="1:8" ht="15.75" customHeight="1">
      <c r="A211" s="3">
        <v>210</v>
      </c>
      <c r="B211" s="13">
        <f>'Exponential Item Growth'!$B$5*'Exponential Item Growth'!$B$6^A211</f>
        <v>206172.95977102674</v>
      </c>
      <c r="C211" s="14">
        <f t="shared" si="0"/>
        <v>5611.2</v>
      </c>
      <c r="D211" s="15">
        <f>A211*'Exponential Item Growth'!$B$4</f>
        <v>350.7</v>
      </c>
      <c r="E211" s="14">
        <f>IF(ISNA(VLOOKUP(A211,'Exponential Item Growth'!$A$10:$B$18,2,FALSE)),E210, E210*VLOOKUP(A211,'Exponential Item Growth'!$A$10:$B$18,2,FALSE))</f>
        <v>16</v>
      </c>
      <c r="F211" s="14">
        <f>C211*'Exponential Item Growth'!$B$21</f>
        <v>28056</v>
      </c>
      <c r="G211" s="14">
        <f>'Exponential Item Growth'!$B$22*C211</f>
        <v>420840</v>
      </c>
      <c r="H211" s="14">
        <f>'Exponential Item Growth'!$B$23*C211</f>
        <v>5611200</v>
      </c>
    </row>
    <row r="212" spans="1:8" ht="15.75" customHeight="1">
      <c r="A212" s="3">
        <v>211</v>
      </c>
      <c r="B212" s="13">
        <f>'Exponential Item Growth'!$B$5*'Exponential Item Growth'!$B$6^A212</f>
        <v>218543.33735728837</v>
      </c>
      <c r="C212" s="14">
        <f t="shared" si="0"/>
        <v>5637.92</v>
      </c>
      <c r="D212" s="15">
        <f>A212*'Exponential Item Growth'!$B$4</f>
        <v>352.37</v>
      </c>
      <c r="E212" s="14">
        <f>IF(ISNA(VLOOKUP(A212,'Exponential Item Growth'!$A$10:$B$18,2,FALSE)),E211, E211*VLOOKUP(A212,'Exponential Item Growth'!$A$10:$B$18,2,FALSE))</f>
        <v>16</v>
      </c>
      <c r="F212" s="14">
        <f>C212*'Exponential Item Growth'!$B$21</f>
        <v>28189.599999999999</v>
      </c>
      <c r="G212" s="14">
        <f>'Exponential Item Growth'!$B$22*C212</f>
        <v>422844</v>
      </c>
      <c r="H212" s="14">
        <f>'Exponential Item Growth'!$B$23*C212</f>
        <v>5637920</v>
      </c>
    </row>
    <row r="213" spans="1:8" ht="15.75" customHeight="1">
      <c r="A213" s="3">
        <v>212</v>
      </c>
      <c r="B213" s="13">
        <f>'Exponential Item Growth'!$B$5*'Exponential Item Growth'!$B$6^A213</f>
        <v>231655.93759872566</v>
      </c>
      <c r="C213" s="14">
        <f t="shared" si="0"/>
        <v>5664.6399999999994</v>
      </c>
      <c r="D213" s="15">
        <f>A213*'Exponential Item Growth'!$B$4</f>
        <v>354.03999999999996</v>
      </c>
      <c r="E213" s="14">
        <f>IF(ISNA(VLOOKUP(A213,'Exponential Item Growth'!$A$10:$B$18,2,FALSE)),E212, E212*VLOOKUP(A213,'Exponential Item Growth'!$A$10:$B$18,2,FALSE))</f>
        <v>16</v>
      </c>
      <c r="F213" s="14">
        <f>C213*'Exponential Item Growth'!$B$21</f>
        <v>28323.199999999997</v>
      </c>
      <c r="G213" s="14">
        <f>'Exponential Item Growth'!$B$22*C213</f>
        <v>424847.99999999994</v>
      </c>
      <c r="H213" s="14">
        <f>'Exponential Item Growth'!$B$23*C213</f>
        <v>5664639.9999999991</v>
      </c>
    </row>
    <row r="214" spans="1:8" ht="15.75" customHeight="1">
      <c r="A214" s="3">
        <v>213</v>
      </c>
      <c r="B214" s="13">
        <f>'Exponential Item Growth'!$B$5*'Exponential Item Growth'!$B$6^A214</f>
        <v>245555.29385464927</v>
      </c>
      <c r="C214" s="14">
        <f t="shared" si="0"/>
        <v>5691.36</v>
      </c>
      <c r="D214" s="15">
        <f>A214*'Exponential Item Growth'!$B$4</f>
        <v>355.71</v>
      </c>
      <c r="E214" s="14">
        <f>IF(ISNA(VLOOKUP(A214,'Exponential Item Growth'!$A$10:$B$18,2,FALSE)),E213, E213*VLOOKUP(A214,'Exponential Item Growth'!$A$10:$B$18,2,FALSE))</f>
        <v>16</v>
      </c>
      <c r="F214" s="14">
        <f>C214*'Exponential Item Growth'!$B$21</f>
        <v>28456.799999999999</v>
      </c>
      <c r="G214" s="14">
        <f>'Exponential Item Growth'!$B$22*C214</f>
        <v>426852</v>
      </c>
      <c r="H214" s="14">
        <f>'Exponential Item Growth'!$B$23*C214</f>
        <v>5691360</v>
      </c>
    </row>
    <row r="215" spans="1:8" ht="15.75" customHeight="1">
      <c r="A215" s="3">
        <v>214</v>
      </c>
      <c r="B215" s="13">
        <f>'Exponential Item Growth'!$B$5*'Exponential Item Growth'!$B$6^A215</f>
        <v>260288.61148592824</v>
      </c>
      <c r="C215" s="14">
        <f t="shared" si="0"/>
        <v>5718.08</v>
      </c>
      <c r="D215" s="15">
        <f>A215*'Exponential Item Growth'!$B$4</f>
        <v>357.38</v>
      </c>
      <c r="E215" s="14">
        <f>IF(ISNA(VLOOKUP(A215,'Exponential Item Growth'!$A$10:$B$18,2,FALSE)),E214, E214*VLOOKUP(A215,'Exponential Item Growth'!$A$10:$B$18,2,FALSE))</f>
        <v>16</v>
      </c>
      <c r="F215" s="14">
        <f>C215*'Exponential Item Growth'!$B$21</f>
        <v>28590.400000000001</v>
      </c>
      <c r="G215" s="14">
        <f>'Exponential Item Growth'!$B$22*C215</f>
        <v>428856</v>
      </c>
      <c r="H215" s="14">
        <f>'Exponential Item Growth'!$B$23*C215</f>
        <v>5718080</v>
      </c>
    </row>
    <row r="216" spans="1:8" ht="15.75" customHeight="1">
      <c r="A216" s="3">
        <v>215</v>
      </c>
      <c r="B216" s="13">
        <f>'Exponential Item Growth'!$B$5*'Exponential Item Growth'!$B$6^A216</f>
        <v>275905.928175084</v>
      </c>
      <c r="C216" s="14">
        <f t="shared" si="0"/>
        <v>5744.8</v>
      </c>
      <c r="D216" s="15">
        <f>A216*'Exponential Item Growth'!$B$4</f>
        <v>359.05</v>
      </c>
      <c r="E216" s="14">
        <f>IF(ISNA(VLOOKUP(A216,'Exponential Item Growth'!$A$10:$B$18,2,FALSE)),E215, E215*VLOOKUP(A216,'Exponential Item Growth'!$A$10:$B$18,2,FALSE))</f>
        <v>16</v>
      </c>
      <c r="F216" s="14">
        <f>C216*'Exponential Item Growth'!$B$21</f>
        <v>28724</v>
      </c>
      <c r="G216" s="14">
        <f>'Exponential Item Growth'!$B$22*C216</f>
        <v>430860</v>
      </c>
      <c r="H216" s="14">
        <f>'Exponential Item Growth'!$B$23*C216</f>
        <v>5744800</v>
      </c>
    </row>
    <row r="217" spans="1:8" ht="15.75" customHeight="1">
      <c r="A217" s="3">
        <v>216</v>
      </c>
      <c r="B217" s="13">
        <f>'Exponential Item Growth'!$B$5*'Exponential Item Growth'!$B$6^A217</f>
        <v>292460.28386558895</v>
      </c>
      <c r="C217" s="14">
        <f t="shared" si="0"/>
        <v>5771.5199999999995</v>
      </c>
      <c r="D217" s="15">
        <f>A217*'Exponential Item Growth'!$B$4</f>
        <v>360.71999999999997</v>
      </c>
      <c r="E217" s="14">
        <f>IF(ISNA(VLOOKUP(A217,'Exponential Item Growth'!$A$10:$B$18,2,FALSE)),E216, E216*VLOOKUP(A217,'Exponential Item Growth'!$A$10:$B$18,2,FALSE))</f>
        <v>16</v>
      </c>
      <c r="F217" s="14">
        <f>C217*'Exponential Item Growth'!$B$21</f>
        <v>28857.599999999999</v>
      </c>
      <c r="G217" s="14">
        <f>'Exponential Item Growth'!$B$22*C217</f>
        <v>432863.99999999994</v>
      </c>
      <c r="H217" s="14">
        <f>'Exponential Item Growth'!$B$23*C217</f>
        <v>5771519.9999999991</v>
      </c>
    </row>
    <row r="218" spans="1:8" ht="15.75" customHeight="1">
      <c r="A218" s="3">
        <v>217</v>
      </c>
      <c r="B218" s="13">
        <f>'Exponential Item Growth'!$B$5*'Exponential Item Growth'!$B$6^A218</f>
        <v>310007.90089752432</v>
      </c>
      <c r="C218" s="14">
        <f t="shared" si="0"/>
        <v>5798.24</v>
      </c>
      <c r="D218" s="15">
        <f>A218*'Exponential Item Growth'!$B$4</f>
        <v>362.39</v>
      </c>
      <c r="E218" s="14">
        <f>IF(ISNA(VLOOKUP(A218,'Exponential Item Growth'!$A$10:$B$18,2,FALSE)),E217, E217*VLOOKUP(A218,'Exponential Item Growth'!$A$10:$B$18,2,FALSE))</f>
        <v>16</v>
      </c>
      <c r="F218" s="14">
        <f>C218*'Exponential Item Growth'!$B$21</f>
        <v>28991.199999999997</v>
      </c>
      <c r="G218" s="14">
        <f>'Exponential Item Growth'!$B$22*C218</f>
        <v>434868</v>
      </c>
      <c r="H218" s="14">
        <f>'Exponential Item Growth'!$B$23*C218</f>
        <v>5798240</v>
      </c>
    </row>
    <row r="219" spans="1:8" ht="15.75" customHeight="1">
      <c r="A219" s="3">
        <v>218</v>
      </c>
      <c r="B219" s="13">
        <f>'Exponential Item Growth'!$B$5*'Exponential Item Growth'!$B$6^A219</f>
        <v>328608.37495137576</v>
      </c>
      <c r="C219" s="14">
        <f t="shared" si="0"/>
        <v>5824.96</v>
      </c>
      <c r="D219" s="15">
        <f>A219*'Exponential Item Growth'!$B$4</f>
        <v>364.06</v>
      </c>
      <c r="E219" s="14">
        <f>IF(ISNA(VLOOKUP(A219,'Exponential Item Growth'!$A$10:$B$18,2,FALSE)),E218, E218*VLOOKUP(A219,'Exponential Item Growth'!$A$10:$B$18,2,FALSE))</f>
        <v>16</v>
      </c>
      <c r="F219" s="14">
        <f>C219*'Exponential Item Growth'!$B$21</f>
        <v>29124.799999999999</v>
      </c>
      <c r="G219" s="14">
        <f>'Exponential Item Growth'!$B$22*C219</f>
        <v>436872</v>
      </c>
      <c r="H219" s="14">
        <f>'Exponential Item Growth'!$B$23*C219</f>
        <v>5824960</v>
      </c>
    </row>
    <row r="220" spans="1:8" ht="15.75" customHeight="1">
      <c r="A220" s="3">
        <v>219</v>
      </c>
      <c r="B220" s="13">
        <f>'Exponential Item Growth'!$B$5*'Exponential Item Growth'!$B$6^A220</f>
        <v>348324.8774484584</v>
      </c>
      <c r="C220" s="14">
        <f t="shared" si="0"/>
        <v>5851.6799999999994</v>
      </c>
      <c r="D220" s="15">
        <f>A220*'Exponential Item Growth'!$B$4</f>
        <v>365.72999999999996</v>
      </c>
      <c r="E220" s="14">
        <f>IF(ISNA(VLOOKUP(A220,'Exponential Item Growth'!$A$10:$B$18,2,FALSE)),E219, E219*VLOOKUP(A220,'Exponential Item Growth'!$A$10:$B$18,2,FALSE))</f>
        <v>16</v>
      </c>
      <c r="F220" s="14">
        <f>C220*'Exponential Item Growth'!$B$21</f>
        <v>29258.399999999998</v>
      </c>
      <c r="G220" s="14">
        <f>'Exponential Item Growth'!$B$22*C220</f>
        <v>438875.99999999994</v>
      </c>
      <c r="H220" s="14">
        <f>'Exponential Item Growth'!$B$23*C220</f>
        <v>5851679.9999999991</v>
      </c>
    </row>
    <row r="221" spans="1:8" ht="15.75" customHeight="1">
      <c r="A221" s="3">
        <v>220</v>
      </c>
      <c r="B221" s="13">
        <f>'Exponential Item Growth'!$B$5*'Exponential Item Growth'!$B$6^A221</f>
        <v>369224.37009536591</v>
      </c>
      <c r="C221" s="14">
        <f t="shared" si="0"/>
        <v>5878.4</v>
      </c>
      <c r="D221" s="15">
        <f>A221*'Exponential Item Growth'!$B$4</f>
        <v>367.4</v>
      </c>
      <c r="E221" s="14">
        <f>IF(ISNA(VLOOKUP(A221,'Exponential Item Growth'!$A$10:$B$18,2,FALSE)),E220, E220*VLOOKUP(A221,'Exponential Item Growth'!$A$10:$B$18,2,FALSE))</f>
        <v>16</v>
      </c>
      <c r="F221" s="14">
        <f>C221*'Exponential Item Growth'!$B$21</f>
        <v>29392</v>
      </c>
      <c r="G221" s="14">
        <f>'Exponential Item Growth'!$B$22*C221</f>
        <v>440880</v>
      </c>
      <c r="H221" s="14">
        <f>'Exponential Item Growth'!$B$23*C221</f>
        <v>5878400</v>
      </c>
    </row>
    <row r="222" spans="1:8" ht="15.75" customHeight="1">
      <c r="A222" s="3">
        <v>221</v>
      </c>
      <c r="B222" s="13">
        <f>'Exponential Item Growth'!$B$5*'Exponential Item Growth'!$B$6^A222</f>
        <v>391377.83230108791</v>
      </c>
      <c r="C222" s="14">
        <f t="shared" si="0"/>
        <v>5905.12</v>
      </c>
      <c r="D222" s="15">
        <f>A222*'Exponential Item Growth'!$B$4</f>
        <v>369.07</v>
      </c>
      <c r="E222" s="14">
        <f>IF(ISNA(VLOOKUP(A222,'Exponential Item Growth'!$A$10:$B$18,2,FALSE)),E221, E221*VLOOKUP(A222,'Exponential Item Growth'!$A$10:$B$18,2,FALSE))</f>
        <v>16</v>
      </c>
      <c r="F222" s="14">
        <f>C222*'Exponential Item Growth'!$B$21</f>
        <v>29525.599999999999</v>
      </c>
      <c r="G222" s="14">
        <f>'Exponential Item Growth'!$B$22*C222</f>
        <v>442884</v>
      </c>
      <c r="H222" s="14">
        <f>'Exponential Item Growth'!$B$23*C222</f>
        <v>5905120</v>
      </c>
    </row>
    <row r="223" spans="1:8" ht="15.75" customHeight="1">
      <c r="A223" s="3">
        <v>222</v>
      </c>
      <c r="B223" s="13">
        <f>'Exponential Item Growth'!$B$5*'Exponential Item Growth'!$B$6^A223</f>
        <v>414860.5022391532</v>
      </c>
      <c r="C223" s="14">
        <f t="shared" si="0"/>
        <v>5931.84</v>
      </c>
      <c r="D223" s="15">
        <f>A223*'Exponential Item Growth'!$B$4</f>
        <v>370.74</v>
      </c>
      <c r="E223" s="14">
        <f>IF(ISNA(VLOOKUP(A223,'Exponential Item Growth'!$A$10:$B$18,2,FALSE)),E222, E222*VLOOKUP(A223,'Exponential Item Growth'!$A$10:$B$18,2,FALSE))</f>
        <v>16</v>
      </c>
      <c r="F223" s="14">
        <f>C223*'Exponential Item Growth'!$B$21</f>
        <v>29659.200000000001</v>
      </c>
      <c r="G223" s="14">
        <f>'Exponential Item Growth'!$B$22*C223</f>
        <v>444888</v>
      </c>
      <c r="H223" s="14">
        <f>'Exponential Item Growth'!$B$23*C223</f>
        <v>5931840</v>
      </c>
    </row>
    <row r="224" spans="1:8" ht="15.75" customHeight="1">
      <c r="A224" s="3">
        <v>223</v>
      </c>
      <c r="B224" s="13">
        <f>'Exponential Item Growth'!$B$5*'Exponential Item Growth'!$B$6^A224</f>
        <v>439752.13237350248</v>
      </c>
      <c r="C224" s="14">
        <f t="shared" si="0"/>
        <v>5958.5599999999995</v>
      </c>
      <c r="D224" s="15">
        <f>A224*'Exponential Item Growth'!$B$4</f>
        <v>372.40999999999997</v>
      </c>
      <c r="E224" s="14">
        <f>IF(ISNA(VLOOKUP(A224,'Exponential Item Growth'!$A$10:$B$18,2,FALSE)),E223, E223*VLOOKUP(A224,'Exponential Item Growth'!$A$10:$B$18,2,FALSE))</f>
        <v>16</v>
      </c>
      <c r="F224" s="14">
        <f>C224*'Exponential Item Growth'!$B$21</f>
        <v>29792.799999999996</v>
      </c>
      <c r="G224" s="14">
        <f>'Exponential Item Growth'!$B$22*C224</f>
        <v>446891.99999999994</v>
      </c>
      <c r="H224" s="14">
        <f>'Exponential Item Growth'!$B$23*C224</f>
        <v>5958559.9999999991</v>
      </c>
    </row>
    <row r="225" spans="1:8" ht="15.75" customHeight="1">
      <c r="A225" s="3">
        <v>224</v>
      </c>
      <c r="B225" s="13">
        <f>'Exponential Item Growth'!$B$5*'Exponential Item Growth'!$B$6^A225</f>
        <v>466137.26031591254</v>
      </c>
      <c r="C225" s="14">
        <f t="shared" si="0"/>
        <v>5985.28</v>
      </c>
      <c r="D225" s="15">
        <f>A225*'Exponential Item Growth'!$B$4</f>
        <v>374.08</v>
      </c>
      <c r="E225" s="14">
        <f>IF(ISNA(VLOOKUP(A225,'Exponential Item Growth'!$A$10:$B$18,2,FALSE)),E224, E224*VLOOKUP(A225,'Exponential Item Growth'!$A$10:$B$18,2,FALSE))</f>
        <v>16</v>
      </c>
      <c r="F225" s="14">
        <f>C225*'Exponential Item Growth'!$B$21</f>
        <v>29926.399999999998</v>
      </c>
      <c r="G225" s="14">
        <f>'Exponential Item Growth'!$B$22*C225</f>
        <v>448896</v>
      </c>
      <c r="H225" s="14">
        <f>'Exponential Item Growth'!$B$23*C225</f>
        <v>5985280</v>
      </c>
    </row>
    <row r="226" spans="1:8" ht="15.75" customHeight="1">
      <c r="A226" s="3">
        <v>225</v>
      </c>
      <c r="B226" s="13">
        <f>'Exponential Item Growth'!$B$5*'Exponential Item Growth'!$B$6^A226</f>
        <v>494105.49593486724</v>
      </c>
      <c r="C226" s="14">
        <f t="shared" si="0"/>
        <v>6012</v>
      </c>
      <c r="D226" s="15">
        <f>A226*'Exponential Item Growth'!$B$4</f>
        <v>375.75</v>
      </c>
      <c r="E226" s="14">
        <f>IF(ISNA(VLOOKUP(A226,'Exponential Item Growth'!$A$10:$B$18,2,FALSE)),E225, E225*VLOOKUP(A226,'Exponential Item Growth'!$A$10:$B$18,2,FALSE))</f>
        <v>16</v>
      </c>
      <c r="F226" s="14">
        <f>C226*'Exponential Item Growth'!$B$21</f>
        <v>30060</v>
      </c>
      <c r="G226" s="14">
        <f>'Exponential Item Growth'!$B$22*C226</f>
        <v>450900</v>
      </c>
      <c r="H226" s="14">
        <f>'Exponential Item Growth'!$B$23*C226</f>
        <v>6012000</v>
      </c>
    </row>
    <row r="227" spans="1:8" ht="15.75" customHeight="1">
      <c r="A227" s="3">
        <v>226</v>
      </c>
      <c r="B227" s="13">
        <f>'Exponential Item Growth'!$B$5*'Exponential Item Growth'!$B$6^A227</f>
        <v>523751.82569095935</v>
      </c>
      <c r="C227" s="14">
        <f t="shared" si="0"/>
        <v>6038.7199999999993</v>
      </c>
      <c r="D227" s="15">
        <f>A227*'Exponential Item Growth'!$B$4</f>
        <v>377.41999999999996</v>
      </c>
      <c r="E227" s="14">
        <f>IF(ISNA(VLOOKUP(A227,'Exponential Item Growth'!$A$10:$B$18,2,FALSE)),E226, E226*VLOOKUP(A227,'Exponential Item Growth'!$A$10:$B$18,2,FALSE))</f>
        <v>16</v>
      </c>
      <c r="F227" s="14">
        <f>C227*'Exponential Item Growth'!$B$21</f>
        <v>30193.599999999999</v>
      </c>
      <c r="G227" s="14">
        <f>'Exponential Item Growth'!$B$22*C227</f>
        <v>452903.99999999994</v>
      </c>
      <c r="H227" s="14">
        <f>'Exponential Item Growth'!$B$23*C227</f>
        <v>6038719.9999999991</v>
      </c>
    </row>
    <row r="228" spans="1:8" ht="15.75" customHeight="1">
      <c r="A228" s="3">
        <v>227</v>
      </c>
      <c r="B228" s="13">
        <f>'Exponential Item Growth'!$B$5*'Exponential Item Growth'!$B$6^A228</f>
        <v>555176.93523241696</v>
      </c>
      <c r="C228" s="14">
        <f t="shared" si="0"/>
        <v>6065.44</v>
      </c>
      <c r="D228" s="15">
        <f>A228*'Exponential Item Growth'!$B$4</f>
        <v>379.09</v>
      </c>
      <c r="E228" s="14">
        <f>IF(ISNA(VLOOKUP(A228,'Exponential Item Growth'!$A$10:$B$18,2,FALSE)),E227, E227*VLOOKUP(A228,'Exponential Item Growth'!$A$10:$B$18,2,FALSE))</f>
        <v>16</v>
      </c>
      <c r="F228" s="14">
        <f>C228*'Exponential Item Growth'!$B$21</f>
        <v>30327.199999999997</v>
      </c>
      <c r="G228" s="14">
        <f>'Exponential Item Growth'!$B$22*C228</f>
        <v>454907.99999999994</v>
      </c>
      <c r="H228" s="14">
        <f>'Exponential Item Growth'!$B$23*C228</f>
        <v>6065440</v>
      </c>
    </row>
    <row r="229" spans="1:8" ht="15.75" customHeight="1">
      <c r="A229" s="3">
        <v>228</v>
      </c>
      <c r="B229" s="13">
        <f>'Exponential Item Growth'!$B$5*'Exponential Item Growth'!$B$6^A229</f>
        <v>588487.5513463621</v>
      </c>
      <c r="C229" s="14">
        <f t="shared" si="0"/>
        <v>6092.16</v>
      </c>
      <c r="D229" s="15">
        <f>A229*'Exponential Item Growth'!$B$4</f>
        <v>380.76</v>
      </c>
      <c r="E229" s="14">
        <f>IF(ISNA(VLOOKUP(A229,'Exponential Item Growth'!$A$10:$B$18,2,FALSE)),E228, E228*VLOOKUP(A229,'Exponential Item Growth'!$A$10:$B$18,2,FALSE))</f>
        <v>16</v>
      </c>
      <c r="F229" s="14">
        <f>C229*'Exponential Item Growth'!$B$21</f>
        <v>30460.799999999999</v>
      </c>
      <c r="G229" s="14">
        <f>'Exponential Item Growth'!$B$22*C229</f>
        <v>456912</v>
      </c>
      <c r="H229" s="14">
        <f>'Exponential Item Growth'!$B$23*C229</f>
        <v>6092160</v>
      </c>
    </row>
    <row r="230" spans="1:8" ht="15.75" customHeight="1">
      <c r="A230" s="3">
        <v>229</v>
      </c>
      <c r="B230" s="13">
        <f>'Exponential Item Growth'!$B$5*'Exponential Item Growth'!$B$6^A230</f>
        <v>623796.80442714377</v>
      </c>
      <c r="C230" s="14">
        <f t="shared" si="0"/>
        <v>6118.88</v>
      </c>
      <c r="D230" s="15">
        <f>A230*'Exponential Item Growth'!$B$4</f>
        <v>382.43</v>
      </c>
      <c r="E230" s="14">
        <f>IF(ISNA(VLOOKUP(A230,'Exponential Item Growth'!$A$10:$B$18,2,FALSE)),E229, E229*VLOOKUP(A230,'Exponential Item Growth'!$A$10:$B$18,2,FALSE))</f>
        <v>16</v>
      </c>
      <c r="F230" s="14">
        <f>C230*'Exponential Item Growth'!$B$21</f>
        <v>30594.400000000001</v>
      </c>
      <c r="G230" s="14">
        <f>'Exponential Item Growth'!$B$22*C230</f>
        <v>458916</v>
      </c>
      <c r="H230" s="14">
        <f>'Exponential Item Growth'!$B$23*C230</f>
        <v>6118880</v>
      </c>
    </row>
    <row r="231" spans="1:8" ht="15.75" customHeight="1">
      <c r="A231" s="3">
        <v>230</v>
      </c>
      <c r="B231" s="13">
        <f>'Exponential Item Growth'!$B$5*'Exponential Item Growth'!$B$6^A231</f>
        <v>661224.61269277253</v>
      </c>
      <c r="C231" s="14">
        <f t="shared" si="0"/>
        <v>6145.5999999999995</v>
      </c>
      <c r="D231" s="15">
        <f>A231*'Exponential Item Growth'!$B$4</f>
        <v>384.09999999999997</v>
      </c>
      <c r="E231" s="14">
        <f>IF(ISNA(VLOOKUP(A231,'Exponential Item Growth'!$A$10:$B$18,2,FALSE)),E230, E230*VLOOKUP(A231,'Exponential Item Growth'!$A$10:$B$18,2,FALSE))</f>
        <v>16</v>
      </c>
      <c r="F231" s="14">
        <f>C231*'Exponential Item Growth'!$B$21</f>
        <v>30727.999999999996</v>
      </c>
      <c r="G231" s="14">
        <f>'Exponential Item Growth'!$B$22*C231</f>
        <v>460919.99999999994</v>
      </c>
      <c r="H231" s="14">
        <f>'Exponential Item Growth'!$B$23*C231</f>
        <v>6145599.9999999991</v>
      </c>
    </row>
    <row r="232" spans="1:8" ht="15.75" customHeight="1">
      <c r="A232" s="3">
        <v>231</v>
      </c>
      <c r="B232" s="13">
        <f>'Exponential Item Growth'!$B$5*'Exponential Item Growth'!$B$6^A232</f>
        <v>700898.089454339</v>
      </c>
      <c r="C232" s="14">
        <f t="shared" si="0"/>
        <v>6172.32</v>
      </c>
      <c r="D232" s="15">
        <f>A232*'Exponential Item Growth'!$B$4</f>
        <v>385.77</v>
      </c>
      <c r="E232" s="14">
        <f>IF(ISNA(VLOOKUP(A232,'Exponential Item Growth'!$A$10:$B$18,2,FALSE)),E231, E231*VLOOKUP(A232,'Exponential Item Growth'!$A$10:$B$18,2,FALSE))</f>
        <v>16</v>
      </c>
      <c r="F232" s="14">
        <f>C232*'Exponential Item Growth'!$B$21</f>
        <v>30861.599999999999</v>
      </c>
      <c r="G232" s="14">
        <f>'Exponential Item Growth'!$B$22*C232</f>
        <v>462924</v>
      </c>
      <c r="H232" s="14">
        <f>'Exponential Item Growth'!$B$23*C232</f>
        <v>6172320</v>
      </c>
    </row>
    <row r="233" spans="1:8" ht="15.75" customHeight="1">
      <c r="A233" s="3">
        <v>232</v>
      </c>
      <c r="B233" s="13">
        <f>'Exponential Item Growth'!$B$5*'Exponential Item Growth'!$B$6^A233</f>
        <v>742951.9748215992</v>
      </c>
      <c r="C233" s="14">
        <f t="shared" si="0"/>
        <v>6199.04</v>
      </c>
      <c r="D233" s="15">
        <f>A233*'Exponential Item Growth'!$B$4</f>
        <v>387.44</v>
      </c>
      <c r="E233" s="14">
        <f>IF(ISNA(VLOOKUP(A233,'Exponential Item Growth'!$A$10:$B$18,2,FALSE)),E232, E232*VLOOKUP(A233,'Exponential Item Growth'!$A$10:$B$18,2,FALSE))</f>
        <v>16</v>
      </c>
      <c r="F233" s="14">
        <f>C233*'Exponential Item Growth'!$B$21</f>
        <v>30995.200000000001</v>
      </c>
      <c r="G233" s="14">
        <f>'Exponential Item Growth'!$B$22*C233</f>
        <v>464928</v>
      </c>
      <c r="H233" s="14">
        <f>'Exponential Item Growth'!$B$23*C233</f>
        <v>6199040</v>
      </c>
    </row>
    <row r="234" spans="1:8" ht="15.75" customHeight="1">
      <c r="A234" s="3">
        <v>233</v>
      </c>
      <c r="B234" s="13">
        <f>'Exponential Item Growth'!$B$5*'Exponential Item Growth'!$B$6^A234</f>
        <v>787529.09331089514</v>
      </c>
      <c r="C234" s="14">
        <f t="shared" si="0"/>
        <v>6225.7599999999993</v>
      </c>
      <c r="D234" s="15">
        <f>A234*'Exponential Item Growth'!$B$4</f>
        <v>389.10999999999996</v>
      </c>
      <c r="E234" s="14">
        <f>IF(ISNA(VLOOKUP(A234,'Exponential Item Growth'!$A$10:$B$18,2,FALSE)),E233, E233*VLOOKUP(A234,'Exponential Item Growth'!$A$10:$B$18,2,FALSE))</f>
        <v>16</v>
      </c>
      <c r="F234" s="14">
        <f>C234*'Exponential Item Growth'!$B$21</f>
        <v>31128.799999999996</v>
      </c>
      <c r="G234" s="14">
        <f>'Exponential Item Growth'!$B$22*C234</f>
        <v>466931.99999999994</v>
      </c>
      <c r="H234" s="14">
        <f>'Exponential Item Growth'!$B$23*C234</f>
        <v>6225759.9999999991</v>
      </c>
    </row>
    <row r="235" spans="1:8" ht="15.75" customHeight="1">
      <c r="A235" s="3">
        <v>234</v>
      </c>
      <c r="B235" s="13">
        <f>'Exponential Item Growth'!$B$5*'Exponential Item Growth'!$B$6^A235</f>
        <v>834780.83890954894</v>
      </c>
      <c r="C235" s="14">
        <f t="shared" si="0"/>
        <v>6252.48</v>
      </c>
      <c r="D235" s="15">
        <f>A235*'Exponential Item Growth'!$B$4</f>
        <v>390.78</v>
      </c>
      <c r="E235" s="14">
        <f>IF(ISNA(VLOOKUP(A235,'Exponential Item Growth'!$A$10:$B$18,2,FALSE)),E234, E234*VLOOKUP(A235,'Exponential Item Growth'!$A$10:$B$18,2,FALSE))</f>
        <v>16</v>
      </c>
      <c r="F235" s="14">
        <f>C235*'Exponential Item Growth'!$B$21</f>
        <v>31262.399999999998</v>
      </c>
      <c r="G235" s="14">
        <f>'Exponential Item Growth'!$B$22*C235</f>
        <v>468935.99999999994</v>
      </c>
      <c r="H235" s="14">
        <f>'Exponential Item Growth'!$B$23*C235</f>
        <v>6252480</v>
      </c>
    </row>
    <row r="236" spans="1:8" ht="15.75" customHeight="1">
      <c r="A236" s="3">
        <v>235</v>
      </c>
      <c r="B236" s="13">
        <f>'Exponential Item Growth'!$B$5*'Exponential Item Growth'!$B$6^A236</f>
        <v>884867.68924412201</v>
      </c>
      <c r="C236" s="14">
        <f t="shared" si="0"/>
        <v>6279.2</v>
      </c>
      <c r="D236" s="15">
        <f>A236*'Exponential Item Growth'!$B$4</f>
        <v>392.45</v>
      </c>
      <c r="E236" s="14">
        <f>IF(ISNA(VLOOKUP(A236,'Exponential Item Growth'!$A$10:$B$18,2,FALSE)),E235, E235*VLOOKUP(A236,'Exponential Item Growth'!$A$10:$B$18,2,FALSE))</f>
        <v>16</v>
      </c>
      <c r="F236" s="14">
        <f>C236*'Exponential Item Growth'!$B$21</f>
        <v>31396</v>
      </c>
      <c r="G236" s="14">
        <f>'Exponential Item Growth'!$B$22*C236</f>
        <v>470940</v>
      </c>
      <c r="H236" s="14">
        <f>'Exponential Item Growth'!$B$23*C236</f>
        <v>6279200</v>
      </c>
    </row>
    <row r="237" spans="1:8" ht="15.75" customHeight="1">
      <c r="A237" s="3">
        <v>236</v>
      </c>
      <c r="B237" s="13">
        <f>'Exponential Item Growth'!$B$5*'Exponential Item Growth'!$B$6^A237</f>
        <v>937959.7505987694</v>
      </c>
      <c r="C237" s="14">
        <f t="shared" si="0"/>
        <v>6305.92</v>
      </c>
      <c r="D237" s="15">
        <f>A237*'Exponential Item Growth'!$B$4</f>
        <v>394.12</v>
      </c>
      <c r="E237" s="14">
        <f>IF(ISNA(VLOOKUP(A237,'Exponential Item Growth'!$A$10:$B$18,2,FALSE)),E236, E236*VLOOKUP(A237,'Exponential Item Growth'!$A$10:$B$18,2,FALSE))</f>
        <v>16</v>
      </c>
      <c r="F237" s="14">
        <f>C237*'Exponential Item Growth'!$B$21</f>
        <v>31529.599999999999</v>
      </c>
      <c r="G237" s="14">
        <f>'Exponential Item Growth'!$B$22*C237</f>
        <v>472944</v>
      </c>
      <c r="H237" s="14">
        <f>'Exponential Item Growth'!$B$23*C237</f>
        <v>6305920</v>
      </c>
    </row>
    <row r="238" spans="1:8" ht="15.75" customHeight="1">
      <c r="A238" s="3">
        <v>237</v>
      </c>
      <c r="B238" s="13">
        <f>'Exponential Item Growth'!$B$5*'Exponential Item Growth'!$B$6^A238</f>
        <v>994237.33563469572</v>
      </c>
      <c r="C238" s="14">
        <f t="shared" si="0"/>
        <v>6332.6399999999994</v>
      </c>
      <c r="D238" s="15">
        <f>A238*'Exponential Item Growth'!$B$4</f>
        <v>395.78999999999996</v>
      </c>
      <c r="E238" s="14">
        <f>IF(ISNA(VLOOKUP(A238,'Exponential Item Growth'!$A$10:$B$18,2,FALSE)),E237, E237*VLOOKUP(A238,'Exponential Item Growth'!$A$10:$B$18,2,FALSE))</f>
        <v>16</v>
      </c>
      <c r="F238" s="14">
        <f>C238*'Exponential Item Growth'!$B$21</f>
        <v>31663.199999999997</v>
      </c>
      <c r="G238" s="14">
        <f>'Exponential Item Growth'!$B$22*C238</f>
        <v>474947.99999999994</v>
      </c>
      <c r="H238" s="14">
        <f>'Exponential Item Growth'!$B$23*C238</f>
        <v>6332639.9999999991</v>
      </c>
    </row>
    <row r="239" spans="1:8" ht="15.75" customHeight="1">
      <c r="A239" s="3">
        <v>238</v>
      </c>
      <c r="B239" s="13">
        <f>'Exponential Item Growth'!$B$5*'Exponential Item Growth'!$B$6^A239</f>
        <v>1053891.5757727774</v>
      </c>
      <c r="C239" s="14">
        <f t="shared" si="0"/>
        <v>6359.36</v>
      </c>
      <c r="D239" s="15">
        <f>A239*'Exponential Item Growth'!$B$4</f>
        <v>397.46</v>
      </c>
      <c r="E239" s="14">
        <f>IF(ISNA(VLOOKUP(A239,'Exponential Item Growth'!$A$10:$B$18,2,FALSE)),E238, E238*VLOOKUP(A239,'Exponential Item Growth'!$A$10:$B$18,2,FALSE))</f>
        <v>16</v>
      </c>
      <c r="F239" s="14">
        <f>C239*'Exponential Item Growth'!$B$21</f>
        <v>31796.799999999999</v>
      </c>
      <c r="G239" s="14">
        <f>'Exponential Item Growth'!$B$22*C239</f>
        <v>476952</v>
      </c>
      <c r="H239" s="14">
        <f>'Exponential Item Growth'!$B$23*C239</f>
        <v>6359360</v>
      </c>
    </row>
    <row r="240" spans="1:8" ht="15.75" customHeight="1">
      <c r="A240" s="3">
        <v>239</v>
      </c>
      <c r="B240" s="13">
        <f>'Exponential Item Growth'!$B$5*'Exponential Item Growth'!$B$6^A240</f>
        <v>1117125.0703191443</v>
      </c>
      <c r="C240" s="14">
        <f t="shared" si="0"/>
        <v>6386.08</v>
      </c>
      <c r="D240" s="15">
        <f>A240*'Exponential Item Growth'!$B$4</f>
        <v>399.13</v>
      </c>
      <c r="E240" s="14">
        <f>IF(ISNA(VLOOKUP(A240,'Exponential Item Growth'!$A$10:$B$18,2,FALSE)),E239, E239*VLOOKUP(A240,'Exponential Item Growth'!$A$10:$B$18,2,FALSE))</f>
        <v>16</v>
      </c>
      <c r="F240" s="14">
        <f>C240*'Exponential Item Growth'!$B$21</f>
        <v>31930.400000000001</v>
      </c>
      <c r="G240" s="14">
        <f>'Exponential Item Growth'!$B$22*C240</f>
        <v>478956</v>
      </c>
      <c r="H240" s="14">
        <f>'Exponential Item Growth'!$B$23*C240</f>
        <v>6386080</v>
      </c>
    </row>
    <row r="241" spans="1:8" ht="15.75" customHeight="1">
      <c r="A241" s="3">
        <v>240</v>
      </c>
      <c r="B241" s="13">
        <f>'Exponential Item Growth'!$B$5*'Exponential Item Growth'!$B$6^A241</f>
        <v>1184152.5745382926</v>
      </c>
      <c r="C241" s="14">
        <f t="shared" si="0"/>
        <v>6412.7999999999993</v>
      </c>
      <c r="D241" s="15">
        <f>A241*'Exponential Item Growth'!$B$4</f>
        <v>400.79999999999995</v>
      </c>
      <c r="E241" s="14">
        <f>IF(ISNA(VLOOKUP(A241,'Exponential Item Growth'!$A$10:$B$18,2,FALSE)),E240, E240*VLOOKUP(A241,'Exponential Item Growth'!$A$10:$B$18,2,FALSE))</f>
        <v>16</v>
      </c>
      <c r="F241" s="14">
        <f>C241*'Exponential Item Growth'!$B$21</f>
        <v>32063.999999999996</v>
      </c>
      <c r="G241" s="14">
        <f>'Exponential Item Growth'!$B$22*C241</f>
        <v>480959.99999999994</v>
      </c>
      <c r="H241" s="14">
        <f>'Exponential Item Growth'!$B$23*C241</f>
        <v>6412799.9999999991</v>
      </c>
    </row>
    <row r="242" spans="1:8" ht="15.75" customHeight="1">
      <c r="A242" s="3">
        <v>241</v>
      </c>
      <c r="B242" s="13">
        <f>'Exponential Item Growth'!$B$5*'Exponential Item Growth'!$B$6^A242</f>
        <v>1255201.7290105904</v>
      </c>
      <c r="C242" s="14">
        <f t="shared" si="0"/>
        <v>6439.5199999999995</v>
      </c>
      <c r="D242" s="15">
        <f>A242*'Exponential Item Growth'!$B$4</f>
        <v>402.46999999999997</v>
      </c>
      <c r="E242" s="14">
        <f>IF(ISNA(VLOOKUP(A242,'Exponential Item Growth'!$A$10:$B$18,2,FALSE)),E241, E241*VLOOKUP(A242,'Exponential Item Growth'!$A$10:$B$18,2,FALSE))</f>
        <v>16</v>
      </c>
      <c r="F242" s="14">
        <f>C242*'Exponential Item Growth'!$B$21</f>
        <v>32197.599999999999</v>
      </c>
      <c r="G242" s="14">
        <f>'Exponential Item Growth'!$B$22*C242</f>
        <v>482963.99999999994</v>
      </c>
      <c r="H242" s="14">
        <f>'Exponential Item Growth'!$B$23*C242</f>
        <v>6439519.9999999991</v>
      </c>
    </row>
    <row r="243" spans="1:8" ht="15.75" customHeight="1">
      <c r="A243" s="3">
        <v>242</v>
      </c>
      <c r="B243" s="13">
        <f>'Exponential Item Growth'!$B$5*'Exponential Item Growth'!$B$6^A243</f>
        <v>1330513.8327512257</v>
      </c>
      <c r="C243" s="14">
        <f t="shared" si="0"/>
        <v>6466.24</v>
      </c>
      <c r="D243" s="15">
        <f>A243*'Exponential Item Growth'!$B$4</f>
        <v>404.14</v>
      </c>
      <c r="E243" s="14">
        <f>IF(ISNA(VLOOKUP(A243,'Exponential Item Growth'!$A$10:$B$18,2,FALSE)),E242, E242*VLOOKUP(A243,'Exponential Item Growth'!$A$10:$B$18,2,FALSE))</f>
        <v>16</v>
      </c>
      <c r="F243" s="14">
        <f>C243*'Exponential Item Growth'!$B$21</f>
        <v>32331.199999999997</v>
      </c>
      <c r="G243" s="14">
        <f>'Exponential Item Growth'!$B$22*C243</f>
        <v>484968</v>
      </c>
      <c r="H243" s="14">
        <f>'Exponential Item Growth'!$B$23*C243</f>
        <v>6466240</v>
      </c>
    </row>
    <row r="244" spans="1:8" ht="15.75" customHeight="1">
      <c r="A244" s="3">
        <v>243</v>
      </c>
      <c r="B244" s="13">
        <f>'Exponential Item Growth'!$B$5*'Exponential Item Growth'!$B$6^A244</f>
        <v>1410344.6627162993</v>
      </c>
      <c r="C244" s="14">
        <f t="shared" si="0"/>
        <v>6492.96</v>
      </c>
      <c r="D244" s="15">
        <f>A244*'Exponential Item Growth'!$B$4</f>
        <v>405.81</v>
      </c>
      <c r="E244" s="14">
        <f>IF(ISNA(VLOOKUP(A244,'Exponential Item Growth'!$A$10:$B$18,2,FALSE)),E243, E243*VLOOKUP(A244,'Exponential Item Growth'!$A$10:$B$18,2,FALSE))</f>
        <v>16</v>
      </c>
      <c r="F244" s="14">
        <f>C244*'Exponential Item Growth'!$B$21</f>
        <v>32464.799999999999</v>
      </c>
      <c r="G244" s="14">
        <f>'Exponential Item Growth'!$B$22*C244</f>
        <v>486972</v>
      </c>
      <c r="H244" s="14">
        <f>'Exponential Item Growth'!$B$23*C244</f>
        <v>6492960</v>
      </c>
    </row>
    <row r="245" spans="1:8" ht="15.75" customHeight="1">
      <c r="A245" s="3">
        <v>244</v>
      </c>
      <c r="B245" s="13">
        <f>'Exponential Item Growth'!$B$5*'Exponential Item Growth'!$B$6^A245</f>
        <v>1494965.3424792774</v>
      </c>
      <c r="C245" s="14">
        <f t="shared" si="0"/>
        <v>6519.6799999999994</v>
      </c>
      <c r="D245" s="15">
        <f>A245*'Exponential Item Growth'!$B$4</f>
        <v>407.47999999999996</v>
      </c>
      <c r="E245" s="14">
        <f>IF(ISNA(VLOOKUP(A245,'Exponential Item Growth'!$A$10:$B$18,2,FALSE)),E244, E244*VLOOKUP(A245,'Exponential Item Growth'!$A$10:$B$18,2,FALSE))</f>
        <v>16</v>
      </c>
      <c r="F245" s="14">
        <f>C245*'Exponential Item Growth'!$B$21</f>
        <v>32598.399999999998</v>
      </c>
      <c r="G245" s="14">
        <f>'Exponential Item Growth'!$B$22*C245</f>
        <v>488975.99999999994</v>
      </c>
      <c r="H245" s="14">
        <f>'Exponential Item Growth'!$B$23*C245</f>
        <v>6519679.9999999991</v>
      </c>
    </row>
    <row r="246" spans="1:8" ht="15.75" customHeight="1">
      <c r="A246" s="3">
        <v>245</v>
      </c>
      <c r="B246" s="13">
        <f>'Exponential Item Growth'!$B$5*'Exponential Item Growth'!$B$6^A246</f>
        <v>1584663.2630280345</v>
      </c>
      <c r="C246" s="14">
        <f t="shared" si="0"/>
        <v>6546.4</v>
      </c>
      <c r="D246" s="15">
        <f>A246*'Exponential Item Growth'!$B$4</f>
        <v>409.15</v>
      </c>
      <c r="E246" s="14">
        <f>IF(ISNA(VLOOKUP(A246,'Exponential Item Growth'!$A$10:$B$18,2,FALSE)),E245, E245*VLOOKUP(A246,'Exponential Item Growth'!$A$10:$B$18,2,FALSE))</f>
        <v>16</v>
      </c>
      <c r="F246" s="14">
        <f>C246*'Exponential Item Growth'!$B$21</f>
        <v>32732</v>
      </c>
      <c r="G246" s="14">
        <f>'Exponential Item Growth'!$B$22*C246</f>
        <v>490980</v>
      </c>
      <c r="H246" s="14">
        <f>'Exponential Item Growth'!$B$23*C246</f>
        <v>6546400</v>
      </c>
    </row>
    <row r="247" spans="1:8" ht="15.75" customHeight="1">
      <c r="A247" s="3">
        <v>246</v>
      </c>
      <c r="B247" s="13">
        <f>'Exponential Item Growth'!$B$5*'Exponential Item Growth'!$B$6^A247</f>
        <v>1679743.0588097165</v>
      </c>
      <c r="C247" s="14">
        <f t="shared" si="0"/>
        <v>6573.12</v>
      </c>
      <c r="D247" s="15">
        <f>A247*'Exponential Item Growth'!$B$4</f>
        <v>410.82</v>
      </c>
      <c r="E247" s="14">
        <f>IF(ISNA(VLOOKUP(A247,'Exponential Item Growth'!$A$10:$B$18,2,FALSE)),E246, E246*VLOOKUP(A247,'Exponential Item Growth'!$A$10:$B$18,2,FALSE))</f>
        <v>16</v>
      </c>
      <c r="F247" s="14">
        <f>C247*'Exponential Item Growth'!$B$21</f>
        <v>32865.599999999999</v>
      </c>
      <c r="G247" s="14">
        <f>'Exponential Item Growth'!$B$22*C247</f>
        <v>492984</v>
      </c>
      <c r="H247" s="14">
        <f>'Exponential Item Growth'!$B$23*C247</f>
        <v>6573120</v>
      </c>
    </row>
    <row r="248" spans="1:8" ht="15.75" customHeight="1">
      <c r="A248" s="3">
        <v>247</v>
      </c>
      <c r="B248" s="13">
        <f>'Exponential Item Growth'!$B$5*'Exponential Item Growth'!$B$6^A248</f>
        <v>1780527.6423382997</v>
      </c>
      <c r="C248" s="14">
        <f t="shared" si="0"/>
        <v>6599.84</v>
      </c>
      <c r="D248" s="15">
        <f>A248*'Exponential Item Growth'!$B$4</f>
        <v>412.49</v>
      </c>
      <c r="E248" s="14">
        <f>IF(ISNA(VLOOKUP(A248,'Exponential Item Growth'!$A$10:$B$18,2,FALSE)),E247, E247*VLOOKUP(A248,'Exponential Item Growth'!$A$10:$B$18,2,FALSE))</f>
        <v>16</v>
      </c>
      <c r="F248" s="14">
        <f>C248*'Exponential Item Growth'!$B$21</f>
        <v>32999.199999999997</v>
      </c>
      <c r="G248" s="14">
        <f>'Exponential Item Growth'!$B$22*C248</f>
        <v>494988</v>
      </c>
      <c r="H248" s="14">
        <f>'Exponential Item Growth'!$B$23*C248</f>
        <v>6599840</v>
      </c>
    </row>
    <row r="249" spans="1:8" ht="15.75" customHeight="1">
      <c r="A249" s="3">
        <v>248</v>
      </c>
      <c r="B249" s="13">
        <f>'Exponential Item Growth'!$B$5*'Exponential Item Growth'!$B$6^A249</f>
        <v>1887359.3008785972</v>
      </c>
      <c r="C249" s="14">
        <f t="shared" si="0"/>
        <v>6626.5599999999995</v>
      </c>
      <c r="D249" s="15">
        <f>A249*'Exponential Item Growth'!$B$4</f>
        <v>414.15999999999997</v>
      </c>
      <c r="E249" s="14">
        <f>IF(ISNA(VLOOKUP(A249,'Exponential Item Growth'!$A$10:$B$18,2,FALSE)),E248, E248*VLOOKUP(A249,'Exponential Item Growth'!$A$10:$B$18,2,FALSE))</f>
        <v>16</v>
      </c>
      <c r="F249" s="14">
        <f>C249*'Exponential Item Growth'!$B$21</f>
        <v>33132.799999999996</v>
      </c>
      <c r="G249" s="14">
        <f>'Exponential Item Growth'!$B$22*C249</f>
        <v>496991.99999999994</v>
      </c>
      <c r="H249" s="14">
        <f>'Exponential Item Growth'!$B$23*C249</f>
        <v>6626559.9999999991</v>
      </c>
    </row>
    <row r="250" spans="1:8" ht="15.75" customHeight="1">
      <c r="A250" s="3">
        <v>249</v>
      </c>
      <c r="B250" s="13">
        <f>'Exponential Item Growth'!$B$5*'Exponential Item Growth'!$B$6^A250</f>
        <v>2000600.8589313133</v>
      </c>
      <c r="C250" s="14">
        <f t="shared" si="0"/>
        <v>6653.28</v>
      </c>
      <c r="D250" s="15">
        <f>A250*'Exponential Item Growth'!$B$4</f>
        <v>415.83</v>
      </c>
      <c r="E250" s="14">
        <f>IF(ISNA(VLOOKUP(A250,'Exponential Item Growth'!$A$10:$B$18,2,FALSE)),E249, E249*VLOOKUP(A250,'Exponential Item Growth'!$A$10:$B$18,2,FALSE))</f>
        <v>16</v>
      </c>
      <c r="F250" s="14">
        <f>C250*'Exponential Item Growth'!$B$21</f>
        <v>33266.400000000001</v>
      </c>
      <c r="G250" s="14">
        <f>'Exponential Item Growth'!$B$22*C250</f>
        <v>498996</v>
      </c>
      <c r="H250" s="14">
        <f>'Exponential Item Growth'!$B$23*C250</f>
        <v>6653280</v>
      </c>
    </row>
    <row r="251" spans="1:8" ht="15.75" customHeight="1">
      <c r="A251" s="3">
        <v>250</v>
      </c>
      <c r="B251" s="13">
        <f>'Exponential Item Growth'!$B$5*'Exponential Item Growth'!$B$6^A251</f>
        <v>2120636.9104671921</v>
      </c>
      <c r="C251" s="14">
        <f t="shared" si="0"/>
        <v>6680</v>
      </c>
      <c r="D251" s="15">
        <f>A251*'Exponential Item Growth'!$B$4</f>
        <v>417.5</v>
      </c>
      <c r="E251" s="14">
        <f>IF(ISNA(VLOOKUP(A251,'Exponential Item Growth'!$A$10:$B$18,2,FALSE)),E250, E250*VLOOKUP(A251,'Exponential Item Growth'!$A$10:$B$18,2,FALSE))</f>
        <v>16</v>
      </c>
      <c r="F251" s="14">
        <f>C251*'Exponential Item Growth'!$B$21</f>
        <v>33400</v>
      </c>
      <c r="G251" s="14">
        <f>'Exponential Item Growth'!$B$22*C251</f>
        <v>501000</v>
      </c>
      <c r="H251" s="14">
        <f>'Exponential Item Growth'!$B$23*C251</f>
        <v>6680000</v>
      </c>
    </row>
    <row r="252" spans="1:8" ht="15.75" customHeight="1">
      <c r="A252" s="3">
        <v>251</v>
      </c>
      <c r="B252" s="13">
        <f>'Exponential Item Growth'!$B$5*'Exponential Item Growth'!$B$6^A252</f>
        <v>2247875.125095224</v>
      </c>
      <c r="C252" s="14">
        <f t="shared" si="0"/>
        <v>6706.7199999999993</v>
      </c>
      <c r="D252" s="15">
        <f>A252*'Exponential Item Growth'!$B$4</f>
        <v>419.16999999999996</v>
      </c>
      <c r="E252" s="14">
        <f>IF(ISNA(VLOOKUP(A252,'Exponential Item Growth'!$A$10:$B$18,2,FALSE)),E251, E251*VLOOKUP(A252,'Exponential Item Growth'!$A$10:$B$18,2,FALSE))</f>
        <v>16</v>
      </c>
      <c r="F252" s="14">
        <f>C252*'Exponential Item Growth'!$B$21</f>
        <v>33533.599999999999</v>
      </c>
      <c r="G252" s="14">
        <f>'Exponential Item Growth'!$B$22*C252</f>
        <v>503003.99999999994</v>
      </c>
      <c r="H252" s="14">
        <f>'Exponential Item Growth'!$B$23*C252</f>
        <v>6706719.9999999991</v>
      </c>
    </row>
    <row r="253" spans="1:8" ht="15.75" customHeight="1">
      <c r="A253" s="3">
        <v>252</v>
      </c>
      <c r="B253" s="13">
        <f>'Exponential Item Growth'!$B$5*'Exponential Item Growth'!$B$6^A253</f>
        <v>2382747.632600937</v>
      </c>
      <c r="C253" s="14">
        <f t="shared" si="0"/>
        <v>6733.44</v>
      </c>
      <c r="D253" s="15">
        <f>A253*'Exponential Item Growth'!$B$4</f>
        <v>420.84</v>
      </c>
      <c r="E253" s="14">
        <f>IF(ISNA(VLOOKUP(A253,'Exponential Item Growth'!$A$10:$B$18,2,FALSE)),E252, E252*VLOOKUP(A253,'Exponential Item Growth'!$A$10:$B$18,2,FALSE))</f>
        <v>16</v>
      </c>
      <c r="F253" s="14">
        <f>C253*'Exponential Item Growth'!$B$21</f>
        <v>33667.199999999997</v>
      </c>
      <c r="G253" s="14">
        <f>'Exponential Item Growth'!$B$22*C253</f>
        <v>505007.99999999994</v>
      </c>
      <c r="H253" s="14">
        <f>'Exponential Item Growth'!$B$23*C253</f>
        <v>6733440</v>
      </c>
    </row>
    <row r="254" spans="1:8" ht="15.75" customHeight="1">
      <c r="A254" s="3">
        <v>253</v>
      </c>
      <c r="B254" s="13">
        <f>'Exponential Item Growth'!$B$5*'Exponential Item Growth'!$B$6^A254</f>
        <v>2525712.4905569945</v>
      </c>
      <c r="C254" s="14">
        <f t="shared" si="0"/>
        <v>6760.16</v>
      </c>
      <c r="D254" s="15">
        <f>A254*'Exponential Item Growth'!$B$4</f>
        <v>422.51</v>
      </c>
      <c r="E254" s="14">
        <f>IF(ISNA(VLOOKUP(A254,'Exponential Item Growth'!$A$10:$B$18,2,FALSE)),E253, E253*VLOOKUP(A254,'Exponential Item Growth'!$A$10:$B$18,2,FALSE))</f>
        <v>16</v>
      </c>
      <c r="F254" s="14">
        <f>C254*'Exponential Item Growth'!$B$21</f>
        <v>33800.800000000003</v>
      </c>
      <c r="G254" s="14">
        <f>'Exponential Item Growth'!$B$22*C254</f>
        <v>507012</v>
      </c>
      <c r="H254" s="14">
        <f>'Exponential Item Growth'!$B$23*C254</f>
        <v>6760160</v>
      </c>
    </row>
    <row r="255" spans="1:8" ht="15.75" customHeight="1">
      <c r="A255" s="3">
        <v>254</v>
      </c>
      <c r="B255" s="13">
        <f>'Exponential Item Growth'!$B$5*'Exponential Item Growth'!$B$6^A255</f>
        <v>2677255.2399904137</v>
      </c>
      <c r="C255" s="14">
        <f t="shared" si="0"/>
        <v>6786.88</v>
      </c>
      <c r="D255" s="15">
        <f>A255*'Exponential Item Growth'!$B$4</f>
        <v>424.18</v>
      </c>
      <c r="E255" s="14">
        <f>IF(ISNA(VLOOKUP(A255,'Exponential Item Growth'!$A$10:$B$18,2,FALSE)),E254, E254*VLOOKUP(A255,'Exponential Item Growth'!$A$10:$B$18,2,FALSE))</f>
        <v>16</v>
      </c>
      <c r="F255" s="14">
        <f>C255*'Exponential Item Growth'!$B$21</f>
        <v>33934.400000000001</v>
      </c>
      <c r="G255" s="14">
        <f>'Exponential Item Growth'!$B$22*C255</f>
        <v>509016</v>
      </c>
      <c r="H255" s="14">
        <f>'Exponential Item Growth'!$B$23*C255</f>
        <v>6786880</v>
      </c>
    </row>
    <row r="256" spans="1:8" ht="15.75" customHeight="1">
      <c r="A256" s="3">
        <v>255</v>
      </c>
      <c r="B256" s="13">
        <f>'Exponential Item Growth'!$B$5*'Exponential Item Growth'!$B$6^A256</f>
        <v>2837890.5543898395</v>
      </c>
      <c r="C256" s="14">
        <f t="shared" si="0"/>
        <v>6813.5999999999995</v>
      </c>
      <c r="D256" s="15">
        <f>A256*'Exponential Item Growth'!$B$4</f>
        <v>425.84999999999997</v>
      </c>
      <c r="E256" s="14">
        <f>IF(ISNA(VLOOKUP(A256,'Exponential Item Growth'!$A$10:$B$18,2,FALSE)),E255, E255*VLOOKUP(A256,'Exponential Item Growth'!$A$10:$B$18,2,FALSE))</f>
        <v>16</v>
      </c>
      <c r="F256" s="14">
        <f>C256*'Exponential Item Growth'!$B$21</f>
        <v>34068</v>
      </c>
      <c r="G256" s="14">
        <f>'Exponential Item Growth'!$B$22*C256</f>
        <v>511019.99999999994</v>
      </c>
      <c r="H256" s="14">
        <f>'Exponential Item Growth'!$B$23*C256</f>
        <v>6813599.9999999991</v>
      </c>
    </row>
    <row r="257" spans="1:8" ht="15.75" customHeight="1">
      <c r="A257" s="3">
        <v>256</v>
      </c>
      <c r="B257" s="13">
        <f>'Exponential Item Growth'!$B$5*'Exponential Item Growth'!$B$6^A257</f>
        <v>3008163.9876532289</v>
      </c>
      <c r="C257" s="14">
        <f t="shared" si="0"/>
        <v>6840.32</v>
      </c>
      <c r="D257" s="15">
        <f>A257*'Exponential Item Growth'!$B$4</f>
        <v>427.52</v>
      </c>
      <c r="E257" s="14">
        <f>IF(ISNA(VLOOKUP(A257,'Exponential Item Growth'!$A$10:$B$18,2,FALSE)),E256, E256*VLOOKUP(A257,'Exponential Item Growth'!$A$10:$B$18,2,FALSE))</f>
        <v>16</v>
      </c>
      <c r="F257" s="14">
        <f>C257*'Exponential Item Growth'!$B$21</f>
        <v>34201.599999999999</v>
      </c>
      <c r="G257" s="14">
        <f>'Exponential Item Growth'!$B$22*C257</f>
        <v>513024</v>
      </c>
      <c r="H257" s="14">
        <f>'Exponential Item Growth'!$B$23*C257</f>
        <v>6840320</v>
      </c>
    </row>
    <row r="258" spans="1:8" ht="15.75" customHeight="1">
      <c r="A258" s="3">
        <v>257</v>
      </c>
      <c r="B258" s="13">
        <f>'Exponential Item Growth'!$B$5*'Exponential Item Growth'!$B$6^A258</f>
        <v>3188653.8269124227</v>
      </c>
      <c r="C258" s="14">
        <f t="shared" si="0"/>
        <v>6867.04</v>
      </c>
      <c r="D258" s="15">
        <f>A258*'Exponential Item Growth'!$B$4</f>
        <v>429.19</v>
      </c>
      <c r="E258" s="14">
        <f>IF(ISNA(VLOOKUP(A258,'Exponential Item Growth'!$A$10:$B$18,2,FALSE)),E257, E257*VLOOKUP(A258,'Exponential Item Growth'!$A$10:$B$18,2,FALSE))</f>
        <v>16</v>
      </c>
      <c r="F258" s="14">
        <f>C258*'Exponential Item Growth'!$B$21</f>
        <v>34335.199999999997</v>
      </c>
      <c r="G258" s="14">
        <f>'Exponential Item Growth'!$B$22*C258</f>
        <v>515028</v>
      </c>
      <c r="H258" s="14">
        <f>'Exponential Item Growth'!$B$23*C258</f>
        <v>6867040</v>
      </c>
    </row>
    <row r="259" spans="1:8" ht="15.75" customHeight="1">
      <c r="A259" s="3">
        <v>258</v>
      </c>
      <c r="B259" s="13">
        <f>'Exponential Item Growth'!$B$5*'Exponential Item Growth'!$B$6^A259</f>
        <v>3379973.0565271685</v>
      </c>
      <c r="C259" s="14">
        <f t="shared" si="0"/>
        <v>6893.7599999999993</v>
      </c>
      <c r="D259" s="15">
        <f>A259*'Exponential Item Growth'!$B$4</f>
        <v>430.85999999999996</v>
      </c>
      <c r="E259" s="14">
        <f>IF(ISNA(VLOOKUP(A259,'Exponential Item Growth'!$A$10:$B$18,2,FALSE)),E258, E258*VLOOKUP(A259,'Exponential Item Growth'!$A$10:$B$18,2,FALSE))</f>
        <v>16</v>
      </c>
      <c r="F259" s="14">
        <f>C259*'Exponential Item Growth'!$B$21</f>
        <v>34468.799999999996</v>
      </c>
      <c r="G259" s="14">
        <f>'Exponential Item Growth'!$B$22*C259</f>
        <v>517031.99999999994</v>
      </c>
      <c r="H259" s="14">
        <f>'Exponential Item Growth'!$B$23*C259</f>
        <v>6893759.9999999991</v>
      </c>
    </row>
    <row r="260" spans="1:8" ht="15.75" customHeight="1">
      <c r="A260" s="3">
        <v>259</v>
      </c>
      <c r="B260" s="13">
        <f>'Exponential Item Growth'!$B$5*'Exponential Item Growth'!$B$6^A260</f>
        <v>3582771.4399187989</v>
      </c>
      <c r="C260" s="14">
        <f t="shared" si="0"/>
        <v>6920.48</v>
      </c>
      <c r="D260" s="15">
        <f>A260*'Exponential Item Growth'!$B$4</f>
        <v>432.53</v>
      </c>
      <c r="E260" s="14">
        <f>IF(ISNA(VLOOKUP(A260,'Exponential Item Growth'!$A$10:$B$18,2,FALSE)),E259, E259*VLOOKUP(A260,'Exponential Item Growth'!$A$10:$B$18,2,FALSE))</f>
        <v>16</v>
      </c>
      <c r="F260" s="14">
        <f>C260*'Exponential Item Growth'!$B$21</f>
        <v>34602.399999999994</v>
      </c>
      <c r="G260" s="14">
        <f>'Exponential Item Growth'!$B$22*C260</f>
        <v>519035.99999999994</v>
      </c>
      <c r="H260" s="14">
        <f>'Exponential Item Growth'!$B$23*C260</f>
        <v>6920480</v>
      </c>
    </row>
    <row r="261" spans="1:8" ht="15.75" customHeight="1">
      <c r="A261" s="3">
        <v>260</v>
      </c>
      <c r="B261" s="13">
        <f>'Exponential Item Growth'!$B$5*'Exponential Item Growth'!$B$6^A261</f>
        <v>3797737.7263139267</v>
      </c>
      <c r="C261" s="14">
        <f t="shared" si="0"/>
        <v>6947.2</v>
      </c>
      <c r="D261" s="15">
        <f>A261*'Exponential Item Growth'!$B$4</f>
        <v>434.2</v>
      </c>
      <c r="E261" s="14">
        <f>IF(ISNA(VLOOKUP(A261,'Exponential Item Growth'!$A$10:$B$18,2,FALSE)),E260, E260*VLOOKUP(A261,'Exponential Item Growth'!$A$10:$B$18,2,FALSE))</f>
        <v>16</v>
      </c>
      <c r="F261" s="14">
        <f>C261*'Exponential Item Growth'!$B$21</f>
        <v>34736</v>
      </c>
      <c r="G261" s="14">
        <f>'Exponential Item Growth'!$B$22*C261</f>
        <v>521040</v>
      </c>
      <c r="H261" s="14">
        <f>'Exponential Item Growth'!$B$23*C261</f>
        <v>6947200</v>
      </c>
    </row>
    <row r="262" spans="1:8" ht="15.75" customHeight="1">
      <c r="A262" s="3">
        <v>261</v>
      </c>
      <c r="B262" s="13">
        <f>'Exponential Item Growth'!$B$5*'Exponential Item Growth'!$B$6^A262</f>
        <v>4025601.9898927631</v>
      </c>
      <c r="C262" s="14">
        <f t="shared" si="0"/>
        <v>6973.92</v>
      </c>
      <c r="D262" s="15">
        <f>A262*'Exponential Item Growth'!$B$4</f>
        <v>435.87</v>
      </c>
      <c r="E262" s="14">
        <f>IF(ISNA(VLOOKUP(A262,'Exponential Item Growth'!$A$10:$B$18,2,FALSE)),E261, E261*VLOOKUP(A262,'Exponential Item Growth'!$A$10:$B$18,2,FALSE))</f>
        <v>16</v>
      </c>
      <c r="F262" s="14">
        <f>C262*'Exponential Item Growth'!$B$21</f>
        <v>34869.599999999999</v>
      </c>
      <c r="G262" s="14">
        <f>'Exponential Item Growth'!$B$22*C262</f>
        <v>523044</v>
      </c>
      <c r="H262" s="14">
        <f>'Exponential Item Growth'!$B$23*C262</f>
        <v>6973920</v>
      </c>
    </row>
    <row r="263" spans="1:8" ht="15.75" customHeight="1">
      <c r="A263" s="3">
        <v>262</v>
      </c>
      <c r="B263" s="13">
        <f>'Exponential Item Growth'!$B$5*'Exponential Item Growth'!$B$6^A263</f>
        <v>4267138.1092863288</v>
      </c>
      <c r="C263" s="14">
        <f t="shared" si="0"/>
        <v>7000.6399999999994</v>
      </c>
      <c r="D263" s="15">
        <f>A263*'Exponential Item Growth'!$B$4</f>
        <v>437.53999999999996</v>
      </c>
      <c r="E263" s="14">
        <f>IF(ISNA(VLOOKUP(A263,'Exponential Item Growth'!$A$10:$B$18,2,FALSE)),E262, E262*VLOOKUP(A263,'Exponential Item Growth'!$A$10:$B$18,2,FALSE))</f>
        <v>16</v>
      </c>
      <c r="F263" s="14">
        <f>C263*'Exponential Item Growth'!$B$21</f>
        <v>35003.199999999997</v>
      </c>
      <c r="G263" s="14">
        <f>'Exponential Item Growth'!$B$22*C263</f>
        <v>525048</v>
      </c>
      <c r="H263" s="14">
        <f>'Exponential Item Growth'!$B$23*C263</f>
        <v>7000639.9999999991</v>
      </c>
    </row>
    <row r="264" spans="1:8" ht="15.75" customHeight="1">
      <c r="A264" s="3">
        <v>263</v>
      </c>
      <c r="B264" s="13">
        <f>'Exponential Item Growth'!$B$5*'Exponential Item Growth'!$B$6^A264</f>
        <v>4523166.3958435096</v>
      </c>
      <c r="C264" s="14">
        <f t="shared" si="0"/>
        <v>7027.36</v>
      </c>
      <c r="D264" s="15">
        <f>A264*'Exponential Item Growth'!$B$4</f>
        <v>439.21</v>
      </c>
      <c r="E264" s="14">
        <f>IF(ISNA(VLOOKUP(A264,'Exponential Item Growth'!$A$10:$B$18,2,FALSE)),E263, E263*VLOOKUP(A264,'Exponential Item Growth'!$A$10:$B$18,2,FALSE))</f>
        <v>16</v>
      </c>
      <c r="F264" s="14">
        <f>C264*'Exponential Item Growth'!$B$21</f>
        <v>35136.799999999996</v>
      </c>
      <c r="G264" s="14">
        <f>'Exponential Item Growth'!$B$22*C264</f>
        <v>527052</v>
      </c>
      <c r="H264" s="14">
        <f>'Exponential Item Growth'!$B$23*C264</f>
        <v>7027360</v>
      </c>
    </row>
    <row r="265" spans="1:8" ht="15.75" customHeight="1">
      <c r="A265" s="3">
        <v>264</v>
      </c>
      <c r="B265" s="13">
        <f>'Exponential Item Growth'!$B$5*'Exponential Item Growth'!$B$6^A265</f>
        <v>4794556.3795941193</v>
      </c>
      <c r="C265" s="14">
        <f t="shared" si="0"/>
        <v>7054.08</v>
      </c>
      <c r="D265" s="15">
        <f>A265*'Exponential Item Growth'!$B$4</f>
        <v>440.88</v>
      </c>
      <c r="E265" s="14">
        <f>IF(ISNA(VLOOKUP(A265,'Exponential Item Growth'!$A$10:$B$18,2,FALSE)),E264, E264*VLOOKUP(A265,'Exponential Item Growth'!$A$10:$B$18,2,FALSE))</f>
        <v>16</v>
      </c>
      <c r="F265" s="14">
        <f>C265*'Exponential Item Growth'!$B$21</f>
        <v>35270.400000000001</v>
      </c>
      <c r="G265" s="14">
        <f>'Exponential Item Growth'!$B$22*C265</f>
        <v>529056</v>
      </c>
      <c r="H265" s="14">
        <f>'Exponential Item Growth'!$B$23*C265</f>
        <v>7054080</v>
      </c>
    </row>
    <row r="266" spans="1:8" ht="15.75" customHeight="1">
      <c r="A266" s="3">
        <v>265</v>
      </c>
      <c r="B266" s="13">
        <f>'Exponential Item Growth'!$B$5*'Exponential Item Growth'!$B$6^A266</f>
        <v>5082229.7623697668</v>
      </c>
      <c r="C266" s="14">
        <f t="shared" si="0"/>
        <v>7080.7999999999993</v>
      </c>
      <c r="D266" s="15">
        <f>A266*'Exponential Item Growth'!$B$4</f>
        <v>442.54999999999995</v>
      </c>
      <c r="E266" s="14">
        <f>IF(ISNA(VLOOKUP(A266,'Exponential Item Growth'!$A$10:$B$18,2,FALSE)),E265, E265*VLOOKUP(A266,'Exponential Item Growth'!$A$10:$B$18,2,FALSE))</f>
        <v>16</v>
      </c>
      <c r="F266" s="14">
        <f>C266*'Exponential Item Growth'!$B$21</f>
        <v>35404</v>
      </c>
      <c r="G266" s="14">
        <f>'Exponential Item Growth'!$B$22*C266</f>
        <v>531060</v>
      </c>
      <c r="H266" s="14">
        <f>'Exponential Item Growth'!$B$23*C266</f>
        <v>7080799.9999999991</v>
      </c>
    </row>
    <row r="267" spans="1:8" ht="15.75" customHeight="1">
      <c r="A267" s="3">
        <v>266</v>
      </c>
      <c r="B267" s="13">
        <f>'Exponential Item Growth'!$B$5*'Exponential Item Growth'!$B$6^A267</f>
        <v>5387163.5481119528</v>
      </c>
      <c r="C267" s="14">
        <f t="shared" si="0"/>
        <v>7107.5199999999995</v>
      </c>
      <c r="D267" s="15">
        <f>A267*'Exponential Item Growth'!$B$4</f>
        <v>444.21999999999997</v>
      </c>
      <c r="E267" s="14">
        <f>IF(ISNA(VLOOKUP(A267,'Exponential Item Growth'!$A$10:$B$18,2,FALSE)),E266, E266*VLOOKUP(A267,'Exponential Item Growth'!$A$10:$B$18,2,FALSE))</f>
        <v>16</v>
      </c>
      <c r="F267" s="14">
        <f>C267*'Exponential Item Growth'!$B$21</f>
        <v>35537.599999999999</v>
      </c>
      <c r="G267" s="14">
        <f>'Exponential Item Growth'!$B$22*C267</f>
        <v>533064</v>
      </c>
      <c r="H267" s="14">
        <f>'Exponential Item Growth'!$B$23*C267</f>
        <v>7107519.9999999991</v>
      </c>
    </row>
    <row r="268" spans="1:8" ht="15.75" customHeight="1">
      <c r="A268" s="3">
        <v>267</v>
      </c>
      <c r="B268" s="13">
        <f>'Exponential Item Growth'!$B$5*'Exponential Item Growth'!$B$6^A268</f>
        <v>5710393.3609986715</v>
      </c>
      <c r="C268" s="14">
        <f t="shared" si="0"/>
        <v>7134.24</v>
      </c>
      <c r="D268" s="15">
        <f>A268*'Exponential Item Growth'!$B$4</f>
        <v>445.89</v>
      </c>
      <c r="E268" s="14">
        <f>IF(ISNA(VLOOKUP(A268,'Exponential Item Growth'!$A$10:$B$18,2,FALSE)),E267, E267*VLOOKUP(A268,'Exponential Item Growth'!$A$10:$B$18,2,FALSE))</f>
        <v>16</v>
      </c>
      <c r="F268" s="14">
        <f>C268*'Exponential Item Growth'!$B$21</f>
        <v>35671.199999999997</v>
      </c>
      <c r="G268" s="14">
        <f>'Exponential Item Growth'!$B$22*C268</f>
        <v>535068</v>
      </c>
      <c r="H268" s="14">
        <f>'Exponential Item Growth'!$B$23*C268</f>
        <v>7134240</v>
      </c>
    </row>
    <row r="269" spans="1:8" ht="15.75" customHeight="1">
      <c r="A269" s="3">
        <v>268</v>
      </c>
      <c r="B269" s="13">
        <f>'Exponential Item Growth'!$B$5*'Exponential Item Growth'!$B$6^A269</f>
        <v>6053016.9626585916</v>
      </c>
      <c r="C269" s="14">
        <f t="shared" si="0"/>
        <v>7160.96</v>
      </c>
      <c r="D269" s="15">
        <f>A269*'Exponential Item Growth'!$B$4</f>
        <v>447.56</v>
      </c>
      <c r="E269" s="14">
        <f>IF(ISNA(VLOOKUP(A269,'Exponential Item Growth'!$A$10:$B$18,2,FALSE)),E268, E268*VLOOKUP(A269,'Exponential Item Growth'!$A$10:$B$18,2,FALSE))</f>
        <v>16</v>
      </c>
      <c r="F269" s="14">
        <f>C269*'Exponential Item Growth'!$B$21</f>
        <v>35804.800000000003</v>
      </c>
      <c r="G269" s="14">
        <f>'Exponential Item Growth'!$B$22*C269</f>
        <v>537072</v>
      </c>
      <c r="H269" s="14">
        <f>'Exponential Item Growth'!$B$23*C269</f>
        <v>7160960</v>
      </c>
    </row>
    <row r="270" spans="1:8" ht="15.75" customHeight="1">
      <c r="A270" s="3">
        <v>269</v>
      </c>
      <c r="B270" s="13">
        <f>'Exponential Item Growth'!$B$5*'Exponential Item Growth'!$B$6^A270</f>
        <v>6416197.9804181075</v>
      </c>
      <c r="C270" s="14">
        <f t="shared" si="0"/>
        <v>7187.6799999999994</v>
      </c>
      <c r="D270" s="15">
        <f>A270*'Exponential Item Growth'!$B$4</f>
        <v>449.22999999999996</v>
      </c>
      <c r="E270" s="14">
        <f>IF(ISNA(VLOOKUP(A270,'Exponential Item Growth'!$A$10:$B$18,2,FALSE)),E269, E269*VLOOKUP(A270,'Exponential Item Growth'!$A$10:$B$18,2,FALSE))</f>
        <v>16</v>
      </c>
      <c r="F270" s="14">
        <f>C270*'Exponential Item Growth'!$B$21</f>
        <v>35938.399999999994</v>
      </c>
      <c r="G270" s="14">
        <f>'Exponential Item Growth'!$B$22*C270</f>
        <v>539076</v>
      </c>
      <c r="H270" s="14">
        <f>'Exponential Item Growth'!$B$23*C270</f>
        <v>7187679.9999999991</v>
      </c>
    </row>
    <row r="271" spans="1:8" ht="15.75" customHeight="1">
      <c r="A271" s="3">
        <v>270</v>
      </c>
      <c r="B271" s="13">
        <f>'Exponential Item Growth'!$B$5*'Exponential Item Growth'!$B$6^A271</f>
        <v>6801169.8592431936</v>
      </c>
      <c r="C271" s="14">
        <f t="shared" si="0"/>
        <v>7214.4</v>
      </c>
      <c r="D271" s="15">
        <f>A271*'Exponential Item Growth'!$B$4</f>
        <v>450.9</v>
      </c>
      <c r="E271" s="14">
        <f>IF(ISNA(VLOOKUP(A271,'Exponential Item Growth'!$A$10:$B$18,2,FALSE)),E270, E270*VLOOKUP(A271,'Exponential Item Growth'!$A$10:$B$18,2,FALSE))</f>
        <v>16</v>
      </c>
      <c r="F271" s="14">
        <f>C271*'Exponential Item Growth'!$B$21</f>
        <v>36072</v>
      </c>
      <c r="G271" s="14">
        <f>'Exponential Item Growth'!$B$22*C271</f>
        <v>541080</v>
      </c>
      <c r="H271" s="14">
        <f>'Exponential Item Growth'!$B$23*C271</f>
        <v>7214400</v>
      </c>
    </row>
    <row r="272" spans="1:8" ht="15.75" customHeight="1">
      <c r="A272" s="3">
        <v>271</v>
      </c>
      <c r="B272" s="13">
        <f>'Exponential Item Growth'!$B$5*'Exponential Item Growth'!$B$6^A272</f>
        <v>7209240.0507977875</v>
      </c>
      <c r="C272" s="14">
        <f t="shared" si="0"/>
        <v>7241.12</v>
      </c>
      <c r="D272" s="15">
        <f>A272*'Exponential Item Growth'!$B$4</f>
        <v>452.57</v>
      </c>
      <c r="E272" s="14">
        <f>IF(ISNA(VLOOKUP(A272,'Exponential Item Growth'!$A$10:$B$18,2,FALSE)),E271, E271*VLOOKUP(A272,'Exponential Item Growth'!$A$10:$B$18,2,FALSE))</f>
        <v>16</v>
      </c>
      <c r="F272" s="14">
        <f>C272*'Exponential Item Growth'!$B$21</f>
        <v>36205.599999999999</v>
      </c>
      <c r="G272" s="14">
        <f>'Exponential Item Growth'!$B$22*C272</f>
        <v>543084</v>
      </c>
      <c r="H272" s="14">
        <f>'Exponential Item Growth'!$B$23*C272</f>
        <v>7241120</v>
      </c>
    </row>
    <row r="273" spans="1:8" ht="15.75" customHeight="1">
      <c r="A273" s="3">
        <v>272</v>
      </c>
      <c r="B273" s="13">
        <f>'Exponential Item Growth'!$B$5*'Exponential Item Growth'!$B$6^A273</f>
        <v>7641794.4538456528</v>
      </c>
      <c r="C273" s="14">
        <f t="shared" si="0"/>
        <v>7267.84</v>
      </c>
      <c r="D273" s="15">
        <f>A273*'Exponential Item Growth'!$B$4</f>
        <v>454.24</v>
      </c>
      <c r="E273" s="14">
        <f>IF(ISNA(VLOOKUP(A273,'Exponential Item Growth'!$A$10:$B$18,2,FALSE)),E272, E272*VLOOKUP(A273,'Exponential Item Growth'!$A$10:$B$18,2,FALSE))</f>
        <v>16</v>
      </c>
      <c r="F273" s="14">
        <f>C273*'Exponential Item Growth'!$B$21</f>
        <v>36339.199999999997</v>
      </c>
      <c r="G273" s="14">
        <f>'Exponential Item Growth'!$B$22*C273</f>
        <v>545088</v>
      </c>
      <c r="H273" s="14">
        <f>'Exponential Item Growth'!$B$23*C273</f>
        <v>7267840</v>
      </c>
    </row>
    <row r="274" spans="1:8" ht="15.75" customHeight="1">
      <c r="A274" s="3">
        <v>273</v>
      </c>
      <c r="B274" s="13">
        <f>'Exponential Item Growth'!$B$5*'Exponential Item Growth'!$B$6^A274</f>
        <v>8100302.1210763929</v>
      </c>
      <c r="C274" s="14">
        <f t="shared" si="0"/>
        <v>7294.5599999999995</v>
      </c>
      <c r="D274" s="15">
        <f>A274*'Exponential Item Growth'!$B$4</f>
        <v>455.90999999999997</v>
      </c>
      <c r="E274" s="14">
        <f>IF(ISNA(VLOOKUP(A274,'Exponential Item Growth'!$A$10:$B$18,2,FALSE)),E273, E273*VLOOKUP(A274,'Exponential Item Growth'!$A$10:$B$18,2,FALSE))</f>
        <v>16</v>
      </c>
      <c r="F274" s="14">
        <f>C274*'Exponential Item Growth'!$B$21</f>
        <v>36472.799999999996</v>
      </c>
      <c r="G274" s="14">
        <f>'Exponential Item Growth'!$B$22*C274</f>
        <v>547092</v>
      </c>
      <c r="H274" s="14">
        <f>'Exponential Item Growth'!$B$23*C274</f>
        <v>7294559.9999999991</v>
      </c>
    </row>
    <row r="275" spans="1:8" ht="15.75" customHeight="1">
      <c r="A275" s="3">
        <v>274</v>
      </c>
      <c r="B275" s="13">
        <f>'Exponential Item Growth'!$B$5*'Exponential Item Growth'!$B$6^A275</f>
        <v>8586320.2483409774</v>
      </c>
      <c r="C275" s="14">
        <f t="shared" si="0"/>
        <v>7321.28</v>
      </c>
      <c r="D275" s="15">
        <f>A275*'Exponential Item Growth'!$B$4</f>
        <v>457.58</v>
      </c>
      <c r="E275" s="14">
        <f>IF(ISNA(VLOOKUP(A275,'Exponential Item Growth'!$A$10:$B$18,2,FALSE)),E274, E274*VLOOKUP(A275,'Exponential Item Growth'!$A$10:$B$18,2,FALSE))</f>
        <v>16</v>
      </c>
      <c r="F275" s="14">
        <f>C275*'Exponential Item Growth'!$B$21</f>
        <v>36606.400000000001</v>
      </c>
      <c r="G275" s="14">
        <f>'Exponential Item Growth'!$B$22*C275</f>
        <v>549096</v>
      </c>
      <c r="H275" s="14">
        <f>'Exponential Item Growth'!$B$23*C275</f>
        <v>7321280</v>
      </c>
    </row>
    <row r="276" spans="1:8" ht="15.75" customHeight="1">
      <c r="A276" s="3">
        <v>275</v>
      </c>
      <c r="B276" s="13">
        <f>'Exponential Item Growth'!$B$5*'Exponential Item Growth'!$B$6^A276</f>
        <v>9101499.4632414356</v>
      </c>
      <c r="C276" s="14">
        <f t="shared" si="0"/>
        <v>7348</v>
      </c>
      <c r="D276" s="15">
        <f>A276*'Exponential Item Growth'!$B$4</f>
        <v>459.25</v>
      </c>
      <c r="E276" s="14">
        <f>IF(ISNA(VLOOKUP(A276,'Exponential Item Growth'!$A$10:$B$18,2,FALSE)),E275, E275*VLOOKUP(A276,'Exponential Item Growth'!$A$10:$B$18,2,FALSE))</f>
        <v>16</v>
      </c>
      <c r="F276" s="14">
        <f>C276*'Exponential Item Growth'!$B$21</f>
        <v>36740</v>
      </c>
      <c r="G276" s="14">
        <f>'Exponential Item Growth'!$B$22*C276</f>
        <v>551100</v>
      </c>
      <c r="H276" s="14">
        <f>'Exponential Item Growth'!$B$23*C276</f>
        <v>7348000</v>
      </c>
    </row>
    <row r="277" spans="1:8" ht="15.75" customHeight="1">
      <c r="A277" s="3">
        <v>276</v>
      </c>
      <c r="B277" s="13">
        <f>'Exponential Item Growth'!$B$5*'Exponential Item Growth'!$B$6^A277</f>
        <v>9647589.4310359228</v>
      </c>
      <c r="C277" s="14">
        <f t="shared" si="0"/>
        <v>7374.7199999999993</v>
      </c>
      <c r="D277" s="15">
        <f>A277*'Exponential Item Growth'!$B$4</f>
        <v>460.91999999999996</v>
      </c>
      <c r="E277" s="14">
        <f>IF(ISNA(VLOOKUP(A277,'Exponential Item Growth'!$A$10:$B$18,2,FALSE)),E276, E276*VLOOKUP(A277,'Exponential Item Growth'!$A$10:$B$18,2,FALSE))</f>
        <v>16</v>
      </c>
      <c r="F277" s="14">
        <f>C277*'Exponential Item Growth'!$B$21</f>
        <v>36873.599999999999</v>
      </c>
      <c r="G277" s="14">
        <f>'Exponential Item Growth'!$B$22*C277</f>
        <v>553104</v>
      </c>
      <c r="H277" s="14">
        <f>'Exponential Item Growth'!$B$23*C277</f>
        <v>7374719.9999999991</v>
      </c>
    </row>
    <row r="278" spans="1:8" ht="15.75" customHeight="1">
      <c r="A278" s="3">
        <v>277</v>
      </c>
      <c r="B278" s="13">
        <f>'Exponential Item Growth'!$B$5*'Exponential Item Growth'!$B$6^A278</f>
        <v>10226444.79689808</v>
      </c>
      <c r="C278" s="14">
        <f t="shared" si="0"/>
        <v>7401.44</v>
      </c>
      <c r="D278" s="15">
        <f>A278*'Exponential Item Growth'!$B$4</f>
        <v>462.59</v>
      </c>
      <c r="E278" s="14">
        <f>IF(ISNA(VLOOKUP(A278,'Exponential Item Growth'!$A$10:$B$18,2,FALSE)),E277, E277*VLOOKUP(A278,'Exponential Item Growth'!$A$10:$B$18,2,FALSE))</f>
        <v>16</v>
      </c>
      <c r="F278" s="14">
        <f>C278*'Exponential Item Growth'!$B$21</f>
        <v>37007.199999999997</v>
      </c>
      <c r="G278" s="14">
        <f>'Exponential Item Growth'!$B$22*C278</f>
        <v>555108</v>
      </c>
      <c r="H278" s="14">
        <f>'Exponential Item Growth'!$B$23*C278</f>
        <v>7401440</v>
      </c>
    </row>
    <row r="279" spans="1:8" ht="15.75" customHeight="1">
      <c r="A279" s="3">
        <v>278</v>
      </c>
      <c r="B279" s="13">
        <f>'Exponential Item Growth'!$B$5*'Exponential Item Growth'!$B$6^A279</f>
        <v>10840031.484711966</v>
      </c>
      <c r="C279" s="14">
        <f t="shared" si="0"/>
        <v>7428.16</v>
      </c>
      <c r="D279" s="15">
        <f>A279*'Exponential Item Growth'!$B$4</f>
        <v>464.26</v>
      </c>
      <c r="E279" s="14">
        <f>IF(ISNA(VLOOKUP(A279,'Exponential Item Growth'!$A$10:$B$18,2,FALSE)),E278, E278*VLOOKUP(A279,'Exponential Item Growth'!$A$10:$B$18,2,FALSE))</f>
        <v>16</v>
      </c>
      <c r="F279" s="14">
        <f>C279*'Exponential Item Growth'!$B$21</f>
        <v>37140.800000000003</v>
      </c>
      <c r="G279" s="14">
        <f>'Exponential Item Growth'!$B$22*C279</f>
        <v>557112</v>
      </c>
      <c r="H279" s="14">
        <f>'Exponential Item Growth'!$B$23*C279</f>
        <v>7428160</v>
      </c>
    </row>
    <row r="280" spans="1:8" ht="15.75" customHeight="1">
      <c r="A280" s="3">
        <v>279</v>
      </c>
      <c r="B280" s="13">
        <f>'Exponential Item Growth'!$B$5*'Exponential Item Growth'!$B$6^A280</f>
        <v>11490433.373794684</v>
      </c>
      <c r="C280" s="14">
        <f t="shared" si="0"/>
        <v>7454.88</v>
      </c>
      <c r="D280" s="15">
        <f>A280*'Exponential Item Growth'!$B$4</f>
        <v>465.93</v>
      </c>
      <c r="E280" s="14">
        <f>IF(ISNA(VLOOKUP(A280,'Exponential Item Growth'!$A$10:$B$18,2,FALSE)),E279, E279*VLOOKUP(A280,'Exponential Item Growth'!$A$10:$B$18,2,FALSE))</f>
        <v>16</v>
      </c>
      <c r="F280" s="14">
        <f>C280*'Exponential Item Growth'!$B$21</f>
        <v>37274.400000000001</v>
      </c>
      <c r="G280" s="14">
        <f>'Exponential Item Growth'!$B$22*C280</f>
        <v>559116</v>
      </c>
      <c r="H280" s="14">
        <f>'Exponential Item Growth'!$B$23*C280</f>
        <v>7454880</v>
      </c>
    </row>
    <row r="281" spans="1:8" ht="15.75" customHeight="1">
      <c r="A281" s="3">
        <v>280</v>
      </c>
      <c r="B281" s="13">
        <f>'Exponential Item Growth'!$B$5*'Exponential Item Growth'!$B$6^A281</f>
        <v>12179859.376222365</v>
      </c>
      <c r="C281" s="14">
        <f t="shared" si="0"/>
        <v>7481.5999999999995</v>
      </c>
      <c r="D281" s="15">
        <f>A281*'Exponential Item Growth'!$B$4</f>
        <v>467.59999999999997</v>
      </c>
      <c r="E281" s="14">
        <f>IF(ISNA(VLOOKUP(A281,'Exponential Item Growth'!$A$10:$B$18,2,FALSE)),E280, E280*VLOOKUP(A281,'Exponential Item Growth'!$A$10:$B$18,2,FALSE))</f>
        <v>16</v>
      </c>
      <c r="F281" s="14">
        <f>C281*'Exponential Item Growth'!$B$21</f>
        <v>37408</v>
      </c>
      <c r="G281" s="14">
        <f>'Exponential Item Growth'!$B$22*C281</f>
        <v>561120</v>
      </c>
      <c r="H281" s="14">
        <f>'Exponential Item Growth'!$B$23*C281</f>
        <v>7481599.9999999991</v>
      </c>
    </row>
    <row r="282" spans="1:8" ht="15.75" customHeight="1">
      <c r="A282" s="3">
        <v>281</v>
      </c>
      <c r="B282" s="13">
        <f>'Exponential Item Growth'!$B$5*'Exponential Item Growth'!$B$6^A282</f>
        <v>12910650.938795704</v>
      </c>
      <c r="C282" s="14">
        <f t="shared" si="0"/>
        <v>7508.32</v>
      </c>
      <c r="D282" s="15">
        <f>A282*'Exponential Item Growth'!$B$4</f>
        <v>469.27</v>
      </c>
      <c r="E282" s="14">
        <f>IF(ISNA(VLOOKUP(A282,'Exponential Item Growth'!$A$10:$B$18,2,FALSE)),E281, E281*VLOOKUP(A282,'Exponential Item Growth'!$A$10:$B$18,2,FALSE))</f>
        <v>16</v>
      </c>
      <c r="F282" s="14">
        <f>C282*'Exponential Item Growth'!$B$21</f>
        <v>37541.599999999999</v>
      </c>
      <c r="G282" s="14">
        <f>'Exponential Item Growth'!$B$22*C282</f>
        <v>563124</v>
      </c>
      <c r="H282" s="14">
        <f>'Exponential Item Growth'!$B$23*C282</f>
        <v>7508320</v>
      </c>
    </row>
    <row r="283" spans="1:8" ht="15.75" customHeight="1">
      <c r="A283" s="3">
        <v>282</v>
      </c>
      <c r="B283" s="13">
        <f>'Exponential Item Growth'!$B$5*'Exponential Item Growth'!$B$6^A283</f>
        <v>13685289.995123448</v>
      </c>
      <c r="C283" s="14">
        <f t="shared" si="0"/>
        <v>7535.04</v>
      </c>
      <c r="D283" s="15">
        <f>A283*'Exponential Item Growth'!$B$4</f>
        <v>470.94</v>
      </c>
      <c r="E283" s="14">
        <f>IF(ISNA(VLOOKUP(A283,'Exponential Item Growth'!$A$10:$B$18,2,FALSE)),E282, E282*VLOOKUP(A283,'Exponential Item Growth'!$A$10:$B$18,2,FALSE))</f>
        <v>16</v>
      </c>
      <c r="F283" s="14">
        <f>C283*'Exponential Item Growth'!$B$21</f>
        <v>37675.199999999997</v>
      </c>
      <c r="G283" s="14">
        <f>'Exponential Item Growth'!$B$22*C283</f>
        <v>565128</v>
      </c>
      <c r="H283" s="14">
        <f>'Exponential Item Growth'!$B$23*C283</f>
        <v>7535040</v>
      </c>
    </row>
    <row r="284" spans="1:8" ht="15.75" customHeight="1">
      <c r="A284" s="3">
        <v>283</v>
      </c>
      <c r="B284" s="13">
        <f>'Exponential Item Growth'!$B$5*'Exponential Item Growth'!$B$6^A284</f>
        <v>14506407.394830858</v>
      </c>
      <c r="C284" s="14">
        <f t="shared" si="0"/>
        <v>7561.7599999999993</v>
      </c>
      <c r="D284" s="15">
        <f>A284*'Exponential Item Growth'!$B$4</f>
        <v>472.60999999999996</v>
      </c>
      <c r="E284" s="14">
        <f>IF(ISNA(VLOOKUP(A284,'Exponential Item Growth'!$A$10:$B$18,2,FALSE)),E283, E283*VLOOKUP(A284,'Exponential Item Growth'!$A$10:$B$18,2,FALSE))</f>
        <v>16</v>
      </c>
      <c r="F284" s="14">
        <f>C284*'Exponential Item Growth'!$B$21</f>
        <v>37808.799999999996</v>
      </c>
      <c r="G284" s="14">
        <f>'Exponential Item Growth'!$B$22*C284</f>
        <v>567132</v>
      </c>
      <c r="H284" s="14">
        <f>'Exponential Item Growth'!$B$23*C284</f>
        <v>7561759.9999999991</v>
      </c>
    </row>
    <row r="285" spans="1:8" ht="15.75" customHeight="1">
      <c r="A285" s="3">
        <v>284</v>
      </c>
      <c r="B285" s="13">
        <f>'Exponential Item Growth'!$B$5*'Exponential Item Growth'!$B$6^A285</f>
        <v>15376791.838520709</v>
      </c>
      <c r="C285" s="14">
        <f t="shared" si="0"/>
        <v>7588.48</v>
      </c>
      <c r="D285" s="15">
        <f>A285*'Exponential Item Growth'!$B$4</f>
        <v>474.28</v>
      </c>
      <c r="E285" s="14">
        <f>IF(ISNA(VLOOKUP(A285,'Exponential Item Growth'!$A$10:$B$18,2,FALSE)),E284, E284*VLOOKUP(A285,'Exponential Item Growth'!$A$10:$B$18,2,FALSE))</f>
        <v>16</v>
      </c>
      <c r="F285" s="14">
        <f>C285*'Exponential Item Growth'!$B$21</f>
        <v>37942.399999999994</v>
      </c>
      <c r="G285" s="14">
        <f>'Exponential Item Growth'!$B$22*C285</f>
        <v>569136</v>
      </c>
      <c r="H285" s="14">
        <f>'Exponential Item Growth'!$B$23*C285</f>
        <v>7588480</v>
      </c>
    </row>
    <row r="286" spans="1:8" ht="15.75" customHeight="1">
      <c r="A286" s="3">
        <v>285</v>
      </c>
      <c r="B286" s="13">
        <f>'Exponential Item Growth'!$B$5*'Exponential Item Growth'!$B$6^A286</f>
        <v>16299399.348831953</v>
      </c>
      <c r="C286" s="14">
        <f t="shared" si="0"/>
        <v>7615.2</v>
      </c>
      <c r="D286" s="15">
        <f>A286*'Exponential Item Growth'!$B$4</f>
        <v>475.95</v>
      </c>
      <c r="E286" s="14">
        <f>IF(ISNA(VLOOKUP(A286,'Exponential Item Growth'!$A$10:$B$18,2,FALSE)),E285, E285*VLOOKUP(A286,'Exponential Item Growth'!$A$10:$B$18,2,FALSE))</f>
        <v>16</v>
      </c>
      <c r="F286" s="14">
        <f>C286*'Exponential Item Growth'!$B$21</f>
        <v>38076</v>
      </c>
      <c r="G286" s="14">
        <f>'Exponential Item Growth'!$B$22*C286</f>
        <v>571140</v>
      </c>
      <c r="H286" s="14">
        <f>'Exponential Item Growth'!$B$23*C286</f>
        <v>7615200</v>
      </c>
    </row>
    <row r="287" spans="1:8" ht="15.75" customHeight="1">
      <c r="A287" s="3">
        <v>286</v>
      </c>
      <c r="B287" s="13">
        <f>'Exponential Item Growth'!$B$5*'Exponential Item Growth'!$B$6^A287</f>
        <v>17277363.309761871</v>
      </c>
      <c r="C287" s="14">
        <f t="shared" si="0"/>
        <v>7641.92</v>
      </c>
      <c r="D287" s="15">
        <f>A287*'Exponential Item Growth'!$B$4</f>
        <v>477.62</v>
      </c>
      <c r="E287" s="14">
        <f>IF(ISNA(VLOOKUP(A287,'Exponential Item Growth'!$A$10:$B$18,2,FALSE)),E286, E286*VLOOKUP(A287,'Exponential Item Growth'!$A$10:$B$18,2,FALSE))</f>
        <v>16</v>
      </c>
      <c r="F287" s="14">
        <f>C287*'Exponential Item Growth'!$B$21</f>
        <v>38209.599999999999</v>
      </c>
      <c r="G287" s="14">
        <f>'Exponential Item Growth'!$B$22*C287</f>
        <v>573144</v>
      </c>
      <c r="H287" s="14">
        <f>'Exponential Item Growth'!$B$23*C287</f>
        <v>7641920</v>
      </c>
    </row>
    <row r="288" spans="1:8" ht="15.75" customHeight="1">
      <c r="A288" s="3">
        <v>287</v>
      </c>
      <c r="B288" s="13">
        <f>'Exponential Item Growth'!$B$5*'Exponential Item Growth'!$B$6^A288</f>
        <v>18314005.108347587</v>
      </c>
      <c r="C288" s="14">
        <f t="shared" si="0"/>
        <v>7668.6399999999994</v>
      </c>
      <c r="D288" s="15">
        <f>A288*'Exponential Item Growth'!$B$4</f>
        <v>479.28999999999996</v>
      </c>
      <c r="E288" s="14">
        <f>IF(ISNA(VLOOKUP(A288,'Exponential Item Growth'!$A$10:$B$18,2,FALSE)),E287, E287*VLOOKUP(A288,'Exponential Item Growth'!$A$10:$B$18,2,FALSE))</f>
        <v>16</v>
      </c>
      <c r="F288" s="14">
        <f>C288*'Exponential Item Growth'!$B$21</f>
        <v>38343.199999999997</v>
      </c>
      <c r="G288" s="14">
        <f>'Exponential Item Growth'!$B$22*C288</f>
        <v>575148</v>
      </c>
      <c r="H288" s="14">
        <f>'Exponential Item Growth'!$B$23*C288</f>
        <v>7668639.9999999991</v>
      </c>
    </row>
    <row r="289" spans="1:8" ht="15.75" customHeight="1">
      <c r="A289" s="3">
        <v>288</v>
      </c>
      <c r="B289" s="13">
        <f>'Exponential Item Growth'!$B$5*'Exponential Item Growth'!$B$6^A289</f>
        <v>19412845.414848439</v>
      </c>
      <c r="C289" s="14">
        <f t="shared" si="0"/>
        <v>7695.36</v>
      </c>
      <c r="D289" s="15">
        <f>A289*'Exponential Item Growth'!$B$4</f>
        <v>480.96</v>
      </c>
      <c r="E289" s="14">
        <f>IF(ISNA(VLOOKUP(A289,'Exponential Item Growth'!$A$10:$B$18,2,FALSE)),E288, E288*VLOOKUP(A289,'Exponential Item Growth'!$A$10:$B$18,2,FALSE))</f>
        <v>16</v>
      </c>
      <c r="F289" s="14">
        <f>C289*'Exponential Item Growth'!$B$21</f>
        <v>38476.799999999996</v>
      </c>
      <c r="G289" s="14">
        <f>'Exponential Item Growth'!$B$22*C289</f>
        <v>577152</v>
      </c>
      <c r="H289" s="14">
        <f>'Exponential Item Growth'!$B$23*C289</f>
        <v>7695360</v>
      </c>
    </row>
    <row r="290" spans="1:8" ht="15.75" customHeight="1">
      <c r="A290" s="3">
        <v>289</v>
      </c>
      <c r="B290" s="13">
        <f>'Exponential Item Growth'!$B$5*'Exponential Item Growth'!$B$6^A290</f>
        <v>20577616.139739346</v>
      </c>
      <c r="C290" s="14">
        <f t="shared" si="0"/>
        <v>7722.08</v>
      </c>
      <c r="D290" s="15">
        <f>A290*'Exponential Item Growth'!$B$4</f>
        <v>482.63</v>
      </c>
      <c r="E290" s="14">
        <f>IF(ISNA(VLOOKUP(A290,'Exponential Item Growth'!$A$10:$B$18,2,FALSE)),E289, E289*VLOOKUP(A290,'Exponential Item Growth'!$A$10:$B$18,2,FALSE))</f>
        <v>16</v>
      </c>
      <c r="F290" s="14">
        <f>C290*'Exponential Item Growth'!$B$21</f>
        <v>38610.400000000001</v>
      </c>
      <c r="G290" s="14">
        <f>'Exponential Item Growth'!$B$22*C290</f>
        <v>579156</v>
      </c>
      <c r="H290" s="14">
        <f>'Exponential Item Growth'!$B$23*C290</f>
        <v>7722080</v>
      </c>
    </row>
    <row r="291" spans="1:8" ht="15.75" customHeight="1">
      <c r="A291" s="3">
        <v>290</v>
      </c>
      <c r="B291" s="13">
        <f>'Exponential Item Growth'!$B$5*'Exponential Item Growth'!$B$6^A291</f>
        <v>21812273.108123709</v>
      </c>
      <c r="C291" s="14">
        <f t="shared" si="0"/>
        <v>7748.7999999999993</v>
      </c>
      <c r="D291" s="15">
        <f>A291*'Exponential Item Growth'!$B$4</f>
        <v>484.29999999999995</v>
      </c>
      <c r="E291" s="14">
        <f>IF(ISNA(VLOOKUP(A291,'Exponential Item Growth'!$A$10:$B$18,2,FALSE)),E290, E290*VLOOKUP(A291,'Exponential Item Growth'!$A$10:$B$18,2,FALSE))</f>
        <v>16</v>
      </c>
      <c r="F291" s="14">
        <f>C291*'Exponential Item Growth'!$B$21</f>
        <v>38744</v>
      </c>
      <c r="G291" s="14">
        <f>'Exponential Item Growth'!$B$22*C291</f>
        <v>581160</v>
      </c>
      <c r="H291" s="14">
        <f>'Exponential Item Growth'!$B$23*C291</f>
        <v>7748799.9999999991</v>
      </c>
    </row>
    <row r="292" spans="1:8" ht="15.75" customHeight="1">
      <c r="A292" s="3">
        <v>291</v>
      </c>
      <c r="B292" s="13">
        <f>'Exponential Item Growth'!$B$5*'Exponential Item Growth'!$B$6^A292</f>
        <v>23121009.494611137</v>
      </c>
      <c r="C292" s="14">
        <f t="shared" si="0"/>
        <v>7775.5199999999995</v>
      </c>
      <c r="D292" s="15">
        <f>A292*'Exponential Item Growth'!$B$4</f>
        <v>485.96999999999997</v>
      </c>
      <c r="E292" s="14">
        <f>IF(ISNA(VLOOKUP(A292,'Exponential Item Growth'!$A$10:$B$18,2,FALSE)),E291, E291*VLOOKUP(A292,'Exponential Item Growth'!$A$10:$B$18,2,FALSE))</f>
        <v>16</v>
      </c>
      <c r="F292" s="14">
        <f>C292*'Exponential Item Growth'!$B$21</f>
        <v>38877.599999999999</v>
      </c>
      <c r="G292" s="14">
        <f>'Exponential Item Growth'!$B$22*C292</f>
        <v>583164</v>
      </c>
      <c r="H292" s="14">
        <f>'Exponential Item Growth'!$B$23*C292</f>
        <v>7775519.9999999991</v>
      </c>
    </row>
    <row r="293" spans="1:8" ht="15.75" customHeight="1">
      <c r="A293" s="3">
        <v>292</v>
      </c>
      <c r="B293" s="13">
        <f>'Exponential Item Growth'!$B$5*'Exponential Item Growth'!$B$6^A293</f>
        <v>24508270.064287804</v>
      </c>
      <c r="C293" s="14">
        <f t="shared" si="0"/>
        <v>7802.24</v>
      </c>
      <c r="D293" s="15">
        <f>A293*'Exponential Item Growth'!$B$4</f>
        <v>487.64</v>
      </c>
      <c r="E293" s="14">
        <f>IF(ISNA(VLOOKUP(A293,'Exponential Item Growth'!$A$10:$B$18,2,FALSE)),E292, E292*VLOOKUP(A293,'Exponential Item Growth'!$A$10:$B$18,2,FALSE))</f>
        <v>16</v>
      </c>
      <c r="F293" s="14">
        <f>C293*'Exponential Item Growth'!$B$21</f>
        <v>39011.199999999997</v>
      </c>
      <c r="G293" s="14">
        <f>'Exponential Item Growth'!$B$22*C293</f>
        <v>585168</v>
      </c>
      <c r="H293" s="14">
        <f>'Exponential Item Growth'!$B$23*C293</f>
        <v>7802240</v>
      </c>
    </row>
    <row r="294" spans="1:8" ht="15.75" customHeight="1">
      <c r="A294" s="3">
        <v>293</v>
      </c>
      <c r="B294" s="13">
        <f>'Exponential Item Growth'!$B$5*'Exponential Item Growth'!$B$6^A294</f>
        <v>25978766.268145073</v>
      </c>
      <c r="C294" s="14">
        <f t="shared" si="0"/>
        <v>7828.96</v>
      </c>
      <c r="D294" s="15">
        <f>A294*'Exponential Item Growth'!$B$4</f>
        <v>489.31</v>
      </c>
      <c r="E294" s="14">
        <f>IF(ISNA(VLOOKUP(A294,'Exponential Item Growth'!$A$10:$B$18,2,FALSE)),E293, E293*VLOOKUP(A294,'Exponential Item Growth'!$A$10:$B$18,2,FALSE))</f>
        <v>16</v>
      </c>
      <c r="F294" s="14">
        <f>C294*'Exponential Item Growth'!$B$21</f>
        <v>39144.800000000003</v>
      </c>
      <c r="G294" s="14">
        <f>'Exponential Item Growth'!$B$22*C294</f>
        <v>587172</v>
      </c>
      <c r="H294" s="14">
        <f>'Exponential Item Growth'!$B$23*C294</f>
        <v>7828960</v>
      </c>
    </row>
    <row r="295" spans="1:8" ht="15.75" customHeight="1">
      <c r="A295" s="3">
        <v>294</v>
      </c>
      <c r="B295" s="13">
        <f>'Exponential Item Growth'!$B$5*'Exponential Item Growth'!$B$6^A295</f>
        <v>27537492.244233783</v>
      </c>
      <c r="C295" s="14">
        <f t="shared" si="0"/>
        <v>7855.6799999999994</v>
      </c>
      <c r="D295" s="15">
        <f>A295*'Exponential Item Growth'!$B$4</f>
        <v>490.97999999999996</v>
      </c>
      <c r="E295" s="14">
        <f>IF(ISNA(VLOOKUP(A295,'Exponential Item Growth'!$A$10:$B$18,2,FALSE)),E294, E294*VLOOKUP(A295,'Exponential Item Growth'!$A$10:$B$18,2,FALSE))</f>
        <v>16</v>
      </c>
      <c r="F295" s="14">
        <f>C295*'Exponential Item Growth'!$B$21</f>
        <v>39278.399999999994</v>
      </c>
      <c r="G295" s="14">
        <f>'Exponential Item Growth'!$B$22*C295</f>
        <v>589176</v>
      </c>
      <c r="H295" s="14">
        <f>'Exponential Item Growth'!$B$23*C295</f>
        <v>7855679.9999999991</v>
      </c>
    </row>
    <row r="296" spans="1:8" ht="15.75" customHeight="1">
      <c r="A296" s="3">
        <v>295</v>
      </c>
      <c r="B296" s="13">
        <f>'Exponential Item Growth'!$B$5*'Exponential Item Growth'!$B$6^A296</f>
        <v>29189741.778887812</v>
      </c>
      <c r="C296" s="14">
        <f t="shared" si="0"/>
        <v>7882.4</v>
      </c>
      <c r="D296" s="15">
        <f>A296*'Exponential Item Growth'!$B$4</f>
        <v>492.65</v>
      </c>
      <c r="E296" s="14">
        <f>IF(ISNA(VLOOKUP(A296,'Exponential Item Growth'!$A$10:$B$18,2,FALSE)),E295, E295*VLOOKUP(A296,'Exponential Item Growth'!$A$10:$B$18,2,FALSE))</f>
        <v>16</v>
      </c>
      <c r="F296" s="14">
        <f>C296*'Exponential Item Growth'!$B$21</f>
        <v>39412</v>
      </c>
      <c r="G296" s="14">
        <f>'Exponential Item Growth'!$B$22*C296</f>
        <v>591180</v>
      </c>
      <c r="H296" s="14">
        <f>'Exponential Item Growth'!$B$23*C296</f>
        <v>7882400</v>
      </c>
    </row>
    <row r="297" spans="1:8" ht="15.75" customHeight="1">
      <c r="A297" s="3">
        <v>296</v>
      </c>
      <c r="B297" s="13">
        <f>'Exponential Item Growth'!$B$5*'Exponential Item Growth'!$B$6^A297</f>
        <v>30941126.285621077</v>
      </c>
      <c r="C297" s="14">
        <f t="shared" si="0"/>
        <v>7909.12</v>
      </c>
      <c r="D297" s="15">
        <f>A297*'Exponential Item Growth'!$B$4</f>
        <v>494.32</v>
      </c>
      <c r="E297" s="14">
        <f>IF(ISNA(VLOOKUP(A297,'Exponential Item Growth'!$A$10:$B$18,2,FALSE)),E296, E296*VLOOKUP(A297,'Exponential Item Growth'!$A$10:$B$18,2,FALSE))</f>
        <v>16</v>
      </c>
      <c r="F297" s="14">
        <f>C297*'Exponential Item Growth'!$B$21</f>
        <v>39545.599999999999</v>
      </c>
      <c r="G297" s="14">
        <f>'Exponential Item Growth'!$B$22*C297</f>
        <v>593184</v>
      </c>
      <c r="H297" s="14">
        <f>'Exponential Item Growth'!$B$23*C297</f>
        <v>7909120</v>
      </c>
    </row>
    <row r="298" spans="1:8" ht="15.75" customHeight="1">
      <c r="A298" s="3">
        <v>297</v>
      </c>
      <c r="B298" s="13">
        <f>'Exponential Item Growth'!$B$5*'Exponential Item Growth'!$B$6^A298</f>
        <v>32797593.862758338</v>
      </c>
      <c r="C298" s="14">
        <f t="shared" si="0"/>
        <v>7935.8399999999992</v>
      </c>
      <c r="D298" s="15">
        <f>A298*'Exponential Item Growth'!$B$4</f>
        <v>495.98999999999995</v>
      </c>
      <c r="E298" s="14">
        <f>IF(ISNA(VLOOKUP(A298,'Exponential Item Growth'!$A$10:$B$18,2,FALSE)),E297, E297*VLOOKUP(A298,'Exponential Item Growth'!$A$10:$B$18,2,FALSE))</f>
        <v>16</v>
      </c>
      <c r="F298" s="14">
        <f>C298*'Exponential Item Growth'!$B$21</f>
        <v>39679.199999999997</v>
      </c>
      <c r="G298" s="14">
        <f>'Exponential Item Growth'!$B$22*C298</f>
        <v>595188</v>
      </c>
      <c r="H298" s="14">
        <f>'Exponential Item Growth'!$B$23*C298</f>
        <v>7935839.9999999991</v>
      </c>
    </row>
    <row r="299" spans="1:8" ht="15.75" customHeight="1">
      <c r="A299" s="3">
        <v>298</v>
      </c>
      <c r="B299" s="13">
        <f>'Exponential Item Growth'!$B$5*'Exponential Item Growth'!$B$6^A299</f>
        <v>34765449.494523846</v>
      </c>
      <c r="C299" s="14">
        <f t="shared" si="0"/>
        <v>7962.5599999999995</v>
      </c>
      <c r="D299" s="15">
        <f>A299*'Exponential Item Growth'!$B$4</f>
        <v>497.65999999999997</v>
      </c>
      <c r="E299" s="14">
        <f>IF(ISNA(VLOOKUP(A299,'Exponential Item Growth'!$A$10:$B$18,2,FALSE)),E298, E298*VLOOKUP(A299,'Exponential Item Growth'!$A$10:$B$18,2,FALSE))</f>
        <v>16</v>
      </c>
      <c r="F299" s="14">
        <f>C299*'Exponential Item Growth'!$B$21</f>
        <v>39812.799999999996</v>
      </c>
      <c r="G299" s="14">
        <f>'Exponential Item Growth'!$B$22*C299</f>
        <v>597192</v>
      </c>
      <c r="H299" s="14">
        <f>'Exponential Item Growth'!$B$23*C299</f>
        <v>7962559.9999999991</v>
      </c>
    </row>
    <row r="300" spans="1:8" ht="15.75" customHeight="1">
      <c r="A300" s="3">
        <v>299</v>
      </c>
      <c r="B300" s="13">
        <f>'Exponential Item Growth'!$B$5*'Exponential Item Growth'!$B$6^A300</f>
        <v>36851376.464195281</v>
      </c>
      <c r="C300" s="14">
        <f t="shared" si="0"/>
        <v>7989.28</v>
      </c>
      <c r="D300" s="15">
        <f>A300*'Exponential Item Growth'!$B$4</f>
        <v>499.33</v>
      </c>
      <c r="E300" s="14">
        <f>IF(ISNA(VLOOKUP(A300,'Exponential Item Growth'!$A$10:$B$18,2,FALSE)),E299, E299*VLOOKUP(A300,'Exponential Item Growth'!$A$10:$B$18,2,FALSE))</f>
        <v>16</v>
      </c>
      <c r="F300" s="14">
        <f>C300*'Exponential Item Growth'!$B$21</f>
        <v>39946.400000000001</v>
      </c>
      <c r="G300" s="14">
        <f>'Exponential Item Growth'!$B$22*C300</f>
        <v>599196</v>
      </c>
      <c r="H300" s="14">
        <f>'Exponential Item Growth'!$B$23*C300</f>
        <v>7989280</v>
      </c>
    </row>
    <row r="301" spans="1:8" ht="15.75" customHeight="1">
      <c r="A301" s="3">
        <v>300</v>
      </c>
      <c r="B301" s="13">
        <f>'Exponential Item Growth'!$B$5*'Exponential Item Growth'!$B$6^A301</f>
        <v>39062459.052046999</v>
      </c>
      <c r="C301" s="14">
        <f t="shared" si="0"/>
        <v>16032</v>
      </c>
      <c r="D301" s="15">
        <f>A301*'Exponential Item Growth'!$B$4</f>
        <v>501</v>
      </c>
      <c r="E301" s="14">
        <f>IF(ISNA(VLOOKUP(A301,'Exponential Item Growth'!$A$10:$B$18,2,FALSE)),E300, E300*VLOOKUP(A301,'Exponential Item Growth'!$A$10:$B$18,2,FALSE))</f>
        <v>32</v>
      </c>
      <c r="F301" s="14">
        <f>C301*'Exponential Item Growth'!$B$21</f>
        <v>80160</v>
      </c>
      <c r="G301" s="14">
        <f>'Exponential Item Growth'!$B$22*C301</f>
        <v>1202400</v>
      </c>
      <c r="H301" s="14">
        <f>'Exponential Item Growth'!$B$23*C301</f>
        <v>16032000</v>
      </c>
    </row>
    <row r="302" spans="1:8" ht="15.75" customHeight="1">
      <c r="A302" s="3">
        <v>301</v>
      </c>
      <c r="B302" s="13">
        <f>'Exponential Item Growth'!$B$5*'Exponential Item Growth'!$B$6^A302</f>
        <v>41406206.59516982</v>
      </c>
      <c r="C302" s="14">
        <f t="shared" si="0"/>
        <v>16085.439999999999</v>
      </c>
      <c r="D302" s="15">
        <f>A302*'Exponential Item Growth'!$B$4</f>
        <v>502.66999999999996</v>
      </c>
      <c r="E302" s="14">
        <f>IF(ISNA(VLOOKUP(A302,'Exponential Item Growth'!$A$10:$B$18,2,FALSE)),E301, E301*VLOOKUP(A302,'Exponential Item Growth'!$A$10:$B$18,2,FALSE))</f>
        <v>32</v>
      </c>
      <c r="F302" s="14">
        <f>C302*'Exponential Item Growth'!$B$21</f>
        <v>80427.199999999997</v>
      </c>
      <c r="G302" s="14">
        <f>'Exponential Item Growth'!$B$22*C302</f>
        <v>1206408</v>
      </c>
      <c r="H302" s="14">
        <f>'Exponential Item Growth'!$B$23*C302</f>
        <v>16085439.999999998</v>
      </c>
    </row>
    <row r="303" spans="1:8" ht="15.75" customHeight="1">
      <c r="A303" s="3">
        <v>302</v>
      </c>
      <c r="B303" s="13">
        <f>'Exponential Item Growth'!$B$5*'Exponential Item Growth'!$B$6^A303</f>
        <v>43890578.990880013</v>
      </c>
      <c r="C303" s="14">
        <f t="shared" si="0"/>
        <v>16138.88</v>
      </c>
      <c r="D303" s="15">
        <f>A303*'Exponential Item Growth'!$B$4</f>
        <v>504.34</v>
      </c>
      <c r="E303" s="14">
        <f>IF(ISNA(VLOOKUP(A303,'Exponential Item Growth'!$A$10:$B$18,2,FALSE)),E302, E302*VLOOKUP(A303,'Exponential Item Growth'!$A$10:$B$18,2,FALSE))</f>
        <v>32</v>
      </c>
      <c r="F303" s="14">
        <f>C303*'Exponential Item Growth'!$B$21</f>
        <v>80694.399999999994</v>
      </c>
      <c r="G303" s="14">
        <f>'Exponential Item Growth'!$B$22*C303</f>
        <v>1210416</v>
      </c>
      <c r="H303" s="14">
        <f>'Exponential Item Growth'!$B$23*C303</f>
        <v>16138880</v>
      </c>
    </row>
    <row r="304" spans="1:8" ht="15.75" customHeight="1">
      <c r="A304" s="3">
        <v>303</v>
      </c>
      <c r="B304" s="13">
        <f>'Exponential Item Growth'!$B$5*'Exponential Item Growth'!$B$6^A304</f>
        <v>46524013.730332829</v>
      </c>
      <c r="C304" s="14">
        <f t="shared" si="0"/>
        <v>16192.32</v>
      </c>
      <c r="D304" s="15">
        <f>A304*'Exponential Item Growth'!$B$4</f>
        <v>506.01</v>
      </c>
      <c r="E304" s="14">
        <f>IF(ISNA(VLOOKUP(A304,'Exponential Item Growth'!$A$10:$B$18,2,FALSE)),E303, E303*VLOOKUP(A304,'Exponential Item Growth'!$A$10:$B$18,2,FALSE))</f>
        <v>32</v>
      </c>
      <c r="F304" s="14">
        <f>C304*'Exponential Item Growth'!$B$21</f>
        <v>80961.600000000006</v>
      </c>
      <c r="G304" s="14">
        <f>'Exponential Item Growth'!$B$22*C304</f>
        <v>1214424</v>
      </c>
      <c r="H304" s="14">
        <f>'Exponential Item Growth'!$B$23*C304</f>
        <v>16192320</v>
      </c>
    </row>
    <row r="305" spans="1:8" ht="15.75" customHeight="1">
      <c r="A305" s="3">
        <v>304</v>
      </c>
      <c r="B305" s="13">
        <f>'Exponential Item Growth'!$B$5*'Exponential Item Growth'!$B$6^A305</f>
        <v>49315454.554152787</v>
      </c>
      <c r="C305" s="14">
        <f t="shared" si="0"/>
        <v>16245.759999999998</v>
      </c>
      <c r="D305" s="15">
        <f>A305*'Exponential Item Growth'!$B$4</f>
        <v>507.67999999999995</v>
      </c>
      <c r="E305" s="14">
        <f>IF(ISNA(VLOOKUP(A305,'Exponential Item Growth'!$A$10:$B$18,2,FALSE)),E304, E304*VLOOKUP(A305,'Exponential Item Growth'!$A$10:$B$18,2,FALSE))</f>
        <v>32</v>
      </c>
      <c r="F305" s="14">
        <f>C305*'Exponential Item Growth'!$B$21</f>
        <v>81228.799999999988</v>
      </c>
      <c r="G305" s="14">
        <f>'Exponential Item Growth'!$B$22*C305</f>
        <v>1218431.9999999998</v>
      </c>
      <c r="H305" s="14">
        <f>'Exponential Item Growth'!$B$23*C305</f>
        <v>16245759.999999998</v>
      </c>
    </row>
    <row r="306" spans="1:8" ht="15.75" customHeight="1">
      <c r="A306" s="3">
        <v>305</v>
      </c>
      <c r="B306" s="13">
        <f>'Exponential Item Growth'!$B$5*'Exponential Item Growth'!$B$6^A306</f>
        <v>52274381.827401958</v>
      </c>
      <c r="C306" s="14">
        <f t="shared" si="0"/>
        <v>16299.199999999999</v>
      </c>
      <c r="D306" s="15">
        <f>A306*'Exponential Item Growth'!$B$4</f>
        <v>509.34999999999997</v>
      </c>
      <c r="E306" s="14">
        <f>IF(ISNA(VLOOKUP(A306,'Exponential Item Growth'!$A$10:$B$18,2,FALSE)),E305, E305*VLOOKUP(A306,'Exponential Item Growth'!$A$10:$B$18,2,FALSE))</f>
        <v>32</v>
      </c>
      <c r="F306" s="14">
        <f>C306*'Exponential Item Growth'!$B$21</f>
        <v>81496</v>
      </c>
      <c r="G306" s="14">
        <f>'Exponential Item Growth'!$B$22*C306</f>
        <v>1222440</v>
      </c>
      <c r="H306" s="14">
        <f>'Exponential Item Growth'!$B$23*C306</f>
        <v>16299199.999999998</v>
      </c>
    </row>
    <row r="307" spans="1:8" ht="15.75" customHeight="1">
      <c r="A307" s="3">
        <v>306</v>
      </c>
      <c r="B307" s="13">
        <f>'Exponential Item Growth'!$B$5*'Exponential Item Growth'!$B$6^A307</f>
        <v>55410844.73704607</v>
      </c>
      <c r="C307" s="14">
        <f t="shared" si="0"/>
        <v>16352.64</v>
      </c>
      <c r="D307" s="15">
        <f>A307*'Exponential Item Growth'!$B$4</f>
        <v>511.02</v>
      </c>
      <c r="E307" s="14">
        <f>IF(ISNA(VLOOKUP(A307,'Exponential Item Growth'!$A$10:$B$18,2,FALSE)),E306, E306*VLOOKUP(A307,'Exponential Item Growth'!$A$10:$B$18,2,FALSE))</f>
        <v>32</v>
      </c>
      <c r="F307" s="14">
        <f>C307*'Exponential Item Growth'!$B$21</f>
        <v>81763.199999999997</v>
      </c>
      <c r="G307" s="14">
        <f>'Exponential Item Growth'!$B$22*C307</f>
        <v>1226448</v>
      </c>
      <c r="H307" s="14">
        <f>'Exponential Item Growth'!$B$23*C307</f>
        <v>16352640</v>
      </c>
    </row>
    <row r="308" spans="1:8" ht="15.75" customHeight="1">
      <c r="A308" s="3">
        <v>307</v>
      </c>
      <c r="B308" s="13">
        <f>'Exponential Item Growth'!$B$5*'Exponential Item Growth'!$B$6^A308</f>
        <v>58735495.421268843</v>
      </c>
      <c r="C308" s="14">
        <f t="shared" si="0"/>
        <v>16406.079999999998</v>
      </c>
      <c r="D308" s="15">
        <f>A308*'Exponential Item Growth'!$B$4</f>
        <v>512.68999999999994</v>
      </c>
      <c r="E308" s="14">
        <f>IF(ISNA(VLOOKUP(A308,'Exponential Item Growth'!$A$10:$B$18,2,FALSE)),E307, E307*VLOOKUP(A308,'Exponential Item Growth'!$A$10:$B$18,2,FALSE))</f>
        <v>32</v>
      </c>
      <c r="F308" s="14">
        <f>C308*'Exponential Item Growth'!$B$21</f>
        <v>82030.399999999994</v>
      </c>
      <c r="G308" s="14">
        <f>'Exponential Item Growth'!$B$22*C308</f>
        <v>1230455.9999999998</v>
      </c>
      <c r="H308" s="14">
        <f>'Exponential Item Growth'!$B$23*C308</f>
        <v>16406079.999999998</v>
      </c>
    </row>
    <row r="309" spans="1:8" ht="15.75" customHeight="1">
      <c r="A309" s="3">
        <v>308</v>
      </c>
      <c r="B309" s="13">
        <f>'Exponential Item Growth'!$B$5*'Exponential Item Growth'!$B$6^A309</f>
        <v>62259625.146544971</v>
      </c>
      <c r="C309" s="14">
        <f t="shared" si="0"/>
        <v>16459.52</v>
      </c>
      <c r="D309" s="15">
        <f>A309*'Exponential Item Growth'!$B$4</f>
        <v>514.36</v>
      </c>
      <c r="E309" s="14">
        <f>IF(ISNA(VLOOKUP(A309,'Exponential Item Growth'!$A$10:$B$18,2,FALSE)),E308, E308*VLOOKUP(A309,'Exponential Item Growth'!$A$10:$B$18,2,FALSE))</f>
        <v>32</v>
      </c>
      <c r="F309" s="14">
        <f>C309*'Exponential Item Growth'!$B$21</f>
        <v>82297.600000000006</v>
      </c>
      <c r="G309" s="14">
        <f>'Exponential Item Growth'!$B$22*C309</f>
        <v>1234464</v>
      </c>
      <c r="H309" s="14">
        <f>'Exponential Item Growth'!$B$23*C309</f>
        <v>16459520</v>
      </c>
    </row>
    <row r="310" spans="1:8" ht="15.75" customHeight="1">
      <c r="A310" s="3">
        <v>309</v>
      </c>
      <c r="B310" s="13">
        <f>'Exponential Item Growth'!$B$5*'Exponential Item Growth'!$B$6^A310</f>
        <v>65995202.655337684</v>
      </c>
      <c r="C310" s="14">
        <f t="shared" si="0"/>
        <v>16512.96</v>
      </c>
      <c r="D310" s="15">
        <f>A310*'Exponential Item Growth'!$B$4</f>
        <v>516.03</v>
      </c>
      <c r="E310" s="14">
        <f>IF(ISNA(VLOOKUP(A310,'Exponential Item Growth'!$A$10:$B$18,2,FALSE)),E309, E309*VLOOKUP(A310,'Exponential Item Growth'!$A$10:$B$18,2,FALSE))</f>
        <v>32</v>
      </c>
      <c r="F310" s="14">
        <f>C310*'Exponential Item Growth'!$B$21</f>
        <v>82564.799999999988</v>
      </c>
      <c r="G310" s="14">
        <f>'Exponential Item Growth'!$B$22*C310</f>
        <v>1238472</v>
      </c>
      <c r="H310" s="14">
        <f>'Exponential Item Growth'!$B$23*C310</f>
        <v>16512960</v>
      </c>
    </row>
    <row r="311" spans="1:8" ht="15.75" customHeight="1">
      <c r="A311" s="3">
        <v>310</v>
      </c>
      <c r="B311" s="13">
        <f>'Exponential Item Growth'!$B$5*'Exponential Item Growth'!$B$6^A311</f>
        <v>69954914.814657956</v>
      </c>
      <c r="C311" s="14">
        <f t="shared" si="0"/>
        <v>16566.399999999998</v>
      </c>
      <c r="D311" s="15">
        <f>A311*'Exponential Item Growth'!$B$4</f>
        <v>517.69999999999993</v>
      </c>
      <c r="E311" s="14">
        <f>IF(ISNA(VLOOKUP(A311,'Exponential Item Growth'!$A$10:$B$18,2,FALSE)),E310, E310*VLOOKUP(A311,'Exponential Item Growth'!$A$10:$B$18,2,FALSE))</f>
        <v>32</v>
      </c>
      <c r="F311" s="14">
        <f>C311*'Exponential Item Growth'!$B$21</f>
        <v>82831.999999999985</v>
      </c>
      <c r="G311" s="14">
        <f>'Exponential Item Growth'!$B$22*C311</f>
        <v>1242479.9999999998</v>
      </c>
      <c r="H311" s="14">
        <f>'Exponential Item Growth'!$B$23*C311</f>
        <v>16566399.999999998</v>
      </c>
    </row>
    <row r="312" spans="1:8" ht="15.75" customHeight="1">
      <c r="A312" s="3">
        <v>311</v>
      </c>
      <c r="B312" s="13">
        <f>'Exponential Item Growth'!$B$5*'Exponential Item Growth'!$B$6^A312</f>
        <v>74152209.703537434</v>
      </c>
      <c r="C312" s="14">
        <f t="shared" si="0"/>
        <v>16619.84</v>
      </c>
      <c r="D312" s="15">
        <f>A312*'Exponential Item Growth'!$B$4</f>
        <v>519.37</v>
      </c>
      <c r="E312" s="14">
        <f>IF(ISNA(VLOOKUP(A312,'Exponential Item Growth'!$A$10:$B$18,2,FALSE)),E311, E311*VLOOKUP(A312,'Exponential Item Growth'!$A$10:$B$18,2,FALSE))</f>
        <v>32</v>
      </c>
      <c r="F312" s="14">
        <f>C312*'Exponential Item Growth'!$B$21</f>
        <v>83099.199999999997</v>
      </c>
      <c r="G312" s="14">
        <f>'Exponential Item Growth'!$B$22*C312</f>
        <v>1246488</v>
      </c>
      <c r="H312" s="14">
        <f>'Exponential Item Growth'!$B$23*C312</f>
        <v>16619840</v>
      </c>
    </row>
    <row r="313" spans="1:8" ht="15.75" customHeight="1">
      <c r="A313" s="3">
        <v>312</v>
      </c>
      <c r="B313" s="13">
        <f>'Exponential Item Growth'!$B$5*'Exponential Item Growth'!$B$6^A313</f>
        <v>78601342.285749659</v>
      </c>
      <c r="C313" s="14">
        <f t="shared" si="0"/>
        <v>16673.28</v>
      </c>
      <c r="D313" s="15">
        <f>A313*'Exponential Item Growth'!$B$4</f>
        <v>521.04</v>
      </c>
      <c r="E313" s="14">
        <f>IF(ISNA(VLOOKUP(A313,'Exponential Item Growth'!$A$10:$B$18,2,FALSE)),E312, E312*VLOOKUP(A313,'Exponential Item Growth'!$A$10:$B$18,2,FALSE))</f>
        <v>32</v>
      </c>
      <c r="F313" s="14">
        <f>C313*'Exponential Item Growth'!$B$21</f>
        <v>83366.399999999994</v>
      </c>
      <c r="G313" s="14">
        <f>'Exponential Item Growth'!$B$22*C313</f>
        <v>1250496</v>
      </c>
      <c r="H313" s="14">
        <f>'Exponential Item Growth'!$B$23*C313</f>
        <v>16673279.999999998</v>
      </c>
    </row>
    <row r="314" spans="1:8" ht="15.75" customHeight="1">
      <c r="A314" s="3">
        <v>313</v>
      </c>
      <c r="B314" s="13">
        <f>'Exponential Item Growth'!$B$5*'Exponential Item Growth'!$B$6^A314</f>
        <v>83317422.822894648</v>
      </c>
      <c r="C314" s="14">
        <f t="shared" si="0"/>
        <v>16726.719999999998</v>
      </c>
      <c r="D314" s="15">
        <f>A314*'Exponential Item Growth'!$B$4</f>
        <v>522.70999999999992</v>
      </c>
      <c r="E314" s="14">
        <f>IF(ISNA(VLOOKUP(A314,'Exponential Item Growth'!$A$10:$B$18,2,FALSE)),E313, E313*VLOOKUP(A314,'Exponential Item Growth'!$A$10:$B$18,2,FALSE))</f>
        <v>32</v>
      </c>
      <c r="F314" s="14">
        <f>C314*'Exponential Item Growth'!$B$21</f>
        <v>83633.599999999991</v>
      </c>
      <c r="G314" s="14">
        <f>'Exponential Item Growth'!$B$22*C314</f>
        <v>1254503.9999999998</v>
      </c>
      <c r="H314" s="14">
        <f>'Exponential Item Growth'!$B$23*C314</f>
        <v>16726719.999999998</v>
      </c>
    </row>
    <row r="315" spans="1:8" ht="15.75" customHeight="1">
      <c r="A315" s="3">
        <v>314</v>
      </c>
      <c r="B315" s="13">
        <f>'Exponential Item Growth'!$B$5*'Exponential Item Growth'!$B$6^A315</f>
        <v>88316468.192268327</v>
      </c>
      <c r="C315" s="14">
        <f t="shared" si="0"/>
        <v>16780.16</v>
      </c>
      <c r="D315" s="15">
        <f>A315*'Exponential Item Growth'!$B$4</f>
        <v>524.38</v>
      </c>
      <c r="E315" s="14">
        <f>IF(ISNA(VLOOKUP(A315,'Exponential Item Growth'!$A$10:$B$18,2,FALSE)),E314, E314*VLOOKUP(A315,'Exponential Item Growth'!$A$10:$B$18,2,FALSE))</f>
        <v>32</v>
      </c>
      <c r="F315" s="14">
        <f>C315*'Exponential Item Growth'!$B$21</f>
        <v>83900.800000000003</v>
      </c>
      <c r="G315" s="14">
        <f>'Exponential Item Growth'!$B$22*C315</f>
        <v>1258512</v>
      </c>
      <c r="H315" s="14">
        <f>'Exponential Item Growth'!$B$23*C315</f>
        <v>16780160</v>
      </c>
    </row>
    <row r="316" spans="1:8" ht="15.75" customHeight="1">
      <c r="A316" s="3">
        <v>315</v>
      </c>
      <c r="B316" s="13">
        <f>'Exponential Item Growth'!$B$5*'Exponential Item Growth'!$B$6^A316</f>
        <v>93615456.283804446</v>
      </c>
      <c r="C316" s="14">
        <f t="shared" si="0"/>
        <v>16833.599999999999</v>
      </c>
      <c r="D316" s="15">
        <f>A316*'Exponential Item Growth'!$B$4</f>
        <v>526.04999999999995</v>
      </c>
      <c r="E316" s="14">
        <f>IF(ISNA(VLOOKUP(A316,'Exponential Item Growth'!$A$10:$B$18,2,FALSE)),E315, E315*VLOOKUP(A316,'Exponential Item Growth'!$A$10:$B$18,2,FALSE))</f>
        <v>32</v>
      </c>
      <c r="F316" s="14">
        <f>C316*'Exponential Item Growth'!$B$21</f>
        <v>84168</v>
      </c>
      <c r="G316" s="14">
        <f>'Exponential Item Growth'!$B$22*C316</f>
        <v>1262520</v>
      </c>
      <c r="H316" s="14">
        <f>'Exponential Item Growth'!$B$23*C316</f>
        <v>16833600</v>
      </c>
    </row>
    <row r="317" spans="1:8" ht="15.75" customHeight="1">
      <c r="A317" s="3">
        <v>316</v>
      </c>
      <c r="B317" s="13">
        <f>'Exponential Item Growth'!$B$5*'Exponential Item Growth'!$B$6^A317</f>
        <v>99232383.660832703</v>
      </c>
      <c r="C317" s="14">
        <f t="shared" si="0"/>
        <v>16887.04</v>
      </c>
      <c r="D317" s="15">
        <f>A317*'Exponential Item Growth'!$B$4</f>
        <v>527.72</v>
      </c>
      <c r="E317" s="14">
        <f>IF(ISNA(VLOOKUP(A317,'Exponential Item Growth'!$A$10:$B$18,2,FALSE)),E316, E316*VLOOKUP(A317,'Exponential Item Growth'!$A$10:$B$18,2,FALSE))</f>
        <v>32</v>
      </c>
      <c r="F317" s="14">
        <f>C317*'Exponential Item Growth'!$B$21</f>
        <v>84435.200000000012</v>
      </c>
      <c r="G317" s="14">
        <f>'Exponential Item Growth'!$B$22*C317</f>
        <v>1266528</v>
      </c>
      <c r="H317" s="14">
        <f>'Exponential Item Growth'!$B$23*C317</f>
        <v>16887040</v>
      </c>
    </row>
    <row r="318" spans="1:8" ht="15.75" customHeight="1">
      <c r="A318" s="3">
        <v>317</v>
      </c>
      <c r="B318" s="13">
        <f>'Exponential Item Growth'!$B$5*'Exponential Item Growth'!$B$6^A318</f>
        <v>105186326.6804827</v>
      </c>
      <c r="C318" s="14">
        <f t="shared" si="0"/>
        <v>16940.48</v>
      </c>
      <c r="D318" s="15">
        <f>A318*'Exponential Item Growth'!$B$4</f>
        <v>529.39</v>
      </c>
      <c r="E318" s="14">
        <f>IF(ISNA(VLOOKUP(A318,'Exponential Item Growth'!$A$10:$B$18,2,FALSE)),E317, E317*VLOOKUP(A318,'Exponential Item Growth'!$A$10:$B$18,2,FALSE))</f>
        <v>32</v>
      </c>
      <c r="F318" s="14">
        <f>C318*'Exponential Item Growth'!$B$21</f>
        <v>84702.399999999994</v>
      </c>
      <c r="G318" s="14">
        <f>'Exponential Item Growth'!$B$22*C318</f>
        <v>1270536</v>
      </c>
      <c r="H318" s="14">
        <f>'Exponential Item Growth'!$B$23*C318</f>
        <v>16940480</v>
      </c>
    </row>
    <row r="319" spans="1:8" ht="15.75" customHeight="1">
      <c r="A319" s="3">
        <v>318</v>
      </c>
      <c r="B319" s="13">
        <f>'Exponential Item Growth'!$B$5*'Exponential Item Growth'!$B$6^A319</f>
        <v>111497506.28131166</v>
      </c>
      <c r="C319" s="14">
        <f t="shared" si="0"/>
        <v>16993.919999999998</v>
      </c>
      <c r="D319" s="15">
        <f>A319*'Exponential Item Growth'!$B$4</f>
        <v>531.05999999999995</v>
      </c>
      <c r="E319" s="14">
        <f>IF(ISNA(VLOOKUP(A319,'Exponential Item Growth'!$A$10:$B$18,2,FALSE)),E318, E318*VLOOKUP(A319,'Exponential Item Growth'!$A$10:$B$18,2,FALSE))</f>
        <v>32</v>
      </c>
      <c r="F319" s="14">
        <f>C319*'Exponential Item Growth'!$B$21</f>
        <v>84969.599999999991</v>
      </c>
      <c r="G319" s="14">
        <f>'Exponential Item Growth'!$B$22*C319</f>
        <v>1274543.9999999998</v>
      </c>
      <c r="H319" s="14">
        <f>'Exponential Item Growth'!$B$23*C319</f>
        <v>16993920</v>
      </c>
    </row>
    <row r="320" spans="1:8" ht="15.75" customHeight="1">
      <c r="A320" s="3">
        <v>319</v>
      </c>
      <c r="B320" s="13">
        <f>'Exponential Item Growth'!$B$5*'Exponential Item Growth'!$B$6^A320</f>
        <v>118187356.65819038</v>
      </c>
      <c r="C320" s="14">
        <f t="shared" si="0"/>
        <v>17047.36</v>
      </c>
      <c r="D320" s="15">
        <f>A320*'Exponential Item Growth'!$B$4</f>
        <v>532.73</v>
      </c>
      <c r="E320" s="14">
        <f>IF(ISNA(VLOOKUP(A320,'Exponential Item Growth'!$A$10:$B$18,2,FALSE)),E319, E319*VLOOKUP(A320,'Exponential Item Growth'!$A$10:$B$18,2,FALSE))</f>
        <v>32</v>
      </c>
      <c r="F320" s="14">
        <f>C320*'Exponential Item Growth'!$B$21</f>
        <v>85236.800000000003</v>
      </c>
      <c r="G320" s="14">
        <f>'Exponential Item Growth'!$B$22*C320</f>
        <v>1278552</v>
      </c>
      <c r="H320" s="14">
        <f>'Exponential Item Growth'!$B$23*C320</f>
        <v>17047360</v>
      </c>
    </row>
    <row r="321" spans="1:8" ht="15.75" customHeight="1">
      <c r="A321" s="3">
        <v>320</v>
      </c>
      <c r="B321" s="13">
        <f>'Exponential Item Growth'!$B$5*'Exponential Item Growth'!$B$6^A321</f>
        <v>125278598.05768177</v>
      </c>
      <c r="C321" s="14">
        <f t="shared" si="0"/>
        <v>17100.8</v>
      </c>
      <c r="D321" s="15">
        <f>A321*'Exponential Item Growth'!$B$4</f>
        <v>534.4</v>
      </c>
      <c r="E321" s="14">
        <f>IF(ISNA(VLOOKUP(A321,'Exponential Item Growth'!$A$10:$B$18,2,FALSE)),E320, E320*VLOOKUP(A321,'Exponential Item Growth'!$A$10:$B$18,2,FALSE))</f>
        <v>32</v>
      </c>
      <c r="F321" s="14">
        <f>C321*'Exponential Item Growth'!$B$21</f>
        <v>85504</v>
      </c>
      <c r="G321" s="14">
        <f>'Exponential Item Growth'!$B$22*C321</f>
        <v>1282560</v>
      </c>
      <c r="H321" s="14">
        <f>'Exponential Item Growth'!$B$23*C321</f>
        <v>17100800</v>
      </c>
    </row>
    <row r="322" spans="1:8" ht="15.75" customHeight="1">
      <c r="A322" s="3">
        <v>321</v>
      </c>
      <c r="B322" s="13">
        <f>'Exponential Item Growth'!$B$5*'Exponential Item Growth'!$B$6^A322</f>
        <v>132795313.94114268</v>
      </c>
      <c r="C322" s="14">
        <f t="shared" si="0"/>
        <v>17154.239999999998</v>
      </c>
      <c r="D322" s="15">
        <f>A322*'Exponential Item Growth'!$B$4</f>
        <v>536.06999999999994</v>
      </c>
      <c r="E322" s="14">
        <f>IF(ISNA(VLOOKUP(A322,'Exponential Item Growth'!$A$10:$B$18,2,FALSE)),E321, E321*VLOOKUP(A322,'Exponential Item Growth'!$A$10:$B$18,2,FALSE))</f>
        <v>32</v>
      </c>
      <c r="F322" s="14">
        <f>C322*'Exponential Item Growth'!$B$21</f>
        <v>85771.199999999983</v>
      </c>
      <c r="G322" s="14">
        <f>'Exponential Item Growth'!$B$22*C322</f>
        <v>1286567.9999999998</v>
      </c>
      <c r="H322" s="14">
        <f>'Exponential Item Growth'!$B$23*C322</f>
        <v>17154239.999999996</v>
      </c>
    </row>
    <row r="323" spans="1:8" ht="15.75" customHeight="1">
      <c r="A323" s="3">
        <v>322</v>
      </c>
      <c r="B323" s="13">
        <f>'Exponential Item Growth'!$B$5*'Exponential Item Growth'!$B$6^A323</f>
        <v>140763032.77761126</v>
      </c>
      <c r="C323" s="14">
        <f t="shared" si="0"/>
        <v>17207.68</v>
      </c>
      <c r="D323" s="15">
        <f>A323*'Exponential Item Growth'!$B$4</f>
        <v>537.74</v>
      </c>
      <c r="E323" s="14">
        <f>IF(ISNA(VLOOKUP(A323,'Exponential Item Growth'!$A$10:$B$18,2,FALSE)),E322, E322*VLOOKUP(A323,'Exponential Item Growth'!$A$10:$B$18,2,FALSE))</f>
        <v>32</v>
      </c>
      <c r="F323" s="14">
        <f>C323*'Exponential Item Growth'!$B$21</f>
        <v>86038.399999999994</v>
      </c>
      <c r="G323" s="14">
        <f>'Exponential Item Growth'!$B$22*C323</f>
        <v>1290576</v>
      </c>
      <c r="H323" s="14">
        <f>'Exponential Item Growth'!$B$23*C323</f>
        <v>17207680</v>
      </c>
    </row>
    <row r="324" spans="1:8" ht="15.75" customHeight="1">
      <c r="A324" s="3">
        <v>323</v>
      </c>
      <c r="B324" s="13">
        <f>'Exponential Item Growth'!$B$5*'Exponential Item Growth'!$B$6^A324</f>
        <v>149208814.74426794</v>
      </c>
      <c r="C324" s="14">
        <f t="shared" si="0"/>
        <v>17261.12</v>
      </c>
      <c r="D324" s="15">
        <f>A324*'Exponential Item Growth'!$B$4</f>
        <v>539.41</v>
      </c>
      <c r="E324" s="14">
        <f>IF(ISNA(VLOOKUP(A324,'Exponential Item Growth'!$A$10:$B$18,2,FALSE)),E323, E323*VLOOKUP(A324,'Exponential Item Growth'!$A$10:$B$18,2,FALSE))</f>
        <v>32</v>
      </c>
      <c r="F324" s="14">
        <f>C324*'Exponential Item Growth'!$B$21</f>
        <v>86305.599999999991</v>
      </c>
      <c r="G324" s="14">
        <f>'Exponential Item Growth'!$B$22*C324</f>
        <v>1294584</v>
      </c>
      <c r="H324" s="14">
        <f>'Exponential Item Growth'!$B$23*C324</f>
        <v>17261120</v>
      </c>
    </row>
    <row r="325" spans="1:8" ht="15.75" customHeight="1">
      <c r="A325" s="3">
        <v>324</v>
      </c>
      <c r="B325" s="13">
        <f>'Exponential Item Growth'!$B$5*'Exponential Item Growth'!$B$6^A325</f>
        <v>158161343.62892404</v>
      </c>
      <c r="C325" s="14">
        <f t="shared" si="0"/>
        <v>17314.559999999998</v>
      </c>
      <c r="D325" s="15">
        <f>A325*'Exponential Item Growth'!$B$4</f>
        <v>541.07999999999993</v>
      </c>
      <c r="E325" s="14">
        <f>IF(ISNA(VLOOKUP(A325,'Exponential Item Growth'!$A$10:$B$18,2,FALSE)),E324, E324*VLOOKUP(A325,'Exponential Item Growth'!$A$10:$B$18,2,FALSE))</f>
        <v>32</v>
      </c>
      <c r="F325" s="14">
        <f>C325*'Exponential Item Growth'!$B$21</f>
        <v>86572.799999999988</v>
      </c>
      <c r="G325" s="14">
        <f>'Exponential Item Growth'!$B$22*C325</f>
        <v>1298591.9999999998</v>
      </c>
      <c r="H325" s="14">
        <f>'Exponential Item Growth'!$B$23*C325</f>
        <v>17314559.999999996</v>
      </c>
    </row>
    <row r="326" spans="1:8" ht="15.75" customHeight="1">
      <c r="A326" s="3">
        <v>325</v>
      </c>
      <c r="B326" s="13">
        <f>'Exponential Item Growth'!$B$5*'Exponential Item Growth'!$B$6^A326</f>
        <v>167651024.24665949</v>
      </c>
      <c r="C326" s="14">
        <f t="shared" si="0"/>
        <v>17368</v>
      </c>
      <c r="D326" s="15">
        <f>A326*'Exponential Item Growth'!$B$4</f>
        <v>542.75</v>
      </c>
      <c r="E326" s="14">
        <f>IF(ISNA(VLOOKUP(A326,'Exponential Item Growth'!$A$10:$B$18,2,FALSE)),E325, E325*VLOOKUP(A326,'Exponential Item Growth'!$A$10:$B$18,2,FALSE))</f>
        <v>32</v>
      </c>
      <c r="F326" s="14">
        <f>C326*'Exponential Item Growth'!$B$21</f>
        <v>86840</v>
      </c>
      <c r="G326" s="14">
        <f>'Exponential Item Growth'!$B$22*C326</f>
        <v>1302600</v>
      </c>
      <c r="H326" s="14">
        <f>'Exponential Item Growth'!$B$23*C326</f>
        <v>17368000</v>
      </c>
    </row>
    <row r="327" spans="1:8" ht="15.75" customHeight="1">
      <c r="A327" s="3">
        <v>326</v>
      </c>
      <c r="B327" s="13">
        <f>'Exponential Item Growth'!$B$5*'Exponential Item Growth'!$B$6^A327</f>
        <v>177710085.70145905</v>
      </c>
      <c r="C327" s="14">
        <f t="shared" si="0"/>
        <v>17421.439999999999</v>
      </c>
      <c r="D327" s="15">
        <f>A327*'Exponential Item Growth'!$B$4</f>
        <v>544.41999999999996</v>
      </c>
      <c r="E327" s="14">
        <f>IF(ISNA(VLOOKUP(A327,'Exponential Item Growth'!$A$10:$B$18,2,FALSE)),E326, E326*VLOOKUP(A327,'Exponential Item Growth'!$A$10:$B$18,2,FALSE))</f>
        <v>32</v>
      </c>
      <c r="F327" s="14">
        <f>C327*'Exponential Item Growth'!$B$21</f>
        <v>87107.199999999997</v>
      </c>
      <c r="G327" s="14">
        <f>'Exponential Item Growth'!$B$22*C327</f>
        <v>1306608</v>
      </c>
      <c r="H327" s="14">
        <f>'Exponential Item Growth'!$B$23*C327</f>
        <v>17421440</v>
      </c>
    </row>
    <row r="328" spans="1:8" ht="15.75" customHeight="1">
      <c r="A328" s="3">
        <v>327</v>
      </c>
      <c r="B328" s="13">
        <f>'Exponential Item Growth'!$B$5*'Exponential Item Growth'!$B$6^A328</f>
        <v>188372690.84354666</v>
      </c>
      <c r="C328" s="14">
        <f t="shared" si="0"/>
        <v>17474.88</v>
      </c>
      <c r="D328" s="15">
        <f>A328*'Exponential Item Growth'!$B$4</f>
        <v>546.09</v>
      </c>
      <c r="E328" s="14">
        <f>IF(ISNA(VLOOKUP(A328,'Exponential Item Growth'!$A$10:$B$18,2,FALSE)),E327, E327*VLOOKUP(A328,'Exponential Item Growth'!$A$10:$B$18,2,FALSE))</f>
        <v>32</v>
      </c>
      <c r="F328" s="14">
        <f>C328*'Exponential Item Growth'!$B$21</f>
        <v>87374.400000000009</v>
      </c>
      <c r="G328" s="14">
        <f>'Exponential Item Growth'!$B$22*C328</f>
        <v>1310616</v>
      </c>
      <c r="H328" s="14">
        <f>'Exponential Item Growth'!$B$23*C328</f>
        <v>17474880</v>
      </c>
    </row>
    <row r="329" spans="1:8" ht="15.75" customHeight="1">
      <c r="A329" s="3">
        <v>328</v>
      </c>
      <c r="B329" s="13">
        <f>'Exponential Item Growth'!$B$5*'Exponential Item Growth'!$B$6^A329</f>
        <v>199675052.29415941</v>
      </c>
      <c r="C329" s="14">
        <f t="shared" si="0"/>
        <v>17528.32</v>
      </c>
      <c r="D329" s="15">
        <f>A329*'Exponential Item Growth'!$B$4</f>
        <v>547.76</v>
      </c>
      <c r="E329" s="14">
        <f>IF(ISNA(VLOOKUP(A329,'Exponential Item Growth'!$A$10:$B$18,2,FALSE)),E328, E328*VLOOKUP(A329,'Exponential Item Growth'!$A$10:$B$18,2,FALSE))</f>
        <v>32</v>
      </c>
      <c r="F329" s="14">
        <f>C329*'Exponential Item Growth'!$B$21</f>
        <v>87641.600000000006</v>
      </c>
      <c r="G329" s="14">
        <f>'Exponential Item Growth'!$B$22*C329</f>
        <v>1314624</v>
      </c>
      <c r="H329" s="14">
        <f>'Exponential Item Growth'!$B$23*C329</f>
        <v>17528320</v>
      </c>
    </row>
    <row r="330" spans="1:8" ht="15.75" customHeight="1">
      <c r="A330" s="3">
        <v>329</v>
      </c>
      <c r="B330" s="13">
        <f>'Exponential Item Growth'!$B$5*'Exponential Item Growth'!$B$6^A330</f>
        <v>211655555.43180895</v>
      </c>
      <c r="C330" s="14">
        <f t="shared" si="0"/>
        <v>17581.759999999998</v>
      </c>
      <c r="D330" s="15">
        <f>A330*'Exponential Item Growth'!$B$4</f>
        <v>549.42999999999995</v>
      </c>
      <c r="E330" s="14">
        <f>IF(ISNA(VLOOKUP(A330,'Exponential Item Growth'!$A$10:$B$18,2,FALSE)),E329, E329*VLOOKUP(A330,'Exponential Item Growth'!$A$10:$B$18,2,FALSE))</f>
        <v>32</v>
      </c>
      <c r="F330" s="14">
        <f>C330*'Exponential Item Growth'!$B$21</f>
        <v>87908.799999999988</v>
      </c>
      <c r="G330" s="14">
        <f>'Exponential Item Growth'!$B$22*C330</f>
        <v>1318631.9999999998</v>
      </c>
      <c r="H330" s="14">
        <f>'Exponential Item Growth'!$B$23*C330</f>
        <v>17581760</v>
      </c>
    </row>
    <row r="331" spans="1:8" ht="15.75" customHeight="1">
      <c r="A331" s="3">
        <v>330</v>
      </c>
      <c r="B331" s="13">
        <f>'Exponential Item Growth'!$B$5*'Exponential Item Growth'!$B$6^A331</f>
        <v>224354888.75771752</v>
      </c>
      <c r="C331" s="14">
        <f t="shared" si="0"/>
        <v>17635.2</v>
      </c>
      <c r="D331" s="15">
        <f>A331*'Exponential Item Growth'!$B$4</f>
        <v>551.1</v>
      </c>
      <c r="E331" s="14">
        <f>IF(ISNA(VLOOKUP(A331,'Exponential Item Growth'!$A$10:$B$18,2,FALSE)),E330, E330*VLOOKUP(A331,'Exponential Item Growth'!$A$10:$B$18,2,FALSE))</f>
        <v>32</v>
      </c>
      <c r="F331" s="14">
        <f>C331*'Exponential Item Growth'!$B$21</f>
        <v>88176</v>
      </c>
      <c r="G331" s="14">
        <f>'Exponential Item Growth'!$B$22*C331</f>
        <v>1322640</v>
      </c>
      <c r="H331" s="14">
        <f>'Exponential Item Growth'!$B$23*C331</f>
        <v>17635200</v>
      </c>
    </row>
    <row r="332" spans="1:8" ht="15.75" customHeight="1">
      <c r="A332" s="3">
        <v>331</v>
      </c>
      <c r="B332" s="13">
        <f>'Exponential Item Growth'!$B$5*'Exponential Item Growth'!$B$6^A332</f>
        <v>237816182.08318064</v>
      </c>
      <c r="C332" s="14">
        <f t="shared" si="0"/>
        <v>17688.64</v>
      </c>
      <c r="D332" s="15">
        <f>A332*'Exponential Item Growth'!$B$4</f>
        <v>552.77</v>
      </c>
      <c r="E332" s="14">
        <f>IF(ISNA(VLOOKUP(A332,'Exponential Item Growth'!$A$10:$B$18,2,FALSE)),E331, E331*VLOOKUP(A332,'Exponential Item Growth'!$A$10:$B$18,2,FALSE))</f>
        <v>32</v>
      </c>
      <c r="F332" s="14">
        <f>C332*'Exponential Item Growth'!$B$21</f>
        <v>88443.199999999997</v>
      </c>
      <c r="G332" s="14">
        <f>'Exponential Item Growth'!$B$22*C332</f>
        <v>1326648</v>
      </c>
      <c r="H332" s="14">
        <f>'Exponential Item Growth'!$B$23*C332</f>
        <v>17688640</v>
      </c>
    </row>
    <row r="333" spans="1:8" ht="15.75" customHeight="1">
      <c r="A333" s="3">
        <v>332</v>
      </c>
      <c r="B333" s="13">
        <f>'Exponential Item Growth'!$B$5*'Exponential Item Growth'!$B$6^A333</f>
        <v>252085153.00817147</v>
      </c>
      <c r="C333" s="14">
        <f t="shared" si="0"/>
        <v>17742.079999999998</v>
      </c>
      <c r="D333" s="15">
        <f>A333*'Exponential Item Growth'!$B$4</f>
        <v>554.43999999999994</v>
      </c>
      <c r="E333" s="14">
        <f>IF(ISNA(VLOOKUP(A333,'Exponential Item Growth'!$A$10:$B$18,2,FALSE)),E332, E332*VLOOKUP(A333,'Exponential Item Growth'!$A$10:$B$18,2,FALSE))</f>
        <v>32</v>
      </c>
      <c r="F333" s="14">
        <f>C333*'Exponential Item Growth'!$B$21</f>
        <v>88710.399999999994</v>
      </c>
      <c r="G333" s="14">
        <f>'Exponential Item Growth'!$B$22*C333</f>
        <v>1330655.9999999998</v>
      </c>
      <c r="H333" s="14">
        <f>'Exponential Item Growth'!$B$23*C333</f>
        <v>17742079.999999996</v>
      </c>
    </row>
    <row r="334" spans="1:8" ht="15.75" customHeight="1">
      <c r="A334" s="3">
        <v>333</v>
      </c>
      <c r="B334" s="13">
        <f>'Exponential Item Growth'!$B$5*'Exponential Item Growth'!$B$6^A334</f>
        <v>267210262.18866178</v>
      </c>
      <c r="C334" s="14">
        <f t="shared" si="0"/>
        <v>17795.52</v>
      </c>
      <c r="D334" s="15">
        <f>A334*'Exponential Item Growth'!$B$4</f>
        <v>556.11</v>
      </c>
      <c r="E334" s="14">
        <f>IF(ISNA(VLOOKUP(A334,'Exponential Item Growth'!$A$10:$B$18,2,FALSE)),E333, E333*VLOOKUP(A334,'Exponential Item Growth'!$A$10:$B$18,2,FALSE))</f>
        <v>32</v>
      </c>
      <c r="F334" s="14">
        <f>C334*'Exponential Item Growth'!$B$21</f>
        <v>88977.600000000006</v>
      </c>
      <c r="G334" s="14">
        <f>'Exponential Item Growth'!$B$22*C334</f>
        <v>1334664</v>
      </c>
      <c r="H334" s="14">
        <f>'Exponential Item Growth'!$B$23*C334</f>
        <v>17795520</v>
      </c>
    </row>
    <row r="335" spans="1:8" ht="15.75" customHeight="1">
      <c r="A335" s="3">
        <v>334</v>
      </c>
      <c r="B335" s="13">
        <f>'Exponential Item Growth'!$B$5*'Exponential Item Growth'!$B$6^A335</f>
        <v>283242877.91998148</v>
      </c>
      <c r="C335" s="14">
        <f t="shared" si="0"/>
        <v>17848.96</v>
      </c>
      <c r="D335" s="15">
        <f>A335*'Exponential Item Growth'!$B$4</f>
        <v>557.78</v>
      </c>
      <c r="E335" s="14">
        <f>IF(ISNA(VLOOKUP(A335,'Exponential Item Growth'!$A$10:$B$18,2,FALSE)),E334, E334*VLOOKUP(A335,'Exponential Item Growth'!$A$10:$B$18,2,FALSE))</f>
        <v>32</v>
      </c>
      <c r="F335" s="14">
        <f>C335*'Exponential Item Growth'!$B$21</f>
        <v>89244.799999999988</v>
      </c>
      <c r="G335" s="14">
        <f>'Exponential Item Growth'!$B$22*C335</f>
        <v>1338672</v>
      </c>
      <c r="H335" s="14">
        <f>'Exponential Item Growth'!$B$23*C335</f>
        <v>17848960</v>
      </c>
    </row>
    <row r="336" spans="1:8" ht="15.75" customHeight="1">
      <c r="A336" s="3">
        <v>335</v>
      </c>
      <c r="B336" s="13">
        <f>'Exponential Item Growth'!$B$5*'Exponential Item Growth'!$B$6^A336</f>
        <v>300237450.59518045</v>
      </c>
      <c r="C336" s="14">
        <f t="shared" si="0"/>
        <v>17902.399999999998</v>
      </c>
      <c r="D336" s="15">
        <f>A336*'Exponential Item Growth'!$B$4</f>
        <v>559.44999999999993</v>
      </c>
      <c r="E336" s="14">
        <f>IF(ISNA(VLOOKUP(A336,'Exponential Item Growth'!$A$10:$B$18,2,FALSE)),E335, E335*VLOOKUP(A336,'Exponential Item Growth'!$A$10:$B$18,2,FALSE))</f>
        <v>32</v>
      </c>
      <c r="F336" s="14">
        <f>C336*'Exponential Item Growth'!$B$21</f>
        <v>89511.999999999985</v>
      </c>
      <c r="G336" s="14">
        <f>'Exponential Item Growth'!$B$22*C336</f>
        <v>1342679.9999999998</v>
      </c>
      <c r="H336" s="14">
        <f>'Exponential Item Growth'!$B$23*C336</f>
        <v>17902399.999999996</v>
      </c>
    </row>
    <row r="337" spans="1:8" ht="15.75" customHeight="1">
      <c r="A337" s="3">
        <v>336</v>
      </c>
      <c r="B337" s="13">
        <f>'Exponential Item Growth'!$B$5*'Exponential Item Growth'!$B$6^A337</f>
        <v>318251697.6308912</v>
      </c>
      <c r="C337" s="14">
        <f t="shared" si="0"/>
        <v>17955.84</v>
      </c>
      <c r="D337" s="15">
        <f>A337*'Exponential Item Growth'!$B$4</f>
        <v>561.12</v>
      </c>
      <c r="E337" s="14">
        <f>IF(ISNA(VLOOKUP(A337,'Exponential Item Growth'!$A$10:$B$18,2,FALSE)),E336, E336*VLOOKUP(A337,'Exponential Item Growth'!$A$10:$B$18,2,FALSE))</f>
        <v>32</v>
      </c>
      <c r="F337" s="14">
        <f>C337*'Exponential Item Growth'!$B$21</f>
        <v>89779.199999999997</v>
      </c>
      <c r="G337" s="14">
        <f>'Exponential Item Growth'!$B$22*C337</f>
        <v>1346688</v>
      </c>
      <c r="H337" s="14">
        <f>'Exponential Item Growth'!$B$23*C337</f>
        <v>17955840</v>
      </c>
    </row>
    <row r="338" spans="1:8" ht="15.75" customHeight="1">
      <c r="A338" s="3">
        <v>337</v>
      </c>
      <c r="B338" s="13">
        <f>'Exponential Item Growth'!$B$5*'Exponential Item Growth'!$B$6^A338</f>
        <v>337346799.48874474</v>
      </c>
      <c r="C338" s="14">
        <f t="shared" si="0"/>
        <v>18009.28</v>
      </c>
      <c r="D338" s="15">
        <f>A338*'Exponential Item Growth'!$B$4</f>
        <v>562.79</v>
      </c>
      <c r="E338" s="14">
        <f>IF(ISNA(VLOOKUP(A338,'Exponential Item Growth'!$A$10:$B$18,2,FALSE)),E337, E337*VLOOKUP(A338,'Exponential Item Growth'!$A$10:$B$18,2,FALSE))</f>
        <v>32</v>
      </c>
      <c r="F338" s="14">
        <f>C338*'Exponential Item Growth'!$B$21</f>
        <v>90046.399999999994</v>
      </c>
      <c r="G338" s="14">
        <f>'Exponential Item Growth'!$B$22*C338</f>
        <v>1350696</v>
      </c>
      <c r="H338" s="14">
        <f>'Exponential Item Growth'!$B$23*C338</f>
        <v>18009280</v>
      </c>
    </row>
    <row r="339" spans="1:8" ht="15.75" customHeight="1">
      <c r="A339" s="3">
        <v>338</v>
      </c>
      <c r="B339" s="13">
        <f>'Exponential Item Growth'!$B$5*'Exponential Item Growth'!$B$6^A339</f>
        <v>357587607.45806938</v>
      </c>
      <c r="C339" s="14">
        <f t="shared" si="0"/>
        <v>18062.719999999998</v>
      </c>
      <c r="D339" s="15">
        <f>A339*'Exponential Item Growth'!$B$4</f>
        <v>564.45999999999992</v>
      </c>
      <c r="E339" s="14">
        <f>IF(ISNA(VLOOKUP(A339,'Exponential Item Growth'!$A$10:$B$18,2,FALSE)),E338, E338*VLOOKUP(A339,'Exponential Item Growth'!$A$10:$B$18,2,FALSE))</f>
        <v>32</v>
      </c>
      <c r="F339" s="14">
        <f>C339*'Exponential Item Growth'!$B$21</f>
        <v>90313.599999999991</v>
      </c>
      <c r="G339" s="14">
        <f>'Exponential Item Growth'!$B$22*C339</f>
        <v>1354703.9999999998</v>
      </c>
      <c r="H339" s="14">
        <f>'Exponential Item Growth'!$B$23*C339</f>
        <v>18062719.999999996</v>
      </c>
    </row>
    <row r="340" spans="1:8" ht="15.75" customHeight="1">
      <c r="A340" s="3">
        <v>339</v>
      </c>
      <c r="B340" s="13">
        <f>'Exponential Item Growth'!$B$5*'Exponential Item Growth'!$B$6^A340</f>
        <v>379042863.90555358</v>
      </c>
      <c r="C340" s="14">
        <f t="shared" si="0"/>
        <v>18116.16</v>
      </c>
      <c r="D340" s="15">
        <f>A340*'Exponential Item Growth'!$B$4</f>
        <v>566.13</v>
      </c>
      <c r="E340" s="14">
        <f>IF(ISNA(VLOOKUP(A340,'Exponential Item Growth'!$A$10:$B$18,2,FALSE)),E339, E339*VLOOKUP(A340,'Exponential Item Growth'!$A$10:$B$18,2,FALSE))</f>
        <v>32</v>
      </c>
      <c r="F340" s="14">
        <f>C340*'Exponential Item Growth'!$B$21</f>
        <v>90580.800000000003</v>
      </c>
      <c r="G340" s="14">
        <f>'Exponential Item Growth'!$B$22*C340</f>
        <v>1358712</v>
      </c>
      <c r="H340" s="14">
        <f>'Exponential Item Growth'!$B$23*C340</f>
        <v>18116160</v>
      </c>
    </row>
    <row r="341" spans="1:8" ht="15.75" customHeight="1">
      <c r="A341" s="3">
        <v>340</v>
      </c>
      <c r="B341" s="13">
        <f>'Exponential Item Growth'!$B$5*'Exponential Item Growth'!$B$6^A341</f>
        <v>401785435.73988682</v>
      </c>
      <c r="C341" s="14">
        <f t="shared" si="0"/>
        <v>18169.599999999999</v>
      </c>
      <c r="D341" s="15">
        <f>A341*'Exponential Item Growth'!$B$4</f>
        <v>567.79999999999995</v>
      </c>
      <c r="E341" s="14">
        <f>IF(ISNA(VLOOKUP(A341,'Exponential Item Growth'!$A$10:$B$18,2,FALSE)),E340, E340*VLOOKUP(A341,'Exponential Item Growth'!$A$10:$B$18,2,FALSE))</f>
        <v>32</v>
      </c>
      <c r="F341" s="14">
        <f>C341*'Exponential Item Growth'!$B$21</f>
        <v>90848</v>
      </c>
      <c r="G341" s="14">
        <f>'Exponential Item Growth'!$B$22*C341</f>
        <v>1362720</v>
      </c>
      <c r="H341" s="14">
        <f>'Exponential Item Growth'!$B$23*C341</f>
        <v>18169600</v>
      </c>
    </row>
    <row r="342" spans="1:8" ht="15.75" customHeight="1">
      <c r="A342" s="3">
        <v>341</v>
      </c>
      <c r="B342" s="13">
        <f>'Exponential Item Growth'!$B$5*'Exponential Item Growth'!$B$6^A342</f>
        <v>425892561.88428009</v>
      </c>
      <c r="C342" s="14">
        <f t="shared" si="0"/>
        <v>18223.04</v>
      </c>
      <c r="D342" s="15">
        <f>A342*'Exponential Item Growth'!$B$4</f>
        <v>569.47</v>
      </c>
      <c r="E342" s="14">
        <f>IF(ISNA(VLOOKUP(A342,'Exponential Item Growth'!$A$10:$B$18,2,FALSE)),E341, E341*VLOOKUP(A342,'Exponential Item Growth'!$A$10:$B$18,2,FALSE))</f>
        <v>32</v>
      </c>
      <c r="F342" s="14">
        <f>C342*'Exponential Item Growth'!$B$21</f>
        <v>91115.200000000012</v>
      </c>
      <c r="G342" s="14">
        <f>'Exponential Item Growth'!$B$22*C342</f>
        <v>1366728</v>
      </c>
      <c r="H342" s="14">
        <f>'Exponential Item Growth'!$B$23*C342</f>
        <v>18223040</v>
      </c>
    </row>
    <row r="343" spans="1:8" ht="15.75" customHeight="1">
      <c r="A343" s="3">
        <v>342</v>
      </c>
      <c r="B343" s="13">
        <f>'Exponential Item Growth'!$B$5*'Exponential Item Growth'!$B$6^A343</f>
        <v>451446115.59733695</v>
      </c>
      <c r="C343" s="14">
        <f t="shared" si="0"/>
        <v>18276.48</v>
      </c>
      <c r="D343" s="15">
        <f>A343*'Exponential Item Growth'!$B$4</f>
        <v>571.14</v>
      </c>
      <c r="E343" s="14">
        <f>IF(ISNA(VLOOKUP(A343,'Exponential Item Growth'!$A$10:$B$18,2,FALSE)),E342, E342*VLOOKUP(A343,'Exponential Item Growth'!$A$10:$B$18,2,FALSE))</f>
        <v>32</v>
      </c>
      <c r="F343" s="14">
        <f>C343*'Exponential Item Growth'!$B$21</f>
        <v>91382.399999999994</v>
      </c>
      <c r="G343" s="14">
        <f>'Exponential Item Growth'!$B$22*C343</f>
        <v>1370736</v>
      </c>
      <c r="H343" s="14">
        <f>'Exponential Item Growth'!$B$23*C343</f>
        <v>18276480</v>
      </c>
    </row>
    <row r="344" spans="1:8" ht="15.75" customHeight="1">
      <c r="A344" s="3">
        <v>343</v>
      </c>
      <c r="B344" s="13">
        <f>'Exponential Item Growth'!$B$5*'Exponential Item Growth'!$B$6^A344</f>
        <v>478532882.5331772</v>
      </c>
      <c r="C344" s="14">
        <f t="shared" si="0"/>
        <v>18329.919999999998</v>
      </c>
      <c r="D344" s="15">
        <f>A344*'Exponential Item Growth'!$B$4</f>
        <v>572.80999999999995</v>
      </c>
      <c r="E344" s="14">
        <f>IF(ISNA(VLOOKUP(A344,'Exponential Item Growth'!$A$10:$B$18,2,FALSE)),E343, E343*VLOOKUP(A344,'Exponential Item Growth'!$A$10:$B$18,2,FALSE))</f>
        <v>32</v>
      </c>
      <c r="F344" s="14">
        <f>C344*'Exponential Item Growth'!$B$21</f>
        <v>91649.599999999991</v>
      </c>
      <c r="G344" s="14">
        <f>'Exponential Item Growth'!$B$22*C344</f>
        <v>1374743.9999999998</v>
      </c>
      <c r="H344" s="14">
        <f>'Exponential Item Growth'!$B$23*C344</f>
        <v>18329920</v>
      </c>
    </row>
    <row r="345" spans="1:8" ht="15.75" customHeight="1">
      <c r="A345" s="3">
        <v>344</v>
      </c>
      <c r="B345" s="13">
        <f>'Exponential Item Growth'!$B$5*'Exponential Item Growth'!$B$6^A345</f>
        <v>507244855.4851678</v>
      </c>
      <c r="C345" s="14">
        <f t="shared" si="0"/>
        <v>18383.36</v>
      </c>
      <c r="D345" s="15">
        <f>A345*'Exponential Item Growth'!$B$4</f>
        <v>574.48</v>
      </c>
      <c r="E345" s="14">
        <f>IF(ISNA(VLOOKUP(A345,'Exponential Item Growth'!$A$10:$B$18,2,FALSE)),E344, E344*VLOOKUP(A345,'Exponential Item Growth'!$A$10:$B$18,2,FALSE))</f>
        <v>32</v>
      </c>
      <c r="F345" s="14">
        <f>C345*'Exponential Item Growth'!$B$21</f>
        <v>91916.800000000003</v>
      </c>
      <c r="G345" s="14">
        <f>'Exponential Item Growth'!$B$22*C345</f>
        <v>1378752</v>
      </c>
      <c r="H345" s="14">
        <f>'Exponential Item Growth'!$B$23*C345</f>
        <v>18383360</v>
      </c>
    </row>
    <row r="346" spans="1:8" ht="15.75" customHeight="1">
      <c r="A346" s="3">
        <v>345</v>
      </c>
      <c r="B346" s="13">
        <f>'Exponential Item Growth'!$B$5*'Exponential Item Growth'!$B$6^A346</f>
        <v>537679546.81427777</v>
      </c>
      <c r="C346" s="14">
        <f t="shared" si="0"/>
        <v>18436.8</v>
      </c>
      <c r="D346" s="15">
        <f>A346*'Exponential Item Growth'!$B$4</f>
        <v>576.15</v>
      </c>
      <c r="E346" s="14">
        <f>IF(ISNA(VLOOKUP(A346,'Exponential Item Growth'!$A$10:$B$18,2,FALSE)),E345, E345*VLOOKUP(A346,'Exponential Item Growth'!$A$10:$B$18,2,FALSE))</f>
        <v>32</v>
      </c>
      <c r="F346" s="14">
        <f>C346*'Exponential Item Growth'!$B$21</f>
        <v>92184</v>
      </c>
      <c r="G346" s="14">
        <f>'Exponential Item Growth'!$B$22*C346</f>
        <v>1382760</v>
      </c>
      <c r="H346" s="14">
        <f>'Exponential Item Growth'!$B$23*C346</f>
        <v>18436800</v>
      </c>
    </row>
    <row r="347" spans="1:8" ht="15.75" customHeight="1">
      <c r="A347" s="3">
        <v>346</v>
      </c>
      <c r="B347" s="13">
        <f>'Exponential Item Growth'!$B$5*'Exponential Item Growth'!$B$6^A347</f>
        <v>569940319.62313461</v>
      </c>
      <c r="C347" s="14">
        <f t="shared" si="0"/>
        <v>18490.239999999998</v>
      </c>
      <c r="D347" s="15">
        <f>A347*'Exponential Item Growth'!$B$4</f>
        <v>577.81999999999994</v>
      </c>
      <c r="E347" s="14">
        <f>IF(ISNA(VLOOKUP(A347,'Exponential Item Growth'!$A$10:$B$18,2,FALSE)),E346, E346*VLOOKUP(A347,'Exponential Item Growth'!$A$10:$B$18,2,FALSE))</f>
        <v>32</v>
      </c>
      <c r="F347" s="14">
        <f>C347*'Exponential Item Growth'!$B$21</f>
        <v>92451.199999999983</v>
      </c>
      <c r="G347" s="14">
        <f>'Exponential Item Growth'!$B$22*C347</f>
        <v>1386767.9999999998</v>
      </c>
      <c r="H347" s="14">
        <f>'Exponential Item Growth'!$B$23*C347</f>
        <v>18490239.999999996</v>
      </c>
    </row>
    <row r="348" spans="1:8" ht="15.75" customHeight="1">
      <c r="A348" s="3">
        <v>347</v>
      </c>
      <c r="B348" s="13">
        <f>'Exponential Item Growth'!$B$5*'Exponential Item Growth'!$B$6^A348</f>
        <v>604136738.80052269</v>
      </c>
      <c r="C348" s="14">
        <f t="shared" si="0"/>
        <v>18543.68</v>
      </c>
      <c r="D348" s="15">
        <f>A348*'Exponential Item Growth'!$B$4</f>
        <v>579.49</v>
      </c>
      <c r="E348" s="14">
        <f>IF(ISNA(VLOOKUP(A348,'Exponential Item Growth'!$A$10:$B$18,2,FALSE)),E347, E347*VLOOKUP(A348,'Exponential Item Growth'!$A$10:$B$18,2,FALSE))</f>
        <v>32</v>
      </c>
      <c r="F348" s="14">
        <f>C348*'Exponential Item Growth'!$B$21</f>
        <v>92718.399999999994</v>
      </c>
      <c r="G348" s="14">
        <f>'Exponential Item Growth'!$B$22*C348</f>
        <v>1390776</v>
      </c>
      <c r="H348" s="14">
        <f>'Exponential Item Growth'!$B$23*C348</f>
        <v>18543680</v>
      </c>
    </row>
    <row r="349" spans="1:8" ht="15.75" customHeight="1">
      <c r="A349" s="3">
        <v>348</v>
      </c>
      <c r="B349" s="13">
        <f>'Exponential Item Growth'!$B$5*'Exponential Item Growth'!$B$6^A349</f>
        <v>640384943.12855411</v>
      </c>
      <c r="C349" s="14">
        <f t="shared" si="0"/>
        <v>18597.12</v>
      </c>
      <c r="D349" s="15">
        <f>A349*'Exponential Item Growth'!$B$4</f>
        <v>581.16</v>
      </c>
      <c r="E349" s="14">
        <f>IF(ISNA(VLOOKUP(A349,'Exponential Item Growth'!$A$10:$B$18,2,FALSE)),E348, E348*VLOOKUP(A349,'Exponential Item Growth'!$A$10:$B$18,2,FALSE))</f>
        <v>32</v>
      </c>
      <c r="F349" s="14">
        <f>C349*'Exponential Item Growth'!$B$21</f>
        <v>92985.599999999991</v>
      </c>
      <c r="G349" s="14">
        <f>'Exponential Item Growth'!$B$22*C349</f>
        <v>1394784</v>
      </c>
      <c r="H349" s="14">
        <f>'Exponential Item Growth'!$B$23*C349</f>
        <v>18597120</v>
      </c>
    </row>
    <row r="350" spans="1:8" ht="15.75" customHeight="1">
      <c r="A350" s="3">
        <v>349</v>
      </c>
      <c r="B350" s="13">
        <f>'Exponential Item Growth'!$B$5*'Exponential Item Growth'!$B$6^A350</f>
        <v>678808039.71626735</v>
      </c>
      <c r="C350" s="14">
        <f t="shared" si="0"/>
        <v>18650.559999999998</v>
      </c>
      <c r="D350" s="15">
        <f>A350*'Exponential Item Growth'!$B$4</f>
        <v>582.82999999999993</v>
      </c>
      <c r="E350" s="14">
        <f>IF(ISNA(VLOOKUP(A350,'Exponential Item Growth'!$A$10:$B$18,2,FALSE)),E349, E349*VLOOKUP(A350,'Exponential Item Growth'!$A$10:$B$18,2,FALSE))</f>
        <v>32</v>
      </c>
      <c r="F350" s="14">
        <f>C350*'Exponential Item Growth'!$B$21</f>
        <v>93252.799999999988</v>
      </c>
      <c r="G350" s="14">
        <f>'Exponential Item Growth'!$B$22*C350</f>
        <v>1398791.9999999998</v>
      </c>
      <c r="H350" s="14">
        <f>'Exponential Item Growth'!$B$23*C350</f>
        <v>18650559.999999996</v>
      </c>
    </row>
    <row r="351" spans="1:8" ht="15.75" customHeight="1">
      <c r="A351" s="3">
        <v>350</v>
      </c>
      <c r="B351" s="13">
        <f>'Exponential Item Growth'!$B$5*'Exponential Item Growth'!$B$6^A351</f>
        <v>719536522.09924352</v>
      </c>
      <c r="C351" s="14">
        <f t="shared" si="0"/>
        <v>18704</v>
      </c>
      <c r="D351" s="15">
        <f>A351*'Exponential Item Growth'!$B$4</f>
        <v>584.5</v>
      </c>
      <c r="E351" s="14">
        <f>IF(ISNA(VLOOKUP(A351,'Exponential Item Growth'!$A$10:$B$18,2,FALSE)),E350, E350*VLOOKUP(A351,'Exponential Item Growth'!$A$10:$B$18,2,FALSE))</f>
        <v>32</v>
      </c>
      <c r="F351" s="14">
        <f>C351*'Exponential Item Growth'!$B$21</f>
        <v>93520</v>
      </c>
      <c r="G351" s="14">
        <f>'Exponential Item Growth'!$B$22*C351</f>
        <v>1402800</v>
      </c>
      <c r="H351" s="14">
        <f>'Exponential Item Growth'!$B$23*C351</f>
        <v>18704000</v>
      </c>
    </row>
    <row r="352" spans="1:8" ht="15.75" customHeight="1">
      <c r="A352" s="3">
        <v>351</v>
      </c>
      <c r="B352" s="13">
        <f>'Exponential Item Growth'!$B$5*'Exponential Item Growth'!$B$6^A352</f>
        <v>762708713.42519832</v>
      </c>
      <c r="C352" s="14">
        <f t="shared" si="0"/>
        <v>18757.439999999999</v>
      </c>
      <c r="D352" s="15">
        <f>A352*'Exponential Item Growth'!$B$4</f>
        <v>586.16999999999996</v>
      </c>
      <c r="E352" s="14">
        <f>IF(ISNA(VLOOKUP(A352,'Exponential Item Growth'!$A$10:$B$18,2,FALSE)),E351, E351*VLOOKUP(A352,'Exponential Item Growth'!$A$10:$B$18,2,FALSE))</f>
        <v>32</v>
      </c>
      <c r="F352" s="14">
        <f>C352*'Exponential Item Growth'!$B$21</f>
        <v>93787.199999999997</v>
      </c>
      <c r="G352" s="14">
        <f>'Exponential Item Growth'!$B$22*C352</f>
        <v>1406808</v>
      </c>
      <c r="H352" s="14">
        <f>'Exponential Item Growth'!$B$23*C352</f>
        <v>18757440</v>
      </c>
    </row>
    <row r="353" spans="1:8" ht="15.75" customHeight="1">
      <c r="A353" s="3">
        <v>352</v>
      </c>
      <c r="B353" s="13">
        <f>'Exponential Item Growth'!$B$5*'Exponential Item Growth'!$B$6^A353</f>
        <v>808471236.23071003</v>
      </c>
      <c r="C353" s="14">
        <f t="shared" si="0"/>
        <v>18810.879999999997</v>
      </c>
      <c r="D353" s="15">
        <f>A353*'Exponential Item Growth'!$B$4</f>
        <v>587.83999999999992</v>
      </c>
      <c r="E353" s="14">
        <f>IF(ISNA(VLOOKUP(A353,'Exponential Item Growth'!$A$10:$B$18,2,FALSE)),E352, E352*VLOOKUP(A353,'Exponential Item Growth'!$A$10:$B$18,2,FALSE))</f>
        <v>32</v>
      </c>
      <c r="F353" s="14">
        <f>C353*'Exponential Item Growth'!$B$21</f>
        <v>94054.399999999994</v>
      </c>
      <c r="G353" s="14">
        <f>'Exponential Item Growth'!$B$22*C353</f>
        <v>1410815.9999999998</v>
      </c>
      <c r="H353" s="14">
        <f>'Exponential Item Growth'!$B$23*C353</f>
        <v>18810879.999999996</v>
      </c>
    </row>
    <row r="354" spans="1:8" ht="15.75" customHeight="1">
      <c r="A354" s="3">
        <v>353</v>
      </c>
      <c r="B354" s="13">
        <f>'Exponential Item Growth'!$B$5*'Exponential Item Growth'!$B$6^A354</f>
        <v>856979510.40455258</v>
      </c>
      <c r="C354" s="14">
        <f t="shared" si="0"/>
        <v>18864.32</v>
      </c>
      <c r="D354" s="15">
        <f>A354*'Exponential Item Growth'!$B$4</f>
        <v>589.51</v>
      </c>
      <c r="E354" s="14">
        <f>IF(ISNA(VLOOKUP(A354,'Exponential Item Growth'!$A$10:$B$18,2,FALSE)),E353, E353*VLOOKUP(A354,'Exponential Item Growth'!$A$10:$B$18,2,FALSE))</f>
        <v>32</v>
      </c>
      <c r="F354" s="14">
        <f>C354*'Exponential Item Growth'!$B$21</f>
        <v>94321.600000000006</v>
      </c>
      <c r="G354" s="14">
        <f>'Exponential Item Growth'!$B$22*C354</f>
        <v>1414824</v>
      </c>
      <c r="H354" s="14">
        <f>'Exponential Item Growth'!$B$23*C354</f>
        <v>18864320</v>
      </c>
    </row>
    <row r="355" spans="1:8" ht="15.75" customHeight="1">
      <c r="A355" s="3">
        <v>354</v>
      </c>
      <c r="B355" s="13">
        <f>'Exponential Item Growth'!$B$5*'Exponential Item Growth'!$B$6^A355</f>
        <v>908398281.02882588</v>
      </c>
      <c r="C355" s="14">
        <f t="shared" si="0"/>
        <v>18917.759999999998</v>
      </c>
      <c r="D355" s="15">
        <f>A355*'Exponential Item Growth'!$B$4</f>
        <v>591.17999999999995</v>
      </c>
      <c r="E355" s="14">
        <f>IF(ISNA(VLOOKUP(A355,'Exponential Item Growth'!$A$10:$B$18,2,FALSE)),E354, E354*VLOOKUP(A355,'Exponential Item Growth'!$A$10:$B$18,2,FALSE))</f>
        <v>32</v>
      </c>
      <c r="F355" s="14">
        <f>C355*'Exponential Item Growth'!$B$21</f>
        <v>94588.799999999988</v>
      </c>
      <c r="G355" s="14">
        <f>'Exponential Item Growth'!$B$22*C355</f>
        <v>1418831.9999999998</v>
      </c>
      <c r="H355" s="14">
        <f>'Exponential Item Growth'!$B$23*C355</f>
        <v>18917760</v>
      </c>
    </row>
    <row r="356" spans="1:8" ht="15.75" customHeight="1">
      <c r="A356" s="3">
        <v>355</v>
      </c>
      <c r="B356" s="13">
        <f>'Exponential Item Growth'!$B$5*'Exponential Item Growth'!$B$6^A356</f>
        <v>962902177.8905555</v>
      </c>
      <c r="C356" s="14">
        <f t="shared" si="0"/>
        <v>18971.2</v>
      </c>
      <c r="D356" s="15">
        <f>A356*'Exponential Item Growth'!$B$4</f>
        <v>592.85</v>
      </c>
      <c r="E356" s="14">
        <f>IF(ISNA(VLOOKUP(A356,'Exponential Item Growth'!$A$10:$B$18,2,FALSE)),E355, E355*VLOOKUP(A356,'Exponential Item Growth'!$A$10:$B$18,2,FALSE))</f>
        <v>32</v>
      </c>
      <c r="F356" s="14">
        <f>C356*'Exponential Item Growth'!$B$21</f>
        <v>94856</v>
      </c>
      <c r="G356" s="14">
        <f>'Exponential Item Growth'!$B$22*C356</f>
        <v>1422840</v>
      </c>
      <c r="H356" s="14">
        <f>'Exponential Item Growth'!$B$23*C356</f>
        <v>18971200</v>
      </c>
    </row>
    <row r="357" spans="1:8" ht="15.75" customHeight="1">
      <c r="A357" s="3">
        <v>356</v>
      </c>
      <c r="B357" s="13">
        <f>'Exponential Item Growth'!$B$5*'Exponential Item Growth'!$B$6^A357</f>
        <v>1020676308.5639889</v>
      </c>
      <c r="C357" s="14">
        <f t="shared" si="0"/>
        <v>19024.64</v>
      </c>
      <c r="D357" s="15">
        <f>A357*'Exponential Item Growth'!$B$4</f>
        <v>594.52</v>
      </c>
      <c r="E357" s="14">
        <f>IF(ISNA(VLOOKUP(A357,'Exponential Item Growth'!$A$10:$B$18,2,FALSE)),E356, E356*VLOOKUP(A357,'Exponential Item Growth'!$A$10:$B$18,2,FALSE))</f>
        <v>32</v>
      </c>
      <c r="F357" s="14">
        <f>C357*'Exponential Item Growth'!$B$21</f>
        <v>95123.199999999997</v>
      </c>
      <c r="G357" s="14">
        <f>'Exponential Item Growth'!$B$22*C357</f>
        <v>1426848</v>
      </c>
      <c r="H357" s="14">
        <f>'Exponential Item Growth'!$B$23*C357</f>
        <v>19024640</v>
      </c>
    </row>
    <row r="358" spans="1:8" ht="15.75" customHeight="1">
      <c r="A358" s="3">
        <v>357</v>
      </c>
      <c r="B358" s="13">
        <f>'Exponential Item Growth'!$B$5*'Exponential Item Growth'!$B$6^A358</f>
        <v>1081916887.0778282</v>
      </c>
      <c r="C358" s="14">
        <f t="shared" si="0"/>
        <v>19078.079999999998</v>
      </c>
      <c r="D358" s="15">
        <f>A358*'Exponential Item Growth'!$B$4</f>
        <v>596.18999999999994</v>
      </c>
      <c r="E358" s="14">
        <f>IF(ISNA(VLOOKUP(A358,'Exponential Item Growth'!$A$10:$B$18,2,FALSE)),E357, E357*VLOOKUP(A358,'Exponential Item Growth'!$A$10:$B$18,2,FALSE))</f>
        <v>32</v>
      </c>
      <c r="F358" s="14">
        <f>C358*'Exponential Item Growth'!$B$21</f>
        <v>95390.399999999994</v>
      </c>
      <c r="G358" s="14">
        <f>'Exponential Item Growth'!$B$22*C358</f>
        <v>1430855.9999999998</v>
      </c>
      <c r="H358" s="14">
        <f>'Exponential Item Growth'!$B$23*C358</f>
        <v>19078079.999999996</v>
      </c>
    </row>
    <row r="359" spans="1:8" ht="15.75" customHeight="1">
      <c r="A359" s="3">
        <v>358</v>
      </c>
      <c r="B359" s="13">
        <f>'Exponential Item Growth'!$B$5*'Exponential Item Growth'!$B$6^A359</f>
        <v>1146831900.3024981</v>
      </c>
      <c r="C359" s="14">
        <f t="shared" si="0"/>
        <v>19131.52</v>
      </c>
      <c r="D359" s="15">
        <f>A359*'Exponential Item Growth'!$B$4</f>
        <v>597.86</v>
      </c>
      <c r="E359" s="14">
        <f>IF(ISNA(VLOOKUP(A359,'Exponential Item Growth'!$A$10:$B$18,2,FALSE)),E358, E358*VLOOKUP(A359,'Exponential Item Growth'!$A$10:$B$18,2,FALSE))</f>
        <v>32</v>
      </c>
      <c r="F359" s="14">
        <f>C359*'Exponential Item Growth'!$B$21</f>
        <v>95657.600000000006</v>
      </c>
      <c r="G359" s="14">
        <f>'Exponential Item Growth'!$B$22*C359</f>
        <v>1434864</v>
      </c>
      <c r="H359" s="14">
        <f>'Exponential Item Growth'!$B$23*C359</f>
        <v>19131520</v>
      </c>
    </row>
    <row r="360" spans="1:8" ht="15.75" customHeight="1">
      <c r="A360" s="3">
        <v>359</v>
      </c>
      <c r="B360" s="13">
        <f>'Exponential Item Growth'!$B$5*'Exponential Item Growth'!$B$6^A360</f>
        <v>1215641814.3206482</v>
      </c>
      <c r="C360" s="14">
        <f t="shared" si="0"/>
        <v>19184.96</v>
      </c>
      <c r="D360" s="15">
        <f>A360*'Exponential Item Growth'!$B$4</f>
        <v>599.53</v>
      </c>
      <c r="E360" s="14">
        <f>IF(ISNA(VLOOKUP(A360,'Exponential Item Growth'!$A$10:$B$18,2,FALSE)),E359, E359*VLOOKUP(A360,'Exponential Item Growth'!$A$10:$B$18,2,FALSE))</f>
        <v>32</v>
      </c>
      <c r="F360" s="14">
        <f>C360*'Exponential Item Growth'!$B$21</f>
        <v>95924.799999999988</v>
      </c>
      <c r="G360" s="14">
        <f>'Exponential Item Growth'!$B$22*C360</f>
        <v>1438872</v>
      </c>
      <c r="H360" s="14">
        <f>'Exponential Item Growth'!$B$23*C360</f>
        <v>19184960</v>
      </c>
    </row>
    <row r="361" spans="1:8" ht="15.75" customHeight="1">
      <c r="A361" s="3">
        <v>360</v>
      </c>
      <c r="B361" s="13">
        <f>'Exponential Item Growth'!$B$5*'Exponential Item Growth'!$B$6^A361</f>
        <v>1288580323.1798868</v>
      </c>
      <c r="C361" s="14">
        <f t="shared" si="0"/>
        <v>19238.399999999998</v>
      </c>
      <c r="D361" s="15">
        <f>A361*'Exponential Item Growth'!$B$4</f>
        <v>601.19999999999993</v>
      </c>
      <c r="E361" s="14">
        <f>IF(ISNA(VLOOKUP(A361,'Exponential Item Growth'!$A$10:$B$18,2,FALSE)),E360, E360*VLOOKUP(A361,'Exponential Item Growth'!$A$10:$B$18,2,FALSE))</f>
        <v>32</v>
      </c>
      <c r="F361" s="14">
        <f>C361*'Exponential Item Growth'!$B$21</f>
        <v>96191.999999999985</v>
      </c>
      <c r="G361" s="14">
        <f>'Exponential Item Growth'!$B$22*C361</f>
        <v>1442879.9999999998</v>
      </c>
      <c r="H361" s="14">
        <f>'Exponential Item Growth'!$B$23*C361</f>
        <v>19238399.999999996</v>
      </c>
    </row>
    <row r="362" spans="1:8" ht="15.75" customHeight="1">
      <c r="A362" s="3">
        <v>361</v>
      </c>
      <c r="B362" s="13">
        <f>'Exponential Item Growth'!$B$5*'Exponential Item Growth'!$B$6^A362</f>
        <v>1365895142.5706801</v>
      </c>
      <c r="C362" s="14">
        <f t="shared" si="0"/>
        <v>19291.84</v>
      </c>
      <c r="D362" s="15">
        <f>A362*'Exponential Item Growth'!$B$4</f>
        <v>602.87</v>
      </c>
      <c r="E362" s="14">
        <f>IF(ISNA(VLOOKUP(A362,'Exponential Item Growth'!$A$10:$B$18,2,FALSE)),E361, E361*VLOOKUP(A362,'Exponential Item Growth'!$A$10:$B$18,2,FALSE))</f>
        <v>32</v>
      </c>
      <c r="F362" s="14">
        <f>C362*'Exponential Item Growth'!$B$21</f>
        <v>96459.199999999997</v>
      </c>
      <c r="G362" s="14">
        <f>'Exponential Item Growth'!$B$22*C362</f>
        <v>1446888</v>
      </c>
      <c r="H362" s="14">
        <f>'Exponential Item Growth'!$B$23*C362</f>
        <v>19291840</v>
      </c>
    </row>
    <row r="363" spans="1:8" ht="15.75" customHeight="1">
      <c r="A363" s="3">
        <v>362</v>
      </c>
      <c r="B363" s="13">
        <f>'Exponential Item Growth'!$B$5*'Exponential Item Growth'!$B$6^A363</f>
        <v>1447848851.1249211</v>
      </c>
      <c r="C363" s="14">
        <f t="shared" si="0"/>
        <v>19345.28</v>
      </c>
      <c r="D363" s="15">
        <f>A363*'Exponential Item Growth'!$B$4</f>
        <v>604.54</v>
      </c>
      <c r="E363" s="14">
        <f>IF(ISNA(VLOOKUP(A363,'Exponential Item Growth'!$A$10:$B$18,2,FALSE)),E362, E362*VLOOKUP(A363,'Exponential Item Growth'!$A$10:$B$18,2,FALSE))</f>
        <v>32</v>
      </c>
      <c r="F363" s="14">
        <f>C363*'Exponential Item Growth'!$B$21</f>
        <v>96726.399999999994</v>
      </c>
      <c r="G363" s="14">
        <f>'Exponential Item Growth'!$B$22*C363</f>
        <v>1450896</v>
      </c>
      <c r="H363" s="14">
        <f>'Exponential Item Growth'!$B$23*C363</f>
        <v>19345280</v>
      </c>
    </row>
    <row r="364" spans="1:8" ht="15.75" customHeight="1">
      <c r="A364" s="3">
        <v>363</v>
      </c>
      <c r="B364" s="13">
        <f>'Exponential Item Growth'!$B$5*'Exponential Item Growth'!$B$6^A364</f>
        <v>1534719782.1924164</v>
      </c>
      <c r="C364" s="14">
        <f t="shared" si="0"/>
        <v>19398.719999999998</v>
      </c>
      <c r="D364" s="15">
        <f>A364*'Exponential Item Growth'!$B$4</f>
        <v>606.20999999999992</v>
      </c>
      <c r="E364" s="14">
        <f>IF(ISNA(VLOOKUP(A364,'Exponential Item Growth'!$A$10:$B$18,2,FALSE)),E363, E363*VLOOKUP(A364,'Exponential Item Growth'!$A$10:$B$18,2,FALSE))</f>
        <v>32</v>
      </c>
      <c r="F364" s="14">
        <f>C364*'Exponential Item Growth'!$B$21</f>
        <v>96993.599999999991</v>
      </c>
      <c r="G364" s="14">
        <f>'Exponential Item Growth'!$B$22*C364</f>
        <v>1454903.9999999998</v>
      </c>
      <c r="H364" s="14">
        <f>'Exponential Item Growth'!$B$23*C364</f>
        <v>19398719.999999996</v>
      </c>
    </row>
    <row r="365" spans="1:8" ht="15.75" customHeight="1">
      <c r="A365" s="3">
        <v>364</v>
      </c>
      <c r="B365" s="13">
        <f>'Exponential Item Growth'!$B$5*'Exponential Item Growth'!$B$6^A365</f>
        <v>1626802969.1239617</v>
      </c>
      <c r="C365" s="14">
        <f t="shared" si="0"/>
        <v>19452.16</v>
      </c>
      <c r="D365" s="15">
        <f>A365*'Exponential Item Growth'!$B$4</f>
        <v>607.88</v>
      </c>
      <c r="E365" s="14">
        <f>IF(ISNA(VLOOKUP(A365,'Exponential Item Growth'!$A$10:$B$18,2,FALSE)),E364, E364*VLOOKUP(A365,'Exponential Item Growth'!$A$10:$B$18,2,FALSE))</f>
        <v>32</v>
      </c>
      <c r="F365" s="14">
        <f>C365*'Exponential Item Growth'!$B$21</f>
        <v>97260.800000000003</v>
      </c>
      <c r="G365" s="14">
        <f>'Exponential Item Growth'!$B$22*C365</f>
        <v>1458912</v>
      </c>
      <c r="H365" s="14">
        <f>'Exponential Item Growth'!$B$23*C365</f>
        <v>19452160</v>
      </c>
    </row>
    <row r="366" spans="1:8" ht="15.75" customHeight="1">
      <c r="A366" s="3">
        <v>365</v>
      </c>
      <c r="B366" s="13">
        <f>'Exponential Item Growth'!$B$5*'Exponential Item Growth'!$B$6^A366</f>
        <v>1724411147.2713995</v>
      </c>
      <c r="C366" s="14">
        <f t="shared" si="0"/>
        <v>19505.599999999999</v>
      </c>
      <c r="D366" s="15">
        <f>A366*'Exponential Item Growth'!$B$4</f>
        <v>609.54999999999995</v>
      </c>
      <c r="E366" s="14">
        <f>IF(ISNA(VLOOKUP(A366,'Exponential Item Growth'!$A$10:$B$18,2,FALSE)),E365, E365*VLOOKUP(A366,'Exponential Item Growth'!$A$10:$B$18,2,FALSE))</f>
        <v>32</v>
      </c>
      <c r="F366" s="14">
        <f>C366*'Exponential Item Growth'!$B$21</f>
        <v>97528</v>
      </c>
      <c r="G366" s="14">
        <f>'Exponential Item Growth'!$B$22*C366</f>
        <v>1462920</v>
      </c>
      <c r="H366" s="14">
        <f>'Exponential Item Growth'!$B$23*C366</f>
        <v>19505600</v>
      </c>
    </row>
    <row r="367" spans="1:8" ht="15.75" customHeight="1">
      <c r="A367" s="3">
        <v>366</v>
      </c>
      <c r="B367" s="13">
        <f>'Exponential Item Growth'!$B$5*'Exponential Item Growth'!$B$6^A367</f>
        <v>1827875816.1076837</v>
      </c>
      <c r="C367" s="14">
        <f t="shared" si="0"/>
        <v>19559.04</v>
      </c>
      <c r="D367" s="15">
        <f>A367*'Exponential Item Growth'!$B$4</f>
        <v>611.22</v>
      </c>
      <c r="E367" s="14">
        <f>IF(ISNA(VLOOKUP(A367,'Exponential Item Growth'!$A$10:$B$18,2,FALSE)),E366, E366*VLOOKUP(A367,'Exponential Item Growth'!$A$10:$B$18,2,FALSE))</f>
        <v>32</v>
      </c>
      <c r="F367" s="14">
        <f>C367*'Exponential Item Growth'!$B$21</f>
        <v>97795.200000000012</v>
      </c>
      <c r="G367" s="14">
        <f>'Exponential Item Growth'!$B$22*C367</f>
        <v>1466928</v>
      </c>
      <c r="H367" s="14">
        <f>'Exponential Item Growth'!$B$23*C367</f>
        <v>19559040</v>
      </c>
    </row>
    <row r="368" spans="1:8" ht="15.75" customHeight="1">
      <c r="A368" s="3">
        <v>367</v>
      </c>
      <c r="B368" s="13">
        <f>'Exponential Item Growth'!$B$5*'Exponential Item Growth'!$B$6^A368</f>
        <v>1937548365.0741448</v>
      </c>
      <c r="C368" s="14">
        <f t="shared" si="0"/>
        <v>19612.48</v>
      </c>
      <c r="D368" s="15">
        <f>A368*'Exponential Item Growth'!$B$4</f>
        <v>612.89</v>
      </c>
      <c r="E368" s="14">
        <f>IF(ISNA(VLOOKUP(A368,'Exponential Item Growth'!$A$10:$B$18,2,FALSE)),E367, E367*VLOOKUP(A368,'Exponential Item Growth'!$A$10:$B$18,2,FALSE))</f>
        <v>32</v>
      </c>
      <c r="F368" s="14">
        <f>C368*'Exponential Item Growth'!$B$21</f>
        <v>98062.399999999994</v>
      </c>
      <c r="G368" s="14">
        <f>'Exponential Item Growth'!$B$22*C368</f>
        <v>1470936</v>
      </c>
      <c r="H368" s="14">
        <f>'Exponential Item Growth'!$B$23*C368</f>
        <v>19612480</v>
      </c>
    </row>
    <row r="369" spans="1:8" ht="15.75" customHeight="1">
      <c r="A369" s="3">
        <v>368</v>
      </c>
      <c r="B369" s="13">
        <f>'Exponential Item Growth'!$B$5*'Exponential Item Growth'!$B$6^A369</f>
        <v>2053801266.9785931</v>
      </c>
      <c r="C369" s="14">
        <f t="shared" si="0"/>
        <v>19665.919999999998</v>
      </c>
      <c r="D369" s="15">
        <f>A369*'Exponential Item Growth'!$B$4</f>
        <v>614.55999999999995</v>
      </c>
      <c r="E369" s="14">
        <f>IF(ISNA(VLOOKUP(A369,'Exponential Item Growth'!$A$10:$B$18,2,FALSE)),E368, E368*VLOOKUP(A369,'Exponential Item Growth'!$A$10:$B$18,2,FALSE))</f>
        <v>32</v>
      </c>
      <c r="F369" s="14">
        <f>C369*'Exponential Item Growth'!$B$21</f>
        <v>98329.599999999991</v>
      </c>
      <c r="G369" s="14">
        <f>'Exponential Item Growth'!$B$22*C369</f>
        <v>1474943.9999999998</v>
      </c>
      <c r="H369" s="14">
        <f>'Exponential Item Growth'!$B$23*C369</f>
        <v>19665920</v>
      </c>
    </row>
    <row r="370" spans="1:8" ht="15.75" customHeight="1">
      <c r="A370" s="3">
        <v>369</v>
      </c>
      <c r="B370" s="13">
        <f>'Exponential Item Growth'!$B$5*'Exponential Item Growth'!$B$6^A370</f>
        <v>2177029342.9973092</v>
      </c>
      <c r="C370" s="14">
        <f t="shared" si="0"/>
        <v>19719.36</v>
      </c>
      <c r="D370" s="15">
        <f>A370*'Exponential Item Growth'!$B$4</f>
        <v>616.23</v>
      </c>
      <c r="E370" s="14">
        <f>IF(ISNA(VLOOKUP(A370,'Exponential Item Growth'!$A$10:$B$18,2,FALSE)),E369, E369*VLOOKUP(A370,'Exponential Item Growth'!$A$10:$B$18,2,FALSE))</f>
        <v>32</v>
      </c>
      <c r="F370" s="14">
        <f>C370*'Exponential Item Growth'!$B$21</f>
        <v>98596.800000000003</v>
      </c>
      <c r="G370" s="14">
        <f>'Exponential Item Growth'!$B$22*C370</f>
        <v>1478952</v>
      </c>
      <c r="H370" s="14">
        <f>'Exponential Item Growth'!$B$23*C370</f>
        <v>19719360</v>
      </c>
    </row>
    <row r="371" spans="1:8" ht="15.75" customHeight="1">
      <c r="A371" s="3">
        <v>370</v>
      </c>
      <c r="B371" s="13">
        <f>'Exponential Item Growth'!$B$5*'Exponential Item Growth'!$B$6^A371</f>
        <v>2307651103.5771475</v>
      </c>
      <c r="C371" s="14">
        <f t="shared" si="0"/>
        <v>19772.8</v>
      </c>
      <c r="D371" s="15">
        <f>A371*'Exponential Item Growth'!$B$4</f>
        <v>617.9</v>
      </c>
      <c r="E371" s="14">
        <f>IF(ISNA(VLOOKUP(A371,'Exponential Item Growth'!$A$10:$B$18,2,FALSE)),E370, E370*VLOOKUP(A371,'Exponential Item Growth'!$A$10:$B$18,2,FALSE))</f>
        <v>32</v>
      </c>
      <c r="F371" s="14">
        <f>C371*'Exponential Item Growth'!$B$21</f>
        <v>98864</v>
      </c>
      <c r="G371" s="14">
        <f>'Exponential Item Growth'!$B$22*C371</f>
        <v>1482960</v>
      </c>
      <c r="H371" s="14">
        <f>'Exponential Item Growth'!$B$23*C371</f>
        <v>19772800</v>
      </c>
    </row>
    <row r="372" spans="1:8" ht="15.75" customHeight="1">
      <c r="A372" s="3">
        <v>371</v>
      </c>
      <c r="B372" s="13">
        <f>'Exponential Item Growth'!$B$5*'Exponential Item Growth'!$B$6^A372</f>
        <v>2446110169.7917767</v>
      </c>
      <c r="C372" s="14">
        <f t="shared" si="0"/>
        <v>19826.239999999998</v>
      </c>
      <c r="D372" s="15">
        <f>A372*'Exponential Item Growth'!$B$4</f>
        <v>619.56999999999994</v>
      </c>
      <c r="E372" s="14">
        <f>IF(ISNA(VLOOKUP(A372,'Exponential Item Growth'!$A$10:$B$18,2,FALSE)),E371, E371*VLOOKUP(A372,'Exponential Item Growth'!$A$10:$B$18,2,FALSE))</f>
        <v>32</v>
      </c>
      <c r="F372" s="14">
        <f>C372*'Exponential Item Growth'!$B$21</f>
        <v>99131.199999999983</v>
      </c>
      <c r="G372" s="14">
        <f>'Exponential Item Growth'!$B$22*C372</f>
        <v>1486967.9999999998</v>
      </c>
      <c r="H372" s="14">
        <f>'Exponential Item Growth'!$B$23*C372</f>
        <v>19826239.999999996</v>
      </c>
    </row>
    <row r="373" spans="1:8" ht="15.75" customHeight="1">
      <c r="A373" s="3">
        <v>372</v>
      </c>
      <c r="B373" s="13">
        <f>'Exponential Item Growth'!$B$5*'Exponential Item Growth'!$B$6^A373</f>
        <v>2592876779.9792833</v>
      </c>
      <c r="C373" s="14">
        <f t="shared" si="0"/>
        <v>19879.68</v>
      </c>
      <c r="D373" s="15">
        <f>A373*'Exponential Item Growth'!$B$4</f>
        <v>621.24</v>
      </c>
      <c r="E373" s="14">
        <f>IF(ISNA(VLOOKUP(A373,'Exponential Item Growth'!$A$10:$B$18,2,FALSE)),E372, E372*VLOOKUP(A373,'Exponential Item Growth'!$A$10:$B$18,2,FALSE))</f>
        <v>32</v>
      </c>
      <c r="F373" s="14">
        <f>C373*'Exponential Item Growth'!$B$21</f>
        <v>99398.399999999994</v>
      </c>
      <c r="G373" s="14">
        <f>'Exponential Item Growth'!$B$22*C373</f>
        <v>1490976</v>
      </c>
      <c r="H373" s="14">
        <f>'Exponential Item Growth'!$B$23*C373</f>
        <v>19879680</v>
      </c>
    </row>
    <row r="374" spans="1:8" ht="15.75" customHeight="1">
      <c r="A374" s="3">
        <v>373</v>
      </c>
      <c r="B374" s="13">
        <f>'Exponential Item Growth'!$B$5*'Exponential Item Growth'!$B$6^A374</f>
        <v>2748449386.7780409</v>
      </c>
      <c r="C374" s="14">
        <f t="shared" si="0"/>
        <v>19933.12</v>
      </c>
      <c r="D374" s="15">
        <f>A374*'Exponential Item Growth'!$B$4</f>
        <v>622.91</v>
      </c>
      <c r="E374" s="14">
        <f>IF(ISNA(VLOOKUP(A374,'Exponential Item Growth'!$A$10:$B$18,2,FALSE)),E373, E373*VLOOKUP(A374,'Exponential Item Growth'!$A$10:$B$18,2,FALSE))</f>
        <v>32</v>
      </c>
      <c r="F374" s="14">
        <f>C374*'Exponential Item Growth'!$B$21</f>
        <v>99665.599999999991</v>
      </c>
      <c r="G374" s="14">
        <f>'Exponential Item Growth'!$B$22*C374</f>
        <v>1494984</v>
      </c>
      <c r="H374" s="14">
        <f>'Exponential Item Growth'!$B$23*C374</f>
        <v>19933120</v>
      </c>
    </row>
    <row r="375" spans="1:8" ht="15.75" customHeight="1">
      <c r="A375" s="3">
        <v>374</v>
      </c>
      <c r="B375" s="13">
        <f>'Exponential Item Growth'!$B$5*'Exponential Item Growth'!$B$6^A375</f>
        <v>2913356349.9847236</v>
      </c>
      <c r="C375" s="14">
        <f t="shared" si="0"/>
        <v>19986.559999999998</v>
      </c>
      <c r="D375" s="15">
        <f>A375*'Exponential Item Growth'!$B$4</f>
        <v>624.57999999999993</v>
      </c>
      <c r="E375" s="14">
        <f>IF(ISNA(VLOOKUP(A375,'Exponential Item Growth'!$A$10:$B$18,2,FALSE)),E374, E374*VLOOKUP(A375,'Exponential Item Growth'!$A$10:$B$18,2,FALSE))</f>
        <v>32</v>
      </c>
      <c r="F375" s="14">
        <f>C375*'Exponential Item Growth'!$B$21</f>
        <v>99932.799999999988</v>
      </c>
      <c r="G375" s="14">
        <f>'Exponential Item Growth'!$B$22*C375</f>
        <v>1498991.9999999998</v>
      </c>
      <c r="H375" s="14">
        <f>'Exponential Item Growth'!$B$23*C375</f>
        <v>19986559.999999996</v>
      </c>
    </row>
    <row r="376" spans="1:8" ht="15.75" customHeight="1">
      <c r="A376" s="3">
        <v>375</v>
      </c>
      <c r="B376" s="13">
        <f>'Exponential Item Growth'!$B$5*'Exponential Item Growth'!$B$6^A376</f>
        <v>3088157730.9838066</v>
      </c>
      <c r="C376" s="14">
        <f t="shared" si="0"/>
        <v>20040</v>
      </c>
      <c r="D376" s="15">
        <f>A376*'Exponential Item Growth'!$B$4</f>
        <v>626.25</v>
      </c>
      <c r="E376" s="14">
        <f>IF(ISNA(VLOOKUP(A376,'Exponential Item Growth'!$A$10:$B$18,2,FALSE)),E375, E375*VLOOKUP(A376,'Exponential Item Growth'!$A$10:$B$18,2,FALSE))</f>
        <v>32</v>
      </c>
      <c r="F376" s="14">
        <f>C376*'Exponential Item Growth'!$B$21</f>
        <v>100200</v>
      </c>
      <c r="G376" s="14">
        <f>'Exponential Item Growth'!$B$22*C376</f>
        <v>1503000</v>
      </c>
      <c r="H376" s="14">
        <f>'Exponential Item Growth'!$B$23*C376</f>
        <v>20040000</v>
      </c>
    </row>
    <row r="377" spans="1:8" ht="15.75" customHeight="1">
      <c r="A377" s="3">
        <v>376</v>
      </c>
      <c r="B377" s="13">
        <f>'Exponential Item Growth'!$B$5*'Exponential Item Growth'!$B$6^A377</f>
        <v>3273447194.8428349</v>
      </c>
      <c r="C377" s="14">
        <f t="shared" si="0"/>
        <v>20093.439999999999</v>
      </c>
      <c r="D377" s="15">
        <f>A377*'Exponential Item Growth'!$B$4</f>
        <v>627.91999999999996</v>
      </c>
      <c r="E377" s="14">
        <f>IF(ISNA(VLOOKUP(A377,'Exponential Item Growth'!$A$10:$B$18,2,FALSE)),E376, E376*VLOOKUP(A377,'Exponential Item Growth'!$A$10:$B$18,2,FALSE))</f>
        <v>32</v>
      </c>
      <c r="F377" s="14">
        <f>C377*'Exponential Item Growth'!$B$21</f>
        <v>100467.2</v>
      </c>
      <c r="G377" s="14">
        <f>'Exponential Item Growth'!$B$22*C377</f>
        <v>1507008</v>
      </c>
      <c r="H377" s="14">
        <f>'Exponential Item Growth'!$B$23*C377</f>
        <v>20093440</v>
      </c>
    </row>
    <row r="378" spans="1:8" ht="15.75" customHeight="1">
      <c r="A378" s="3">
        <v>377</v>
      </c>
      <c r="B378" s="13">
        <f>'Exponential Item Growth'!$B$5*'Exponential Item Growth'!$B$6^A378</f>
        <v>3469854026.5334053</v>
      </c>
      <c r="C378" s="14">
        <f t="shared" si="0"/>
        <v>20146.879999999997</v>
      </c>
      <c r="D378" s="15">
        <f>A378*'Exponential Item Growth'!$B$4</f>
        <v>629.58999999999992</v>
      </c>
      <c r="E378" s="14">
        <f>IF(ISNA(VLOOKUP(A378,'Exponential Item Growth'!$A$10:$B$18,2,FALSE)),E377, E377*VLOOKUP(A378,'Exponential Item Growth'!$A$10:$B$18,2,FALSE))</f>
        <v>32</v>
      </c>
      <c r="F378" s="14">
        <f>C378*'Exponential Item Growth'!$B$21</f>
        <v>100734.39999999999</v>
      </c>
      <c r="G378" s="14">
        <f>'Exponential Item Growth'!$B$22*C378</f>
        <v>1511015.9999999998</v>
      </c>
      <c r="H378" s="14">
        <f>'Exponential Item Growth'!$B$23*C378</f>
        <v>20146879.999999996</v>
      </c>
    </row>
    <row r="379" spans="1:8" ht="15.75" customHeight="1">
      <c r="A379" s="3">
        <v>378</v>
      </c>
      <c r="B379" s="13">
        <f>'Exponential Item Growth'!$B$5*'Exponential Item Growth'!$B$6^A379</f>
        <v>3678045268.1254096</v>
      </c>
      <c r="C379" s="14">
        <f t="shared" si="0"/>
        <v>20200.32</v>
      </c>
      <c r="D379" s="15">
        <f>A379*'Exponential Item Growth'!$B$4</f>
        <v>631.26</v>
      </c>
      <c r="E379" s="14">
        <f>IF(ISNA(VLOOKUP(A379,'Exponential Item Growth'!$A$10:$B$18,2,FALSE)),E378, E378*VLOOKUP(A379,'Exponential Item Growth'!$A$10:$B$18,2,FALSE))</f>
        <v>32</v>
      </c>
      <c r="F379" s="14">
        <f>C379*'Exponential Item Growth'!$B$21</f>
        <v>101001.60000000001</v>
      </c>
      <c r="G379" s="14">
        <f>'Exponential Item Growth'!$B$22*C379</f>
        <v>1515024</v>
      </c>
      <c r="H379" s="14">
        <f>'Exponential Item Growth'!$B$23*C379</f>
        <v>20200320</v>
      </c>
    </row>
    <row r="380" spans="1:8" ht="15.75" customHeight="1">
      <c r="A380" s="3">
        <v>379</v>
      </c>
      <c r="B380" s="13">
        <f>'Exponential Item Growth'!$B$5*'Exponential Item Growth'!$B$6^A380</f>
        <v>3898727984.212935</v>
      </c>
      <c r="C380" s="14">
        <f t="shared" si="0"/>
        <v>20253.759999999998</v>
      </c>
      <c r="D380" s="15">
        <f>A380*'Exponential Item Growth'!$B$4</f>
        <v>632.92999999999995</v>
      </c>
      <c r="E380" s="14">
        <f>IF(ISNA(VLOOKUP(A380,'Exponential Item Growth'!$A$10:$B$18,2,FALSE)),E379, E379*VLOOKUP(A380,'Exponential Item Growth'!$A$10:$B$18,2,FALSE))</f>
        <v>32</v>
      </c>
      <c r="F380" s="14">
        <f>C380*'Exponential Item Growth'!$B$21</f>
        <v>101268.79999999999</v>
      </c>
      <c r="G380" s="14">
        <f>'Exponential Item Growth'!$B$22*C380</f>
        <v>1519031.9999999998</v>
      </c>
      <c r="H380" s="14">
        <f>'Exponential Item Growth'!$B$23*C380</f>
        <v>20253760</v>
      </c>
    </row>
    <row r="381" spans="1:8" ht="15.75" customHeight="1">
      <c r="A381" s="3">
        <v>380</v>
      </c>
      <c r="B381" s="13">
        <f>'Exponential Item Growth'!$B$5*'Exponential Item Growth'!$B$6^A381</f>
        <v>4132651663.2657104</v>
      </c>
      <c r="C381" s="14">
        <f t="shared" si="0"/>
        <v>20307.2</v>
      </c>
      <c r="D381" s="15">
        <f>A381*'Exponential Item Growth'!$B$4</f>
        <v>634.6</v>
      </c>
      <c r="E381" s="14">
        <f>IF(ISNA(VLOOKUP(A381,'Exponential Item Growth'!$A$10:$B$18,2,FALSE)),E380, E380*VLOOKUP(A381,'Exponential Item Growth'!$A$10:$B$18,2,FALSE))</f>
        <v>32</v>
      </c>
      <c r="F381" s="14">
        <f>C381*'Exponential Item Growth'!$B$21</f>
        <v>101536</v>
      </c>
      <c r="G381" s="14">
        <f>'Exponential Item Growth'!$B$22*C381</f>
        <v>1523040</v>
      </c>
      <c r="H381" s="14">
        <f>'Exponential Item Growth'!$B$23*C381</f>
        <v>20307200</v>
      </c>
    </row>
    <row r="382" spans="1:8" ht="15.75" customHeight="1">
      <c r="A382" s="3">
        <v>381</v>
      </c>
      <c r="B382" s="13">
        <f>'Exponential Item Growth'!$B$5*'Exponential Item Growth'!$B$6^A382</f>
        <v>4380610763.061655</v>
      </c>
      <c r="C382" s="14">
        <f t="shared" si="0"/>
        <v>20360.64</v>
      </c>
      <c r="D382" s="15">
        <f>A382*'Exponential Item Growth'!$B$4</f>
        <v>636.27</v>
      </c>
      <c r="E382" s="14">
        <f>IF(ISNA(VLOOKUP(A382,'Exponential Item Growth'!$A$10:$B$18,2,FALSE)),E381, E381*VLOOKUP(A382,'Exponential Item Growth'!$A$10:$B$18,2,FALSE))</f>
        <v>32</v>
      </c>
      <c r="F382" s="14">
        <f>C382*'Exponential Item Growth'!$B$21</f>
        <v>101803.2</v>
      </c>
      <c r="G382" s="14">
        <f>'Exponential Item Growth'!$B$22*C382</f>
        <v>1527048</v>
      </c>
      <c r="H382" s="14">
        <f>'Exponential Item Growth'!$B$23*C382</f>
        <v>20360640</v>
      </c>
    </row>
    <row r="383" spans="1:8" ht="15.75" customHeight="1">
      <c r="A383" s="3">
        <v>382</v>
      </c>
      <c r="B383" s="13">
        <f>'Exponential Item Growth'!$B$5*'Exponential Item Growth'!$B$6^A383</f>
        <v>4643447408.8453531</v>
      </c>
      <c r="C383" s="14">
        <f t="shared" si="0"/>
        <v>20414.079999999998</v>
      </c>
      <c r="D383" s="15">
        <f>A383*'Exponential Item Growth'!$B$4</f>
        <v>637.93999999999994</v>
      </c>
      <c r="E383" s="14">
        <f>IF(ISNA(VLOOKUP(A383,'Exponential Item Growth'!$A$10:$B$18,2,FALSE)),E382, E382*VLOOKUP(A383,'Exponential Item Growth'!$A$10:$B$18,2,FALSE))</f>
        <v>32</v>
      </c>
      <c r="F383" s="14">
        <f>C383*'Exponential Item Growth'!$B$21</f>
        <v>102070.39999999999</v>
      </c>
      <c r="G383" s="14">
        <f>'Exponential Item Growth'!$B$22*C383</f>
        <v>1531055.9999999998</v>
      </c>
      <c r="H383" s="14">
        <f>'Exponential Item Growth'!$B$23*C383</f>
        <v>20414079.999999996</v>
      </c>
    </row>
    <row r="384" spans="1:8" ht="15.75" customHeight="1">
      <c r="A384" s="3">
        <v>383</v>
      </c>
      <c r="B384" s="13">
        <f>'Exponential Item Growth'!$B$5*'Exponential Item Growth'!$B$6^A384</f>
        <v>4922054253.3760757</v>
      </c>
      <c r="C384" s="14">
        <f t="shared" si="0"/>
        <v>20467.52</v>
      </c>
      <c r="D384" s="15">
        <f>A384*'Exponential Item Growth'!$B$4</f>
        <v>639.61</v>
      </c>
      <c r="E384" s="14">
        <f>IF(ISNA(VLOOKUP(A384,'Exponential Item Growth'!$A$10:$B$18,2,FALSE)),E383, E383*VLOOKUP(A384,'Exponential Item Growth'!$A$10:$B$18,2,FALSE))</f>
        <v>32</v>
      </c>
      <c r="F384" s="14">
        <f>C384*'Exponential Item Growth'!$B$21</f>
        <v>102337.60000000001</v>
      </c>
      <c r="G384" s="14">
        <f>'Exponential Item Growth'!$B$22*C384</f>
        <v>1535064</v>
      </c>
      <c r="H384" s="14">
        <f>'Exponential Item Growth'!$B$23*C384</f>
        <v>20467520</v>
      </c>
    </row>
    <row r="385" spans="1:8" ht="15.75" customHeight="1">
      <c r="A385" s="3">
        <v>384</v>
      </c>
      <c r="B385" s="13">
        <f>'Exponential Item Growth'!$B$5*'Exponential Item Growth'!$B$6^A385</f>
        <v>5217377508.578639</v>
      </c>
      <c r="C385" s="14">
        <f t="shared" si="0"/>
        <v>20520.96</v>
      </c>
      <c r="D385" s="15">
        <f>A385*'Exponential Item Growth'!$B$4</f>
        <v>641.28</v>
      </c>
      <c r="E385" s="14">
        <f>IF(ISNA(VLOOKUP(A385,'Exponential Item Growth'!$A$10:$B$18,2,FALSE)),E384, E384*VLOOKUP(A385,'Exponential Item Growth'!$A$10:$B$18,2,FALSE))</f>
        <v>32</v>
      </c>
      <c r="F385" s="14">
        <f>C385*'Exponential Item Growth'!$B$21</f>
        <v>102604.79999999999</v>
      </c>
      <c r="G385" s="14">
        <f>'Exponential Item Growth'!$B$22*C385</f>
        <v>1539072</v>
      </c>
      <c r="H385" s="14">
        <f>'Exponential Item Growth'!$B$23*C385</f>
        <v>20520960</v>
      </c>
    </row>
    <row r="386" spans="1:8" ht="15.75" customHeight="1">
      <c r="A386" s="3">
        <v>385</v>
      </c>
      <c r="B386" s="13">
        <f>'Exponential Item Growth'!$B$5*'Exponential Item Growth'!$B$6^A386</f>
        <v>5530420159.093358</v>
      </c>
      <c r="C386" s="14">
        <f t="shared" si="0"/>
        <v>20574.399999999998</v>
      </c>
      <c r="D386" s="15">
        <f>A386*'Exponential Item Growth'!$B$4</f>
        <v>642.94999999999993</v>
      </c>
      <c r="E386" s="14">
        <f>IF(ISNA(VLOOKUP(A386,'Exponential Item Growth'!$A$10:$B$18,2,FALSE)),E385, E385*VLOOKUP(A386,'Exponential Item Growth'!$A$10:$B$18,2,FALSE))</f>
        <v>32</v>
      </c>
      <c r="F386" s="14">
        <f>C386*'Exponential Item Growth'!$B$21</f>
        <v>102871.99999999999</v>
      </c>
      <c r="G386" s="14">
        <f>'Exponential Item Growth'!$B$22*C386</f>
        <v>1543079.9999999998</v>
      </c>
      <c r="H386" s="14">
        <f>'Exponential Item Growth'!$B$23*C386</f>
        <v>20574399.999999996</v>
      </c>
    </row>
    <row r="387" spans="1:8" ht="15.75" customHeight="1">
      <c r="A387" s="3">
        <v>386</v>
      </c>
      <c r="B387" s="13">
        <f>'Exponential Item Growth'!$B$5*'Exponential Item Growth'!$B$6^A387</f>
        <v>5862245368.6389599</v>
      </c>
      <c r="C387" s="14">
        <f t="shared" si="0"/>
        <v>20627.84</v>
      </c>
      <c r="D387" s="15">
        <f>A387*'Exponential Item Growth'!$B$4</f>
        <v>644.62</v>
      </c>
      <c r="E387" s="14">
        <f>IF(ISNA(VLOOKUP(A387,'Exponential Item Growth'!$A$10:$B$18,2,FALSE)),E386, E386*VLOOKUP(A387,'Exponential Item Growth'!$A$10:$B$18,2,FALSE))</f>
        <v>32</v>
      </c>
      <c r="F387" s="14">
        <f>C387*'Exponential Item Growth'!$B$21</f>
        <v>103139.2</v>
      </c>
      <c r="G387" s="14">
        <f>'Exponential Item Growth'!$B$22*C387</f>
        <v>1547088</v>
      </c>
      <c r="H387" s="14">
        <f>'Exponential Item Growth'!$B$23*C387</f>
        <v>20627840</v>
      </c>
    </row>
    <row r="388" spans="1:8" ht="15.75" customHeight="1">
      <c r="A388" s="3">
        <v>387</v>
      </c>
      <c r="B388" s="13">
        <f>'Exponential Item Growth'!$B$5*'Exponential Item Growth'!$B$6^A388</f>
        <v>6213980090.7572985</v>
      </c>
      <c r="C388" s="14">
        <f t="shared" si="0"/>
        <v>20681.28</v>
      </c>
      <c r="D388" s="15">
        <f>A388*'Exponential Item Growth'!$B$4</f>
        <v>646.29</v>
      </c>
      <c r="E388" s="14">
        <f>IF(ISNA(VLOOKUP(A388,'Exponential Item Growth'!$A$10:$B$18,2,FALSE)),E387, E387*VLOOKUP(A388,'Exponential Item Growth'!$A$10:$B$18,2,FALSE))</f>
        <v>32</v>
      </c>
      <c r="F388" s="14">
        <f>C388*'Exponential Item Growth'!$B$21</f>
        <v>103406.39999999999</v>
      </c>
      <c r="G388" s="14">
        <f>'Exponential Item Growth'!$B$22*C388</f>
        <v>1551096</v>
      </c>
      <c r="H388" s="14">
        <f>'Exponential Item Growth'!$B$23*C388</f>
        <v>20681280</v>
      </c>
    </row>
    <row r="389" spans="1:8" ht="15.75" customHeight="1">
      <c r="A389" s="3">
        <v>388</v>
      </c>
      <c r="B389" s="13">
        <f>'Exponential Item Growth'!$B$5*'Exponential Item Growth'!$B$6^A389</f>
        <v>6586818896.2027349</v>
      </c>
      <c r="C389" s="14">
        <f t="shared" si="0"/>
        <v>20734.719999999998</v>
      </c>
      <c r="D389" s="15">
        <f>A389*'Exponential Item Growth'!$B$4</f>
        <v>647.95999999999992</v>
      </c>
      <c r="E389" s="14">
        <f>IF(ISNA(VLOOKUP(A389,'Exponential Item Growth'!$A$10:$B$18,2,FALSE)),E388, E388*VLOOKUP(A389,'Exponential Item Growth'!$A$10:$B$18,2,FALSE))</f>
        <v>32</v>
      </c>
      <c r="F389" s="14">
        <f>C389*'Exponential Item Growth'!$B$21</f>
        <v>103673.59999999999</v>
      </c>
      <c r="G389" s="14">
        <f>'Exponential Item Growth'!$B$22*C389</f>
        <v>1555103.9999999998</v>
      </c>
      <c r="H389" s="14">
        <f>'Exponential Item Growth'!$B$23*C389</f>
        <v>20734719.999999996</v>
      </c>
    </row>
    <row r="390" spans="1:8" ht="15.75" customHeight="1">
      <c r="A390" s="3">
        <v>389</v>
      </c>
      <c r="B390" s="13">
        <f>'Exponential Item Growth'!$B$5*'Exponential Item Growth'!$B$6^A390</f>
        <v>6982028029.9749002</v>
      </c>
      <c r="C390" s="14">
        <f t="shared" si="0"/>
        <v>20788.16</v>
      </c>
      <c r="D390" s="15">
        <f>A390*'Exponential Item Growth'!$B$4</f>
        <v>649.63</v>
      </c>
      <c r="E390" s="14">
        <f>IF(ISNA(VLOOKUP(A390,'Exponential Item Growth'!$A$10:$B$18,2,FALSE)),E389, E389*VLOOKUP(A390,'Exponential Item Growth'!$A$10:$B$18,2,FALSE))</f>
        <v>32</v>
      </c>
      <c r="F390" s="14">
        <f>C390*'Exponential Item Growth'!$B$21</f>
        <v>103940.8</v>
      </c>
      <c r="G390" s="14">
        <f>'Exponential Item Growth'!$B$22*C390</f>
        <v>1559112</v>
      </c>
      <c r="H390" s="14">
        <f>'Exponential Item Growth'!$B$23*C390</f>
        <v>20788160</v>
      </c>
    </row>
    <row r="391" spans="1:8" ht="15.75" customHeight="1">
      <c r="A391" s="3">
        <v>390</v>
      </c>
      <c r="B391" s="13">
        <f>'Exponential Item Growth'!$B$5*'Exponential Item Growth'!$B$6^A391</f>
        <v>7400949711.7733946</v>
      </c>
      <c r="C391" s="14">
        <f t="shared" si="0"/>
        <v>20841.599999999999</v>
      </c>
      <c r="D391" s="15">
        <f>A391*'Exponential Item Growth'!$B$4</f>
        <v>651.29999999999995</v>
      </c>
      <c r="E391" s="14">
        <f>IF(ISNA(VLOOKUP(A391,'Exponential Item Growth'!$A$10:$B$18,2,FALSE)),E390, E390*VLOOKUP(A391,'Exponential Item Growth'!$A$10:$B$18,2,FALSE))</f>
        <v>32</v>
      </c>
      <c r="F391" s="14">
        <f>C391*'Exponential Item Growth'!$B$21</f>
        <v>104208</v>
      </c>
      <c r="G391" s="14">
        <f>'Exponential Item Growth'!$B$22*C391</f>
        <v>1563120</v>
      </c>
      <c r="H391" s="14">
        <f>'Exponential Item Growth'!$B$23*C391</f>
        <v>20841600</v>
      </c>
    </row>
    <row r="392" spans="1:8" ht="15.75" customHeight="1">
      <c r="A392" s="3">
        <v>391</v>
      </c>
      <c r="B392" s="13">
        <f>'Exponential Item Growth'!$B$5*'Exponential Item Growth'!$B$6^A392</f>
        <v>7845006694.4797993</v>
      </c>
      <c r="C392" s="14">
        <f t="shared" si="0"/>
        <v>20895.04</v>
      </c>
      <c r="D392" s="15">
        <f>A392*'Exponential Item Growth'!$B$4</f>
        <v>652.97</v>
      </c>
      <c r="E392" s="14">
        <f>IF(ISNA(VLOOKUP(A392,'Exponential Item Growth'!$A$10:$B$18,2,FALSE)),E391, E391*VLOOKUP(A392,'Exponential Item Growth'!$A$10:$B$18,2,FALSE))</f>
        <v>32</v>
      </c>
      <c r="F392" s="14">
        <f>C392*'Exponential Item Growth'!$B$21</f>
        <v>104475.20000000001</v>
      </c>
      <c r="G392" s="14">
        <f>'Exponential Item Growth'!$B$22*C392</f>
        <v>1567128</v>
      </c>
      <c r="H392" s="14">
        <f>'Exponential Item Growth'!$B$23*C392</f>
        <v>20895040</v>
      </c>
    </row>
    <row r="393" spans="1:8" ht="15.75" customHeight="1">
      <c r="A393" s="3">
        <v>392</v>
      </c>
      <c r="B393" s="13">
        <f>'Exponential Item Growth'!$B$5*'Exponential Item Growth'!$B$6^A393</f>
        <v>8315707096.1485863</v>
      </c>
      <c r="C393" s="14">
        <f t="shared" si="0"/>
        <v>20948.48</v>
      </c>
      <c r="D393" s="15">
        <f>A393*'Exponential Item Growth'!$B$4</f>
        <v>654.64</v>
      </c>
      <c r="E393" s="14">
        <f>IF(ISNA(VLOOKUP(A393,'Exponential Item Growth'!$A$10:$B$18,2,FALSE)),E392, E392*VLOOKUP(A393,'Exponential Item Growth'!$A$10:$B$18,2,FALSE))</f>
        <v>32</v>
      </c>
      <c r="F393" s="14">
        <f>C393*'Exponential Item Growth'!$B$21</f>
        <v>104742.39999999999</v>
      </c>
      <c r="G393" s="14">
        <f>'Exponential Item Growth'!$B$22*C393</f>
        <v>1571136</v>
      </c>
      <c r="H393" s="14">
        <f>'Exponential Item Growth'!$B$23*C393</f>
        <v>20948480</v>
      </c>
    </row>
    <row r="394" spans="1:8" ht="15.75" customHeight="1">
      <c r="A394" s="3">
        <v>393</v>
      </c>
      <c r="B394" s="13">
        <f>'Exponential Item Growth'!$B$5*'Exponential Item Growth'!$B$6^A394</f>
        <v>8814649521.9175014</v>
      </c>
      <c r="C394" s="14">
        <f t="shared" si="0"/>
        <v>21001.919999999998</v>
      </c>
      <c r="D394" s="15">
        <f>A394*'Exponential Item Growth'!$B$4</f>
        <v>656.31</v>
      </c>
      <c r="E394" s="14">
        <f>IF(ISNA(VLOOKUP(A394,'Exponential Item Growth'!$A$10:$B$18,2,FALSE)),E393, E393*VLOOKUP(A394,'Exponential Item Growth'!$A$10:$B$18,2,FALSE))</f>
        <v>32</v>
      </c>
      <c r="F394" s="14">
        <f>C394*'Exponential Item Growth'!$B$21</f>
        <v>105009.59999999999</v>
      </c>
      <c r="G394" s="14">
        <f>'Exponential Item Growth'!$B$22*C394</f>
        <v>1575143.9999999998</v>
      </c>
      <c r="H394" s="14">
        <f>'Exponential Item Growth'!$B$23*C394</f>
        <v>21001920</v>
      </c>
    </row>
    <row r="395" spans="1:8" ht="15.75" customHeight="1">
      <c r="A395" s="3">
        <v>394</v>
      </c>
      <c r="B395" s="13">
        <f>'Exponential Item Growth'!$B$5*'Exponential Item Growth'!$B$6^A395</f>
        <v>9343528493.2325535</v>
      </c>
      <c r="C395" s="14">
        <f t="shared" si="0"/>
        <v>21055.360000000001</v>
      </c>
      <c r="D395" s="15">
        <f>A395*'Exponential Item Growth'!$B$4</f>
        <v>657.98</v>
      </c>
      <c r="E395" s="14">
        <f>IF(ISNA(VLOOKUP(A395,'Exponential Item Growth'!$A$10:$B$18,2,FALSE)),E394, E394*VLOOKUP(A395,'Exponential Item Growth'!$A$10:$B$18,2,FALSE))</f>
        <v>32</v>
      </c>
      <c r="F395" s="14">
        <f>C395*'Exponential Item Growth'!$B$21</f>
        <v>105276.8</v>
      </c>
      <c r="G395" s="14">
        <f>'Exponential Item Growth'!$B$22*C395</f>
        <v>1579152</v>
      </c>
      <c r="H395" s="14">
        <f>'Exponential Item Growth'!$B$23*C395</f>
        <v>21055360</v>
      </c>
    </row>
    <row r="396" spans="1:8" ht="15.75" customHeight="1">
      <c r="A396" s="3">
        <v>395</v>
      </c>
      <c r="B396" s="13">
        <f>'Exponential Item Growth'!$B$5*'Exponential Item Growth'!$B$6^A396</f>
        <v>9904140202.8265076</v>
      </c>
      <c r="C396" s="14">
        <f t="shared" si="0"/>
        <v>21108.799999999999</v>
      </c>
      <c r="D396" s="15">
        <f>A396*'Exponential Item Growth'!$B$4</f>
        <v>659.65</v>
      </c>
      <c r="E396" s="14">
        <f>IF(ISNA(VLOOKUP(A396,'Exponential Item Growth'!$A$10:$B$18,2,FALSE)),E395, E395*VLOOKUP(A396,'Exponential Item Growth'!$A$10:$B$18,2,FALSE))</f>
        <v>32</v>
      </c>
      <c r="F396" s="14">
        <f>C396*'Exponential Item Growth'!$B$21</f>
        <v>105544</v>
      </c>
      <c r="G396" s="14">
        <f>'Exponential Item Growth'!$B$22*C396</f>
        <v>1583160</v>
      </c>
      <c r="H396" s="14">
        <f>'Exponential Item Growth'!$B$23*C396</f>
        <v>21108800</v>
      </c>
    </row>
    <row r="397" spans="1:8" ht="15.75" customHeight="1">
      <c r="A397" s="3">
        <v>396</v>
      </c>
      <c r="B397" s="13">
        <f>'Exponential Item Growth'!$B$5*'Exponential Item Growth'!$B$6^A397</f>
        <v>10498388614.996098</v>
      </c>
      <c r="C397" s="14">
        <f t="shared" si="0"/>
        <v>21162.239999999998</v>
      </c>
      <c r="D397" s="15">
        <f>A397*'Exponential Item Growth'!$B$4</f>
        <v>661.31999999999994</v>
      </c>
      <c r="E397" s="14">
        <f>IF(ISNA(VLOOKUP(A397,'Exponential Item Growth'!$A$10:$B$18,2,FALSE)),E396, E396*VLOOKUP(A397,'Exponential Item Growth'!$A$10:$B$18,2,FALSE))</f>
        <v>32</v>
      </c>
      <c r="F397" s="14">
        <f>C397*'Exponential Item Growth'!$B$21</f>
        <v>105811.19999999998</v>
      </c>
      <c r="G397" s="14">
        <f>'Exponential Item Growth'!$B$22*C397</f>
        <v>1587167.9999999998</v>
      </c>
      <c r="H397" s="14">
        <f>'Exponential Item Growth'!$B$23*C397</f>
        <v>21162239.999999996</v>
      </c>
    </row>
    <row r="398" spans="1:8" ht="15.75" customHeight="1">
      <c r="A398" s="3">
        <v>397</v>
      </c>
      <c r="B398" s="13">
        <f>'Exponential Item Growth'!$B$5*'Exponential Item Growth'!$B$6^A398</f>
        <v>11128291931.895864</v>
      </c>
      <c r="C398" s="14">
        <f t="shared" si="0"/>
        <v>21215.68</v>
      </c>
      <c r="D398" s="15">
        <f>A398*'Exponential Item Growth'!$B$4</f>
        <v>662.99</v>
      </c>
      <c r="E398" s="14">
        <f>IF(ISNA(VLOOKUP(A398,'Exponential Item Growth'!$A$10:$B$18,2,FALSE)),E397, E397*VLOOKUP(A398,'Exponential Item Growth'!$A$10:$B$18,2,FALSE))</f>
        <v>32</v>
      </c>
      <c r="F398" s="14">
        <f>C398*'Exponential Item Growth'!$B$21</f>
        <v>106078.39999999999</v>
      </c>
      <c r="G398" s="14">
        <f>'Exponential Item Growth'!$B$22*C398</f>
        <v>1591176</v>
      </c>
      <c r="H398" s="14">
        <f>'Exponential Item Growth'!$B$23*C398</f>
        <v>21215680</v>
      </c>
    </row>
    <row r="399" spans="1:8" ht="15.75" customHeight="1">
      <c r="A399" s="3">
        <v>398</v>
      </c>
      <c r="B399" s="13">
        <f>'Exponential Item Growth'!$B$5*'Exponential Item Growth'!$B$6^A399</f>
        <v>11795989447.809618</v>
      </c>
      <c r="C399" s="14">
        <f t="shared" si="0"/>
        <v>21269.119999999999</v>
      </c>
      <c r="D399" s="15">
        <f>A399*'Exponential Item Growth'!$B$4</f>
        <v>664.66</v>
      </c>
      <c r="E399" s="14">
        <f>IF(ISNA(VLOOKUP(A399,'Exponential Item Growth'!$A$10:$B$18,2,FALSE)),E398, E398*VLOOKUP(A399,'Exponential Item Growth'!$A$10:$B$18,2,FALSE))</f>
        <v>32</v>
      </c>
      <c r="F399" s="14">
        <f>C399*'Exponential Item Growth'!$B$21</f>
        <v>106345.59999999999</v>
      </c>
      <c r="G399" s="14">
        <f>'Exponential Item Growth'!$B$22*C399</f>
        <v>1595184</v>
      </c>
      <c r="H399" s="14">
        <f>'Exponential Item Growth'!$B$23*C399</f>
        <v>21269120</v>
      </c>
    </row>
    <row r="400" spans="1:8" ht="15.75" customHeight="1">
      <c r="A400" s="3">
        <v>399</v>
      </c>
      <c r="B400" s="13">
        <f>'Exponential Item Growth'!$B$5*'Exponential Item Growth'!$B$6^A400</f>
        <v>12503748814.678198</v>
      </c>
      <c r="C400" s="14">
        <f t="shared" si="0"/>
        <v>21322.559999999998</v>
      </c>
      <c r="D400" s="15">
        <f>A400*'Exponential Item Growth'!$B$4</f>
        <v>666.32999999999993</v>
      </c>
      <c r="E400" s="14">
        <f>IF(ISNA(VLOOKUP(A400,'Exponential Item Growth'!$A$10:$B$18,2,FALSE)),E399, E399*VLOOKUP(A400,'Exponential Item Growth'!$A$10:$B$18,2,FALSE))</f>
        <v>32</v>
      </c>
      <c r="F400" s="14">
        <f>C400*'Exponential Item Growth'!$B$21</f>
        <v>106612.79999999999</v>
      </c>
      <c r="G400" s="14">
        <f>'Exponential Item Growth'!$B$22*C400</f>
        <v>1599191.9999999998</v>
      </c>
      <c r="H400" s="14">
        <f>'Exponential Item Growth'!$B$23*C400</f>
        <v>21322559.999999996</v>
      </c>
    </row>
    <row r="401" spans="1:8" ht="15.75" customHeight="1">
      <c r="A401" s="3">
        <v>400</v>
      </c>
      <c r="B401" s="13">
        <f>'Exponential Item Growth'!$B$5*'Exponential Item Growth'!$B$6^A401</f>
        <v>13253973743.558886</v>
      </c>
      <c r="C401" s="14">
        <f t="shared" si="0"/>
        <v>42752</v>
      </c>
      <c r="D401" s="15">
        <f>A401*'Exponential Item Growth'!$B$4</f>
        <v>668</v>
      </c>
      <c r="E401" s="14">
        <f>IF(ISNA(VLOOKUP(A401,'Exponential Item Growth'!$A$10:$B$18,2,FALSE)),E400, E400*VLOOKUP(A401,'Exponential Item Growth'!$A$10:$B$18,2,FALSE))</f>
        <v>64</v>
      </c>
      <c r="F401" s="14">
        <f>C401*'Exponential Item Growth'!$B$21</f>
        <v>213760</v>
      </c>
      <c r="G401" s="14">
        <f>'Exponential Item Growth'!$B$22*C401</f>
        <v>3206400</v>
      </c>
      <c r="H401" s="14">
        <f>'Exponential Item Growth'!$B$23*C401</f>
        <v>42752000</v>
      </c>
    </row>
    <row r="402" spans="1:8" ht="15.75" customHeight="1">
      <c r="A402" s="3">
        <v>401</v>
      </c>
      <c r="B402" s="13">
        <f>'Exponential Item Growth'!$B$5*'Exponential Item Growth'!$B$6^A402</f>
        <v>14049212168.172421</v>
      </c>
      <c r="C402" s="14">
        <f t="shared" si="0"/>
        <v>42858.879999999997</v>
      </c>
      <c r="D402" s="15">
        <f>A402*'Exponential Item Growth'!$B$4</f>
        <v>669.67</v>
      </c>
      <c r="E402" s="14">
        <f>IF(ISNA(VLOOKUP(A402,'Exponential Item Growth'!$A$10:$B$18,2,FALSE)),E401, E401*VLOOKUP(A402,'Exponential Item Growth'!$A$10:$B$18,2,FALSE))</f>
        <v>64</v>
      </c>
      <c r="F402" s="14">
        <f>C402*'Exponential Item Growth'!$B$21</f>
        <v>214294.39999999999</v>
      </c>
      <c r="G402" s="14">
        <f>'Exponential Item Growth'!$B$22*C402</f>
        <v>3214416</v>
      </c>
      <c r="H402" s="14">
        <f>'Exponential Item Growth'!$B$23*C402</f>
        <v>42858880</v>
      </c>
    </row>
    <row r="403" spans="1:8" ht="15.75" customHeight="1">
      <c r="A403" s="3">
        <v>402</v>
      </c>
      <c r="B403" s="13">
        <f>'Exponential Item Growth'!$B$5*'Exponential Item Growth'!$B$6^A403</f>
        <v>14892164898.262766</v>
      </c>
      <c r="C403" s="14">
        <f t="shared" si="0"/>
        <v>42965.759999999995</v>
      </c>
      <c r="D403" s="15">
        <f>A403*'Exponential Item Growth'!$B$4</f>
        <v>671.33999999999992</v>
      </c>
      <c r="E403" s="14">
        <f>IF(ISNA(VLOOKUP(A403,'Exponential Item Growth'!$A$10:$B$18,2,FALSE)),E402, E402*VLOOKUP(A403,'Exponential Item Growth'!$A$10:$B$18,2,FALSE))</f>
        <v>64</v>
      </c>
      <c r="F403" s="14">
        <f>C403*'Exponential Item Growth'!$B$21</f>
        <v>214828.79999999999</v>
      </c>
      <c r="G403" s="14">
        <f>'Exponential Item Growth'!$B$22*C403</f>
        <v>3222431.9999999995</v>
      </c>
      <c r="H403" s="14">
        <f>'Exponential Item Growth'!$B$23*C403</f>
        <v>42965759.999999993</v>
      </c>
    </row>
    <row r="404" spans="1:8" ht="15.75" customHeight="1">
      <c r="A404" s="3">
        <v>403</v>
      </c>
      <c r="B404" s="13">
        <f>'Exponential Item Growth'!$B$5*'Exponential Item Growth'!$B$6^A404</f>
        <v>15785694792.158533</v>
      </c>
      <c r="C404" s="14">
        <f t="shared" si="0"/>
        <v>43072.639999999999</v>
      </c>
      <c r="D404" s="15">
        <f>A404*'Exponential Item Growth'!$B$4</f>
        <v>673.01</v>
      </c>
      <c r="E404" s="14">
        <f>IF(ISNA(VLOOKUP(A404,'Exponential Item Growth'!$A$10:$B$18,2,FALSE)),E403, E403*VLOOKUP(A404,'Exponential Item Growth'!$A$10:$B$18,2,FALSE))</f>
        <v>64</v>
      </c>
      <c r="F404" s="14">
        <f>C404*'Exponential Item Growth'!$B$21</f>
        <v>215363.20000000001</v>
      </c>
      <c r="G404" s="14">
        <f>'Exponential Item Growth'!$B$22*C404</f>
        <v>3230448</v>
      </c>
      <c r="H404" s="14">
        <f>'Exponential Item Growth'!$B$23*C404</f>
        <v>43072640</v>
      </c>
    </row>
    <row r="405" spans="1:8" ht="15.75" customHeight="1">
      <c r="A405" s="3">
        <v>404</v>
      </c>
      <c r="B405" s="13">
        <f>'Exponential Item Growth'!$B$5*'Exponential Item Growth'!$B$6^A405</f>
        <v>16732836479.688046</v>
      </c>
      <c r="C405" s="14">
        <f t="shared" si="0"/>
        <v>43179.519999999997</v>
      </c>
      <c r="D405" s="15">
        <f>A405*'Exponential Item Growth'!$B$4</f>
        <v>674.68</v>
      </c>
      <c r="E405" s="14">
        <f>IF(ISNA(VLOOKUP(A405,'Exponential Item Growth'!$A$10:$B$18,2,FALSE)),E404, E404*VLOOKUP(A405,'Exponential Item Growth'!$A$10:$B$18,2,FALSE))</f>
        <v>64</v>
      </c>
      <c r="F405" s="14">
        <f>C405*'Exponential Item Growth'!$B$21</f>
        <v>215897.59999999998</v>
      </c>
      <c r="G405" s="14">
        <f>'Exponential Item Growth'!$B$22*C405</f>
        <v>3238463.9999999995</v>
      </c>
      <c r="H405" s="14">
        <f>'Exponential Item Growth'!$B$23*C405</f>
        <v>43179520</v>
      </c>
    </row>
    <row r="406" spans="1:8" ht="15.75" customHeight="1">
      <c r="A406" s="3">
        <v>405</v>
      </c>
      <c r="B406" s="13">
        <f>'Exponential Item Growth'!$B$5*'Exponential Item Growth'!$B$6^A406</f>
        <v>17736806668.46933</v>
      </c>
      <c r="C406" s="14">
        <f t="shared" si="0"/>
        <v>43286.400000000001</v>
      </c>
      <c r="D406" s="15">
        <f>A406*'Exponential Item Growth'!$B$4</f>
        <v>676.35</v>
      </c>
      <c r="E406" s="14">
        <f>IF(ISNA(VLOOKUP(A406,'Exponential Item Growth'!$A$10:$B$18,2,FALSE)),E405, E405*VLOOKUP(A406,'Exponential Item Growth'!$A$10:$B$18,2,FALSE))</f>
        <v>64</v>
      </c>
      <c r="F406" s="14">
        <f>C406*'Exponential Item Growth'!$B$21</f>
        <v>216432</v>
      </c>
      <c r="G406" s="14">
        <f>'Exponential Item Growth'!$B$22*C406</f>
        <v>3246480</v>
      </c>
      <c r="H406" s="14">
        <f>'Exponential Item Growth'!$B$23*C406</f>
        <v>43286400</v>
      </c>
    </row>
    <row r="407" spans="1:8" ht="15.75" customHeight="1">
      <c r="A407" s="3">
        <v>406</v>
      </c>
      <c r="B407" s="13">
        <f>'Exponential Item Growth'!$B$5*'Exponential Item Growth'!$B$6^A407</f>
        <v>18801015068.577492</v>
      </c>
      <c r="C407" s="14">
        <f t="shared" si="0"/>
        <v>43393.279999999999</v>
      </c>
      <c r="D407" s="15">
        <f>A407*'Exponential Item Growth'!$B$4</f>
        <v>678.02</v>
      </c>
      <c r="E407" s="14">
        <f>IF(ISNA(VLOOKUP(A407,'Exponential Item Growth'!$A$10:$B$18,2,FALSE)),E406, E406*VLOOKUP(A407,'Exponential Item Growth'!$A$10:$B$18,2,FALSE))</f>
        <v>64</v>
      </c>
      <c r="F407" s="14">
        <f>C407*'Exponential Item Growth'!$B$21</f>
        <v>216966.39999999999</v>
      </c>
      <c r="G407" s="14">
        <f>'Exponential Item Growth'!$B$22*C407</f>
        <v>3254496</v>
      </c>
      <c r="H407" s="14">
        <f>'Exponential Item Growth'!$B$23*C407</f>
        <v>43393280</v>
      </c>
    </row>
    <row r="408" spans="1:8" ht="15.75" customHeight="1">
      <c r="A408" s="3">
        <v>407</v>
      </c>
      <c r="B408" s="13">
        <f>'Exponential Item Growth'!$B$5*'Exponential Item Growth'!$B$6^A408</f>
        <v>19929075972.692146</v>
      </c>
      <c r="C408" s="14">
        <f t="shared" si="0"/>
        <v>43500.159999999996</v>
      </c>
      <c r="D408" s="15">
        <f>A408*'Exponential Item Growth'!$B$4</f>
        <v>679.68999999999994</v>
      </c>
      <c r="E408" s="14">
        <f>IF(ISNA(VLOOKUP(A408,'Exponential Item Growth'!$A$10:$B$18,2,FALSE)),E407, E407*VLOOKUP(A408,'Exponential Item Growth'!$A$10:$B$18,2,FALSE))</f>
        <v>64</v>
      </c>
      <c r="F408" s="14">
        <f>C408*'Exponential Item Growth'!$B$21</f>
        <v>217500.79999999999</v>
      </c>
      <c r="G408" s="14">
        <f>'Exponential Item Growth'!$B$22*C408</f>
        <v>3262511.9999999995</v>
      </c>
      <c r="H408" s="14">
        <f>'Exponential Item Growth'!$B$23*C408</f>
        <v>43500159.999999993</v>
      </c>
    </row>
    <row r="409" spans="1:8" ht="15.75" customHeight="1">
      <c r="A409" s="3">
        <v>408</v>
      </c>
      <c r="B409" s="13">
        <f>'Exponential Item Growth'!$B$5*'Exponential Item Growth'!$B$6^A409</f>
        <v>21124820531.053673</v>
      </c>
      <c r="C409" s="14">
        <f t="shared" si="0"/>
        <v>43607.040000000001</v>
      </c>
      <c r="D409" s="15">
        <f>A409*'Exponential Item Growth'!$B$4</f>
        <v>681.36</v>
      </c>
      <c r="E409" s="14">
        <f>IF(ISNA(VLOOKUP(A409,'Exponential Item Growth'!$A$10:$B$18,2,FALSE)),E408, E408*VLOOKUP(A409,'Exponential Item Growth'!$A$10:$B$18,2,FALSE))</f>
        <v>64</v>
      </c>
      <c r="F409" s="14">
        <f>C409*'Exponential Item Growth'!$B$21</f>
        <v>218035.20000000001</v>
      </c>
      <c r="G409" s="14">
        <f>'Exponential Item Growth'!$B$22*C409</f>
        <v>3270528</v>
      </c>
      <c r="H409" s="14">
        <f>'Exponential Item Growth'!$B$23*C409</f>
        <v>43607040</v>
      </c>
    </row>
    <row r="410" spans="1:8" ht="15.75" customHeight="1">
      <c r="A410" s="3">
        <v>409</v>
      </c>
      <c r="B410" s="13">
        <f>'Exponential Item Growth'!$B$5*'Exponential Item Growth'!$B$6^A410</f>
        <v>22392309762.916889</v>
      </c>
      <c r="C410" s="14">
        <f t="shared" si="0"/>
        <v>43713.919999999998</v>
      </c>
      <c r="D410" s="15">
        <f>A410*'Exponential Item Growth'!$B$4</f>
        <v>683.03</v>
      </c>
      <c r="E410" s="14">
        <f>IF(ISNA(VLOOKUP(A410,'Exponential Item Growth'!$A$10:$B$18,2,FALSE)),E409, E409*VLOOKUP(A410,'Exponential Item Growth'!$A$10:$B$18,2,FALSE))</f>
        <v>64</v>
      </c>
      <c r="F410" s="14">
        <f>C410*'Exponential Item Growth'!$B$21</f>
        <v>218569.59999999998</v>
      </c>
      <c r="G410" s="14">
        <f>'Exponential Item Growth'!$B$22*C410</f>
        <v>3278544</v>
      </c>
      <c r="H410" s="14">
        <f>'Exponential Item Growth'!$B$23*C410</f>
        <v>43713920</v>
      </c>
    </row>
    <row r="411" spans="1:8" ht="15.75" customHeight="1">
      <c r="A411" s="3">
        <v>410</v>
      </c>
      <c r="B411" s="13">
        <f>'Exponential Item Growth'!$B$5*'Exponential Item Growth'!$B$6^A411</f>
        <v>23735848348.691906</v>
      </c>
      <c r="C411" s="14">
        <f t="shared" si="0"/>
        <v>43820.799999999996</v>
      </c>
      <c r="D411" s="15">
        <f>A411*'Exponential Item Growth'!$B$4</f>
        <v>684.69999999999993</v>
      </c>
      <c r="E411" s="14">
        <f>IF(ISNA(VLOOKUP(A411,'Exponential Item Growth'!$A$10:$B$18,2,FALSE)),E410, E410*VLOOKUP(A411,'Exponential Item Growth'!$A$10:$B$18,2,FALSE))</f>
        <v>64</v>
      </c>
      <c r="F411" s="14">
        <f>C411*'Exponential Item Growth'!$B$21</f>
        <v>219103.99999999997</v>
      </c>
      <c r="G411" s="14">
        <f>'Exponential Item Growth'!$B$22*C411</f>
        <v>3286559.9999999995</v>
      </c>
      <c r="H411" s="14">
        <f>'Exponential Item Growth'!$B$23*C411</f>
        <v>43820799.999999993</v>
      </c>
    </row>
    <row r="412" spans="1:8" ht="15.75" customHeight="1">
      <c r="A412" s="3">
        <v>411</v>
      </c>
      <c r="B412" s="13">
        <f>'Exponential Item Growth'!$B$5*'Exponential Item Growth'!$B$6^A412</f>
        <v>25159999249.613422</v>
      </c>
      <c r="C412" s="14">
        <f t="shared" si="0"/>
        <v>43927.68</v>
      </c>
      <c r="D412" s="15">
        <f>A412*'Exponential Item Growth'!$B$4</f>
        <v>686.37</v>
      </c>
      <c r="E412" s="14">
        <f>IF(ISNA(VLOOKUP(A412,'Exponential Item Growth'!$A$10:$B$18,2,FALSE)),E411, E411*VLOOKUP(A412,'Exponential Item Growth'!$A$10:$B$18,2,FALSE))</f>
        <v>64</v>
      </c>
      <c r="F412" s="14">
        <f>C412*'Exponential Item Growth'!$B$21</f>
        <v>219638.39999999999</v>
      </c>
      <c r="G412" s="14">
        <f>'Exponential Item Growth'!$B$22*C412</f>
        <v>3294576</v>
      </c>
      <c r="H412" s="14">
        <f>'Exponential Item Growth'!$B$23*C412</f>
        <v>43927680</v>
      </c>
    </row>
    <row r="413" spans="1:8" ht="15.75" customHeight="1">
      <c r="A413" s="3">
        <v>412</v>
      </c>
      <c r="B413" s="13">
        <f>'Exponential Item Growth'!$B$5*'Exponential Item Growth'!$B$6^A413</f>
        <v>26669599204.590233</v>
      </c>
      <c r="C413" s="14">
        <f t="shared" si="0"/>
        <v>44034.559999999998</v>
      </c>
      <c r="D413" s="15">
        <f>A413*'Exponential Item Growth'!$B$4</f>
        <v>688.04</v>
      </c>
      <c r="E413" s="14">
        <f>IF(ISNA(VLOOKUP(A413,'Exponential Item Growth'!$A$10:$B$18,2,FALSE)),E412, E412*VLOOKUP(A413,'Exponential Item Growth'!$A$10:$B$18,2,FALSE))</f>
        <v>64</v>
      </c>
      <c r="F413" s="14">
        <f>C413*'Exponential Item Growth'!$B$21</f>
        <v>220172.79999999999</v>
      </c>
      <c r="G413" s="14">
        <f>'Exponential Item Growth'!$B$22*C413</f>
        <v>3302592</v>
      </c>
      <c r="H413" s="14">
        <f>'Exponential Item Growth'!$B$23*C413</f>
        <v>44034560</v>
      </c>
    </row>
    <row r="414" spans="1:8" ht="15.75" customHeight="1">
      <c r="A414" s="3">
        <v>413</v>
      </c>
      <c r="B414" s="13">
        <f>'Exponential Item Growth'!$B$5*'Exponential Item Growth'!$B$6^A414</f>
        <v>28269775156.865646</v>
      </c>
      <c r="C414" s="14">
        <f t="shared" si="0"/>
        <v>44141.439999999995</v>
      </c>
      <c r="D414" s="15">
        <f>A414*'Exponential Item Growth'!$B$4</f>
        <v>689.70999999999992</v>
      </c>
      <c r="E414" s="14">
        <f>IF(ISNA(VLOOKUP(A414,'Exponential Item Growth'!$A$10:$B$18,2,FALSE)),E413, E413*VLOOKUP(A414,'Exponential Item Growth'!$A$10:$B$18,2,FALSE))</f>
        <v>64</v>
      </c>
      <c r="F414" s="14">
        <f>C414*'Exponential Item Growth'!$B$21</f>
        <v>220707.19999999998</v>
      </c>
      <c r="G414" s="14">
        <f>'Exponential Item Growth'!$B$22*C414</f>
        <v>3310607.9999999995</v>
      </c>
      <c r="H414" s="14">
        <f>'Exponential Item Growth'!$B$23*C414</f>
        <v>44141439.999999993</v>
      </c>
    </row>
    <row r="415" spans="1:8" ht="15.75" customHeight="1">
      <c r="A415" s="3">
        <v>414</v>
      </c>
      <c r="B415" s="13">
        <f>'Exponential Item Growth'!$B$5*'Exponential Item Growth'!$B$6^A415</f>
        <v>29965961666.277584</v>
      </c>
      <c r="C415" s="14">
        <f t="shared" si="0"/>
        <v>44248.32</v>
      </c>
      <c r="D415" s="15">
        <f>A415*'Exponential Item Growth'!$B$4</f>
        <v>691.38</v>
      </c>
      <c r="E415" s="14">
        <f>IF(ISNA(VLOOKUP(A415,'Exponential Item Growth'!$A$10:$B$18,2,FALSE)),E414, E414*VLOOKUP(A415,'Exponential Item Growth'!$A$10:$B$18,2,FALSE))</f>
        <v>64</v>
      </c>
      <c r="F415" s="14">
        <f>C415*'Exponential Item Growth'!$B$21</f>
        <v>221241.60000000001</v>
      </c>
      <c r="G415" s="14">
        <f>'Exponential Item Growth'!$B$22*C415</f>
        <v>3318624</v>
      </c>
      <c r="H415" s="14">
        <f>'Exponential Item Growth'!$B$23*C415</f>
        <v>44248320</v>
      </c>
    </row>
    <row r="416" spans="1:8" ht="15.75" customHeight="1">
      <c r="A416" s="3">
        <v>415</v>
      </c>
      <c r="B416" s="13">
        <f>'Exponential Item Growth'!$B$5*'Exponential Item Growth'!$B$6^A416</f>
        <v>31763919366.254246</v>
      </c>
      <c r="C416" s="14">
        <f t="shared" si="0"/>
        <v>44355.199999999997</v>
      </c>
      <c r="D416" s="15">
        <f>A416*'Exponential Item Growth'!$B$4</f>
        <v>693.05</v>
      </c>
      <c r="E416" s="14">
        <f>IF(ISNA(VLOOKUP(A416,'Exponential Item Growth'!$A$10:$B$18,2,FALSE)),E415, E415*VLOOKUP(A416,'Exponential Item Growth'!$A$10:$B$18,2,FALSE))</f>
        <v>64</v>
      </c>
      <c r="F416" s="14">
        <f>C416*'Exponential Item Growth'!$B$21</f>
        <v>221776</v>
      </c>
      <c r="G416" s="14">
        <f>'Exponential Item Growth'!$B$22*C416</f>
        <v>3326640</v>
      </c>
      <c r="H416" s="14">
        <f>'Exponential Item Growth'!$B$23*C416</f>
        <v>44355200</v>
      </c>
    </row>
    <row r="417" spans="1:8" ht="15.75" customHeight="1">
      <c r="A417" s="3">
        <v>416</v>
      </c>
      <c r="B417" s="13">
        <f>'Exponential Item Growth'!$B$5*'Exponential Item Growth'!$B$6^A417</f>
        <v>33669754528.229496</v>
      </c>
      <c r="C417" s="14">
        <f t="shared" si="0"/>
        <v>44462.080000000002</v>
      </c>
      <c r="D417" s="15">
        <f>A417*'Exponential Item Growth'!$B$4</f>
        <v>694.72</v>
      </c>
      <c r="E417" s="14">
        <f>IF(ISNA(VLOOKUP(A417,'Exponential Item Growth'!$A$10:$B$18,2,FALSE)),E416, E416*VLOOKUP(A417,'Exponential Item Growth'!$A$10:$B$18,2,FALSE))</f>
        <v>64</v>
      </c>
      <c r="F417" s="14">
        <f>C417*'Exponential Item Growth'!$B$21</f>
        <v>222310.40000000002</v>
      </c>
      <c r="G417" s="14">
        <f>'Exponential Item Growth'!$B$22*C417</f>
        <v>3334656</v>
      </c>
      <c r="H417" s="14">
        <f>'Exponential Item Growth'!$B$23*C417</f>
        <v>44462080</v>
      </c>
    </row>
    <row r="418" spans="1:8" ht="15.75" customHeight="1">
      <c r="A418" s="3">
        <v>417</v>
      </c>
      <c r="B418" s="13">
        <f>'Exponential Item Growth'!$B$5*'Exponential Item Growth'!$B$6^A418</f>
        <v>35689939799.923271</v>
      </c>
      <c r="C418" s="14">
        <f t="shared" si="0"/>
        <v>44568.959999999999</v>
      </c>
      <c r="D418" s="15">
        <f>A418*'Exponential Item Growth'!$B$4</f>
        <v>696.39</v>
      </c>
      <c r="E418" s="14">
        <f>IF(ISNA(VLOOKUP(A418,'Exponential Item Growth'!$A$10:$B$18,2,FALSE)),E417, E417*VLOOKUP(A418,'Exponential Item Growth'!$A$10:$B$18,2,FALSE))</f>
        <v>64</v>
      </c>
      <c r="F418" s="14">
        <f>C418*'Exponential Item Growth'!$B$21</f>
        <v>222844.79999999999</v>
      </c>
      <c r="G418" s="14">
        <f>'Exponential Item Growth'!$B$22*C418</f>
        <v>3342672</v>
      </c>
      <c r="H418" s="14">
        <f>'Exponential Item Growth'!$B$23*C418</f>
        <v>44568960</v>
      </c>
    </row>
    <row r="419" spans="1:8" ht="15.75" customHeight="1">
      <c r="A419" s="3">
        <v>418</v>
      </c>
      <c r="B419" s="13">
        <f>'Exponential Item Growth'!$B$5*'Exponential Item Growth'!$B$6^A419</f>
        <v>37831336187.918663</v>
      </c>
      <c r="C419" s="14">
        <f t="shared" si="0"/>
        <v>44675.839999999997</v>
      </c>
      <c r="D419" s="15">
        <f>A419*'Exponential Item Growth'!$B$4</f>
        <v>698.06</v>
      </c>
      <c r="E419" s="14">
        <f>IF(ISNA(VLOOKUP(A419,'Exponential Item Growth'!$A$10:$B$18,2,FALSE)),E418, E418*VLOOKUP(A419,'Exponential Item Growth'!$A$10:$B$18,2,FALSE))</f>
        <v>64</v>
      </c>
      <c r="F419" s="14">
        <f>C419*'Exponential Item Growth'!$B$21</f>
        <v>223379.19999999998</v>
      </c>
      <c r="G419" s="14">
        <f>'Exponential Item Growth'!$B$22*C419</f>
        <v>3350687.9999999995</v>
      </c>
      <c r="H419" s="14">
        <f>'Exponential Item Growth'!$B$23*C419</f>
        <v>44675840</v>
      </c>
    </row>
    <row r="420" spans="1:8" ht="15.75" customHeight="1">
      <c r="A420" s="3">
        <v>419</v>
      </c>
      <c r="B420" s="13">
        <f>'Exponential Item Growth'!$B$5*'Exponential Item Growth'!$B$6^A420</f>
        <v>40101216359.193794</v>
      </c>
      <c r="C420" s="14">
        <f t="shared" si="0"/>
        <v>44782.720000000001</v>
      </c>
      <c r="D420" s="15">
        <f>A420*'Exponential Item Growth'!$B$4</f>
        <v>699.73</v>
      </c>
      <c r="E420" s="14">
        <f>IF(ISNA(VLOOKUP(A420,'Exponential Item Growth'!$A$10:$B$18,2,FALSE)),E419, E419*VLOOKUP(A420,'Exponential Item Growth'!$A$10:$B$18,2,FALSE))</f>
        <v>64</v>
      </c>
      <c r="F420" s="14">
        <f>C420*'Exponential Item Growth'!$B$21</f>
        <v>223913.60000000001</v>
      </c>
      <c r="G420" s="14">
        <f>'Exponential Item Growth'!$B$22*C420</f>
        <v>3358704</v>
      </c>
      <c r="H420" s="14">
        <f>'Exponential Item Growth'!$B$23*C420</f>
        <v>44782720</v>
      </c>
    </row>
    <row r="421" spans="1:8" ht="15.75" customHeight="1">
      <c r="A421" s="3">
        <v>420</v>
      </c>
      <c r="B421" s="13">
        <f>'Exponential Item Growth'!$B$5*'Exponential Item Growth'!$B$6^A421</f>
        <v>42507289340.745422</v>
      </c>
      <c r="C421" s="14">
        <f t="shared" si="0"/>
        <v>44889.599999999999</v>
      </c>
      <c r="D421" s="15">
        <f>A421*'Exponential Item Growth'!$B$4</f>
        <v>701.4</v>
      </c>
      <c r="E421" s="14">
        <f>IF(ISNA(VLOOKUP(A421,'Exponential Item Growth'!$A$10:$B$18,2,FALSE)),E420, E420*VLOOKUP(A421,'Exponential Item Growth'!$A$10:$B$18,2,FALSE))</f>
        <v>64</v>
      </c>
      <c r="F421" s="14">
        <f>C421*'Exponential Item Growth'!$B$21</f>
        <v>224448</v>
      </c>
      <c r="G421" s="14">
        <f>'Exponential Item Growth'!$B$22*C421</f>
        <v>3366720</v>
      </c>
      <c r="H421" s="14">
        <f>'Exponential Item Growth'!$B$23*C421</f>
        <v>44889600</v>
      </c>
    </row>
    <row r="422" spans="1:8" ht="15.75" customHeight="1">
      <c r="A422" s="3">
        <v>421</v>
      </c>
      <c r="B422" s="13">
        <f>'Exponential Item Growth'!$B$5*'Exponential Item Growth'!$B$6^A422</f>
        <v>45057726701.190147</v>
      </c>
      <c r="C422" s="14">
        <f t="shared" si="0"/>
        <v>44996.479999999996</v>
      </c>
      <c r="D422" s="15">
        <f>A422*'Exponential Item Growth'!$B$4</f>
        <v>703.06999999999994</v>
      </c>
      <c r="E422" s="14">
        <f>IF(ISNA(VLOOKUP(A422,'Exponential Item Growth'!$A$10:$B$18,2,FALSE)),E421, E421*VLOOKUP(A422,'Exponential Item Growth'!$A$10:$B$18,2,FALSE))</f>
        <v>64</v>
      </c>
      <c r="F422" s="14">
        <f>C422*'Exponential Item Growth'!$B$21</f>
        <v>224982.39999999997</v>
      </c>
      <c r="G422" s="14">
        <f>'Exponential Item Growth'!$B$22*C422</f>
        <v>3374735.9999999995</v>
      </c>
      <c r="H422" s="14">
        <f>'Exponential Item Growth'!$B$23*C422</f>
        <v>44996479.999999993</v>
      </c>
    </row>
    <row r="423" spans="1:8" ht="15.75" customHeight="1">
      <c r="A423" s="3">
        <v>422</v>
      </c>
      <c r="B423" s="13">
        <f>'Exponential Item Growth'!$B$5*'Exponential Item Growth'!$B$6^A423</f>
        <v>47761190303.261566</v>
      </c>
      <c r="C423" s="14">
        <f t="shared" si="0"/>
        <v>45103.360000000001</v>
      </c>
      <c r="D423" s="15">
        <f>A423*'Exponential Item Growth'!$B$4</f>
        <v>704.74</v>
      </c>
      <c r="E423" s="14">
        <f>IF(ISNA(VLOOKUP(A423,'Exponential Item Growth'!$A$10:$B$18,2,FALSE)),E422, E422*VLOOKUP(A423,'Exponential Item Growth'!$A$10:$B$18,2,FALSE))</f>
        <v>64</v>
      </c>
      <c r="F423" s="14">
        <f>C423*'Exponential Item Growth'!$B$21</f>
        <v>225516.79999999999</v>
      </c>
      <c r="G423" s="14">
        <f>'Exponential Item Growth'!$B$22*C423</f>
        <v>3382752</v>
      </c>
      <c r="H423" s="14">
        <f>'Exponential Item Growth'!$B$23*C423</f>
        <v>45103360</v>
      </c>
    </row>
    <row r="424" spans="1:8" ht="15.75" customHeight="1">
      <c r="A424" s="3">
        <v>423</v>
      </c>
      <c r="B424" s="13">
        <f>'Exponential Item Growth'!$B$5*'Exponential Item Growth'!$B$6^A424</f>
        <v>50626861721.457268</v>
      </c>
      <c r="C424" s="14">
        <f t="shared" si="0"/>
        <v>45210.239999999998</v>
      </c>
      <c r="D424" s="15">
        <f>A424*'Exponential Item Growth'!$B$4</f>
        <v>706.41</v>
      </c>
      <c r="E424" s="14">
        <f>IF(ISNA(VLOOKUP(A424,'Exponential Item Growth'!$A$10:$B$18,2,FALSE)),E423, E423*VLOOKUP(A424,'Exponential Item Growth'!$A$10:$B$18,2,FALSE))</f>
        <v>64</v>
      </c>
      <c r="F424" s="14">
        <f>C424*'Exponential Item Growth'!$B$21</f>
        <v>226051.19999999998</v>
      </c>
      <c r="G424" s="14">
        <f>'Exponential Item Growth'!$B$22*C424</f>
        <v>3390768</v>
      </c>
      <c r="H424" s="14">
        <f>'Exponential Item Growth'!$B$23*C424</f>
        <v>45210240</v>
      </c>
    </row>
    <row r="425" spans="1:8" ht="15.75" customHeight="1">
      <c r="A425" s="3">
        <v>424</v>
      </c>
      <c r="B425" s="13">
        <f>'Exponential Item Growth'!$B$5*'Exponential Item Growth'!$B$6^A425</f>
        <v>53664473424.74469</v>
      </c>
      <c r="C425" s="14">
        <f t="shared" si="0"/>
        <v>45317.119999999995</v>
      </c>
      <c r="D425" s="15">
        <f>A425*'Exponential Item Growth'!$B$4</f>
        <v>708.07999999999993</v>
      </c>
      <c r="E425" s="14">
        <f>IF(ISNA(VLOOKUP(A425,'Exponential Item Growth'!$A$10:$B$18,2,FALSE)),E424, E424*VLOOKUP(A425,'Exponential Item Growth'!$A$10:$B$18,2,FALSE))</f>
        <v>64</v>
      </c>
      <c r="F425" s="14">
        <f>C425*'Exponential Item Growth'!$B$21</f>
        <v>226585.59999999998</v>
      </c>
      <c r="G425" s="14">
        <f>'Exponential Item Growth'!$B$22*C425</f>
        <v>3398783.9999999995</v>
      </c>
      <c r="H425" s="14">
        <f>'Exponential Item Growth'!$B$23*C425</f>
        <v>45317119.999999993</v>
      </c>
    </row>
    <row r="426" spans="1:8" ht="15.75" customHeight="1">
      <c r="A426" s="3">
        <v>425</v>
      </c>
      <c r="B426" s="13">
        <f>'Exponential Item Growth'!$B$5*'Exponential Item Growth'!$B$6^A426</f>
        <v>56884341830.22937</v>
      </c>
      <c r="C426" s="14">
        <f t="shared" si="0"/>
        <v>45424</v>
      </c>
      <c r="D426" s="15">
        <f>A426*'Exponential Item Growth'!$B$4</f>
        <v>709.75</v>
      </c>
      <c r="E426" s="14">
        <f>IF(ISNA(VLOOKUP(A426,'Exponential Item Growth'!$A$10:$B$18,2,FALSE)),E425, E425*VLOOKUP(A426,'Exponential Item Growth'!$A$10:$B$18,2,FALSE))</f>
        <v>64</v>
      </c>
      <c r="F426" s="14">
        <f>C426*'Exponential Item Growth'!$B$21</f>
        <v>227120</v>
      </c>
      <c r="G426" s="14">
        <f>'Exponential Item Growth'!$B$22*C426</f>
        <v>3406800</v>
      </c>
      <c r="H426" s="14">
        <f>'Exponential Item Growth'!$B$23*C426</f>
        <v>45424000</v>
      </c>
    </row>
    <row r="427" spans="1:8" ht="15.75" customHeight="1">
      <c r="A427" s="3">
        <v>426</v>
      </c>
      <c r="B427" s="13">
        <f>'Exponential Item Growth'!$B$5*'Exponential Item Growth'!$B$6^A427</f>
        <v>60297402340.043144</v>
      </c>
      <c r="C427" s="14">
        <f t="shared" si="0"/>
        <v>45530.879999999997</v>
      </c>
      <c r="D427" s="15">
        <f>A427*'Exponential Item Growth'!$B$4</f>
        <v>711.42</v>
      </c>
      <c r="E427" s="14">
        <f>IF(ISNA(VLOOKUP(A427,'Exponential Item Growth'!$A$10:$B$18,2,FALSE)),E426, E426*VLOOKUP(A427,'Exponential Item Growth'!$A$10:$B$18,2,FALSE))</f>
        <v>64</v>
      </c>
      <c r="F427" s="14">
        <f>C427*'Exponential Item Growth'!$B$21</f>
        <v>227654.39999999999</v>
      </c>
      <c r="G427" s="14">
        <f>'Exponential Item Growth'!$B$22*C427</f>
        <v>3414816</v>
      </c>
      <c r="H427" s="14">
        <f>'Exponential Item Growth'!$B$23*C427</f>
        <v>45530880</v>
      </c>
    </row>
    <row r="428" spans="1:8" ht="15.75" customHeight="1">
      <c r="A428" s="3">
        <v>427</v>
      </c>
      <c r="B428" s="13">
        <f>'Exponential Item Growth'!$B$5*'Exponential Item Growth'!$B$6^A428</f>
        <v>63915246480.44574</v>
      </c>
      <c r="C428" s="14">
        <f t="shared" si="0"/>
        <v>45637.759999999995</v>
      </c>
      <c r="D428" s="15">
        <f>A428*'Exponential Item Growth'!$B$4</f>
        <v>713.08999999999992</v>
      </c>
      <c r="E428" s="14">
        <f>IF(ISNA(VLOOKUP(A428,'Exponential Item Growth'!$A$10:$B$18,2,FALSE)),E427, E427*VLOOKUP(A428,'Exponential Item Growth'!$A$10:$B$18,2,FALSE))</f>
        <v>64</v>
      </c>
      <c r="F428" s="14">
        <f>C428*'Exponential Item Growth'!$B$21</f>
        <v>228188.79999999999</v>
      </c>
      <c r="G428" s="14">
        <f>'Exponential Item Growth'!$B$22*C428</f>
        <v>3422831.9999999995</v>
      </c>
      <c r="H428" s="14">
        <f>'Exponential Item Growth'!$B$23*C428</f>
        <v>45637759.999999993</v>
      </c>
    </row>
    <row r="429" spans="1:8" ht="15.75" customHeight="1">
      <c r="A429" s="3">
        <v>428</v>
      </c>
      <c r="B429" s="13">
        <f>'Exponential Item Growth'!$B$5*'Exponential Item Growth'!$B$6^A429</f>
        <v>67750161269.272484</v>
      </c>
      <c r="C429" s="14">
        <f t="shared" si="0"/>
        <v>45744.639999999999</v>
      </c>
      <c r="D429" s="15">
        <f>A429*'Exponential Item Growth'!$B$4</f>
        <v>714.76</v>
      </c>
      <c r="E429" s="14">
        <f>IF(ISNA(VLOOKUP(A429,'Exponential Item Growth'!$A$10:$B$18,2,FALSE)),E428, E428*VLOOKUP(A429,'Exponential Item Growth'!$A$10:$B$18,2,FALSE))</f>
        <v>64</v>
      </c>
      <c r="F429" s="14">
        <f>C429*'Exponential Item Growth'!$B$21</f>
        <v>228723.20000000001</v>
      </c>
      <c r="G429" s="14">
        <f>'Exponential Item Growth'!$B$22*C429</f>
        <v>3430848</v>
      </c>
      <c r="H429" s="14">
        <f>'Exponential Item Growth'!$B$23*C429</f>
        <v>45744640</v>
      </c>
    </row>
    <row r="430" spans="1:8" ht="15.75" customHeight="1">
      <c r="A430" s="3">
        <v>429</v>
      </c>
      <c r="B430" s="13">
        <f>'Exponential Item Growth'!$B$5*'Exponential Item Growth'!$B$6^A430</f>
        <v>71815170945.428833</v>
      </c>
      <c r="C430" s="14">
        <f t="shared" si="0"/>
        <v>45851.519999999997</v>
      </c>
      <c r="D430" s="15">
        <f>A430*'Exponential Item Growth'!$B$4</f>
        <v>716.43</v>
      </c>
      <c r="E430" s="14">
        <f>IF(ISNA(VLOOKUP(A430,'Exponential Item Growth'!$A$10:$B$18,2,FALSE)),E429, E429*VLOOKUP(A430,'Exponential Item Growth'!$A$10:$B$18,2,FALSE))</f>
        <v>64</v>
      </c>
      <c r="F430" s="14">
        <f>C430*'Exponential Item Growth'!$B$21</f>
        <v>229257.59999999998</v>
      </c>
      <c r="G430" s="14">
        <f>'Exponential Item Growth'!$B$22*C430</f>
        <v>3438863.9999999995</v>
      </c>
      <c r="H430" s="14">
        <f>'Exponential Item Growth'!$B$23*C430</f>
        <v>45851520</v>
      </c>
    </row>
    <row r="431" spans="1:8" ht="15.75" customHeight="1">
      <c r="A431" s="3">
        <v>430</v>
      </c>
      <c r="B431" s="13">
        <f>'Exponential Item Growth'!$B$5*'Exponential Item Growth'!$B$6^A431</f>
        <v>76124081202.154572</v>
      </c>
      <c r="C431" s="14">
        <f t="shared" si="0"/>
        <v>45958.400000000001</v>
      </c>
      <c r="D431" s="15">
        <f>A431*'Exponential Item Growth'!$B$4</f>
        <v>718.1</v>
      </c>
      <c r="E431" s="14">
        <f>IF(ISNA(VLOOKUP(A431,'Exponential Item Growth'!$A$10:$B$18,2,FALSE)),E430, E430*VLOOKUP(A431,'Exponential Item Growth'!$A$10:$B$18,2,FALSE))</f>
        <v>64</v>
      </c>
      <c r="F431" s="14">
        <f>C431*'Exponential Item Growth'!$B$21</f>
        <v>229792</v>
      </c>
      <c r="G431" s="14">
        <f>'Exponential Item Growth'!$B$22*C431</f>
        <v>3446880</v>
      </c>
      <c r="H431" s="14">
        <f>'Exponential Item Growth'!$B$23*C431</f>
        <v>45958400</v>
      </c>
    </row>
    <row r="432" spans="1:8" ht="15.75" customHeight="1">
      <c r="A432" s="3">
        <v>431</v>
      </c>
      <c r="B432" s="13">
        <f>'Exponential Item Growth'!$B$5*'Exponential Item Growth'!$B$6^A432</f>
        <v>80691526074.283875</v>
      </c>
      <c r="C432" s="14">
        <f t="shared" si="0"/>
        <v>46065.279999999999</v>
      </c>
      <c r="D432" s="15">
        <f>A432*'Exponential Item Growth'!$B$4</f>
        <v>719.77</v>
      </c>
      <c r="E432" s="14">
        <f>IF(ISNA(VLOOKUP(A432,'Exponential Item Growth'!$A$10:$B$18,2,FALSE)),E431, E431*VLOOKUP(A432,'Exponential Item Growth'!$A$10:$B$18,2,FALSE))</f>
        <v>64</v>
      </c>
      <c r="F432" s="14">
        <f>C432*'Exponential Item Growth'!$B$21</f>
        <v>230326.39999999999</v>
      </c>
      <c r="G432" s="14">
        <f>'Exponential Item Growth'!$B$22*C432</f>
        <v>3454896</v>
      </c>
      <c r="H432" s="14">
        <f>'Exponential Item Growth'!$B$23*C432</f>
        <v>46065280</v>
      </c>
    </row>
    <row r="433" spans="1:8" ht="15.75" customHeight="1">
      <c r="A433" s="3">
        <v>432</v>
      </c>
      <c r="B433" s="13">
        <f>'Exponential Item Growth'!$B$5*'Exponential Item Growth'!$B$6^A433</f>
        <v>85533017638.740875</v>
      </c>
      <c r="C433" s="14">
        <f t="shared" si="0"/>
        <v>46172.159999999996</v>
      </c>
      <c r="D433" s="15">
        <f>A433*'Exponential Item Growth'!$B$4</f>
        <v>721.43999999999994</v>
      </c>
      <c r="E433" s="14">
        <f>IF(ISNA(VLOOKUP(A433,'Exponential Item Growth'!$A$10:$B$18,2,FALSE)),E432, E432*VLOOKUP(A433,'Exponential Item Growth'!$A$10:$B$18,2,FALSE))</f>
        <v>64</v>
      </c>
      <c r="F433" s="14">
        <f>C433*'Exponential Item Growth'!$B$21</f>
        <v>230860.79999999999</v>
      </c>
      <c r="G433" s="14">
        <f>'Exponential Item Growth'!$B$22*C433</f>
        <v>3462911.9999999995</v>
      </c>
      <c r="H433" s="14">
        <f>'Exponential Item Growth'!$B$23*C433</f>
        <v>46172159.999999993</v>
      </c>
    </row>
    <row r="434" spans="1:8" ht="15.75" customHeight="1">
      <c r="A434" s="3">
        <v>433</v>
      </c>
      <c r="B434" s="13">
        <f>'Exponential Item Growth'!$B$5*'Exponential Item Growth'!$B$6^A434</f>
        <v>90664998697.065338</v>
      </c>
      <c r="C434" s="14">
        <f t="shared" si="0"/>
        <v>46279.040000000001</v>
      </c>
      <c r="D434" s="15">
        <f>A434*'Exponential Item Growth'!$B$4</f>
        <v>723.11</v>
      </c>
      <c r="E434" s="14">
        <f>IF(ISNA(VLOOKUP(A434,'Exponential Item Growth'!$A$10:$B$18,2,FALSE)),E433, E433*VLOOKUP(A434,'Exponential Item Growth'!$A$10:$B$18,2,FALSE))</f>
        <v>64</v>
      </c>
      <c r="F434" s="14">
        <f>C434*'Exponential Item Growth'!$B$21</f>
        <v>231395.20000000001</v>
      </c>
      <c r="G434" s="14">
        <f>'Exponential Item Growth'!$B$22*C434</f>
        <v>3470928</v>
      </c>
      <c r="H434" s="14">
        <f>'Exponential Item Growth'!$B$23*C434</f>
        <v>46279040</v>
      </c>
    </row>
    <row r="435" spans="1:8" ht="15.75" customHeight="1">
      <c r="A435" s="3">
        <v>434</v>
      </c>
      <c r="B435" s="13">
        <f>'Exponential Item Growth'!$B$5*'Exponential Item Growth'!$B$6^A435</f>
        <v>96104898618.889252</v>
      </c>
      <c r="C435" s="14">
        <f t="shared" si="0"/>
        <v>46385.919999999998</v>
      </c>
      <c r="D435" s="15">
        <f>A435*'Exponential Item Growth'!$B$4</f>
        <v>724.78</v>
      </c>
      <c r="E435" s="14">
        <f>IF(ISNA(VLOOKUP(A435,'Exponential Item Growth'!$A$10:$B$18,2,FALSE)),E434, E434*VLOOKUP(A435,'Exponential Item Growth'!$A$10:$B$18,2,FALSE))</f>
        <v>64</v>
      </c>
      <c r="F435" s="14">
        <f>C435*'Exponential Item Growth'!$B$21</f>
        <v>231929.59999999998</v>
      </c>
      <c r="G435" s="14">
        <f>'Exponential Item Growth'!$B$22*C435</f>
        <v>3478944</v>
      </c>
      <c r="H435" s="14">
        <f>'Exponential Item Growth'!$B$23*C435</f>
        <v>46385920</v>
      </c>
    </row>
    <row r="436" spans="1:8" ht="15.75" customHeight="1">
      <c r="A436" s="3">
        <v>435</v>
      </c>
      <c r="B436" s="13">
        <f>'Exponential Item Growth'!$B$5*'Exponential Item Growth'!$B$6^A436</f>
        <v>101871192536.02263</v>
      </c>
      <c r="C436" s="14">
        <f t="shared" si="0"/>
        <v>46492.799999999996</v>
      </c>
      <c r="D436" s="15">
        <f>A436*'Exponential Item Growth'!$B$4</f>
        <v>726.44999999999993</v>
      </c>
      <c r="E436" s="14">
        <f>IF(ISNA(VLOOKUP(A436,'Exponential Item Growth'!$A$10:$B$18,2,FALSE)),E435, E435*VLOOKUP(A436,'Exponential Item Growth'!$A$10:$B$18,2,FALSE))</f>
        <v>64</v>
      </c>
      <c r="F436" s="14">
        <f>C436*'Exponential Item Growth'!$B$21</f>
        <v>232463.99999999997</v>
      </c>
      <c r="G436" s="14">
        <f>'Exponential Item Growth'!$B$22*C436</f>
        <v>3486959.9999999995</v>
      </c>
      <c r="H436" s="14">
        <f>'Exponential Item Growth'!$B$23*C436</f>
        <v>46492799.999999993</v>
      </c>
    </row>
    <row r="437" spans="1:8" ht="15.75" customHeight="1">
      <c r="A437" s="3">
        <v>436</v>
      </c>
      <c r="B437" s="13">
        <f>'Exponential Item Growth'!$B$5*'Exponential Item Growth'!$B$6^A437</f>
        <v>107983464088.18398</v>
      </c>
      <c r="C437" s="14">
        <f t="shared" si="0"/>
        <v>46599.68</v>
      </c>
      <c r="D437" s="15">
        <f>A437*'Exponential Item Growth'!$B$4</f>
        <v>728.12</v>
      </c>
      <c r="E437" s="14">
        <f>IF(ISNA(VLOOKUP(A437,'Exponential Item Growth'!$A$10:$B$18,2,FALSE)),E436, E436*VLOOKUP(A437,'Exponential Item Growth'!$A$10:$B$18,2,FALSE))</f>
        <v>64</v>
      </c>
      <c r="F437" s="14">
        <f>C437*'Exponential Item Growth'!$B$21</f>
        <v>232998.39999999999</v>
      </c>
      <c r="G437" s="14">
        <f>'Exponential Item Growth'!$B$22*C437</f>
        <v>3494976</v>
      </c>
      <c r="H437" s="14">
        <f>'Exponential Item Growth'!$B$23*C437</f>
        <v>46599680</v>
      </c>
    </row>
    <row r="438" spans="1:8" ht="15.75" customHeight="1">
      <c r="A438" s="3">
        <v>437</v>
      </c>
      <c r="B438" s="13">
        <f>'Exponential Item Growth'!$B$5*'Exponential Item Growth'!$B$6^A438</f>
        <v>114462471933.47507</v>
      </c>
      <c r="C438" s="14">
        <f t="shared" si="0"/>
        <v>46706.559999999998</v>
      </c>
      <c r="D438" s="15">
        <f>A438*'Exponential Item Growth'!$B$4</f>
        <v>729.79</v>
      </c>
      <c r="E438" s="14">
        <f>IF(ISNA(VLOOKUP(A438,'Exponential Item Growth'!$A$10:$B$18,2,FALSE)),E437, E437*VLOOKUP(A438,'Exponential Item Growth'!$A$10:$B$18,2,FALSE))</f>
        <v>64</v>
      </c>
      <c r="F438" s="14">
        <f>C438*'Exponential Item Growth'!$B$21</f>
        <v>233532.79999999999</v>
      </c>
      <c r="G438" s="14">
        <f>'Exponential Item Growth'!$B$22*C438</f>
        <v>3502992</v>
      </c>
      <c r="H438" s="14">
        <f>'Exponential Item Growth'!$B$23*C438</f>
        <v>46706560</v>
      </c>
    </row>
    <row r="439" spans="1:8" ht="15.75" customHeight="1">
      <c r="A439" s="3">
        <v>438</v>
      </c>
      <c r="B439" s="13">
        <f>'Exponential Item Growth'!$B$5*'Exponential Item Growth'!$B$6^A439</f>
        <v>121330220249.48355</v>
      </c>
      <c r="C439" s="14">
        <f t="shared" si="0"/>
        <v>46813.439999999995</v>
      </c>
      <c r="D439" s="15">
        <f>A439*'Exponential Item Growth'!$B$4</f>
        <v>731.45999999999992</v>
      </c>
      <c r="E439" s="14">
        <f>IF(ISNA(VLOOKUP(A439,'Exponential Item Growth'!$A$10:$B$18,2,FALSE)),E438, E438*VLOOKUP(A439,'Exponential Item Growth'!$A$10:$B$18,2,FALSE))</f>
        <v>64</v>
      </c>
      <c r="F439" s="14">
        <f>C439*'Exponential Item Growth'!$B$21</f>
        <v>234067.19999999998</v>
      </c>
      <c r="G439" s="14">
        <f>'Exponential Item Growth'!$B$22*C439</f>
        <v>3511007.9999999995</v>
      </c>
      <c r="H439" s="14">
        <f>'Exponential Item Growth'!$B$23*C439</f>
        <v>46813439.999999993</v>
      </c>
    </row>
    <row r="440" spans="1:8" ht="15.75" customHeight="1">
      <c r="A440" s="3">
        <v>439</v>
      </c>
      <c r="B440" s="13">
        <f>'Exponential Item Growth'!$B$5*'Exponential Item Growth'!$B$6^A440</f>
        <v>128610033464.45259</v>
      </c>
      <c r="C440" s="14">
        <f t="shared" si="0"/>
        <v>46920.32</v>
      </c>
      <c r="D440" s="15">
        <f>A440*'Exponential Item Growth'!$B$4</f>
        <v>733.13</v>
      </c>
      <c r="E440" s="14">
        <f>IF(ISNA(VLOOKUP(A440,'Exponential Item Growth'!$A$10:$B$18,2,FALSE)),E439, E439*VLOOKUP(A440,'Exponential Item Growth'!$A$10:$B$18,2,FALSE))</f>
        <v>64</v>
      </c>
      <c r="F440" s="14">
        <f>C440*'Exponential Item Growth'!$B$21</f>
        <v>234601.60000000001</v>
      </c>
      <c r="G440" s="14">
        <f>'Exponential Item Growth'!$B$22*C440</f>
        <v>3519024</v>
      </c>
      <c r="H440" s="14">
        <f>'Exponential Item Growth'!$B$23*C440</f>
        <v>46920320</v>
      </c>
    </row>
    <row r="441" spans="1:8" ht="15.75" customHeight="1">
      <c r="A441" s="3">
        <v>440</v>
      </c>
      <c r="B441" s="13">
        <f>'Exponential Item Growth'!$B$5*'Exponential Item Growth'!$B$6^A441</f>
        <v>136326635472.31972</v>
      </c>
      <c r="C441" s="14">
        <f t="shared" si="0"/>
        <v>47027.199999999997</v>
      </c>
      <c r="D441" s="15">
        <f>A441*'Exponential Item Growth'!$B$4</f>
        <v>734.8</v>
      </c>
      <c r="E441" s="14">
        <f>IF(ISNA(VLOOKUP(A441,'Exponential Item Growth'!$A$10:$B$18,2,FALSE)),E440, E440*VLOOKUP(A441,'Exponential Item Growth'!$A$10:$B$18,2,FALSE))</f>
        <v>64</v>
      </c>
      <c r="F441" s="14">
        <f>C441*'Exponential Item Growth'!$B$21</f>
        <v>235136</v>
      </c>
      <c r="G441" s="14">
        <f>'Exponential Item Growth'!$B$22*C441</f>
        <v>3527040</v>
      </c>
      <c r="H441" s="14">
        <f>'Exponential Item Growth'!$B$23*C441</f>
        <v>47027200</v>
      </c>
    </row>
    <row r="442" spans="1:8" ht="15.75" customHeight="1">
      <c r="A442" s="3">
        <v>441</v>
      </c>
      <c r="B442" s="13">
        <f>'Exponential Item Growth'!$B$5*'Exponential Item Growth'!$B$6^A442</f>
        <v>144506233600.65891</v>
      </c>
      <c r="C442" s="14">
        <f t="shared" si="0"/>
        <v>47134.079999999994</v>
      </c>
      <c r="D442" s="15">
        <f>A442*'Exponential Item Growth'!$B$4</f>
        <v>736.46999999999991</v>
      </c>
      <c r="E442" s="14">
        <f>IF(ISNA(VLOOKUP(A442,'Exponential Item Growth'!$A$10:$B$18,2,FALSE)),E441, E441*VLOOKUP(A442,'Exponential Item Growth'!$A$10:$B$18,2,FALSE))</f>
        <v>64</v>
      </c>
      <c r="F442" s="14">
        <f>C442*'Exponential Item Growth'!$B$21</f>
        <v>235670.39999999997</v>
      </c>
      <c r="G442" s="14">
        <f>'Exponential Item Growth'!$B$22*C442</f>
        <v>3535055.9999999995</v>
      </c>
      <c r="H442" s="14">
        <f>'Exponential Item Growth'!$B$23*C442</f>
        <v>47134079.999999993</v>
      </c>
    </row>
    <row r="443" spans="1:8" ht="15.75" customHeight="1">
      <c r="A443" s="3">
        <v>442</v>
      </c>
      <c r="B443" s="13">
        <f>'Exponential Item Growth'!$B$5*'Exponential Item Growth'!$B$6^A443</f>
        <v>153176607616.69843</v>
      </c>
      <c r="C443" s="14">
        <f t="shared" si="0"/>
        <v>47240.959999999999</v>
      </c>
      <c r="D443" s="15">
        <f>A443*'Exponential Item Growth'!$B$4</f>
        <v>738.14</v>
      </c>
      <c r="E443" s="14">
        <f>IF(ISNA(VLOOKUP(A443,'Exponential Item Growth'!$A$10:$B$18,2,FALSE)),E442, E442*VLOOKUP(A443,'Exponential Item Growth'!$A$10:$B$18,2,FALSE))</f>
        <v>64</v>
      </c>
      <c r="F443" s="14">
        <f>C443*'Exponential Item Growth'!$B$21</f>
        <v>236204.79999999999</v>
      </c>
      <c r="G443" s="14">
        <f>'Exponential Item Growth'!$B$22*C443</f>
        <v>3543072</v>
      </c>
      <c r="H443" s="14">
        <f>'Exponential Item Growth'!$B$23*C443</f>
        <v>47240960</v>
      </c>
    </row>
    <row r="444" spans="1:8" ht="15.75" customHeight="1">
      <c r="A444" s="3">
        <v>443</v>
      </c>
      <c r="B444" s="13">
        <f>'Exponential Item Growth'!$B$5*'Exponential Item Growth'!$B$6^A444</f>
        <v>162367204073.70038</v>
      </c>
      <c r="C444" s="14">
        <f t="shared" si="0"/>
        <v>47347.839999999997</v>
      </c>
      <c r="D444" s="15">
        <f>A444*'Exponential Item Growth'!$B$4</f>
        <v>739.81</v>
      </c>
      <c r="E444" s="14">
        <f>IF(ISNA(VLOOKUP(A444,'Exponential Item Growth'!$A$10:$B$18,2,FALSE)),E443, E443*VLOOKUP(A444,'Exponential Item Growth'!$A$10:$B$18,2,FALSE))</f>
        <v>64</v>
      </c>
      <c r="F444" s="14">
        <f>C444*'Exponential Item Growth'!$B$21</f>
        <v>236739.19999999998</v>
      </c>
      <c r="G444" s="14">
        <f>'Exponential Item Growth'!$B$22*C444</f>
        <v>3551087.9999999995</v>
      </c>
      <c r="H444" s="14">
        <f>'Exponential Item Growth'!$B$23*C444</f>
        <v>47347840</v>
      </c>
    </row>
    <row r="445" spans="1:8" ht="15.75" customHeight="1">
      <c r="A445" s="3">
        <v>444</v>
      </c>
      <c r="B445" s="13">
        <f>'Exponential Item Growth'!$B$5*'Exponential Item Growth'!$B$6^A445</f>
        <v>172109236318.12241</v>
      </c>
      <c r="C445" s="14">
        <f t="shared" si="0"/>
        <v>47454.720000000001</v>
      </c>
      <c r="D445" s="15">
        <f>A445*'Exponential Item Growth'!$B$4</f>
        <v>741.48</v>
      </c>
      <c r="E445" s="14">
        <f>IF(ISNA(VLOOKUP(A445,'Exponential Item Growth'!$A$10:$B$18,2,FALSE)),E444, E444*VLOOKUP(A445,'Exponential Item Growth'!$A$10:$B$18,2,FALSE))</f>
        <v>64</v>
      </c>
      <c r="F445" s="14">
        <f>C445*'Exponential Item Growth'!$B$21</f>
        <v>237273.60000000001</v>
      </c>
      <c r="G445" s="14">
        <f>'Exponential Item Growth'!$B$22*C445</f>
        <v>3559104</v>
      </c>
      <c r="H445" s="14">
        <f>'Exponential Item Growth'!$B$23*C445</f>
        <v>47454720</v>
      </c>
    </row>
    <row r="446" spans="1:8" ht="15.75" customHeight="1">
      <c r="A446" s="3">
        <v>445</v>
      </c>
      <c r="B446" s="13">
        <f>'Exponential Item Growth'!$B$5*'Exponential Item Growth'!$B$6^A446</f>
        <v>182435790497.20978</v>
      </c>
      <c r="C446" s="14">
        <f t="shared" si="0"/>
        <v>47561.599999999999</v>
      </c>
      <c r="D446" s="15">
        <f>A446*'Exponential Item Growth'!$B$4</f>
        <v>743.15</v>
      </c>
      <c r="E446" s="14">
        <f>IF(ISNA(VLOOKUP(A446,'Exponential Item Growth'!$A$10:$B$18,2,FALSE)),E445, E445*VLOOKUP(A446,'Exponential Item Growth'!$A$10:$B$18,2,FALSE))</f>
        <v>64</v>
      </c>
      <c r="F446" s="14">
        <f>C446*'Exponential Item Growth'!$B$21</f>
        <v>237808</v>
      </c>
      <c r="G446" s="14">
        <f>'Exponential Item Growth'!$B$22*C446</f>
        <v>3567120</v>
      </c>
      <c r="H446" s="14">
        <f>'Exponential Item Growth'!$B$23*C446</f>
        <v>47561600</v>
      </c>
    </row>
    <row r="447" spans="1:8" ht="15.75" customHeight="1">
      <c r="A447" s="3">
        <v>446</v>
      </c>
      <c r="B447" s="13">
        <f>'Exponential Item Growth'!$B$5*'Exponential Item Growth'!$B$6^A447</f>
        <v>193381937927.04236</v>
      </c>
      <c r="C447" s="14">
        <f t="shared" si="0"/>
        <v>47668.479999999996</v>
      </c>
      <c r="D447" s="15">
        <f>A447*'Exponential Item Growth'!$B$4</f>
        <v>744.81999999999994</v>
      </c>
      <c r="E447" s="14">
        <f>IF(ISNA(VLOOKUP(A447,'Exponential Item Growth'!$A$10:$B$18,2,FALSE)),E446, E446*VLOOKUP(A447,'Exponential Item Growth'!$A$10:$B$18,2,FALSE))</f>
        <v>64</v>
      </c>
      <c r="F447" s="14">
        <f>C447*'Exponential Item Growth'!$B$21</f>
        <v>238342.39999999997</v>
      </c>
      <c r="G447" s="14">
        <f>'Exponential Item Growth'!$B$22*C447</f>
        <v>3575135.9999999995</v>
      </c>
      <c r="H447" s="14">
        <f>'Exponential Item Growth'!$B$23*C447</f>
        <v>47668479.999999993</v>
      </c>
    </row>
    <row r="448" spans="1:8" ht="15.75" customHeight="1">
      <c r="A448" s="3">
        <v>447</v>
      </c>
      <c r="B448" s="13">
        <f>'Exponential Item Growth'!$B$5*'Exponential Item Growth'!$B$6^A448</f>
        <v>204984854202.66498</v>
      </c>
      <c r="C448" s="14">
        <f t="shared" si="0"/>
        <v>47775.360000000001</v>
      </c>
      <c r="D448" s="15">
        <f>A448*'Exponential Item Growth'!$B$4</f>
        <v>746.49</v>
      </c>
      <c r="E448" s="14">
        <f>IF(ISNA(VLOOKUP(A448,'Exponential Item Growth'!$A$10:$B$18,2,FALSE)),E447, E447*VLOOKUP(A448,'Exponential Item Growth'!$A$10:$B$18,2,FALSE))</f>
        <v>64</v>
      </c>
      <c r="F448" s="14">
        <f>C448*'Exponential Item Growth'!$B$21</f>
        <v>238876.79999999999</v>
      </c>
      <c r="G448" s="14">
        <f>'Exponential Item Growth'!$B$22*C448</f>
        <v>3583152</v>
      </c>
      <c r="H448" s="14">
        <f>'Exponential Item Growth'!$B$23*C448</f>
        <v>47775360</v>
      </c>
    </row>
    <row r="449" spans="1:8" ht="15.75" customHeight="1">
      <c r="A449" s="3">
        <v>448</v>
      </c>
      <c r="B449" s="13">
        <f>'Exponential Item Growth'!$B$5*'Exponential Item Growth'!$B$6^A449</f>
        <v>217283945454.82477</v>
      </c>
      <c r="C449" s="14">
        <f t="shared" si="0"/>
        <v>47882.239999999998</v>
      </c>
      <c r="D449" s="15">
        <f>A449*'Exponential Item Growth'!$B$4</f>
        <v>748.16</v>
      </c>
      <c r="E449" s="14">
        <f>IF(ISNA(VLOOKUP(A449,'Exponential Item Growth'!$A$10:$B$18,2,FALSE)),E448, E448*VLOOKUP(A449,'Exponential Item Growth'!$A$10:$B$18,2,FALSE))</f>
        <v>64</v>
      </c>
      <c r="F449" s="14">
        <f>C449*'Exponential Item Growth'!$B$21</f>
        <v>239411.19999999998</v>
      </c>
      <c r="G449" s="14">
        <f>'Exponential Item Growth'!$B$22*C449</f>
        <v>3591168</v>
      </c>
      <c r="H449" s="14">
        <f>'Exponential Item Growth'!$B$23*C449</f>
        <v>47882240</v>
      </c>
    </row>
    <row r="450" spans="1:8" ht="15.75" customHeight="1">
      <c r="A450" s="3">
        <v>449</v>
      </c>
      <c r="B450" s="13">
        <f>'Exponential Item Growth'!$B$5*'Exponential Item Growth'!$B$6^A450</f>
        <v>230320982182.11429</v>
      </c>
      <c r="C450" s="14">
        <f t="shared" si="0"/>
        <v>47989.119999999995</v>
      </c>
      <c r="D450" s="15">
        <f>A450*'Exponential Item Growth'!$B$4</f>
        <v>749.82999999999993</v>
      </c>
      <c r="E450" s="14">
        <f>IF(ISNA(VLOOKUP(A450,'Exponential Item Growth'!$A$10:$B$18,2,FALSE)),E449, E449*VLOOKUP(A450,'Exponential Item Growth'!$A$10:$B$18,2,FALSE))</f>
        <v>64</v>
      </c>
      <c r="F450" s="14">
        <f>C450*'Exponential Item Growth'!$B$21</f>
        <v>239945.59999999998</v>
      </c>
      <c r="G450" s="14">
        <f>'Exponential Item Growth'!$B$22*C450</f>
        <v>3599183.9999999995</v>
      </c>
      <c r="H450" s="14">
        <f>'Exponential Item Growth'!$B$23*C450</f>
        <v>47989119.999999993</v>
      </c>
    </row>
    <row r="451" spans="1:8" ht="15.75" customHeight="1">
      <c r="A451" s="3">
        <v>450</v>
      </c>
      <c r="B451" s="13">
        <f>'Exponential Item Growth'!$B$5*'Exponential Item Growth'!$B$6^A451</f>
        <v>244140241113.04117</v>
      </c>
      <c r="C451" s="14">
        <f t="shared" si="0"/>
        <v>48096</v>
      </c>
      <c r="D451" s="15">
        <f>A451*'Exponential Item Growth'!$B$4</f>
        <v>751.5</v>
      </c>
      <c r="E451" s="14">
        <f>IF(ISNA(VLOOKUP(A451,'Exponential Item Growth'!$A$10:$B$18,2,FALSE)),E450, E450*VLOOKUP(A451,'Exponential Item Growth'!$A$10:$B$18,2,FALSE))</f>
        <v>64</v>
      </c>
      <c r="F451" s="14">
        <f>C451*'Exponential Item Growth'!$B$21</f>
        <v>240480</v>
      </c>
      <c r="G451" s="14">
        <f>'Exponential Item Growth'!$B$22*C451</f>
        <v>3607200</v>
      </c>
      <c r="H451" s="14">
        <f>'Exponential Item Growth'!$B$23*C451</f>
        <v>48096000</v>
      </c>
    </row>
    <row r="452" spans="1:8" ht="15.75" customHeight="1">
      <c r="A452" s="3">
        <v>451</v>
      </c>
      <c r="B452" s="13">
        <f>'Exponential Item Growth'!$B$5*'Exponential Item Growth'!$B$6^A452</f>
        <v>258788655579.82364</v>
      </c>
      <c r="C452" s="14">
        <f t="shared" si="0"/>
        <v>48202.879999999997</v>
      </c>
      <c r="D452" s="15">
        <f>A452*'Exponential Item Growth'!$B$4</f>
        <v>753.17</v>
      </c>
      <c r="E452" s="14">
        <f>IF(ISNA(VLOOKUP(A452,'Exponential Item Growth'!$A$10:$B$18,2,FALSE)),E451, E451*VLOOKUP(A452,'Exponential Item Growth'!$A$10:$B$18,2,FALSE))</f>
        <v>64</v>
      </c>
      <c r="F452" s="14">
        <f>C452*'Exponential Item Growth'!$B$21</f>
        <v>241014.39999999999</v>
      </c>
      <c r="G452" s="14">
        <f>'Exponential Item Growth'!$B$22*C452</f>
        <v>3615216</v>
      </c>
      <c r="H452" s="14">
        <f>'Exponential Item Growth'!$B$23*C452</f>
        <v>48202880</v>
      </c>
    </row>
    <row r="453" spans="1:8" ht="15.75" customHeight="1">
      <c r="A453" s="3">
        <v>452</v>
      </c>
      <c r="B453" s="13">
        <f>'Exponential Item Growth'!$B$5*'Exponential Item Growth'!$B$6^A453</f>
        <v>274315974914.6131</v>
      </c>
      <c r="C453" s="14">
        <f t="shared" si="0"/>
        <v>48309.759999999995</v>
      </c>
      <c r="D453" s="15">
        <f>A453*'Exponential Item Growth'!$B$4</f>
        <v>754.83999999999992</v>
      </c>
      <c r="E453" s="14">
        <f>IF(ISNA(VLOOKUP(A453,'Exponential Item Growth'!$A$10:$B$18,2,FALSE)),E452, E452*VLOOKUP(A453,'Exponential Item Growth'!$A$10:$B$18,2,FALSE))</f>
        <v>64</v>
      </c>
      <c r="F453" s="14">
        <f>C453*'Exponential Item Growth'!$B$21</f>
        <v>241548.79999999999</v>
      </c>
      <c r="G453" s="14">
        <f>'Exponential Item Growth'!$B$22*C453</f>
        <v>3623231.9999999995</v>
      </c>
      <c r="H453" s="14">
        <f>'Exponential Item Growth'!$B$23*C453</f>
        <v>48309759.999999993</v>
      </c>
    </row>
    <row r="454" spans="1:8" ht="15.75" customHeight="1">
      <c r="A454" s="3">
        <v>453</v>
      </c>
      <c r="B454" s="13">
        <f>'Exponential Item Growth'!$B$5*'Exponential Item Growth'!$B$6^A454</f>
        <v>290774933409.48987</v>
      </c>
      <c r="C454" s="14">
        <f t="shared" si="0"/>
        <v>48416.639999999999</v>
      </c>
      <c r="D454" s="15">
        <f>A454*'Exponential Item Growth'!$B$4</f>
        <v>756.51</v>
      </c>
      <c r="E454" s="14">
        <f>IF(ISNA(VLOOKUP(A454,'Exponential Item Growth'!$A$10:$B$18,2,FALSE)),E453, E453*VLOOKUP(A454,'Exponential Item Growth'!$A$10:$B$18,2,FALSE))</f>
        <v>64</v>
      </c>
      <c r="F454" s="14">
        <f>C454*'Exponential Item Growth'!$B$21</f>
        <v>242083.20000000001</v>
      </c>
      <c r="G454" s="14">
        <f>'Exponential Item Growth'!$B$22*C454</f>
        <v>3631248</v>
      </c>
      <c r="H454" s="14">
        <f>'Exponential Item Growth'!$B$23*C454</f>
        <v>48416640</v>
      </c>
    </row>
    <row r="455" spans="1:8" ht="15.75" customHeight="1">
      <c r="A455" s="3">
        <v>454</v>
      </c>
      <c r="B455" s="13">
        <f>'Exponential Item Growth'!$B$5*'Exponential Item Growth'!$B$6^A455</f>
        <v>308221429414.05933</v>
      </c>
      <c r="C455" s="14">
        <f t="shared" si="0"/>
        <v>48523.519999999997</v>
      </c>
      <c r="D455" s="15">
        <f>A455*'Exponential Item Growth'!$B$4</f>
        <v>758.18</v>
      </c>
      <c r="E455" s="14">
        <f>IF(ISNA(VLOOKUP(A455,'Exponential Item Growth'!$A$10:$B$18,2,FALSE)),E454, E454*VLOOKUP(A455,'Exponential Item Growth'!$A$10:$B$18,2,FALSE))</f>
        <v>64</v>
      </c>
      <c r="F455" s="14">
        <f>C455*'Exponential Item Growth'!$B$21</f>
        <v>242617.59999999998</v>
      </c>
      <c r="G455" s="14">
        <f>'Exponential Item Growth'!$B$22*C455</f>
        <v>3639263.9999999995</v>
      </c>
      <c r="H455" s="14">
        <f>'Exponential Item Growth'!$B$23*C455</f>
        <v>48523520</v>
      </c>
    </row>
    <row r="456" spans="1:8" ht="15.75" customHeight="1">
      <c r="A456" s="3">
        <v>455</v>
      </c>
      <c r="B456" s="13">
        <f>'Exponential Item Growth'!$B$5*'Exponential Item Growth'!$B$6^A456</f>
        <v>326714715178.90295</v>
      </c>
      <c r="C456" s="14">
        <f t="shared" si="0"/>
        <v>48630.400000000001</v>
      </c>
      <c r="D456" s="15">
        <f>A456*'Exponential Item Growth'!$B$4</f>
        <v>759.85</v>
      </c>
      <c r="E456" s="14">
        <f>IF(ISNA(VLOOKUP(A456,'Exponential Item Growth'!$A$10:$B$18,2,FALSE)),E455, E455*VLOOKUP(A456,'Exponential Item Growth'!$A$10:$B$18,2,FALSE))</f>
        <v>64</v>
      </c>
      <c r="F456" s="14">
        <f>C456*'Exponential Item Growth'!$B$21</f>
        <v>243152</v>
      </c>
      <c r="G456" s="14">
        <f>'Exponential Item Growth'!$B$22*C456</f>
        <v>3647280</v>
      </c>
      <c r="H456" s="14">
        <f>'Exponential Item Growth'!$B$23*C456</f>
        <v>48630400</v>
      </c>
    </row>
    <row r="457" spans="1:8" ht="15.75" customHeight="1">
      <c r="A457" s="3">
        <v>456</v>
      </c>
      <c r="B457" s="13">
        <f>'Exponential Item Growth'!$B$5*'Exponential Item Growth'!$B$6^A457</f>
        <v>346317598089.63708</v>
      </c>
      <c r="C457" s="14">
        <f t="shared" si="0"/>
        <v>48737.279999999999</v>
      </c>
      <c r="D457" s="15">
        <f>A457*'Exponential Item Growth'!$B$4</f>
        <v>761.52</v>
      </c>
      <c r="E457" s="14">
        <f>IF(ISNA(VLOOKUP(A457,'Exponential Item Growth'!$A$10:$B$18,2,FALSE)),E456, E456*VLOOKUP(A457,'Exponential Item Growth'!$A$10:$B$18,2,FALSE))</f>
        <v>64</v>
      </c>
      <c r="F457" s="14">
        <f>C457*'Exponential Item Growth'!$B$21</f>
        <v>243686.39999999999</v>
      </c>
      <c r="G457" s="14">
        <f>'Exponential Item Growth'!$B$22*C457</f>
        <v>3655296</v>
      </c>
      <c r="H457" s="14">
        <f>'Exponential Item Growth'!$B$23*C457</f>
        <v>48737280</v>
      </c>
    </row>
    <row r="458" spans="1:8" ht="15.75" customHeight="1">
      <c r="A458" s="3">
        <v>457</v>
      </c>
      <c r="B458" s="13">
        <f>'Exponential Item Growth'!$B$5*'Exponential Item Growth'!$B$6^A458</f>
        <v>367096653975.01526</v>
      </c>
      <c r="C458" s="14">
        <f t="shared" si="0"/>
        <v>48844.159999999996</v>
      </c>
      <c r="D458" s="15">
        <f>A458*'Exponential Item Growth'!$B$4</f>
        <v>763.18999999999994</v>
      </c>
      <c r="E458" s="14">
        <f>IF(ISNA(VLOOKUP(A458,'Exponential Item Growth'!$A$10:$B$18,2,FALSE)),E457, E457*VLOOKUP(A458,'Exponential Item Growth'!$A$10:$B$18,2,FALSE))</f>
        <v>64</v>
      </c>
      <c r="F458" s="14">
        <f>C458*'Exponential Item Growth'!$B$21</f>
        <v>244220.79999999999</v>
      </c>
      <c r="G458" s="14">
        <f>'Exponential Item Growth'!$B$22*C458</f>
        <v>3663311.9999999995</v>
      </c>
      <c r="H458" s="14">
        <f>'Exponential Item Growth'!$B$23*C458</f>
        <v>48844159.999999993</v>
      </c>
    </row>
    <row r="459" spans="1:8" ht="15.75" customHeight="1">
      <c r="A459" s="3">
        <v>458</v>
      </c>
      <c r="B459" s="13">
        <f>'Exponential Item Growth'!$B$5*'Exponential Item Growth'!$B$6^A459</f>
        <v>389122453213.51624</v>
      </c>
      <c r="C459" s="14">
        <f t="shared" si="0"/>
        <v>48951.040000000001</v>
      </c>
      <c r="D459" s="15">
        <f>A459*'Exponential Item Growth'!$B$4</f>
        <v>764.86</v>
      </c>
      <c r="E459" s="14">
        <f>IF(ISNA(VLOOKUP(A459,'Exponential Item Growth'!$A$10:$B$18,2,FALSE)),E458, E458*VLOOKUP(A459,'Exponential Item Growth'!$A$10:$B$18,2,FALSE))</f>
        <v>64</v>
      </c>
      <c r="F459" s="14">
        <f>C459*'Exponential Item Growth'!$B$21</f>
        <v>244755.20000000001</v>
      </c>
      <c r="G459" s="14">
        <f>'Exponential Item Growth'!$B$22*C459</f>
        <v>3671328</v>
      </c>
      <c r="H459" s="14">
        <f>'Exponential Item Growth'!$B$23*C459</f>
        <v>48951040</v>
      </c>
    </row>
    <row r="460" spans="1:8" ht="15.75" customHeight="1">
      <c r="A460" s="3">
        <v>459</v>
      </c>
      <c r="B460" s="13">
        <f>'Exponential Item Growth'!$B$5*'Exponential Item Growth'!$B$6^A460</f>
        <v>412469800406.32721</v>
      </c>
      <c r="C460" s="14">
        <f t="shared" si="0"/>
        <v>49057.919999999998</v>
      </c>
      <c r="D460" s="15">
        <f>A460*'Exponential Item Growth'!$B$4</f>
        <v>766.53</v>
      </c>
      <c r="E460" s="14">
        <f>IF(ISNA(VLOOKUP(A460,'Exponential Item Growth'!$A$10:$B$18,2,FALSE)),E459, E459*VLOOKUP(A460,'Exponential Item Growth'!$A$10:$B$18,2,FALSE))</f>
        <v>64</v>
      </c>
      <c r="F460" s="14">
        <f>C460*'Exponential Item Growth'!$B$21</f>
        <v>245289.59999999998</v>
      </c>
      <c r="G460" s="14">
        <f>'Exponential Item Growth'!$B$22*C460</f>
        <v>3679344</v>
      </c>
      <c r="H460" s="14">
        <f>'Exponential Item Growth'!$B$23*C460</f>
        <v>49057920</v>
      </c>
    </row>
    <row r="461" spans="1:8" ht="15.75" customHeight="1">
      <c r="A461" s="3">
        <v>460</v>
      </c>
      <c r="B461" s="13">
        <f>'Exponential Item Growth'!$B$5*'Exponential Item Growth'!$B$6^A461</f>
        <v>437217988430.70691</v>
      </c>
      <c r="C461" s="14">
        <f t="shared" si="0"/>
        <v>49164.799999999996</v>
      </c>
      <c r="D461" s="15">
        <f>A461*'Exponential Item Growth'!$B$4</f>
        <v>768.19999999999993</v>
      </c>
      <c r="E461" s="14">
        <f>IF(ISNA(VLOOKUP(A461,'Exponential Item Growth'!$A$10:$B$18,2,FALSE)),E460, E460*VLOOKUP(A461,'Exponential Item Growth'!$A$10:$B$18,2,FALSE))</f>
        <v>64</v>
      </c>
      <c r="F461" s="14">
        <f>C461*'Exponential Item Growth'!$B$21</f>
        <v>245823.99999999997</v>
      </c>
      <c r="G461" s="14">
        <f>'Exponential Item Growth'!$B$22*C461</f>
        <v>3687359.9999999995</v>
      </c>
      <c r="H461" s="14">
        <f>'Exponential Item Growth'!$B$23*C461</f>
        <v>49164799.999999993</v>
      </c>
    </row>
    <row r="462" spans="1:8" ht="15.75" customHeight="1">
      <c r="A462" s="3">
        <v>461</v>
      </c>
      <c r="B462" s="13">
        <f>'Exponential Item Growth'!$B$5*'Exponential Item Growth'!$B$6^A462</f>
        <v>463451067736.54938</v>
      </c>
      <c r="C462" s="14">
        <f t="shared" si="0"/>
        <v>49271.68</v>
      </c>
      <c r="D462" s="15">
        <f>A462*'Exponential Item Growth'!$B$4</f>
        <v>769.87</v>
      </c>
      <c r="E462" s="14">
        <f>IF(ISNA(VLOOKUP(A462,'Exponential Item Growth'!$A$10:$B$18,2,FALSE)),E461, E461*VLOOKUP(A462,'Exponential Item Growth'!$A$10:$B$18,2,FALSE))</f>
        <v>64</v>
      </c>
      <c r="F462" s="14">
        <f>C462*'Exponential Item Growth'!$B$21</f>
        <v>246358.39999999999</v>
      </c>
      <c r="G462" s="14">
        <f>'Exponential Item Growth'!$B$22*C462</f>
        <v>3695376</v>
      </c>
      <c r="H462" s="14">
        <f>'Exponential Item Growth'!$B$23*C462</f>
        <v>49271680</v>
      </c>
    </row>
    <row r="463" spans="1:8" ht="15.75" customHeight="1">
      <c r="A463" s="3">
        <v>462</v>
      </c>
      <c r="B463" s="13">
        <f>'Exponential Item Growth'!$B$5*'Exponential Item Growth'!$B$6^A463</f>
        <v>491258131800.74231</v>
      </c>
      <c r="C463" s="14">
        <f t="shared" si="0"/>
        <v>49378.559999999998</v>
      </c>
      <c r="D463" s="15">
        <f>A463*'Exponential Item Growth'!$B$4</f>
        <v>771.54</v>
      </c>
      <c r="E463" s="14">
        <f>IF(ISNA(VLOOKUP(A463,'Exponential Item Growth'!$A$10:$B$18,2,FALSE)),E462, E462*VLOOKUP(A463,'Exponential Item Growth'!$A$10:$B$18,2,FALSE))</f>
        <v>64</v>
      </c>
      <c r="F463" s="14">
        <f>C463*'Exponential Item Growth'!$B$21</f>
        <v>246892.79999999999</v>
      </c>
      <c r="G463" s="14">
        <f>'Exponential Item Growth'!$B$22*C463</f>
        <v>3703392</v>
      </c>
      <c r="H463" s="14">
        <f>'Exponential Item Growth'!$B$23*C463</f>
        <v>49378560</v>
      </c>
    </row>
    <row r="464" spans="1:8" ht="15.75" customHeight="1">
      <c r="A464" s="3">
        <v>463</v>
      </c>
      <c r="B464" s="13">
        <f>'Exponential Item Growth'!$B$5*'Exponential Item Growth'!$B$6^A464</f>
        <v>520733619708.78705</v>
      </c>
      <c r="C464" s="14">
        <f t="shared" si="0"/>
        <v>49485.439999999995</v>
      </c>
      <c r="D464" s="15">
        <f>A464*'Exponential Item Growth'!$B$4</f>
        <v>773.20999999999992</v>
      </c>
      <c r="E464" s="14">
        <f>IF(ISNA(VLOOKUP(A464,'Exponential Item Growth'!$A$10:$B$18,2,FALSE)),E463, E463*VLOOKUP(A464,'Exponential Item Growth'!$A$10:$B$18,2,FALSE))</f>
        <v>64</v>
      </c>
      <c r="F464" s="14">
        <f>C464*'Exponential Item Growth'!$B$21</f>
        <v>247427.19999999998</v>
      </c>
      <c r="G464" s="14">
        <f>'Exponential Item Growth'!$B$22*C464</f>
        <v>3711407.9999999995</v>
      </c>
      <c r="H464" s="14">
        <f>'Exponential Item Growth'!$B$23*C464</f>
        <v>49485439.999999993</v>
      </c>
    </row>
    <row r="465" spans="1:8" ht="15.75" customHeight="1">
      <c r="A465" s="3">
        <v>464</v>
      </c>
      <c r="B465" s="13">
        <f>'Exponential Item Growth'!$B$5*'Exponential Item Growth'!$B$6^A465</f>
        <v>551977636891.31409</v>
      </c>
      <c r="C465" s="14">
        <f t="shared" si="0"/>
        <v>49592.32</v>
      </c>
      <c r="D465" s="15">
        <f>A465*'Exponential Item Growth'!$B$4</f>
        <v>774.88</v>
      </c>
      <c r="E465" s="14">
        <f>IF(ISNA(VLOOKUP(A465,'Exponential Item Growth'!$A$10:$B$18,2,FALSE)),E464, E464*VLOOKUP(A465,'Exponential Item Growth'!$A$10:$B$18,2,FALSE))</f>
        <v>64</v>
      </c>
      <c r="F465" s="14">
        <f>C465*'Exponential Item Growth'!$B$21</f>
        <v>247961.60000000001</v>
      </c>
      <c r="G465" s="14">
        <f>'Exponential Item Growth'!$B$22*C465</f>
        <v>3719424</v>
      </c>
      <c r="H465" s="14">
        <f>'Exponential Item Growth'!$B$23*C465</f>
        <v>49592320</v>
      </c>
    </row>
    <row r="466" spans="1:8" ht="15.75" customHeight="1">
      <c r="A466" s="3">
        <v>465</v>
      </c>
      <c r="B466" s="13">
        <f>'Exponential Item Growth'!$B$5*'Exponential Item Growth'!$B$6^A466</f>
        <v>585096295104.79309</v>
      </c>
      <c r="C466" s="14">
        <f t="shared" si="0"/>
        <v>49699.199999999997</v>
      </c>
      <c r="D466" s="15">
        <f>A466*'Exponential Item Growth'!$B$4</f>
        <v>776.55</v>
      </c>
      <c r="E466" s="14">
        <f>IF(ISNA(VLOOKUP(A466,'Exponential Item Growth'!$A$10:$B$18,2,FALSE)),E465, E465*VLOOKUP(A466,'Exponential Item Growth'!$A$10:$B$18,2,FALSE))</f>
        <v>64</v>
      </c>
      <c r="F466" s="14">
        <f>C466*'Exponential Item Growth'!$B$21</f>
        <v>248496</v>
      </c>
      <c r="G466" s="14">
        <f>'Exponential Item Growth'!$B$22*C466</f>
        <v>3727440</v>
      </c>
      <c r="H466" s="14">
        <f>'Exponential Item Growth'!$B$23*C466</f>
        <v>49699200</v>
      </c>
    </row>
    <row r="467" spans="1:8" ht="15.75" customHeight="1">
      <c r="A467" s="3">
        <v>466</v>
      </c>
      <c r="B467" s="13">
        <f>'Exponential Item Growth'!$B$5*'Exponential Item Growth'!$B$6^A467</f>
        <v>620202072811.08057</v>
      </c>
      <c r="C467" s="14">
        <f t="shared" si="0"/>
        <v>49806.079999999994</v>
      </c>
      <c r="D467" s="15">
        <f>A467*'Exponential Item Growth'!$B$4</f>
        <v>778.21999999999991</v>
      </c>
      <c r="E467" s="14">
        <f>IF(ISNA(VLOOKUP(A467,'Exponential Item Growth'!$A$10:$B$18,2,FALSE)),E466, E466*VLOOKUP(A467,'Exponential Item Growth'!$A$10:$B$18,2,FALSE))</f>
        <v>64</v>
      </c>
      <c r="F467" s="14">
        <f>C467*'Exponential Item Growth'!$B$21</f>
        <v>249030.39999999997</v>
      </c>
      <c r="G467" s="14">
        <f>'Exponential Item Growth'!$B$22*C467</f>
        <v>3735455.9999999995</v>
      </c>
      <c r="H467" s="14">
        <f>'Exponential Item Growth'!$B$23*C467</f>
        <v>49806079.999999993</v>
      </c>
    </row>
    <row r="468" spans="1:8" ht="15.75" customHeight="1">
      <c r="A468" s="3">
        <v>467</v>
      </c>
      <c r="B468" s="13">
        <f>'Exponential Item Growth'!$B$5*'Exponential Item Growth'!$B$6^A468</f>
        <v>657414197179.74548</v>
      </c>
      <c r="C468" s="14">
        <f t="shared" si="0"/>
        <v>49912.959999999999</v>
      </c>
      <c r="D468" s="15">
        <f>A468*'Exponential Item Growth'!$B$4</f>
        <v>779.89</v>
      </c>
      <c r="E468" s="14">
        <f>IF(ISNA(VLOOKUP(A468,'Exponential Item Growth'!$A$10:$B$18,2,FALSE)),E467, E467*VLOOKUP(A468,'Exponential Item Growth'!$A$10:$B$18,2,FALSE))</f>
        <v>64</v>
      </c>
      <c r="F468" s="14">
        <f>C468*'Exponential Item Growth'!$B$21</f>
        <v>249564.79999999999</v>
      </c>
      <c r="G468" s="14">
        <f>'Exponential Item Growth'!$B$22*C468</f>
        <v>3743472</v>
      </c>
      <c r="H468" s="14">
        <f>'Exponential Item Growth'!$B$23*C468</f>
        <v>49912960</v>
      </c>
    </row>
    <row r="469" spans="1:8" ht="15.75" customHeight="1">
      <c r="A469" s="3">
        <v>468</v>
      </c>
      <c r="B469" s="13">
        <f>'Exponential Item Growth'!$B$5*'Exponential Item Growth'!$B$6^A469</f>
        <v>696859049010.53015</v>
      </c>
      <c r="C469" s="14">
        <f t="shared" si="0"/>
        <v>50019.839999999997</v>
      </c>
      <c r="D469" s="15">
        <f>A469*'Exponential Item Growth'!$B$4</f>
        <v>781.56</v>
      </c>
      <c r="E469" s="14">
        <f>IF(ISNA(VLOOKUP(A469,'Exponential Item Growth'!$A$10:$B$18,2,FALSE)),E468, E468*VLOOKUP(A469,'Exponential Item Growth'!$A$10:$B$18,2,FALSE))</f>
        <v>64</v>
      </c>
      <c r="F469" s="14">
        <f>C469*'Exponential Item Growth'!$B$21</f>
        <v>250099.19999999998</v>
      </c>
      <c r="G469" s="14">
        <f>'Exponential Item Growth'!$B$22*C469</f>
        <v>3751487.9999999995</v>
      </c>
      <c r="H469" s="14">
        <f>'Exponential Item Growth'!$B$23*C469</f>
        <v>50019840</v>
      </c>
    </row>
    <row r="470" spans="1:8" ht="15.75" customHeight="1">
      <c r="A470" s="3">
        <v>469</v>
      </c>
      <c r="B470" s="13">
        <f>'Exponential Item Growth'!$B$5*'Exponential Item Growth'!$B$6^A470</f>
        <v>738670591951.16211</v>
      </c>
      <c r="C470" s="14">
        <f t="shared" si="0"/>
        <v>50126.720000000001</v>
      </c>
      <c r="D470" s="15">
        <f>A470*'Exponential Item Growth'!$B$4</f>
        <v>783.23</v>
      </c>
      <c r="E470" s="14">
        <f>IF(ISNA(VLOOKUP(A470,'Exponential Item Growth'!$A$10:$B$18,2,FALSE)),E469, E469*VLOOKUP(A470,'Exponential Item Growth'!$A$10:$B$18,2,FALSE))</f>
        <v>64</v>
      </c>
      <c r="F470" s="14">
        <f>C470*'Exponential Item Growth'!$B$21</f>
        <v>250633.60000000001</v>
      </c>
      <c r="G470" s="14">
        <f>'Exponential Item Growth'!$B$22*C470</f>
        <v>3759504</v>
      </c>
      <c r="H470" s="14">
        <f>'Exponential Item Growth'!$B$23*C470</f>
        <v>50126720</v>
      </c>
    </row>
    <row r="471" spans="1:8" ht="15.75" customHeight="1">
      <c r="A471" s="3">
        <v>470</v>
      </c>
      <c r="B471" s="13">
        <f>'Exponential Item Growth'!$B$5*'Exponential Item Growth'!$B$6^A471</f>
        <v>782990827468.23193</v>
      </c>
      <c r="C471" s="14">
        <f t="shared" si="0"/>
        <v>50233.599999999999</v>
      </c>
      <c r="D471" s="15">
        <f>A471*'Exponential Item Growth'!$B$4</f>
        <v>784.9</v>
      </c>
      <c r="E471" s="14">
        <f>IF(ISNA(VLOOKUP(A471,'Exponential Item Growth'!$A$10:$B$18,2,FALSE)),E470, E470*VLOOKUP(A471,'Exponential Item Growth'!$A$10:$B$18,2,FALSE))</f>
        <v>64</v>
      </c>
      <c r="F471" s="14">
        <f>C471*'Exponential Item Growth'!$B$21</f>
        <v>251168</v>
      </c>
      <c r="G471" s="14">
        <f>'Exponential Item Growth'!$B$22*C471</f>
        <v>3767520</v>
      </c>
      <c r="H471" s="14">
        <f>'Exponential Item Growth'!$B$23*C471</f>
        <v>50233600</v>
      </c>
    </row>
    <row r="472" spans="1:8" ht="15.75" customHeight="1">
      <c r="A472" s="3">
        <v>471</v>
      </c>
      <c r="B472" s="13">
        <f>'Exponential Item Growth'!$B$5*'Exponential Item Growth'!$B$6^A472</f>
        <v>829970277116.32605</v>
      </c>
      <c r="C472" s="14">
        <f t="shared" si="0"/>
        <v>50340.479999999996</v>
      </c>
      <c r="D472" s="15">
        <f>A472*'Exponential Item Growth'!$B$4</f>
        <v>786.56999999999994</v>
      </c>
      <c r="E472" s="14">
        <f>IF(ISNA(VLOOKUP(A472,'Exponential Item Growth'!$A$10:$B$18,2,FALSE)),E471, E471*VLOOKUP(A472,'Exponential Item Growth'!$A$10:$B$18,2,FALSE))</f>
        <v>64</v>
      </c>
      <c r="F472" s="14">
        <f>C472*'Exponential Item Growth'!$B$21</f>
        <v>251702.39999999997</v>
      </c>
      <c r="G472" s="14">
        <f>'Exponential Item Growth'!$B$22*C472</f>
        <v>3775535.9999999995</v>
      </c>
      <c r="H472" s="14">
        <f>'Exponential Item Growth'!$B$23*C472</f>
        <v>50340479.999999993</v>
      </c>
    </row>
    <row r="473" spans="1:8" ht="15.75" customHeight="1">
      <c r="A473" s="3">
        <v>472</v>
      </c>
      <c r="B473" s="13">
        <f>'Exponential Item Growth'!$B$5*'Exponential Item Growth'!$B$6^A473</f>
        <v>879768493743.3053</v>
      </c>
      <c r="C473" s="14">
        <f t="shared" si="0"/>
        <v>50447.360000000001</v>
      </c>
      <c r="D473" s="15">
        <f>A473*'Exponential Item Growth'!$B$4</f>
        <v>788.24</v>
      </c>
      <c r="E473" s="14">
        <f>IF(ISNA(VLOOKUP(A473,'Exponential Item Growth'!$A$10:$B$18,2,FALSE)),E472, E472*VLOOKUP(A473,'Exponential Item Growth'!$A$10:$B$18,2,FALSE))</f>
        <v>64</v>
      </c>
      <c r="F473" s="14">
        <f>C473*'Exponential Item Growth'!$B$21</f>
        <v>252236.79999999999</v>
      </c>
      <c r="G473" s="14">
        <f>'Exponential Item Growth'!$B$22*C473</f>
        <v>3783552</v>
      </c>
      <c r="H473" s="14">
        <f>'Exponential Item Growth'!$B$23*C473</f>
        <v>50447360</v>
      </c>
    </row>
    <row r="474" spans="1:8" ht="15.75" customHeight="1">
      <c r="A474" s="3">
        <v>473</v>
      </c>
      <c r="B474" s="13">
        <f>'Exponential Item Growth'!$B$5*'Exponential Item Growth'!$B$6^A474</f>
        <v>932554603367.90381</v>
      </c>
      <c r="C474" s="14">
        <f t="shared" si="0"/>
        <v>50554.239999999998</v>
      </c>
      <c r="D474" s="15">
        <f>A474*'Exponential Item Growth'!$B$4</f>
        <v>789.91</v>
      </c>
      <c r="E474" s="14">
        <f>IF(ISNA(VLOOKUP(A474,'Exponential Item Growth'!$A$10:$B$18,2,FALSE)),E473, E473*VLOOKUP(A474,'Exponential Item Growth'!$A$10:$B$18,2,FALSE))</f>
        <v>64</v>
      </c>
      <c r="F474" s="14">
        <f>C474*'Exponential Item Growth'!$B$21</f>
        <v>252771.19999999998</v>
      </c>
      <c r="G474" s="14">
        <f>'Exponential Item Growth'!$B$22*C474</f>
        <v>3791568</v>
      </c>
      <c r="H474" s="14">
        <f>'Exponential Item Growth'!$B$23*C474</f>
        <v>50554240</v>
      </c>
    </row>
    <row r="475" spans="1:8" ht="15.75" customHeight="1">
      <c r="A475" s="3">
        <v>474</v>
      </c>
      <c r="B475" s="13">
        <f>'Exponential Item Growth'!$B$5*'Exponential Item Growth'!$B$6^A475</f>
        <v>988507879569.97791</v>
      </c>
      <c r="C475" s="14">
        <f t="shared" si="0"/>
        <v>50661.119999999995</v>
      </c>
      <c r="D475" s="15">
        <f>A475*'Exponential Item Growth'!$B$4</f>
        <v>791.57999999999993</v>
      </c>
      <c r="E475" s="14">
        <f>IF(ISNA(VLOOKUP(A475,'Exponential Item Growth'!$A$10:$B$18,2,FALSE)),E474, E474*VLOOKUP(A475,'Exponential Item Growth'!$A$10:$B$18,2,FALSE))</f>
        <v>64</v>
      </c>
      <c r="F475" s="14">
        <f>C475*'Exponential Item Growth'!$B$21</f>
        <v>253305.59999999998</v>
      </c>
      <c r="G475" s="14">
        <f>'Exponential Item Growth'!$B$22*C475</f>
        <v>3799583.9999999995</v>
      </c>
      <c r="H475" s="14">
        <f>'Exponential Item Growth'!$B$23*C475</f>
        <v>50661119.999999993</v>
      </c>
    </row>
    <row r="476" spans="1:8" ht="15.75" customHeight="1">
      <c r="A476" s="3">
        <v>475</v>
      </c>
      <c r="B476" s="13">
        <f>'Exponential Item Growth'!$B$5*'Exponential Item Growth'!$B$6^A476</f>
        <v>1047818352344.1769</v>
      </c>
      <c r="C476" s="14">
        <f t="shared" si="0"/>
        <v>50768</v>
      </c>
      <c r="D476" s="15">
        <f>A476*'Exponential Item Growth'!$B$4</f>
        <v>793.25</v>
      </c>
      <c r="E476" s="14">
        <f>IF(ISNA(VLOOKUP(A476,'Exponential Item Growth'!$A$10:$B$18,2,FALSE)),E475, E475*VLOOKUP(A476,'Exponential Item Growth'!$A$10:$B$18,2,FALSE))</f>
        <v>64</v>
      </c>
      <c r="F476" s="14">
        <f>C476*'Exponential Item Growth'!$B$21</f>
        <v>253840</v>
      </c>
      <c r="G476" s="14">
        <f>'Exponential Item Growth'!$B$22*C476</f>
        <v>3807600</v>
      </c>
      <c r="H476" s="14">
        <f>'Exponential Item Growth'!$B$23*C476</f>
        <v>50768000</v>
      </c>
    </row>
    <row r="477" spans="1:8" ht="15.75" customHeight="1">
      <c r="A477" s="3">
        <v>476</v>
      </c>
      <c r="B477" s="13">
        <f>'Exponential Item Growth'!$B$5*'Exponential Item Growth'!$B$6^A477</f>
        <v>1110687453484.8276</v>
      </c>
      <c r="C477" s="14">
        <f t="shared" si="0"/>
        <v>50874.879999999997</v>
      </c>
      <c r="D477" s="15">
        <f>A477*'Exponential Item Growth'!$B$4</f>
        <v>794.92</v>
      </c>
      <c r="E477" s="14">
        <f>IF(ISNA(VLOOKUP(A477,'Exponential Item Growth'!$A$10:$B$18,2,FALSE)),E476, E476*VLOOKUP(A477,'Exponential Item Growth'!$A$10:$B$18,2,FALSE))</f>
        <v>64</v>
      </c>
      <c r="F477" s="14">
        <f>C477*'Exponential Item Growth'!$B$21</f>
        <v>254374.39999999999</v>
      </c>
      <c r="G477" s="14">
        <f>'Exponential Item Growth'!$B$22*C477</f>
        <v>3815616</v>
      </c>
      <c r="H477" s="14">
        <f>'Exponential Item Growth'!$B$23*C477</f>
        <v>50874880</v>
      </c>
    </row>
    <row r="478" spans="1:8" ht="15.75" customHeight="1">
      <c r="A478" s="3">
        <v>477</v>
      </c>
      <c r="B478" s="13">
        <f>'Exponential Item Growth'!$B$5*'Exponential Item Growth'!$B$6^A478</f>
        <v>1177328700693.9172</v>
      </c>
      <c r="C478" s="14">
        <f t="shared" si="0"/>
        <v>50981.759999999995</v>
      </c>
      <c r="D478" s="15">
        <f>A478*'Exponential Item Growth'!$B$4</f>
        <v>796.58999999999992</v>
      </c>
      <c r="E478" s="14">
        <f>IF(ISNA(VLOOKUP(A478,'Exponential Item Growth'!$A$10:$B$18,2,FALSE)),E477, E477*VLOOKUP(A478,'Exponential Item Growth'!$A$10:$B$18,2,FALSE))</f>
        <v>64</v>
      </c>
      <c r="F478" s="14">
        <f>C478*'Exponential Item Growth'!$B$21</f>
        <v>254908.79999999999</v>
      </c>
      <c r="G478" s="14">
        <f>'Exponential Item Growth'!$B$22*C478</f>
        <v>3823631.9999999995</v>
      </c>
      <c r="H478" s="14">
        <f>'Exponential Item Growth'!$B$23*C478</f>
        <v>50981759.999999993</v>
      </c>
    </row>
    <row r="479" spans="1:8" ht="15.75" customHeight="1">
      <c r="A479" s="3">
        <v>478</v>
      </c>
      <c r="B479" s="13">
        <f>'Exponential Item Growth'!$B$5*'Exponential Item Growth'!$B$6^A479</f>
        <v>1247968422735.5525</v>
      </c>
      <c r="C479" s="14">
        <f t="shared" si="0"/>
        <v>51088.639999999999</v>
      </c>
      <c r="D479" s="15">
        <f>A479*'Exponential Item Growth'!$B$4</f>
        <v>798.26</v>
      </c>
      <c r="E479" s="14">
        <f>IF(ISNA(VLOOKUP(A479,'Exponential Item Growth'!$A$10:$B$18,2,FALSE)),E478, E478*VLOOKUP(A479,'Exponential Item Growth'!$A$10:$B$18,2,FALSE))</f>
        <v>64</v>
      </c>
      <c r="F479" s="14">
        <f>C479*'Exponential Item Growth'!$B$21</f>
        <v>255443.20000000001</v>
      </c>
      <c r="G479" s="14">
        <f>'Exponential Item Growth'!$B$22*C479</f>
        <v>3831648</v>
      </c>
      <c r="H479" s="14">
        <f>'Exponential Item Growth'!$B$23*C479</f>
        <v>51088640</v>
      </c>
    </row>
    <row r="480" spans="1:8" ht="15.75" customHeight="1">
      <c r="A480" s="3">
        <v>479</v>
      </c>
      <c r="B480" s="13">
        <f>'Exponential Item Growth'!$B$5*'Exponential Item Growth'!$B$6^A480</f>
        <v>1322846528099.6858</v>
      </c>
      <c r="C480" s="14">
        <f t="shared" si="0"/>
        <v>51195.519999999997</v>
      </c>
      <c r="D480" s="15">
        <f>A480*'Exponential Item Growth'!$B$4</f>
        <v>799.93</v>
      </c>
      <c r="E480" s="14">
        <f>IF(ISNA(VLOOKUP(A480,'Exponential Item Growth'!$A$10:$B$18,2,FALSE)),E479, E479*VLOOKUP(A480,'Exponential Item Growth'!$A$10:$B$18,2,FALSE))</f>
        <v>64</v>
      </c>
      <c r="F480" s="14">
        <f>C480*'Exponential Item Growth'!$B$21</f>
        <v>255977.59999999998</v>
      </c>
      <c r="G480" s="14">
        <f>'Exponential Item Growth'!$B$22*C480</f>
        <v>3839663.9999999995</v>
      </c>
      <c r="H480" s="14">
        <f>'Exponential Item Growth'!$B$23*C480</f>
        <v>51195520</v>
      </c>
    </row>
    <row r="481" spans="1:8" ht="15.75" customHeight="1">
      <c r="A481" s="3">
        <v>480</v>
      </c>
      <c r="B481" s="13">
        <f>'Exponential Item Growth'!$B$5*'Exponential Item Growth'!$B$6^A481</f>
        <v>1402217319785.6667</v>
      </c>
      <c r="C481" s="14">
        <f t="shared" si="0"/>
        <v>51302.399999999994</v>
      </c>
      <c r="D481" s="15">
        <f>A481*'Exponential Item Growth'!$B$4</f>
        <v>801.59999999999991</v>
      </c>
      <c r="E481" s="14">
        <f>IF(ISNA(VLOOKUP(A481,'Exponential Item Growth'!$A$10:$B$18,2,FALSE)),E480, E480*VLOOKUP(A481,'Exponential Item Growth'!$A$10:$B$18,2,FALSE))</f>
        <v>64</v>
      </c>
      <c r="F481" s="14">
        <f>C481*'Exponential Item Growth'!$B$21</f>
        <v>256511.99999999997</v>
      </c>
      <c r="G481" s="14">
        <f>'Exponential Item Growth'!$B$22*C481</f>
        <v>3847679.9999999995</v>
      </c>
      <c r="H481" s="14">
        <f>'Exponential Item Growth'!$B$23*C481</f>
        <v>51302399.999999993</v>
      </c>
    </row>
    <row r="482" spans="1:8" ht="15.75" customHeight="1">
      <c r="A482" s="3">
        <v>481</v>
      </c>
      <c r="B482" s="13">
        <f>'Exponential Item Growth'!$B$5*'Exponential Item Growth'!$B$6^A482</f>
        <v>1486350358972.8066</v>
      </c>
      <c r="C482" s="14">
        <f t="shared" si="0"/>
        <v>51409.279999999999</v>
      </c>
      <c r="D482" s="15">
        <f>A482*'Exponential Item Growth'!$B$4</f>
        <v>803.27</v>
      </c>
      <c r="E482" s="14">
        <f>IF(ISNA(VLOOKUP(A482,'Exponential Item Growth'!$A$10:$B$18,2,FALSE)),E481, E481*VLOOKUP(A482,'Exponential Item Growth'!$A$10:$B$18,2,FALSE))</f>
        <v>64</v>
      </c>
      <c r="F482" s="14">
        <f>C482*'Exponential Item Growth'!$B$21</f>
        <v>257046.39999999999</v>
      </c>
      <c r="G482" s="14">
        <f>'Exponential Item Growth'!$B$22*C482</f>
        <v>3855696</v>
      </c>
      <c r="H482" s="14">
        <f>'Exponential Item Growth'!$B$23*C482</f>
        <v>51409280</v>
      </c>
    </row>
    <row r="483" spans="1:8" ht="15.75" customHeight="1">
      <c r="A483" s="3">
        <v>482</v>
      </c>
      <c r="B483" s="13">
        <f>'Exponential Item Growth'!$B$5*'Exponential Item Growth'!$B$6^A483</f>
        <v>1575531380511.175</v>
      </c>
      <c r="C483" s="14">
        <f t="shared" si="0"/>
        <v>51516.159999999996</v>
      </c>
      <c r="D483" s="15">
        <f>A483*'Exponential Item Growth'!$B$4</f>
        <v>804.93999999999994</v>
      </c>
      <c r="E483" s="14">
        <f>IF(ISNA(VLOOKUP(A483,'Exponential Item Growth'!$A$10:$B$18,2,FALSE)),E482, E482*VLOOKUP(A483,'Exponential Item Growth'!$A$10:$B$18,2,FALSE))</f>
        <v>64</v>
      </c>
      <c r="F483" s="14">
        <f>C483*'Exponential Item Growth'!$B$21</f>
        <v>257580.79999999999</v>
      </c>
      <c r="G483" s="14">
        <f>'Exponential Item Growth'!$B$22*C483</f>
        <v>3863711.9999999995</v>
      </c>
      <c r="H483" s="14">
        <f>'Exponential Item Growth'!$B$23*C483</f>
        <v>51516159.999999993</v>
      </c>
    </row>
    <row r="484" spans="1:8" ht="15.75" customHeight="1">
      <c r="A484" s="3">
        <v>483</v>
      </c>
      <c r="B484" s="13">
        <f>'Exponential Item Growth'!$B$5*'Exponential Item Growth'!$B$6^A484</f>
        <v>1670063263341.8457</v>
      </c>
      <c r="C484" s="14">
        <f t="shared" si="0"/>
        <v>51623.040000000001</v>
      </c>
      <c r="D484" s="15">
        <f>A484*'Exponential Item Growth'!$B$4</f>
        <v>806.61</v>
      </c>
      <c r="E484" s="14">
        <f>IF(ISNA(VLOOKUP(A484,'Exponential Item Growth'!$A$10:$B$18,2,FALSE)),E483, E483*VLOOKUP(A484,'Exponential Item Growth'!$A$10:$B$18,2,FALSE))</f>
        <v>64</v>
      </c>
      <c r="F484" s="14">
        <f>C484*'Exponential Item Growth'!$B$21</f>
        <v>258115.20000000001</v>
      </c>
      <c r="G484" s="14">
        <f>'Exponential Item Growth'!$B$22*C484</f>
        <v>3871728</v>
      </c>
      <c r="H484" s="14">
        <f>'Exponential Item Growth'!$B$23*C484</f>
        <v>51623040</v>
      </c>
    </row>
    <row r="485" spans="1:8" ht="15.75" customHeight="1">
      <c r="A485" s="3">
        <v>484</v>
      </c>
      <c r="B485" s="13">
        <f>'Exponential Item Growth'!$B$5*'Exponential Item Growth'!$B$6^A485</f>
        <v>1770267059142.3569</v>
      </c>
      <c r="C485" s="14">
        <f t="shared" si="0"/>
        <v>51729.919999999998</v>
      </c>
      <c r="D485" s="15">
        <f>A485*'Exponential Item Growth'!$B$4</f>
        <v>808.28</v>
      </c>
      <c r="E485" s="14">
        <f>IF(ISNA(VLOOKUP(A485,'Exponential Item Growth'!$A$10:$B$18,2,FALSE)),E484, E484*VLOOKUP(A485,'Exponential Item Growth'!$A$10:$B$18,2,FALSE))</f>
        <v>64</v>
      </c>
      <c r="F485" s="14">
        <f>C485*'Exponential Item Growth'!$B$21</f>
        <v>258649.59999999998</v>
      </c>
      <c r="G485" s="14">
        <f>'Exponential Item Growth'!$B$22*C485</f>
        <v>3879744</v>
      </c>
      <c r="H485" s="14">
        <f>'Exponential Item Growth'!$B$23*C485</f>
        <v>51729920</v>
      </c>
    </row>
    <row r="486" spans="1:8" ht="15.75" customHeight="1">
      <c r="A486" s="3">
        <v>485</v>
      </c>
      <c r="B486" s="13">
        <f>'Exponential Item Growth'!$B$5*'Exponential Item Growth'!$B$6^A486</f>
        <v>1876483082690.8982</v>
      </c>
      <c r="C486" s="14">
        <f t="shared" si="0"/>
        <v>51836.799999999996</v>
      </c>
      <c r="D486" s="15">
        <f>A486*'Exponential Item Growth'!$B$4</f>
        <v>809.94999999999993</v>
      </c>
      <c r="E486" s="14">
        <f>IF(ISNA(VLOOKUP(A486,'Exponential Item Growth'!$A$10:$B$18,2,FALSE)),E485, E485*VLOOKUP(A486,'Exponential Item Growth'!$A$10:$B$18,2,FALSE))</f>
        <v>64</v>
      </c>
      <c r="F486" s="14">
        <f>C486*'Exponential Item Growth'!$B$21</f>
        <v>259183.99999999997</v>
      </c>
      <c r="G486" s="14">
        <f>'Exponential Item Growth'!$B$22*C486</f>
        <v>3887759.9999999995</v>
      </c>
      <c r="H486" s="14">
        <f>'Exponential Item Growth'!$B$23*C486</f>
        <v>51836799.999999993</v>
      </c>
    </row>
    <row r="487" spans="1:8" ht="15.75" customHeight="1">
      <c r="A487" s="3">
        <v>486</v>
      </c>
      <c r="B487" s="13">
        <f>'Exponential Item Growth'!$B$5*'Exponential Item Growth'!$B$6^A487</f>
        <v>1989072067652.3525</v>
      </c>
      <c r="C487" s="14">
        <f t="shared" si="0"/>
        <v>51943.68</v>
      </c>
      <c r="D487" s="15">
        <f>A487*'Exponential Item Growth'!$B$4</f>
        <v>811.62</v>
      </c>
      <c r="E487" s="14">
        <f>IF(ISNA(VLOOKUP(A487,'Exponential Item Growth'!$A$10:$B$18,2,FALSE)),E486, E486*VLOOKUP(A487,'Exponential Item Growth'!$A$10:$B$18,2,FALSE))</f>
        <v>64</v>
      </c>
      <c r="F487" s="14">
        <f>C487*'Exponential Item Growth'!$B$21</f>
        <v>259718.39999999999</v>
      </c>
      <c r="G487" s="14">
        <f>'Exponential Item Growth'!$B$22*C487</f>
        <v>3895776</v>
      </c>
      <c r="H487" s="14">
        <f>'Exponential Item Growth'!$B$23*C487</f>
        <v>51943680</v>
      </c>
    </row>
    <row r="488" spans="1:8" ht="15.75" customHeight="1">
      <c r="A488" s="3">
        <v>487</v>
      </c>
      <c r="B488" s="13">
        <f>'Exponential Item Growth'!$B$5*'Exponential Item Growth'!$B$6^A488</f>
        <v>2108416391711.4939</v>
      </c>
      <c r="C488" s="14">
        <f t="shared" si="0"/>
        <v>52050.559999999998</v>
      </c>
      <c r="D488" s="15">
        <f>A488*'Exponential Item Growth'!$B$4</f>
        <v>813.29</v>
      </c>
      <c r="E488" s="14">
        <f>IF(ISNA(VLOOKUP(A488,'Exponential Item Growth'!$A$10:$B$18,2,FALSE)),E487, E487*VLOOKUP(A488,'Exponential Item Growth'!$A$10:$B$18,2,FALSE))</f>
        <v>64</v>
      </c>
      <c r="F488" s="14">
        <f>C488*'Exponential Item Growth'!$B$21</f>
        <v>260252.79999999999</v>
      </c>
      <c r="G488" s="14">
        <f>'Exponential Item Growth'!$B$22*C488</f>
        <v>3903792</v>
      </c>
      <c r="H488" s="14">
        <f>'Exponential Item Growth'!$B$23*C488</f>
        <v>52050560</v>
      </c>
    </row>
    <row r="489" spans="1:8" ht="15.75" customHeight="1">
      <c r="A489" s="3">
        <v>488</v>
      </c>
      <c r="B489" s="13">
        <f>'Exponential Item Growth'!$B$5*'Exponential Item Growth'!$B$6^A489</f>
        <v>2234921375214.1831</v>
      </c>
      <c r="C489" s="14">
        <f t="shared" si="0"/>
        <v>52157.439999999995</v>
      </c>
      <c r="D489" s="15">
        <f>A489*'Exponential Item Growth'!$B$4</f>
        <v>814.95999999999992</v>
      </c>
      <c r="E489" s="14">
        <f>IF(ISNA(VLOOKUP(A489,'Exponential Item Growth'!$A$10:$B$18,2,FALSE)),E488, E488*VLOOKUP(A489,'Exponential Item Growth'!$A$10:$B$18,2,FALSE))</f>
        <v>64</v>
      </c>
      <c r="F489" s="14">
        <f>C489*'Exponential Item Growth'!$B$21</f>
        <v>260787.19999999998</v>
      </c>
      <c r="G489" s="14">
        <f>'Exponential Item Growth'!$B$22*C489</f>
        <v>3911807.9999999995</v>
      </c>
      <c r="H489" s="14">
        <f>'Exponential Item Growth'!$B$23*C489</f>
        <v>52157439.999999993</v>
      </c>
    </row>
    <row r="490" spans="1:8" ht="15.75" customHeight="1">
      <c r="A490" s="3">
        <v>489</v>
      </c>
      <c r="B490" s="13">
        <f>'Exponential Item Growth'!$B$5*'Exponential Item Growth'!$B$6^A490</f>
        <v>2369016657727.0342</v>
      </c>
      <c r="C490" s="14">
        <f t="shared" si="0"/>
        <v>52264.32</v>
      </c>
      <c r="D490" s="15">
        <f>A490*'Exponential Item Growth'!$B$4</f>
        <v>816.63</v>
      </c>
      <c r="E490" s="14">
        <f>IF(ISNA(VLOOKUP(A490,'Exponential Item Growth'!$A$10:$B$18,2,FALSE)),E489, E489*VLOOKUP(A490,'Exponential Item Growth'!$A$10:$B$18,2,FALSE))</f>
        <v>64</v>
      </c>
      <c r="F490" s="14">
        <f>C490*'Exponential Item Growth'!$B$21</f>
        <v>261321.60000000001</v>
      </c>
      <c r="G490" s="14">
        <f>'Exponential Item Growth'!$B$22*C490</f>
        <v>3919824</v>
      </c>
      <c r="H490" s="14">
        <f>'Exponential Item Growth'!$B$23*C490</f>
        <v>52264320</v>
      </c>
    </row>
    <row r="491" spans="1:8" ht="15.75" customHeight="1">
      <c r="A491" s="3">
        <v>490</v>
      </c>
      <c r="B491" s="13">
        <f>'Exponential Item Growth'!$B$5*'Exponential Item Growth'!$B$6^A491</f>
        <v>2511157657190.6562</v>
      </c>
      <c r="C491" s="14">
        <f t="shared" si="0"/>
        <v>52371.199999999997</v>
      </c>
      <c r="D491" s="15">
        <f>A491*'Exponential Item Growth'!$B$4</f>
        <v>818.3</v>
      </c>
      <c r="E491" s="14">
        <f>IF(ISNA(VLOOKUP(A491,'Exponential Item Growth'!$A$10:$B$18,2,FALSE)),E490, E490*VLOOKUP(A491,'Exponential Item Growth'!$A$10:$B$18,2,FALSE))</f>
        <v>64</v>
      </c>
      <c r="F491" s="14">
        <f>C491*'Exponential Item Growth'!$B$21</f>
        <v>261856</v>
      </c>
      <c r="G491" s="14">
        <f>'Exponential Item Growth'!$B$22*C491</f>
        <v>3927840</v>
      </c>
      <c r="H491" s="14">
        <f>'Exponential Item Growth'!$B$23*C491</f>
        <v>52371200</v>
      </c>
    </row>
    <row r="492" spans="1:8" ht="15.75" customHeight="1">
      <c r="A492" s="3">
        <v>491</v>
      </c>
      <c r="B492" s="13">
        <f>'Exponential Item Growth'!$B$5*'Exponential Item Growth'!$B$6^A492</f>
        <v>2661827116622.0962</v>
      </c>
      <c r="C492" s="14">
        <f t="shared" si="0"/>
        <v>52478.079999999994</v>
      </c>
      <c r="D492" s="15">
        <f>A492*'Exponential Item Growth'!$B$4</f>
        <v>819.96999999999991</v>
      </c>
      <c r="E492" s="14">
        <f>IF(ISNA(VLOOKUP(A492,'Exponential Item Growth'!$A$10:$B$18,2,FALSE)),E491, E491*VLOOKUP(A492,'Exponential Item Growth'!$A$10:$B$18,2,FALSE))</f>
        <v>64</v>
      </c>
      <c r="F492" s="14">
        <f>C492*'Exponential Item Growth'!$B$21</f>
        <v>262390.39999999997</v>
      </c>
      <c r="G492" s="14">
        <f>'Exponential Item Growth'!$B$22*C492</f>
        <v>3935855.9999999995</v>
      </c>
      <c r="H492" s="14">
        <f>'Exponential Item Growth'!$B$23*C492</f>
        <v>52478079.999999993</v>
      </c>
    </row>
    <row r="493" spans="1:8" ht="15.75" customHeight="1">
      <c r="A493" s="3">
        <v>492</v>
      </c>
      <c r="B493" s="13">
        <f>'Exponential Item Growth'!$B$5*'Exponential Item Growth'!$B$6^A493</f>
        <v>2821536743619.4224</v>
      </c>
      <c r="C493" s="14">
        <f t="shared" si="0"/>
        <v>52584.959999999999</v>
      </c>
      <c r="D493" s="15">
        <f>A493*'Exponential Item Growth'!$B$4</f>
        <v>821.64</v>
      </c>
      <c r="E493" s="14">
        <f>IF(ISNA(VLOOKUP(A493,'Exponential Item Growth'!$A$10:$B$18,2,FALSE)),E492, E492*VLOOKUP(A493,'Exponential Item Growth'!$A$10:$B$18,2,FALSE))</f>
        <v>64</v>
      </c>
      <c r="F493" s="14">
        <f>C493*'Exponential Item Growth'!$B$21</f>
        <v>262924.79999999999</v>
      </c>
      <c r="G493" s="14">
        <f>'Exponential Item Growth'!$B$22*C493</f>
        <v>3943872</v>
      </c>
      <c r="H493" s="14">
        <f>'Exponential Item Growth'!$B$23*C493</f>
        <v>52584960</v>
      </c>
    </row>
    <row r="494" spans="1:8" ht="15.75" customHeight="1">
      <c r="A494" s="3">
        <v>493</v>
      </c>
      <c r="B494" s="13">
        <f>'Exponential Item Growth'!$B$5*'Exponential Item Growth'!$B$6^A494</f>
        <v>2990828948236.5879</v>
      </c>
      <c r="C494" s="14">
        <f t="shared" si="0"/>
        <v>52691.839999999997</v>
      </c>
      <c r="D494" s="15">
        <f>A494*'Exponential Item Growth'!$B$4</f>
        <v>823.31</v>
      </c>
      <c r="E494" s="14">
        <f>IF(ISNA(VLOOKUP(A494,'Exponential Item Growth'!$A$10:$B$18,2,FALSE)),E493, E493*VLOOKUP(A494,'Exponential Item Growth'!$A$10:$B$18,2,FALSE))</f>
        <v>64</v>
      </c>
      <c r="F494" s="14">
        <f>C494*'Exponential Item Growth'!$B$21</f>
        <v>263459.19999999995</v>
      </c>
      <c r="G494" s="14">
        <f>'Exponential Item Growth'!$B$22*C494</f>
        <v>3951887.9999999995</v>
      </c>
      <c r="H494" s="14">
        <f>'Exponential Item Growth'!$B$23*C494</f>
        <v>52691840</v>
      </c>
    </row>
    <row r="495" spans="1:8" ht="15.75" customHeight="1">
      <c r="A495" s="3">
        <v>494</v>
      </c>
      <c r="B495" s="13">
        <f>'Exponential Item Growth'!$B$5*'Exponential Item Growth'!$B$6^A495</f>
        <v>3170278685130.7832</v>
      </c>
      <c r="C495" s="14">
        <f t="shared" si="0"/>
        <v>52798.720000000001</v>
      </c>
      <c r="D495" s="15">
        <f>A495*'Exponential Item Growth'!$B$4</f>
        <v>824.98</v>
      </c>
      <c r="E495" s="14">
        <f>IF(ISNA(VLOOKUP(A495,'Exponential Item Growth'!$A$10:$B$18,2,FALSE)),E494, E494*VLOOKUP(A495,'Exponential Item Growth'!$A$10:$B$18,2,FALSE))</f>
        <v>64</v>
      </c>
      <c r="F495" s="14">
        <f>C495*'Exponential Item Growth'!$B$21</f>
        <v>263993.59999999998</v>
      </c>
      <c r="G495" s="14">
        <f>'Exponential Item Growth'!$B$22*C495</f>
        <v>3959904</v>
      </c>
      <c r="H495" s="14">
        <f>'Exponential Item Growth'!$B$23*C495</f>
        <v>52798720</v>
      </c>
    </row>
    <row r="496" spans="1:8" ht="15.75" customHeight="1">
      <c r="A496" s="3">
        <v>495</v>
      </c>
      <c r="B496" s="13">
        <f>'Exponential Item Growth'!$B$5*'Exponential Item Growth'!$B$6^A496</f>
        <v>3360495406238.6309</v>
      </c>
      <c r="C496" s="14">
        <f t="shared" si="0"/>
        <v>52905.599999999999</v>
      </c>
      <c r="D496" s="15">
        <f>A496*'Exponential Item Growth'!$B$4</f>
        <v>826.65</v>
      </c>
      <c r="E496" s="14">
        <f>IF(ISNA(VLOOKUP(A496,'Exponential Item Growth'!$A$10:$B$18,2,FALSE)),E495, E495*VLOOKUP(A496,'Exponential Item Growth'!$A$10:$B$18,2,FALSE))</f>
        <v>64</v>
      </c>
      <c r="F496" s="14">
        <f>C496*'Exponential Item Growth'!$B$21</f>
        <v>264528</v>
      </c>
      <c r="G496" s="14">
        <f>'Exponential Item Growth'!$B$22*C496</f>
        <v>3967920</v>
      </c>
      <c r="H496" s="14">
        <f>'Exponential Item Growth'!$B$23*C496</f>
        <v>52905600</v>
      </c>
    </row>
    <row r="497" spans="1:8" ht="15.75" customHeight="1">
      <c r="A497" s="3">
        <v>496</v>
      </c>
      <c r="B497" s="13">
        <f>'Exponential Item Growth'!$B$5*'Exponential Item Growth'!$B$6^A497</f>
        <v>3562125130612.9478</v>
      </c>
      <c r="C497" s="14">
        <f t="shared" si="0"/>
        <v>53012.479999999996</v>
      </c>
      <c r="D497" s="15">
        <f>A497*'Exponential Item Growth'!$B$4</f>
        <v>828.31999999999994</v>
      </c>
      <c r="E497" s="14">
        <f>IF(ISNA(VLOOKUP(A497,'Exponential Item Growth'!$A$10:$B$18,2,FALSE)),E496, E496*VLOOKUP(A497,'Exponential Item Growth'!$A$10:$B$18,2,FALSE))</f>
        <v>64</v>
      </c>
      <c r="F497" s="14">
        <f>C497*'Exponential Item Growth'!$B$21</f>
        <v>265062.39999999997</v>
      </c>
      <c r="G497" s="14">
        <f>'Exponential Item Growth'!$B$22*C497</f>
        <v>3975935.9999999995</v>
      </c>
      <c r="H497" s="14">
        <f>'Exponential Item Growth'!$B$23*C497</f>
        <v>53012479.999999993</v>
      </c>
    </row>
    <row r="498" spans="1:8" ht="15.75" customHeight="1">
      <c r="A498" s="3">
        <v>497</v>
      </c>
      <c r="B498" s="13">
        <f>'Exponential Item Growth'!$B$5*'Exponential Item Growth'!$B$6^A498</f>
        <v>3775852638449.7251</v>
      </c>
      <c r="C498" s="14">
        <f t="shared" si="0"/>
        <v>53119.360000000001</v>
      </c>
      <c r="D498" s="15">
        <f>A498*'Exponential Item Growth'!$B$4</f>
        <v>829.99</v>
      </c>
      <c r="E498" s="14">
        <f>IF(ISNA(VLOOKUP(A498,'Exponential Item Growth'!$A$10:$B$18,2,FALSE)),E497, E497*VLOOKUP(A498,'Exponential Item Growth'!$A$10:$B$18,2,FALSE))</f>
        <v>64</v>
      </c>
      <c r="F498" s="14">
        <f>C498*'Exponential Item Growth'!$B$21</f>
        <v>265596.79999999999</v>
      </c>
      <c r="G498" s="14">
        <f>'Exponential Item Growth'!$B$22*C498</f>
        <v>3983952</v>
      </c>
      <c r="H498" s="14">
        <f>'Exponential Item Growth'!$B$23*C498</f>
        <v>53119360</v>
      </c>
    </row>
    <row r="499" spans="1:8" ht="15.75" customHeight="1">
      <c r="A499" s="3">
        <v>498</v>
      </c>
      <c r="B499" s="13">
        <f>'Exponential Item Growth'!$B$5*'Exponential Item Growth'!$B$6^A499</f>
        <v>4002403796756.7085</v>
      </c>
      <c r="C499" s="14">
        <f t="shared" si="0"/>
        <v>53226.239999999998</v>
      </c>
      <c r="D499" s="15">
        <f>A499*'Exponential Item Growth'!$B$4</f>
        <v>831.66</v>
      </c>
      <c r="E499" s="14">
        <f>IF(ISNA(VLOOKUP(A499,'Exponential Item Growth'!$A$10:$B$18,2,FALSE)),E498, E498*VLOOKUP(A499,'Exponential Item Growth'!$A$10:$B$18,2,FALSE))</f>
        <v>64</v>
      </c>
      <c r="F499" s="14">
        <f>C499*'Exponential Item Growth'!$B$21</f>
        <v>266131.20000000001</v>
      </c>
      <c r="G499" s="14">
        <f>'Exponential Item Growth'!$B$22*C499</f>
        <v>3991968</v>
      </c>
      <c r="H499" s="14">
        <f>'Exponential Item Growth'!$B$23*C499</f>
        <v>53226240</v>
      </c>
    </row>
    <row r="500" spans="1:8" ht="15.75" customHeight="1">
      <c r="A500" s="3">
        <v>499</v>
      </c>
      <c r="B500" s="13">
        <f>'Exponential Item Growth'!$B$5*'Exponential Item Growth'!$B$6^A500</f>
        <v>4242548024562.1108</v>
      </c>
      <c r="C500" s="14">
        <f t="shared" si="0"/>
        <v>53333.119999999995</v>
      </c>
      <c r="D500" s="15">
        <f>A500*'Exponential Item Growth'!$B$4</f>
        <v>833.32999999999993</v>
      </c>
      <c r="E500" s="14">
        <f>IF(ISNA(VLOOKUP(A500,'Exponential Item Growth'!$A$10:$B$18,2,FALSE)),E499, E499*VLOOKUP(A500,'Exponential Item Growth'!$A$10:$B$18,2,FALSE))</f>
        <v>64</v>
      </c>
      <c r="F500" s="14">
        <f>C500*'Exponential Item Growth'!$B$21</f>
        <v>266665.59999999998</v>
      </c>
      <c r="G500" s="14">
        <f>'Exponential Item Growth'!$B$22*C500</f>
        <v>3999983.9999999995</v>
      </c>
      <c r="H500" s="14">
        <f>'Exponential Item Growth'!$B$23*C500</f>
        <v>53333119.999999993</v>
      </c>
    </row>
    <row r="501" spans="1:8" ht="15.75" customHeight="1">
      <c r="A501" s="3">
        <v>500</v>
      </c>
      <c r="B501" s="13">
        <f>'Exponential Item Growth'!$B$5*'Exponential Item Growth'!$B$6^A501</f>
        <v>4497100906035.8379</v>
      </c>
      <c r="C501" s="14">
        <f t="shared" si="0"/>
        <v>106880</v>
      </c>
      <c r="D501" s="15">
        <f>A501*'Exponential Item Growth'!$B$4</f>
        <v>835</v>
      </c>
      <c r="E501" s="14">
        <f>IF(ISNA(VLOOKUP(A501,'Exponential Item Growth'!$A$10:$B$18,2,FALSE)),E500, E500*VLOOKUP(A501,'Exponential Item Growth'!$A$10:$B$18,2,FALSE))</f>
        <v>128</v>
      </c>
      <c r="F501" s="14">
        <f>C501*'Exponential Item Growth'!$B$21</f>
        <v>534400</v>
      </c>
      <c r="G501" s="14">
        <f>'Exponential Item Growth'!$B$22*C501</f>
        <v>8016000</v>
      </c>
      <c r="H501" s="14">
        <f>'Exponential Item Growth'!$B$23*C501</f>
        <v>106880000</v>
      </c>
    </row>
    <row r="502" spans="1:8" ht="15.75" customHeight="1">
      <c r="A502" s="3">
        <v>501</v>
      </c>
      <c r="B502" s="13">
        <f>'Exponential Item Growth'!$B$5*'Exponential Item Growth'!$B$6^A502</f>
        <v>4766926960397.9902</v>
      </c>
      <c r="C502" s="14">
        <f t="shared" si="0"/>
        <v>107093.75999999999</v>
      </c>
      <c r="D502" s="15">
        <f>A502*'Exponential Item Growth'!$B$4</f>
        <v>836.67</v>
      </c>
      <c r="E502" s="14">
        <f>IF(ISNA(VLOOKUP(A502,'Exponential Item Growth'!$A$10:$B$18,2,FALSE)),E501, E501*VLOOKUP(A502,'Exponential Item Growth'!$A$10:$B$18,2,FALSE))</f>
        <v>128</v>
      </c>
      <c r="F502" s="14">
        <f>C502*'Exponential Item Growth'!$B$21</f>
        <v>535468.79999999993</v>
      </c>
      <c r="G502" s="14">
        <f>'Exponential Item Growth'!$B$22*C502</f>
        <v>8032032</v>
      </c>
      <c r="H502" s="14">
        <f>'Exponential Item Growth'!$B$23*C502</f>
        <v>107093760</v>
      </c>
    </row>
    <row r="503" spans="1:8" ht="15.75" customHeight="1">
      <c r="A503" s="3">
        <v>502</v>
      </c>
      <c r="B503" s="13">
        <f>'Exponential Item Growth'!$B$5*'Exponential Item Growth'!$B$6^A503</f>
        <v>5052942578021.8691</v>
      </c>
      <c r="C503" s="14">
        <f t="shared" si="0"/>
        <v>107307.51999999999</v>
      </c>
      <c r="D503" s="15">
        <f>A503*'Exponential Item Growth'!$B$4</f>
        <v>838.33999999999992</v>
      </c>
      <c r="E503" s="14">
        <f>IF(ISNA(VLOOKUP(A503,'Exponential Item Growth'!$A$10:$B$18,2,FALSE)),E502, E502*VLOOKUP(A503,'Exponential Item Growth'!$A$10:$B$18,2,FALSE))</f>
        <v>128</v>
      </c>
      <c r="F503" s="14">
        <f>C503*'Exponential Item Growth'!$B$21</f>
        <v>536537.59999999998</v>
      </c>
      <c r="G503" s="14">
        <f>'Exponential Item Growth'!$B$22*C503</f>
        <v>8048063.9999999991</v>
      </c>
      <c r="H503" s="14">
        <f>'Exponential Item Growth'!$B$23*C503</f>
        <v>107307519.99999999</v>
      </c>
    </row>
    <row r="504" spans="1:8" ht="15.75" customHeight="1">
      <c r="A504" s="3">
        <v>503</v>
      </c>
      <c r="B504" s="13">
        <f>'Exponential Item Growth'!$B$5*'Exponential Item Growth'!$B$6^A504</f>
        <v>5356119132703.1816</v>
      </c>
      <c r="C504" s="14">
        <f t="shared" si="0"/>
        <v>107521.28</v>
      </c>
      <c r="D504" s="15">
        <f>A504*'Exponential Item Growth'!$B$4</f>
        <v>840.01</v>
      </c>
      <c r="E504" s="14">
        <f>IF(ISNA(VLOOKUP(A504,'Exponential Item Growth'!$A$10:$B$18,2,FALSE)),E503, E503*VLOOKUP(A504,'Exponential Item Growth'!$A$10:$B$18,2,FALSE))</f>
        <v>128</v>
      </c>
      <c r="F504" s="14">
        <f>C504*'Exponential Item Growth'!$B$21</f>
        <v>537606.40000000002</v>
      </c>
      <c r="G504" s="14">
        <f>'Exponential Item Growth'!$B$22*C504</f>
        <v>8064096</v>
      </c>
      <c r="H504" s="14">
        <f>'Exponential Item Growth'!$B$23*C504</f>
        <v>107521280</v>
      </c>
    </row>
    <row r="505" spans="1:8" ht="15.75" customHeight="1">
      <c r="A505" s="3">
        <v>504</v>
      </c>
      <c r="B505" s="13">
        <f>'Exponential Item Growth'!$B$5*'Exponential Item Growth'!$B$6^A505</f>
        <v>5677486280665.3711</v>
      </c>
      <c r="C505" s="14">
        <f t="shared" si="0"/>
        <v>107735.03999999999</v>
      </c>
      <c r="D505" s="15">
        <f>A505*'Exponential Item Growth'!$B$4</f>
        <v>841.68</v>
      </c>
      <c r="E505" s="14">
        <f>IF(ISNA(VLOOKUP(A505,'Exponential Item Growth'!$A$10:$B$18,2,FALSE)),E504, E504*VLOOKUP(A505,'Exponential Item Growth'!$A$10:$B$18,2,FALSE))</f>
        <v>128</v>
      </c>
      <c r="F505" s="14">
        <f>C505*'Exponential Item Growth'!$B$21</f>
        <v>538675.19999999995</v>
      </c>
      <c r="G505" s="14">
        <f>'Exponential Item Growth'!$B$22*C505</f>
        <v>8080127.9999999991</v>
      </c>
      <c r="H505" s="14">
        <f>'Exponential Item Growth'!$B$23*C505</f>
        <v>107735040</v>
      </c>
    </row>
    <row r="506" spans="1:8" ht="15.75" customHeight="1">
      <c r="A506" s="3">
        <v>505</v>
      </c>
      <c r="B506" s="13">
        <f>'Exponential Item Growth'!$B$5*'Exponential Item Growth'!$B$6^A506</f>
        <v>6018135457505.2939</v>
      </c>
      <c r="C506" s="14">
        <f t="shared" si="0"/>
        <v>107948.79999999999</v>
      </c>
      <c r="D506" s="15">
        <f>A506*'Exponential Item Growth'!$B$4</f>
        <v>843.34999999999991</v>
      </c>
      <c r="E506" s="14">
        <f>IF(ISNA(VLOOKUP(A506,'Exponential Item Growth'!$A$10:$B$18,2,FALSE)),E505, E505*VLOOKUP(A506,'Exponential Item Growth'!$A$10:$B$18,2,FALSE))</f>
        <v>128</v>
      </c>
      <c r="F506" s="14">
        <f>C506*'Exponential Item Growth'!$B$21</f>
        <v>539744</v>
      </c>
      <c r="G506" s="14">
        <f>'Exponential Item Growth'!$B$22*C506</f>
        <v>8096159.9999999991</v>
      </c>
      <c r="H506" s="14">
        <f>'Exponential Item Growth'!$B$23*C506</f>
        <v>107948799.99999999</v>
      </c>
    </row>
    <row r="507" spans="1:8" ht="15.75" customHeight="1">
      <c r="A507" s="3">
        <v>506</v>
      </c>
      <c r="B507" s="13">
        <f>'Exponential Item Growth'!$B$5*'Exponential Item Growth'!$B$6^A507</f>
        <v>6379223584955.6123</v>
      </c>
      <c r="C507" s="14">
        <f t="shared" si="0"/>
        <v>108162.56</v>
      </c>
      <c r="D507" s="15">
        <f>A507*'Exponential Item Growth'!$B$4</f>
        <v>845.02</v>
      </c>
      <c r="E507" s="14">
        <f>IF(ISNA(VLOOKUP(A507,'Exponential Item Growth'!$A$10:$B$18,2,FALSE)),E506, E506*VLOOKUP(A507,'Exponential Item Growth'!$A$10:$B$18,2,FALSE))</f>
        <v>128</v>
      </c>
      <c r="F507" s="14">
        <f>C507*'Exponential Item Growth'!$B$21</f>
        <v>540812.80000000005</v>
      </c>
      <c r="G507" s="14">
        <f>'Exponential Item Growth'!$B$22*C507</f>
        <v>8112192</v>
      </c>
      <c r="H507" s="14">
        <f>'Exponential Item Growth'!$B$23*C507</f>
        <v>108162560</v>
      </c>
    </row>
    <row r="508" spans="1:8" ht="15.75" customHeight="1">
      <c r="A508" s="3">
        <v>507</v>
      </c>
      <c r="B508" s="13">
        <f>'Exponential Item Growth'!$B$5*'Exponential Item Growth'!$B$6^A508</f>
        <v>6761977000052.9502</v>
      </c>
      <c r="C508" s="14">
        <f t="shared" si="0"/>
        <v>108376.31999999999</v>
      </c>
      <c r="D508" s="15">
        <f>A508*'Exponential Item Growth'!$B$4</f>
        <v>846.68999999999994</v>
      </c>
      <c r="E508" s="14">
        <f>IF(ISNA(VLOOKUP(A508,'Exponential Item Growth'!$A$10:$B$18,2,FALSE)),E507, E507*VLOOKUP(A508,'Exponential Item Growth'!$A$10:$B$18,2,FALSE))</f>
        <v>128</v>
      </c>
      <c r="F508" s="14">
        <f>C508*'Exponential Item Growth'!$B$21</f>
        <v>541881.59999999998</v>
      </c>
      <c r="G508" s="14">
        <f>'Exponential Item Growth'!$B$22*C508</f>
        <v>8128223.9999999991</v>
      </c>
      <c r="H508" s="14">
        <f>'Exponential Item Growth'!$B$23*C508</f>
        <v>108376319.99999999</v>
      </c>
    </row>
    <row r="509" spans="1:8" ht="15.75" customHeight="1">
      <c r="A509" s="3">
        <v>508</v>
      </c>
      <c r="B509" s="13">
        <f>'Exponential Item Growth'!$B$5*'Exponential Item Growth'!$B$6^A509</f>
        <v>7167695620056.126</v>
      </c>
      <c r="C509" s="14">
        <f t="shared" si="0"/>
        <v>108590.08</v>
      </c>
      <c r="D509" s="15">
        <f>A509*'Exponential Item Growth'!$B$4</f>
        <v>848.36</v>
      </c>
      <c r="E509" s="14">
        <f>IF(ISNA(VLOOKUP(A509,'Exponential Item Growth'!$A$10:$B$18,2,FALSE)),E508, E508*VLOOKUP(A509,'Exponential Item Growth'!$A$10:$B$18,2,FALSE))</f>
        <v>128</v>
      </c>
      <c r="F509" s="14">
        <f>C509*'Exponential Item Growth'!$B$21</f>
        <v>542950.40000000002</v>
      </c>
      <c r="G509" s="14">
        <f>'Exponential Item Growth'!$B$22*C509</f>
        <v>8144256</v>
      </c>
      <c r="H509" s="14">
        <f>'Exponential Item Growth'!$B$23*C509</f>
        <v>108590080</v>
      </c>
    </row>
    <row r="510" spans="1:8" ht="15.75" customHeight="1">
      <c r="A510" s="3">
        <v>509</v>
      </c>
      <c r="B510" s="13">
        <f>'Exponential Item Growth'!$B$5*'Exponential Item Growth'!$B$6^A510</f>
        <v>7597757357259.4971</v>
      </c>
      <c r="C510" s="14">
        <f t="shared" si="0"/>
        <v>108803.84</v>
      </c>
      <c r="D510" s="15">
        <f>A510*'Exponential Item Growth'!$B$4</f>
        <v>850.03</v>
      </c>
      <c r="E510" s="14">
        <f>IF(ISNA(VLOOKUP(A510,'Exponential Item Growth'!$A$10:$B$18,2,FALSE)),E509, E509*VLOOKUP(A510,'Exponential Item Growth'!$A$10:$B$18,2,FALSE))</f>
        <v>128</v>
      </c>
      <c r="F510" s="14">
        <f>C510*'Exponential Item Growth'!$B$21</f>
        <v>544019.19999999995</v>
      </c>
      <c r="G510" s="14">
        <f>'Exponential Item Growth'!$B$22*C510</f>
        <v>8160288</v>
      </c>
      <c r="H510" s="14">
        <f>'Exponential Item Growth'!$B$23*C510</f>
        <v>108803840</v>
      </c>
    </row>
    <row r="511" spans="1:8" ht="15.75" customHeight="1">
      <c r="A511" s="3">
        <v>510</v>
      </c>
      <c r="B511" s="13">
        <f>'Exponential Item Growth'!$B$5*'Exponential Item Growth'!$B$6^A511</f>
        <v>8053622798695.0654</v>
      </c>
      <c r="C511" s="14">
        <f t="shared" si="0"/>
        <v>109017.59999999999</v>
      </c>
      <c r="D511" s="15">
        <f>A511*'Exponential Item Growth'!$B$4</f>
        <v>851.69999999999993</v>
      </c>
      <c r="E511" s="14">
        <f>IF(ISNA(VLOOKUP(A511,'Exponential Item Growth'!$A$10:$B$18,2,FALSE)),E510, E510*VLOOKUP(A511,'Exponential Item Growth'!$A$10:$B$18,2,FALSE))</f>
        <v>128</v>
      </c>
      <c r="F511" s="14">
        <f>C511*'Exponential Item Growth'!$B$21</f>
        <v>545088</v>
      </c>
      <c r="G511" s="14">
        <f>'Exponential Item Growth'!$B$22*C511</f>
        <v>8176319.9999999991</v>
      </c>
      <c r="H511" s="14">
        <f>'Exponential Item Growth'!$B$23*C511</f>
        <v>109017599.99999999</v>
      </c>
    </row>
    <row r="512" spans="1:8" ht="15.75" customHeight="1">
      <c r="A512" s="3">
        <v>511</v>
      </c>
      <c r="B512" s="13">
        <f>'Exponential Item Growth'!$B$5*'Exponential Item Growth'!$B$6^A512</f>
        <v>8536840166616.7725</v>
      </c>
      <c r="C512" s="14">
        <f t="shared" si="0"/>
        <v>109231.36</v>
      </c>
      <c r="D512" s="15">
        <f>A512*'Exponential Item Growth'!$B$4</f>
        <v>853.37</v>
      </c>
      <c r="E512" s="14">
        <f>IF(ISNA(VLOOKUP(A512,'Exponential Item Growth'!$A$10:$B$18,2,FALSE)),E511, E511*VLOOKUP(A512,'Exponential Item Growth'!$A$10:$B$18,2,FALSE))</f>
        <v>128</v>
      </c>
      <c r="F512" s="14">
        <f>C512*'Exponential Item Growth'!$B$21</f>
        <v>546156.80000000005</v>
      </c>
      <c r="G512" s="14">
        <f>'Exponential Item Growth'!$B$22*C512</f>
        <v>8192352</v>
      </c>
      <c r="H512" s="14">
        <f>'Exponential Item Growth'!$B$23*C512</f>
        <v>109231360</v>
      </c>
    </row>
    <row r="513" spans="1:8" ht="15.75" customHeight="1">
      <c r="A513" s="3">
        <v>512</v>
      </c>
      <c r="B513" s="13">
        <f>'Exponential Item Growth'!$B$5*'Exponential Item Growth'!$B$6^A513</f>
        <v>9049050576613.7754</v>
      </c>
      <c r="C513" s="14">
        <f t="shared" si="0"/>
        <v>109445.12</v>
      </c>
      <c r="D513" s="15">
        <f>A513*'Exponential Item Growth'!$B$4</f>
        <v>855.04</v>
      </c>
      <c r="E513" s="14">
        <f>IF(ISNA(VLOOKUP(A513,'Exponential Item Growth'!$A$10:$B$18,2,FALSE)),E512, E512*VLOOKUP(A513,'Exponential Item Growth'!$A$10:$B$18,2,FALSE))</f>
        <v>128</v>
      </c>
      <c r="F513" s="14">
        <f>C513*'Exponential Item Growth'!$B$21</f>
        <v>547225.59999999998</v>
      </c>
      <c r="G513" s="14">
        <f>'Exponential Item Growth'!$B$22*C513</f>
        <v>8208384</v>
      </c>
      <c r="H513" s="14">
        <f>'Exponential Item Growth'!$B$23*C513</f>
        <v>109445120</v>
      </c>
    </row>
    <row r="514" spans="1:8" ht="15.75" customHeight="1">
      <c r="A514" s="3">
        <v>513</v>
      </c>
      <c r="B514" s="13">
        <f>'Exponential Item Growth'!$B$5*'Exponential Item Growth'!$B$6^A514</f>
        <v>9591993611210.6016</v>
      </c>
      <c r="C514" s="14">
        <f t="shared" si="0"/>
        <v>109658.87999999999</v>
      </c>
      <c r="D514" s="15">
        <f>A514*'Exponential Item Growth'!$B$4</f>
        <v>856.70999999999992</v>
      </c>
      <c r="E514" s="14">
        <f>IF(ISNA(VLOOKUP(A514,'Exponential Item Growth'!$A$10:$B$18,2,FALSE)),E513, E513*VLOOKUP(A514,'Exponential Item Growth'!$A$10:$B$18,2,FALSE))</f>
        <v>128</v>
      </c>
      <c r="F514" s="14">
        <f>C514*'Exponential Item Growth'!$B$21</f>
        <v>548294.39999999991</v>
      </c>
      <c r="G514" s="14">
        <f>'Exponential Item Growth'!$B$22*C514</f>
        <v>8224415.9999999991</v>
      </c>
      <c r="H514" s="14">
        <f>'Exponential Item Growth'!$B$23*C514</f>
        <v>109658879.99999999</v>
      </c>
    </row>
    <row r="515" spans="1:8" ht="15.75" customHeight="1">
      <c r="A515" s="3">
        <v>514</v>
      </c>
      <c r="B515" s="13">
        <f>'Exponential Item Growth'!$B$5*'Exponential Item Growth'!$B$6^A515</f>
        <v>10167513227883.24</v>
      </c>
      <c r="C515" s="14">
        <f t="shared" si="0"/>
        <v>109872.64</v>
      </c>
      <c r="D515" s="15">
        <f>A515*'Exponential Item Growth'!$B$4</f>
        <v>858.38</v>
      </c>
      <c r="E515" s="14">
        <f>IF(ISNA(VLOOKUP(A515,'Exponential Item Growth'!$A$10:$B$18,2,FALSE)),E514, E514*VLOOKUP(A515,'Exponential Item Growth'!$A$10:$B$18,2,FALSE))</f>
        <v>128</v>
      </c>
      <c r="F515" s="14">
        <f>C515*'Exponential Item Growth'!$B$21</f>
        <v>549363.19999999995</v>
      </c>
      <c r="G515" s="14">
        <f>'Exponential Item Growth'!$B$22*C515</f>
        <v>8240448</v>
      </c>
      <c r="H515" s="14">
        <f>'Exponential Item Growth'!$B$23*C515</f>
        <v>109872640</v>
      </c>
    </row>
    <row r="516" spans="1:8" ht="15.75" customHeight="1">
      <c r="A516" s="3">
        <v>515</v>
      </c>
      <c r="B516" s="13">
        <f>'Exponential Item Growth'!$B$5*'Exponential Item Growth'!$B$6^A516</f>
        <v>10777564021556.234</v>
      </c>
      <c r="C516" s="14">
        <f t="shared" si="0"/>
        <v>110086.39999999999</v>
      </c>
      <c r="D516" s="15">
        <f>A516*'Exponential Item Growth'!$B$4</f>
        <v>860.05</v>
      </c>
      <c r="E516" s="14">
        <f>IF(ISNA(VLOOKUP(A516,'Exponential Item Growth'!$A$10:$B$18,2,FALSE)),E515, E515*VLOOKUP(A516,'Exponential Item Growth'!$A$10:$B$18,2,FALSE))</f>
        <v>128</v>
      </c>
      <c r="F516" s="14">
        <f>C516*'Exponential Item Growth'!$B$21</f>
        <v>550432</v>
      </c>
      <c r="G516" s="14">
        <f>'Exponential Item Growth'!$B$22*C516</f>
        <v>8256480</v>
      </c>
      <c r="H516" s="14">
        <f>'Exponential Item Growth'!$B$23*C516</f>
        <v>110086400</v>
      </c>
    </row>
    <row r="517" spans="1:8" ht="15.75" customHeight="1">
      <c r="A517" s="3">
        <v>516</v>
      </c>
      <c r="B517" s="13">
        <f>'Exponential Item Growth'!$B$5*'Exponential Item Growth'!$B$6^A517</f>
        <v>11424217862849.609</v>
      </c>
      <c r="C517" s="14">
        <f t="shared" si="0"/>
        <v>110300.15999999999</v>
      </c>
      <c r="D517" s="15">
        <f>A517*'Exponential Item Growth'!$B$4</f>
        <v>861.71999999999991</v>
      </c>
      <c r="E517" s="14">
        <f>IF(ISNA(VLOOKUP(A517,'Exponential Item Growth'!$A$10:$B$18,2,FALSE)),E516, E516*VLOOKUP(A517,'Exponential Item Growth'!$A$10:$B$18,2,FALSE))</f>
        <v>128</v>
      </c>
      <c r="F517" s="14">
        <f>C517*'Exponential Item Growth'!$B$21</f>
        <v>551500.79999999993</v>
      </c>
      <c r="G517" s="14">
        <f>'Exponential Item Growth'!$B$22*C517</f>
        <v>8272511.9999999991</v>
      </c>
      <c r="H517" s="14">
        <f>'Exponential Item Growth'!$B$23*C517</f>
        <v>110300159.99999999</v>
      </c>
    </row>
    <row r="518" spans="1:8" ht="15.75" customHeight="1">
      <c r="A518" s="3">
        <v>517</v>
      </c>
      <c r="B518" s="13">
        <f>'Exponential Item Growth'!$B$5*'Exponential Item Growth'!$B$6^A518</f>
        <v>12109670934620.588</v>
      </c>
      <c r="C518" s="14">
        <f t="shared" si="0"/>
        <v>110513.92</v>
      </c>
      <c r="D518" s="15">
        <f>A518*'Exponential Item Growth'!$B$4</f>
        <v>863.39</v>
      </c>
      <c r="E518" s="14">
        <f>IF(ISNA(VLOOKUP(A518,'Exponential Item Growth'!$A$10:$B$18,2,FALSE)),E517, E517*VLOOKUP(A518,'Exponential Item Growth'!$A$10:$B$18,2,FALSE))</f>
        <v>128</v>
      </c>
      <c r="F518" s="14">
        <f>C518*'Exponential Item Growth'!$B$21</f>
        <v>552569.59999999998</v>
      </c>
      <c r="G518" s="14">
        <f>'Exponential Item Growth'!$B$22*C518</f>
        <v>8288544</v>
      </c>
      <c r="H518" s="14">
        <f>'Exponential Item Growth'!$B$23*C518</f>
        <v>110513920</v>
      </c>
    </row>
    <row r="519" spans="1:8" ht="15.75" customHeight="1">
      <c r="A519" s="3">
        <v>518</v>
      </c>
      <c r="B519" s="13">
        <f>'Exponential Item Growth'!$B$5*'Exponential Item Growth'!$B$6^A519</f>
        <v>12836251190697.822</v>
      </c>
      <c r="C519" s="14">
        <f t="shared" si="0"/>
        <v>110727.67999999999</v>
      </c>
      <c r="D519" s="15">
        <f>A519*'Exponential Item Growth'!$B$4</f>
        <v>865.06</v>
      </c>
      <c r="E519" s="14">
        <f>IF(ISNA(VLOOKUP(A519,'Exponential Item Growth'!$A$10:$B$18,2,FALSE)),E518, E518*VLOOKUP(A519,'Exponential Item Growth'!$A$10:$B$18,2,FALSE))</f>
        <v>128</v>
      </c>
      <c r="F519" s="14">
        <f>C519*'Exponential Item Growth'!$B$21</f>
        <v>553638.39999999991</v>
      </c>
      <c r="G519" s="14">
        <f>'Exponential Item Growth'!$B$22*C519</f>
        <v>8304575.9999999991</v>
      </c>
      <c r="H519" s="14">
        <f>'Exponential Item Growth'!$B$23*C519</f>
        <v>110727680</v>
      </c>
    </row>
    <row r="520" spans="1:8" ht="15.75" customHeight="1">
      <c r="A520" s="3">
        <v>519</v>
      </c>
      <c r="B520" s="13">
        <f>'Exponential Item Growth'!$B$5*'Exponential Item Growth'!$B$6^A520</f>
        <v>13606426262139.693</v>
      </c>
      <c r="C520" s="14">
        <f t="shared" si="0"/>
        <v>110941.44</v>
      </c>
      <c r="D520" s="15">
        <f>A520*'Exponential Item Growth'!$B$4</f>
        <v>866.73</v>
      </c>
      <c r="E520" s="14">
        <f>IF(ISNA(VLOOKUP(A520,'Exponential Item Growth'!$A$10:$B$18,2,FALSE)),E519, E519*VLOOKUP(A520,'Exponential Item Growth'!$A$10:$B$18,2,FALSE))</f>
        <v>128</v>
      </c>
      <c r="F520" s="14">
        <f>C520*'Exponential Item Growth'!$B$21</f>
        <v>554707.19999999995</v>
      </c>
      <c r="G520" s="14">
        <f>'Exponential Item Growth'!$B$22*C520</f>
        <v>8320608</v>
      </c>
      <c r="H520" s="14">
        <f>'Exponential Item Growth'!$B$23*C520</f>
        <v>110941440</v>
      </c>
    </row>
    <row r="521" spans="1:8" ht="15.75" customHeight="1">
      <c r="A521" s="3">
        <v>520</v>
      </c>
      <c r="B521" s="13">
        <f>'Exponential Item Growth'!$B$5*'Exponential Item Growth'!$B$6^A521</f>
        <v>14422811837868.074</v>
      </c>
      <c r="C521" s="14">
        <f t="shared" si="0"/>
        <v>111155.2</v>
      </c>
      <c r="D521" s="15">
        <f>A521*'Exponential Item Growth'!$B$4</f>
        <v>868.4</v>
      </c>
      <c r="E521" s="14">
        <f>IF(ISNA(VLOOKUP(A521,'Exponential Item Growth'!$A$10:$B$18,2,FALSE)),E520, E520*VLOOKUP(A521,'Exponential Item Growth'!$A$10:$B$18,2,FALSE))</f>
        <v>128</v>
      </c>
      <c r="F521" s="14">
        <f>C521*'Exponential Item Growth'!$B$21</f>
        <v>555776</v>
      </c>
      <c r="G521" s="14">
        <f>'Exponential Item Growth'!$B$22*C521</f>
        <v>8336640</v>
      </c>
      <c r="H521" s="14">
        <f>'Exponential Item Growth'!$B$23*C521</f>
        <v>111155200</v>
      </c>
    </row>
    <row r="522" spans="1:8" ht="15.75" customHeight="1">
      <c r="A522" s="3">
        <v>521</v>
      </c>
      <c r="B522" s="13">
        <f>'Exponential Item Growth'!$B$5*'Exponential Item Growth'!$B$6^A522</f>
        <v>15288180548140.158</v>
      </c>
      <c r="C522" s="14">
        <f t="shared" si="0"/>
        <v>111368.95999999999</v>
      </c>
      <c r="D522" s="15">
        <f>A522*'Exponential Item Growth'!$B$4</f>
        <v>870.06999999999994</v>
      </c>
      <c r="E522" s="14">
        <f>IF(ISNA(VLOOKUP(A522,'Exponential Item Growth'!$A$10:$B$18,2,FALSE)),E521, E521*VLOOKUP(A522,'Exponential Item Growth'!$A$10:$B$18,2,FALSE))</f>
        <v>128</v>
      </c>
      <c r="F522" s="14">
        <f>C522*'Exponential Item Growth'!$B$21</f>
        <v>556844.79999999993</v>
      </c>
      <c r="G522" s="14">
        <f>'Exponential Item Growth'!$B$22*C522</f>
        <v>8352671.9999999991</v>
      </c>
      <c r="H522" s="14">
        <f>'Exponential Item Growth'!$B$23*C522</f>
        <v>111368959.99999999</v>
      </c>
    </row>
    <row r="523" spans="1:8" ht="15.75" customHeight="1">
      <c r="A523" s="3">
        <v>522</v>
      </c>
      <c r="B523" s="13">
        <f>'Exponential Item Growth'!$B$5*'Exponential Item Growth'!$B$6^A523</f>
        <v>16205471381028.57</v>
      </c>
      <c r="C523" s="14">
        <f t="shared" si="0"/>
        <v>111582.72</v>
      </c>
      <c r="D523" s="15">
        <f>A523*'Exponential Item Growth'!$B$4</f>
        <v>871.74</v>
      </c>
      <c r="E523" s="14">
        <f>IF(ISNA(VLOOKUP(A523,'Exponential Item Growth'!$A$10:$B$18,2,FALSE)),E522, E522*VLOOKUP(A523,'Exponential Item Growth'!$A$10:$B$18,2,FALSE))</f>
        <v>128</v>
      </c>
      <c r="F523" s="14">
        <f>C523*'Exponential Item Growth'!$B$21</f>
        <v>557913.59999999998</v>
      </c>
      <c r="G523" s="14">
        <f>'Exponential Item Growth'!$B$22*C523</f>
        <v>8368704</v>
      </c>
      <c r="H523" s="14">
        <f>'Exponential Item Growth'!$B$23*C523</f>
        <v>111582720</v>
      </c>
    </row>
    <row r="524" spans="1:8" ht="15.75" customHeight="1">
      <c r="A524" s="3">
        <v>523</v>
      </c>
      <c r="B524" s="13">
        <f>'Exponential Item Growth'!$B$5*'Exponential Item Growth'!$B$6^A524</f>
        <v>17177799663890.287</v>
      </c>
      <c r="C524" s="14">
        <f t="shared" si="0"/>
        <v>111796.48</v>
      </c>
      <c r="D524" s="15">
        <f>A524*'Exponential Item Growth'!$B$4</f>
        <v>873.41</v>
      </c>
      <c r="E524" s="14">
        <f>IF(ISNA(VLOOKUP(A524,'Exponential Item Growth'!$A$10:$B$18,2,FALSE)),E523, E523*VLOOKUP(A524,'Exponential Item Growth'!$A$10:$B$18,2,FALSE))</f>
        <v>128</v>
      </c>
      <c r="F524" s="14">
        <f>C524*'Exponential Item Growth'!$B$21</f>
        <v>558982.40000000002</v>
      </c>
      <c r="G524" s="14">
        <f>'Exponential Item Growth'!$B$22*C524</f>
        <v>8384736</v>
      </c>
      <c r="H524" s="14">
        <f>'Exponential Item Growth'!$B$23*C524</f>
        <v>111796480</v>
      </c>
    </row>
    <row r="525" spans="1:8" ht="15.75" customHeight="1">
      <c r="A525" s="3">
        <v>524</v>
      </c>
      <c r="B525" s="13">
        <f>'Exponential Item Growth'!$B$5*'Exponential Item Growth'!$B$6^A525</f>
        <v>18208467643723.703</v>
      </c>
      <c r="C525" s="14">
        <f t="shared" si="0"/>
        <v>112010.23999999999</v>
      </c>
      <c r="D525" s="15">
        <f>A525*'Exponential Item Growth'!$B$4</f>
        <v>875.07999999999993</v>
      </c>
      <c r="E525" s="14">
        <f>IF(ISNA(VLOOKUP(A525,'Exponential Item Growth'!$A$10:$B$18,2,FALSE)),E524, E524*VLOOKUP(A525,'Exponential Item Growth'!$A$10:$B$18,2,FALSE))</f>
        <v>128</v>
      </c>
      <c r="F525" s="14">
        <f>C525*'Exponential Item Growth'!$B$21</f>
        <v>560051.19999999995</v>
      </c>
      <c r="G525" s="14">
        <f>'Exponential Item Growth'!$B$22*C525</f>
        <v>8400768</v>
      </c>
      <c r="H525" s="14">
        <f>'Exponential Item Growth'!$B$23*C525</f>
        <v>112010239.99999999</v>
      </c>
    </row>
    <row r="526" spans="1:8" ht="15.75" customHeight="1">
      <c r="A526" s="3">
        <v>525</v>
      </c>
      <c r="B526" s="13">
        <f>'Exponential Item Growth'!$B$5*'Exponential Item Growth'!$B$6^A526</f>
        <v>19300975702347.129</v>
      </c>
      <c r="C526" s="14">
        <f t="shared" si="0"/>
        <v>112224</v>
      </c>
      <c r="D526" s="15">
        <f>A526*'Exponential Item Growth'!$B$4</f>
        <v>876.75</v>
      </c>
      <c r="E526" s="14">
        <f>IF(ISNA(VLOOKUP(A526,'Exponential Item Growth'!$A$10:$B$18,2,FALSE)),E525, E525*VLOOKUP(A526,'Exponential Item Growth'!$A$10:$B$18,2,FALSE))</f>
        <v>128</v>
      </c>
      <c r="F526" s="14">
        <f>C526*'Exponential Item Growth'!$B$21</f>
        <v>561120</v>
      </c>
      <c r="G526" s="14">
        <f>'Exponential Item Growth'!$B$22*C526</f>
        <v>8416800</v>
      </c>
      <c r="H526" s="14">
        <f>'Exponential Item Growth'!$B$23*C526</f>
        <v>112224000</v>
      </c>
    </row>
    <row r="527" spans="1:8" ht="15.75" customHeight="1">
      <c r="A527" s="3">
        <v>526</v>
      </c>
      <c r="B527" s="13">
        <f>'Exponential Item Growth'!$B$5*'Exponential Item Growth'!$B$6^A527</f>
        <v>20459034244487.957</v>
      </c>
      <c r="C527" s="14">
        <f t="shared" si="0"/>
        <v>112437.75999999999</v>
      </c>
      <c r="D527" s="15">
        <f>A527*'Exponential Item Growth'!$B$4</f>
        <v>878.42</v>
      </c>
      <c r="E527" s="14">
        <f>IF(ISNA(VLOOKUP(A527,'Exponential Item Growth'!$A$10:$B$18,2,FALSE)),E526, E526*VLOOKUP(A527,'Exponential Item Growth'!$A$10:$B$18,2,FALSE))</f>
        <v>128</v>
      </c>
      <c r="F527" s="14">
        <f>C527*'Exponential Item Growth'!$B$21</f>
        <v>562188.79999999993</v>
      </c>
      <c r="G527" s="14">
        <f>'Exponential Item Growth'!$B$22*C527</f>
        <v>8432832</v>
      </c>
      <c r="H527" s="14">
        <f>'Exponential Item Growth'!$B$23*C527</f>
        <v>112437760</v>
      </c>
    </row>
    <row r="528" spans="1:8" ht="15.75" customHeight="1">
      <c r="A528" s="3">
        <v>527</v>
      </c>
      <c r="B528" s="13">
        <f>'Exponential Item Growth'!$B$5*'Exponential Item Growth'!$B$6^A528</f>
        <v>21686576299157.238</v>
      </c>
      <c r="C528" s="14">
        <f t="shared" si="0"/>
        <v>112651.51999999999</v>
      </c>
      <c r="D528" s="15">
        <f>A528*'Exponential Item Growth'!$B$4</f>
        <v>880.08999999999992</v>
      </c>
      <c r="E528" s="14">
        <f>IF(ISNA(VLOOKUP(A528,'Exponential Item Growth'!$A$10:$B$18,2,FALSE)),E527, E527*VLOOKUP(A528,'Exponential Item Growth'!$A$10:$B$18,2,FALSE))</f>
        <v>128</v>
      </c>
      <c r="F528" s="14">
        <f>C528*'Exponential Item Growth'!$B$21</f>
        <v>563257.59999999998</v>
      </c>
      <c r="G528" s="14">
        <f>'Exponential Item Growth'!$B$22*C528</f>
        <v>8448864</v>
      </c>
      <c r="H528" s="14">
        <f>'Exponential Item Growth'!$B$23*C528</f>
        <v>112651519.99999999</v>
      </c>
    </row>
    <row r="529" spans="1:8" ht="15.75" customHeight="1">
      <c r="A529" s="3">
        <v>528</v>
      </c>
      <c r="B529" s="13">
        <f>'Exponential Item Growth'!$B$5*'Exponential Item Growth'!$B$6^A529</f>
        <v>22987770877106.668</v>
      </c>
      <c r="C529" s="14">
        <f t="shared" si="0"/>
        <v>112865.28</v>
      </c>
      <c r="D529" s="15">
        <f>A529*'Exponential Item Growth'!$B$4</f>
        <v>881.76</v>
      </c>
      <c r="E529" s="14">
        <f>IF(ISNA(VLOOKUP(A529,'Exponential Item Growth'!$A$10:$B$18,2,FALSE)),E528, E528*VLOOKUP(A529,'Exponential Item Growth'!$A$10:$B$18,2,FALSE))</f>
        <v>128</v>
      </c>
      <c r="F529" s="14">
        <f>C529*'Exponential Item Growth'!$B$21</f>
        <v>564326.40000000002</v>
      </c>
      <c r="G529" s="14">
        <f>'Exponential Item Growth'!$B$22*C529</f>
        <v>8464896</v>
      </c>
      <c r="H529" s="14">
        <f>'Exponential Item Growth'!$B$23*C529</f>
        <v>112865280</v>
      </c>
    </row>
    <row r="530" spans="1:8" ht="15.75" customHeight="1">
      <c r="A530" s="3">
        <v>529</v>
      </c>
      <c r="B530" s="13">
        <f>'Exponential Item Growth'!$B$5*'Exponential Item Growth'!$B$6^A530</f>
        <v>24367037129733.07</v>
      </c>
      <c r="C530" s="14">
        <f t="shared" si="0"/>
        <v>113079.03999999999</v>
      </c>
      <c r="D530" s="15">
        <f>A530*'Exponential Item Growth'!$B$4</f>
        <v>883.43</v>
      </c>
      <c r="E530" s="14">
        <f>IF(ISNA(VLOOKUP(A530,'Exponential Item Growth'!$A$10:$B$18,2,FALSE)),E529, E529*VLOOKUP(A530,'Exponential Item Growth'!$A$10:$B$18,2,FALSE))</f>
        <v>128</v>
      </c>
      <c r="F530" s="14">
        <f>C530*'Exponential Item Growth'!$B$21</f>
        <v>565395.19999999995</v>
      </c>
      <c r="G530" s="14">
        <f>'Exponential Item Growth'!$B$22*C530</f>
        <v>8480928</v>
      </c>
      <c r="H530" s="14">
        <f>'Exponential Item Growth'!$B$23*C530</f>
        <v>113079040</v>
      </c>
    </row>
    <row r="531" spans="1:8" ht="15.75" customHeight="1">
      <c r="A531" s="3">
        <v>530</v>
      </c>
      <c r="B531" s="13">
        <f>'Exponential Item Growth'!$B$5*'Exponential Item Growth'!$B$6^A531</f>
        <v>25829059357517.055</v>
      </c>
      <c r="C531" s="14">
        <f t="shared" si="0"/>
        <v>113292.79999999999</v>
      </c>
      <c r="D531" s="15">
        <f>A531*'Exponential Item Growth'!$B$4</f>
        <v>885.09999999999991</v>
      </c>
      <c r="E531" s="14">
        <f>IF(ISNA(VLOOKUP(A531,'Exponential Item Growth'!$A$10:$B$18,2,FALSE)),E530, E530*VLOOKUP(A531,'Exponential Item Growth'!$A$10:$B$18,2,FALSE))</f>
        <v>128</v>
      </c>
      <c r="F531" s="14">
        <f>C531*'Exponential Item Growth'!$B$21</f>
        <v>566464</v>
      </c>
      <c r="G531" s="14">
        <f>'Exponential Item Growth'!$B$22*C531</f>
        <v>8496960</v>
      </c>
      <c r="H531" s="14">
        <f>'Exponential Item Growth'!$B$23*C531</f>
        <v>113292799.99999999</v>
      </c>
    </row>
    <row r="532" spans="1:8" ht="15.75" customHeight="1">
      <c r="A532" s="3">
        <v>531</v>
      </c>
      <c r="B532" s="13">
        <f>'Exponential Item Growth'!$B$5*'Exponential Item Growth'!$B$6^A532</f>
        <v>27378802918968.082</v>
      </c>
      <c r="C532" s="14">
        <f t="shared" si="0"/>
        <v>113506.56</v>
      </c>
      <c r="D532" s="15">
        <f>A532*'Exponential Item Growth'!$B$4</f>
        <v>886.77</v>
      </c>
      <c r="E532" s="14">
        <f>IF(ISNA(VLOOKUP(A532,'Exponential Item Growth'!$A$10:$B$18,2,FALSE)),E531, E531*VLOOKUP(A532,'Exponential Item Growth'!$A$10:$B$18,2,FALSE))</f>
        <v>128</v>
      </c>
      <c r="F532" s="14">
        <f>C532*'Exponential Item Growth'!$B$21</f>
        <v>567532.80000000005</v>
      </c>
      <c r="G532" s="14">
        <f>'Exponential Item Growth'!$B$22*C532</f>
        <v>8512992</v>
      </c>
      <c r="H532" s="14">
        <f>'Exponential Item Growth'!$B$23*C532</f>
        <v>113506560</v>
      </c>
    </row>
    <row r="533" spans="1:8" ht="15.75" customHeight="1">
      <c r="A533" s="3">
        <v>532</v>
      </c>
      <c r="B533" s="13">
        <f>'Exponential Item Growth'!$B$5*'Exponential Item Growth'!$B$6^A533</f>
        <v>29021531094106.164</v>
      </c>
      <c r="C533" s="14">
        <f t="shared" si="0"/>
        <v>113720.31999999999</v>
      </c>
      <c r="D533" s="15">
        <f>A533*'Exponential Item Growth'!$B$4</f>
        <v>888.43999999999994</v>
      </c>
      <c r="E533" s="14">
        <f>IF(ISNA(VLOOKUP(A533,'Exponential Item Growth'!$A$10:$B$18,2,FALSE)),E532, E532*VLOOKUP(A533,'Exponential Item Growth'!$A$10:$B$18,2,FALSE))</f>
        <v>128</v>
      </c>
      <c r="F533" s="14">
        <f>C533*'Exponential Item Growth'!$B$21</f>
        <v>568601.59999999998</v>
      </c>
      <c r="G533" s="14">
        <f>'Exponential Item Growth'!$B$22*C533</f>
        <v>8529024</v>
      </c>
      <c r="H533" s="14">
        <f>'Exponential Item Growth'!$B$23*C533</f>
        <v>113720319.99999999</v>
      </c>
    </row>
    <row r="534" spans="1:8" ht="15.75" customHeight="1">
      <c r="A534" s="3">
        <v>533</v>
      </c>
      <c r="B534" s="13">
        <f>'Exponential Item Growth'!$B$5*'Exponential Item Growth'!$B$6^A534</f>
        <v>30762822959752.543</v>
      </c>
      <c r="C534" s="14">
        <f t="shared" si="0"/>
        <v>113934.08</v>
      </c>
      <c r="D534" s="15">
        <f>A534*'Exponential Item Growth'!$B$4</f>
        <v>890.11</v>
      </c>
      <c r="E534" s="14">
        <f>IF(ISNA(VLOOKUP(A534,'Exponential Item Growth'!$A$10:$B$18,2,FALSE)),E533, E533*VLOOKUP(A534,'Exponential Item Growth'!$A$10:$B$18,2,FALSE))</f>
        <v>128</v>
      </c>
      <c r="F534" s="14">
        <f>C534*'Exponential Item Growth'!$B$21</f>
        <v>569670.40000000002</v>
      </c>
      <c r="G534" s="14">
        <f>'Exponential Item Growth'!$B$22*C534</f>
        <v>8545056</v>
      </c>
      <c r="H534" s="14">
        <f>'Exponential Item Growth'!$B$23*C534</f>
        <v>113934080</v>
      </c>
    </row>
    <row r="535" spans="1:8" ht="15.75" customHeight="1">
      <c r="A535" s="3">
        <v>534</v>
      </c>
      <c r="B535" s="13">
        <f>'Exponential Item Growth'!$B$5*'Exponential Item Growth'!$B$6^A535</f>
        <v>32608592337337.695</v>
      </c>
      <c r="C535" s="14">
        <f t="shared" si="0"/>
        <v>114147.84</v>
      </c>
      <c r="D535" s="15">
        <f>A535*'Exponential Item Growth'!$B$4</f>
        <v>891.78</v>
      </c>
      <c r="E535" s="14">
        <f>IF(ISNA(VLOOKUP(A535,'Exponential Item Growth'!$A$10:$B$18,2,FALSE)),E534, E534*VLOOKUP(A535,'Exponential Item Growth'!$A$10:$B$18,2,FALSE))</f>
        <v>128</v>
      </c>
      <c r="F535" s="14">
        <f>C535*'Exponential Item Growth'!$B$21</f>
        <v>570739.19999999995</v>
      </c>
      <c r="G535" s="14">
        <f>'Exponential Item Growth'!$B$22*C535</f>
        <v>8561088</v>
      </c>
      <c r="H535" s="14">
        <f>'Exponential Item Growth'!$B$23*C535</f>
        <v>114147840</v>
      </c>
    </row>
    <row r="536" spans="1:8" ht="15.75" customHeight="1">
      <c r="A536" s="3">
        <v>535</v>
      </c>
      <c r="B536" s="13">
        <f>'Exponential Item Growth'!$B$5*'Exponential Item Growth'!$B$6^A536</f>
        <v>34565107877577.961</v>
      </c>
      <c r="C536" s="14">
        <f t="shared" si="0"/>
        <v>114361.59999999999</v>
      </c>
      <c r="D536" s="15">
        <f>A536*'Exponential Item Growth'!$B$4</f>
        <v>893.44999999999993</v>
      </c>
      <c r="E536" s="14">
        <f>IF(ISNA(VLOOKUP(A536,'Exponential Item Growth'!$A$10:$B$18,2,FALSE)),E535, E535*VLOOKUP(A536,'Exponential Item Growth'!$A$10:$B$18,2,FALSE))</f>
        <v>128</v>
      </c>
      <c r="F536" s="14">
        <f>C536*'Exponential Item Growth'!$B$21</f>
        <v>571808</v>
      </c>
      <c r="G536" s="14">
        <f>'Exponential Item Growth'!$B$22*C536</f>
        <v>8577120</v>
      </c>
      <c r="H536" s="14">
        <f>'Exponential Item Growth'!$B$23*C536</f>
        <v>114361599.99999999</v>
      </c>
    </row>
    <row r="537" spans="1:8" ht="15.75" customHeight="1">
      <c r="A537" s="3">
        <v>536</v>
      </c>
      <c r="B537" s="13">
        <f>'Exponential Item Growth'!$B$5*'Exponential Item Growth'!$B$6^A537</f>
        <v>36639014350232.633</v>
      </c>
      <c r="C537" s="14">
        <f t="shared" si="0"/>
        <v>114575.36</v>
      </c>
      <c r="D537" s="15">
        <f>A537*'Exponential Item Growth'!$B$4</f>
        <v>895.12</v>
      </c>
      <c r="E537" s="14">
        <f>IF(ISNA(VLOOKUP(A537,'Exponential Item Growth'!$A$10:$B$18,2,FALSE)),E536, E536*VLOOKUP(A537,'Exponential Item Growth'!$A$10:$B$18,2,FALSE))</f>
        <v>128</v>
      </c>
      <c r="F537" s="14">
        <f>C537*'Exponential Item Growth'!$B$21</f>
        <v>572876.80000000005</v>
      </c>
      <c r="G537" s="14">
        <f>'Exponential Item Growth'!$B$22*C537</f>
        <v>8593152</v>
      </c>
      <c r="H537" s="14">
        <f>'Exponential Item Growth'!$B$23*C537</f>
        <v>114575360</v>
      </c>
    </row>
    <row r="538" spans="1:8" ht="15.75" customHeight="1">
      <c r="A538" s="3">
        <v>537</v>
      </c>
      <c r="B538" s="13">
        <f>'Exponential Item Growth'!$B$5*'Exponential Item Growth'!$B$6^A538</f>
        <v>38837355211246.594</v>
      </c>
      <c r="C538" s="14">
        <f t="shared" si="0"/>
        <v>114789.12</v>
      </c>
      <c r="D538" s="15">
        <f>A538*'Exponential Item Growth'!$B$4</f>
        <v>896.79</v>
      </c>
      <c r="E538" s="14">
        <f>IF(ISNA(VLOOKUP(A538,'Exponential Item Growth'!$A$10:$B$18,2,FALSE)),E537, E537*VLOOKUP(A538,'Exponential Item Growth'!$A$10:$B$18,2,FALSE))</f>
        <v>128</v>
      </c>
      <c r="F538" s="14">
        <f>C538*'Exponential Item Growth'!$B$21</f>
        <v>573945.59999999998</v>
      </c>
      <c r="G538" s="14">
        <f>'Exponential Item Growth'!$B$22*C538</f>
        <v>8609184</v>
      </c>
      <c r="H538" s="14">
        <f>'Exponential Item Growth'!$B$23*C538</f>
        <v>114789120</v>
      </c>
    </row>
    <row r="539" spans="1:8" ht="15.75" customHeight="1">
      <c r="A539" s="3">
        <v>538</v>
      </c>
      <c r="B539" s="13">
        <f>'Exponential Item Growth'!$B$5*'Exponential Item Growth'!$B$6^A539</f>
        <v>41167596523921.391</v>
      </c>
      <c r="C539" s="14">
        <f t="shared" si="0"/>
        <v>115002.87999999999</v>
      </c>
      <c r="D539" s="15">
        <f>A539*'Exponential Item Growth'!$B$4</f>
        <v>898.45999999999992</v>
      </c>
      <c r="E539" s="14">
        <f>IF(ISNA(VLOOKUP(A539,'Exponential Item Growth'!$A$10:$B$18,2,FALSE)),E538, E538*VLOOKUP(A539,'Exponential Item Growth'!$A$10:$B$18,2,FALSE))</f>
        <v>128</v>
      </c>
      <c r="F539" s="14">
        <f>C539*'Exponential Item Growth'!$B$21</f>
        <v>575014.39999999991</v>
      </c>
      <c r="G539" s="14">
        <f>'Exponential Item Growth'!$B$22*C539</f>
        <v>8625216</v>
      </c>
      <c r="H539" s="14">
        <f>'Exponential Item Growth'!$B$23*C539</f>
        <v>115002879.99999999</v>
      </c>
    </row>
    <row r="540" spans="1:8" ht="15.75" customHeight="1">
      <c r="A540" s="3">
        <v>539</v>
      </c>
      <c r="B540" s="13">
        <f>'Exponential Item Growth'!$B$5*'Exponential Item Growth'!$B$6^A540</f>
        <v>43637652315356.68</v>
      </c>
      <c r="C540" s="14">
        <f t="shared" si="0"/>
        <v>115216.64</v>
      </c>
      <c r="D540" s="15">
        <f>A540*'Exponential Item Growth'!$B$4</f>
        <v>900.13</v>
      </c>
      <c r="E540" s="14">
        <f>IF(ISNA(VLOOKUP(A540,'Exponential Item Growth'!$A$10:$B$18,2,FALSE)),E539, E539*VLOOKUP(A540,'Exponential Item Growth'!$A$10:$B$18,2,FALSE))</f>
        <v>128</v>
      </c>
      <c r="F540" s="14">
        <f>C540*'Exponential Item Growth'!$B$21</f>
        <v>576083.19999999995</v>
      </c>
      <c r="G540" s="14">
        <f>'Exponential Item Growth'!$B$22*C540</f>
        <v>8641248</v>
      </c>
      <c r="H540" s="14">
        <f>'Exponential Item Growth'!$B$23*C540</f>
        <v>115216640</v>
      </c>
    </row>
    <row r="541" spans="1:8" ht="15.75" customHeight="1">
      <c r="A541" s="3">
        <v>540</v>
      </c>
      <c r="B541" s="13">
        <f>'Exponential Item Growth'!$B$5*'Exponential Item Growth'!$B$6^A541</f>
        <v>46255911454278.086</v>
      </c>
      <c r="C541" s="14">
        <f t="shared" si="0"/>
        <v>115430.39999999999</v>
      </c>
      <c r="D541" s="15">
        <f>A541*'Exponential Item Growth'!$B$4</f>
        <v>901.8</v>
      </c>
      <c r="E541" s="14">
        <f>IF(ISNA(VLOOKUP(A541,'Exponential Item Growth'!$A$10:$B$18,2,FALSE)),E540, E540*VLOOKUP(A541,'Exponential Item Growth'!$A$10:$B$18,2,FALSE))</f>
        <v>128</v>
      </c>
      <c r="F541" s="14">
        <f>C541*'Exponential Item Growth'!$B$21</f>
        <v>577152</v>
      </c>
      <c r="G541" s="14">
        <f>'Exponential Item Growth'!$B$22*C541</f>
        <v>8657280</v>
      </c>
      <c r="H541" s="14">
        <f>'Exponential Item Growth'!$B$23*C541</f>
        <v>115430400</v>
      </c>
    </row>
    <row r="542" spans="1:8" ht="15.75" customHeight="1">
      <c r="A542" s="3">
        <v>541</v>
      </c>
      <c r="B542" s="13">
        <f>'Exponential Item Growth'!$B$5*'Exponential Item Growth'!$B$6^A542</f>
        <v>49031266141534.773</v>
      </c>
      <c r="C542" s="14">
        <f t="shared" si="0"/>
        <v>115644.15999999999</v>
      </c>
      <c r="D542" s="15">
        <f>A542*'Exponential Item Growth'!$B$4</f>
        <v>903.46999999999991</v>
      </c>
      <c r="E542" s="14">
        <f>IF(ISNA(VLOOKUP(A542,'Exponential Item Growth'!$A$10:$B$18,2,FALSE)),E541, E541*VLOOKUP(A542,'Exponential Item Growth'!$A$10:$B$18,2,FALSE))</f>
        <v>128</v>
      </c>
      <c r="F542" s="14">
        <f>C542*'Exponential Item Growth'!$B$21</f>
        <v>578220.79999999993</v>
      </c>
      <c r="G542" s="14">
        <f>'Exponential Item Growth'!$B$22*C542</f>
        <v>8673312</v>
      </c>
      <c r="H542" s="14">
        <f>'Exponential Item Growth'!$B$23*C542</f>
        <v>115644159.99999999</v>
      </c>
    </row>
    <row r="543" spans="1:8" ht="15.75" customHeight="1">
      <c r="A543" s="3">
        <v>542</v>
      </c>
      <c r="B543" s="13">
        <f>'Exponential Item Growth'!$B$5*'Exponential Item Growth'!$B$6^A543</f>
        <v>51973142110026.859</v>
      </c>
      <c r="C543" s="14">
        <f t="shared" si="0"/>
        <v>115857.92</v>
      </c>
      <c r="D543" s="15">
        <f>A543*'Exponential Item Growth'!$B$4</f>
        <v>905.14</v>
      </c>
      <c r="E543" s="14">
        <f>IF(ISNA(VLOOKUP(A543,'Exponential Item Growth'!$A$10:$B$18,2,FALSE)),E542, E542*VLOOKUP(A543,'Exponential Item Growth'!$A$10:$B$18,2,FALSE))</f>
        <v>128</v>
      </c>
      <c r="F543" s="14">
        <f>C543*'Exponential Item Growth'!$B$21</f>
        <v>579289.59999999998</v>
      </c>
      <c r="G543" s="14">
        <f>'Exponential Item Growth'!$B$22*C543</f>
        <v>8689344</v>
      </c>
      <c r="H543" s="14">
        <f>'Exponential Item Growth'!$B$23*C543</f>
        <v>115857920</v>
      </c>
    </row>
    <row r="544" spans="1:8" ht="15.75" customHeight="1">
      <c r="A544" s="3">
        <v>543</v>
      </c>
      <c r="B544" s="13">
        <f>'Exponential Item Growth'!$B$5*'Exponential Item Growth'!$B$6^A544</f>
        <v>55091530636628.484</v>
      </c>
      <c r="C544" s="14">
        <f t="shared" si="0"/>
        <v>116071.67999999999</v>
      </c>
      <c r="D544" s="15">
        <f>A544*'Exponential Item Growth'!$B$4</f>
        <v>906.81</v>
      </c>
      <c r="E544" s="14">
        <f>IF(ISNA(VLOOKUP(A544,'Exponential Item Growth'!$A$10:$B$18,2,FALSE)),E543, E543*VLOOKUP(A544,'Exponential Item Growth'!$A$10:$B$18,2,FALSE))</f>
        <v>128</v>
      </c>
      <c r="F544" s="14">
        <f>C544*'Exponential Item Growth'!$B$21</f>
        <v>580358.39999999991</v>
      </c>
      <c r="G544" s="14">
        <f>'Exponential Item Growth'!$B$22*C544</f>
        <v>8705376</v>
      </c>
      <c r="H544" s="14">
        <f>'Exponential Item Growth'!$B$23*C544</f>
        <v>116071680</v>
      </c>
    </row>
    <row r="545" spans="1:8" ht="15.75" customHeight="1">
      <c r="A545" s="3">
        <v>544</v>
      </c>
      <c r="B545" s="13">
        <f>'Exponential Item Growth'!$B$5*'Exponential Item Growth'!$B$6^A545</f>
        <v>58397022474826.18</v>
      </c>
      <c r="C545" s="14">
        <f t="shared" si="0"/>
        <v>116285.44</v>
      </c>
      <c r="D545" s="15">
        <f>A545*'Exponential Item Growth'!$B$4</f>
        <v>908.48</v>
      </c>
      <c r="E545" s="14">
        <f>IF(ISNA(VLOOKUP(A545,'Exponential Item Growth'!$A$10:$B$18,2,FALSE)),E544, E544*VLOOKUP(A545,'Exponential Item Growth'!$A$10:$B$18,2,FALSE))</f>
        <v>128</v>
      </c>
      <c r="F545" s="14">
        <f>C545*'Exponential Item Growth'!$B$21</f>
        <v>581427.19999999995</v>
      </c>
      <c r="G545" s="14">
        <f>'Exponential Item Growth'!$B$22*C545</f>
        <v>8721408</v>
      </c>
      <c r="H545" s="14">
        <f>'Exponential Item Growth'!$B$23*C545</f>
        <v>116285440</v>
      </c>
    </row>
    <row r="546" spans="1:8" ht="15.75" customHeight="1">
      <c r="A546" s="3">
        <v>545</v>
      </c>
      <c r="B546" s="13">
        <f>'Exponential Item Growth'!$B$5*'Exponential Item Growth'!$B$6^A546</f>
        <v>61900843823315.75</v>
      </c>
      <c r="C546" s="14">
        <f t="shared" si="0"/>
        <v>116499.2</v>
      </c>
      <c r="D546" s="15">
        <f>A546*'Exponential Item Growth'!$B$4</f>
        <v>910.15</v>
      </c>
      <c r="E546" s="14">
        <f>IF(ISNA(VLOOKUP(A546,'Exponential Item Growth'!$A$10:$B$18,2,FALSE)),E545, E545*VLOOKUP(A546,'Exponential Item Growth'!$A$10:$B$18,2,FALSE))</f>
        <v>128</v>
      </c>
      <c r="F546" s="14">
        <f>C546*'Exponential Item Growth'!$B$21</f>
        <v>582496</v>
      </c>
      <c r="G546" s="14">
        <f>'Exponential Item Growth'!$B$22*C546</f>
        <v>8737440</v>
      </c>
      <c r="H546" s="14">
        <f>'Exponential Item Growth'!$B$23*C546</f>
        <v>116499200</v>
      </c>
    </row>
    <row r="547" spans="1:8" ht="15.75" customHeight="1">
      <c r="A547" s="3">
        <v>546</v>
      </c>
      <c r="B547" s="13">
        <f>'Exponential Item Growth'!$B$5*'Exponential Item Growth'!$B$6^A547</f>
        <v>65614894452714.703</v>
      </c>
      <c r="C547" s="14">
        <f t="shared" si="0"/>
        <v>116712.95999999999</v>
      </c>
      <c r="D547" s="15">
        <f>A547*'Exponential Item Growth'!$B$4</f>
        <v>911.81999999999994</v>
      </c>
      <c r="E547" s="14">
        <f>IF(ISNA(VLOOKUP(A547,'Exponential Item Growth'!$A$10:$B$18,2,FALSE)),E546, E546*VLOOKUP(A547,'Exponential Item Growth'!$A$10:$B$18,2,FALSE))</f>
        <v>128</v>
      </c>
      <c r="F547" s="14">
        <f>C547*'Exponential Item Growth'!$B$21</f>
        <v>583564.79999999993</v>
      </c>
      <c r="G547" s="14">
        <f>'Exponential Item Growth'!$B$22*C547</f>
        <v>8753472</v>
      </c>
      <c r="H547" s="14">
        <f>'Exponential Item Growth'!$B$23*C547</f>
        <v>116712959.99999999</v>
      </c>
    </row>
    <row r="548" spans="1:8" ht="15.75" customHeight="1">
      <c r="A548" s="3">
        <v>547</v>
      </c>
      <c r="B548" s="13">
        <f>'Exponential Item Growth'!$B$5*'Exponential Item Growth'!$B$6^A548</f>
        <v>69551788119877.594</v>
      </c>
      <c r="C548" s="14">
        <f t="shared" si="0"/>
        <v>116926.72</v>
      </c>
      <c r="D548" s="15">
        <f>A548*'Exponential Item Growth'!$B$4</f>
        <v>913.49</v>
      </c>
      <c r="E548" s="14">
        <f>IF(ISNA(VLOOKUP(A548,'Exponential Item Growth'!$A$10:$B$18,2,FALSE)),E547, E547*VLOOKUP(A548,'Exponential Item Growth'!$A$10:$B$18,2,FALSE))</f>
        <v>128</v>
      </c>
      <c r="F548" s="14">
        <f>C548*'Exponential Item Growth'!$B$21</f>
        <v>584633.59999999998</v>
      </c>
      <c r="G548" s="14">
        <f>'Exponential Item Growth'!$B$22*C548</f>
        <v>8769504</v>
      </c>
      <c r="H548" s="14">
        <f>'Exponential Item Growth'!$B$23*C548</f>
        <v>116926720</v>
      </c>
    </row>
    <row r="549" spans="1:8" ht="15.75" customHeight="1">
      <c r="A549" s="3">
        <v>548</v>
      </c>
      <c r="B549" s="13">
        <f>'Exponential Item Growth'!$B$5*'Exponential Item Growth'!$B$6^A549</f>
        <v>73724895407070.25</v>
      </c>
      <c r="C549" s="14">
        <f t="shared" si="0"/>
        <v>117140.48</v>
      </c>
      <c r="D549" s="15">
        <f>A549*'Exponential Item Growth'!$B$4</f>
        <v>915.16</v>
      </c>
      <c r="E549" s="14">
        <f>IF(ISNA(VLOOKUP(A549,'Exponential Item Growth'!$A$10:$B$18,2,FALSE)),E548, E548*VLOOKUP(A549,'Exponential Item Growth'!$A$10:$B$18,2,FALSE))</f>
        <v>128</v>
      </c>
      <c r="F549" s="14">
        <f>C549*'Exponential Item Growth'!$B$21</f>
        <v>585702.40000000002</v>
      </c>
      <c r="G549" s="14">
        <f>'Exponential Item Growth'!$B$22*C549</f>
        <v>8785536</v>
      </c>
      <c r="H549" s="14">
        <f>'Exponential Item Growth'!$B$23*C549</f>
        <v>117140480</v>
      </c>
    </row>
    <row r="550" spans="1:8" ht="15.75" customHeight="1">
      <c r="A550" s="3">
        <v>549</v>
      </c>
      <c r="B550" s="13">
        <f>'Exponential Item Growth'!$B$5*'Exponential Item Growth'!$B$6^A550</f>
        <v>78148389131494.469</v>
      </c>
      <c r="C550" s="14">
        <f t="shared" si="0"/>
        <v>117354.23999999999</v>
      </c>
      <c r="D550" s="15">
        <f>A550*'Exponential Item Growth'!$B$4</f>
        <v>916.82999999999993</v>
      </c>
      <c r="E550" s="14">
        <f>IF(ISNA(VLOOKUP(A550,'Exponential Item Growth'!$A$10:$B$18,2,FALSE)),E549, E549*VLOOKUP(A550,'Exponential Item Growth'!$A$10:$B$18,2,FALSE))</f>
        <v>128</v>
      </c>
      <c r="F550" s="14">
        <f>C550*'Exponential Item Growth'!$B$21</f>
        <v>586771.19999999995</v>
      </c>
      <c r="G550" s="14">
        <f>'Exponential Item Growth'!$B$22*C550</f>
        <v>8801568</v>
      </c>
      <c r="H550" s="14">
        <f>'Exponential Item Growth'!$B$23*C550</f>
        <v>117354239.99999999</v>
      </c>
    </row>
    <row r="551" spans="1:8" ht="15.75" customHeight="1">
      <c r="A551" s="3">
        <v>550</v>
      </c>
      <c r="B551" s="13">
        <f>'Exponential Item Growth'!$B$5*'Exponential Item Growth'!$B$6^A551</f>
        <v>82837292479384.156</v>
      </c>
      <c r="C551" s="14">
        <f t="shared" si="0"/>
        <v>117568</v>
      </c>
      <c r="D551" s="15">
        <f>A551*'Exponential Item Growth'!$B$4</f>
        <v>918.5</v>
      </c>
      <c r="E551" s="14">
        <f>IF(ISNA(VLOOKUP(A551,'Exponential Item Growth'!$A$10:$B$18,2,FALSE)),E550, E550*VLOOKUP(A551,'Exponential Item Growth'!$A$10:$B$18,2,FALSE))</f>
        <v>128</v>
      </c>
      <c r="F551" s="14">
        <f>C551*'Exponential Item Growth'!$B$21</f>
        <v>587840</v>
      </c>
      <c r="G551" s="14">
        <f>'Exponential Item Growth'!$B$22*C551</f>
        <v>8817600</v>
      </c>
      <c r="H551" s="14">
        <f>'Exponential Item Growth'!$B$23*C551</f>
        <v>117568000</v>
      </c>
    </row>
    <row r="552" spans="1:8" ht="15.75" customHeight="1">
      <c r="A552" s="3">
        <v>551</v>
      </c>
      <c r="B552" s="13">
        <f>'Exponential Item Growth'!$B$5*'Exponential Item Growth'!$B$6^A552</f>
        <v>87807530028147.219</v>
      </c>
      <c r="C552" s="14">
        <f t="shared" si="0"/>
        <v>117781.75999999999</v>
      </c>
      <c r="D552" s="15">
        <f>A552*'Exponential Item Growth'!$B$4</f>
        <v>920.17</v>
      </c>
      <c r="E552" s="14">
        <f>IF(ISNA(VLOOKUP(A552,'Exponential Item Growth'!$A$10:$B$18,2,FALSE)),E551, E551*VLOOKUP(A552,'Exponential Item Growth'!$A$10:$B$18,2,FALSE))</f>
        <v>128</v>
      </c>
      <c r="F552" s="14">
        <f>C552*'Exponential Item Growth'!$B$21</f>
        <v>588908.79999999993</v>
      </c>
      <c r="G552" s="14">
        <f>'Exponential Item Growth'!$B$22*C552</f>
        <v>8833632</v>
      </c>
      <c r="H552" s="14">
        <f>'Exponential Item Growth'!$B$23*C552</f>
        <v>117781760</v>
      </c>
    </row>
    <row r="553" spans="1:8" ht="15.75" customHeight="1">
      <c r="A553" s="3">
        <v>552</v>
      </c>
      <c r="B553" s="13">
        <f>'Exponential Item Growth'!$B$5*'Exponential Item Growth'!$B$6^A553</f>
        <v>93075981829836.031</v>
      </c>
      <c r="C553" s="14">
        <f t="shared" si="0"/>
        <v>117995.51999999999</v>
      </c>
      <c r="D553" s="15">
        <f>A553*'Exponential Item Growth'!$B$4</f>
        <v>921.83999999999992</v>
      </c>
      <c r="E553" s="14">
        <f>IF(ISNA(VLOOKUP(A553,'Exponential Item Growth'!$A$10:$B$18,2,FALSE)),E552, E552*VLOOKUP(A553,'Exponential Item Growth'!$A$10:$B$18,2,FALSE))</f>
        <v>128</v>
      </c>
      <c r="F553" s="14">
        <f>C553*'Exponential Item Growth'!$B$21</f>
        <v>589977.59999999998</v>
      </c>
      <c r="G553" s="14">
        <f>'Exponential Item Growth'!$B$22*C553</f>
        <v>8849664</v>
      </c>
      <c r="H553" s="14">
        <f>'Exponential Item Growth'!$B$23*C553</f>
        <v>117995519.99999999</v>
      </c>
    </row>
    <row r="554" spans="1:8" ht="15.75" customHeight="1">
      <c r="A554" s="3">
        <v>553</v>
      </c>
      <c r="B554" s="13">
        <f>'Exponential Item Growth'!$B$5*'Exponential Item Growth'!$B$6^A554</f>
        <v>98660540739626.188</v>
      </c>
      <c r="C554" s="14">
        <f t="shared" si="0"/>
        <v>118209.28</v>
      </c>
      <c r="D554" s="15">
        <f>A554*'Exponential Item Growth'!$B$4</f>
        <v>923.51</v>
      </c>
      <c r="E554" s="14">
        <f>IF(ISNA(VLOOKUP(A554,'Exponential Item Growth'!$A$10:$B$18,2,FALSE)),E553, E553*VLOOKUP(A554,'Exponential Item Growth'!$A$10:$B$18,2,FALSE))</f>
        <v>128</v>
      </c>
      <c r="F554" s="14">
        <f>C554*'Exponential Item Growth'!$B$21</f>
        <v>591046.40000000002</v>
      </c>
      <c r="G554" s="14">
        <f>'Exponential Item Growth'!$B$22*C554</f>
        <v>8865696</v>
      </c>
      <c r="H554" s="14">
        <f>'Exponential Item Growth'!$B$23*C554</f>
        <v>118209280</v>
      </c>
    </row>
    <row r="555" spans="1:8" ht="15.75" customHeight="1">
      <c r="A555" s="3">
        <v>554</v>
      </c>
      <c r="B555" s="13">
        <f>'Exponential Item Growth'!$B$5*'Exponential Item Growth'!$B$6^A555</f>
        <v>104580173184003.78</v>
      </c>
      <c r="C555" s="14">
        <f t="shared" si="0"/>
        <v>118423.03999999999</v>
      </c>
      <c r="D555" s="15">
        <f>A555*'Exponential Item Growth'!$B$4</f>
        <v>925.18</v>
      </c>
      <c r="E555" s="14">
        <f>IF(ISNA(VLOOKUP(A555,'Exponential Item Growth'!$A$10:$B$18,2,FALSE)),E554, E554*VLOOKUP(A555,'Exponential Item Growth'!$A$10:$B$18,2,FALSE))</f>
        <v>128</v>
      </c>
      <c r="F555" s="14">
        <f>C555*'Exponential Item Growth'!$B$21</f>
        <v>592115.19999999995</v>
      </c>
      <c r="G555" s="14">
        <f>'Exponential Item Growth'!$B$22*C555</f>
        <v>8881728</v>
      </c>
      <c r="H555" s="14">
        <f>'Exponential Item Growth'!$B$23*C555</f>
        <v>118423040</v>
      </c>
    </row>
    <row r="556" spans="1:8" ht="15.75" customHeight="1">
      <c r="A556" s="3">
        <v>555</v>
      </c>
      <c r="B556" s="13">
        <f>'Exponential Item Growth'!$B$5*'Exponential Item Growth'!$B$6^A556</f>
        <v>110854983575044.02</v>
      </c>
      <c r="C556" s="14">
        <f t="shared" si="0"/>
        <v>118636.79999999999</v>
      </c>
      <c r="D556" s="15">
        <f>A556*'Exponential Item Growth'!$B$4</f>
        <v>926.84999999999991</v>
      </c>
      <c r="E556" s="14">
        <f>IF(ISNA(VLOOKUP(A556,'Exponential Item Growth'!$A$10:$B$18,2,FALSE)),E555, E555*VLOOKUP(A556,'Exponential Item Growth'!$A$10:$B$18,2,FALSE))</f>
        <v>128</v>
      </c>
      <c r="F556" s="14">
        <f>C556*'Exponential Item Growth'!$B$21</f>
        <v>593184</v>
      </c>
      <c r="G556" s="14">
        <f>'Exponential Item Growth'!$B$22*C556</f>
        <v>8897760</v>
      </c>
      <c r="H556" s="14">
        <f>'Exponential Item Growth'!$B$23*C556</f>
        <v>118636799.99999999</v>
      </c>
    </row>
    <row r="557" spans="1:8" ht="15.75" customHeight="1">
      <c r="A557" s="3">
        <v>556</v>
      </c>
      <c r="B557" s="13">
        <f>'Exponential Item Growth'!$B$5*'Exponential Item Growth'!$B$6^A557</f>
        <v>117506282589546.67</v>
      </c>
      <c r="C557" s="14">
        <f t="shared" si="0"/>
        <v>118850.56</v>
      </c>
      <c r="D557" s="15">
        <f>A557*'Exponential Item Growth'!$B$4</f>
        <v>928.52</v>
      </c>
      <c r="E557" s="14">
        <f>IF(ISNA(VLOOKUP(A557,'Exponential Item Growth'!$A$10:$B$18,2,FALSE)),E556, E556*VLOOKUP(A557,'Exponential Item Growth'!$A$10:$B$18,2,FALSE))</f>
        <v>128</v>
      </c>
      <c r="F557" s="14">
        <f>C557*'Exponential Item Growth'!$B$21</f>
        <v>594252.80000000005</v>
      </c>
      <c r="G557" s="14">
        <f>'Exponential Item Growth'!$B$22*C557</f>
        <v>8913792</v>
      </c>
      <c r="H557" s="14">
        <f>'Exponential Item Growth'!$B$23*C557</f>
        <v>118850560</v>
      </c>
    </row>
    <row r="558" spans="1:8" ht="15.75" customHeight="1">
      <c r="A558" s="3">
        <v>557</v>
      </c>
      <c r="B558" s="13">
        <f>'Exponential Item Growth'!$B$5*'Exponential Item Growth'!$B$6^A558</f>
        <v>124556659544919.47</v>
      </c>
      <c r="C558" s="14">
        <f t="shared" si="0"/>
        <v>119064.31999999999</v>
      </c>
      <c r="D558" s="15">
        <f>A558*'Exponential Item Growth'!$B$4</f>
        <v>930.18999999999994</v>
      </c>
      <c r="E558" s="14">
        <f>IF(ISNA(VLOOKUP(A558,'Exponential Item Growth'!$A$10:$B$18,2,FALSE)),E557, E557*VLOOKUP(A558,'Exponential Item Growth'!$A$10:$B$18,2,FALSE))</f>
        <v>128</v>
      </c>
      <c r="F558" s="14">
        <f>C558*'Exponential Item Growth'!$B$21</f>
        <v>595321.59999999998</v>
      </c>
      <c r="G558" s="14">
        <f>'Exponential Item Growth'!$B$22*C558</f>
        <v>8929824</v>
      </c>
      <c r="H558" s="14">
        <f>'Exponential Item Growth'!$B$23*C558</f>
        <v>119064319.99999999</v>
      </c>
    </row>
    <row r="559" spans="1:8" ht="15.75" customHeight="1">
      <c r="A559" s="3">
        <v>558</v>
      </c>
      <c r="B559" s="13">
        <f>'Exponential Item Growth'!$B$5*'Exponential Item Growth'!$B$6^A559</f>
        <v>132030059117614.64</v>
      </c>
      <c r="C559" s="14">
        <f t="shared" si="0"/>
        <v>119278.08</v>
      </c>
      <c r="D559" s="15">
        <f>A559*'Exponential Item Growth'!$B$4</f>
        <v>931.86</v>
      </c>
      <c r="E559" s="14">
        <f>IF(ISNA(VLOOKUP(A559,'Exponential Item Growth'!$A$10:$B$18,2,FALSE)),E558, E558*VLOOKUP(A559,'Exponential Item Growth'!$A$10:$B$18,2,FALSE))</f>
        <v>128</v>
      </c>
      <c r="F559" s="14">
        <f>C559*'Exponential Item Growth'!$B$21</f>
        <v>596390.40000000002</v>
      </c>
      <c r="G559" s="14">
        <f>'Exponential Item Growth'!$B$22*C559</f>
        <v>8945856</v>
      </c>
      <c r="H559" s="14">
        <f>'Exponential Item Growth'!$B$23*C559</f>
        <v>119278080</v>
      </c>
    </row>
    <row r="560" spans="1:8" ht="15.75" customHeight="1">
      <c r="A560" s="3">
        <v>559</v>
      </c>
      <c r="B560" s="13">
        <f>'Exponential Item Growth'!$B$5*'Exponential Item Growth'!$B$6^A560</f>
        <v>139951862664671.56</v>
      </c>
      <c r="C560" s="14">
        <f t="shared" si="0"/>
        <v>119491.84</v>
      </c>
      <c r="D560" s="15">
        <f>A560*'Exponential Item Growth'!$B$4</f>
        <v>933.53</v>
      </c>
      <c r="E560" s="14">
        <f>IF(ISNA(VLOOKUP(A560,'Exponential Item Growth'!$A$10:$B$18,2,FALSE)),E559, E559*VLOOKUP(A560,'Exponential Item Growth'!$A$10:$B$18,2,FALSE))</f>
        <v>128</v>
      </c>
      <c r="F560" s="14">
        <f>C560*'Exponential Item Growth'!$B$21</f>
        <v>597459.19999999995</v>
      </c>
      <c r="G560" s="14">
        <f>'Exponential Item Growth'!$B$22*C560</f>
        <v>8961888</v>
      </c>
      <c r="H560" s="14">
        <f>'Exponential Item Growth'!$B$23*C560</f>
        <v>119491840</v>
      </c>
    </row>
    <row r="561" spans="1:8" ht="15.75" customHeight="1">
      <c r="A561" s="3">
        <v>560</v>
      </c>
      <c r="B561" s="13">
        <f>'Exponential Item Growth'!$B$5*'Exponential Item Growth'!$B$6^A561</f>
        <v>148348974424551.84</v>
      </c>
      <c r="C561" s="14">
        <f t="shared" si="0"/>
        <v>119705.59999999999</v>
      </c>
      <c r="D561" s="15">
        <f>A561*'Exponential Item Growth'!$B$4</f>
        <v>935.19999999999993</v>
      </c>
      <c r="E561" s="14">
        <f>IF(ISNA(VLOOKUP(A561,'Exponential Item Growth'!$A$10:$B$18,2,FALSE)),E560, E560*VLOOKUP(A561,'Exponential Item Growth'!$A$10:$B$18,2,FALSE))</f>
        <v>128</v>
      </c>
      <c r="F561" s="14">
        <f>C561*'Exponential Item Growth'!$B$21</f>
        <v>598528</v>
      </c>
      <c r="G561" s="14">
        <f>'Exponential Item Growth'!$B$22*C561</f>
        <v>8977920</v>
      </c>
      <c r="H561" s="14">
        <f>'Exponential Item Growth'!$B$23*C561</f>
        <v>119705599.99999999</v>
      </c>
    </row>
    <row r="562" spans="1:8" ht="15.75" customHeight="1">
      <c r="A562" s="3">
        <v>561</v>
      </c>
      <c r="B562" s="13">
        <f>'Exponential Item Growth'!$B$5*'Exponential Item Growth'!$B$6^A562</f>
        <v>157249912890024.94</v>
      </c>
      <c r="C562" s="14">
        <f t="shared" si="0"/>
        <v>119919.36</v>
      </c>
      <c r="D562" s="15">
        <f>A562*'Exponential Item Growth'!$B$4</f>
        <v>936.87</v>
      </c>
      <c r="E562" s="14">
        <f>IF(ISNA(VLOOKUP(A562,'Exponential Item Growth'!$A$10:$B$18,2,FALSE)),E561, E561*VLOOKUP(A562,'Exponential Item Growth'!$A$10:$B$18,2,FALSE))</f>
        <v>128</v>
      </c>
      <c r="F562" s="14">
        <f>C562*'Exponential Item Growth'!$B$21</f>
        <v>599596.80000000005</v>
      </c>
      <c r="G562" s="14">
        <f>'Exponential Item Growth'!$B$22*C562</f>
        <v>8993952</v>
      </c>
      <c r="H562" s="14">
        <f>'Exponential Item Growth'!$B$23*C562</f>
        <v>119919360</v>
      </c>
    </row>
    <row r="563" spans="1:8" ht="15.75" customHeight="1">
      <c r="A563" s="3">
        <v>562</v>
      </c>
      <c r="B563" s="13">
        <f>'Exponential Item Growth'!$B$5*'Exponential Item Growth'!$B$6^A563</f>
        <v>166684907663426.44</v>
      </c>
      <c r="C563" s="14">
        <f t="shared" si="0"/>
        <v>120133.12</v>
      </c>
      <c r="D563" s="15">
        <f>A563*'Exponential Item Growth'!$B$4</f>
        <v>938.54</v>
      </c>
      <c r="E563" s="14">
        <f>IF(ISNA(VLOOKUP(A563,'Exponential Item Growth'!$A$10:$B$18,2,FALSE)),E562, E562*VLOOKUP(A563,'Exponential Item Growth'!$A$10:$B$18,2,FALSE))</f>
        <v>128</v>
      </c>
      <c r="F563" s="14">
        <f>C563*'Exponential Item Growth'!$B$21</f>
        <v>600665.59999999998</v>
      </c>
      <c r="G563" s="14">
        <f>'Exponential Item Growth'!$B$22*C563</f>
        <v>9009984</v>
      </c>
      <c r="H563" s="14">
        <f>'Exponential Item Growth'!$B$23*C563</f>
        <v>120133120</v>
      </c>
    </row>
    <row r="564" spans="1:8" ht="15.75" customHeight="1">
      <c r="A564" s="3">
        <v>563</v>
      </c>
      <c r="B564" s="13">
        <f>'Exponential Item Growth'!$B$5*'Exponential Item Growth'!$B$6^A564</f>
        <v>176686002123232.06</v>
      </c>
      <c r="C564" s="14">
        <f t="shared" si="0"/>
        <v>120346.87999999999</v>
      </c>
      <c r="D564" s="15">
        <f>A564*'Exponential Item Growth'!$B$4</f>
        <v>940.20999999999992</v>
      </c>
      <c r="E564" s="14">
        <f>IF(ISNA(VLOOKUP(A564,'Exponential Item Growth'!$A$10:$B$18,2,FALSE)),E563, E563*VLOOKUP(A564,'Exponential Item Growth'!$A$10:$B$18,2,FALSE))</f>
        <v>128</v>
      </c>
      <c r="F564" s="14">
        <f>C564*'Exponential Item Growth'!$B$21</f>
        <v>601734.39999999991</v>
      </c>
      <c r="G564" s="14">
        <f>'Exponential Item Growth'!$B$22*C564</f>
        <v>9026016</v>
      </c>
      <c r="H564" s="14">
        <f>'Exponential Item Growth'!$B$23*C564</f>
        <v>120346879.99999999</v>
      </c>
    </row>
    <row r="565" spans="1:8" ht="15.75" customHeight="1">
      <c r="A565" s="3">
        <v>564</v>
      </c>
      <c r="B565" s="13">
        <f>'Exponential Item Growth'!$B$5*'Exponential Item Growth'!$B$6^A565</f>
        <v>187287162250625.97</v>
      </c>
      <c r="C565" s="14">
        <f t="shared" si="0"/>
        <v>120560.64</v>
      </c>
      <c r="D565" s="15">
        <f>A565*'Exponential Item Growth'!$B$4</f>
        <v>941.88</v>
      </c>
      <c r="E565" s="14">
        <f>IF(ISNA(VLOOKUP(A565,'Exponential Item Growth'!$A$10:$B$18,2,FALSE)),E564, E564*VLOOKUP(A565,'Exponential Item Growth'!$A$10:$B$18,2,FALSE))</f>
        <v>128</v>
      </c>
      <c r="F565" s="14">
        <f>C565*'Exponential Item Growth'!$B$21</f>
        <v>602803.19999999995</v>
      </c>
      <c r="G565" s="14">
        <f>'Exponential Item Growth'!$B$22*C565</f>
        <v>9042048</v>
      </c>
      <c r="H565" s="14">
        <f>'Exponential Item Growth'!$B$23*C565</f>
        <v>120560640</v>
      </c>
    </row>
    <row r="566" spans="1:8" ht="15.75" customHeight="1">
      <c r="A566" s="3">
        <v>565</v>
      </c>
      <c r="B566" s="13">
        <f>'Exponential Item Growth'!$B$5*'Exponential Item Growth'!$B$6^A566</f>
        <v>198524391985663.56</v>
      </c>
      <c r="C566" s="14">
        <f t="shared" si="0"/>
        <v>120774.39999999999</v>
      </c>
      <c r="D566" s="15">
        <f>A566*'Exponential Item Growth'!$B$4</f>
        <v>943.55</v>
      </c>
      <c r="E566" s="14">
        <f>IF(ISNA(VLOOKUP(A566,'Exponential Item Growth'!$A$10:$B$18,2,FALSE)),E565, E565*VLOOKUP(A566,'Exponential Item Growth'!$A$10:$B$18,2,FALSE))</f>
        <v>128</v>
      </c>
      <c r="F566" s="14">
        <f>C566*'Exponential Item Growth'!$B$21</f>
        <v>603872</v>
      </c>
      <c r="G566" s="14">
        <f>'Exponential Item Growth'!$B$22*C566</f>
        <v>9058080</v>
      </c>
      <c r="H566" s="14">
        <f>'Exponential Item Growth'!$B$23*C566</f>
        <v>120774400</v>
      </c>
    </row>
    <row r="567" spans="1:8" ht="15.75" customHeight="1">
      <c r="A567" s="3">
        <v>566</v>
      </c>
      <c r="B567" s="13">
        <f>'Exponential Item Growth'!$B$5*'Exponential Item Growth'!$B$6^A567</f>
        <v>210435855504803.41</v>
      </c>
      <c r="C567" s="14">
        <f t="shared" si="0"/>
        <v>120988.15999999999</v>
      </c>
      <c r="D567" s="15">
        <f>A567*'Exponential Item Growth'!$B$4</f>
        <v>945.21999999999991</v>
      </c>
      <c r="E567" s="14">
        <f>IF(ISNA(VLOOKUP(A567,'Exponential Item Growth'!$A$10:$B$18,2,FALSE)),E566, E566*VLOOKUP(A567,'Exponential Item Growth'!$A$10:$B$18,2,FALSE))</f>
        <v>128</v>
      </c>
      <c r="F567" s="14">
        <f>C567*'Exponential Item Growth'!$B$21</f>
        <v>604940.79999999993</v>
      </c>
      <c r="G567" s="14">
        <f>'Exponential Item Growth'!$B$22*C567</f>
        <v>9074112</v>
      </c>
      <c r="H567" s="14">
        <f>'Exponential Item Growth'!$B$23*C567</f>
        <v>120988159.99999999</v>
      </c>
    </row>
    <row r="568" spans="1:8" ht="15.75" customHeight="1">
      <c r="A568" s="3">
        <v>567</v>
      </c>
      <c r="B568" s="13">
        <f>'Exponential Item Growth'!$B$5*'Exponential Item Growth'!$B$6^A568</f>
        <v>223062006835091.62</v>
      </c>
      <c r="C568" s="14">
        <f t="shared" si="0"/>
        <v>121201.92</v>
      </c>
      <c r="D568" s="15">
        <f>A568*'Exponential Item Growth'!$B$4</f>
        <v>946.89</v>
      </c>
      <c r="E568" s="14">
        <f>IF(ISNA(VLOOKUP(A568,'Exponential Item Growth'!$A$10:$B$18,2,FALSE)),E567, E567*VLOOKUP(A568,'Exponential Item Growth'!$A$10:$B$18,2,FALSE))</f>
        <v>128</v>
      </c>
      <c r="F568" s="14">
        <f>C568*'Exponential Item Growth'!$B$21</f>
        <v>606009.59999999998</v>
      </c>
      <c r="G568" s="14">
        <f>'Exponential Item Growth'!$B$22*C568</f>
        <v>9090144</v>
      </c>
      <c r="H568" s="14">
        <f>'Exponential Item Growth'!$B$23*C568</f>
        <v>121201920</v>
      </c>
    </row>
    <row r="569" spans="1:8" ht="15.75" customHeight="1">
      <c r="A569" s="3">
        <v>568</v>
      </c>
      <c r="B569" s="13">
        <f>'Exponential Item Growth'!$B$5*'Exponential Item Growth'!$B$6^A569</f>
        <v>236445727245197.06</v>
      </c>
      <c r="C569" s="14">
        <f t="shared" si="0"/>
        <v>121415.67999999999</v>
      </c>
      <c r="D569" s="15">
        <f>A569*'Exponential Item Growth'!$B$4</f>
        <v>948.56</v>
      </c>
      <c r="E569" s="14">
        <f>IF(ISNA(VLOOKUP(A569,'Exponential Item Growth'!$A$10:$B$18,2,FALSE)),E568, E568*VLOOKUP(A569,'Exponential Item Growth'!$A$10:$B$18,2,FALSE))</f>
        <v>128</v>
      </c>
      <c r="F569" s="14">
        <f>C569*'Exponential Item Growth'!$B$21</f>
        <v>607078.39999999991</v>
      </c>
      <c r="G569" s="14">
        <f>'Exponential Item Growth'!$B$22*C569</f>
        <v>9106176</v>
      </c>
      <c r="H569" s="14">
        <f>'Exponential Item Growth'!$B$23*C569</f>
        <v>121415680</v>
      </c>
    </row>
    <row r="570" spans="1:8" ht="15.75" customHeight="1">
      <c r="A570" s="3">
        <v>569</v>
      </c>
      <c r="B570" s="13">
        <f>'Exponential Item Growth'!$B$5*'Exponential Item Growth'!$B$6^A570</f>
        <v>250632470879908.91</v>
      </c>
      <c r="C570" s="14">
        <f t="shared" si="0"/>
        <v>121629.43999999999</v>
      </c>
      <c r="D570" s="15">
        <f>A570*'Exponential Item Growth'!$B$4</f>
        <v>950.2299999999999</v>
      </c>
      <c r="E570" s="14">
        <f>IF(ISNA(VLOOKUP(A570,'Exponential Item Growth'!$A$10:$B$18,2,FALSE)),E569, E569*VLOOKUP(A570,'Exponential Item Growth'!$A$10:$B$18,2,FALSE))</f>
        <v>128</v>
      </c>
      <c r="F570" s="14">
        <f>C570*'Exponential Item Growth'!$B$21</f>
        <v>608147.19999999995</v>
      </c>
      <c r="G570" s="14">
        <f>'Exponential Item Growth'!$B$22*C570</f>
        <v>9122208</v>
      </c>
      <c r="H570" s="14">
        <f>'Exponential Item Growth'!$B$23*C570</f>
        <v>121629439.99999999</v>
      </c>
    </row>
    <row r="571" spans="1:8" ht="15.75" customHeight="1">
      <c r="A571" s="3">
        <v>570</v>
      </c>
      <c r="B571" s="13">
        <f>'Exponential Item Growth'!$B$5*'Exponential Item Growth'!$B$6^A571</f>
        <v>265670419132703.44</v>
      </c>
      <c r="C571" s="14">
        <f t="shared" si="0"/>
        <v>121843.2</v>
      </c>
      <c r="D571" s="15">
        <f>A571*'Exponential Item Growth'!$B$4</f>
        <v>951.9</v>
      </c>
      <c r="E571" s="14">
        <f>IF(ISNA(VLOOKUP(A571,'Exponential Item Growth'!$A$10:$B$18,2,FALSE)),E570, E570*VLOOKUP(A571,'Exponential Item Growth'!$A$10:$B$18,2,FALSE))</f>
        <v>128</v>
      </c>
      <c r="F571" s="14">
        <f>C571*'Exponential Item Growth'!$B$21</f>
        <v>609216</v>
      </c>
      <c r="G571" s="14">
        <f>'Exponential Item Growth'!$B$22*C571</f>
        <v>9138240</v>
      </c>
      <c r="H571" s="14">
        <f>'Exponential Item Growth'!$B$23*C571</f>
        <v>121843200</v>
      </c>
    </row>
    <row r="572" spans="1:8" ht="15.75" customHeight="1">
      <c r="A572" s="3">
        <v>571</v>
      </c>
      <c r="B572" s="13">
        <f>'Exponential Item Growth'!$B$5*'Exponential Item Growth'!$B$6^A572</f>
        <v>281610644280665.69</v>
      </c>
      <c r="C572" s="14">
        <f t="shared" si="0"/>
        <v>122056.95999999999</v>
      </c>
      <c r="D572" s="15">
        <f>A572*'Exponential Item Growth'!$B$4</f>
        <v>953.56999999999994</v>
      </c>
      <c r="E572" s="14">
        <f>IF(ISNA(VLOOKUP(A572,'Exponential Item Growth'!$A$10:$B$18,2,FALSE)),E571, E571*VLOOKUP(A572,'Exponential Item Growth'!$A$10:$B$18,2,FALSE))</f>
        <v>128</v>
      </c>
      <c r="F572" s="14">
        <f>C572*'Exponential Item Growth'!$B$21</f>
        <v>610284.79999999993</v>
      </c>
      <c r="G572" s="14">
        <f>'Exponential Item Growth'!$B$22*C572</f>
        <v>9154272</v>
      </c>
      <c r="H572" s="14">
        <f>'Exponential Item Growth'!$B$23*C572</f>
        <v>122056959.99999999</v>
      </c>
    </row>
    <row r="573" spans="1:8" ht="15.75" customHeight="1">
      <c r="A573" s="3">
        <v>572</v>
      </c>
      <c r="B573" s="13">
        <f>'Exponential Item Growth'!$B$5*'Exponential Item Growth'!$B$6^A573</f>
        <v>298507282937505.62</v>
      </c>
      <c r="C573" s="14">
        <f t="shared" si="0"/>
        <v>122270.72</v>
      </c>
      <c r="D573" s="15">
        <f>A573*'Exponential Item Growth'!$B$4</f>
        <v>955.24</v>
      </c>
      <c r="E573" s="14">
        <f>IF(ISNA(VLOOKUP(A573,'Exponential Item Growth'!$A$10:$B$18,2,FALSE)),E572, E572*VLOOKUP(A573,'Exponential Item Growth'!$A$10:$B$18,2,FALSE))</f>
        <v>128</v>
      </c>
      <c r="F573" s="14">
        <f>C573*'Exponential Item Growth'!$B$21</f>
        <v>611353.59999999998</v>
      </c>
      <c r="G573" s="14">
        <f>'Exponential Item Growth'!$B$22*C573</f>
        <v>9170304</v>
      </c>
      <c r="H573" s="14">
        <f>'Exponential Item Growth'!$B$23*C573</f>
        <v>122270720</v>
      </c>
    </row>
    <row r="574" spans="1:8" ht="15.75" customHeight="1">
      <c r="A574" s="3">
        <v>573</v>
      </c>
      <c r="B574" s="13">
        <f>'Exponential Item Growth'!$B$5*'Exponential Item Growth'!$B$6^A574</f>
        <v>316417719913756.06</v>
      </c>
      <c r="C574" s="14">
        <f t="shared" si="0"/>
        <v>122484.48</v>
      </c>
      <c r="D574" s="15">
        <f>A574*'Exponential Item Growth'!$B$4</f>
        <v>956.91</v>
      </c>
      <c r="E574" s="14">
        <f>IF(ISNA(VLOOKUP(A574,'Exponential Item Growth'!$A$10:$B$18,2,FALSE)),E573, E573*VLOOKUP(A574,'Exponential Item Growth'!$A$10:$B$18,2,FALSE))</f>
        <v>128</v>
      </c>
      <c r="F574" s="14">
        <f>C574*'Exponential Item Growth'!$B$21</f>
        <v>612422.40000000002</v>
      </c>
      <c r="G574" s="14">
        <f>'Exponential Item Growth'!$B$22*C574</f>
        <v>9186336</v>
      </c>
      <c r="H574" s="14">
        <f>'Exponential Item Growth'!$B$23*C574</f>
        <v>122484480</v>
      </c>
    </row>
    <row r="575" spans="1:8" ht="15.75" customHeight="1">
      <c r="A575" s="3">
        <v>574</v>
      </c>
      <c r="B575" s="13">
        <f>'Exponential Item Growth'!$B$5*'Exponential Item Growth'!$B$6^A575</f>
        <v>335402783108581.44</v>
      </c>
      <c r="C575" s="14">
        <f t="shared" si="0"/>
        <v>122698.23999999999</v>
      </c>
      <c r="D575" s="15">
        <f>A575*'Exponential Item Growth'!$B$4</f>
        <v>958.57999999999993</v>
      </c>
      <c r="E575" s="14">
        <f>IF(ISNA(VLOOKUP(A575,'Exponential Item Growth'!$A$10:$B$18,2,FALSE)),E574, E574*VLOOKUP(A575,'Exponential Item Growth'!$A$10:$B$18,2,FALSE))</f>
        <v>128</v>
      </c>
      <c r="F575" s="14">
        <f>C575*'Exponential Item Growth'!$B$21</f>
        <v>613491.19999999995</v>
      </c>
      <c r="G575" s="14">
        <f>'Exponential Item Growth'!$B$22*C575</f>
        <v>9202368</v>
      </c>
      <c r="H575" s="14">
        <f>'Exponential Item Growth'!$B$23*C575</f>
        <v>122698239.99999999</v>
      </c>
    </row>
    <row r="576" spans="1:8" ht="15.75" customHeight="1">
      <c r="A576" s="3">
        <v>575</v>
      </c>
      <c r="B576" s="13">
        <f>'Exponential Item Growth'!$B$5*'Exponential Item Growth'!$B$6^A576</f>
        <v>355526950095096.38</v>
      </c>
      <c r="C576" s="14">
        <f t="shared" si="0"/>
        <v>122912</v>
      </c>
      <c r="D576" s="15">
        <f>A576*'Exponential Item Growth'!$B$4</f>
        <v>960.25</v>
      </c>
      <c r="E576" s="14">
        <f>IF(ISNA(VLOOKUP(A576,'Exponential Item Growth'!$A$10:$B$18,2,FALSE)),E575, E575*VLOOKUP(A576,'Exponential Item Growth'!$A$10:$B$18,2,FALSE))</f>
        <v>128</v>
      </c>
      <c r="F576" s="14">
        <f>C576*'Exponential Item Growth'!$B$21</f>
        <v>614560</v>
      </c>
      <c r="G576" s="14">
        <f>'Exponential Item Growth'!$B$22*C576</f>
        <v>9218400</v>
      </c>
      <c r="H576" s="14">
        <f>'Exponential Item Growth'!$B$23*C576</f>
        <v>122912000</v>
      </c>
    </row>
    <row r="577" spans="1:8" ht="15.75" customHeight="1">
      <c r="A577" s="3">
        <v>576</v>
      </c>
      <c r="B577" s="13">
        <f>'Exponential Item Growth'!$B$5*'Exponential Item Growth'!$B$6^A577</f>
        <v>376858567100802.06</v>
      </c>
      <c r="C577" s="14">
        <f t="shared" si="0"/>
        <v>123125.75999999999</v>
      </c>
      <c r="D577" s="15">
        <f>A577*'Exponential Item Growth'!$B$4</f>
        <v>961.92</v>
      </c>
      <c r="E577" s="14">
        <f>IF(ISNA(VLOOKUP(A577,'Exponential Item Growth'!$A$10:$B$18,2,FALSE)),E576, E576*VLOOKUP(A577,'Exponential Item Growth'!$A$10:$B$18,2,FALSE))</f>
        <v>128</v>
      </c>
      <c r="F577" s="14">
        <f>C577*'Exponential Item Growth'!$B$21</f>
        <v>615628.79999999993</v>
      </c>
      <c r="G577" s="14">
        <f>'Exponential Item Growth'!$B$22*C577</f>
        <v>9234432</v>
      </c>
      <c r="H577" s="14">
        <f>'Exponential Item Growth'!$B$23*C577</f>
        <v>123125760</v>
      </c>
    </row>
    <row r="578" spans="1:8" ht="15.75" customHeight="1">
      <c r="A578" s="3">
        <v>577</v>
      </c>
      <c r="B578" s="13">
        <f>'Exponential Item Growth'!$B$5*'Exponential Item Growth'!$B$6^A578</f>
        <v>399470081126850.19</v>
      </c>
      <c r="C578" s="14">
        <f t="shared" si="0"/>
        <v>123339.51999999999</v>
      </c>
      <c r="D578" s="15">
        <f>A578*'Exponential Item Growth'!$B$4</f>
        <v>963.58999999999992</v>
      </c>
      <c r="E578" s="14">
        <f>IF(ISNA(VLOOKUP(A578,'Exponential Item Growth'!$A$10:$B$18,2,FALSE)),E577, E577*VLOOKUP(A578,'Exponential Item Growth'!$A$10:$B$18,2,FALSE))</f>
        <v>128</v>
      </c>
      <c r="F578" s="14">
        <f>C578*'Exponential Item Growth'!$B$21</f>
        <v>616697.59999999998</v>
      </c>
      <c r="G578" s="14">
        <f>'Exponential Item Growth'!$B$22*C578</f>
        <v>9250464</v>
      </c>
      <c r="H578" s="14">
        <f>'Exponential Item Growth'!$B$23*C578</f>
        <v>123339519.99999999</v>
      </c>
    </row>
    <row r="579" spans="1:8" ht="15.75" customHeight="1">
      <c r="A579" s="3">
        <v>578</v>
      </c>
      <c r="B579" s="13">
        <f>'Exponential Item Growth'!$B$5*'Exponential Item Growth'!$B$6^A579</f>
        <v>423438285994461.19</v>
      </c>
      <c r="C579" s="14">
        <f t="shared" si="0"/>
        <v>123553.28</v>
      </c>
      <c r="D579" s="15">
        <f>A579*'Exponential Item Growth'!$B$4</f>
        <v>965.26</v>
      </c>
      <c r="E579" s="14">
        <f>IF(ISNA(VLOOKUP(A579,'Exponential Item Growth'!$A$10:$B$18,2,FALSE)),E578, E578*VLOOKUP(A579,'Exponential Item Growth'!$A$10:$B$18,2,FALSE))</f>
        <v>128</v>
      </c>
      <c r="F579" s="14">
        <f>C579*'Exponential Item Growth'!$B$21</f>
        <v>617766.40000000002</v>
      </c>
      <c r="G579" s="14">
        <f>'Exponential Item Growth'!$B$22*C579</f>
        <v>9266496</v>
      </c>
      <c r="H579" s="14">
        <f>'Exponential Item Growth'!$B$23*C579</f>
        <v>123553280</v>
      </c>
    </row>
    <row r="580" spans="1:8" ht="15.75" customHeight="1">
      <c r="A580" s="3">
        <v>579</v>
      </c>
      <c r="B580" s="13">
        <f>'Exponential Item Growth'!$B$5*'Exponential Item Growth'!$B$6^A580</f>
        <v>448844583154128.94</v>
      </c>
      <c r="C580" s="14">
        <f t="shared" si="0"/>
        <v>123767.03999999999</v>
      </c>
      <c r="D580" s="15">
        <f>A580*'Exponential Item Growth'!$B$4</f>
        <v>966.93</v>
      </c>
      <c r="E580" s="14">
        <f>IF(ISNA(VLOOKUP(A580,'Exponential Item Growth'!$A$10:$B$18,2,FALSE)),E579, E579*VLOOKUP(A580,'Exponential Item Growth'!$A$10:$B$18,2,FALSE))</f>
        <v>128</v>
      </c>
      <c r="F580" s="14">
        <f>C580*'Exponential Item Growth'!$B$21</f>
        <v>618835.19999999995</v>
      </c>
      <c r="G580" s="14">
        <f>'Exponential Item Growth'!$B$22*C580</f>
        <v>9282528</v>
      </c>
      <c r="H580" s="14">
        <f>'Exponential Item Growth'!$B$23*C580</f>
        <v>123767040</v>
      </c>
    </row>
    <row r="581" spans="1:8" ht="15.75" customHeight="1">
      <c r="A581" s="3">
        <v>580</v>
      </c>
      <c r="B581" s="13">
        <f>'Exponential Item Growth'!$B$5*'Exponential Item Growth'!$B$6^A581</f>
        <v>475775258143376.75</v>
      </c>
      <c r="C581" s="14">
        <f t="shared" si="0"/>
        <v>123980.79999999999</v>
      </c>
      <c r="D581" s="15">
        <f>A581*'Exponential Item Growth'!$B$4</f>
        <v>968.59999999999991</v>
      </c>
      <c r="E581" s="14">
        <f>IF(ISNA(VLOOKUP(A581,'Exponential Item Growth'!$A$10:$B$18,2,FALSE)),E580, E580*VLOOKUP(A581,'Exponential Item Growth'!$A$10:$B$18,2,FALSE))</f>
        <v>128</v>
      </c>
      <c r="F581" s="14">
        <f>C581*'Exponential Item Growth'!$B$21</f>
        <v>619904</v>
      </c>
      <c r="G581" s="14">
        <f>'Exponential Item Growth'!$B$22*C581</f>
        <v>9298560</v>
      </c>
      <c r="H581" s="14">
        <f>'Exponential Item Growth'!$B$23*C581</f>
        <v>123980799.99999999</v>
      </c>
    </row>
    <row r="582" spans="1:8" ht="15.75" customHeight="1">
      <c r="A582" s="3">
        <v>581</v>
      </c>
      <c r="B582" s="13">
        <f>'Exponential Item Growth'!$B$5*'Exponential Item Growth'!$B$6^A582</f>
        <v>504321773631979.38</v>
      </c>
      <c r="C582" s="14">
        <f t="shared" si="0"/>
        <v>124194.56</v>
      </c>
      <c r="D582" s="15">
        <f>A582*'Exponential Item Growth'!$B$4</f>
        <v>970.27</v>
      </c>
      <c r="E582" s="14">
        <f>IF(ISNA(VLOOKUP(A582,'Exponential Item Growth'!$A$10:$B$18,2,FALSE)),E581, E581*VLOOKUP(A582,'Exponential Item Growth'!$A$10:$B$18,2,FALSE))</f>
        <v>128</v>
      </c>
      <c r="F582" s="14">
        <f>C582*'Exponential Item Growth'!$B$21</f>
        <v>620972.80000000005</v>
      </c>
      <c r="G582" s="14">
        <f>'Exponential Item Growth'!$B$22*C582</f>
        <v>9314592</v>
      </c>
      <c r="H582" s="14">
        <f>'Exponential Item Growth'!$B$23*C582</f>
        <v>124194560</v>
      </c>
    </row>
    <row r="583" spans="1:8" ht="15.75" customHeight="1">
      <c r="A583" s="3">
        <v>582</v>
      </c>
      <c r="B583" s="13">
        <f>'Exponential Item Growth'!$B$5*'Exponential Item Growth'!$B$6^A583</f>
        <v>534581080049898.12</v>
      </c>
      <c r="C583" s="14">
        <f t="shared" si="0"/>
        <v>124408.31999999999</v>
      </c>
      <c r="D583" s="15">
        <f>A583*'Exponential Item Growth'!$B$4</f>
        <v>971.93999999999994</v>
      </c>
      <c r="E583" s="14">
        <f>IF(ISNA(VLOOKUP(A583,'Exponential Item Growth'!$A$10:$B$18,2,FALSE)),E582, E582*VLOOKUP(A583,'Exponential Item Growth'!$A$10:$B$18,2,FALSE))</f>
        <v>128</v>
      </c>
      <c r="F583" s="14">
        <f>C583*'Exponential Item Growth'!$B$21</f>
        <v>622041.59999999998</v>
      </c>
      <c r="G583" s="14">
        <f>'Exponential Item Growth'!$B$22*C583</f>
        <v>9330624</v>
      </c>
      <c r="H583" s="14">
        <f>'Exponential Item Growth'!$B$23*C583</f>
        <v>124408319.99999999</v>
      </c>
    </row>
    <row r="584" spans="1:8" ht="15.75" customHeight="1">
      <c r="A584" s="3">
        <v>583</v>
      </c>
      <c r="B584" s="13">
        <f>'Exponential Item Growth'!$B$5*'Exponential Item Growth'!$B$6^A584</f>
        <v>566655944852892.12</v>
      </c>
      <c r="C584" s="14">
        <f t="shared" si="0"/>
        <v>124622.08</v>
      </c>
      <c r="D584" s="15">
        <f>A584*'Exponential Item Growth'!$B$4</f>
        <v>973.61</v>
      </c>
      <c r="E584" s="14">
        <f>IF(ISNA(VLOOKUP(A584,'Exponential Item Growth'!$A$10:$B$18,2,FALSE)),E583, E583*VLOOKUP(A584,'Exponential Item Growth'!$A$10:$B$18,2,FALSE))</f>
        <v>128</v>
      </c>
      <c r="F584" s="14">
        <f>C584*'Exponential Item Growth'!$B$21</f>
        <v>623110.40000000002</v>
      </c>
      <c r="G584" s="14">
        <f>'Exponential Item Growth'!$B$22*C584</f>
        <v>9346656</v>
      </c>
      <c r="H584" s="14">
        <f>'Exponential Item Growth'!$B$23*C584</f>
        <v>124622080</v>
      </c>
    </row>
    <row r="585" spans="1:8" ht="15.75" customHeight="1">
      <c r="A585" s="3">
        <v>584</v>
      </c>
      <c r="B585" s="13">
        <f>'Exponential Item Growth'!$B$5*'Exponential Item Growth'!$B$6^A585</f>
        <v>600655301544065.62</v>
      </c>
      <c r="C585" s="14">
        <f t="shared" si="0"/>
        <v>124835.84</v>
      </c>
      <c r="D585" s="15">
        <f>A585*'Exponential Item Growth'!$B$4</f>
        <v>975.28</v>
      </c>
      <c r="E585" s="14">
        <f>IF(ISNA(VLOOKUP(A585,'Exponential Item Growth'!$A$10:$B$18,2,FALSE)),E584, E584*VLOOKUP(A585,'Exponential Item Growth'!$A$10:$B$18,2,FALSE))</f>
        <v>128</v>
      </c>
      <c r="F585" s="14">
        <f>C585*'Exponential Item Growth'!$B$21</f>
        <v>624179.19999999995</v>
      </c>
      <c r="G585" s="14">
        <f>'Exponential Item Growth'!$B$22*C585</f>
        <v>9362688</v>
      </c>
      <c r="H585" s="14">
        <f>'Exponential Item Growth'!$B$23*C585</f>
        <v>124835840</v>
      </c>
    </row>
    <row r="586" spans="1:8" ht="15.75" customHeight="1">
      <c r="A586" s="3">
        <v>585</v>
      </c>
      <c r="B586" s="13">
        <f>'Exponential Item Growth'!$B$5*'Exponential Item Growth'!$B$6^A586</f>
        <v>636694619636709.5</v>
      </c>
      <c r="C586" s="14">
        <f t="shared" si="0"/>
        <v>125049.59999999999</v>
      </c>
      <c r="D586" s="15">
        <f>A586*'Exponential Item Growth'!$B$4</f>
        <v>976.94999999999993</v>
      </c>
      <c r="E586" s="14">
        <f>IF(ISNA(VLOOKUP(A586,'Exponential Item Growth'!$A$10:$B$18,2,FALSE)),E585, E585*VLOOKUP(A586,'Exponential Item Growth'!$A$10:$B$18,2,FALSE))</f>
        <v>128</v>
      </c>
      <c r="F586" s="14">
        <f>C586*'Exponential Item Growth'!$B$21</f>
        <v>625248</v>
      </c>
      <c r="G586" s="14">
        <f>'Exponential Item Growth'!$B$22*C586</f>
        <v>9378720</v>
      </c>
      <c r="H586" s="14">
        <f>'Exponential Item Growth'!$B$23*C586</f>
        <v>125049599.99999999</v>
      </c>
    </row>
    <row r="587" spans="1:8" ht="15.75" customHeight="1">
      <c r="A587" s="3">
        <v>586</v>
      </c>
      <c r="B587" s="13">
        <f>'Exponential Item Growth'!$B$5*'Exponential Item Growth'!$B$6^A587</f>
        <v>674896296814912.12</v>
      </c>
      <c r="C587" s="14">
        <f t="shared" si="0"/>
        <v>125263.36</v>
      </c>
      <c r="D587" s="15">
        <f>A587*'Exponential Item Growth'!$B$4</f>
        <v>978.62</v>
      </c>
      <c r="E587" s="14">
        <f>IF(ISNA(VLOOKUP(A587,'Exponential Item Growth'!$A$10:$B$18,2,FALSE)),E586, E586*VLOOKUP(A587,'Exponential Item Growth'!$A$10:$B$18,2,FALSE))</f>
        <v>128</v>
      </c>
      <c r="F587" s="14">
        <f>C587*'Exponential Item Growth'!$B$21</f>
        <v>626316.80000000005</v>
      </c>
      <c r="G587" s="14">
        <f>'Exponential Item Growth'!$B$22*C587</f>
        <v>9394752</v>
      </c>
      <c r="H587" s="14">
        <f>'Exponential Item Growth'!$B$23*C587</f>
        <v>125263360</v>
      </c>
    </row>
    <row r="588" spans="1:8" ht="15.75" customHeight="1">
      <c r="A588" s="3">
        <v>587</v>
      </c>
      <c r="B588" s="13">
        <f>'Exponential Item Growth'!$B$5*'Exponential Item Growth'!$B$6^A588</f>
        <v>715390074623807</v>
      </c>
      <c r="C588" s="14">
        <f t="shared" si="0"/>
        <v>125477.12</v>
      </c>
      <c r="D588" s="15">
        <f>A588*'Exponential Item Growth'!$B$4</f>
        <v>980.29</v>
      </c>
      <c r="E588" s="14">
        <f>IF(ISNA(VLOOKUP(A588,'Exponential Item Growth'!$A$10:$B$18,2,FALSE)),E587, E587*VLOOKUP(A588,'Exponential Item Growth'!$A$10:$B$18,2,FALSE))</f>
        <v>128</v>
      </c>
      <c r="F588" s="14">
        <f>C588*'Exponential Item Growth'!$B$21</f>
        <v>627385.59999999998</v>
      </c>
      <c r="G588" s="14">
        <f>'Exponential Item Growth'!$B$22*C588</f>
        <v>9410784</v>
      </c>
      <c r="H588" s="14">
        <f>'Exponential Item Growth'!$B$23*C588</f>
        <v>125477120</v>
      </c>
    </row>
    <row r="589" spans="1:8" ht="15.75" customHeight="1">
      <c r="A589" s="3">
        <v>588</v>
      </c>
      <c r="B589" s="13">
        <f>'Exponential Item Growth'!$B$5*'Exponential Item Growth'!$B$6^A589</f>
        <v>758313479101235.38</v>
      </c>
      <c r="C589" s="14">
        <f t="shared" si="0"/>
        <v>125690.87999999999</v>
      </c>
      <c r="D589" s="15">
        <f>A589*'Exponential Item Growth'!$B$4</f>
        <v>981.95999999999992</v>
      </c>
      <c r="E589" s="14">
        <f>IF(ISNA(VLOOKUP(A589,'Exponential Item Growth'!$A$10:$B$18,2,FALSE)),E588, E588*VLOOKUP(A589,'Exponential Item Growth'!$A$10:$B$18,2,FALSE))</f>
        <v>128</v>
      </c>
      <c r="F589" s="14">
        <f>C589*'Exponential Item Growth'!$B$21</f>
        <v>628454.39999999991</v>
      </c>
      <c r="G589" s="14">
        <f>'Exponential Item Growth'!$B$22*C589</f>
        <v>9426816</v>
      </c>
      <c r="H589" s="14">
        <f>'Exponential Item Growth'!$B$23*C589</f>
        <v>125690879.99999999</v>
      </c>
    </row>
    <row r="590" spans="1:8" ht="15.75" customHeight="1">
      <c r="A590" s="3">
        <v>589</v>
      </c>
      <c r="B590" s="13">
        <f>'Exponential Item Growth'!$B$5*'Exponential Item Growth'!$B$6^A590</f>
        <v>803812287847309.62</v>
      </c>
      <c r="C590" s="14">
        <f t="shared" si="0"/>
        <v>125904.64</v>
      </c>
      <c r="D590" s="15">
        <f>A590*'Exponential Item Growth'!$B$4</f>
        <v>983.63</v>
      </c>
      <c r="E590" s="14">
        <f>IF(ISNA(VLOOKUP(A590,'Exponential Item Growth'!$A$10:$B$18,2,FALSE)),E589, E589*VLOOKUP(A590,'Exponential Item Growth'!$A$10:$B$18,2,FALSE))</f>
        <v>128</v>
      </c>
      <c r="F590" s="14">
        <f>C590*'Exponential Item Growth'!$B$21</f>
        <v>629523.19999999995</v>
      </c>
      <c r="G590" s="14">
        <f>'Exponential Item Growth'!$B$22*C590</f>
        <v>9442848</v>
      </c>
      <c r="H590" s="14">
        <f>'Exponential Item Growth'!$B$23*C590</f>
        <v>125904640</v>
      </c>
    </row>
    <row r="591" spans="1:8" ht="15.75" customHeight="1">
      <c r="A591" s="3">
        <v>590</v>
      </c>
      <c r="B591" s="13">
        <f>'Exponential Item Growth'!$B$5*'Exponential Item Growth'!$B$6^A591</f>
        <v>852041025118148.12</v>
      </c>
      <c r="C591" s="14">
        <f t="shared" si="0"/>
        <v>126118.39999999999</v>
      </c>
      <c r="D591" s="15">
        <f>A591*'Exponential Item Growth'!$B$4</f>
        <v>985.3</v>
      </c>
      <c r="E591" s="14">
        <f>IF(ISNA(VLOOKUP(A591,'Exponential Item Growth'!$A$10:$B$18,2,FALSE)),E590, E590*VLOOKUP(A591,'Exponential Item Growth'!$A$10:$B$18,2,FALSE))</f>
        <v>128</v>
      </c>
      <c r="F591" s="14">
        <f>C591*'Exponential Item Growth'!$B$21</f>
        <v>630592</v>
      </c>
      <c r="G591" s="14">
        <f>'Exponential Item Growth'!$B$22*C591</f>
        <v>9458880</v>
      </c>
      <c r="H591" s="14">
        <f>'Exponential Item Growth'!$B$23*C591</f>
        <v>126118400</v>
      </c>
    </row>
    <row r="592" spans="1:8" ht="15.75" customHeight="1">
      <c r="A592" s="3">
        <v>591</v>
      </c>
      <c r="B592" s="13">
        <f>'Exponential Item Growth'!$B$5*'Exponential Item Growth'!$B$6^A592</f>
        <v>903163486625237.38</v>
      </c>
      <c r="C592" s="14">
        <f t="shared" si="0"/>
        <v>126332.15999999999</v>
      </c>
      <c r="D592" s="15">
        <f>A592*'Exponential Item Growth'!$B$4</f>
        <v>986.96999999999991</v>
      </c>
      <c r="E592" s="14">
        <f>IF(ISNA(VLOOKUP(A592,'Exponential Item Growth'!$A$10:$B$18,2,FALSE)),E591, E591*VLOOKUP(A592,'Exponential Item Growth'!$A$10:$B$18,2,FALSE))</f>
        <v>128</v>
      </c>
      <c r="F592" s="14">
        <f>C592*'Exponential Item Growth'!$B$21</f>
        <v>631660.79999999993</v>
      </c>
      <c r="G592" s="14">
        <f>'Exponential Item Growth'!$B$22*C592</f>
        <v>9474912</v>
      </c>
      <c r="H592" s="14">
        <f>'Exponential Item Growth'!$B$23*C592</f>
        <v>126332159.99999999</v>
      </c>
    </row>
    <row r="593" spans="1:8" ht="15.75" customHeight="1">
      <c r="A593" s="3">
        <v>592</v>
      </c>
      <c r="B593" s="13">
        <f>'Exponential Item Growth'!$B$5*'Exponential Item Growth'!$B$6^A593</f>
        <v>957353295822751.25</v>
      </c>
      <c r="C593" s="14">
        <f t="shared" si="0"/>
        <v>126545.92</v>
      </c>
      <c r="D593" s="15">
        <f>A593*'Exponential Item Growth'!$B$4</f>
        <v>988.64</v>
      </c>
      <c r="E593" s="14">
        <f>IF(ISNA(VLOOKUP(A593,'Exponential Item Growth'!$A$10:$B$18,2,FALSE)),E592, E592*VLOOKUP(A593,'Exponential Item Growth'!$A$10:$B$18,2,FALSE))</f>
        <v>128</v>
      </c>
      <c r="F593" s="14">
        <f>C593*'Exponential Item Growth'!$B$21</f>
        <v>632729.59999999998</v>
      </c>
      <c r="G593" s="14">
        <f>'Exponential Item Growth'!$B$22*C593</f>
        <v>9490944</v>
      </c>
      <c r="H593" s="14">
        <f>'Exponential Item Growth'!$B$23*C593</f>
        <v>126545920</v>
      </c>
    </row>
    <row r="594" spans="1:8" ht="15.75" customHeight="1">
      <c r="A594" s="3">
        <v>593</v>
      </c>
      <c r="B594" s="13">
        <f>'Exponential Item Growth'!$B$5*'Exponential Item Growth'!$B$6^A594</f>
        <v>1014794493572116.6</v>
      </c>
      <c r="C594" s="14">
        <f t="shared" si="0"/>
        <v>126759.67999999999</v>
      </c>
      <c r="D594" s="15">
        <f>A594*'Exponential Item Growth'!$B$4</f>
        <v>990.31</v>
      </c>
      <c r="E594" s="14">
        <f>IF(ISNA(VLOOKUP(A594,'Exponential Item Growth'!$A$10:$B$18,2,FALSE)),E593, E593*VLOOKUP(A594,'Exponential Item Growth'!$A$10:$B$18,2,FALSE))</f>
        <v>128</v>
      </c>
      <c r="F594" s="14">
        <f>C594*'Exponential Item Growth'!$B$21</f>
        <v>633798.39999999991</v>
      </c>
      <c r="G594" s="14">
        <f>'Exponential Item Growth'!$B$22*C594</f>
        <v>9506976</v>
      </c>
      <c r="H594" s="14">
        <f>'Exponential Item Growth'!$B$23*C594</f>
        <v>126759680</v>
      </c>
    </row>
    <row r="595" spans="1:8" ht="15.75" customHeight="1">
      <c r="A595" s="3">
        <v>594</v>
      </c>
      <c r="B595" s="13">
        <f>'Exponential Item Growth'!$B$5*'Exponential Item Growth'!$B$6^A595</f>
        <v>1075682163186443.5</v>
      </c>
      <c r="C595" s="14">
        <f t="shared" si="0"/>
        <v>126973.43999999999</v>
      </c>
      <c r="D595" s="15">
        <f>A595*'Exponential Item Growth'!$B$4</f>
        <v>991.9799999999999</v>
      </c>
      <c r="E595" s="14">
        <f>IF(ISNA(VLOOKUP(A595,'Exponential Item Growth'!$A$10:$B$18,2,FALSE)),E594, E594*VLOOKUP(A595,'Exponential Item Growth'!$A$10:$B$18,2,FALSE))</f>
        <v>128</v>
      </c>
      <c r="F595" s="14">
        <f>C595*'Exponential Item Growth'!$B$21</f>
        <v>634867.19999999995</v>
      </c>
      <c r="G595" s="14">
        <f>'Exponential Item Growth'!$B$22*C595</f>
        <v>9523008</v>
      </c>
      <c r="H595" s="14">
        <f>'Exponential Item Growth'!$B$23*C595</f>
        <v>126973439.99999999</v>
      </c>
    </row>
    <row r="596" spans="1:8" ht="15.75" customHeight="1">
      <c r="A596" s="3">
        <v>595</v>
      </c>
      <c r="B596" s="13">
        <f>'Exponential Item Growth'!$B$5*'Exponential Item Growth'!$B$6^A596</f>
        <v>1140223092977630.2</v>
      </c>
      <c r="C596" s="14">
        <f t="shared" si="0"/>
        <v>127187.2</v>
      </c>
      <c r="D596" s="15">
        <f>A596*'Exponential Item Growth'!$B$4</f>
        <v>993.65</v>
      </c>
      <c r="E596" s="14">
        <f>IF(ISNA(VLOOKUP(A596,'Exponential Item Growth'!$A$10:$B$18,2,FALSE)),E595, E595*VLOOKUP(A596,'Exponential Item Growth'!$A$10:$B$18,2,FALSE))</f>
        <v>128</v>
      </c>
      <c r="F596" s="14">
        <f>C596*'Exponential Item Growth'!$B$21</f>
        <v>635936</v>
      </c>
      <c r="G596" s="14">
        <f>'Exponential Item Growth'!$B$22*C596</f>
        <v>9539040</v>
      </c>
      <c r="H596" s="14">
        <f>'Exponential Item Growth'!$B$23*C596</f>
        <v>127187200</v>
      </c>
    </row>
    <row r="597" spans="1:8" ht="15.75" customHeight="1">
      <c r="A597" s="3">
        <v>596</v>
      </c>
      <c r="B597" s="13">
        <f>'Exponential Item Growth'!$B$5*'Exponential Item Growth'!$B$6^A597</f>
        <v>1208636478556288</v>
      </c>
      <c r="C597" s="14">
        <f t="shared" si="0"/>
        <v>127400.95999999999</v>
      </c>
      <c r="D597" s="15">
        <f>A597*'Exponential Item Growth'!$B$4</f>
        <v>995.31999999999994</v>
      </c>
      <c r="E597" s="14">
        <f>IF(ISNA(VLOOKUP(A597,'Exponential Item Growth'!$A$10:$B$18,2,FALSE)),E596, E596*VLOOKUP(A597,'Exponential Item Growth'!$A$10:$B$18,2,FALSE))</f>
        <v>128</v>
      </c>
      <c r="F597" s="14">
        <f>C597*'Exponential Item Growth'!$B$21</f>
        <v>637004.79999999993</v>
      </c>
      <c r="G597" s="14">
        <f>'Exponential Item Growth'!$B$22*C597</f>
        <v>9555072</v>
      </c>
      <c r="H597" s="14">
        <f>'Exponential Item Growth'!$B$23*C597</f>
        <v>127400959.99999999</v>
      </c>
    </row>
    <row r="598" spans="1:8" ht="15.75" customHeight="1">
      <c r="A598" s="3">
        <v>597</v>
      </c>
      <c r="B598" s="13">
        <f>'Exponential Item Growth'!$B$5*'Exponential Item Growth'!$B$6^A598</f>
        <v>1281154667269665.5</v>
      </c>
      <c r="C598" s="14">
        <f t="shared" si="0"/>
        <v>127614.72</v>
      </c>
      <c r="D598" s="15">
        <f>A598*'Exponential Item Growth'!$B$4</f>
        <v>996.99</v>
      </c>
      <c r="E598" s="14">
        <f>IF(ISNA(VLOOKUP(A598,'Exponential Item Growth'!$A$10:$B$18,2,FALSE)),E597, E597*VLOOKUP(A598,'Exponential Item Growth'!$A$10:$B$18,2,FALSE))</f>
        <v>128</v>
      </c>
      <c r="F598" s="14">
        <f>C598*'Exponential Item Growth'!$B$21</f>
        <v>638073.59999999998</v>
      </c>
      <c r="G598" s="14">
        <f>'Exponential Item Growth'!$B$22*C598</f>
        <v>9571104</v>
      </c>
      <c r="H598" s="14">
        <f>'Exponential Item Growth'!$B$23*C598</f>
        <v>127614720</v>
      </c>
    </row>
    <row r="599" spans="1:8" ht="15.75" customHeight="1">
      <c r="A599" s="3">
        <v>598</v>
      </c>
      <c r="B599" s="13">
        <f>'Exponential Item Growth'!$B$5*'Exponential Item Growth'!$B$6^A599</f>
        <v>1358023947305845.5</v>
      </c>
      <c r="C599" s="14">
        <f t="shared" si="0"/>
        <v>127828.48</v>
      </c>
      <c r="D599" s="15">
        <f>A599*'Exponential Item Growth'!$B$4</f>
        <v>998.66</v>
      </c>
      <c r="E599" s="14">
        <f>IF(ISNA(VLOOKUP(A599,'Exponential Item Growth'!$A$10:$B$18,2,FALSE)),E598, E598*VLOOKUP(A599,'Exponential Item Growth'!$A$10:$B$18,2,FALSE))</f>
        <v>128</v>
      </c>
      <c r="F599" s="14">
        <f>C599*'Exponential Item Growth'!$B$21</f>
        <v>639142.40000000002</v>
      </c>
      <c r="G599" s="14">
        <f>'Exponential Item Growth'!$B$22*C599</f>
        <v>9587136</v>
      </c>
      <c r="H599" s="14">
        <f>'Exponential Item Growth'!$B$23*C599</f>
        <v>127828480</v>
      </c>
    </row>
    <row r="600" spans="1:8" ht="15.75" customHeight="1">
      <c r="A600" s="3">
        <v>599</v>
      </c>
      <c r="B600" s="13">
        <f>'Exponential Item Growth'!$B$5*'Exponential Item Growth'!$B$6^A600</f>
        <v>1439505384144196.5</v>
      </c>
      <c r="C600" s="14">
        <f t="shared" si="0"/>
        <v>128042.23999999999</v>
      </c>
      <c r="D600" s="15">
        <f>A600*'Exponential Item Growth'!$B$4</f>
        <v>1000.3299999999999</v>
      </c>
      <c r="E600" s="14">
        <f>IF(ISNA(VLOOKUP(A600,'Exponential Item Growth'!$A$10:$B$18,2,FALSE)),E599, E599*VLOOKUP(A600,'Exponential Item Growth'!$A$10:$B$18,2,FALSE))</f>
        <v>128</v>
      </c>
      <c r="F600" s="14">
        <f>C600*'Exponential Item Growth'!$B$21</f>
        <v>640211.19999999995</v>
      </c>
      <c r="G600" s="14">
        <f>'Exponential Item Growth'!$B$22*C600</f>
        <v>9603168</v>
      </c>
      <c r="H600" s="14">
        <f>'Exponential Item Growth'!$B$23*C600</f>
        <v>128042239.99999999</v>
      </c>
    </row>
    <row r="601" spans="1:8" ht="15.75" customHeight="1">
      <c r="A601" s="3">
        <v>600</v>
      </c>
      <c r="B601" s="13">
        <f>'Exponential Item Growth'!$B$5*'Exponential Item Growth'!$B$6^A601</f>
        <v>1525875707192848.2</v>
      </c>
      <c r="C601" s="14">
        <f t="shared" si="0"/>
        <v>256512</v>
      </c>
      <c r="D601" s="15">
        <f>A601*'Exponential Item Growth'!$B$4</f>
        <v>1002</v>
      </c>
      <c r="E601" s="14">
        <f>IF(ISNA(VLOOKUP(A601,'Exponential Item Growth'!$A$10:$B$18,2,FALSE)),E600, E600*VLOOKUP(A601,'Exponential Item Growth'!$A$10:$B$18,2,FALSE))</f>
        <v>256</v>
      </c>
      <c r="F601" s="14">
        <f>C601*'Exponential Item Growth'!$B$21</f>
        <v>1282560</v>
      </c>
      <c r="G601" s="14">
        <f>'Exponential Item Growth'!$B$22*C601</f>
        <v>19238400</v>
      </c>
      <c r="H601" s="14">
        <f>'Exponential Item Growth'!$B$23*C601</f>
        <v>256512000</v>
      </c>
    </row>
    <row r="602" spans="1:8" ht="15.75" customHeight="1">
      <c r="A602" s="3">
        <v>601</v>
      </c>
      <c r="B602" s="13">
        <f>'Exponential Item Growth'!$B$5*'Exponential Item Growth'!$B$6^A602</f>
        <v>1617428249624419</v>
      </c>
      <c r="C602" s="14">
        <f t="shared" si="0"/>
        <v>256939.51999999999</v>
      </c>
      <c r="D602" s="15">
        <f>A602*'Exponential Item Growth'!$B$4</f>
        <v>1003.67</v>
      </c>
      <c r="E602" s="14">
        <f>IF(ISNA(VLOOKUP(A602,'Exponential Item Growth'!$A$10:$B$18,2,FALSE)),E601, E601*VLOOKUP(A602,'Exponential Item Growth'!$A$10:$B$18,2,FALSE))</f>
        <v>256</v>
      </c>
      <c r="F602" s="14">
        <f>C602*'Exponential Item Growth'!$B$21</f>
        <v>1284697.5999999999</v>
      </c>
      <c r="G602" s="14">
        <f>'Exponential Item Growth'!$B$22*C602</f>
        <v>19270464</v>
      </c>
      <c r="H602" s="14">
        <f>'Exponential Item Growth'!$B$23*C602</f>
        <v>256939520</v>
      </c>
    </row>
    <row r="603" spans="1:8" ht="15.75" customHeight="1">
      <c r="A603" s="3">
        <v>602</v>
      </c>
      <c r="B603" s="13">
        <f>'Exponential Item Growth'!$B$5*'Exponential Item Growth'!$B$6^A603</f>
        <v>1714473944601884.2</v>
      </c>
      <c r="C603" s="14">
        <f t="shared" si="0"/>
        <v>257367.03999999998</v>
      </c>
      <c r="D603" s="15">
        <f>A603*'Exponential Item Growth'!$B$4</f>
        <v>1005.3399999999999</v>
      </c>
      <c r="E603" s="14">
        <f>IF(ISNA(VLOOKUP(A603,'Exponential Item Growth'!$A$10:$B$18,2,FALSE)),E602, E602*VLOOKUP(A603,'Exponential Item Growth'!$A$10:$B$18,2,FALSE))</f>
        <v>256</v>
      </c>
      <c r="F603" s="14">
        <f>C603*'Exponential Item Growth'!$B$21</f>
        <v>1286835.2</v>
      </c>
      <c r="G603" s="14">
        <f>'Exponential Item Growth'!$B$22*C603</f>
        <v>19302528</v>
      </c>
      <c r="H603" s="14">
        <f>'Exponential Item Growth'!$B$23*C603</f>
        <v>257367039.99999997</v>
      </c>
    </row>
    <row r="604" spans="1:8" ht="15.75" customHeight="1">
      <c r="A604" s="3">
        <v>603</v>
      </c>
      <c r="B604" s="13">
        <f>'Exponential Item Growth'!$B$5*'Exponential Item Growth'!$B$6^A604</f>
        <v>1817342381277997.5</v>
      </c>
      <c r="C604" s="14">
        <f t="shared" si="0"/>
        <v>257794.56</v>
      </c>
      <c r="D604" s="15">
        <f>A604*'Exponential Item Growth'!$B$4</f>
        <v>1007.01</v>
      </c>
      <c r="E604" s="14">
        <f>IF(ISNA(VLOOKUP(A604,'Exponential Item Growth'!$A$10:$B$18,2,FALSE)),E603, E603*VLOOKUP(A604,'Exponential Item Growth'!$A$10:$B$18,2,FALSE))</f>
        <v>256</v>
      </c>
      <c r="F604" s="14">
        <f>C604*'Exponential Item Growth'!$B$21</f>
        <v>1288972.8</v>
      </c>
      <c r="G604" s="14">
        <f>'Exponential Item Growth'!$B$22*C604</f>
        <v>19334592</v>
      </c>
      <c r="H604" s="14">
        <f>'Exponential Item Growth'!$B$23*C604</f>
        <v>257794560</v>
      </c>
    </row>
    <row r="605" spans="1:8" ht="15.75" customHeight="1">
      <c r="A605" s="3">
        <v>604</v>
      </c>
      <c r="B605" s="13">
        <f>'Exponential Item Growth'!$B$5*'Exponential Item Growth'!$B$6^A605</f>
        <v>1926382924154677.5</v>
      </c>
      <c r="C605" s="14">
        <f t="shared" si="0"/>
        <v>258222.07999999999</v>
      </c>
      <c r="D605" s="15">
        <f>A605*'Exponential Item Growth'!$B$4</f>
        <v>1008.68</v>
      </c>
      <c r="E605" s="14">
        <f>IF(ISNA(VLOOKUP(A605,'Exponential Item Growth'!$A$10:$B$18,2,FALSE)),E604, E604*VLOOKUP(A605,'Exponential Item Growth'!$A$10:$B$18,2,FALSE))</f>
        <v>256</v>
      </c>
      <c r="F605" s="14">
        <f>C605*'Exponential Item Growth'!$B$21</f>
        <v>1291110.3999999999</v>
      </c>
      <c r="G605" s="14">
        <f>'Exponential Item Growth'!$B$22*C605</f>
        <v>19366656</v>
      </c>
      <c r="H605" s="14">
        <f>'Exponential Item Growth'!$B$23*C605</f>
        <v>258222080</v>
      </c>
    </row>
    <row r="606" spans="1:8" ht="15.75" customHeight="1">
      <c r="A606" s="3">
        <v>605</v>
      </c>
      <c r="B606" s="13">
        <f>'Exponential Item Growth'!$B$5*'Exponential Item Growth'!$B$6^A606</f>
        <v>2041965899603958.2</v>
      </c>
      <c r="C606" s="14">
        <f t="shared" si="0"/>
        <v>258649.59999999998</v>
      </c>
      <c r="D606" s="15">
        <f>A606*'Exponential Item Growth'!$B$4</f>
        <v>1010.3499999999999</v>
      </c>
      <c r="E606" s="14">
        <f>IF(ISNA(VLOOKUP(A606,'Exponential Item Growth'!$A$10:$B$18,2,FALSE)),E605, E605*VLOOKUP(A606,'Exponential Item Growth'!$A$10:$B$18,2,FALSE))</f>
        <v>256</v>
      </c>
      <c r="F606" s="14">
        <f>C606*'Exponential Item Growth'!$B$21</f>
        <v>1293248</v>
      </c>
      <c r="G606" s="14">
        <f>'Exponential Item Growth'!$B$22*C606</f>
        <v>19398720</v>
      </c>
      <c r="H606" s="14">
        <f>'Exponential Item Growth'!$B$23*C606</f>
        <v>258649599.99999997</v>
      </c>
    </row>
    <row r="607" spans="1:8" ht="15.75" customHeight="1">
      <c r="A607" s="3">
        <v>606</v>
      </c>
      <c r="B607" s="13">
        <f>'Exponential Item Growth'!$B$5*'Exponential Item Growth'!$B$6^A607</f>
        <v>2164483853580195.8</v>
      </c>
      <c r="C607" s="14">
        <f t="shared" si="0"/>
        <v>259077.12</v>
      </c>
      <c r="D607" s="15">
        <f>A607*'Exponential Item Growth'!$B$4</f>
        <v>1012.02</v>
      </c>
      <c r="E607" s="14">
        <f>IF(ISNA(VLOOKUP(A607,'Exponential Item Growth'!$A$10:$B$18,2,FALSE)),E606, E606*VLOOKUP(A607,'Exponential Item Growth'!$A$10:$B$18,2,FALSE))</f>
        <v>256</v>
      </c>
      <c r="F607" s="14">
        <f>C607*'Exponential Item Growth'!$B$21</f>
        <v>1295385.6000000001</v>
      </c>
      <c r="G607" s="14">
        <f>'Exponential Item Growth'!$B$22*C607</f>
        <v>19430784</v>
      </c>
      <c r="H607" s="14">
        <f>'Exponential Item Growth'!$B$23*C607</f>
        <v>259077120</v>
      </c>
    </row>
    <row r="608" spans="1:8" ht="15.75" customHeight="1">
      <c r="A608" s="3">
        <v>607</v>
      </c>
      <c r="B608" s="13">
        <f>'Exponential Item Growth'!$B$5*'Exponential Item Growth'!$B$6^A608</f>
        <v>2294352884795008</v>
      </c>
      <c r="C608" s="14">
        <f t="shared" si="0"/>
        <v>259504.63999999998</v>
      </c>
      <c r="D608" s="15">
        <f>A608*'Exponential Item Growth'!$B$4</f>
        <v>1013.6899999999999</v>
      </c>
      <c r="E608" s="14">
        <f>IF(ISNA(VLOOKUP(A608,'Exponential Item Growth'!$A$10:$B$18,2,FALSE)),E607, E607*VLOOKUP(A608,'Exponential Item Growth'!$A$10:$B$18,2,FALSE))</f>
        <v>256</v>
      </c>
      <c r="F608" s="14">
        <f>C608*'Exponential Item Growth'!$B$21</f>
        <v>1297523.2</v>
      </c>
      <c r="G608" s="14">
        <f>'Exponential Item Growth'!$B$22*C608</f>
        <v>19462848</v>
      </c>
      <c r="H608" s="14">
        <f>'Exponential Item Growth'!$B$23*C608</f>
        <v>259504639.99999997</v>
      </c>
    </row>
    <row r="609" spans="1:8" ht="15.75" customHeight="1">
      <c r="A609" s="3">
        <v>608</v>
      </c>
      <c r="B609" s="13">
        <f>'Exponential Item Growth'!$B$5*'Exponential Item Growth'!$B$6^A609</f>
        <v>2432014057882708.5</v>
      </c>
      <c r="C609" s="14">
        <f t="shared" si="0"/>
        <v>259932.15999999997</v>
      </c>
      <c r="D609" s="15">
        <f>A609*'Exponential Item Growth'!$B$4</f>
        <v>1015.3599999999999</v>
      </c>
      <c r="E609" s="14">
        <f>IF(ISNA(VLOOKUP(A609,'Exponential Item Growth'!$A$10:$B$18,2,FALSE)),E608, E608*VLOOKUP(A609,'Exponential Item Growth'!$A$10:$B$18,2,FALSE))</f>
        <v>256</v>
      </c>
      <c r="F609" s="14">
        <f>C609*'Exponential Item Growth'!$B$21</f>
        <v>1299660.7999999998</v>
      </c>
      <c r="G609" s="14">
        <f>'Exponential Item Growth'!$B$22*C609</f>
        <v>19494911.999999996</v>
      </c>
      <c r="H609" s="14">
        <f>'Exponential Item Growth'!$B$23*C609</f>
        <v>259932159.99999997</v>
      </c>
    </row>
    <row r="610" spans="1:8" ht="15.75" customHeight="1">
      <c r="A610" s="3">
        <v>609</v>
      </c>
      <c r="B610" s="13">
        <f>'Exponential Item Growth'!$B$5*'Exponential Item Growth'!$B$6^A610</f>
        <v>2577934901355670.5</v>
      </c>
      <c r="C610" s="14">
        <f t="shared" si="0"/>
        <v>260359.67999999999</v>
      </c>
      <c r="D610" s="15">
        <f>A610*'Exponential Item Growth'!$B$4</f>
        <v>1017.03</v>
      </c>
      <c r="E610" s="14">
        <f>IF(ISNA(VLOOKUP(A610,'Exponential Item Growth'!$A$10:$B$18,2,FALSE)),E609, E609*VLOOKUP(A610,'Exponential Item Growth'!$A$10:$B$18,2,FALSE))</f>
        <v>256</v>
      </c>
      <c r="F610" s="14">
        <f>C610*'Exponential Item Growth'!$B$21</f>
        <v>1301798.3999999999</v>
      </c>
      <c r="G610" s="14">
        <f>'Exponential Item Growth'!$B$22*C610</f>
        <v>19526976</v>
      </c>
      <c r="H610" s="14">
        <f>'Exponential Item Growth'!$B$23*C610</f>
        <v>260359680</v>
      </c>
    </row>
    <row r="611" spans="1:8" ht="15.75" customHeight="1">
      <c r="A611" s="3">
        <v>610</v>
      </c>
      <c r="B611" s="13">
        <f>'Exponential Item Growth'!$B$5*'Exponential Item Growth'!$B$6^A611</f>
        <v>2732610995437011</v>
      </c>
      <c r="C611" s="14">
        <f t="shared" si="0"/>
        <v>260787.19999999998</v>
      </c>
      <c r="D611" s="15">
        <f>A611*'Exponential Item Growth'!$B$4</f>
        <v>1018.6999999999999</v>
      </c>
      <c r="E611" s="14">
        <f>IF(ISNA(VLOOKUP(A611,'Exponential Item Growth'!$A$10:$B$18,2,FALSE)),E610, E610*VLOOKUP(A611,'Exponential Item Growth'!$A$10:$B$18,2,FALSE))</f>
        <v>256</v>
      </c>
      <c r="F611" s="14">
        <f>C611*'Exponential Item Growth'!$B$21</f>
        <v>1303936</v>
      </c>
      <c r="G611" s="14">
        <f>'Exponential Item Growth'!$B$22*C611</f>
        <v>19559040</v>
      </c>
      <c r="H611" s="14">
        <f>'Exponential Item Growth'!$B$23*C611</f>
        <v>260787199.99999997</v>
      </c>
    </row>
    <row r="612" spans="1:8" ht="15.75" customHeight="1">
      <c r="A612" s="3">
        <v>611</v>
      </c>
      <c r="B612" s="13">
        <f>'Exponential Item Growth'!$B$5*'Exponential Item Growth'!$B$6^A612</f>
        <v>2896567655163232</v>
      </c>
      <c r="C612" s="14">
        <f t="shared" si="0"/>
        <v>261214.72</v>
      </c>
      <c r="D612" s="15">
        <f>A612*'Exponential Item Growth'!$B$4</f>
        <v>1020.37</v>
      </c>
      <c r="E612" s="14">
        <f>IF(ISNA(VLOOKUP(A612,'Exponential Item Growth'!$A$10:$B$18,2,FALSE)),E611, E611*VLOOKUP(A612,'Exponential Item Growth'!$A$10:$B$18,2,FALSE))</f>
        <v>256</v>
      </c>
      <c r="F612" s="14">
        <f>C612*'Exponential Item Growth'!$B$21</f>
        <v>1306073.6000000001</v>
      </c>
      <c r="G612" s="14">
        <f>'Exponential Item Growth'!$B$22*C612</f>
        <v>19591104</v>
      </c>
      <c r="H612" s="14">
        <f>'Exponential Item Growth'!$B$23*C612</f>
        <v>261214720</v>
      </c>
    </row>
    <row r="613" spans="1:8" ht="15.75" customHeight="1">
      <c r="A613" s="3">
        <v>612</v>
      </c>
      <c r="B613" s="13">
        <f>'Exponential Item Growth'!$B$5*'Exponential Item Growth'!$B$6^A613</f>
        <v>3070361714473026.5</v>
      </c>
      <c r="C613" s="14">
        <f t="shared" si="0"/>
        <v>261642.23999999999</v>
      </c>
      <c r="D613" s="15">
        <f>A613*'Exponential Item Growth'!$B$4</f>
        <v>1022.04</v>
      </c>
      <c r="E613" s="14">
        <f>IF(ISNA(VLOOKUP(A613,'Exponential Item Growth'!$A$10:$B$18,2,FALSE)),E612, E612*VLOOKUP(A613,'Exponential Item Growth'!$A$10:$B$18,2,FALSE))</f>
        <v>256</v>
      </c>
      <c r="F613" s="14">
        <f>C613*'Exponential Item Growth'!$B$21</f>
        <v>1308211.2</v>
      </c>
      <c r="G613" s="14">
        <f>'Exponential Item Growth'!$B$22*C613</f>
        <v>19623168</v>
      </c>
      <c r="H613" s="14">
        <f>'Exponential Item Growth'!$B$23*C613</f>
        <v>261642240</v>
      </c>
    </row>
    <row r="614" spans="1:8" ht="15.75" customHeight="1">
      <c r="A614" s="3">
        <v>613</v>
      </c>
      <c r="B614" s="13">
        <f>'Exponential Item Growth'!$B$5*'Exponential Item Growth'!$B$6^A614</f>
        <v>3254583417341408</v>
      </c>
      <c r="C614" s="14">
        <f t="shared" si="0"/>
        <v>262069.75999999998</v>
      </c>
      <c r="D614" s="15">
        <f>A614*'Exponential Item Growth'!$B$4</f>
        <v>1023.7099999999999</v>
      </c>
      <c r="E614" s="14">
        <f>IF(ISNA(VLOOKUP(A614,'Exponential Item Growth'!$A$10:$B$18,2,FALSE)),E613, E613*VLOOKUP(A614,'Exponential Item Growth'!$A$10:$B$18,2,FALSE))</f>
        <v>256</v>
      </c>
      <c r="F614" s="14">
        <f>C614*'Exponential Item Growth'!$B$21</f>
        <v>1310348.7999999998</v>
      </c>
      <c r="G614" s="14">
        <f>'Exponential Item Growth'!$B$22*C614</f>
        <v>19655232</v>
      </c>
      <c r="H614" s="14">
        <f>'Exponential Item Growth'!$B$23*C614</f>
        <v>262069759.99999997</v>
      </c>
    </row>
    <row r="615" spans="1:8" ht="15.75" customHeight="1">
      <c r="A615" s="3">
        <v>614</v>
      </c>
      <c r="B615" s="13">
        <f>'Exponential Item Growth'!$B$5*'Exponential Item Growth'!$B$6^A615</f>
        <v>3449858422381893</v>
      </c>
      <c r="C615" s="14">
        <f t="shared" si="0"/>
        <v>262497.27999999997</v>
      </c>
      <c r="D615" s="15">
        <f>A615*'Exponential Item Growth'!$B$4</f>
        <v>1025.3799999999999</v>
      </c>
      <c r="E615" s="14">
        <f>IF(ISNA(VLOOKUP(A615,'Exponential Item Growth'!$A$10:$B$18,2,FALSE)),E614, E614*VLOOKUP(A615,'Exponential Item Growth'!$A$10:$B$18,2,FALSE))</f>
        <v>256</v>
      </c>
      <c r="F615" s="14">
        <f>C615*'Exponential Item Growth'!$B$21</f>
        <v>1312486.3999999999</v>
      </c>
      <c r="G615" s="14">
        <f>'Exponential Item Growth'!$B$22*C615</f>
        <v>19687295.999999996</v>
      </c>
      <c r="H615" s="14">
        <f>'Exponential Item Growth'!$B$23*C615</f>
        <v>262497279.99999997</v>
      </c>
    </row>
    <row r="616" spans="1:8" ht="15.75" customHeight="1">
      <c r="A616" s="3">
        <v>615</v>
      </c>
      <c r="B616" s="13">
        <f>'Exponential Item Growth'!$B$5*'Exponential Item Growth'!$B$6^A616</f>
        <v>3656849927724807</v>
      </c>
      <c r="C616" s="14">
        <f t="shared" si="0"/>
        <v>262924.79999999999</v>
      </c>
      <c r="D616" s="15">
        <f>A616*'Exponential Item Growth'!$B$4</f>
        <v>1027.05</v>
      </c>
      <c r="E616" s="14">
        <f>IF(ISNA(VLOOKUP(A616,'Exponential Item Growth'!$A$10:$B$18,2,FALSE)),E615, E615*VLOOKUP(A616,'Exponential Item Growth'!$A$10:$B$18,2,FALSE))</f>
        <v>256</v>
      </c>
      <c r="F616" s="14">
        <f>C616*'Exponential Item Growth'!$B$21</f>
        <v>1314624</v>
      </c>
      <c r="G616" s="14">
        <f>'Exponential Item Growth'!$B$22*C616</f>
        <v>19719360</v>
      </c>
      <c r="H616" s="14">
        <f>'Exponential Item Growth'!$B$23*C616</f>
        <v>262924800</v>
      </c>
    </row>
    <row r="617" spans="1:8" ht="15.75" customHeight="1">
      <c r="A617" s="3">
        <v>616</v>
      </c>
      <c r="B617" s="13">
        <f>'Exponential Item Growth'!$B$5*'Exponential Item Growth'!$B$6^A617</f>
        <v>3876260923388295</v>
      </c>
      <c r="C617" s="14">
        <f t="shared" si="0"/>
        <v>263352.32000000001</v>
      </c>
      <c r="D617" s="15">
        <f>A617*'Exponential Item Growth'!$B$4</f>
        <v>1028.72</v>
      </c>
      <c r="E617" s="14">
        <f>IF(ISNA(VLOOKUP(A617,'Exponential Item Growth'!$A$10:$B$18,2,FALSE)),E616, E616*VLOOKUP(A617,'Exponential Item Growth'!$A$10:$B$18,2,FALSE))</f>
        <v>256</v>
      </c>
      <c r="F617" s="14">
        <f>C617*'Exponential Item Growth'!$B$21</f>
        <v>1316761.6000000001</v>
      </c>
      <c r="G617" s="14">
        <f>'Exponential Item Growth'!$B$22*C617</f>
        <v>19751424</v>
      </c>
      <c r="H617" s="14">
        <f>'Exponential Item Growth'!$B$23*C617</f>
        <v>263352320</v>
      </c>
    </row>
    <row r="618" spans="1:8" ht="15.75" customHeight="1">
      <c r="A618" s="3">
        <v>617</v>
      </c>
      <c r="B618" s="13">
        <f>'Exponential Item Growth'!$B$5*'Exponential Item Growth'!$B$6^A618</f>
        <v>4108836578791592.5</v>
      </c>
      <c r="C618" s="14">
        <f t="shared" si="0"/>
        <v>263779.83999999997</v>
      </c>
      <c r="D618" s="15">
        <f>A618*'Exponential Item Growth'!$B$4</f>
        <v>1030.3899999999999</v>
      </c>
      <c r="E618" s="14">
        <f>IF(ISNA(VLOOKUP(A618,'Exponential Item Growth'!$A$10:$B$18,2,FALSE)),E617, E617*VLOOKUP(A618,'Exponential Item Growth'!$A$10:$B$18,2,FALSE))</f>
        <v>256</v>
      </c>
      <c r="F618" s="14">
        <f>C618*'Exponential Item Growth'!$B$21</f>
        <v>1318899.1999999997</v>
      </c>
      <c r="G618" s="14">
        <f>'Exponential Item Growth'!$B$22*C618</f>
        <v>19783487.999999996</v>
      </c>
      <c r="H618" s="14">
        <f>'Exponential Item Growth'!$B$23*C618</f>
        <v>263779839.99999997</v>
      </c>
    </row>
    <row r="619" spans="1:8" ht="15.75" customHeight="1">
      <c r="A619" s="3">
        <v>618</v>
      </c>
      <c r="B619" s="13">
        <f>'Exponential Item Growth'!$B$5*'Exponential Item Growth'!$B$6^A619</f>
        <v>4355366773519088.5</v>
      </c>
      <c r="C619" s="14">
        <f t="shared" si="0"/>
        <v>264207.35999999999</v>
      </c>
      <c r="D619" s="15">
        <f>A619*'Exponential Item Growth'!$B$4</f>
        <v>1032.06</v>
      </c>
      <c r="E619" s="14">
        <f>IF(ISNA(VLOOKUP(A619,'Exponential Item Growth'!$A$10:$B$18,2,FALSE)),E618, E618*VLOOKUP(A619,'Exponential Item Growth'!$A$10:$B$18,2,FALSE))</f>
        <v>256</v>
      </c>
      <c r="F619" s="14">
        <f>C619*'Exponential Item Growth'!$B$21</f>
        <v>1321036.7999999998</v>
      </c>
      <c r="G619" s="14">
        <f>'Exponential Item Growth'!$B$22*C619</f>
        <v>19815552</v>
      </c>
      <c r="H619" s="14">
        <f>'Exponential Item Growth'!$B$23*C619</f>
        <v>264207360</v>
      </c>
    </row>
    <row r="620" spans="1:8" ht="15.75" customHeight="1">
      <c r="A620" s="3">
        <v>619</v>
      </c>
      <c r="B620" s="13">
        <f>'Exponential Item Growth'!$B$5*'Exponential Item Growth'!$B$6^A620</f>
        <v>4616688779930235</v>
      </c>
      <c r="C620" s="14">
        <f t="shared" si="0"/>
        <v>264634.88</v>
      </c>
      <c r="D620" s="15">
        <f>A620*'Exponential Item Growth'!$B$4</f>
        <v>1033.73</v>
      </c>
      <c r="E620" s="14">
        <f>IF(ISNA(VLOOKUP(A620,'Exponential Item Growth'!$A$10:$B$18,2,FALSE)),E619, E619*VLOOKUP(A620,'Exponential Item Growth'!$A$10:$B$18,2,FALSE))</f>
        <v>256</v>
      </c>
      <c r="F620" s="14">
        <f>C620*'Exponential Item Growth'!$B$21</f>
        <v>1323174.3999999999</v>
      </c>
      <c r="G620" s="14">
        <f>'Exponential Item Growth'!$B$22*C620</f>
        <v>19847616</v>
      </c>
      <c r="H620" s="14">
        <f>'Exponential Item Growth'!$B$23*C620</f>
        <v>264634880</v>
      </c>
    </row>
    <row r="621" spans="1:8" ht="15.75" customHeight="1">
      <c r="A621" s="3">
        <v>620</v>
      </c>
      <c r="B621" s="13">
        <f>'Exponential Item Growth'!$B$5*'Exponential Item Growth'!$B$6^A621</f>
        <v>4893690106726049</v>
      </c>
      <c r="C621" s="14">
        <f t="shared" si="0"/>
        <v>265062.39999999997</v>
      </c>
      <c r="D621" s="15">
        <f>A621*'Exponential Item Growth'!$B$4</f>
        <v>1035.3999999999999</v>
      </c>
      <c r="E621" s="14">
        <f>IF(ISNA(VLOOKUP(A621,'Exponential Item Growth'!$A$10:$B$18,2,FALSE)),E620, E620*VLOOKUP(A621,'Exponential Item Growth'!$A$10:$B$18,2,FALSE))</f>
        <v>256</v>
      </c>
      <c r="F621" s="14">
        <f>C621*'Exponential Item Growth'!$B$21</f>
        <v>1325311.9999999998</v>
      </c>
      <c r="G621" s="14">
        <f>'Exponential Item Growth'!$B$22*C621</f>
        <v>19879679.999999996</v>
      </c>
      <c r="H621" s="14">
        <f>'Exponential Item Growth'!$B$23*C621</f>
        <v>265062399.99999997</v>
      </c>
    </row>
    <row r="622" spans="1:8" ht="15.75" customHeight="1">
      <c r="A622" s="3">
        <v>621</v>
      </c>
      <c r="B622" s="13">
        <f>'Exponential Item Growth'!$B$5*'Exponential Item Growth'!$B$6^A622</f>
        <v>5187311513129613</v>
      </c>
      <c r="C622" s="14">
        <f t="shared" si="0"/>
        <v>265489.91999999998</v>
      </c>
      <c r="D622" s="15">
        <f>A622*'Exponential Item Growth'!$B$4</f>
        <v>1037.07</v>
      </c>
      <c r="E622" s="14">
        <f>IF(ISNA(VLOOKUP(A622,'Exponential Item Growth'!$A$10:$B$18,2,FALSE)),E621, E621*VLOOKUP(A622,'Exponential Item Growth'!$A$10:$B$18,2,FALSE))</f>
        <v>256</v>
      </c>
      <c r="F622" s="14">
        <f>C622*'Exponential Item Growth'!$B$21</f>
        <v>1327449.5999999999</v>
      </c>
      <c r="G622" s="14">
        <f>'Exponential Item Growth'!$B$22*C622</f>
        <v>19911744</v>
      </c>
      <c r="H622" s="14">
        <f>'Exponential Item Growth'!$B$23*C622</f>
        <v>265489919.99999997</v>
      </c>
    </row>
    <row r="623" spans="1:8" ht="15.75" customHeight="1">
      <c r="A623" s="3">
        <v>622</v>
      </c>
      <c r="B623" s="13">
        <f>'Exponential Item Growth'!$B$5*'Exponential Item Growth'!$B$6^A623</f>
        <v>5498550203917389</v>
      </c>
      <c r="C623" s="14">
        <f t="shared" si="0"/>
        <v>265917.44</v>
      </c>
      <c r="D623" s="15">
        <f>A623*'Exponential Item Growth'!$B$4</f>
        <v>1038.74</v>
      </c>
      <c r="E623" s="14">
        <f>IF(ISNA(VLOOKUP(A623,'Exponential Item Growth'!$A$10:$B$18,2,FALSE)),E622, E622*VLOOKUP(A623,'Exponential Item Growth'!$A$10:$B$18,2,FALSE))</f>
        <v>256</v>
      </c>
      <c r="F623" s="14">
        <f>C623*'Exponential Item Growth'!$B$21</f>
        <v>1329587.2</v>
      </c>
      <c r="G623" s="14">
        <f>'Exponential Item Growth'!$B$22*C623</f>
        <v>19943808</v>
      </c>
      <c r="H623" s="14">
        <f>'Exponential Item Growth'!$B$23*C623</f>
        <v>265917440</v>
      </c>
    </row>
    <row r="624" spans="1:8" ht="15.75" customHeight="1">
      <c r="A624" s="3">
        <v>623</v>
      </c>
      <c r="B624" s="13">
        <f>'Exponential Item Growth'!$B$5*'Exponential Item Growth'!$B$6^A624</f>
        <v>5828463216152434</v>
      </c>
      <c r="C624" s="14">
        <f t="shared" si="0"/>
        <v>266344.95999999996</v>
      </c>
      <c r="D624" s="15">
        <f>A624*'Exponential Item Growth'!$B$4</f>
        <v>1040.4099999999999</v>
      </c>
      <c r="E624" s="14">
        <f>IF(ISNA(VLOOKUP(A624,'Exponential Item Growth'!$A$10:$B$18,2,FALSE)),E623, E623*VLOOKUP(A624,'Exponential Item Growth'!$A$10:$B$18,2,FALSE))</f>
        <v>256</v>
      </c>
      <c r="F624" s="14">
        <f>C624*'Exponential Item Growth'!$B$21</f>
        <v>1331724.7999999998</v>
      </c>
      <c r="G624" s="14">
        <f>'Exponential Item Growth'!$B$22*C624</f>
        <v>19975871.999999996</v>
      </c>
      <c r="H624" s="14">
        <f>'Exponential Item Growth'!$B$23*C624</f>
        <v>266344959.99999997</v>
      </c>
    </row>
    <row r="625" spans="1:8" ht="15.75" customHeight="1">
      <c r="A625" s="3">
        <v>624</v>
      </c>
      <c r="B625" s="13">
        <f>'Exponential Item Growth'!$B$5*'Exponential Item Growth'!$B$6^A625</f>
        <v>6178171009121579</v>
      </c>
      <c r="C625" s="14">
        <f t="shared" si="0"/>
        <v>266772.47999999998</v>
      </c>
      <c r="D625" s="15">
        <f>A625*'Exponential Item Growth'!$B$4</f>
        <v>1042.08</v>
      </c>
      <c r="E625" s="14">
        <f>IF(ISNA(VLOOKUP(A625,'Exponential Item Growth'!$A$10:$B$18,2,FALSE)),E624, E624*VLOOKUP(A625,'Exponential Item Growth'!$A$10:$B$18,2,FALSE))</f>
        <v>256</v>
      </c>
      <c r="F625" s="14">
        <f>C625*'Exponential Item Growth'!$B$21</f>
        <v>1333862.3999999999</v>
      </c>
      <c r="G625" s="14">
        <f>'Exponential Item Growth'!$B$22*C625</f>
        <v>20007936</v>
      </c>
      <c r="H625" s="14">
        <f>'Exponential Item Growth'!$B$23*C625</f>
        <v>266772479.99999997</v>
      </c>
    </row>
    <row r="626" spans="1:8" ht="15.75" customHeight="1">
      <c r="A626" s="3">
        <v>625</v>
      </c>
      <c r="B626" s="13">
        <f>'Exponential Item Growth'!$B$5*'Exponential Item Growth'!$B$6^A626</f>
        <v>6548861269668874</v>
      </c>
      <c r="C626" s="14">
        <f t="shared" si="0"/>
        <v>267200</v>
      </c>
      <c r="D626" s="15">
        <f>A626*'Exponential Item Growth'!$B$4</f>
        <v>1043.75</v>
      </c>
      <c r="E626" s="14">
        <f>IF(ISNA(VLOOKUP(A626,'Exponential Item Growth'!$A$10:$B$18,2,FALSE)),E625, E625*VLOOKUP(A626,'Exponential Item Growth'!$A$10:$B$18,2,FALSE))</f>
        <v>256</v>
      </c>
      <c r="F626" s="14">
        <f>C626*'Exponential Item Growth'!$B$21</f>
        <v>1336000</v>
      </c>
      <c r="G626" s="14">
        <f>'Exponential Item Growth'!$B$22*C626</f>
        <v>20040000</v>
      </c>
      <c r="H626" s="14">
        <f>'Exponential Item Growth'!$B$23*C626</f>
        <v>267200000</v>
      </c>
    </row>
    <row r="627" spans="1:8" ht="15.75" customHeight="1">
      <c r="A627" s="3">
        <v>626</v>
      </c>
      <c r="B627" s="13">
        <f>'Exponential Item Growth'!$B$5*'Exponential Item Growth'!$B$6^A627</f>
        <v>6941792945849006</v>
      </c>
      <c r="C627" s="14">
        <f t="shared" si="0"/>
        <v>267627.51999999996</v>
      </c>
      <c r="D627" s="15">
        <f>A627*'Exponential Item Growth'!$B$4</f>
        <v>1045.4199999999998</v>
      </c>
      <c r="E627" s="14">
        <f>IF(ISNA(VLOOKUP(A627,'Exponential Item Growth'!$A$10:$B$18,2,FALSE)),E626, E626*VLOOKUP(A627,'Exponential Item Growth'!$A$10:$B$18,2,FALSE))</f>
        <v>256</v>
      </c>
      <c r="F627" s="14">
        <f>C627*'Exponential Item Growth'!$B$21</f>
        <v>1338137.5999999999</v>
      </c>
      <c r="G627" s="14">
        <f>'Exponential Item Growth'!$B$22*C627</f>
        <v>20072063.999999996</v>
      </c>
      <c r="H627" s="14">
        <f>'Exponential Item Growth'!$B$23*C627</f>
        <v>267627519.99999997</v>
      </c>
    </row>
    <row r="628" spans="1:8" ht="15.75" customHeight="1">
      <c r="A628" s="3">
        <v>627</v>
      </c>
      <c r="B628" s="13">
        <f>'Exponential Item Growth'!$B$5*'Exponential Item Growth'!$B$6^A628</f>
        <v>7358300522599947</v>
      </c>
      <c r="C628" s="14">
        <f t="shared" si="0"/>
        <v>268055.03999999998</v>
      </c>
      <c r="D628" s="15">
        <f>A628*'Exponential Item Growth'!$B$4</f>
        <v>1047.0899999999999</v>
      </c>
      <c r="E628" s="14">
        <f>IF(ISNA(VLOOKUP(A628,'Exponential Item Growth'!$A$10:$B$18,2,FALSE)),E627, E627*VLOOKUP(A628,'Exponential Item Growth'!$A$10:$B$18,2,FALSE))</f>
        <v>256</v>
      </c>
      <c r="F628" s="14">
        <f>C628*'Exponential Item Growth'!$B$21</f>
        <v>1340275.2</v>
      </c>
      <c r="G628" s="14">
        <f>'Exponential Item Growth'!$B$22*C628</f>
        <v>20104128</v>
      </c>
      <c r="H628" s="14">
        <f>'Exponential Item Growth'!$B$23*C628</f>
        <v>268055039.99999997</v>
      </c>
    </row>
    <row r="629" spans="1:8" ht="15.75" customHeight="1">
      <c r="A629" s="3">
        <v>628</v>
      </c>
      <c r="B629" s="13">
        <f>'Exponential Item Growth'!$B$5*'Exponential Item Growth'!$B$6^A629</f>
        <v>7799798553955944</v>
      </c>
      <c r="C629" s="14">
        <f t="shared" si="0"/>
        <v>268482.56</v>
      </c>
      <c r="D629" s="15">
        <f>A629*'Exponential Item Growth'!$B$4</f>
        <v>1048.76</v>
      </c>
      <c r="E629" s="14">
        <f>IF(ISNA(VLOOKUP(A629,'Exponential Item Growth'!$A$10:$B$18,2,FALSE)),E628, E628*VLOOKUP(A629,'Exponential Item Growth'!$A$10:$B$18,2,FALSE))</f>
        <v>256</v>
      </c>
      <c r="F629" s="14">
        <f>C629*'Exponential Item Growth'!$B$21</f>
        <v>1342412.8</v>
      </c>
      <c r="G629" s="14">
        <f>'Exponential Item Growth'!$B$22*C629</f>
        <v>20136192</v>
      </c>
      <c r="H629" s="14">
        <f>'Exponential Item Growth'!$B$23*C629</f>
        <v>268482560</v>
      </c>
    </row>
    <row r="630" spans="1:8" ht="15.75" customHeight="1">
      <c r="A630" s="3">
        <v>629</v>
      </c>
      <c r="B630" s="13">
        <f>'Exponential Item Growth'!$B$5*'Exponential Item Growth'!$B$6^A630</f>
        <v>8267786467193303</v>
      </c>
      <c r="C630" s="14">
        <f t="shared" si="0"/>
        <v>268910.08000000002</v>
      </c>
      <c r="D630" s="15">
        <f>A630*'Exponential Item Growth'!$B$4</f>
        <v>1050.43</v>
      </c>
      <c r="E630" s="14">
        <f>IF(ISNA(VLOOKUP(A630,'Exponential Item Growth'!$A$10:$B$18,2,FALSE)),E629, E629*VLOOKUP(A630,'Exponential Item Growth'!$A$10:$B$18,2,FALSE))</f>
        <v>256</v>
      </c>
      <c r="F630" s="14">
        <f>C630*'Exponential Item Growth'!$B$21</f>
        <v>1344550.4000000001</v>
      </c>
      <c r="G630" s="14">
        <f>'Exponential Item Growth'!$B$22*C630</f>
        <v>20168256</v>
      </c>
      <c r="H630" s="14">
        <f>'Exponential Item Growth'!$B$23*C630</f>
        <v>268910080</v>
      </c>
    </row>
    <row r="631" spans="1:8" ht="15.75" customHeight="1">
      <c r="A631" s="3">
        <v>630</v>
      </c>
      <c r="B631" s="13">
        <f>'Exponential Item Growth'!$B$5*'Exponential Item Growth'!$B$6^A631</f>
        <v>8763853655224901</v>
      </c>
      <c r="C631" s="14">
        <f t="shared" si="0"/>
        <v>269337.59999999998</v>
      </c>
      <c r="D631" s="15">
        <f>A631*'Exponential Item Growth'!$B$4</f>
        <v>1052.0999999999999</v>
      </c>
      <c r="E631" s="14">
        <f>IF(ISNA(VLOOKUP(A631,'Exponential Item Growth'!$A$10:$B$18,2,FALSE)),E630, E630*VLOOKUP(A631,'Exponential Item Growth'!$A$10:$B$18,2,FALSE))</f>
        <v>256</v>
      </c>
      <c r="F631" s="14">
        <f>C631*'Exponential Item Growth'!$B$21</f>
        <v>1346688</v>
      </c>
      <c r="G631" s="14">
        <f>'Exponential Item Growth'!$B$22*C631</f>
        <v>20200320</v>
      </c>
      <c r="H631" s="14">
        <f>'Exponential Item Growth'!$B$23*C631</f>
        <v>269337600</v>
      </c>
    </row>
    <row r="632" spans="1:8" ht="15.75" customHeight="1">
      <c r="A632" s="3">
        <v>631</v>
      </c>
      <c r="B632" s="13">
        <f>'Exponential Item Growth'!$B$5*'Exponential Item Growth'!$B$6^A632</f>
        <v>9289684874538396</v>
      </c>
      <c r="C632" s="14">
        <f t="shared" si="0"/>
        <v>269765.12</v>
      </c>
      <c r="D632" s="15">
        <f>A632*'Exponential Item Growth'!$B$4</f>
        <v>1053.77</v>
      </c>
      <c r="E632" s="14">
        <f>IF(ISNA(VLOOKUP(A632,'Exponential Item Growth'!$A$10:$B$18,2,FALSE)),E631, E631*VLOOKUP(A632,'Exponential Item Growth'!$A$10:$B$18,2,FALSE))</f>
        <v>256</v>
      </c>
      <c r="F632" s="14">
        <f>C632*'Exponential Item Growth'!$B$21</f>
        <v>1348825.6</v>
      </c>
      <c r="G632" s="14">
        <f>'Exponential Item Growth'!$B$22*C632</f>
        <v>20232384</v>
      </c>
      <c r="H632" s="14">
        <f>'Exponential Item Growth'!$B$23*C632</f>
        <v>269765120</v>
      </c>
    </row>
    <row r="633" spans="1:8" ht="15.75" customHeight="1">
      <c r="A633" s="3">
        <v>632</v>
      </c>
      <c r="B633" s="13">
        <f>'Exponential Item Growth'!$B$5*'Exponential Item Growth'!$B$6^A633</f>
        <v>9847065967010698</v>
      </c>
      <c r="C633" s="14">
        <f t="shared" si="0"/>
        <v>270192.64000000001</v>
      </c>
      <c r="D633" s="15">
        <f>A633*'Exponential Item Growth'!$B$4</f>
        <v>1055.44</v>
      </c>
      <c r="E633" s="14">
        <f>IF(ISNA(VLOOKUP(A633,'Exponential Item Growth'!$A$10:$B$18,2,FALSE)),E632, E632*VLOOKUP(A633,'Exponential Item Growth'!$A$10:$B$18,2,FALSE))</f>
        <v>256</v>
      </c>
      <c r="F633" s="14">
        <f>C633*'Exponential Item Growth'!$B$21</f>
        <v>1350963.2000000002</v>
      </c>
      <c r="G633" s="14">
        <f>'Exponential Item Growth'!$B$22*C633</f>
        <v>20264448</v>
      </c>
      <c r="H633" s="14">
        <f>'Exponential Item Growth'!$B$23*C633</f>
        <v>270192640</v>
      </c>
    </row>
    <row r="634" spans="1:8" ht="15.75" customHeight="1">
      <c r="A634" s="3">
        <v>633</v>
      </c>
      <c r="B634" s="13">
        <f>'Exponential Item Growth'!$B$5*'Exponential Item Growth'!$B$6^A634</f>
        <v>1.043788992503134E+16</v>
      </c>
      <c r="C634" s="14">
        <f t="shared" si="0"/>
        <v>270620.15999999997</v>
      </c>
      <c r="D634" s="15">
        <f>A634*'Exponential Item Growth'!$B$4</f>
        <v>1057.1099999999999</v>
      </c>
      <c r="E634" s="14">
        <f>IF(ISNA(VLOOKUP(A634,'Exponential Item Growth'!$A$10:$B$18,2,FALSE)),E633, E633*VLOOKUP(A634,'Exponential Item Growth'!$A$10:$B$18,2,FALSE))</f>
        <v>256</v>
      </c>
      <c r="F634" s="14">
        <f>C634*'Exponential Item Growth'!$B$21</f>
        <v>1353100.7999999998</v>
      </c>
      <c r="G634" s="14">
        <f>'Exponential Item Growth'!$B$22*C634</f>
        <v>20296511.999999996</v>
      </c>
      <c r="H634" s="14">
        <f>'Exponential Item Growth'!$B$23*C634</f>
        <v>270620160</v>
      </c>
    </row>
    <row r="635" spans="1:8" ht="15.75" customHeight="1">
      <c r="A635" s="3">
        <v>634</v>
      </c>
      <c r="B635" s="13">
        <f>'Exponential Item Growth'!$B$5*'Exponential Item Growth'!$B$6^A635</f>
        <v>1.1064163320533222E+16</v>
      </c>
      <c r="C635" s="14">
        <f t="shared" si="0"/>
        <v>271047.67999999999</v>
      </c>
      <c r="D635" s="15">
        <f>A635*'Exponential Item Growth'!$B$4</f>
        <v>1058.78</v>
      </c>
      <c r="E635" s="14">
        <f>IF(ISNA(VLOOKUP(A635,'Exponential Item Growth'!$A$10:$B$18,2,FALSE)),E634, E634*VLOOKUP(A635,'Exponential Item Growth'!$A$10:$B$18,2,FALSE))</f>
        <v>256</v>
      </c>
      <c r="F635" s="14">
        <f>C635*'Exponential Item Growth'!$B$21</f>
        <v>1355238.3999999999</v>
      </c>
      <c r="G635" s="14">
        <f>'Exponential Item Growth'!$B$22*C635</f>
        <v>20328576</v>
      </c>
      <c r="H635" s="14">
        <f>'Exponential Item Growth'!$B$23*C635</f>
        <v>271047680</v>
      </c>
    </row>
    <row r="636" spans="1:8" ht="15.75" customHeight="1">
      <c r="A636" s="3">
        <v>635</v>
      </c>
      <c r="B636" s="13">
        <f>'Exponential Item Growth'!$B$5*'Exponential Item Growth'!$B$6^A636</f>
        <v>1.1728013119765216E+16</v>
      </c>
      <c r="C636" s="14">
        <f t="shared" si="0"/>
        <v>271475.20000000001</v>
      </c>
      <c r="D636" s="15">
        <f>A636*'Exponential Item Growth'!$B$4</f>
        <v>1060.45</v>
      </c>
      <c r="E636" s="14">
        <f>IF(ISNA(VLOOKUP(A636,'Exponential Item Growth'!$A$10:$B$18,2,FALSE)),E635, E635*VLOOKUP(A636,'Exponential Item Growth'!$A$10:$B$18,2,FALSE))</f>
        <v>256</v>
      </c>
      <c r="F636" s="14">
        <f>C636*'Exponential Item Growth'!$B$21</f>
        <v>1357376</v>
      </c>
      <c r="G636" s="14">
        <f>'Exponential Item Growth'!$B$22*C636</f>
        <v>20360640</v>
      </c>
      <c r="H636" s="14">
        <f>'Exponential Item Growth'!$B$23*C636</f>
        <v>271475200</v>
      </c>
    </row>
    <row r="637" spans="1:8" ht="15.75" customHeight="1">
      <c r="A637" s="3">
        <v>636</v>
      </c>
      <c r="B637" s="13">
        <f>'Exponential Item Growth'!$B$5*'Exponential Item Growth'!$B$6^A637</f>
        <v>1.2431693906951128E+16</v>
      </c>
      <c r="C637" s="14">
        <f t="shared" si="0"/>
        <v>271902.71999999997</v>
      </c>
      <c r="D637" s="15">
        <f>A637*'Exponential Item Growth'!$B$4</f>
        <v>1062.1199999999999</v>
      </c>
      <c r="E637" s="14">
        <f>IF(ISNA(VLOOKUP(A637,'Exponential Item Growth'!$A$10:$B$18,2,FALSE)),E636, E636*VLOOKUP(A637,'Exponential Item Growth'!$A$10:$B$18,2,FALSE))</f>
        <v>256</v>
      </c>
      <c r="F637" s="14">
        <f>C637*'Exponential Item Growth'!$B$21</f>
        <v>1359513.5999999999</v>
      </c>
      <c r="G637" s="14">
        <f>'Exponential Item Growth'!$B$22*C637</f>
        <v>20392703.999999996</v>
      </c>
      <c r="H637" s="14">
        <f>'Exponential Item Growth'!$B$23*C637</f>
        <v>271902720</v>
      </c>
    </row>
    <row r="638" spans="1:8" ht="15.75" customHeight="1">
      <c r="A638" s="3">
        <v>637</v>
      </c>
      <c r="B638" s="13">
        <f>'Exponential Item Growth'!$B$5*'Exponential Item Growth'!$B$6^A638</f>
        <v>1.31775955413682E+16</v>
      </c>
      <c r="C638" s="14">
        <f t="shared" si="0"/>
        <v>272330.23999999999</v>
      </c>
      <c r="D638" s="15">
        <f>A638*'Exponential Item Growth'!$B$4</f>
        <v>1063.79</v>
      </c>
      <c r="E638" s="14">
        <f>IF(ISNA(VLOOKUP(A638,'Exponential Item Growth'!$A$10:$B$18,2,FALSE)),E637, E637*VLOOKUP(A638,'Exponential Item Growth'!$A$10:$B$18,2,FALSE))</f>
        <v>256</v>
      </c>
      <c r="F638" s="14">
        <f>C638*'Exponential Item Growth'!$B$21</f>
        <v>1361651.2</v>
      </c>
      <c r="G638" s="14">
        <f>'Exponential Item Growth'!$B$22*C638</f>
        <v>20424768</v>
      </c>
      <c r="H638" s="14">
        <f>'Exponential Item Growth'!$B$23*C638</f>
        <v>272330240</v>
      </c>
    </row>
    <row r="639" spans="1:8" ht="15.75" customHeight="1">
      <c r="A639" s="3">
        <v>638</v>
      </c>
      <c r="B639" s="13">
        <f>'Exponential Item Growth'!$B$5*'Exponential Item Growth'!$B$6^A639</f>
        <v>1.3968251273850292E+16</v>
      </c>
      <c r="C639" s="14">
        <f t="shared" si="0"/>
        <v>272757.76000000001</v>
      </c>
      <c r="D639" s="15">
        <f>A639*'Exponential Item Growth'!$B$4</f>
        <v>1065.46</v>
      </c>
      <c r="E639" s="14">
        <f>IF(ISNA(VLOOKUP(A639,'Exponential Item Growth'!$A$10:$B$18,2,FALSE)),E638, E638*VLOOKUP(A639,'Exponential Item Growth'!$A$10:$B$18,2,FALSE))</f>
        <v>256</v>
      </c>
      <c r="F639" s="14">
        <f>C639*'Exponential Item Growth'!$B$21</f>
        <v>1363788.8</v>
      </c>
      <c r="G639" s="14">
        <f>'Exponential Item Growth'!$B$22*C639</f>
        <v>20456832</v>
      </c>
      <c r="H639" s="14">
        <f>'Exponential Item Growth'!$B$23*C639</f>
        <v>272757760</v>
      </c>
    </row>
    <row r="640" spans="1:8" ht="15.75" customHeight="1">
      <c r="A640" s="3">
        <v>639</v>
      </c>
      <c r="B640" s="13">
        <f>'Exponential Item Growth'!$B$5*'Exponential Item Growth'!$B$6^A640</f>
        <v>1.4806346350281312E+16</v>
      </c>
      <c r="C640" s="14">
        <f t="shared" si="0"/>
        <v>273185.27999999997</v>
      </c>
      <c r="D640" s="15">
        <f>A640*'Exponential Item Growth'!$B$4</f>
        <v>1067.1299999999999</v>
      </c>
      <c r="E640" s="14">
        <f>IF(ISNA(VLOOKUP(A640,'Exponential Item Growth'!$A$10:$B$18,2,FALSE)),E639, E639*VLOOKUP(A640,'Exponential Item Growth'!$A$10:$B$18,2,FALSE))</f>
        <v>256</v>
      </c>
      <c r="F640" s="14">
        <f>C640*'Exponential Item Growth'!$B$21</f>
        <v>1365926.4</v>
      </c>
      <c r="G640" s="14">
        <f>'Exponential Item Growth'!$B$22*C640</f>
        <v>20488895.999999996</v>
      </c>
      <c r="H640" s="14">
        <f>'Exponential Item Growth'!$B$23*C640</f>
        <v>273185279.99999994</v>
      </c>
    </row>
    <row r="641" spans="1:8" ht="15.75" customHeight="1">
      <c r="A641" s="3">
        <v>640</v>
      </c>
      <c r="B641" s="13">
        <f>'Exponential Item Growth'!$B$5*'Exponential Item Growth'!$B$6^A641</f>
        <v>1.5694727131298186E+16</v>
      </c>
      <c r="C641" s="14">
        <f t="shared" si="0"/>
        <v>273612.79999999999</v>
      </c>
      <c r="D641" s="15">
        <f>A641*'Exponential Item Growth'!$B$4</f>
        <v>1068.8</v>
      </c>
      <c r="E641" s="14">
        <f>IF(ISNA(VLOOKUP(A641,'Exponential Item Growth'!$A$10:$B$18,2,FALSE)),E640, E640*VLOOKUP(A641,'Exponential Item Growth'!$A$10:$B$18,2,FALSE))</f>
        <v>256</v>
      </c>
      <c r="F641" s="14">
        <f>C641*'Exponential Item Growth'!$B$21</f>
        <v>1368064</v>
      </c>
      <c r="G641" s="14">
        <f>'Exponential Item Growth'!$B$22*C641</f>
        <v>20520960</v>
      </c>
      <c r="H641" s="14">
        <f>'Exponential Item Growth'!$B$23*C641</f>
        <v>273612800</v>
      </c>
    </row>
    <row r="642" spans="1:8" ht="15.75" customHeight="1">
      <c r="A642" s="3">
        <v>641</v>
      </c>
      <c r="B642" s="13">
        <f>'Exponential Item Growth'!$B$5*'Exponential Item Growth'!$B$6^A642</f>
        <v>1.663641075917608E+16</v>
      </c>
      <c r="C642" s="14">
        <f t="shared" si="0"/>
        <v>274040.32000000001</v>
      </c>
      <c r="D642" s="15">
        <f>A642*'Exponential Item Growth'!$B$4</f>
        <v>1070.47</v>
      </c>
      <c r="E642" s="14">
        <f>IF(ISNA(VLOOKUP(A642,'Exponential Item Growth'!$A$10:$B$18,2,FALSE)),E641, E641*VLOOKUP(A642,'Exponential Item Growth'!$A$10:$B$18,2,FALSE))</f>
        <v>256</v>
      </c>
      <c r="F642" s="14">
        <f>C642*'Exponential Item Growth'!$B$21</f>
        <v>1370201.6</v>
      </c>
      <c r="G642" s="14">
        <f>'Exponential Item Growth'!$B$22*C642</f>
        <v>20553024</v>
      </c>
      <c r="H642" s="14">
        <f>'Exponential Item Growth'!$B$23*C642</f>
        <v>274040320</v>
      </c>
    </row>
    <row r="643" spans="1:8" ht="15.75" customHeight="1">
      <c r="A643" s="3">
        <v>642</v>
      </c>
      <c r="B643" s="13">
        <f>'Exponential Item Growth'!$B$5*'Exponential Item Growth'!$B$6^A643</f>
        <v>1.7634595404726646E+16</v>
      </c>
      <c r="C643" s="14">
        <f t="shared" si="0"/>
        <v>274467.83999999997</v>
      </c>
      <c r="D643" s="15">
        <f>A643*'Exponential Item Growth'!$B$4</f>
        <v>1072.1399999999999</v>
      </c>
      <c r="E643" s="14">
        <f>IF(ISNA(VLOOKUP(A643,'Exponential Item Growth'!$A$10:$B$18,2,FALSE)),E642, E642*VLOOKUP(A643,'Exponential Item Growth'!$A$10:$B$18,2,FALSE))</f>
        <v>256</v>
      </c>
      <c r="F643" s="14">
        <f>C643*'Exponential Item Growth'!$B$21</f>
        <v>1372339.1999999997</v>
      </c>
      <c r="G643" s="14">
        <f>'Exponential Item Growth'!$B$22*C643</f>
        <v>20585087.999999996</v>
      </c>
      <c r="H643" s="14">
        <f>'Exponential Item Growth'!$B$23*C643</f>
        <v>274467839.99999994</v>
      </c>
    </row>
    <row r="644" spans="1:8" ht="15.75" customHeight="1">
      <c r="A644" s="3">
        <v>643</v>
      </c>
      <c r="B644" s="13">
        <f>'Exponential Item Growth'!$B$5*'Exponential Item Growth'!$B$6^A644</f>
        <v>1.8692671129010248E+16</v>
      </c>
      <c r="C644" s="14">
        <f t="shared" si="0"/>
        <v>274895.35999999999</v>
      </c>
      <c r="D644" s="15">
        <f>A644*'Exponential Item Growth'!$B$4</f>
        <v>1073.81</v>
      </c>
      <c r="E644" s="14">
        <f>IF(ISNA(VLOOKUP(A644,'Exponential Item Growth'!$A$10:$B$18,2,FALSE)),E643, E643*VLOOKUP(A644,'Exponential Item Growth'!$A$10:$B$18,2,FALSE))</f>
        <v>256</v>
      </c>
      <c r="F644" s="14">
        <f>C644*'Exponential Item Growth'!$B$21</f>
        <v>1374476.7999999998</v>
      </c>
      <c r="G644" s="14">
        <f>'Exponential Item Growth'!$B$22*C644</f>
        <v>20617152</v>
      </c>
      <c r="H644" s="14">
        <f>'Exponential Item Growth'!$B$23*C644</f>
        <v>274895360</v>
      </c>
    </row>
    <row r="645" spans="1:8" ht="15.75" customHeight="1">
      <c r="A645" s="3">
        <v>644</v>
      </c>
      <c r="B645" s="13">
        <f>'Exponential Item Growth'!$B$5*'Exponential Item Growth'!$B$6^A645</f>
        <v>1.981423139675086E+16</v>
      </c>
      <c r="C645" s="14">
        <f t="shared" si="0"/>
        <v>275322.88</v>
      </c>
      <c r="D645" s="15">
        <f>A645*'Exponential Item Growth'!$B$4</f>
        <v>1075.48</v>
      </c>
      <c r="E645" s="14">
        <f>IF(ISNA(VLOOKUP(A645,'Exponential Item Growth'!$A$10:$B$18,2,FALSE)),E644, E644*VLOOKUP(A645,'Exponential Item Growth'!$A$10:$B$18,2,FALSE))</f>
        <v>256</v>
      </c>
      <c r="F645" s="14">
        <f>C645*'Exponential Item Growth'!$B$21</f>
        <v>1376614.3999999999</v>
      </c>
      <c r="G645" s="14">
        <f>'Exponential Item Growth'!$B$22*C645</f>
        <v>20649216</v>
      </c>
      <c r="H645" s="14">
        <f>'Exponential Item Growth'!$B$23*C645</f>
        <v>275322880</v>
      </c>
    </row>
    <row r="646" spans="1:8" ht="15.75" customHeight="1">
      <c r="A646" s="3">
        <v>645</v>
      </c>
      <c r="B646" s="13">
        <f>'Exponential Item Growth'!$B$5*'Exponential Item Growth'!$B$6^A646</f>
        <v>2.1003085280555912E+16</v>
      </c>
      <c r="C646" s="14">
        <f t="shared" si="0"/>
        <v>275750.39999999997</v>
      </c>
      <c r="D646" s="15">
        <f>A646*'Exponential Item Growth'!$B$4</f>
        <v>1077.1499999999999</v>
      </c>
      <c r="E646" s="14">
        <f>IF(ISNA(VLOOKUP(A646,'Exponential Item Growth'!$A$10:$B$18,2,FALSE)),E645, E645*VLOOKUP(A646,'Exponential Item Growth'!$A$10:$B$18,2,FALSE))</f>
        <v>256</v>
      </c>
      <c r="F646" s="14">
        <f>C646*'Exponential Item Growth'!$B$21</f>
        <v>1378751.9999999998</v>
      </c>
      <c r="G646" s="14">
        <f>'Exponential Item Growth'!$B$22*C646</f>
        <v>20681279.999999996</v>
      </c>
      <c r="H646" s="14">
        <f>'Exponential Item Growth'!$B$23*C646</f>
        <v>275750399.99999994</v>
      </c>
    </row>
    <row r="647" spans="1:8" ht="15.75" customHeight="1">
      <c r="A647" s="3">
        <v>646</v>
      </c>
      <c r="B647" s="13">
        <f>'Exponential Item Growth'!$B$5*'Exponential Item Growth'!$B$6^A647</f>
        <v>2.2263270397389272E+16</v>
      </c>
      <c r="C647" s="14">
        <f t="shared" si="0"/>
        <v>276177.91999999998</v>
      </c>
      <c r="D647" s="15">
        <f>A647*'Exponential Item Growth'!$B$4</f>
        <v>1078.82</v>
      </c>
      <c r="E647" s="14">
        <f>IF(ISNA(VLOOKUP(A647,'Exponential Item Growth'!$A$10:$B$18,2,FALSE)),E646, E646*VLOOKUP(A647,'Exponential Item Growth'!$A$10:$B$18,2,FALSE))</f>
        <v>256</v>
      </c>
      <c r="F647" s="14">
        <f>C647*'Exponential Item Growth'!$B$21</f>
        <v>1380889.5999999999</v>
      </c>
      <c r="G647" s="14">
        <f>'Exponential Item Growth'!$B$22*C647</f>
        <v>20713344</v>
      </c>
      <c r="H647" s="14">
        <f>'Exponential Item Growth'!$B$23*C647</f>
        <v>276177920</v>
      </c>
    </row>
    <row r="648" spans="1:8" ht="15.75" customHeight="1">
      <c r="A648" s="3">
        <v>647</v>
      </c>
      <c r="B648" s="13">
        <f>'Exponential Item Growth'!$B$5*'Exponential Item Growth'!$B$6^A648</f>
        <v>2.3599066621232628E+16</v>
      </c>
      <c r="C648" s="14">
        <f t="shared" si="0"/>
        <v>276605.44</v>
      </c>
      <c r="D648" s="15">
        <f>A648*'Exponential Item Growth'!$B$4</f>
        <v>1080.49</v>
      </c>
      <c r="E648" s="14">
        <f>IF(ISNA(VLOOKUP(A648,'Exponential Item Growth'!$A$10:$B$18,2,FALSE)),E647, E647*VLOOKUP(A648,'Exponential Item Growth'!$A$10:$B$18,2,FALSE))</f>
        <v>256</v>
      </c>
      <c r="F648" s="14">
        <f>C648*'Exponential Item Growth'!$B$21</f>
        <v>1383027.2</v>
      </c>
      <c r="G648" s="14">
        <f>'Exponential Item Growth'!$B$22*C648</f>
        <v>20745408</v>
      </c>
      <c r="H648" s="14">
        <f>'Exponential Item Growth'!$B$23*C648</f>
        <v>276605440</v>
      </c>
    </row>
    <row r="649" spans="1:8" ht="15.75" customHeight="1">
      <c r="A649" s="3">
        <v>648</v>
      </c>
      <c r="B649" s="13">
        <f>'Exponential Item Growth'!$B$5*'Exponential Item Growth'!$B$6^A649</f>
        <v>2.5015010618506584E+16</v>
      </c>
      <c r="C649" s="14">
        <f t="shared" si="0"/>
        <v>277032.95999999996</v>
      </c>
      <c r="D649" s="15">
        <f>A649*'Exponential Item Growth'!$B$4</f>
        <v>1082.1599999999999</v>
      </c>
      <c r="E649" s="14">
        <f>IF(ISNA(VLOOKUP(A649,'Exponential Item Growth'!$A$10:$B$18,2,FALSE)),E648, E648*VLOOKUP(A649,'Exponential Item Growth'!$A$10:$B$18,2,FALSE))</f>
        <v>256</v>
      </c>
      <c r="F649" s="14">
        <f>C649*'Exponential Item Growth'!$B$21</f>
        <v>1385164.7999999998</v>
      </c>
      <c r="G649" s="14">
        <f>'Exponential Item Growth'!$B$22*C649</f>
        <v>20777471.999999996</v>
      </c>
      <c r="H649" s="14">
        <f>'Exponential Item Growth'!$B$23*C649</f>
        <v>277032959.99999994</v>
      </c>
    </row>
    <row r="650" spans="1:8" ht="15.75" customHeight="1">
      <c r="A650" s="3">
        <v>649</v>
      </c>
      <c r="B650" s="13">
        <f>'Exponential Item Growth'!$B$5*'Exponential Item Growth'!$B$6^A650</f>
        <v>2.651591125561698E+16</v>
      </c>
      <c r="C650" s="14">
        <f t="shared" si="0"/>
        <v>277460.47999999998</v>
      </c>
      <c r="D650" s="15">
        <f>A650*'Exponential Item Growth'!$B$4</f>
        <v>1083.83</v>
      </c>
      <c r="E650" s="14">
        <f>IF(ISNA(VLOOKUP(A650,'Exponential Item Growth'!$A$10:$B$18,2,FALSE)),E649, E649*VLOOKUP(A650,'Exponential Item Growth'!$A$10:$B$18,2,FALSE))</f>
        <v>256</v>
      </c>
      <c r="F650" s="14">
        <f>C650*'Exponential Item Growth'!$B$21</f>
        <v>1387302.4</v>
      </c>
      <c r="G650" s="14">
        <f>'Exponential Item Growth'!$B$22*C650</f>
        <v>20809536</v>
      </c>
      <c r="H650" s="14">
        <f>'Exponential Item Growth'!$B$23*C650</f>
        <v>277460480</v>
      </c>
    </row>
    <row r="651" spans="1:8" ht="15.75" customHeight="1">
      <c r="A651" s="3">
        <v>650</v>
      </c>
      <c r="B651" s="13">
        <f>'Exponential Item Growth'!$B$5*'Exponential Item Growth'!$B$6^A651</f>
        <v>2.8106865930954E+16</v>
      </c>
      <c r="C651" s="14">
        <f t="shared" si="0"/>
        <v>277888</v>
      </c>
      <c r="D651" s="15">
        <f>A651*'Exponential Item Growth'!$B$4</f>
        <v>1085.5</v>
      </c>
      <c r="E651" s="14">
        <f>IF(ISNA(VLOOKUP(A651,'Exponential Item Growth'!$A$10:$B$18,2,FALSE)),E650, E650*VLOOKUP(A651,'Exponential Item Growth'!$A$10:$B$18,2,FALSE))</f>
        <v>256</v>
      </c>
      <c r="F651" s="14">
        <f>C651*'Exponential Item Growth'!$B$21</f>
        <v>1389440</v>
      </c>
      <c r="G651" s="14">
        <f>'Exponential Item Growth'!$B$22*C651</f>
        <v>20841600</v>
      </c>
      <c r="H651" s="14">
        <f>'Exponential Item Growth'!$B$23*C651</f>
        <v>277888000</v>
      </c>
    </row>
    <row r="652" spans="1:8" ht="15.75" customHeight="1">
      <c r="A652" s="3">
        <v>651</v>
      </c>
      <c r="B652" s="13">
        <f>'Exponential Item Growth'!$B$5*'Exponential Item Growth'!$B$6^A652</f>
        <v>2.9793277886811244E+16</v>
      </c>
      <c r="C652" s="14">
        <f t="shared" si="0"/>
        <v>278315.51999999996</v>
      </c>
      <c r="D652" s="15">
        <f>A652*'Exponential Item Growth'!$B$4</f>
        <v>1087.1699999999998</v>
      </c>
      <c r="E652" s="14">
        <f>IF(ISNA(VLOOKUP(A652,'Exponential Item Growth'!$A$10:$B$18,2,FALSE)),E651, E651*VLOOKUP(A652,'Exponential Item Growth'!$A$10:$B$18,2,FALSE))</f>
        <v>256</v>
      </c>
      <c r="F652" s="14">
        <f>C652*'Exponential Item Growth'!$B$21</f>
        <v>1391577.5999999999</v>
      </c>
      <c r="G652" s="14">
        <f>'Exponential Item Growth'!$B$22*C652</f>
        <v>20873663.999999996</v>
      </c>
      <c r="H652" s="14">
        <f>'Exponential Item Growth'!$B$23*C652</f>
        <v>278315519.99999994</v>
      </c>
    </row>
    <row r="653" spans="1:8" ht="15.75" customHeight="1">
      <c r="A653" s="3">
        <v>652</v>
      </c>
      <c r="B653" s="13">
        <f>'Exponential Item Growth'!$B$5*'Exponential Item Growth'!$B$6^A653</f>
        <v>3.158087456001992E+16</v>
      </c>
      <c r="C653" s="14">
        <f t="shared" si="0"/>
        <v>278743.03999999998</v>
      </c>
      <c r="D653" s="15">
        <f>A653*'Exponential Item Growth'!$B$4</f>
        <v>1088.8399999999999</v>
      </c>
      <c r="E653" s="14">
        <f>IF(ISNA(VLOOKUP(A653,'Exponential Item Growth'!$A$10:$B$18,2,FALSE)),E652, E652*VLOOKUP(A653,'Exponential Item Growth'!$A$10:$B$18,2,FALSE))</f>
        <v>256</v>
      </c>
      <c r="F653" s="14">
        <f>C653*'Exponential Item Growth'!$B$21</f>
        <v>1393715.2</v>
      </c>
      <c r="G653" s="14">
        <f>'Exponential Item Growth'!$B$22*C653</f>
        <v>20905728</v>
      </c>
      <c r="H653" s="14">
        <f>'Exponential Item Growth'!$B$23*C653</f>
        <v>278743040</v>
      </c>
    </row>
    <row r="654" spans="1:8" ht="15.75" customHeight="1">
      <c r="A654" s="3">
        <v>653</v>
      </c>
      <c r="B654" s="13">
        <f>'Exponential Item Growth'!$B$5*'Exponential Item Growth'!$B$6^A654</f>
        <v>3.347572703362112E+16</v>
      </c>
      <c r="C654" s="14">
        <f t="shared" si="0"/>
        <v>279170.56</v>
      </c>
      <c r="D654" s="15">
        <f>A654*'Exponential Item Growth'!$B$4</f>
        <v>1090.51</v>
      </c>
      <c r="E654" s="14">
        <f>IF(ISNA(VLOOKUP(A654,'Exponential Item Growth'!$A$10:$B$18,2,FALSE)),E653, E653*VLOOKUP(A654,'Exponential Item Growth'!$A$10:$B$18,2,FALSE))</f>
        <v>256</v>
      </c>
      <c r="F654" s="14">
        <f>C654*'Exponential Item Growth'!$B$21</f>
        <v>1395852.8</v>
      </c>
      <c r="G654" s="14">
        <f>'Exponential Item Growth'!$B$22*C654</f>
        <v>20937792</v>
      </c>
      <c r="H654" s="14">
        <f>'Exponential Item Growth'!$B$23*C654</f>
        <v>279170560</v>
      </c>
    </row>
    <row r="655" spans="1:8" ht="15.75" customHeight="1">
      <c r="A655" s="3">
        <v>654</v>
      </c>
      <c r="B655" s="13">
        <f>'Exponential Item Growth'!$B$5*'Exponential Item Growth'!$B$6^A655</f>
        <v>3.5484270655638388E+16</v>
      </c>
      <c r="C655" s="14">
        <f t="shared" si="0"/>
        <v>279598.08000000002</v>
      </c>
      <c r="D655" s="15">
        <f>A655*'Exponential Item Growth'!$B$4</f>
        <v>1092.18</v>
      </c>
      <c r="E655" s="14">
        <f>IF(ISNA(VLOOKUP(A655,'Exponential Item Growth'!$A$10:$B$18,2,FALSE)),E654, E654*VLOOKUP(A655,'Exponential Item Growth'!$A$10:$B$18,2,FALSE))</f>
        <v>256</v>
      </c>
      <c r="F655" s="14">
        <f>C655*'Exponential Item Growth'!$B$21</f>
        <v>1397990.4000000001</v>
      </c>
      <c r="G655" s="14">
        <f>'Exponential Item Growth'!$B$22*C655</f>
        <v>20969856</v>
      </c>
      <c r="H655" s="14">
        <f>'Exponential Item Growth'!$B$23*C655</f>
        <v>279598080</v>
      </c>
    </row>
    <row r="656" spans="1:8" ht="15.75" customHeight="1">
      <c r="A656" s="3">
        <v>655</v>
      </c>
      <c r="B656" s="13">
        <f>'Exponential Item Growth'!$B$5*'Exponential Item Growth'!$B$6^A656</f>
        <v>3.7613326894976704E+16</v>
      </c>
      <c r="C656" s="14">
        <f t="shared" si="0"/>
        <v>280025.59999999998</v>
      </c>
      <c r="D656" s="15">
        <f>A656*'Exponential Item Growth'!$B$4</f>
        <v>1093.8499999999999</v>
      </c>
      <c r="E656" s="14">
        <f>IF(ISNA(VLOOKUP(A656,'Exponential Item Growth'!$A$10:$B$18,2,FALSE)),E655, E655*VLOOKUP(A656,'Exponential Item Growth'!$A$10:$B$18,2,FALSE))</f>
        <v>256</v>
      </c>
      <c r="F656" s="14">
        <f>C656*'Exponential Item Growth'!$B$21</f>
        <v>1400128</v>
      </c>
      <c r="G656" s="14">
        <f>'Exponential Item Growth'!$B$22*C656</f>
        <v>21001920</v>
      </c>
      <c r="H656" s="14">
        <f>'Exponential Item Growth'!$B$23*C656</f>
        <v>280025600</v>
      </c>
    </row>
    <row r="657" spans="1:8" ht="15.75" customHeight="1">
      <c r="A657" s="3">
        <v>656</v>
      </c>
      <c r="B657" s="13">
        <f>'Exponential Item Growth'!$B$5*'Exponential Item Growth'!$B$6^A657</f>
        <v>3.9870126508675288E+16</v>
      </c>
      <c r="C657" s="14">
        <f t="shared" si="0"/>
        <v>280453.12</v>
      </c>
      <c r="D657" s="15">
        <f>A657*'Exponential Item Growth'!$B$4</f>
        <v>1095.52</v>
      </c>
      <c r="E657" s="14">
        <f>IF(ISNA(VLOOKUP(A657,'Exponential Item Growth'!$A$10:$B$18,2,FALSE)),E656, E656*VLOOKUP(A657,'Exponential Item Growth'!$A$10:$B$18,2,FALSE))</f>
        <v>256</v>
      </c>
      <c r="F657" s="14">
        <f>C657*'Exponential Item Growth'!$B$21</f>
        <v>1402265.6000000001</v>
      </c>
      <c r="G657" s="14">
        <f>'Exponential Item Growth'!$B$22*C657</f>
        <v>21033984</v>
      </c>
      <c r="H657" s="14">
        <f>'Exponential Item Growth'!$B$23*C657</f>
        <v>280453120</v>
      </c>
    </row>
    <row r="658" spans="1:8" ht="15.75" customHeight="1">
      <c r="A658" s="3">
        <v>657</v>
      </c>
      <c r="B658" s="13">
        <f>'Exponential Item Growth'!$B$5*'Exponential Item Growth'!$B$6^A658</f>
        <v>4.2262334099195816E+16</v>
      </c>
      <c r="C658" s="14">
        <f t="shared" si="0"/>
        <v>280880.64000000001</v>
      </c>
      <c r="D658" s="15">
        <f>A658*'Exponential Item Growth'!$B$4</f>
        <v>1097.19</v>
      </c>
      <c r="E658" s="14">
        <f>IF(ISNA(VLOOKUP(A658,'Exponential Item Growth'!$A$10:$B$18,2,FALSE)),E657, E657*VLOOKUP(A658,'Exponential Item Growth'!$A$10:$B$18,2,FALSE))</f>
        <v>256</v>
      </c>
      <c r="F658" s="14">
        <f>C658*'Exponential Item Growth'!$B$21</f>
        <v>1404403.2000000002</v>
      </c>
      <c r="G658" s="14">
        <f>'Exponential Item Growth'!$B$22*C658</f>
        <v>21066048</v>
      </c>
      <c r="H658" s="14">
        <f>'Exponential Item Growth'!$B$23*C658</f>
        <v>280880640</v>
      </c>
    </row>
    <row r="659" spans="1:8" ht="15.75" customHeight="1">
      <c r="A659" s="3">
        <v>658</v>
      </c>
      <c r="B659" s="13">
        <f>'Exponential Item Growth'!$B$5*'Exponential Item Growth'!$B$6^A659</f>
        <v>4.479807414514756E+16</v>
      </c>
      <c r="C659" s="14">
        <f t="shared" si="0"/>
        <v>281308.15999999997</v>
      </c>
      <c r="D659" s="15">
        <f>A659*'Exponential Item Growth'!$B$4</f>
        <v>1098.8599999999999</v>
      </c>
      <c r="E659" s="14">
        <f>IF(ISNA(VLOOKUP(A659,'Exponential Item Growth'!$A$10:$B$18,2,FALSE)),E658, E658*VLOOKUP(A659,'Exponential Item Growth'!$A$10:$B$18,2,FALSE))</f>
        <v>256</v>
      </c>
      <c r="F659" s="14">
        <f>C659*'Exponential Item Growth'!$B$21</f>
        <v>1406540.7999999998</v>
      </c>
      <c r="G659" s="14">
        <f>'Exponential Item Growth'!$B$22*C659</f>
        <v>21098111.999999996</v>
      </c>
      <c r="H659" s="14">
        <f>'Exponential Item Growth'!$B$23*C659</f>
        <v>281308160</v>
      </c>
    </row>
    <row r="660" spans="1:8" ht="15.75" customHeight="1">
      <c r="A660" s="3">
        <v>659</v>
      </c>
      <c r="B660" s="13">
        <f>'Exponential Item Growth'!$B$5*'Exponential Item Growth'!$B$6^A660</f>
        <v>4.7485958593856424E+16</v>
      </c>
      <c r="C660" s="14">
        <f t="shared" si="0"/>
        <v>281735.67999999999</v>
      </c>
      <c r="D660" s="15">
        <f>A660*'Exponential Item Growth'!$B$4</f>
        <v>1100.53</v>
      </c>
      <c r="E660" s="14">
        <f>IF(ISNA(VLOOKUP(A660,'Exponential Item Growth'!$A$10:$B$18,2,FALSE)),E659, E659*VLOOKUP(A660,'Exponential Item Growth'!$A$10:$B$18,2,FALSE))</f>
        <v>256</v>
      </c>
      <c r="F660" s="14">
        <f>C660*'Exponential Item Growth'!$B$21</f>
        <v>1408678.4</v>
      </c>
      <c r="G660" s="14">
        <f>'Exponential Item Growth'!$B$22*C660</f>
        <v>21130176</v>
      </c>
      <c r="H660" s="14">
        <f>'Exponential Item Growth'!$B$23*C660</f>
        <v>281735680</v>
      </c>
    </row>
    <row r="661" spans="1:8" ht="15.75" customHeight="1">
      <c r="A661" s="3">
        <v>660</v>
      </c>
      <c r="B661" s="13">
        <f>'Exponential Item Growth'!$B$5*'Exponential Item Growth'!$B$6^A661</f>
        <v>5.0335116109487808E+16</v>
      </c>
      <c r="C661" s="14">
        <f t="shared" si="0"/>
        <v>282163.20000000001</v>
      </c>
      <c r="D661" s="15">
        <f>A661*'Exponential Item Growth'!$B$4</f>
        <v>1102.2</v>
      </c>
      <c r="E661" s="14">
        <f>IF(ISNA(VLOOKUP(A661,'Exponential Item Growth'!$A$10:$B$18,2,FALSE)),E660, E660*VLOOKUP(A661,'Exponential Item Growth'!$A$10:$B$18,2,FALSE))</f>
        <v>256</v>
      </c>
      <c r="F661" s="14">
        <f>C661*'Exponential Item Growth'!$B$21</f>
        <v>1410816</v>
      </c>
      <c r="G661" s="14">
        <f>'Exponential Item Growth'!$B$22*C661</f>
        <v>21162240</v>
      </c>
      <c r="H661" s="14">
        <f>'Exponential Item Growth'!$B$23*C661</f>
        <v>282163200</v>
      </c>
    </row>
    <row r="662" spans="1:8" ht="15.75" customHeight="1">
      <c r="A662" s="3">
        <v>661</v>
      </c>
      <c r="B662" s="13">
        <f>'Exponential Item Growth'!$B$5*'Exponential Item Growth'!$B$6^A662</f>
        <v>5.3355223076057088E+16</v>
      </c>
      <c r="C662" s="14">
        <f t="shared" si="0"/>
        <v>282590.71999999997</v>
      </c>
      <c r="D662" s="15">
        <f>A662*'Exponential Item Growth'!$B$4</f>
        <v>1103.8699999999999</v>
      </c>
      <c r="E662" s="14">
        <f>IF(ISNA(VLOOKUP(A662,'Exponential Item Growth'!$A$10:$B$18,2,FALSE)),E661, E661*VLOOKUP(A662,'Exponential Item Growth'!$A$10:$B$18,2,FALSE))</f>
        <v>256</v>
      </c>
      <c r="F662" s="14">
        <f>C662*'Exponential Item Growth'!$B$21</f>
        <v>1412953.5999999999</v>
      </c>
      <c r="G662" s="14">
        <f>'Exponential Item Growth'!$B$22*C662</f>
        <v>21194303.999999996</v>
      </c>
      <c r="H662" s="14">
        <f>'Exponential Item Growth'!$B$23*C662</f>
        <v>282590720</v>
      </c>
    </row>
    <row r="663" spans="1:8" ht="15.75" customHeight="1">
      <c r="A663" s="3">
        <v>662</v>
      </c>
      <c r="B663" s="13">
        <f>'Exponential Item Growth'!$B$5*'Exponential Item Growth'!$B$6^A663</f>
        <v>5.6556536460620512E+16</v>
      </c>
      <c r="C663" s="14">
        <f t="shared" si="0"/>
        <v>283018.23999999999</v>
      </c>
      <c r="D663" s="15">
        <f>A663*'Exponential Item Growth'!$B$4</f>
        <v>1105.54</v>
      </c>
      <c r="E663" s="14">
        <f>IF(ISNA(VLOOKUP(A663,'Exponential Item Growth'!$A$10:$B$18,2,FALSE)),E662, E662*VLOOKUP(A663,'Exponential Item Growth'!$A$10:$B$18,2,FALSE))</f>
        <v>256</v>
      </c>
      <c r="F663" s="14">
        <f>C663*'Exponential Item Growth'!$B$21</f>
        <v>1415091.2</v>
      </c>
      <c r="G663" s="14">
        <f>'Exponential Item Growth'!$B$22*C663</f>
        <v>21226368</v>
      </c>
      <c r="H663" s="14">
        <f>'Exponential Item Growth'!$B$23*C663</f>
        <v>283018240</v>
      </c>
    </row>
    <row r="664" spans="1:8" ht="15.75" customHeight="1">
      <c r="A664" s="3">
        <v>663</v>
      </c>
      <c r="B664" s="13">
        <f>'Exponential Item Growth'!$B$5*'Exponential Item Growth'!$B$6^A664</f>
        <v>5.9949928648257752E+16</v>
      </c>
      <c r="C664" s="14">
        <f t="shared" si="0"/>
        <v>283445.76000000001</v>
      </c>
      <c r="D664" s="15">
        <f>A664*'Exponential Item Growth'!$B$4</f>
        <v>1107.21</v>
      </c>
      <c r="E664" s="14">
        <f>IF(ISNA(VLOOKUP(A664,'Exponential Item Growth'!$A$10:$B$18,2,FALSE)),E663, E663*VLOOKUP(A664,'Exponential Item Growth'!$A$10:$B$18,2,FALSE))</f>
        <v>256</v>
      </c>
      <c r="F664" s="14">
        <f>C664*'Exponential Item Growth'!$B$21</f>
        <v>1417228.8</v>
      </c>
      <c r="G664" s="14">
        <f>'Exponential Item Growth'!$B$22*C664</f>
        <v>21258432</v>
      </c>
      <c r="H664" s="14">
        <f>'Exponential Item Growth'!$B$23*C664</f>
        <v>283445760</v>
      </c>
    </row>
    <row r="665" spans="1:8" ht="15.75" customHeight="1">
      <c r="A665" s="3">
        <v>664</v>
      </c>
      <c r="B665" s="13">
        <f>'Exponential Item Growth'!$B$5*'Exponential Item Growth'!$B$6^A665</f>
        <v>6.3546924367153208E+16</v>
      </c>
      <c r="C665" s="14">
        <f t="shared" si="0"/>
        <v>283873.27999999997</v>
      </c>
      <c r="D665" s="15">
        <f>A665*'Exponential Item Growth'!$B$4</f>
        <v>1108.8799999999999</v>
      </c>
      <c r="E665" s="14">
        <f>IF(ISNA(VLOOKUP(A665,'Exponential Item Growth'!$A$10:$B$18,2,FALSE)),E664, E664*VLOOKUP(A665,'Exponential Item Growth'!$A$10:$B$18,2,FALSE))</f>
        <v>256</v>
      </c>
      <c r="F665" s="14">
        <f>C665*'Exponential Item Growth'!$B$21</f>
        <v>1419366.3999999999</v>
      </c>
      <c r="G665" s="14">
        <f>'Exponential Item Growth'!$B$22*C665</f>
        <v>21290495.999999996</v>
      </c>
      <c r="H665" s="14">
        <f>'Exponential Item Growth'!$B$23*C665</f>
        <v>283873279.99999994</v>
      </c>
    </row>
    <row r="666" spans="1:8" ht="15.75" customHeight="1">
      <c r="A666" s="3">
        <v>665</v>
      </c>
      <c r="B666" s="13">
        <f>'Exponential Item Growth'!$B$5*'Exponential Item Growth'!$B$6^A666</f>
        <v>6.73597398291824E+16</v>
      </c>
      <c r="C666" s="14">
        <f t="shared" si="0"/>
        <v>284300.79999999999</v>
      </c>
      <c r="D666" s="15">
        <f>A666*'Exponential Item Growth'!$B$4</f>
        <v>1110.55</v>
      </c>
      <c r="E666" s="14">
        <f>IF(ISNA(VLOOKUP(A666,'Exponential Item Growth'!$A$10:$B$18,2,FALSE)),E665, E665*VLOOKUP(A666,'Exponential Item Growth'!$A$10:$B$18,2,FALSE))</f>
        <v>256</v>
      </c>
      <c r="F666" s="14">
        <f>C666*'Exponential Item Growth'!$B$21</f>
        <v>1421504</v>
      </c>
      <c r="G666" s="14">
        <f>'Exponential Item Growth'!$B$22*C666</f>
        <v>21322560</v>
      </c>
      <c r="H666" s="14">
        <f>'Exponential Item Growth'!$B$23*C666</f>
        <v>284300800</v>
      </c>
    </row>
    <row r="667" spans="1:8" ht="15.75" customHeight="1">
      <c r="A667" s="3">
        <v>666</v>
      </c>
      <c r="B667" s="13">
        <f>'Exponential Item Growth'!$B$5*'Exponential Item Growth'!$B$6^A667</f>
        <v>7.1401324218933352E+16</v>
      </c>
      <c r="C667" s="14">
        <f t="shared" si="0"/>
        <v>284728.32000000001</v>
      </c>
      <c r="D667" s="15">
        <f>A667*'Exponential Item Growth'!$B$4</f>
        <v>1112.22</v>
      </c>
      <c r="E667" s="14">
        <f>IF(ISNA(VLOOKUP(A667,'Exponential Item Growth'!$A$10:$B$18,2,FALSE)),E666, E666*VLOOKUP(A667,'Exponential Item Growth'!$A$10:$B$18,2,FALSE))</f>
        <v>256</v>
      </c>
      <c r="F667" s="14">
        <f>C667*'Exponential Item Growth'!$B$21</f>
        <v>1423641.6000000001</v>
      </c>
      <c r="G667" s="14">
        <f>'Exponential Item Growth'!$B$22*C667</f>
        <v>21354624</v>
      </c>
      <c r="H667" s="14">
        <f>'Exponential Item Growth'!$B$23*C667</f>
        <v>284728320</v>
      </c>
    </row>
    <row r="668" spans="1:8" ht="15.75" customHeight="1">
      <c r="A668" s="3">
        <v>667</v>
      </c>
      <c r="B668" s="13">
        <f>'Exponential Item Growth'!$B$5*'Exponential Item Growth'!$B$6^A668</f>
        <v>7.568540367206936E+16</v>
      </c>
      <c r="C668" s="14">
        <f t="shared" si="0"/>
        <v>285155.83999999997</v>
      </c>
      <c r="D668" s="15">
        <f>A668*'Exponential Item Growth'!$B$4</f>
        <v>1113.8899999999999</v>
      </c>
      <c r="E668" s="14">
        <f>IF(ISNA(VLOOKUP(A668,'Exponential Item Growth'!$A$10:$B$18,2,FALSE)),E667, E667*VLOOKUP(A668,'Exponential Item Growth'!$A$10:$B$18,2,FALSE))</f>
        <v>256</v>
      </c>
      <c r="F668" s="14">
        <f>C668*'Exponential Item Growth'!$B$21</f>
        <v>1425779.1999999997</v>
      </c>
      <c r="G668" s="14">
        <f>'Exponential Item Growth'!$B$22*C668</f>
        <v>21386687.999999996</v>
      </c>
      <c r="H668" s="14">
        <f>'Exponential Item Growth'!$B$23*C668</f>
        <v>285155839.99999994</v>
      </c>
    </row>
    <row r="669" spans="1:8" ht="15.75" customHeight="1">
      <c r="A669" s="3">
        <v>668</v>
      </c>
      <c r="B669" s="13">
        <f>'Exponential Item Growth'!$B$5*'Exponential Item Growth'!$B$6^A669</f>
        <v>8.0226527892393536E+16</v>
      </c>
      <c r="C669" s="14">
        <f t="shared" si="0"/>
        <v>285583.35999999999</v>
      </c>
      <c r="D669" s="15">
        <f>A669*'Exponential Item Growth'!$B$4</f>
        <v>1115.56</v>
      </c>
      <c r="E669" s="14">
        <f>IF(ISNA(VLOOKUP(A669,'Exponential Item Growth'!$A$10:$B$18,2,FALSE)),E668, E668*VLOOKUP(A669,'Exponential Item Growth'!$A$10:$B$18,2,FALSE))</f>
        <v>256</v>
      </c>
      <c r="F669" s="14">
        <f>C669*'Exponential Item Growth'!$B$21</f>
        <v>1427916.7999999998</v>
      </c>
      <c r="G669" s="14">
        <f>'Exponential Item Growth'!$B$22*C669</f>
        <v>21418752</v>
      </c>
      <c r="H669" s="14">
        <f>'Exponential Item Growth'!$B$23*C669</f>
        <v>285583360</v>
      </c>
    </row>
    <row r="670" spans="1:8" ht="15.75" customHeight="1">
      <c r="A670" s="3">
        <v>669</v>
      </c>
      <c r="B670" s="13">
        <f>'Exponential Item Growth'!$B$5*'Exponential Item Growth'!$B$6^A670</f>
        <v>8.5040119565937152E+16</v>
      </c>
      <c r="C670" s="14">
        <f t="shared" si="0"/>
        <v>286010.88</v>
      </c>
      <c r="D670" s="15">
        <f>A670*'Exponential Item Growth'!$B$4</f>
        <v>1117.23</v>
      </c>
      <c r="E670" s="14">
        <f>IF(ISNA(VLOOKUP(A670,'Exponential Item Growth'!$A$10:$B$18,2,FALSE)),E669, E669*VLOOKUP(A670,'Exponential Item Growth'!$A$10:$B$18,2,FALSE))</f>
        <v>256</v>
      </c>
      <c r="F670" s="14">
        <f>C670*'Exponential Item Growth'!$B$21</f>
        <v>1430054.4</v>
      </c>
      <c r="G670" s="14">
        <f>'Exponential Item Growth'!$B$22*C670</f>
        <v>21450816</v>
      </c>
      <c r="H670" s="14">
        <f>'Exponential Item Growth'!$B$23*C670</f>
        <v>286010880</v>
      </c>
    </row>
    <row r="671" spans="1:8" ht="15.75" customHeight="1">
      <c r="A671" s="3">
        <v>670</v>
      </c>
      <c r="B671" s="13">
        <f>'Exponential Item Growth'!$B$5*'Exponential Item Growth'!$B$6^A671</f>
        <v>9.0142526739893376E+16</v>
      </c>
      <c r="C671" s="14">
        <f t="shared" si="0"/>
        <v>286438.39999999997</v>
      </c>
      <c r="D671" s="15">
        <f>A671*'Exponential Item Growth'!$B$4</f>
        <v>1118.8999999999999</v>
      </c>
      <c r="E671" s="14">
        <f>IF(ISNA(VLOOKUP(A671,'Exponential Item Growth'!$A$10:$B$18,2,FALSE)),E670, E670*VLOOKUP(A671,'Exponential Item Growth'!$A$10:$B$18,2,FALSE))</f>
        <v>256</v>
      </c>
      <c r="F671" s="14">
        <f>C671*'Exponential Item Growth'!$B$21</f>
        <v>1432191.9999999998</v>
      </c>
      <c r="G671" s="14">
        <f>'Exponential Item Growth'!$B$22*C671</f>
        <v>21482879.999999996</v>
      </c>
      <c r="H671" s="14">
        <f>'Exponential Item Growth'!$B$23*C671</f>
        <v>286438399.99999994</v>
      </c>
    </row>
    <row r="672" spans="1:8" ht="15.75" customHeight="1">
      <c r="A672" s="3">
        <v>671</v>
      </c>
      <c r="B672" s="13">
        <f>'Exponential Item Growth'!$B$5*'Exponential Item Growth'!$B$6^A672</f>
        <v>9.5551078344286992E+16</v>
      </c>
      <c r="C672" s="14">
        <f t="shared" si="0"/>
        <v>286865.91999999998</v>
      </c>
      <c r="D672" s="15">
        <f>A672*'Exponential Item Growth'!$B$4</f>
        <v>1120.57</v>
      </c>
      <c r="E672" s="14">
        <f>IF(ISNA(VLOOKUP(A672,'Exponential Item Growth'!$A$10:$B$18,2,FALSE)),E671, E671*VLOOKUP(A672,'Exponential Item Growth'!$A$10:$B$18,2,FALSE))</f>
        <v>256</v>
      </c>
      <c r="F672" s="14">
        <f>C672*'Exponential Item Growth'!$B$21</f>
        <v>1434329.5999999999</v>
      </c>
      <c r="G672" s="14">
        <f>'Exponential Item Growth'!$B$22*C672</f>
        <v>21514944</v>
      </c>
      <c r="H672" s="14">
        <f>'Exponential Item Growth'!$B$23*C672</f>
        <v>286865920</v>
      </c>
    </row>
    <row r="673" spans="1:8" ht="15.75" customHeight="1">
      <c r="A673" s="3">
        <v>672</v>
      </c>
      <c r="B673" s="13">
        <f>'Exponential Item Growth'!$B$5*'Exponential Item Growth'!$B$6^A673</f>
        <v>1.0128414304494419E+17</v>
      </c>
      <c r="C673" s="14">
        <f t="shared" si="0"/>
        <v>287293.44</v>
      </c>
      <c r="D673" s="15">
        <f>A673*'Exponential Item Growth'!$B$4</f>
        <v>1122.24</v>
      </c>
      <c r="E673" s="14">
        <f>IF(ISNA(VLOOKUP(A673,'Exponential Item Growth'!$A$10:$B$18,2,FALSE)),E672, E672*VLOOKUP(A673,'Exponential Item Growth'!$A$10:$B$18,2,FALSE))</f>
        <v>256</v>
      </c>
      <c r="F673" s="14">
        <f>C673*'Exponential Item Growth'!$B$21</f>
        <v>1436467.2</v>
      </c>
      <c r="G673" s="14">
        <f>'Exponential Item Growth'!$B$22*C673</f>
        <v>21547008</v>
      </c>
      <c r="H673" s="14">
        <f>'Exponential Item Growth'!$B$23*C673</f>
        <v>287293440</v>
      </c>
    </row>
    <row r="674" spans="1:8" ht="15.75" customHeight="1">
      <c r="A674" s="3">
        <v>673</v>
      </c>
      <c r="B674" s="13">
        <f>'Exponential Item Growth'!$B$5*'Exponential Item Growth'!$B$6^A674</f>
        <v>1.0736119162764086E+17</v>
      </c>
      <c r="C674" s="14">
        <f t="shared" si="0"/>
        <v>287720.95999999996</v>
      </c>
      <c r="D674" s="15">
        <f>A674*'Exponential Item Growth'!$B$4</f>
        <v>1123.9099999999999</v>
      </c>
      <c r="E674" s="14">
        <f>IF(ISNA(VLOOKUP(A674,'Exponential Item Growth'!$A$10:$B$18,2,FALSE)),E673, E673*VLOOKUP(A674,'Exponential Item Growth'!$A$10:$B$18,2,FALSE))</f>
        <v>256</v>
      </c>
      <c r="F674" s="14">
        <f>C674*'Exponential Item Growth'!$B$21</f>
        <v>1438604.7999999998</v>
      </c>
      <c r="G674" s="14">
        <f>'Exponential Item Growth'!$B$22*C674</f>
        <v>21579071.999999996</v>
      </c>
      <c r="H674" s="14">
        <f>'Exponential Item Growth'!$B$23*C674</f>
        <v>287720959.99999994</v>
      </c>
    </row>
    <row r="675" spans="1:8" ht="15.75" customHeight="1">
      <c r="A675" s="3">
        <v>674</v>
      </c>
      <c r="B675" s="13">
        <f>'Exponential Item Growth'!$B$5*'Exponential Item Growth'!$B$6^A675</f>
        <v>1.1380286312529931E+17</v>
      </c>
      <c r="C675" s="14">
        <f t="shared" si="0"/>
        <v>288148.47999999998</v>
      </c>
      <c r="D675" s="15">
        <f>A675*'Exponential Item Growth'!$B$4</f>
        <v>1125.58</v>
      </c>
      <c r="E675" s="14">
        <f>IF(ISNA(VLOOKUP(A675,'Exponential Item Growth'!$A$10:$B$18,2,FALSE)),E674, E674*VLOOKUP(A675,'Exponential Item Growth'!$A$10:$B$18,2,FALSE))</f>
        <v>256</v>
      </c>
      <c r="F675" s="14">
        <f>C675*'Exponential Item Growth'!$B$21</f>
        <v>1440742.3999999999</v>
      </c>
      <c r="G675" s="14">
        <f>'Exponential Item Growth'!$B$22*C675</f>
        <v>21611136</v>
      </c>
      <c r="H675" s="14">
        <f>'Exponential Item Growth'!$B$23*C675</f>
        <v>288148480</v>
      </c>
    </row>
    <row r="676" spans="1:8" ht="15.75" customHeight="1">
      <c r="A676" s="3">
        <v>675</v>
      </c>
      <c r="B676" s="13">
        <f>'Exponential Item Growth'!$B$5*'Exponential Item Growth'!$B$6^A676</f>
        <v>1.206310349128173E+17</v>
      </c>
      <c r="C676" s="14">
        <f t="shared" si="0"/>
        <v>288576</v>
      </c>
      <c r="D676" s="15">
        <f>A676*'Exponential Item Growth'!$B$4</f>
        <v>1127.25</v>
      </c>
      <c r="E676" s="14">
        <f>IF(ISNA(VLOOKUP(A676,'Exponential Item Growth'!$A$10:$B$18,2,FALSE)),E675, E675*VLOOKUP(A676,'Exponential Item Growth'!$A$10:$B$18,2,FALSE))</f>
        <v>256</v>
      </c>
      <c r="F676" s="14">
        <f>C676*'Exponential Item Growth'!$B$21</f>
        <v>1442880</v>
      </c>
      <c r="G676" s="14">
        <f>'Exponential Item Growth'!$B$22*C676</f>
        <v>21643200</v>
      </c>
      <c r="H676" s="14">
        <f>'Exponential Item Growth'!$B$23*C676</f>
        <v>288576000</v>
      </c>
    </row>
    <row r="677" spans="1:8" ht="15.75" customHeight="1">
      <c r="A677" s="3">
        <v>676</v>
      </c>
      <c r="B677" s="13">
        <f>'Exponential Item Growth'!$B$5*'Exponential Item Growth'!$B$6^A677</f>
        <v>1.2786889700758634E+17</v>
      </c>
      <c r="C677" s="14">
        <f t="shared" si="0"/>
        <v>289003.51999999996</v>
      </c>
      <c r="D677" s="15">
        <f>A677*'Exponential Item Growth'!$B$4</f>
        <v>1128.9199999999998</v>
      </c>
      <c r="E677" s="14">
        <f>IF(ISNA(VLOOKUP(A677,'Exponential Item Growth'!$A$10:$B$18,2,FALSE)),E676, E676*VLOOKUP(A677,'Exponential Item Growth'!$A$10:$B$18,2,FALSE))</f>
        <v>256</v>
      </c>
      <c r="F677" s="14">
        <f>C677*'Exponential Item Growth'!$B$21</f>
        <v>1445017.5999999999</v>
      </c>
      <c r="G677" s="14">
        <f>'Exponential Item Growth'!$B$22*C677</f>
        <v>21675263.999999996</v>
      </c>
      <c r="H677" s="14">
        <f>'Exponential Item Growth'!$B$23*C677</f>
        <v>289003519.99999994</v>
      </c>
    </row>
    <row r="678" spans="1:8" ht="15.75" customHeight="1">
      <c r="A678" s="3">
        <v>677</v>
      </c>
      <c r="B678" s="13">
        <f>'Exponential Item Growth'!$B$5*'Exponential Item Growth'!$B$6^A678</f>
        <v>1.3554103082804152E+17</v>
      </c>
      <c r="C678" s="14">
        <f t="shared" si="0"/>
        <v>289431.03999999998</v>
      </c>
      <c r="D678" s="15">
        <f>A678*'Exponential Item Growth'!$B$4</f>
        <v>1130.5899999999999</v>
      </c>
      <c r="E678" s="14">
        <f>IF(ISNA(VLOOKUP(A678,'Exponential Item Growth'!$A$10:$B$18,2,FALSE)),E677, E677*VLOOKUP(A678,'Exponential Item Growth'!$A$10:$B$18,2,FALSE))</f>
        <v>256</v>
      </c>
      <c r="F678" s="14">
        <f>C678*'Exponential Item Growth'!$B$21</f>
        <v>1447155.2</v>
      </c>
      <c r="G678" s="14">
        <f>'Exponential Item Growth'!$B$22*C678</f>
        <v>21707328</v>
      </c>
      <c r="H678" s="14">
        <f>'Exponential Item Growth'!$B$23*C678</f>
        <v>289431040</v>
      </c>
    </row>
    <row r="679" spans="1:8" ht="15.75" customHeight="1">
      <c r="A679" s="3">
        <v>678</v>
      </c>
      <c r="B679" s="13">
        <f>'Exponential Item Growth'!$B$5*'Exponential Item Growth'!$B$6^A679</f>
        <v>1.4367349267772405E+17</v>
      </c>
      <c r="C679" s="14">
        <f t="shared" si="0"/>
        <v>289858.56</v>
      </c>
      <c r="D679" s="15">
        <f>A679*'Exponential Item Growth'!$B$4</f>
        <v>1132.26</v>
      </c>
      <c r="E679" s="14">
        <f>IF(ISNA(VLOOKUP(A679,'Exponential Item Growth'!$A$10:$B$18,2,FALSE)),E678, E678*VLOOKUP(A679,'Exponential Item Growth'!$A$10:$B$18,2,FALSE))</f>
        <v>256</v>
      </c>
      <c r="F679" s="14">
        <f>C679*'Exponential Item Growth'!$B$21</f>
        <v>1449292.8</v>
      </c>
      <c r="G679" s="14">
        <f>'Exponential Item Growth'!$B$22*C679</f>
        <v>21739392</v>
      </c>
      <c r="H679" s="14">
        <f>'Exponential Item Growth'!$B$23*C679</f>
        <v>289858560</v>
      </c>
    </row>
    <row r="680" spans="1:8" ht="15.75" customHeight="1">
      <c r="A680" s="3">
        <v>679</v>
      </c>
      <c r="B680" s="13">
        <f>'Exponential Item Growth'!$B$5*'Exponential Item Growth'!$B$6^A680</f>
        <v>1.5229390223838749E+17</v>
      </c>
      <c r="C680" s="14">
        <f t="shared" si="0"/>
        <v>290286.08000000002</v>
      </c>
      <c r="D680" s="15">
        <f>A680*'Exponential Item Growth'!$B$4</f>
        <v>1133.93</v>
      </c>
      <c r="E680" s="14">
        <f>IF(ISNA(VLOOKUP(A680,'Exponential Item Growth'!$A$10:$B$18,2,FALSE)),E679, E679*VLOOKUP(A680,'Exponential Item Growth'!$A$10:$B$18,2,FALSE))</f>
        <v>256</v>
      </c>
      <c r="F680" s="14">
        <f>C680*'Exponential Item Growth'!$B$21</f>
        <v>1451430.4000000001</v>
      </c>
      <c r="G680" s="14">
        <f>'Exponential Item Growth'!$B$22*C680</f>
        <v>21771456</v>
      </c>
      <c r="H680" s="14">
        <f>'Exponential Item Growth'!$B$23*C680</f>
        <v>290286080</v>
      </c>
    </row>
    <row r="681" spans="1:8" ht="15.75" customHeight="1">
      <c r="A681" s="3">
        <v>680</v>
      </c>
      <c r="B681" s="13">
        <f>'Exponential Item Growth'!$B$5*'Exponential Item Growth'!$B$6^A681</f>
        <v>1.6143153637269072E+17</v>
      </c>
      <c r="C681" s="14">
        <f t="shared" si="0"/>
        <v>290713.59999999998</v>
      </c>
      <c r="D681" s="15">
        <f>A681*'Exponential Item Growth'!$B$4</f>
        <v>1135.5999999999999</v>
      </c>
      <c r="E681" s="14">
        <f>IF(ISNA(VLOOKUP(A681,'Exponential Item Growth'!$A$10:$B$18,2,FALSE)),E680, E680*VLOOKUP(A681,'Exponential Item Growth'!$A$10:$B$18,2,FALSE))</f>
        <v>256</v>
      </c>
      <c r="F681" s="14">
        <f>C681*'Exponential Item Growth'!$B$21</f>
        <v>1453568</v>
      </c>
      <c r="G681" s="14">
        <f>'Exponential Item Growth'!$B$22*C681</f>
        <v>21803520</v>
      </c>
      <c r="H681" s="14">
        <f>'Exponential Item Growth'!$B$23*C681</f>
        <v>290713600</v>
      </c>
    </row>
    <row r="682" spans="1:8" ht="15.75" customHeight="1">
      <c r="A682" s="3">
        <v>681</v>
      </c>
      <c r="B682" s="13">
        <f>'Exponential Item Growth'!$B$5*'Exponential Item Growth'!$B$6^A682</f>
        <v>1.7111742855505216E+17</v>
      </c>
      <c r="C682" s="14">
        <f t="shared" si="0"/>
        <v>291141.12</v>
      </c>
      <c r="D682" s="15">
        <f>A682*'Exponential Item Growth'!$B$4</f>
        <v>1137.27</v>
      </c>
      <c r="E682" s="14">
        <f>IF(ISNA(VLOOKUP(A682,'Exponential Item Growth'!$A$10:$B$18,2,FALSE)),E681, E681*VLOOKUP(A682,'Exponential Item Growth'!$A$10:$B$18,2,FALSE))</f>
        <v>256</v>
      </c>
      <c r="F682" s="14">
        <f>C682*'Exponential Item Growth'!$B$21</f>
        <v>1455705.6</v>
      </c>
      <c r="G682" s="14">
        <f>'Exponential Item Growth'!$B$22*C682</f>
        <v>21835584</v>
      </c>
      <c r="H682" s="14">
        <f>'Exponential Item Growth'!$B$23*C682</f>
        <v>291141120</v>
      </c>
    </row>
    <row r="683" spans="1:8" ht="15.75" customHeight="1">
      <c r="A683" s="3">
        <v>682</v>
      </c>
      <c r="B683" s="13">
        <f>'Exponential Item Growth'!$B$5*'Exponential Item Growth'!$B$6^A683</f>
        <v>1.8138447426835533E+17</v>
      </c>
      <c r="C683" s="14">
        <f t="shared" si="0"/>
        <v>291568.64000000001</v>
      </c>
      <c r="D683" s="15">
        <f>A683*'Exponential Item Growth'!$B$4</f>
        <v>1138.94</v>
      </c>
      <c r="E683" s="14">
        <f>IF(ISNA(VLOOKUP(A683,'Exponential Item Growth'!$A$10:$B$18,2,FALSE)),E682, E682*VLOOKUP(A683,'Exponential Item Growth'!$A$10:$B$18,2,FALSE))</f>
        <v>256</v>
      </c>
      <c r="F683" s="14">
        <f>C683*'Exponential Item Growth'!$B$21</f>
        <v>1457843.2000000002</v>
      </c>
      <c r="G683" s="14">
        <f>'Exponential Item Growth'!$B$22*C683</f>
        <v>21867648</v>
      </c>
      <c r="H683" s="14">
        <f>'Exponential Item Growth'!$B$23*C683</f>
        <v>291568640</v>
      </c>
    </row>
    <row r="684" spans="1:8" ht="15.75" customHeight="1">
      <c r="A684" s="3">
        <v>683</v>
      </c>
      <c r="B684" s="13">
        <f>'Exponential Item Growth'!$B$5*'Exponential Item Growth'!$B$6^A684</f>
        <v>1.9226754272445667E+17</v>
      </c>
      <c r="C684" s="14">
        <f t="shared" si="0"/>
        <v>291996.15999999997</v>
      </c>
      <c r="D684" s="15">
        <f>A684*'Exponential Item Growth'!$B$4</f>
        <v>1140.6099999999999</v>
      </c>
      <c r="E684" s="14">
        <f>IF(ISNA(VLOOKUP(A684,'Exponential Item Growth'!$A$10:$B$18,2,FALSE)),E683, E683*VLOOKUP(A684,'Exponential Item Growth'!$A$10:$B$18,2,FALSE))</f>
        <v>256</v>
      </c>
      <c r="F684" s="14">
        <f>C684*'Exponential Item Growth'!$B$21</f>
        <v>1459980.7999999998</v>
      </c>
      <c r="G684" s="14">
        <f>'Exponential Item Growth'!$B$22*C684</f>
        <v>21899711.999999996</v>
      </c>
      <c r="H684" s="14">
        <f>'Exponential Item Growth'!$B$23*C684</f>
        <v>291996160</v>
      </c>
    </row>
    <row r="685" spans="1:8" ht="15.75" customHeight="1">
      <c r="A685" s="3">
        <v>684</v>
      </c>
      <c r="B685" s="13">
        <f>'Exponential Item Growth'!$B$5*'Exponential Item Growth'!$B$6^A685</f>
        <v>2.0380359528792406E+17</v>
      </c>
      <c r="C685" s="14">
        <f t="shared" si="0"/>
        <v>292423.67999999999</v>
      </c>
      <c r="D685" s="15">
        <f>A685*'Exponential Item Growth'!$B$4</f>
        <v>1142.28</v>
      </c>
      <c r="E685" s="14">
        <f>IF(ISNA(VLOOKUP(A685,'Exponential Item Growth'!$A$10:$B$18,2,FALSE)),E684, E684*VLOOKUP(A685,'Exponential Item Growth'!$A$10:$B$18,2,FALSE))</f>
        <v>256</v>
      </c>
      <c r="F685" s="14">
        <f>C685*'Exponential Item Growth'!$B$21</f>
        <v>1462118.3999999999</v>
      </c>
      <c r="G685" s="14">
        <f>'Exponential Item Growth'!$B$22*C685</f>
        <v>21931776</v>
      </c>
      <c r="H685" s="14">
        <f>'Exponential Item Growth'!$B$23*C685</f>
        <v>292423680</v>
      </c>
    </row>
    <row r="686" spans="1:8" ht="15.75" customHeight="1">
      <c r="A686" s="3">
        <v>685</v>
      </c>
      <c r="B686" s="13">
        <f>'Exponential Item Growth'!$B$5*'Exponential Item Growth'!$B$6^A686</f>
        <v>2.1603181100519952E+17</v>
      </c>
      <c r="C686" s="14">
        <f t="shared" si="0"/>
        <v>292851.20000000001</v>
      </c>
      <c r="D686" s="15">
        <f>A686*'Exponential Item Growth'!$B$4</f>
        <v>1143.95</v>
      </c>
      <c r="E686" s="14">
        <f>IF(ISNA(VLOOKUP(A686,'Exponential Item Growth'!$A$10:$B$18,2,FALSE)),E685, E685*VLOOKUP(A686,'Exponential Item Growth'!$A$10:$B$18,2,FALSE))</f>
        <v>256</v>
      </c>
      <c r="F686" s="14">
        <f>C686*'Exponential Item Growth'!$B$21</f>
        <v>1464256</v>
      </c>
      <c r="G686" s="14">
        <f>'Exponential Item Growth'!$B$22*C686</f>
        <v>21963840</v>
      </c>
      <c r="H686" s="14">
        <f>'Exponential Item Growth'!$B$23*C686</f>
        <v>292851200</v>
      </c>
    </row>
    <row r="687" spans="1:8" ht="15.75" customHeight="1">
      <c r="A687" s="3">
        <v>686</v>
      </c>
      <c r="B687" s="13">
        <f>'Exponential Item Growth'!$B$5*'Exponential Item Growth'!$B$6^A687</f>
        <v>2.2899371966551152E+17</v>
      </c>
      <c r="C687" s="14">
        <f t="shared" si="0"/>
        <v>293278.71999999997</v>
      </c>
      <c r="D687" s="15">
        <f>A687*'Exponential Item Growth'!$B$4</f>
        <v>1145.6199999999999</v>
      </c>
      <c r="E687" s="14">
        <f>IF(ISNA(VLOOKUP(A687,'Exponential Item Growth'!$A$10:$B$18,2,FALSE)),E686, E686*VLOOKUP(A687,'Exponential Item Growth'!$A$10:$B$18,2,FALSE))</f>
        <v>256</v>
      </c>
      <c r="F687" s="14">
        <f>C687*'Exponential Item Growth'!$B$21</f>
        <v>1466393.5999999999</v>
      </c>
      <c r="G687" s="14">
        <f>'Exponential Item Growth'!$B$22*C687</f>
        <v>21995903.999999996</v>
      </c>
      <c r="H687" s="14">
        <f>'Exponential Item Growth'!$B$23*C687</f>
        <v>293278720</v>
      </c>
    </row>
    <row r="688" spans="1:8" ht="15.75" customHeight="1">
      <c r="A688" s="3">
        <v>687</v>
      </c>
      <c r="B688" s="13">
        <f>'Exponential Item Growth'!$B$5*'Exponential Item Growth'!$B$6^A688</f>
        <v>2.4273334284544227E+17</v>
      </c>
      <c r="C688" s="14">
        <f t="shared" si="0"/>
        <v>293706.23999999999</v>
      </c>
      <c r="D688" s="15">
        <f>A688*'Exponential Item Growth'!$B$4</f>
        <v>1147.29</v>
      </c>
      <c r="E688" s="14">
        <f>IF(ISNA(VLOOKUP(A688,'Exponential Item Growth'!$A$10:$B$18,2,FALSE)),E687, E687*VLOOKUP(A688,'Exponential Item Growth'!$A$10:$B$18,2,FALSE))</f>
        <v>256</v>
      </c>
      <c r="F688" s="14">
        <f>C688*'Exponential Item Growth'!$B$21</f>
        <v>1468531.2</v>
      </c>
      <c r="G688" s="14">
        <f>'Exponential Item Growth'!$B$22*C688</f>
        <v>22027968</v>
      </c>
      <c r="H688" s="14">
        <f>'Exponential Item Growth'!$B$23*C688</f>
        <v>293706240</v>
      </c>
    </row>
    <row r="689" spans="1:8" ht="15.75" customHeight="1">
      <c r="A689" s="3">
        <v>688</v>
      </c>
      <c r="B689" s="13">
        <f>'Exponential Item Growth'!$B$5*'Exponential Item Growth'!$B$6^A689</f>
        <v>2.5729734341616874E+17</v>
      </c>
      <c r="C689" s="14">
        <f t="shared" si="0"/>
        <v>294133.76000000001</v>
      </c>
      <c r="D689" s="15">
        <f>A689*'Exponential Item Growth'!$B$4</f>
        <v>1148.96</v>
      </c>
      <c r="E689" s="14">
        <f>IF(ISNA(VLOOKUP(A689,'Exponential Item Growth'!$A$10:$B$18,2,FALSE)),E688, E688*VLOOKUP(A689,'Exponential Item Growth'!$A$10:$B$18,2,FALSE))</f>
        <v>256</v>
      </c>
      <c r="F689" s="14">
        <f>C689*'Exponential Item Growth'!$B$21</f>
        <v>1470668.8</v>
      </c>
      <c r="G689" s="14">
        <f>'Exponential Item Growth'!$B$22*C689</f>
        <v>22060032</v>
      </c>
      <c r="H689" s="14">
        <f>'Exponential Item Growth'!$B$23*C689</f>
        <v>294133760</v>
      </c>
    </row>
    <row r="690" spans="1:8" ht="15.75" customHeight="1">
      <c r="A690" s="3">
        <v>689</v>
      </c>
      <c r="B690" s="13">
        <f>'Exponential Item Growth'!$B$5*'Exponential Item Growth'!$B$6^A690</f>
        <v>2.7273518402113888E+17</v>
      </c>
      <c r="C690" s="14">
        <f t="shared" si="0"/>
        <v>294561.27999999997</v>
      </c>
      <c r="D690" s="15">
        <f>A690*'Exponential Item Growth'!$B$4</f>
        <v>1150.6299999999999</v>
      </c>
      <c r="E690" s="14">
        <f>IF(ISNA(VLOOKUP(A690,'Exponential Item Growth'!$A$10:$B$18,2,FALSE)),E689, E689*VLOOKUP(A690,'Exponential Item Growth'!$A$10:$B$18,2,FALSE))</f>
        <v>256</v>
      </c>
      <c r="F690" s="14">
        <f>C690*'Exponential Item Growth'!$B$21</f>
        <v>1472806.4</v>
      </c>
      <c r="G690" s="14">
        <f>'Exponential Item Growth'!$B$22*C690</f>
        <v>22092095.999999996</v>
      </c>
      <c r="H690" s="14">
        <f>'Exponential Item Growth'!$B$23*C690</f>
        <v>294561279.99999994</v>
      </c>
    </row>
    <row r="691" spans="1:8" ht="15.75" customHeight="1">
      <c r="A691" s="3">
        <v>690</v>
      </c>
      <c r="B691" s="13">
        <f>'Exponential Item Growth'!$B$5*'Exponential Item Growth'!$B$6^A691</f>
        <v>2.8909929506240717E+17</v>
      </c>
      <c r="C691" s="14">
        <f t="shared" si="0"/>
        <v>294988.79999999999</v>
      </c>
      <c r="D691" s="15">
        <f>A691*'Exponential Item Growth'!$B$4</f>
        <v>1152.3</v>
      </c>
      <c r="E691" s="14">
        <f>IF(ISNA(VLOOKUP(A691,'Exponential Item Growth'!$A$10:$B$18,2,FALSE)),E690, E690*VLOOKUP(A691,'Exponential Item Growth'!$A$10:$B$18,2,FALSE))</f>
        <v>256</v>
      </c>
      <c r="F691" s="14">
        <f>C691*'Exponential Item Growth'!$B$21</f>
        <v>1474944</v>
      </c>
      <c r="G691" s="14">
        <f>'Exponential Item Growth'!$B$22*C691</f>
        <v>22124160</v>
      </c>
      <c r="H691" s="14">
        <f>'Exponential Item Growth'!$B$23*C691</f>
        <v>294988800</v>
      </c>
    </row>
    <row r="692" spans="1:8" ht="15.75" customHeight="1">
      <c r="A692" s="3">
        <v>691</v>
      </c>
      <c r="B692" s="13">
        <f>'Exponential Item Growth'!$B$5*'Exponential Item Growth'!$B$6^A692</f>
        <v>3.0644525276615168E+17</v>
      </c>
      <c r="C692" s="14">
        <f t="shared" si="0"/>
        <v>295416.32000000001</v>
      </c>
      <c r="D692" s="15">
        <f>A692*'Exponential Item Growth'!$B$4</f>
        <v>1153.97</v>
      </c>
      <c r="E692" s="14">
        <f>IF(ISNA(VLOOKUP(A692,'Exponential Item Growth'!$A$10:$B$18,2,FALSE)),E691, E691*VLOOKUP(A692,'Exponential Item Growth'!$A$10:$B$18,2,FALSE))</f>
        <v>256</v>
      </c>
      <c r="F692" s="14">
        <f>C692*'Exponential Item Growth'!$B$21</f>
        <v>1477081.6</v>
      </c>
      <c r="G692" s="14">
        <f>'Exponential Item Growth'!$B$22*C692</f>
        <v>22156224</v>
      </c>
      <c r="H692" s="14">
        <f>'Exponential Item Growth'!$B$23*C692</f>
        <v>295416320</v>
      </c>
    </row>
    <row r="693" spans="1:8" ht="15.75" customHeight="1">
      <c r="A693" s="3">
        <v>692</v>
      </c>
      <c r="B693" s="13">
        <f>'Exponential Item Growth'!$B$5*'Exponential Item Growth'!$B$6^A693</f>
        <v>3.2483196793212077E+17</v>
      </c>
      <c r="C693" s="14">
        <f t="shared" si="0"/>
        <v>295843.83999999997</v>
      </c>
      <c r="D693" s="15">
        <f>A693*'Exponential Item Growth'!$B$4</f>
        <v>1155.6399999999999</v>
      </c>
      <c r="E693" s="14">
        <f>IF(ISNA(VLOOKUP(A693,'Exponential Item Growth'!$A$10:$B$18,2,FALSE)),E692, E692*VLOOKUP(A693,'Exponential Item Growth'!$A$10:$B$18,2,FALSE))</f>
        <v>256</v>
      </c>
      <c r="F693" s="14">
        <f>C693*'Exponential Item Growth'!$B$21</f>
        <v>1479219.1999999997</v>
      </c>
      <c r="G693" s="14">
        <f>'Exponential Item Growth'!$B$22*C693</f>
        <v>22188287.999999996</v>
      </c>
      <c r="H693" s="14">
        <f>'Exponential Item Growth'!$B$23*C693</f>
        <v>295843839.99999994</v>
      </c>
    </row>
    <row r="694" spans="1:8" ht="15.75" customHeight="1">
      <c r="A694" s="3">
        <v>693</v>
      </c>
      <c r="B694" s="13">
        <f>'Exponential Item Growth'!$B$5*'Exponential Item Growth'!$B$6^A694</f>
        <v>3.4432188600804813E+17</v>
      </c>
      <c r="C694" s="14">
        <f t="shared" si="0"/>
        <v>296271.35999999999</v>
      </c>
      <c r="D694" s="15">
        <f>A694*'Exponential Item Growth'!$B$4</f>
        <v>1157.31</v>
      </c>
      <c r="E694" s="14">
        <f>IF(ISNA(VLOOKUP(A694,'Exponential Item Growth'!$A$10:$B$18,2,FALSE)),E693, E693*VLOOKUP(A694,'Exponential Item Growth'!$A$10:$B$18,2,FALSE))</f>
        <v>256</v>
      </c>
      <c r="F694" s="14">
        <f>C694*'Exponential Item Growth'!$B$21</f>
        <v>1481356.7999999998</v>
      </c>
      <c r="G694" s="14">
        <f>'Exponential Item Growth'!$B$22*C694</f>
        <v>22220352</v>
      </c>
      <c r="H694" s="14">
        <f>'Exponential Item Growth'!$B$23*C694</f>
        <v>296271360</v>
      </c>
    </row>
    <row r="695" spans="1:8" ht="15.75" customHeight="1">
      <c r="A695" s="3">
        <v>694</v>
      </c>
      <c r="B695" s="13">
        <f>'Exponential Item Growth'!$B$5*'Exponential Item Growth'!$B$6^A695</f>
        <v>3.6498119916853101E+17</v>
      </c>
      <c r="C695" s="14">
        <f t="shared" si="0"/>
        <v>296698.88</v>
      </c>
      <c r="D695" s="15">
        <f>A695*'Exponential Item Growth'!$B$4</f>
        <v>1158.98</v>
      </c>
      <c r="E695" s="14">
        <f>IF(ISNA(VLOOKUP(A695,'Exponential Item Growth'!$A$10:$B$18,2,FALSE)),E694, E694*VLOOKUP(A695,'Exponential Item Growth'!$A$10:$B$18,2,FALSE))</f>
        <v>256</v>
      </c>
      <c r="F695" s="14">
        <f>C695*'Exponential Item Growth'!$B$21</f>
        <v>1483494.3999999999</v>
      </c>
      <c r="G695" s="14">
        <f>'Exponential Item Growth'!$B$22*C695</f>
        <v>22252416</v>
      </c>
      <c r="H695" s="14">
        <f>'Exponential Item Growth'!$B$23*C695</f>
        <v>296698880</v>
      </c>
    </row>
    <row r="696" spans="1:8" ht="15.75" customHeight="1">
      <c r="A696" s="3">
        <v>695</v>
      </c>
      <c r="B696" s="13">
        <f>'Exponential Item Growth'!$B$5*'Exponential Item Growth'!$B$6^A696</f>
        <v>3.8688007111864288E+17</v>
      </c>
      <c r="C696" s="14">
        <f t="shared" si="0"/>
        <v>297126.39999999997</v>
      </c>
      <c r="D696" s="15">
        <f>A696*'Exponential Item Growth'!$B$4</f>
        <v>1160.6499999999999</v>
      </c>
      <c r="E696" s="14">
        <f>IF(ISNA(VLOOKUP(A696,'Exponential Item Growth'!$A$10:$B$18,2,FALSE)),E695, E695*VLOOKUP(A696,'Exponential Item Growth'!$A$10:$B$18,2,FALSE))</f>
        <v>256</v>
      </c>
      <c r="F696" s="14">
        <f>C696*'Exponential Item Growth'!$B$21</f>
        <v>1485631.9999999998</v>
      </c>
      <c r="G696" s="14">
        <f>'Exponential Item Growth'!$B$22*C696</f>
        <v>22284479.999999996</v>
      </c>
      <c r="H696" s="14">
        <f>'Exponential Item Growth'!$B$23*C696</f>
        <v>297126399.99999994</v>
      </c>
    </row>
    <row r="697" spans="1:8" ht="15.75" customHeight="1">
      <c r="A697" s="3">
        <v>696</v>
      </c>
      <c r="B697" s="13">
        <f>'Exponential Item Growth'!$B$5*'Exponential Item Growth'!$B$6^A697</f>
        <v>4.1009287538576141E+17</v>
      </c>
      <c r="C697" s="14">
        <f t="shared" si="0"/>
        <v>297553.91999999998</v>
      </c>
      <c r="D697" s="15">
        <f>A697*'Exponential Item Growth'!$B$4</f>
        <v>1162.32</v>
      </c>
      <c r="E697" s="14">
        <f>IF(ISNA(VLOOKUP(A697,'Exponential Item Growth'!$A$10:$B$18,2,FALSE)),E696, E696*VLOOKUP(A697,'Exponential Item Growth'!$A$10:$B$18,2,FALSE))</f>
        <v>256</v>
      </c>
      <c r="F697" s="14">
        <f>C697*'Exponential Item Growth'!$B$21</f>
        <v>1487769.5999999999</v>
      </c>
      <c r="G697" s="14">
        <f>'Exponential Item Growth'!$B$22*C697</f>
        <v>22316544</v>
      </c>
      <c r="H697" s="14">
        <f>'Exponential Item Growth'!$B$23*C697</f>
        <v>297553920</v>
      </c>
    </row>
    <row r="698" spans="1:8" ht="15.75" customHeight="1">
      <c r="A698" s="3">
        <v>697</v>
      </c>
      <c r="B698" s="13">
        <f>'Exponential Item Growth'!$B$5*'Exponential Item Growth'!$B$6^A698</f>
        <v>4.3469844790890707E+17</v>
      </c>
      <c r="C698" s="14">
        <f t="shared" si="0"/>
        <v>297981.44</v>
      </c>
      <c r="D698" s="15">
        <f>A698*'Exponential Item Growth'!$B$4</f>
        <v>1163.99</v>
      </c>
      <c r="E698" s="14">
        <f>IF(ISNA(VLOOKUP(A698,'Exponential Item Growth'!$A$10:$B$18,2,FALSE)),E697, E697*VLOOKUP(A698,'Exponential Item Growth'!$A$10:$B$18,2,FALSE))</f>
        <v>256</v>
      </c>
      <c r="F698" s="14">
        <f>C698*'Exponential Item Growth'!$B$21</f>
        <v>1489907.2</v>
      </c>
      <c r="G698" s="14">
        <f>'Exponential Item Growth'!$B$22*C698</f>
        <v>22348608</v>
      </c>
      <c r="H698" s="14">
        <f>'Exponential Item Growth'!$B$23*C698</f>
        <v>297981440</v>
      </c>
    </row>
    <row r="699" spans="1:8" ht="15.75" customHeight="1">
      <c r="A699" s="3">
        <v>698</v>
      </c>
      <c r="B699" s="13">
        <f>'Exponential Item Growth'!$B$5*'Exponential Item Growth'!$B$6^A699</f>
        <v>4.6078035478344154E+17</v>
      </c>
      <c r="C699" s="14">
        <f t="shared" si="0"/>
        <v>298408.95999999996</v>
      </c>
      <c r="D699" s="15">
        <f>A699*'Exponential Item Growth'!$B$4</f>
        <v>1165.6599999999999</v>
      </c>
      <c r="E699" s="14">
        <f>IF(ISNA(VLOOKUP(A699,'Exponential Item Growth'!$A$10:$B$18,2,FALSE)),E698, E698*VLOOKUP(A699,'Exponential Item Growth'!$A$10:$B$18,2,FALSE))</f>
        <v>256</v>
      </c>
      <c r="F699" s="14">
        <f>C699*'Exponential Item Growth'!$B$21</f>
        <v>1492044.7999999998</v>
      </c>
      <c r="G699" s="14">
        <f>'Exponential Item Growth'!$B$22*C699</f>
        <v>22380671.999999996</v>
      </c>
      <c r="H699" s="14">
        <f>'Exponential Item Growth'!$B$23*C699</f>
        <v>298408959.99999994</v>
      </c>
    </row>
    <row r="700" spans="1:8" ht="15.75" customHeight="1">
      <c r="A700" s="3">
        <v>699</v>
      </c>
      <c r="B700" s="13">
        <f>'Exponential Item Growth'!$B$5*'Exponential Item Growth'!$B$6^A700</f>
        <v>4.8842717607044813E+17</v>
      </c>
      <c r="C700" s="14">
        <f t="shared" si="0"/>
        <v>298836.47999999998</v>
      </c>
      <c r="D700" s="15">
        <f>A700*'Exponential Item Growth'!$B$4</f>
        <v>1167.33</v>
      </c>
      <c r="E700" s="14">
        <f>IF(ISNA(VLOOKUP(A700,'Exponential Item Growth'!$A$10:$B$18,2,FALSE)),E699, E699*VLOOKUP(A700,'Exponential Item Growth'!$A$10:$B$18,2,FALSE))</f>
        <v>256</v>
      </c>
      <c r="F700" s="14">
        <f>C700*'Exponential Item Growth'!$B$21</f>
        <v>1494182.4</v>
      </c>
      <c r="G700" s="14">
        <f>'Exponential Item Growth'!$B$22*C700</f>
        <v>22412736</v>
      </c>
      <c r="H700" s="14">
        <f>'Exponential Item Growth'!$B$23*C700</f>
        <v>298836480</v>
      </c>
    </row>
    <row r="701" spans="1:8" ht="15.75" customHeight="1">
      <c r="A701" s="3">
        <v>700</v>
      </c>
      <c r="B701" s="13">
        <f>'Exponential Item Growth'!$B$5*'Exponential Item Growth'!$B$6^A701</f>
        <v>5.1773280663467501E+17</v>
      </c>
      <c r="C701" s="14">
        <f t="shared" si="0"/>
        <v>299264</v>
      </c>
      <c r="D701" s="15">
        <f>A701*'Exponential Item Growth'!$B$4</f>
        <v>1169</v>
      </c>
      <c r="E701" s="14">
        <f>IF(ISNA(VLOOKUP(A701,'Exponential Item Growth'!$A$10:$B$18,2,FALSE)),E700, E700*VLOOKUP(A701,'Exponential Item Growth'!$A$10:$B$18,2,FALSE))</f>
        <v>256</v>
      </c>
      <c r="F701" s="14">
        <f>C701*'Exponential Item Growth'!$B$21</f>
        <v>1496320</v>
      </c>
      <c r="G701" s="14">
        <f>'Exponential Item Growth'!$B$22*C701</f>
        <v>22444800</v>
      </c>
      <c r="H701" s="14">
        <f>'Exponential Item Growth'!$B$23*C701</f>
        <v>299264000</v>
      </c>
    </row>
    <row r="702" spans="1:8" ht="15.75" customHeight="1">
      <c r="A702" s="3">
        <v>701</v>
      </c>
      <c r="B702" s="13">
        <f>'Exponential Item Growth'!$B$5*'Exponential Item Growth'!$B$6^A702</f>
        <v>5.4879677503275558E+17</v>
      </c>
      <c r="C702" s="14">
        <f t="shared" si="0"/>
        <v>299691.51999999996</v>
      </c>
      <c r="D702" s="15">
        <f>A702*'Exponential Item Growth'!$B$4</f>
        <v>1170.6699999999998</v>
      </c>
      <c r="E702" s="14">
        <f>IF(ISNA(VLOOKUP(A702,'Exponential Item Growth'!$A$10:$B$18,2,FALSE)),E701, E701*VLOOKUP(A702,'Exponential Item Growth'!$A$10:$B$18,2,FALSE))</f>
        <v>256</v>
      </c>
      <c r="F702" s="14">
        <f>C702*'Exponential Item Growth'!$B$21</f>
        <v>1498457.5999999999</v>
      </c>
      <c r="G702" s="14">
        <f>'Exponential Item Growth'!$B$22*C702</f>
        <v>22476863.999999996</v>
      </c>
      <c r="H702" s="14">
        <f>'Exponential Item Growth'!$B$23*C702</f>
        <v>299691519.99999994</v>
      </c>
    </row>
    <row r="703" spans="1:8" ht="15.75" customHeight="1">
      <c r="A703" s="3">
        <v>702</v>
      </c>
      <c r="B703" s="13">
        <f>'Exponential Item Growth'!$B$5*'Exponential Item Growth'!$B$6^A703</f>
        <v>5.817245815347209E+17</v>
      </c>
      <c r="C703" s="14">
        <f t="shared" si="0"/>
        <v>300119.03999999998</v>
      </c>
      <c r="D703" s="15">
        <f>A703*'Exponential Item Growth'!$B$4</f>
        <v>1172.3399999999999</v>
      </c>
      <c r="E703" s="14">
        <f>IF(ISNA(VLOOKUP(A703,'Exponential Item Growth'!$A$10:$B$18,2,FALSE)),E702, E702*VLOOKUP(A703,'Exponential Item Growth'!$A$10:$B$18,2,FALSE))</f>
        <v>256</v>
      </c>
      <c r="F703" s="14">
        <f>C703*'Exponential Item Growth'!$B$21</f>
        <v>1500595.2</v>
      </c>
      <c r="G703" s="14">
        <f>'Exponential Item Growth'!$B$22*C703</f>
        <v>22508928</v>
      </c>
      <c r="H703" s="14">
        <f>'Exponential Item Growth'!$B$23*C703</f>
        <v>300119040</v>
      </c>
    </row>
    <row r="704" spans="1:8" ht="15.75" customHeight="1">
      <c r="A704" s="3">
        <v>703</v>
      </c>
      <c r="B704" s="13">
        <f>'Exponential Item Growth'!$B$5*'Exponential Item Growth'!$B$6^A704</f>
        <v>6.1662805642680435E+17</v>
      </c>
      <c r="C704" s="14">
        <f t="shared" si="0"/>
        <v>300546.56</v>
      </c>
      <c r="D704" s="15">
        <f>A704*'Exponential Item Growth'!$B$4</f>
        <v>1174.01</v>
      </c>
      <c r="E704" s="14">
        <f>IF(ISNA(VLOOKUP(A704,'Exponential Item Growth'!$A$10:$B$18,2,FALSE)),E703, E703*VLOOKUP(A704,'Exponential Item Growth'!$A$10:$B$18,2,FALSE))</f>
        <v>256</v>
      </c>
      <c r="F704" s="14">
        <f>C704*'Exponential Item Growth'!$B$21</f>
        <v>1502732.8</v>
      </c>
      <c r="G704" s="14">
        <f>'Exponential Item Growth'!$B$22*C704</f>
        <v>22540992</v>
      </c>
      <c r="H704" s="14">
        <f>'Exponential Item Growth'!$B$23*C704</f>
        <v>300546560</v>
      </c>
    </row>
    <row r="705" spans="1:8" ht="15.75" customHeight="1">
      <c r="A705" s="3">
        <v>704</v>
      </c>
      <c r="B705" s="13">
        <f>'Exponential Item Growth'!$B$5*'Exponential Item Growth'!$B$6^A705</f>
        <v>6.5362573981241242E+17</v>
      </c>
      <c r="C705" s="14">
        <f t="shared" si="0"/>
        <v>300974.07999999996</v>
      </c>
      <c r="D705" s="15">
        <f>A705*'Exponential Item Growth'!$B$4</f>
        <v>1175.6799999999998</v>
      </c>
      <c r="E705" s="14">
        <f>IF(ISNA(VLOOKUP(A705,'Exponential Item Growth'!$A$10:$B$18,2,FALSE)),E704, E704*VLOOKUP(A705,'Exponential Item Growth'!$A$10:$B$18,2,FALSE))</f>
        <v>256</v>
      </c>
      <c r="F705" s="14">
        <f>C705*'Exponential Item Growth'!$B$21</f>
        <v>1504870.3999999999</v>
      </c>
      <c r="G705" s="14">
        <f>'Exponential Item Growth'!$B$22*C705</f>
        <v>22573055.999999996</v>
      </c>
      <c r="H705" s="14">
        <f>'Exponential Item Growth'!$B$23*C705</f>
        <v>300974079.99999994</v>
      </c>
    </row>
    <row r="706" spans="1:8" ht="15.75" customHeight="1">
      <c r="A706" s="3">
        <v>705</v>
      </c>
      <c r="B706" s="13">
        <f>'Exponential Item Growth'!$B$5*'Exponential Item Growth'!$B$6^A706</f>
        <v>6.9284328420115712E+17</v>
      </c>
      <c r="C706" s="14">
        <f t="shared" si="0"/>
        <v>301401.59999999998</v>
      </c>
      <c r="D706" s="15">
        <f>A706*'Exponential Item Growth'!$B$4</f>
        <v>1177.3499999999999</v>
      </c>
      <c r="E706" s="14">
        <f>IF(ISNA(VLOOKUP(A706,'Exponential Item Growth'!$A$10:$B$18,2,FALSE)),E705, E705*VLOOKUP(A706,'Exponential Item Growth'!$A$10:$B$18,2,FALSE))</f>
        <v>256</v>
      </c>
      <c r="F706" s="14">
        <f>C706*'Exponential Item Growth'!$B$21</f>
        <v>1507008</v>
      </c>
      <c r="G706" s="14">
        <f>'Exponential Item Growth'!$B$22*C706</f>
        <v>22605120</v>
      </c>
      <c r="H706" s="14">
        <f>'Exponential Item Growth'!$B$23*C706</f>
        <v>301401600</v>
      </c>
    </row>
    <row r="707" spans="1:8" ht="15.75" customHeight="1">
      <c r="A707" s="3">
        <v>706</v>
      </c>
      <c r="B707" s="13">
        <f>'Exponential Item Growth'!$B$5*'Exponential Item Growth'!$B$6^A707</f>
        <v>7.3441388125322675E+17</v>
      </c>
      <c r="C707" s="14">
        <f t="shared" si="0"/>
        <v>301829.12</v>
      </c>
      <c r="D707" s="15">
        <f>A707*'Exponential Item Growth'!$B$4</f>
        <v>1179.02</v>
      </c>
      <c r="E707" s="14">
        <f>IF(ISNA(VLOOKUP(A707,'Exponential Item Growth'!$A$10:$B$18,2,FALSE)),E706, E706*VLOOKUP(A707,'Exponential Item Growth'!$A$10:$B$18,2,FALSE))</f>
        <v>256</v>
      </c>
      <c r="F707" s="14">
        <f>C707*'Exponential Item Growth'!$B$21</f>
        <v>1509145.6000000001</v>
      </c>
      <c r="G707" s="14">
        <f>'Exponential Item Growth'!$B$22*C707</f>
        <v>22637184</v>
      </c>
      <c r="H707" s="14">
        <f>'Exponential Item Growth'!$B$23*C707</f>
        <v>301829120</v>
      </c>
    </row>
    <row r="708" spans="1:8" ht="15.75" customHeight="1">
      <c r="A708" s="3">
        <v>707</v>
      </c>
      <c r="B708" s="13">
        <f>'Exponential Item Growth'!$B$5*'Exponential Item Growth'!$B$6^A708</f>
        <v>7.7847871412842035E+17</v>
      </c>
      <c r="C708" s="14">
        <f t="shared" si="0"/>
        <v>302256.64000000001</v>
      </c>
      <c r="D708" s="15">
        <f>A708*'Exponential Item Growth'!$B$4</f>
        <v>1180.69</v>
      </c>
      <c r="E708" s="14">
        <f>IF(ISNA(VLOOKUP(A708,'Exponential Item Growth'!$A$10:$B$18,2,FALSE)),E707, E707*VLOOKUP(A708,'Exponential Item Growth'!$A$10:$B$18,2,FALSE))</f>
        <v>256</v>
      </c>
      <c r="F708" s="14">
        <f>C708*'Exponential Item Growth'!$B$21</f>
        <v>1511283.2000000002</v>
      </c>
      <c r="G708" s="14">
        <f>'Exponential Item Growth'!$B$22*C708</f>
        <v>22669248</v>
      </c>
      <c r="H708" s="14">
        <f>'Exponential Item Growth'!$B$23*C708</f>
        <v>302256640</v>
      </c>
    </row>
    <row r="709" spans="1:8" ht="15.75" customHeight="1">
      <c r="A709" s="3">
        <v>708</v>
      </c>
      <c r="B709" s="13">
        <f>'Exponential Item Growth'!$B$5*'Exponential Item Growth'!$B$6^A709</f>
        <v>8.251874369761257E+17</v>
      </c>
      <c r="C709" s="14">
        <f t="shared" si="0"/>
        <v>302684.15999999997</v>
      </c>
      <c r="D709" s="15">
        <f>A709*'Exponential Item Growth'!$B$4</f>
        <v>1182.3599999999999</v>
      </c>
      <c r="E709" s="14">
        <f>IF(ISNA(VLOOKUP(A709,'Exponential Item Growth'!$A$10:$B$18,2,FALSE)),E708, E708*VLOOKUP(A709,'Exponential Item Growth'!$A$10:$B$18,2,FALSE))</f>
        <v>256</v>
      </c>
      <c r="F709" s="14">
        <f>C709*'Exponential Item Growth'!$B$21</f>
        <v>1513420.7999999998</v>
      </c>
      <c r="G709" s="14">
        <f>'Exponential Item Growth'!$B$22*C709</f>
        <v>22701311.999999996</v>
      </c>
      <c r="H709" s="14">
        <f>'Exponential Item Growth'!$B$23*C709</f>
        <v>302684160</v>
      </c>
    </row>
    <row r="710" spans="1:8" ht="15.75" customHeight="1">
      <c r="A710" s="3">
        <v>709</v>
      </c>
      <c r="B710" s="13">
        <f>'Exponential Item Growth'!$B$5*'Exponential Item Growth'!$B$6^A710</f>
        <v>8.7469868319469312E+17</v>
      </c>
      <c r="C710" s="14">
        <f t="shared" si="0"/>
        <v>303111.67999999999</v>
      </c>
      <c r="D710" s="15">
        <f>A710*'Exponential Item Growth'!$B$4</f>
        <v>1184.03</v>
      </c>
      <c r="E710" s="14">
        <f>IF(ISNA(VLOOKUP(A710,'Exponential Item Growth'!$A$10:$B$18,2,FALSE)),E709, E709*VLOOKUP(A710,'Exponential Item Growth'!$A$10:$B$18,2,FALSE))</f>
        <v>256</v>
      </c>
      <c r="F710" s="14">
        <f>C710*'Exponential Item Growth'!$B$21</f>
        <v>1515558.4</v>
      </c>
      <c r="G710" s="14">
        <f>'Exponential Item Growth'!$B$22*C710</f>
        <v>22733376</v>
      </c>
      <c r="H710" s="14">
        <f>'Exponential Item Growth'!$B$23*C710</f>
        <v>303111680</v>
      </c>
    </row>
    <row r="711" spans="1:8" ht="15.75" customHeight="1">
      <c r="A711" s="3">
        <v>710</v>
      </c>
      <c r="B711" s="13">
        <f>'Exponential Item Growth'!$B$5*'Exponential Item Growth'!$B$6^A711</f>
        <v>9.2718060418637491E+17</v>
      </c>
      <c r="C711" s="14">
        <f t="shared" si="0"/>
        <v>303539.20000000001</v>
      </c>
      <c r="D711" s="15">
        <f>A711*'Exponential Item Growth'!$B$4</f>
        <v>1185.7</v>
      </c>
      <c r="E711" s="14">
        <f>IF(ISNA(VLOOKUP(A711,'Exponential Item Growth'!$A$10:$B$18,2,FALSE)),E710, E710*VLOOKUP(A711,'Exponential Item Growth'!$A$10:$B$18,2,FALSE))</f>
        <v>256</v>
      </c>
      <c r="F711" s="14">
        <f>C711*'Exponential Item Growth'!$B$21</f>
        <v>1517696</v>
      </c>
      <c r="G711" s="14">
        <f>'Exponential Item Growth'!$B$22*C711</f>
        <v>22765440</v>
      </c>
      <c r="H711" s="14">
        <f>'Exponential Item Growth'!$B$23*C711</f>
        <v>303539200</v>
      </c>
    </row>
    <row r="712" spans="1:8" ht="15.75" customHeight="1">
      <c r="A712" s="3">
        <v>711</v>
      </c>
      <c r="B712" s="13">
        <f>'Exponential Item Growth'!$B$5*'Exponential Item Growth'!$B$6^A712</f>
        <v>9.8281144043755763E+17</v>
      </c>
      <c r="C712" s="14">
        <f t="shared" si="0"/>
        <v>303966.71999999997</v>
      </c>
      <c r="D712" s="15">
        <f>A712*'Exponential Item Growth'!$B$4</f>
        <v>1187.3699999999999</v>
      </c>
      <c r="E712" s="14">
        <f>IF(ISNA(VLOOKUP(A712,'Exponential Item Growth'!$A$10:$B$18,2,FALSE)),E711, E711*VLOOKUP(A712,'Exponential Item Growth'!$A$10:$B$18,2,FALSE))</f>
        <v>256</v>
      </c>
      <c r="F712" s="14">
        <f>C712*'Exponential Item Growth'!$B$21</f>
        <v>1519833.5999999999</v>
      </c>
      <c r="G712" s="14">
        <f>'Exponential Item Growth'!$B$22*C712</f>
        <v>22797503.999999996</v>
      </c>
      <c r="H712" s="14">
        <f>'Exponential Item Growth'!$B$23*C712</f>
        <v>303966720</v>
      </c>
    </row>
    <row r="713" spans="1:8" ht="15.75" customHeight="1">
      <c r="A713" s="3">
        <v>712</v>
      </c>
      <c r="B713" s="13">
        <f>'Exponential Item Growth'!$B$5*'Exponential Item Growth'!$B$6^A713</f>
        <v>1.0417801268638108E+18</v>
      </c>
      <c r="C713" s="14">
        <f t="shared" si="0"/>
        <v>304394.23999999999</v>
      </c>
      <c r="D713" s="15">
        <f>A713*'Exponential Item Growth'!$B$4</f>
        <v>1189.04</v>
      </c>
      <c r="E713" s="14">
        <f>IF(ISNA(VLOOKUP(A713,'Exponential Item Growth'!$A$10:$B$18,2,FALSE)),E712, E712*VLOOKUP(A713,'Exponential Item Growth'!$A$10:$B$18,2,FALSE))</f>
        <v>256</v>
      </c>
      <c r="F713" s="14">
        <f>C713*'Exponential Item Growth'!$B$21</f>
        <v>1521971.2</v>
      </c>
      <c r="G713" s="14">
        <f>'Exponential Item Growth'!$B$22*C713</f>
        <v>22829568</v>
      </c>
      <c r="H713" s="14">
        <f>'Exponential Item Growth'!$B$23*C713</f>
        <v>304394240</v>
      </c>
    </row>
    <row r="714" spans="1:8" ht="15.75" customHeight="1">
      <c r="A714" s="3">
        <v>713</v>
      </c>
      <c r="B714" s="13">
        <f>'Exponential Item Growth'!$B$5*'Exponential Item Growth'!$B$6^A714</f>
        <v>1.1042869344756394E+18</v>
      </c>
      <c r="C714" s="14">
        <f t="shared" si="0"/>
        <v>304821.76000000001</v>
      </c>
      <c r="D714" s="15">
        <f>A714*'Exponential Item Growth'!$B$4</f>
        <v>1190.71</v>
      </c>
      <c r="E714" s="14">
        <f>IF(ISNA(VLOOKUP(A714,'Exponential Item Growth'!$A$10:$B$18,2,FALSE)),E713, E713*VLOOKUP(A714,'Exponential Item Growth'!$A$10:$B$18,2,FALSE))</f>
        <v>256</v>
      </c>
      <c r="F714" s="14">
        <f>C714*'Exponential Item Growth'!$B$21</f>
        <v>1524108.8</v>
      </c>
      <c r="G714" s="14">
        <f>'Exponential Item Growth'!$B$22*C714</f>
        <v>22861632</v>
      </c>
      <c r="H714" s="14">
        <f>'Exponential Item Growth'!$B$23*C714</f>
        <v>304821760</v>
      </c>
    </row>
    <row r="715" spans="1:8" ht="15.75" customHeight="1">
      <c r="A715" s="3">
        <v>714</v>
      </c>
      <c r="B715" s="13">
        <f>'Exponential Item Growth'!$B$5*'Exponential Item Growth'!$B$6^A715</f>
        <v>1.1705441505441779E+18</v>
      </c>
      <c r="C715" s="14">
        <f t="shared" si="0"/>
        <v>305249.27999999997</v>
      </c>
      <c r="D715" s="15">
        <f>A715*'Exponential Item Growth'!$B$4</f>
        <v>1192.3799999999999</v>
      </c>
      <c r="E715" s="14">
        <f>IF(ISNA(VLOOKUP(A715,'Exponential Item Growth'!$A$10:$B$18,2,FALSE)),E714, E714*VLOOKUP(A715,'Exponential Item Growth'!$A$10:$B$18,2,FALSE))</f>
        <v>256</v>
      </c>
      <c r="F715" s="14">
        <f>C715*'Exponential Item Growth'!$B$21</f>
        <v>1526246.3999999999</v>
      </c>
      <c r="G715" s="14">
        <f>'Exponential Item Growth'!$B$22*C715</f>
        <v>22893695.999999996</v>
      </c>
      <c r="H715" s="14">
        <f>'Exponential Item Growth'!$B$23*C715</f>
        <v>305249279.99999994</v>
      </c>
    </row>
    <row r="716" spans="1:8" ht="15.75" customHeight="1">
      <c r="A716" s="3">
        <v>715</v>
      </c>
      <c r="B716" s="13">
        <f>'Exponential Item Growth'!$B$5*'Exponential Item Growth'!$B$6^A716</f>
        <v>1.2407767995768287E+18</v>
      </c>
      <c r="C716" s="14">
        <f t="shared" si="0"/>
        <v>305676.79999999999</v>
      </c>
      <c r="D716" s="15">
        <f>A716*'Exponential Item Growth'!$B$4</f>
        <v>1194.05</v>
      </c>
      <c r="E716" s="14">
        <f>IF(ISNA(VLOOKUP(A716,'Exponential Item Growth'!$A$10:$B$18,2,FALSE)),E715, E715*VLOOKUP(A716,'Exponential Item Growth'!$A$10:$B$18,2,FALSE))</f>
        <v>256</v>
      </c>
      <c r="F716" s="14">
        <f>C716*'Exponential Item Growth'!$B$21</f>
        <v>1528384</v>
      </c>
      <c r="G716" s="14">
        <f>'Exponential Item Growth'!$B$22*C716</f>
        <v>22925760</v>
      </c>
      <c r="H716" s="14">
        <f>'Exponential Item Growth'!$B$23*C716</f>
        <v>305676800</v>
      </c>
    </row>
    <row r="717" spans="1:8" ht="15.75" customHeight="1">
      <c r="A717" s="3">
        <v>716</v>
      </c>
      <c r="B717" s="13">
        <f>'Exponential Item Growth'!$B$5*'Exponential Item Growth'!$B$6^A717</f>
        <v>1.3152234075514386E+18</v>
      </c>
      <c r="C717" s="14">
        <f t="shared" si="0"/>
        <v>306104.32000000001</v>
      </c>
      <c r="D717" s="15">
        <f>A717*'Exponential Item Growth'!$B$4</f>
        <v>1195.72</v>
      </c>
      <c r="E717" s="14">
        <f>IF(ISNA(VLOOKUP(A717,'Exponential Item Growth'!$A$10:$B$18,2,FALSE)),E716, E716*VLOOKUP(A717,'Exponential Item Growth'!$A$10:$B$18,2,FALSE))</f>
        <v>256</v>
      </c>
      <c r="F717" s="14">
        <f>C717*'Exponential Item Growth'!$B$21</f>
        <v>1530521.6000000001</v>
      </c>
      <c r="G717" s="14">
        <f>'Exponential Item Growth'!$B$22*C717</f>
        <v>22957824</v>
      </c>
      <c r="H717" s="14">
        <f>'Exponential Item Growth'!$B$23*C717</f>
        <v>306104320</v>
      </c>
    </row>
    <row r="718" spans="1:8" ht="15.75" customHeight="1">
      <c r="A718" s="3">
        <v>717</v>
      </c>
      <c r="B718" s="13">
        <f>'Exponential Item Growth'!$B$5*'Exponential Item Growth'!$B$6^A718</f>
        <v>1.3941368120045251E+18</v>
      </c>
      <c r="C718" s="14">
        <f t="shared" si="0"/>
        <v>306531.83999999997</v>
      </c>
      <c r="D718" s="15">
        <f>A718*'Exponential Item Growth'!$B$4</f>
        <v>1197.3899999999999</v>
      </c>
      <c r="E718" s="14">
        <f>IF(ISNA(VLOOKUP(A718,'Exponential Item Growth'!$A$10:$B$18,2,FALSE)),E717, E717*VLOOKUP(A718,'Exponential Item Growth'!$A$10:$B$18,2,FALSE))</f>
        <v>256</v>
      </c>
      <c r="F718" s="14">
        <f>C718*'Exponential Item Growth'!$B$21</f>
        <v>1532659.1999999997</v>
      </c>
      <c r="G718" s="14">
        <f>'Exponential Item Growth'!$B$22*C718</f>
        <v>22989887.999999996</v>
      </c>
      <c r="H718" s="14">
        <f>'Exponential Item Growth'!$B$23*C718</f>
        <v>306531839.99999994</v>
      </c>
    </row>
    <row r="719" spans="1:8" ht="15.75" customHeight="1">
      <c r="A719" s="3">
        <v>718</v>
      </c>
      <c r="B719" s="13">
        <f>'Exponential Item Growth'!$B$5*'Exponential Item Growth'!$B$6^A719</f>
        <v>1.4777850207247964E+18</v>
      </c>
      <c r="C719" s="14">
        <f t="shared" si="0"/>
        <v>306959.35999999999</v>
      </c>
      <c r="D719" s="15">
        <f>A719*'Exponential Item Growth'!$B$4</f>
        <v>1199.06</v>
      </c>
      <c r="E719" s="14">
        <f>IF(ISNA(VLOOKUP(A719,'Exponential Item Growth'!$A$10:$B$18,2,FALSE)),E718, E718*VLOOKUP(A719,'Exponential Item Growth'!$A$10:$B$18,2,FALSE))</f>
        <v>256</v>
      </c>
      <c r="F719" s="14">
        <f>C719*'Exponential Item Growth'!$B$21</f>
        <v>1534796.7999999998</v>
      </c>
      <c r="G719" s="14">
        <f>'Exponential Item Growth'!$B$22*C719</f>
        <v>23021952</v>
      </c>
      <c r="H719" s="14">
        <f>'Exponential Item Growth'!$B$23*C719</f>
        <v>306959360</v>
      </c>
    </row>
    <row r="720" spans="1:8" ht="15.75" customHeight="1">
      <c r="A720" s="3">
        <v>719</v>
      </c>
      <c r="B720" s="13">
        <f>'Exponential Item Growth'!$B$5*'Exponential Item Growth'!$B$6^A720</f>
        <v>1.5664521219682849E+18</v>
      </c>
      <c r="C720" s="14">
        <f t="shared" si="0"/>
        <v>307386.88</v>
      </c>
      <c r="D720" s="15">
        <f>A720*'Exponential Item Growth'!$B$4</f>
        <v>1200.73</v>
      </c>
      <c r="E720" s="14">
        <f>IF(ISNA(VLOOKUP(A720,'Exponential Item Growth'!$A$10:$B$18,2,FALSE)),E719, E719*VLOOKUP(A720,'Exponential Item Growth'!$A$10:$B$18,2,FALSE))</f>
        <v>256</v>
      </c>
      <c r="F720" s="14">
        <f>C720*'Exponential Item Growth'!$B$21</f>
        <v>1536934.4</v>
      </c>
      <c r="G720" s="14">
        <f>'Exponential Item Growth'!$B$22*C720</f>
        <v>23054016</v>
      </c>
      <c r="H720" s="14">
        <f>'Exponential Item Growth'!$B$23*C720</f>
        <v>307386880</v>
      </c>
    </row>
    <row r="721" spans="1:8" ht="15.75" customHeight="1">
      <c r="A721" s="3">
        <v>720</v>
      </c>
      <c r="B721" s="13">
        <f>'Exponential Item Growth'!$B$5*'Exponential Item Growth'!$B$6^A721</f>
        <v>1.6604392492863813E+18</v>
      </c>
      <c r="C721" s="14">
        <f t="shared" si="0"/>
        <v>307814.39999999997</v>
      </c>
      <c r="D721" s="15">
        <f>A721*'Exponential Item Growth'!$B$4</f>
        <v>1202.3999999999999</v>
      </c>
      <c r="E721" s="14">
        <f>IF(ISNA(VLOOKUP(A721,'Exponential Item Growth'!$A$10:$B$18,2,FALSE)),E720, E720*VLOOKUP(A721,'Exponential Item Growth'!$A$10:$B$18,2,FALSE))</f>
        <v>256</v>
      </c>
      <c r="F721" s="14">
        <f>C721*'Exponential Item Growth'!$B$21</f>
        <v>1539071.9999999998</v>
      </c>
      <c r="G721" s="14">
        <f>'Exponential Item Growth'!$B$22*C721</f>
        <v>23086079.999999996</v>
      </c>
      <c r="H721" s="14">
        <f>'Exponential Item Growth'!$B$23*C721</f>
        <v>307814399.99999994</v>
      </c>
    </row>
    <row r="722" spans="1:8" ht="15.75" customHeight="1">
      <c r="A722" s="3">
        <v>721</v>
      </c>
      <c r="B722" s="13">
        <f>'Exponential Item Growth'!$B$5*'Exponential Item Growth'!$B$6^A722</f>
        <v>1.7600656042435645E+18</v>
      </c>
      <c r="C722" s="14">
        <f t="shared" si="0"/>
        <v>308241.91999999998</v>
      </c>
      <c r="D722" s="15">
        <f>A722*'Exponential Item Growth'!$B$4</f>
        <v>1204.07</v>
      </c>
      <c r="E722" s="14">
        <f>IF(ISNA(VLOOKUP(A722,'Exponential Item Growth'!$A$10:$B$18,2,FALSE)),E721, E721*VLOOKUP(A722,'Exponential Item Growth'!$A$10:$B$18,2,FALSE))</f>
        <v>256</v>
      </c>
      <c r="F722" s="14">
        <f>C722*'Exponential Item Growth'!$B$21</f>
        <v>1541209.5999999999</v>
      </c>
      <c r="G722" s="14">
        <f>'Exponential Item Growth'!$B$22*C722</f>
        <v>23118144</v>
      </c>
      <c r="H722" s="14">
        <f>'Exponential Item Growth'!$B$23*C722</f>
        <v>308241920</v>
      </c>
    </row>
    <row r="723" spans="1:8" ht="15.75" customHeight="1">
      <c r="A723" s="3">
        <v>722</v>
      </c>
      <c r="B723" s="13">
        <f>'Exponential Item Growth'!$B$5*'Exponential Item Growth'!$B$6^A723</f>
        <v>1.8656695404981783E+18</v>
      </c>
      <c r="C723" s="14">
        <f t="shared" si="0"/>
        <v>308669.44</v>
      </c>
      <c r="D723" s="15">
        <f>A723*'Exponential Item Growth'!$B$4</f>
        <v>1205.74</v>
      </c>
      <c r="E723" s="14">
        <f>IF(ISNA(VLOOKUP(A723,'Exponential Item Growth'!$A$10:$B$18,2,FALSE)),E722, E722*VLOOKUP(A723,'Exponential Item Growth'!$A$10:$B$18,2,FALSE))</f>
        <v>256</v>
      </c>
      <c r="F723" s="14">
        <f>C723*'Exponential Item Growth'!$B$21</f>
        <v>1543347.2</v>
      </c>
      <c r="G723" s="14">
        <f>'Exponential Item Growth'!$B$22*C723</f>
        <v>23150208</v>
      </c>
      <c r="H723" s="14">
        <f>'Exponential Item Growth'!$B$23*C723</f>
        <v>308669440</v>
      </c>
    </row>
    <row r="724" spans="1:8" ht="15.75" customHeight="1">
      <c r="A724" s="3">
        <v>723</v>
      </c>
      <c r="B724" s="13">
        <f>'Exponential Item Growth'!$B$5*'Exponential Item Growth'!$B$6^A724</f>
        <v>1.9776097129280691E+18</v>
      </c>
      <c r="C724" s="14">
        <f t="shared" si="0"/>
        <v>309096.95999999996</v>
      </c>
      <c r="D724" s="15">
        <f>A724*'Exponential Item Growth'!$B$4</f>
        <v>1207.4099999999999</v>
      </c>
      <c r="E724" s="14">
        <f>IF(ISNA(VLOOKUP(A724,'Exponential Item Growth'!$A$10:$B$18,2,FALSE)),E723, E723*VLOOKUP(A724,'Exponential Item Growth'!$A$10:$B$18,2,FALSE))</f>
        <v>256</v>
      </c>
      <c r="F724" s="14">
        <f>C724*'Exponential Item Growth'!$B$21</f>
        <v>1545484.7999999998</v>
      </c>
      <c r="G724" s="14">
        <f>'Exponential Item Growth'!$B$22*C724</f>
        <v>23182271.999999996</v>
      </c>
      <c r="H724" s="14">
        <f>'Exponential Item Growth'!$B$23*C724</f>
        <v>309096959.99999994</v>
      </c>
    </row>
    <row r="725" spans="1:8" ht="15.75" customHeight="1">
      <c r="A725" s="3">
        <v>724</v>
      </c>
      <c r="B725" s="13">
        <f>'Exponential Item Growth'!$B$5*'Exponential Item Growth'!$B$6^A725</f>
        <v>2.0962662957037532E+18</v>
      </c>
      <c r="C725" s="14">
        <f t="shared" si="0"/>
        <v>309524.47999999998</v>
      </c>
      <c r="D725" s="15">
        <f>A725*'Exponential Item Growth'!$B$4</f>
        <v>1209.08</v>
      </c>
      <c r="E725" s="14">
        <f>IF(ISNA(VLOOKUP(A725,'Exponential Item Growth'!$A$10:$B$18,2,FALSE)),E724, E724*VLOOKUP(A725,'Exponential Item Growth'!$A$10:$B$18,2,FALSE))</f>
        <v>256</v>
      </c>
      <c r="F725" s="14">
        <f>C725*'Exponential Item Growth'!$B$21</f>
        <v>1547622.3999999999</v>
      </c>
      <c r="G725" s="14">
        <f>'Exponential Item Growth'!$B$22*C725</f>
        <v>23214336</v>
      </c>
      <c r="H725" s="14">
        <f>'Exponential Item Growth'!$B$23*C725</f>
        <v>309524480</v>
      </c>
    </row>
    <row r="726" spans="1:8" ht="15.75" customHeight="1">
      <c r="A726" s="3">
        <v>725</v>
      </c>
      <c r="B726" s="13">
        <f>'Exponential Item Growth'!$B$5*'Exponential Item Growth'!$B$6^A726</f>
        <v>2.2220422734459789E+18</v>
      </c>
      <c r="C726" s="14">
        <f t="shared" si="0"/>
        <v>309952</v>
      </c>
      <c r="D726" s="15">
        <f>A726*'Exponential Item Growth'!$B$4</f>
        <v>1210.75</v>
      </c>
      <c r="E726" s="14">
        <f>IF(ISNA(VLOOKUP(A726,'Exponential Item Growth'!$A$10:$B$18,2,FALSE)),E725, E725*VLOOKUP(A726,'Exponential Item Growth'!$A$10:$B$18,2,FALSE))</f>
        <v>256</v>
      </c>
      <c r="F726" s="14">
        <f>C726*'Exponential Item Growth'!$B$21</f>
        <v>1549760</v>
      </c>
      <c r="G726" s="14">
        <f>'Exponential Item Growth'!$B$22*C726</f>
        <v>23246400</v>
      </c>
      <c r="H726" s="14">
        <f>'Exponential Item Growth'!$B$23*C726</f>
        <v>309952000</v>
      </c>
    </row>
    <row r="727" spans="1:8" ht="15.75" customHeight="1">
      <c r="A727" s="3">
        <v>726</v>
      </c>
      <c r="B727" s="13">
        <f>'Exponential Item Growth'!$B$5*'Exponential Item Growth'!$B$6^A727</f>
        <v>2.355364809852738E+18</v>
      </c>
      <c r="C727" s="14">
        <f t="shared" si="0"/>
        <v>310379.51999999996</v>
      </c>
      <c r="D727" s="15">
        <f>A727*'Exponential Item Growth'!$B$4</f>
        <v>1212.4199999999998</v>
      </c>
      <c r="E727" s="14">
        <f>IF(ISNA(VLOOKUP(A727,'Exponential Item Growth'!$A$10:$B$18,2,FALSE)),E726, E726*VLOOKUP(A727,'Exponential Item Growth'!$A$10:$B$18,2,FALSE))</f>
        <v>256</v>
      </c>
      <c r="F727" s="14">
        <f>C727*'Exponential Item Growth'!$B$21</f>
        <v>1551897.5999999999</v>
      </c>
      <c r="G727" s="14">
        <f>'Exponential Item Growth'!$B$22*C727</f>
        <v>23278463.999999996</v>
      </c>
      <c r="H727" s="14">
        <f>'Exponential Item Growth'!$B$23*C727</f>
        <v>310379519.99999994</v>
      </c>
    </row>
    <row r="728" spans="1:8" ht="15.75" customHeight="1">
      <c r="A728" s="3">
        <v>727</v>
      </c>
      <c r="B728" s="13">
        <f>'Exponential Item Growth'!$B$5*'Exponential Item Growth'!$B$6^A728</f>
        <v>2.496686698443903E+18</v>
      </c>
      <c r="C728" s="14">
        <f t="shared" si="0"/>
        <v>310807.03999999998</v>
      </c>
      <c r="D728" s="15">
        <f>A728*'Exponential Item Growth'!$B$4</f>
        <v>1214.0899999999999</v>
      </c>
      <c r="E728" s="14">
        <f>IF(ISNA(VLOOKUP(A728,'Exponential Item Growth'!$A$10:$B$18,2,FALSE)),E727, E727*VLOOKUP(A728,'Exponential Item Growth'!$A$10:$B$18,2,FALSE))</f>
        <v>256</v>
      </c>
      <c r="F728" s="14">
        <f>C728*'Exponential Item Growth'!$B$21</f>
        <v>1554035.2</v>
      </c>
      <c r="G728" s="14">
        <f>'Exponential Item Growth'!$B$22*C728</f>
        <v>23310528</v>
      </c>
      <c r="H728" s="14">
        <f>'Exponential Item Growth'!$B$23*C728</f>
        <v>310807040</v>
      </c>
    </row>
    <row r="729" spans="1:8" ht="15.75" customHeight="1">
      <c r="A729" s="3">
        <v>728</v>
      </c>
      <c r="B729" s="13">
        <f>'Exponential Item Growth'!$B$5*'Exponential Item Growth'!$B$6^A729</f>
        <v>2.6464879003505362E+18</v>
      </c>
      <c r="C729" s="14">
        <f t="shared" si="0"/>
        <v>311234.56</v>
      </c>
      <c r="D729" s="15">
        <f>A729*'Exponential Item Growth'!$B$4</f>
        <v>1215.76</v>
      </c>
      <c r="E729" s="14">
        <f>IF(ISNA(VLOOKUP(A729,'Exponential Item Growth'!$A$10:$B$18,2,FALSE)),E728, E728*VLOOKUP(A729,'Exponential Item Growth'!$A$10:$B$18,2,FALSE))</f>
        <v>256</v>
      </c>
      <c r="F729" s="14">
        <f>C729*'Exponential Item Growth'!$B$21</f>
        <v>1556172.8</v>
      </c>
      <c r="G729" s="14">
        <f>'Exponential Item Growth'!$B$22*C729</f>
        <v>23342592</v>
      </c>
      <c r="H729" s="14">
        <f>'Exponential Item Growth'!$B$23*C729</f>
        <v>311234560</v>
      </c>
    </row>
    <row r="730" spans="1:8" ht="15.75" customHeight="1">
      <c r="A730" s="3">
        <v>729</v>
      </c>
      <c r="B730" s="13">
        <f>'Exponential Item Growth'!$B$5*'Exponential Item Growth'!$B$6^A730</f>
        <v>2.8052771743715686E+18</v>
      </c>
      <c r="C730" s="14">
        <f t="shared" si="0"/>
        <v>311662.07999999996</v>
      </c>
      <c r="D730" s="15">
        <f>A730*'Exponential Item Growth'!$B$4</f>
        <v>1217.4299999999998</v>
      </c>
      <c r="E730" s="14">
        <f>IF(ISNA(VLOOKUP(A730,'Exponential Item Growth'!$A$10:$B$18,2,FALSE)),E729, E729*VLOOKUP(A730,'Exponential Item Growth'!$A$10:$B$18,2,FALSE))</f>
        <v>256</v>
      </c>
      <c r="F730" s="14">
        <f>C730*'Exponential Item Growth'!$B$21</f>
        <v>1558310.4</v>
      </c>
      <c r="G730" s="14">
        <f>'Exponential Item Growth'!$B$22*C730</f>
        <v>23374655.999999996</v>
      </c>
      <c r="H730" s="14">
        <f>'Exponential Item Growth'!$B$23*C730</f>
        <v>311662079.99999994</v>
      </c>
    </row>
    <row r="731" spans="1:8" ht="15.75" customHeight="1">
      <c r="A731" s="3">
        <v>730</v>
      </c>
      <c r="B731" s="13">
        <f>'Exponential Item Growth'!$B$5*'Exponential Item Growth'!$B$6^A731</f>
        <v>2.9735938048338627E+18</v>
      </c>
      <c r="C731" s="14">
        <f t="shared" si="0"/>
        <v>312089.59999999998</v>
      </c>
      <c r="D731" s="15">
        <f>A731*'Exponential Item Growth'!$B$4</f>
        <v>1219.0999999999999</v>
      </c>
      <c r="E731" s="14">
        <f>IF(ISNA(VLOOKUP(A731,'Exponential Item Growth'!$A$10:$B$18,2,FALSE)),E730, E730*VLOOKUP(A731,'Exponential Item Growth'!$A$10:$B$18,2,FALSE))</f>
        <v>256</v>
      </c>
      <c r="F731" s="14">
        <f>C731*'Exponential Item Growth'!$B$21</f>
        <v>1560448</v>
      </c>
      <c r="G731" s="14">
        <f>'Exponential Item Growth'!$B$22*C731</f>
        <v>23406720</v>
      </c>
      <c r="H731" s="14">
        <f>'Exponential Item Growth'!$B$23*C731</f>
        <v>312089600</v>
      </c>
    </row>
    <row r="732" spans="1:8" ht="15.75" customHeight="1">
      <c r="A732" s="3">
        <v>731</v>
      </c>
      <c r="B732" s="13">
        <f>'Exponential Item Growth'!$B$5*'Exponential Item Growth'!$B$6^A732</f>
        <v>3.1520094331238953E+18</v>
      </c>
      <c r="C732" s="14">
        <f t="shared" si="0"/>
        <v>312517.12</v>
      </c>
      <c r="D732" s="15">
        <f>A732*'Exponential Item Growth'!$B$4</f>
        <v>1220.77</v>
      </c>
      <c r="E732" s="14">
        <f>IF(ISNA(VLOOKUP(A732,'Exponential Item Growth'!$A$10:$B$18,2,FALSE)),E731, E731*VLOOKUP(A732,'Exponential Item Growth'!$A$10:$B$18,2,FALSE))</f>
        <v>256</v>
      </c>
      <c r="F732" s="14">
        <f>C732*'Exponential Item Growth'!$B$21</f>
        <v>1562585.6</v>
      </c>
      <c r="G732" s="14">
        <f>'Exponential Item Growth'!$B$22*C732</f>
        <v>23438784</v>
      </c>
      <c r="H732" s="14">
        <f>'Exponential Item Growth'!$B$23*C732</f>
        <v>312517120</v>
      </c>
    </row>
    <row r="733" spans="1:8" ht="15.75" customHeight="1">
      <c r="A733" s="3">
        <v>732</v>
      </c>
      <c r="B733" s="13">
        <f>'Exponential Item Growth'!$B$5*'Exponential Item Growth'!$B$6^A733</f>
        <v>3.3411299991113288E+18</v>
      </c>
      <c r="C733" s="14">
        <f t="shared" si="0"/>
        <v>312944.64000000001</v>
      </c>
      <c r="D733" s="15">
        <f>A733*'Exponential Item Growth'!$B$4</f>
        <v>1222.44</v>
      </c>
      <c r="E733" s="14">
        <f>IF(ISNA(VLOOKUP(A733,'Exponential Item Growth'!$A$10:$B$18,2,FALSE)),E732, E732*VLOOKUP(A733,'Exponential Item Growth'!$A$10:$B$18,2,FALSE))</f>
        <v>256</v>
      </c>
      <c r="F733" s="14">
        <f>C733*'Exponential Item Growth'!$B$21</f>
        <v>1564723.2000000002</v>
      </c>
      <c r="G733" s="14">
        <f>'Exponential Item Growth'!$B$22*C733</f>
        <v>23470848</v>
      </c>
      <c r="H733" s="14">
        <f>'Exponential Item Growth'!$B$23*C733</f>
        <v>312944640</v>
      </c>
    </row>
    <row r="734" spans="1:8" ht="15.75" customHeight="1">
      <c r="A734" s="3">
        <v>733</v>
      </c>
      <c r="B734" s="13">
        <f>'Exponential Item Growth'!$B$5*'Exponential Item Growth'!$B$6^A734</f>
        <v>3.5415977990580091E+18</v>
      </c>
      <c r="C734" s="14">
        <f t="shared" si="0"/>
        <v>313372.15999999997</v>
      </c>
      <c r="D734" s="15">
        <f>A734*'Exponential Item Growth'!$B$4</f>
        <v>1224.1099999999999</v>
      </c>
      <c r="E734" s="14">
        <f>IF(ISNA(VLOOKUP(A734,'Exponential Item Growth'!$A$10:$B$18,2,FALSE)),E733, E733*VLOOKUP(A734,'Exponential Item Growth'!$A$10:$B$18,2,FALSE))</f>
        <v>256</v>
      </c>
      <c r="F734" s="14">
        <f>C734*'Exponential Item Growth'!$B$21</f>
        <v>1566860.7999999998</v>
      </c>
      <c r="G734" s="14">
        <f>'Exponential Item Growth'!$B$22*C734</f>
        <v>23502911.999999996</v>
      </c>
      <c r="H734" s="14">
        <f>'Exponential Item Growth'!$B$23*C734</f>
        <v>313372160</v>
      </c>
    </row>
    <row r="735" spans="1:8" ht="15.75" customHeight="1">
      <c r="A735" s="3">
        <v>734</v>
      </c>
      <c r="B735" s="13">
        <f>'Exponential Item Growth'!$B$5*'Exponential Item Growth'!$B$6^A735</f>
        <v>3.7540936670014899E+18</v>
      </c>
      <c r="C735" s="14">
        <f t="shared" si="0"/>
        <v>313799.67999999999</v>
      </c>
      <c r="D735" s="15">
        <f>A735*'Exponential Item Growth'!$B$4</f>
        <v>1225.78</v>
      </c>
      <c r="E735" s="14">
        <f>IF(ISNA(VLOOKUP(A735,'Exponential Item Growth'!$A$10:$B$18,2,FALSE)),E734, E734*VLOOKUP(A735,'Exponential Item Growth'!$A$10:$B$18,2,FALSE))</f>
        <v>256</v>
      </c>
      <c r="F735" s="14">
        <f>C735*'Exponential Item Growth'!$B$21</f>
        <v>1568998.3999999999</v>
      </c>
      <c r="G735" s="14">
        <f>'Exponential Item Growth'!$B$22*C735</f>
        <v>23534976</v>
      </c>
      <c r="H735" s="14">
        <f>'Exponential Item Growth'!$B$23*C735</f>
        <v>313799680</v>
      </c>
    </row>
    <row r="736" spans="1:8" ht="15.75" customHeight="1">
      <c r="A736" s="3">
        <v>735</v>
      </c>
      <c r="B736" s="13">
        <f>'Exponential Item Growth'!$B$5*'Exponential Item Growth'!$B$6^A736</f>
        <v>3.9793392870215798E+18</v>
      </c>
      <c r="C736" s="14">
        <f t="shared" si="0"/>
        <v>314227.20000000001</v>
      </c>
      <c r="D736" s="15">
        <f>A736*'Exponential Item Growth'!$B$4</f>
        <v>1227.45</v>
      </c>
      <c r="E736" s="14">
        <f>IF(ISNA(VLOOKUP(A736,'Exponential Item Growth'!$A$10:$B$18,2,FALSE)),E735, E735*VLOOKUP(A736,'Exponential Item Growth'!$A$10:$B$18,2,FALSE))</f>
        <v>256</v>
      </c>
      <c r="F736" s="14">
        <f>C736*'Exponential Item Growth'!$B$21</f>
        <v>1571136</v>
      </c>
      <c r="G736" s="14">
        <f>'Exponential Item Growth'!$B$22*C736</f>
        <v>23567040</v>
      </c>
      <c r="H736" s="14">
        <f>'Exponential Item Growth'!$B$23*C736</f>
        <v>314227200</v>
      </c>
    </row>
    <row r="737" spans="1:8" ht="15.75" customHeight="1">
      <c r="A737" s="3">
        <v>736</v>
      </c>
      <c r="B737" s="13">
        <f>'Exponential Item Growth'!$B$5*'Exponential Item Growth'!$B$6^A737</f>
        <v>4.2180996442428739E+18</v>
      </c>
      <c r="C737" s="14">
        <f t="shared" si="0"/>
        <v>314654.71999999997</v>
      </c>
      <c r="D737" s="15">
        <f>A737*'Exponential Item Growth'!$B$4</f>
        <v>1229.1199999999999</v>
      </c>
      <c r="E737" s="14">
        <f>IF(ISNA(VLOOKUP(A737,'Exponential Item Growth'!$A$10:$B$18,2,FALSE)),E736, E736*VLOOKUP(A737,'Exponential Item Growth'!$A$10:$B$18,2,FALSE))</f>
        <v>256</v>
      </c>
      <c r="F737" s="14">
        <f>C737*'Exponential Item Growth'!$B$21</f>
        <v>1573273.5999999999</v>
      </c>
      <c r="G737" s="14">
        <f>'Exponential Item Growth'!$B$22*C737</f>
        <v>23599103.999999996</v>
      </c>
      <c r="H737" s="14">
        <f>'Exponential Item Growth'!$B$23*C737</f>
        <v>314654720</v>
      </c>
    </row>
    <row r="738" spans="1:8" ht="15.75" customHeight="1">
      <c r="A738" s="3">
        <v>737</v>
      </c>
      <c r="B738" s="13">
        <f>'Exponential Item Growth'!$B$5*'Exponential Item Growth'!$B$6^A738</f>
        <v>4.4711856228974459E+18</v>
      </c>
      <c r="C738" s="14">
        <f t="shared" si="0"/>
        <v>315082.23999999999</v>
      </c>
      <c r="D738" s="15">
        <f>A738*'Exponential Item Growth'!$B$4</f>
        <v>1230.79</v>
      </c>
      <c r="E738" s="14">
        <f>IF(ISNA(VLOOKUP(A738,'Exponential Item Growth'!$A$10:$B$18,2,FALSE)),E737, E737*VLOOKUP(A738,'Exponential Item Growth'!$A$10:$B$18,2,FALSE))</f>
        <v>256</v>
      </c>
      <c r="F738" s="14">
        <f>C738*'Exponential Item Growth'!$B$21</f>
        <v>1575411.2</v>
      </c>
      <c r="G738" s="14">
        <f>'Exponential Item Growth'!$B$22*C738</f>
        <v>23631168</v>
      </c>
      <c r="H738" s="14">
        <f>'Exponential Item Growth'!$B$23*C738</f>
        <v>315082240</v>
      </c>
    </row>
    <row r="739" spans="1:8" ht="15.75" customHeight="1">
      <c r="A739" s="3">
        <v>738</v>
      </c>
      <c r="B739" s="13">
        <f>'Exponential Item Growth'!$B$5*'Exponential Item Growth'!$B$6^A739</f>
        <v>4.7394567602712934E+18</v>
      </c>
      <c r="C739" s="14">
        <f t="shared" si="0"/>
        <v>315509.76000000001</v>
      </c>
      <c r="D739" s="15">
        <f>A739*'Exponential Item Growth'!$B$4</f>
        <v>1232.46</v>
      </c>
      <c r="E739" s="14">
        <f>IF(ISNA(VLOOKUP(A739,'Exponential Item Growth'!$A$10:$B$18,2,FALSE)),E738, E738*VLOOKUP(A739,'Exponential Item Growth'!$A$10:$B$18,2,FALSE))</f>
        <v>256</v>
      </c>
      <c r="F739" s="14">
        <f>C739*'Exponential Item Growth'!$B$21</f>
        <v>1577548.8</v>
      </c>
      <c r="G739" s="14">
        <f>'Exponential Item Growth'!$B$22*C739</f>
        <v>23663232</v>
      </c>
      <c r="H739" s="14">
        <f>'Exponential Item Growth'!$B$23*C739</f>
        <v>315509760</v>
      </c>
    </row>
    <row r="740" spans="1:8" ht="15.75" customHeight="1">
      <c r="A740" s="3">
        <v>739</v>
      </c>
      <c r="B740" s="13">
        <f>'Exponential Item Growth'!$B$5*'Exponential Item Growth'!$B$6^A740</f>
        <v>5.0238241658875709E+18</v>
      </c>
      <c r="C740" s="14">
        <f t="shared" si="0"/>
        <v>315937.27999999997</v>
      </c>
      <c r="D740" s="15">
        <f>A740*'Exponential Item Growth'!$B$4</f>
        <v>1234.1299999999999</v>
      </c>
      <c r="E740" s="14">
        <f>IF(ISNA(VLOOKUP(A740,'Exponential Item Growth'!$A$10:$B$18,2,FALSE)),E739, E739*VLOOKUP(A740,'Exponential Item Growth'!$A$10:$B$18,2,FALSE))</f>
        <v>256</v>
      </c>
      <c r="F740" s="14">
        <f>C740*'Exponential Item Growth'!$B$21</f>
        <v>1579686.4</v>
      </c>
      <c r="G740" s="14">
        <f>'Exponential Item Growth'!$B$22*C740</f>
        <v>23695295.999999996</v>
      </c>
      <c r="H740" s="14">
        <f>'Exponential Item Growth'!$B$23*C740</f>
        <v>315937279.99999994</v>
      </c>
    </row>
    <row r="741" spans="1:8" ht="15.75" customHeight="1">
      <c r="A741" s="3">
        <v>740</v>
      </c>
      <c r="B741" s="13">
        <f>'Exponential Item Growth'!$B$5*'Exponential Item Growth'!$B$6^A741</f>
        <v>5.3252536158408264E+18</v>
      </c>
      <c r="C741" s="14">
        <f t="shared" si="0"/>
        <v>316364.79999999999</v>
      </c>
      <c r="D741" s="15">
        <f>A741*'Exponential Item Growth'!$B$4</f>
        <v>1235.8</v>
      </c>
      <c r="E741" s="14">
        <f>IF(ISNA(VLOOKUP(A741,'Exponential Item Growth'!$A$10:$B$18,2,FALSE)),E740, E740*VLOOKUP(A741,'Exponential Item Growth'!$A$10:$B$18,2,FALSE))</f>
        <v>256</v>
      </c>
      <c r="F741" s="14">
        <f>C741*'Exponential Item Growth'!$B$21</f>
        <v>1581824</v>
      </c>
      <c r="G741" s="14">
        <f>'Exponential Item Growth'!$B$22*C741</f>
        <v>23727360</v>
      </c>
      <c r="H741" s="14">
        <f>'Exponential Item Growth'!$B$23*C741</f>
        <v>316364800</v>
      </c>
    </row>
    <row r="742" spans="1:8" ht="15.75" customHeight="1">
      <c r="A742" s="3">
        <v>741</v>
      </c>
      <c r="B742" s="13">
        <f>'Exponential Item Growth'!$B$5*'Exponential Item Growth'!$B$6^A742</f>
        <v>5.6447688327912755E+18</v>
      </c>
      <c r="C742" s="14">
        <f t="shared" si="0"/>
        <v>316792.32000000001</v>
      </c>
      <c r="D742" s="15">
        <f>A742*'Exponential Item Growth'!$B$4</f>
        <v>1237.47</v>
      </c>
      <c r="E742" s="14">
        <f>IF(ISNA(VLOOKUP(A742,'Exponential Item Growth'!$A$10:$B$18,2,FALSE)),E741, E741*VLOOKUP(A742,'Exponential Item Growth'!$A$10:$B$18,2,FALSE))</f>
        <v>256</v>
      </c>
      <c r="F742" s="14">
        <f>C742*'Exponential Item Growth'!$B$21</f>
        <v>1583961.6</v>
      </c>
      <c r="G742" s="14">
        <f>'Exponential Item Growth'!$B$22*C742</f>
        <v>23759424</v>
      </c>
      <c r="H742" s="14">
        <f>'Exponential Item Growth'!$B$23*C742</f>
        <v>316792320</v>
      </c>
    </row>
    <row r="743" spans="1:8" ht="15.75" customHeight="1">
      <c r="A743" s="3">
        <v>742</v>
      </c>
      <c r="B743" s="13">
        <f>'Exponential Item Growth'!$B$5*'Exponential Item Growth'!$B$6^A743</f>
        <v>5.9834549627587533E+18</v>
      </c>
      <c r="C743" s="14">
        <f t="shared" si="0"/>
        <v>317219.83999999997</v>
      </c>
      <c r="D743" s="15">
        <f>A743*'Exponential Item Growth'!$B$4</f>
        <v>1239.1399999999999</v>
      </c>
      <c r="E743" s="14">
        <f>IF(ISNA(VLOOKUP(A743,'Exponential Item Growth'!$A$10:$B$18,2,FALSE)),E742, E742*VLOOKUP(A743,'Exponential Item Growth'!$A$10:$B$18,2,FALSE))</f>
        <v>256</v>
      </c>
      <c r="F743" s="14">
        <f>C743*'Exponential Item Growth'!$B$21</f>
        <v>1586099.1999999997</v>
      </c>
      <c r="G743" s="14">
        <f>'Exponential Item Growth'!$B$22*C743</f>
        <v>23791487.999999996</v>
      </c>
      <c r="H743" s="14">
        <f>'Exponential Item Growth'!$B$23*C743</f>
        <v>317219839.99999994</v>
      </c>
    </row>
    <row r="744" spans="1:8" ht="15.75" customHeight="1">
      <c r="A744" s="3">
        <v>743</v>
      </c>
      <c r="B744" s="13">
        <f>'Exponential Item Growth'!$B$5*'Exponential Item Growth'!$B$6^A744</f>
        <v>6.3424622605242798E+18</v>
      </c>
      <c r="C744" s="14">
        <f t="shared" si="0"/>
        <v>317647.35999999999</v>
      </c>
      <c r="D744" s="15">
        <f>A744*'Exponential Item Growth'!$B$4</f>
        <v>1240.81</v>
      </c>
      <c r="E744" s="14">
        <f>IF(ISNA(VLOOKUP(A744,'Exponential Item Growth'!$A$10:$B$18,2,FALSE)),E743, E743*VLOOKUP(A744,'Exponential Item Growth'!$A$10:$B$18,2,FALSE))</f>
        <v>256</v>
      </c>
      <c r="F744" s="14">
        <f>C744*'Exponential Item Growth'!$B$21</f>
        <v>1588236.7999999998</v>
      </c>
      <c r="G744" s="14">
        <f>'Exponential Item Growth'!$B$22*C744</f>
        <v>23823552</v>
      </c>
      <c r="H744" s="14">
        <f>'Exponential Item Growth'!$B$23*C744</f>
        <v>317647360</v>
      </c>
    </row>
    <row r="745" spans="1:8" ht="15.75" customHeight="1">
      <c r="A745" s="3">
        <v>744</v>
      </c>
      <c r="B745" s="13">
        <f>'Exponential Item Growth'!$B$5*'Exponential Item Growth'!$B$6^A745</f>
        <v>6.723009996155735E+18</v>
      </c>
      <c r="C745" s="14">
        <f t="shared" si="0"/>
        <v>318074.88</v>
      </c>
      <c r="D745" s="15">
        <f>A745*'Exponential Item Growth'!$B$4</f>
        <v>1242.48</v>
      </c>
      <c r="E745" s="14">
        <f>IF(ISNA(VLOOKUP(A745,'Exponential Item Growth'!$A$10:$B$18,2,FALSE)),E744, E744*VLOOKUP(A745,'Exponential Item Growth'!$A$10:$B$18,2,FALSE))</f>
        <v>256</v>
      </c>
      <c r="F745" s="14">
        <f>C745*'Exponential Item Growth'!$B$21</f>
        <v>1590374.3999999999</v>
      </c>
      <c r="G745" s="14">
        <f>'Exponential Item Growth'!$B$22*C745</f>
        <v>23855616</v>
      </c>
      <c r="H745" s="14">
        <f>'Exponential Item Growth'!$B$23*C745</f>
        <v>318074880</v>
      </c>
    </row>
    <row r="746" spans="1:8" ht="15.75" customHeight="1">
      <c r="A746" s="3">
        <v>745</v>
      </c>
      <c r="B746" s="13">
        <f>'Exponential Item Growth'!$B$5*'Exponential Item Growth'!$B$6^A746</f>
        <v>7.126390595925079E+18</v>
      </c>
      <c r="C746" s="14">
        <f t="shared" si="0"/>
        <v>318502.39999999997</v>
      </c>
      <c r="D746" s="15">
        <f>A746*'Exponential Item Growth'!$B$4</f>
        <v>1244.1499999999999</v>
      </c>
      <c r="E746" s="14">
        <f>IF(ISNA(VLOOKUP(A746,'Exponential Item Growth'!$A$10:$B$18,2,FALSE)),E745, E745*VLOOKUP(A746,'Exponential Item Growth'!$A$10:$B$18,2,FALSE))</f>
        <v>256</v>
      </c>
      <c r="F746" s="14">
        <f>C746*'Exponential Item Growth'!$B$21</f>
        <v>1592511.9999999998</v>
      </c>
      <c r="G746" s="14">
        <f>'Exponential Item Growth'!$B$22*C746</f>
        <v>23887679.999999996</v>
      </c>
      <c r="H746" s="14">
        <f>'Exponential Item Growth'!$B$23*C746</f>
        <v>318502399.99999994</v>
      </c>
    </row>
    <row r="747" spans="1:8" ht="15.75" customHeight="1">
      <c r="A747" s="3">
        <v>746</v>
      </c>
      <c r="B747" s="13">
        <f>'Exponential Item Growth'!$B$5*'Exponential Item Growth'!$B$6^A747</f>
        <v>7.5539740316805847E+18</v>
      </c>
      <c r="C747" s="14">
        <f t="shared" si="0"/>
        <v>318929.91999999998</v>
      </c>
      <c r="D747" s="15">
        <f>A747*'Exponential Item Growth'!$B$4</f>
        <v>1245.82</v>
      </c>
      <c r="E747" s="14">
        <f>IF(ISNA(VLOOKUP(A747,'Exponential Item Growth'!$A$10:$B$18,2,FALSE)),E746, E746*VLOOKUP(A747,'Exponential Item Growth'!$A$10:$B$18,2,FALSE))</f>
        <v>256</v>
      </c>
      <c r="F747" s="14">
        <f>C747*'Exponential Item Growth'!$B$21</f>
        <v>1594649.5999999999</v>
      </c>
      <c r="G747" s="14">
        <f>'Exponential Item Growth'!$B$22*C747</f>
        <v>23919744</v>
      </c>
      <c r="H747" s="14">
        <f>'Exponential Item Growth'!$B$23*C747</f>
        <v>318929920</v>
      </c>
    </row>
    <row r="748" spans="1:8" ht="15.75" customHeight="1">
      <c r="A748" s="3">
        <v>747</v>
      </c>
      <c r="B748" s="13">
        <f>'Exponential Item Growth'!$B$5*'Exponential Item Growth'!$B$6^A748</f>
        <v>8.0072124735814216E+18</v>
      </c>
      <c r="C748" s="14">
        <f t="shared" si="0"/>
        <v>319357.44</v>
      </c>
      <c r="D748" s="15">
        <f>A748*'Exponential Item Growth'!$B$4</f>
        <v>1247.49</v>
      </c>
      <c r="E748" s="14">
        <f>IF(ISNA(VLOOKUP(A748,'Exponential Item Growth'!$A$10:$B$18,2,FALSE)),E747, E747*VLOOKUP(A748,'Exponential Item Growth'!$A$10:$B$18,2,FALSE))</f>
        <v>256</v>
      </c>
      <c r="F748" s="14">
        <f>C748*'Exponential Item Growth'!$B$21</f>
        <v>1596787.2</v>
      </c>
      <c r="G748" s="14">
        <f>'Exponential Item Growth'!$B$22*C748</f>
        <v>23951808</v>
      </c>
      <c r="H748" s="14">
        <f>'Exponential Item Growth'!$B$23*C748</f>
        <v>319357440</v>
      </c>
    </row>
    <row r="749" spans="1:8" ht="15.75" customHeight="1">
      <c r="A749" s="3">
        <v>748</v>
      </c>
      <c r="B749" s="13">
        <f>'Exponential Item Growth'!$B$5*'Exponential Item Growth'!$B$6^A749</f>
        <v>8.4876452219963075E+18</v>
      </c>
      <c r="C749" s="14">
        <f t="shared" si="0"/>
        <v>319784.95999999996</v>
      </c>
      <c r="D749" s="15">
        <f>A749*'Exponential Item Growth'!$B$4</f>
        <v>1249.1599999999999</v>
      </c>
      <c r="E749" s="14">
        <f>IF(ISNA(VLOOKUP(A749,'Exponential Item Growth'!$A$10:$B$18,2,FALSE)),E748, E748*VLOOKUP(A749,'Exponential Item Growth'!$A$10:$B$18,2,FALSE))</f>
        <v>256</v>
      </c>
      <c r="F749" s="14">
        <f>C749*'Exponential Item Growth'!$B$21</f>
        <v>1598924.7999999998</v>
      </c>
      <c r="G749" s="14">
        <f>'Exponential Item Growth'!$B$22*C749</f>
        <v>23983871.999999996</v>
      </c>
      <c r="H749" s="14">
        <f>'Exponential Item Growth'!$B$23*C749</f>
        <v>319784959.99999994</v>
      </c>
    </row>
    <row r="750" spans="1:8" ht="15.75" customHeight="1">
      <c r="A750" s="3">
        <v>749</v>
      </c>
      <c r="B750" s="13">
        <f>'Exponential Item Growth'!$B$5*'Exponential Item Growth'!$B$6^A750</f>
        <v>8.9969039353160868E+18</v>
      </c>
      <c r="C750" s="14">
        <f t="shared" si="0"/>
        <v>320212.47999999998</v>
      </c>
      <c r="D750" s="15">
        <f>A750*'Exponential Item Growth'!$B$4</f>
        <v>1250.83</v>
      </c>
      <c r="E750" s="14">
        <f>IF(ISNA(VLOOKUP(A750,'Exponential Item Growth'!$A$10:$B$18,2,FALSE)),E749, E749*VLOOKUP(A750,'Exponential Item Growth'!$A$10:$B$18,2,FALSE))</f>
        <v>256</v>
      </c>
      <c r="F750" s="14">
        <f>C750*'Exponential Item Growth'!$B$21</f>
        <v>1601062.4</v>
      </c>
      <c r="G750" s="14">
        <f>'Exponential Item Growth'!$B$22*C750</f>
        <v>24015936</v>
      </c>
      <c r="H750" s="14">
        <f>'Exponential Item Growth'!$B$23*C750</f>
        <v>320212480</v>
      </c>
    </row>
    <row r="751" spans="1:8" ht="15.75" customHeight="1">
      <c r="A751" s="3">
        <v>750</v>
      </c>
      <c r="B751" s="13">
        <f>'Exponential Item Growth'!$B$5*'Exponential Item Growth'!$B$6^A751</f>
        <v>9.536718171435051E+18</v>
      </c>
      <c r="C751" s="14">
        <f t="shared" si="0"/>
        <v>320640</v>
      </c>
      <c r="D751" s="15">
        <f>A751*'Exponential Item Growth'!$B$4</f>
        <v>1252.5</v>
      </c>
      <c r="E751" s="14">
        <f>IF(ISNA(VLOOKUP(A751,'Exponential Item Growth'!$A$10:$B$18,2,FALSE)),E750, E750*VLOOKUP(A751,'Exponential Item Growth'!$A$10:$B$18,2,FALSE))</f>
        <v>256</v>
      </c>
      <c r="F751" s="14">
        <f>C751*'Exponential Item Growth'!$B$21</f>
        <v>1603200</v>
      </c>
      <c r="G751" s="14">
        <f>'Exponential Item Growth'!$B$22*C751</f>
        <v>24048000</v>
      </c>
      <c r="H751" s="14">
        <f>'Exponential Item Growth'!$B$23*C751</f>
        <v>320640000</v>
      </c>
    </row>
    <row r="752" spans="1:8" ht="15.75" customHeight="1">
      <c r="A752" s="3"/>
      <c r="B752" s="13"/>
      <c r="D752" s="15"/>
    </row>
    <row r="753" spans="1:4" ht="15.75" customHeight="1">
      <c r="A753" s="3"/>
      <c r="B753" s="13"/>
      <c r="D753" s="15"/>
    </row>
    <row r="754" spans="1:4" ht="15.75" customHeight="1">
      <c r="A754" s="3"/>
      <c r="B754" s="13"/>
      <c r="D754" s="15"/>
    </row>
    <row r="755" spans="1:4" ht="15.75" customHeight="1">
      <c r="A755" s="3"/>
      <c r="B755" s="13"/>
      <c r="D755" s="15"/>
    </row>
    <row r="756" spans="1:4" ht="15.75" customHeight="1">
      <c r="A756" s="3"/>
      <c r="B756" s="13"/>
      <c r="D756" s="15"/>
    </row>
    <row r="757" spans="1:4" ht="15.75" customHeight="1">
      <c r="A757" s="3"/>
      <c r="B757" s="13"/>
      <c r="D757" s="15"/>
    </row>
    <row r="758" spans="1:4" ht="15.75" customHeight="1">
      <c r="A758" s="3"/>
      <c r="B758" s="13"/>
      <c r="D758" s="15"/>
    </row>
    <row r="759" spans="1:4" ht="15.75" customHeight="1">
      <c r="A759" s="3"/>
      <c r="B759" s="13"/>
      <c r="D759" s="15"/>
    </row>
    <row r="760" spans="1:4" ht="15.75" customHeight="1">
      <c r="A760" s="3"/>
      <c r="B760" s="13"/>
      <c r="D760" s="15"/>
    </row>
    <row r="761" spans="1:4" ht="15.75" customHeight="1">
      <c r="A761" s="3"/>
      <c r="B761" s="13"/>
      <c r="D761" s="15"/>
    </row>
    <row r="762" spans="1:4" ht="15.75" customHeight="1">
      <c r="A762" s="3"/>
      <c r="B762" s="13"/>
      <c r="D762" s="15"/>
    </row>
    <row r="763" spans="1:4" ht="15.75" customHeight="1">
      <c r="A763" s="3"/>
      <c r="B763" s="13"/>
      <c r="D763" s="15"/>
    </row>
    <row r="764" spans="1:4" ht="15.75" customHeight="1">
      <c r="A764" s="3"/>
      <c r="B764" s="13"/>
      <c r="D764" s="15"/>
    </row>
    <row r="765" spans="1:4" ht="15.75" customHeight="1">
      <c r="A765" s="3"/>
      <c r="B765" s="13"/>
      <c r="D765" s="15"/>
    </row>
    <row r="766" spans="1:4" ht="15.75" customHeight="1">
      <c r="A766" s="3"/>
      <c r="B766" s="13"/>
      <c r="D766" s="15"/>
    </row>
    <row r="767" spans="1:4" ht="15.75" customHeight="1">
      <c r="A767" s="3"/>
      <c r="B767" s="13"/>
      <c r="D767" s="15"/>
    </row>
    <row r="768" spans="1:4" ht="15.75" customHeight="1">
      <c r="A768" s="3"/>
      <c r="B768" s="13"/>
      <c r="D768" s="15"/>
    </row>
    <row r="769" spans="1:4" ht="15.75" customHeight="1">
      <c r="A769" s="3"/>
      <c r="B769" s="13"/>
      <c r="D769" s="15"/>
    </row>
    <row r="770" spans="1:4" ht="15.75" customHeight="1">
      <c r="A770" s="3"/>
      <c r="B770" s="13"/>
      <c r="D770" s="15"/>
    </row>
    <row r="771" spans="1:4" ht="15.75" customHeight="1">
      <c r="A771" s="3"/>
      <c r="B771" s="13"/>
      <c r="D771" s="15"/>
    </row>
    <row r="772" spans="1:4" ht="15.75" customHeight="1">
      <c r="A772" s="3"/>
      <c r="B772" s="13"/>
      <c r="D772" s="15"/>
    </row>
    <row r="773" spans="1:4" ht="15.75" customHeight="1">
      <c r="A773" s="3"/>
      <c r="B773" s="13"/>
      <c r="D773" s="15"/>
    </row>
    <row r="774" spans="1:4" ht="15.75" customHeight="1">
      <c r="A774" s="3"/>
      <c r="B774" s="13"/>
      <c r="D774" s="15"/>
    </row>
    <row r="775" spans="1:4" ht="15.75" customHeight="1">
      <c r="A775" s="3"/>
      <c r="B775" s="13"/>
      <c r="D775" s="15"/>
    </row>
    <row r="776" spans="1:4" ht="15.75" customHeight="1">
      <c r="A776" s="3"/>
      <c r="B776" s="13"/>
      <c r="D776" s="15"/>
    </row>
    <row r="777" spans="1:4" ht="15.75" customHeight="1">
      <c r="A777" s="3"/>
      <c r="B777" s="13"/>
      <c r="D777" s="15"/>
    </row>
    <row r="778" spans="1:4" ht="15.75" customHeight="1">
      <c r="A778" s="3"/>
      <c r="B778" s="13"/>
      <c r="D778" s="15"/>
    </row>
    <row r="779" spans="1:4" ht="15.75" customHeight="1">
      <c r="A779" s="3"/>
      <c r="B779" s="13"/>
      <c r="D779" s="15"/>
    </row>
    <row r="780" spans="1:4" ht="15.75" customHeight="1">
      <c r="A780" s="3"/>
      <c r="B780" s="13"/>
      <c r="D780" s="15"/>
    </row>
    <row r="781" spans="1:4" ht="15.75" customHeight="1">
      <c r="A781" s="3"/>
      <c r="B781" s="13"/>
      <c r="D781" s="15"/>
    </row>
    <row r="782" spans="1:4" ht="15.75" customHeight="1">
      <c r="A782" s="3"/>
      <c r="B782" s="13"/>
      <c r="D782" s="15"/>
    </row>
    <row r="783" spans="1:4" ht="15.75" customHeight="1">
      <c r="A783" s="3"/>
      <c r="B783" s="13"/>
      <c r="D783" s="15"/>
    </row>
    <row r="784" spans="1:4" ht="15.75" customHeight="1">
      <c r="A784" s="3"/>
      <c r="B784" s="13"/>
      <c r="D784" s="15"/>
    </row>
    <row r="785" spans="1:4" ht="15.75" customHeight="1">
      <c r="A785" s="3"/>
      <c r="B785" s="13"/>
      <c r="D785" s="15"/>
    </row>
    <row r="786" spans="1:4" ht="15.75" customHeight="1">
      <c r="A786" s="3"/>
      <c r="B786" s="13"/>
      <c r="D786" s="15"/>
    </row>
    <row r="787" spans="1:4" ht="15.75" customHeight="1">
      <c r="A787" s="3"/>
      <c r="B787" s="13"/>
      <c r="D787" s="15"/>
    </row>
    <row r="788" spans="1:4" ht="15.75" customHeight="1">
      <c r="A788" s="3"/>
      <c r="B788" s="13"/>
      <c r="D788" s="15"/>
    </row>
    <row r="789" spans="1:4" ht="15.75" customHeight="1">
      <c r="A789" s="3"/>
      <c r="B789" s="13"/>
      <c r="D789" s="15"/>
    </row>
    <row r="790" spans="1:4" ht="15.75" customHeight="1">
      <c r="A790" s="3"/>
      <c r="B790" s="13"/>
      <c r="D790" s="15"/>
    </row>
    <row r="791" spans="1:4" ht="15.75" customHeight="1">
      <c r="A791" s="3"/>
      <c r="B791" s="13"/>
      <c r="D791" s="15"/>
    </row>
    <row r="792" spans="1:4" ht="15.75" customHeight="1">
      <c r="A792" s="3"/>
      <c r="B792" s="13"/>
      <c r="D792" s="15"/>
    </row>
    <row r="793" spans="1:4" ht="15.75" customHeight="1">
      <c r="A793" s="3"/>
      <c r="B793" s="13"/>
      <c r="D793" s="15"/>
    </row>
    <row r="794" spans="1:4" ht="15.75" customHeight="1">
      <c r="A794" s="3"/>
      <c r="B794" s="13"/>
      <c r="D794" s="15"/>
    </row>
    <row r="795" spans="1:4" ht="15.75" customHeight="1">
      <c r="A795" s="3"/>
      <c r="B795" s="13"/>
      <c r="D795" s="15"/>
    </row>
    <row r="796" spans="1:4" ht="15.75" customHeight="1">
      <c r="A796" s="3"/>
      <c r="B796" s="13"/>
      <c r="D796" s="15"/>
    </row>
    <row r="797" spans="1:4" ht="15.75" customHeight="1">
      <c r="A797" s="3"/>
      <c r="B797" s="13"/>
      <c r="D797" s="15"/>
    </row>
    <row r="798" spans="1:4" ht="15.75" customHeight="1">
      <c r="A798" s="3"/>
      <c r="B798" s="13"/>
      <c r="D798" s="15"/>
    </row>
    <row r="799" spans="1:4" ht="15.75" customHeight="1">
      <c r="A799" s="3"/>
      <c r="B799" s="13"/>
      <c r="D799" s="15"/>
    </row>
    <row r="800" spans="1:4" ht="15.75" customHeight="1">
      <c r="A800" s="3"/>
      <c r="B800" s="13"/>
      <c r="D800" s="15"/>
    </row>
    <row r="801" spans="1:4" ht="15.75" customHeight="1">
      <c r="A801" s="3"/>
      <c r="B801" s="13"/>
      <c r="D801" s="15"/>
    </row>
    <row r="802" spans="1:4" ht="15.75" customHeight="1">
      <c r="A802" s="3"/>
      <c r="B802" s="13"/>
      <c r="D802" s="15"/>
    </row>
    <row r="803" spans="1:4" ht="15.75" customHeight="1">
      <c r="A803" s="3"/>
      <c r="B803" s="13"/>
      <c r="D803" s="15"/>
    </row>
    <row r="804" spans="1:4" ht="15.75" customHeight="1">
      <c r="A804" s="3"/>
      <c r="B804" s="13"/>
      <c r="D804" s="15"/>
    </row>
    <row r="805" spans="1:4" ht="15.75" customHeight="1">
      <c r="A805" s="3"/>
      <c r="B805" s="13"/>
      <c r="D805" s="15"/>
    </row>
    <row r="806" spans="1:4" ht="15.75" customHeight="1">
      <c r="A806" s="3"/>
      <c r="B806" s="13"/>
      <c r="D806" s="15"/>
    </row>
    <row r="807" spans="1:4" ht="15.75" customHeight="1">
      <c r="A807" s="3"/>
      <c r="B807" s="13"/>
      <c r="D807" s="15"/>
    </row>
    <row r="808" spans="1:4" ht="15.75" customHeight="1">
      <c r="A808" s="3"/>
      <c r="B808" s="13"/>
      <c r="D808" s="15"/>
    </row>
    <row r="809" spans="1:4" ht="15.75" customHeight="1">
      <c r="A809" s="3"/>
      <c r="B809" s="13"/>
      <c r="D809" s="15"/>
    </row>
    <row r="810" spans="1:4" ht="15.75" customHeight="1">
      <c r="A810" s="3"/>
      <c r="B810" s="13"/>
      <c r="D810" s="15"/>
    </row>
    <row r="811" spans="1:4" ht="15.75" customHeight="1">
      <c r="A811" s="3"/>
      <c r="B811" s="13"/>
      <c r="D811" s="15"/>
    </row>
    <row r="812" spans="1:4" ht="15.75" customHeight="1">
      <c r="A812" s="3"/>
      <c r="B812" s="13"/>
      <c r="D812" s="15"/>
    </row>
    <row r="813" spans="1:4" ht="15.75" customHeight="1">
      <c r="A813" s="3"/>
      <c r="B813" s="13"/>
      <c r="D813" s="15"/>
    </row>
    <row r="814" spans="1:4" ht="15.75" customHeight="1">
      <c r="A814" s="3"/>
      <c r="B814" s="13"/>
      <c r="D814" s="15"/>
    </row>
    <row r="815" spans="1:4" ht="15.75" customHeight="1">
      <c r="A815" s="3"/>
      <c r="B815" s="13"/>
      <c r="D815" s="15"/>
    </row>
    <row r="816" spans="1:4" ht="15.75" customHeight="1">
      <c r="A816" s="3"/>
      <c r="B816" s="13"/>
      <c r="D816" s="15"/>
    </row>
    <row r="817" spans="1:4" ht="15.75" customHeight="1">
      <c r="A817" s="3"/>
      <c r="B817" s="13"/>
      <c r="D817" s="15"/>
    </row>
    <row r="818" spans="1:4" ht="15.75" customHeight="1">
      <c r="A818" s="3"/>
      <c r="B818" s="13"/>
      <c r="D818" s="15"/>
    </row>
    <row r="819" spans="1:4" ht="15.75" customHeight="1">
      <c r="A819" s="3"/>
      <c r="B819" s="13"/>
      <c r="D819" s="15"/>
    </row>
    <row r="820" spans="1:4" ht="15.75" customHeight="1">
      <c r="A820" s="3"/>
      <c r="B820" s="13"/>
      <c r="D820" s="15"/>
    </row>
    <row r="821" spans="1:4" ht="15.75" customHeight="1">
      <c r="A821" s="3"/>
      <c r="B821" s="13"/>
      <c r="D821" s="15"/>
    </row>
    <row r="822" spans="1:4" ht="15.75" customHeight="1">
      <c r="A822" s="3"/>
      <c r="B822" s="13"/>
      <c r="D822" s="15"/>
    </row>
    <row r="823" spans="1:4" ht="15.75" customHeight="1">
      <c r="A823" s="3"/>
      <c r="B823" s="13"/>
      <c r="D823" s="15"/>
    </row>
    <row r="824" spans="1:4" ht="15.75" customHeight="1">
      <c r="A824" s="3"/>
      <c r="B824" s="13"/>
      <c r="D824" s="15"/>
    </row>
    <row r="825" spans="1:4" ht="15.75" customHeight="1">
      <c r="A825" s="3"/>
      <c r="B825" s="13"/>
      <c r="D825" s="15"/>
    </row>
    <row r="826" spans="1:4" ht="15.75" customHeight="1">
      <c r="A826" s="3"/>
      <c r="B826" s="13"/>
      <c r="D826" s="15"/>
    </row>
    <row r="827" spans="1:4" ht="15.75" customHeight="1">
      <c r="A827" s="3"/>
      <c r="B827" s="13"/>
      <c r="D827" s="15"/>
    </row>
    <row r="828" spans="1:4" ht="15.75" customHeight="1">
      <c r="A828" s="3"/>
      <c r="B828" s="13"/>
      <c r="D828" s="15"/>
    </row>
    <row r="829" spans="1:4" ht="15.75" customHeight="1">
      <c r="A829" s="3"/>
      <c r="B829" s="13"/>
      <c r="D829" s="15"/>
    </row>
    <row r="830" spans="1:4" ht="15.75" customHeight="1">
      <c r="A830" s="3"/>
      <c r="B830" s="13"/>
      <c r="D830" s="15"/>
    </row>
    <row r="831" spans="1:4" ht="15.75" customHeight="1">
      <c r="A831" s="3"/>
      <c r="B831" s="13"/>
      <c r="D831" s="15"/>
    </row>
    <row r="832" spans="1:4" ht="15.75" customHeight="1">
      <c r="A832" s="3"/>
      <c r="B832" s="13"/>
      <c r="D832" s="15"/>
    </row>
    <row r="833" spans="1:4" ht="15.75" customHeight="1">
      <c r="A833" s="3"/>
      <c r="B833" s="13"/>
      <c r="D833" s="15"/>
    </row>
    <row r="834" spans="1:4" ht="15.75" customHeight="1">
      <c r="A834" s="3"/>
      <c r="B834" s="13"/>
      <c r="D834" s="15"/>
    </row>
    <row r="835" spans="1:4" ht="15.75" customHeight="1">
      <c r="A835" s="3"/>
      <c r="B835" s="13"/>
      <c r="D835" s="15"/>
    </row>
    <row r="836" spans="1:4" ht="15.75" customHeight="1">
      <c r="A836" s="3"/>
      <c r="B836" s="13"/>
      <c r="D836" s="15"/>
    </row>
    <row r="837" spans="1:4" ht="15.75" customHeight="1">
      <c r="A837" s="3"/>
      <c r="B837" s="13"/>
      <c r="D837" s="15"/>
    </row>
    <row r="838" spans="1:4" ht="15.75" customHeight="1">
      <c r="A838" s="3"/>
      <c r="B838" s="13"/>
      <c r="D838" s="15"/>
    </row>
    <row r="839" spans="1:4" ht="15.75" customHeight="1">
      <c r="A839" s="3"/>
      <c r="B839" s="13"/>
      <c r="D839" s="15"/>
    </row>
    <row r="840" spans="1:4" ht="15.75" customHeight="1">
      <c r="A840" s="3"/>
      <c r="B840" s="13"/>
      <c r="D840" s="15"/>
    </row>
    <row r="841" spans="1:4" ht="15.75" customHeight="1">
      <c r="A841" s="3"/>
      <c r="B841" s="13"/>
      <c r="D841" s="15"/>
    </row>
    <row r="842" spans="1:4" ht="15.75" customHeight="1">
      <c r="A842" s="3"/>
      <c r="B842" s="13"/>
      <c r="D842" s="15"/>
    </row>
    <row r="843" spans="1:4" ht="15.75" customHeight="1">
      <c r="A843" s="3"/>
      <c r="B843" s="13"/>
      <c r="D843" s="15"/>
    </row>
    <row r="844" spans="1:4" ht="15.75" customHeight="1">
      <c r="A844" s="3"/>
      <c r="B844" s="13"/>
      <c r="D844" s="15"/>
    </row>
    <row r="845" spans="1:4" ht="15.75" customHeight="1">
      <c r="A845" s="3"/>
      <c r="B845" s="13"/>
      <c r="D845" s="15"/>
    </row>
    <row r="846" spans="1:4" ht="15.75" customHeight="1">
      <c r="A846" s="3"/>
      <c r="B846" s="13"/>
      <c r="D846" s="15"/>
    </row>
    <row r="847" spans="1:4" ht="15.75" customHeight="1">
      <c r="A847" s="3"/>
      <c r="B847" s="13"/>
      <c r="D847" s="15"/>
    </row>
    <row r="848" spans="1:4" ht="15.75" customHeight="1">
      <c r="A848" s="3"/>
      <c r="B848" s="13"/>
      <c r="D848" s="15"/>
    </row>
    <row r="849" spans="1:4" ht="15.75" customHeight="1">
      <c r="A849" s="3"/>
      <c r="B849" s="13"/>
      <c r="D849" s="15"/>
    </row>
    <row r="850" spans="1:4" ht="15.75" customHeight="1">
      <c r="A850" s="3"/>
      <c r="B850" s="13"/>
      <c r="D850" s="15"/>
    </row>
    <row r="851" spans="1:4" ht="15.75" customHeight="1">
      <c r="A851" s="3"/>
      <c r="B851" s="13"/>
      <c r="D851" s="15"/>
    </row>
    <row r="852" spans="1:4" ht="15.75" customHeight="1">
      <c r="A852" s="3"/>
      <c r="B852" s="13"/>
      <c r="D852" s="15"/>
    </row>
    <row r="853" spans="1:4" ht="15.75" customHeight="1">
      <c r="A853" s="3"/>
      <c r="B853" s="13"/>
      <c r="D853" s="15"/>
    </row>
    <row r="854" spans="1:4" ht="15.75" customHeight="1">
      <c r="A854" s="3"/>
      <c r="B854" s="13"/>
      <c r="D854" s="15"/>
    </row>
    <row r="855" spans="1:4" ht="15.75" customHeight="1">
      <c r="A855" s="3"/>
      <c r="B855" s="13"/>
      <c r="D855" s="15"/>
    </row>
    <row r="856" spans="1:4" ht="15.75" customHeight="1">
      <c r="A856" s="3"/>
      <c r="B856" s="13"/>
      <c r="D856" s="15"/>
    </row>
    <row r="857" spans="1:4" ht="15.75" customHeight="1">
      <c r="A857" s="3"/>
      <c r="B857" s="13"/>
      <c r="D857" s="15"/>
    </row>
    <row r="858" spans="1:4" ht="15.75" customHeight="1">
      <c r="A858" s="3"/>
      <c r="B858" s="13"/>
      <c r="D858" s="15"/>
    </row>
    <row r="859" spans="1:4" ht="15.75" customHeight="1">
      <c r="A859" s="3"/>
      <c r="B859" s="13"/>
      <c r="D859" s="15"/>
    </row>
    <row r="860" spans="1:4" ht="15.75" customHeight="1">
      <c r="A860" s="3"/>
      <c r="B860" s="13"/>
      <c r="D860" s="15"/>
    </row>
    <row r="861" spans="1:4" ht="15.75" customHeight="1">
      <c r="A861" s="3"/>
      <c r="B861" s="13"/>
      <c r="D861" s="15"/>
    </row>
    <row r="862" spans="1:4" ht="15.75" customHeight="1">
      <c r="A862" s="3"/>
      <c r="B862" s="13"/>
      <c r="D862" s="15"/>
    </row>
    <row r="863" spans="1:4" ht="15.75" customHeight="1">
      <c r="A863" s="3"/>
      <c r="B863" s="13"/>
      <c r="D863" s="15"/>
    </row>
    <row r="864" spans="1:4" ht="15.75" customHeight="1">
      <c r="A864" s="3"/>
      <c r="B864" s="13"/>
      <c r="D864" s="15"/>
    </row>
    <row r="865" spans="1:4" ht="15.75" customHeight="1">
      <c r="A865" s="3"/>
      <c r="B865" s="13"/>
      <c r="D865" s="15"/>
    </row>
    <row r="866" spans="1:4" ht="15.75" customHeight="1">
      <c r="A866" s="3"/>
      <c r="B866" s="13"/>
      <c r="D866" s="15"/>
    </row>
    <row r="867" spans="1:4" ht="15.75" customHeight="1">
      <c r="A867" s="3"/>
      <c r="B867" s="13"/>
      <c r="D867" s="15"/>
    </row>
    <row r="868" spans="1:4" ht="15.75" customHeight="1">
      <c r="A868" s="3"/>
      <c r="B868" s="13"/>
      <c r="D868" s="15"/>
    </row>
    <row r="869" spans="1:4" ht="15.75" customHeight="1">
      <c r="A869" s="3"/>
      <c r="B869" s="13"/>
      <c r="D869" s="15"/>
    </row>
    <row r="870" spans="1:4" ht="15.75" customHeight="1">
      <c r="A870" s="3"/>
      <c r="B870" s="13"/>
      <c r="D870" s="15"/>
    </row>
    <row r="871" spans="1:4" ht="15.75" customHeight="1">
      <c r="A871" s="3"/>
      <c r="B871" s="13"/>
      <c r="D871" s="15"/>
    </row>
    <row r="872" spans="1:4" ht="15.75" customHeight="1">
      <c r="A872" s="3"/>
      <c r="B872" s="13"/>
      <c r="D872" s="15"/>
    </row>
    <row r="873" spans="1:4" ht="15.75" customHeight="1">
      <c r="A873" s="3"/>
      <c r="B873" s="13"/>
      <c r="D873" s="15"/>
    </row>
    <row r="874" spans="1:4" ht="15.75" customHeight="1">
      <c r="A874" s="3"/>
      <c r="B874" s="13"/>
      <c r="D874" s="15"/>
    </row>
    <row r="875" spans="1:4" ht="15.75" customHeight="1">
      <c r="A875" s="3"/>
      <c r="B875" s="13"/>
      <c r="D875" s="15"/>
    </row>
    <row r="876" spans="1:4" ht="15.75" customHeight="1">
      <c r="A876" s="3"/>
      <c r="B876" s="13"/>
      <c r="D876" s="15"/>
    </row>
    <row r="877" spans="1:4" ht="15.75" customHeight="1">
      <c r="A877" s="3"/>
      <c r="B877" s="13"/>
      <c r="D877" s="15"/>
    </row>
    <row r="878" spans="1:4" ht="15.75" customHeight="1">
      <c r="A878" s="3"/>
      <c r="B878" s="13"/>
      <c r="D878" s="15"/>
    </row>
    <row r="879" spans="1:4" ht="15.75" customHeight="1">
      <c r="A879" s="3"/>
      <c r="B879" s="13"/>
      <c r="D879" s="15"/>
    </row>
    <row r="880" spans="1:4" ht="15.75" customHeight="1">
      <c r="A880" s="3"/>
      <c r="B880" s="13"/>
      <c r="D880" s="15"/>
    </row>
    <row r="881" spans="1:4" ht="15.75" customHeight="1">
      <c r="A881" s="3"/>
      <c r="B881" s="13"/>
      <c r="D881" s="15"/>
    </row>
    <row r="882" spans="1:4" ht="15.75" customHeight="1">
      <c r="A882" s="3"/>
      <c r="B882" s="13"/>
      <c r="D882" s="15"/>
    </row>
    <row r="883" spans="1:4" ht="15.75" customHeight="1">
      <c r="A883" s="3"/>
      <c r="B883" s="13"/>
      <c r="D883" s="15"/>
    </row>
    <row r="884" spans="1:4" ht="15.75" customHeight="1">
      <c r="A884" s="3"/>
      <c r="B884" s="13"/>
      <c r="D884" s="15"/>
    </row>
    <row r="885" spans="1:4" ht="15.75" customHeight="1">
      <c r="A885" s="3"/>
      <c r="B885" s="13"/>
      <c r="D885" s="15"/>
    </row>
    <row r="886" spans="1:4" ht="15.75" customHeight="1">
      <c r="A886" s="3"/>
      <c r="B886" s="13"/>
      <c r="D886" s="15"/>
    </row>
    <row r="887" spans="1:4" ht="15.75" customHeight="1">
      <c r="A887" s="3"/>
      <c r="B887" s="13"/>
      <c r="D887" s="15"/>
    </row>
    <row r="888" spans="1:4" ht="15.75" customHeight="1">
      <c r="A888" s="3"/>
      <c r="B888" s="13"/>
      <c r="D888" s="15"/>
    </row>
    <row r="889" spans="1:4" ht="15.75" customHeight="1">
      <c r="A889" s="3"/>
      <c r="B889" s="13"/>
      <c r="D889" s="15"/>
    </row>
    <row r="890" spans="1:4" ht="15.75" customHeight="1">
      <c r="A890" s="3"/>
      <c r="B890" s="13"/>
      <c r="D890" s="15"/>
    </row>
    <row r="891" spans="1:4" ht="15.75" customHeight="1">
      <c r="A891" s="3"/>
      <c r="B891" s="13"/>
      <c r="D891" s="15"/>
    </row>
    <row r="892" spans="1:4" ht="15.75" customHeight="1">
      <c r="A892" s="3"/>
      <c r="B892" s="13"/>
      <c r="D892" s="15"/>
    </row>
    <row r="893" spans="1:4" ht="15.75" customHeight="1">
      <c r="A893" s="3"/>
      <c r="B893" s="13"/>
      <c r="D893" s="15"/>
    </row>
    <row r="894" spans="1:4" ht="15.75" customHeight="1">
      <c r="A894" s="3"/>
      <c r="B894" s="13"/>
      <c r="D894" s="15"/>
    </row>
    <row r="895" spans="1:4" ht="15.75" customHeight="1">
      <c r="A895" s="3"/>
      <c r="B895" s="13"/>
      <c r="D895" s="15"/>
    </row>
    <row r="896" spans="1:4" ht="15.75" customHeight="1">
      <c r="A896" s="3"/>
      <c r="B896" s="13"/>
      <c r="D896" s="15"/>
    </row>
    <row r="897" spans="1:4" ht="15.75" customHeight="1">
      <c r="A897" s="3"/>
      <c r="B897" s="13"/>
      <c r="D897" s="15"/>
    </row>
    <row r="898" spans="1:4" ht="15.75" customHeight="1">
      <c r="A898" s="3"/>
      <c r="B898" s="13"/>
      <c r="D898" s="15"/>
    </row>
    <row r="899" spans="1:4" ht="15.75" customHeight="1">
      <c r="A899" s="3"/>
      <c r="B899" s="13"/>
      <c r="D899" s="15"/>
    </row>
    <row r="900" spans="1:4" ht="15.75" customHeight="1">
      <c r="A900" s="3"/>
      <c r="B900" s="13"/>
      <c r="D900" s="15"/>
    </row>
    <row r="901" spans="1:4" ht="15.75" customHeight="1">
      <c r="A901" s="3"/>
      <c r="B901" s="13"/>
      <c r="D901" s="15"/>
    </row>
    <row r="902" spans="1:4" ht="15.75" customHeight="1">
      <c r="A902" s="3"/>
      <c r="B902" s="13"/>
      <c r="D902" s="15"/>
    </row>
    <row r="903" spans="1:4" ht="15.75" customHeight="1">
      <c r="A903" s="3"/>
      <c r="B903" s="13"/>
      <c r="D903" s="15"/>
    </row>
    <row r="904" spans="1:4" ht="15.75" customHeight="1">
      <c r="A904" s="3"/>
      <c r="B904" s="13"/>
      <c r="D904" s="15"/>
    </row>
    <row r="905" spans="1:4" ht="15.75" customHeight="1">
      <c r="A905" s="3"/>
      <c r="B905" s="13"/>
      <c r="D905" s="15"/>
    </row>
    <row r="906" spans="1:4" ht="15.75" customHeight="1">
      <c r="A906" s="3"/>
      <c r="B906" s="13"/>
      <c r="D906" s="15"/>
    </row>
    <row r="907" spans="1:4" ht="15.75" customHeight="1">
      <c r="A907" s="3"/>
      <c r="B907" s="13"/>
      <c r="D907" s="15"/>
    </row>
    <row r="908" spans="1:4" ht="15.75" customHeight="1">
      <c r="A908" s="3"/>
      <c r="B908" s="13"/>
      <c r="D908" s="15"/>
    </row>
    <row r="909" spans="1:4" ht="15.75" customHeight="1">
      <c r="A909" s="3"/>
      <c r="B909" s="13"/>
      <c r="D909" s="15"/>
    </row>
    <row r="910" spans="1:4" ht="15.75" customHeight="1">
      <c r="A910" s="3"/>
      <c r="B910" s="13"/>
      <c r="D910" s="15"/>
    </row>
    <row r="911" spans="1:4" ht="15.75" customHeight="1">
      <c r="A911" s="3"/>
      <c r="B911" s="13"/>
      <c r="D911" s="15"/>
    </row>
    <row r="912" spans="1:4" ht="15.75" customHeight="1">
      <c r="A912" s="3"/>
      <c r="B912" s="13"/>
      <c r="D912" s="15"/>
    </row>
    <row r="913" spans="1:4" ht="15.75" customHeight="1">
      <c r="A913" s="3"/>
      <c r="B913" s="13"/>
      <c r="D913" s="15"/>
    </row>
    <row r="914" spans="1:4" ht="15.75" customHeight="1">
      <c r="A914" s="3"/>
      <c r="B914" s="13"/>
      <c r="D914" s="15"/>
    </row>
    <row r="915" spans="1:4" ht="15.75" customHeight="1">
      <c r="A915" s="3"/>
      <c r="B915" s="13"/>
      <c r="D915" s="15"/>
    </row>
    <row r="916" spans="1:4" ht="15.75" customHeight="1">
      <c r="A916" s="3"/>
      <c r="B916" s="13"/>
      <c r="D916" s="15"/>
    </row>
    <row r="917" spans="1:4" ht="15.75" customHeight="1">
      <c r="A917" s="3"/>
      <c r="B917" s="13"/>
      <c r="D917" s="15"/>
    </row>
    <row r="918" spans="1:4" ht="15.75" customHeight="1">
      <c r="A918" s="3"/>
      <c r="B918" s="13"/>
      <c r="D918" s="15"/>
    </row>
    <row r="919" spans="1:4" ht="15.75" customHeight="1">
      <c r="A919" s="3"/>
      <c r="B919" s="13"/>
      <c r="D919" s="15"/>
    </row>
    <row r="920" spans="1:4" ht="15.75" customHeight="1">
      <c r="A920" s="3"/>
      <c r="B920" s="13"/>
      <c r="D920" s="15"/>
    </row>
    <row r="921" spans="1:4" ht="15.75" customHeight="1">
      <c r="A921" s="3"/>
      <c r="B921" s="13"/>
      <c r="D921" s="15"/>
    </row>
    <row r="922" spans="1:4" ht="15.75" customHeight="1">
      <c r="A922" s="3"/>
      <c r="B922" s="13"/>
      <c r="D922" s="15"/>
    </row>
    <row r="923" spans="1:4" ht="15.75" customHeight="1">
      <c r="A923" s="3"/>
      <c r="B923" s="13"/>
      <c r="D923" s="15"/>
    </row>
    <row r="924" spans="1:4" ht="15.75" customHeight="1">
      <c r="A924" s="3"/>
      <c r="B924" s="13"/>
      <c r="D924" s="15"/>
    </row>
    <row r="925" spans="1:4" ht="15.75" customHeight="1">
      <c r="A925" s="3"/>
      <c r="B925" s="13"/>
      <c r="D925" s="15"/>
    </row>
    <row r="926" spans="1:4" ht="15.75" customHeight="1">
      <c r="A926" s="3"/>
      <c r="B926" s="13"/>
      <c r="D926" s="15"/>
    </row>
    <row r="927" spans="1:4" ht="15.75" customHeight="1">
      <c r="A927" s="3"/>
      <c r="B927" s="13"/>
      <c r="D927" s="15"/>
    </row>
    <row r="928" spans="1:4" ht="15.75" customHeight="1">
      <c r="A928" s="3"/>
      <c r="B928" s="13"/>
      <c r="D928" s="15"/>
    </row>
    <row r="929" spans="1:4" ht="15.75" customHeight="1">
      <c r="A929" s="3"/>
      <c r="B929" s="13"/>
      <c r="D929" s="15"/>
    </row>
    <row r="930" spans="1:4" ht="15.75" customHeight="1">
      <c r="A930" s="3"/>
      <c r="B930" s="13"/>
      <c r="D930" s="15"/>
    </row>
    <row r="931" spans="1:4" ht="15.75" customHeight="1">
      <c r="A931" s="3"/>
      <c r="B931" s="13"/>
      <c r="D931" s="15"/>
    </row>
    <row r="932" spans="1:4" ht="15.75" customHeight="1">
      <c r="A932" s="3"/>
      <c r="B932" s="13"/>
      <c r="D932" s="15"/>
    </row>
    <row r="933" spans="1:4" ht="15.75" customHeight="1">
      <c r="A933" s="3"/>
      <c r="B933" s="13"/>
      <c r="D933" s="15"/>
    </row>
    <row r="934" spans="1:4" ht="15.75" customHeight="1">
      <c r="A934" s="3"/>
      <c r="B934" s="13"/>
      <c r="D934" s="15"/>
    </row>
    <row r="935" spans="1:4" ht="15.75" customHeight="1">
      <c r="A935" s="3"/>
      <c r="B935" s="13"/>
      <c r="D935" s="15"/>
    </row>
    <row r="936" spans="1:4" ht="15.75" customHeight="1">
      <c r="A936" s="3"/>
      <c r="B936" s="13"/>
      <c r="D936" s="15"/>
    </row>
    <row r="937" spans="1:4" ht="15.75" customHeight="1">
      <c r="A937" s="3"/>
      <c r="B937" s="13"/>
      <c r="D937" s="15"/>
    </row>
    <row r="938" spans="1:4" ht="15.75" customHeight="1">
      <c r="A938" s="3"/>
      <c r="B938" s="13"/>
      <c r="D938" s="15"/>
    </row>
    <row r="939" spans="1:4" ht="15.75" customHeight="1">
      <c r="A939" s="3"/>
      <c r="B939" s="13"/>
      <c r="D939" s="15"/>
    </row>
    <row r="940" spans="1:4" ht="15.75" customHeight="1">
      <c r="A940" s="3"/>
      <c r="B940" s="13"/>
      <c r="D940" s="15"/>
    </row>
    <row r="941" spans="1:4" ht="15.75" customHeight="1">
      <c r="A941" s="3"/>
      <c r="B941" s="13"/>
      <c r="D941" s="15"/>
    </row>
    <row r="942" spans="1:4" ht="15.75" customHeight="1">
      <c r="A942" s="3"/>
      <c r="B942" s="13"/>
      <c r="D942" s="15"/>
    </row>
    <row r="943" spans="1:4" ht="15.75" customHeight="1">
      <c r="A943" s="3"/>
      <c r="B943" s="13"/>
      <c r="D943" s="15"/>
    </row>
    <row r="944" spans="1:4" ht="15.75" customHeight="1">
      <c r="A944" s="3"/>
      <c r="B944" s="13"/>
      <c r="D944" s="15"/>
    </row>
    <row r="945" spans="1:4" ht="15.75" customHeight="1">
      <c r="A945" s="3"/>
      <c r="B945" s="13"/>
      <c r="D945" s="15"/>
    </row>
    <row r="946" spans="1:4" ht="15.75" customHeight="1">
      <c r="A946" s="3"/>
      <c r="B946" s="13"/>
      <c r="D946" s="15"/>
    </row>
    <row r="947" spans="1:4" ht="15.75" customHeight="1">
      <c r="A947" s="3"/>
      <c r="B947" s="13"/>
      <c r="D947" s="15"/>
    </row>
    <row r="948" spans="1:4" ht="15.75" customHeight="1">
      <c r="A948" s="3"/>
      <c r="B948" s="13"/>
      <c r="D948" s="15"/>
    </row>
    <row r="949" spans="1:4" ht="15.75" customHeight="1">
      <c r="A949" s="3"/>
      <c r="B949" s="13"/>
      <c r="D949" s="15"/>
    </row>
    <row r="950" spans="1:4" ht="15.75" customHeight="1">
      <c r="A950" s="3"/>
      <c r="B950" s="13"/>
      <c r="D950" s="15"/>
    </row>
    <row r="951" spans="1:4" ht="15.75" customHeight="1">
      <c r="A951" s="3"/>
      <c r="B951" s="13"/>
      <c r="D951" s="15"/>
    </row>
    <row r="952" spans="1:4" ht="15.75" customHeight="1">
      <c r="A952" s="3"/>
      <c r="B952" s="13"/>
      <c r="D952" s="15"/>
    </row>
    <row r="953" spans="1:4" ht="15.75" customHeight="1">
      <c r="A953" s="3"/>
      <c r="B953" s="13"/>
      <c r="D953" s="15"/>
    </row>
    <row r="954" spans="1:4" ht="15.75" customHeight="1">
      <c r="A954" s="3"/>
      <c r="B954" s="13"/>
      <c r="D954" s="15"/>
    </row>
    <row r="955" spans="1:4" ht="15.75" customHeight="1">
      <c r="A955" s="3"/>
      <c r="B955" s="13"/>
      <c r="D955" s="15"/>
    </row>
    <row r="956" spans="1:4" ht="15.75" customHeight="1">
      <c r="A956" s="3"/>
      <c r="B956" s="13"/>
      <c r="D956" s="15"/>
    </row>
    <row r="957" spans="1:4" ht="15.75" customHeight="1">
      <c r="A957" s="3"/>
      <c r="B957" s="13"/>
      <c r="D957" s="15"/>
    </row>
    <row r="958" spans="1:4" ht="15.75" customHeight="1">
      <c r="A958" s="3"/>
      <c r="B958" s="13"/>
      <c r="D958" s="15"/>
    </row>
    <row r="959" spans="1:4" ht="15.75" customHeight="1">
      <c r="A959" s="3"/>
      <c r="B959" s="13"/>
      <c r="D959" s="15"/>
    </row>
    <row r="960" spans="1:4" ht="15.75" customHeight="1">
      <c r="A960" s="3"/>
      <c r="B960" s="13"/>
      <c r="D960" s="15"/>
    </row>
    <row r="961" spans="1:4" ht="15.75" customHeight="1">
      <c r="A961" s="3"/>
      <c r="B961" s="13"/>
      <c r="D961" s="15"/>
    </row>
    <row r="962" spans="1:4" ht="15.75" customHeight="1">
      <c r="A962" s="3"/>
      <c r="B962" s="13"/>
      <c r="D962" s="15"/>
    </row>
    <row r="963" spans="1:4" ht="15.75" customHeight="1">
      <c r="A963" s="3"/>
      <c r="B963" s="13"/>
      <c r="D963" s="15"/>
    </row>
    <row r="964" spans="1:4" ht="15.75" customHeight="1">
      <c r="A964" s="3"/>
      <c r="B964" s="13"/>
      <c r="D964" s="15"/>
    </row>
    <row r="965" spans="1:4" ht="15.75" customHeight="1">
      <c r="A965" s="3"/>
      <c r="B965" s="13"/>
      <c r="D965" s="15"/>
    </row>
    <row r="966" spans="1:4" ht="15.75" customHeight="1">
      <c r="A966" s="3"/>
      <c r="B966" s="13"/>
      <c r="D966" s="15"/>
    </row>
    <row r="967" spans="1:4" ht="15.75" customHeight="1">
      <c r="A967" s="3"/>
      <c r="B967" s="13"/>
      <c r="D967" s="15"/>
    </row>
    <row r="968" spans="1:4" ht="15.75" customHeight="1">
      <c r="A968" s="3"/>
      <c r="B968" s="13"/>
      <c r="D968" s="15"/>
    </row>
    <row r="969" spans="1:4" ht="15.75" customHeight="1">
      <c r="A969" s="3"/>
      <c r="B969" s="13"/>
      <c r="D969" s="15"/>
    </row>
    <row r="970" spans="1:4" ht="15.75" customHeight="1">
      <c r="A970" s="3"/>
      <c r="B970" s="13"/>
      <c r="D970" s="15"/>
    </row>
    <row r="971" spans="1:4" ht="15.75" customHeight="1">
      <c r="A971" s="3"/>
      <c r="B971" s="13"/>
      <c r="D971" s="15"/>
    </row>
    <row r="972" spans="1:4" ht="15.75" customHeight="1">
      <c r="A972" s="3"/>
      <c r="B972" s="13"/>
      <c r="D972" s="15"/>
    </row>
    <row r="973" spans="1:4" ht="15.75" customHeight="1">
      <c r="A973" s="3"/>
      <c r="B973" s="13"/>
      <c r="D973" s="15"/>
    </row>
    <row r="974" spans="1:4" ht="15.75" customHeight="1">
      <c r="A974" s="3"/>
      <c r="B974" s="13"/>
      <c r="D974" s="15"/>
    </row>
    <row r="975" spans="1:4" ht="15.75" customHeight="1">
      <c r="A975" s="3"/>
      <c r="B975" s="13"/>
      <c r="D975" s="15"/>
    </row>
    <row r="976" spans="1:4" ht="15.75" customHeight="1">
      <c r="A976" s="3"/>
      <c r="B976" s="13"/>
      <c r="D976" s="15"/>
    </row>
    <row r="977" spans="1:4" ht="15.75" customHeight="1">
      <c r="A977" s="3"/>
      <c r="B977" s="13"/>
      <c r="D977" s="15"/>
    </row>
    <row r="978" spans="1:4" ht="15.75" customHeight="1">
      <c r="A978" s="3"/>
      <c r="B978" s="13"/>
      <c r="D978" s="15"/>
    </row>
    <row r="979" spans="1:4" ht="15.75" customHeight="1">
      <c r="A979" s="3"/>
      <c r="B979" s="13"/>
      <c r="D979" s="15"/>
    </row>
    <row r="980" spans="1:4" ht="15.75" customHeight="1">
      <c r="A980" s="3"/>
      <c r="B980" s="13"/>
      <c r="D980" s="15"/>
    </row>
    <row r="981" spans="1:4" ht="15.75" customHeight="1">
      <c r="A981" s="3"/>
      <c r="B981" s="13"/>
      <c r="D981" s="15"/>
    </row>
    <row r="982" spans="1:4" ht="15.75" customHeight="1">
      <c r="A982" s="3"/>
      <c r="B982" s="13"/>
      <c r="D982" s="15"/>
    </row>
    <row r="983" spans="1:4" ht="15.75" customHeight="1">
      <c r="A983" s="3"/>
      <c r="B983" s="13"/>
      <c r="D983" s="15"/>
    </row>
    <row r="984" spans="1:4" ht="15.75" customHeight="1">
      <c r="A984" s="3"/>
      <c r="B984" s="13"/>
      <c r="D984" s="15"/>
    </row>
    <row r="985" spans="1:4" ht="15.75" customHeight="1">
      <c r="A985" s="3"/>
      <c r="B985" s="13"/>
      <c r="D985" s="15"/>
    </row>
    <row r="986" spans="1:4" ht="15.75" customHeight="1">
      <c r="A986" s="3"/>
      <c r="B986" s="13"/>
      <c r="D986" s="15"/>
    </row>
    <row r="987" spans="1:4" ht="15.75" customHeight="1">
      <c r="A987" s="3"/>
      <c r="B987" s="13"/>
      <c r="D987" s="15"/>
    </row>
    <row r="988" spans="1:4" ht="15.75" customHeight="1">
      <c r="A988" s="3"/>
      <c r="B988" s="13"/>
      <c r="D988" s="15"/>
    </row>
    <row r="989" spans="1:4" ht="15.75" customHeight="1">
      <c r="A989" s="3"/>
      <c r="B989" s="13"/>
      <c r="D989" s="15"/>
    </row>
    <row r="990" spans="1:4" ht="15.75" customHeight="1">
      <c r="A990" s="3"/>
      <c r="B990" s="13"/>
      <c r="D990" s="15"/>
    </row>
    <row r="991" spans="1:4" ht="15.75" customHeight="1">
      <c r="A991" s="3"/>
      <c r="B991" s="13"/>
      <c r="D991" s="15"/>
    </row>
    <row r="992" spans="1:4" ht="15.75" customHeight="1">
      <c r="A992" s="3"/>
      <c r="B992" s="13"/>
      <c r="D992" s="15"/>
    </row>
    <row r="993" spans="1:4" ht="15.75" customHeight="1">
      <c r="A993" s="3"/>
      <c r="B993" s="13"/>
      <c r="D993" s="15"/>
    </row>
    <row r="994" spans="1:4" ht="15.75" customHeight="1">
      <c r="A994" s="3"/>
      <c r="B994" s="13"/>
      <c r="D994" s="15"/>
    </row>
    <row r="995" spans="1:4" ht="15.75" customHeight="1">
      <c r="A995" s="3"/>
      <c r="B995" s="13"/>
      <c r="D995" s="15"/>
    </row>
    <row r="996" spans="1:4" ht="15.75" customHeight="1">
      <c r="A996" s="3"/>
      <c r="B996" s="13"/>
      <c r="D996" s="15"/>
    </row>
    <row r="997" spans="1:4" ht="15.75" customHeight="1">
      <c r="A997" s="3"/>
      <c r="B997" s="13"/>
      <c r="D997" s="15"/>
    </row>
    <row r="998" spans="1:4" ht="15.75" customHeight="1">
      <c r="A998" s="3"/>
      <c r="B998" s="13"/>
      <c r="D998" s="15"/>
    </row>
    <row r="999" spans="1:4" ht="15.75" customHeight="1">
      <c r="A999" s="3"/>
      <c r="B999" s="13"/>
      <c r="D999" s="15"/>
    </row>
    <row r="1000" spans="1:4" ht="15.75" customHeight="1">
      <c r="A1000" s="3"/>
      <c r="B1000" s="13"/>
      <c r="D1000" s="15"/>
    </row>
    <row r="1001" spans="1:4" ht="15.75" customHeight="1">
      <c r="A1001" s="3"/>
      <c r="B1001" s="13"/>
      <c r="D1001" s="15"/>
    </row>
    <row r="1002" spans="1:4" ht="15.75" customHeight="1">
      <c r="A1002" s="3"/>
      <c r="B1002" s="13"/>
      <c r="D1002" s="15"/>
    </row>
    <row r="1003" spans="1:4" ht="15.75" customHeight="1">
      <c r="A1003" s="3"/>
      <c r="B1003" s="13"/>
      <c r="D1003" s="15"/>
    </row>
    <row r="1004" spans="1:4" ht="15.75" customHeight="1">
      <c r="A1004" s="3"/>
      <c r="B1004" s="13"/>
      <c r="D1004" s="15"/>
    </row>
    <row r="1005" spans="1:4" ht="15.75" customHeight="1">
      <c r="A1005" s="3"/>
      <c r="B1005" s="13"/>
      <c r="D1005" s="15"/>
    </row>
    <row r="1006" spans="1:4" ht="15.75" customHeight="1">
      <c r="A1006" s="3"/>
      <c r="B1006" s="13"/>
      <c r="D1006" s="15"/>
    </row>
    <row r="1007" spans="1:4" ht="15.75" customHeight="1">
      <c r="A1007" s="3"/>
      <c r="B1007" s="13"/>
      <c r="D1007" s="15"/>
    </row>
    <row r="1008" spans="1:4" ht="15.75" customHeight="1">
      <c r="A1008" s="3"/>
      <c r="B1008" s="13"/>
      <c r="D1008" s="15"/>
    </row>
    <row r="1009" spans="1:4" ht="15.75" customHeight="1">
      <c r="A1009" s="3"/>
      <c r="B1009" s="13"/>
      <c r="D1009" s="15"/>
    </row>
    <row r="1010" spans="1:4" ht="15.75" customHeight="1">
      <c r="A1010" s="3"/>
      <c r="B1010" s="13"/>
      <c r="D1010" s="15"/>
    </row>
    <row r="1011" spans="1:4" ht="15.75" customHeight="1">
      <c r="A1011" s="3"/>
      <c r="B1011" s="13"/>
      <c r="D1011" s="15"/>
    </row>
    <row r="1012" spans="1:4" ht="15.75" customHeight="1">
      <c r="A1012" s="3"/>
      <c r="B1012" s="13"/>
      <c r="D1012" s="15"/>
    </row>
    <row r="1013" spans="1:4" ht="15.75" customHeight="1">
      <c r="A1013" s="3"/>
      <c r="B1013" s="13"/>
      <c r="D1013" s="15"/>
    </row>
    <row r="1014" spans="1:4" ht="15.75" customHeight="1">
      <c r="A1014" s="3"/>
      <c r="B1014" s="13"/>
      <c r="D1014" s="15"/>
    </row>
    <row r="1015" spans="1:4" ht="15.75" customHeight="1">
      <c r="A1015" s="3"/>
      <c r="B1015" s="13"/>
      <c r="D1015" s="15"/>
    </row>
    <row r="1016" spans="1:4" ht="15.75" customHeight="1">
      <c r="A1016" s="3"/>
      <c r="B1016" s="13"/>
      <c r="D1016" s="15"/>
    </row>
    <row r="1017" spans="1:4" ht="15.75" customHeight="1">
      <c r="A1017" s="3"/>
      <c r="B1017" s="13"/>
      <c r="D1017" s="15"/>
    </row>
    <row r="1018" spans="1:4" ht="15.75" customHeight="1">
      <c r="A1018" s="3"/>
      <c r="B1018" s="13"/>
      <c r="D1018" s="15"/>
    </row>
    <row r="1019" spans="1:4" ht="15.75" customHeight="1">
      <c r="A1019" s="3"/>
      <c r="B1019" s="13"/>
      <c r="D1019" s="15"/>
    </row>
    <row r="1020" spans="1:4" ht="15.75" customHeight="1">
      <c r="A1020" s="3"/>
      <c r="B1020" s="13"/>
      <c r="D1020" s="15"/>
    </row>
    <row r="1021" spans="1:4" ht="15.75" customHeight="1">
      <c r="A1021" s="3"/>
      <c r="B1021" s="13"/>
      <c r="D1021" s="15"/>
    </row>
    <row r="1022" spans="1:4" ht="15.75" customHeight="1">
      <c r="A1022" s="3"/>
      <c r="B1022" s="13"/>
      <c r="D1022" s="15"/>
    </row>
    <row r="1023" spans="1:4" ht="15.75" customHeight="1">
      <c r="A1023" s="3"/>
      <c r="B1023" s="13"/>
      <c r="D1023" s="15"/>
    </row>
    <row r="1024" spans="1:4" ht="15.75" customHeight="1">
      <c r="A1024" s="3"/>
      <c r="B1024" s="13"/>
      <c r="D1024" s="15"/>
    </row>
    <row r="1025" spans="1:4" ht="15.75" customHeight="1">
      <c r="A1025" s="3"/>
      <c r="B1025" s="13"/>
      <c r="D1025" s="15"/>
    </row>
    <row r="1026" spans="1:4" ht="15.75" customHeight="1">
      <c r="A1026" s="3"/>
      <c r="B1026" s="13"/>
      <c r="D1026" s="15"/>
    </row>
    <row r="1027" spans="1:4" ht="15.75" customHeight="1">
      <c r="A1027" s="3"/>
      <c r="B1027" s="13"/>
      <c r="D1027" s="15"/>
    </row>
    <row r="1028" spans="1:4" ht="15.75" customHeight="1">
      <c r="A1028" s="3"/>
      <c r="B1028" s="13"/>
      <c r="D1028" s="15"/>
    </row>
    <row r="1029" spans="1:4" ht="15.75" customHeight="1">
      <c r="A1029" s="3"/>
      <c r="B1029" s="13"/>
      <c r="D1029" s="15"/>
    </row>
    <row r="1030" spans="1:4" ht="15.75" customHeight="1">
      <c r="A1030" s="3"/>
      <c r="B1030" s="13"/>
      <c r="D1030" s="15"/>
    </row>
    <row r="1031" spans="1:4" ht="15.75" customHeight="1">
      <c r="A1031" s="3"/>
      <c r="B1031" s="13"/>
      <c r="D1031" s="15"/>
    </row>
    <row r="1032" spans="1:4" ht="15.75" customHeight="1">
      <c r="A1032" s="3"/>
      <c r="B1032" s="13"/>
      <c r="D1032" s="15"/>
    </row>
    <row r="1033" spans="1:4" ht="15.75" customHeight="1">
      <c r="A1033" s="3"/>
      <c r="B1033" s="13"/>
      <c r="D1033" s="15"/>
    </row>
    <row r="1034" spans="1:4" ht="15.75" customHeight="1">
      <c r="A1034" s="3"/>
      <c r="B1034" s="13"/>
      <c r="D1034" s="15"/>
    </row>
    <row r="1035" spans="1:4" ht="15.75" customHeight="1">
      <c r="A1035" s="3"/>
      <c r="B1035" s="13"/>
      <c r="D1035" s="15"/>
    </row>
    <row r="1036" spans="1:4" ht="15.75" customHeight="1">
      <c r="A1036" s="3"/>
      <c r="B1036" s="13"/>
      <c r="D1036" s="15"/>
    </row>
    <row r="1037" spans="1:4" ht="15.75" customHeight="1">
      <c r="A1037" s="3"/>
      <c r="B1037" s="13"/>
      <c r="D1037" s="15"/>
    </row>
    <row r="1038" spans="1:4" ht="15.75" customHeight="1">
      <c r="A1038" s="3"/>
      <c r="B1038" s="13"/>
      <c r="D1038" s="15"/>
    </row>
    <row r="1039" spans="1:4" ht="15.75" customHeight="1">
      <c r="A1039" s="3"/>
      <c r="B1039" s="13"/>
      <c r="D1039" s="15"/>
    </row>
    <row r="1040" spans="1:4" ht="15.75" customHeight="1">
      <c r="A1040" s="3"/>
      <c r="B1040" s="13"/>
      <c r="D1040" s="15"/>
    </row>
    <row r="1041" spans="1:4" ht="15.75" customHeight="1">
      <c r="A1041" s="3"/>
      <c r="B1041" s="13"/>
      <c r="D1041" s="15"/>
    </row>
    <row r="1042" spans="1:4" ht="15.75" customHeight="1">
      <c r="A1042" s="3"/>
      <c r="B1042" s="13"/>
      <c r="D1042" s="15"/>
    </row>
    <row r="1043" spans="1:4" ht="15.75" customHeight="1">
      <c r="A1043" s="3"/>
      <c r="B1043" s="13"/>
      <c r="D1043" s="15"/>
    </row>
    <row r="1044" spans="1:4" ht="15.75" customHeight="1">
      <c r="A1044" s="3"/>
      <c r="B1044" s="13"/>
      <c r="D1044" s="15"/>
    </row>
    <row r="1045" spans="1:4" ht="15.75" customHeight="1">
      <c r="A1045" s="3"/>
      <c r="B1045" s="13"/>
      <c r="D1045" s="15"/>
    </row>
    <row r="1046" spans="1:4" ht="15.75" customHeight="1">
      <c r="A1046" s="3"/>
      <c r="B1046" s="13"/>
      <c r="D1046" s="15"/>
    </row>
    <row r="1047" spans="1:4" ht="15.75" customHeight="1">
      <c r="A1047" s="3"/>
      <c r="B1047" s="13"/>
      <c r="D1047" s="15"/>
    </row>
    <row r="1048" spans="1:4" ht="15.75" customHeight="1">
      <c r="A1048" s="3"/>
      <c r="B1048" s="13"/>
      <c r="D1048" s="15"/>
    </row>
    <row r="1049" spans="1:4" ht="15.75" customHeight="1">
      <c r="A1049" s="3"/>
      <c r="B1049" s="13"/>
      <c r="D1049" s="15"/>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Exponential Item Growth</vt:lpstr>
      <vt:lpstr>Calculations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 Pecorella</cp:lastModifiedBy>
  <dcterms:modified xsi:type="dcterms:W3CDTF">2016-08-26T12:42:49Z</dcterms:modified>
</cp:coreProperties>
</file>