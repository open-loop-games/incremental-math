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imal Choice" sheetId="1" r:id="rId5"/>
    <sheet state="visible" name="Calc for Optimal Choice" sheetId="2" r:id="rId6"/>
  </sheets>
  <definedNames/>
  <calcPr/>
</workbook>
</file>

<file path=xl/sharedStrings.xml><?xml version="1.0" encoding="utf-8"?>
<sst xmlns="http://schemas.openxmlformats.org/spreadsheetml/2006/main" count="63" uniqueCount="36">
  <si>
    <t>This sheet brings together two of the previous elements into a more complex model of growth. It uses the optimal purchase model but then combines that will ownership multipliers that impact the decisions. This is a purely greedy algorithm that looks only a single step ahead, so it'll prioritize a purchase that will trigger a bonus, but it won't look ahead to see if a bonus is near - thus this is near-optimal but not fully optimal. It also looks at income for each Generator type (showing the relative power / relevance at various points in the progression) and pulls out the time between optimal purchases (indicating how slow the game is getting). It assumes that the player starts with a single Generator 1 instance.
In this case ownership multipliers are only global, which does limit your ability to balance the generators against one another. See sheet 1e for individual multipliers and a lot more control.</t>
  </si>
  <si>
    <t>Generator 1</t>
  </si>
  <si>
    <t>Base Income</t>
  </si>
  <si>
    <t>Starting Cost</t>
  </si>
  <si>
    <t xml:space="preserve">Cost Mult Factor </t>
  </si>
  <si>
    <t>Generator 2</t>
  </si>
  <si>
    <t>Generator 3</t>
  </si>
  <si>
    <t>Generator 4</t>
  </si>
  <si>
    <t>Generator 5</t>
  </si>
  <si>
    <t>Global Multiplier</t>
  </si>
  <si>
    <t>Global Ownership Multipliers</t>
  </si>
  <si>
    <t>Number</t>
  </si>
  <si>
    <t>Bonus (not cumulative)</t>
  </si>
  <si>
    <t>Minutes</t>
  </si>
  <si>
    <t>Income / Sec</t>
  </si>
  <si>
    <t>Cumulative Multipliers</t>
  </si>
  <si>
    <t>Item 1 Score</t>
  </si>
  <si>
    <t>Item 2 Score</t>
  </si>
  <si>
    <t>Item 3 Score</t>
  </si>
  <si>
    <t>Item 4 Score</t>
  </si>
  <si>
    <t>Item 5 Score</t>
  </si>
  <si>
    <t>Counts</t>
  </si>
  <si>
    <t>Gen 1</t>
  </si>
  <si>
    <t>Gen 2</t>
  </si>
  <si>
    <t>Gen 3</t>
  </si>
  <si>
    <t>Gen 4</t>
  </si>
  <si>
    <t>Gen 5</t>
  </si>
  <si>
    <t>Item 1 Cost</t>
  </si>
  <si>
    <t>Item 2 Cost</t>
  </si>
  <si>
    <t>Item 3 Cost</t>
  </si>
  <si>
    <t>Item 4 Cost</t>
  </si>
  <si>
    <t>Item 5 Cost</t>
  </si>
  <si>
    <t>Bonuses</t>
  </si>
  <si>
    <t>Total Production</t>
  </si>
  <si>
    <t>N+1 bonus</t>
  </si>
  <si>
    <t>Time Delta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</si>
</sst>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Font="1"/>
    <xf borderId="0" fillId="0" fontId="1" numFmtId="0" xfId="0" applyFont="1"/>
    <xf borderId="0" fillId="3" fontId="1" numFmtId="0" xfId="0" applyFont="1"/>
    <xf borderId="0" fillId="2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" numFmtId="2" xfId="0" applyFont="1" applyNumberFormat="1"/>
    <xf borderId="0" fillId="0" fontId="1" numFmtId="1" xfId="0" applyFont="1" applyNumberFormat="1"/>
    <xf borderId="0" fillId="0" fontId="1" numFmtId="164" xfId="0" applyFont="1" applyNumberFormat="1"/>
    <xf borderId="0" fillId="2" fontId="1" numFmtId="0" xfId="0" applyFont="1"/>
    <xf borderId="0" fillId="0" fontId="1" numFmtId="0" xfId="0" applyFont="1"/>
    <xf borderId="0" fillId="4" fontId="7" numFmtId="2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Total Income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'Calc for Optimal Choice'!$B$1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'Calc for Optimal Choice'!$A$2:$A$200</c:f>
            </c:strRef>
          </c:cat>
          <c:val>
            <c:numRef>
              <c:f>'Calc for Optimal Choice'!$B$2:$B$200</c:f>
              <c:numCache/>
            </c:numRef>
          </c:val>
          <c:smooth val="0"/>
        </c:ser>
        <c:axId val="1341377322"/>
        <c:axId val="216722072"/>
      </c:lineChart>
      <c:catAx>
        <c:axId val="1341377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16722072"/>
      </c:catAx>
      <c:valAx>
        <c:axId val="216722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Income / 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34137732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Total Income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'Calc for Optimal Choice'!$B$1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'Calc for Optimal Choice'!$A$2:$A$400</c:f>
            </c:strRef>
          </c:cat>
          <c:val>
            <c:numRef>
              <c:f>'Calc for Optimal Choice'!$B$2:$B$400</c:f>
              <c:numCache/>
            </c:numRef>
          </c:val>
          <c:smooth val="0"/>
        </c:ser>
        <c:axId val="1973130000"/>
        <c:axId val="2124882086"/>
      </c:lineChart>
      <c:catAx>
        <c:axId val="197313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124882086"/>
      </c:catAx>
      <c:valAx>
        <c:axId val="2124882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Income / 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97313000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Total Income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'Calc for Optimal Choice'!$B$1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'Calc for Optimal Choice'!$A$2:$A$600</c:f>
            </c:strRef>
          </c:cat>
          <c:val>
            <c:numRef>
              <c:f>'Calc for Optimal Choice'!$B$2:$B$600</c:f>
              <c:numCache/>
            </c:numRef>
          </c:val>
          <c:smooth val="0"/>
        </c:ser>
        <c:axId val="1935893961"/>
        <c:axId val="1150647941"/>
      </c:lineChart>
      <c:catAx>
        <c:axId val="1935893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Minutes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150647941"/>
      </c:catAx>
      <c:valAx>
        <c:axId val="1150647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Income / Sec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93589396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Counts of Generators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'Calc for Optimal Choice'!$N$1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'Calc for Optimal Choice'!$A$2:$A$400</c:f>
            </c:strRef>
          </c:cat>
          <c:val>
            <c:numRef>
              <c:f>'Calc for Optimal Choice'!$N$2:$N$400</c:f>
              <c:numCache/>
            </c:numRef>
          </c:val>
          <c:smooth val="0"/>
        </c:ser>
        <c:ser>
          <c:idx val="1"/>
          <c:order val="1"/>
          <c:tx>
            <c:strRef>
              <c:f>'Calc for Optimal Choice'!$O$1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'Calc for Optimal Choice'!$A$2:$A$400</c:f>
            </c:strRef>
          </c:cat>
          <c:val>
            <c:numRef>
              <c:f>'Calc for Optimal Choice'!$O$2:$O$400</c:f>
              <c:numCache/>
            </c:numRef>
          </c:val>
          <c:smooth val="0"/>
        </c:ser>
        <c:ser>
          <c:idx val="2"/>
          <c:order val="2"/>
          <c:tx>
            <c:strRef>
              <c:f>'Calc for Optimal Choice'!$P$1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'Calc for Optimal Choice'!$A$2:$A$400</c:f>
            </c:strRef>
          </c:cat>
          <c:val>
            <c:numRef>
              <c:f>'Calc for Optimal Choice'!$P$2:$P$400</c:f>
              <c:numCache/>
            </c:numRef>
          </c:val>
          <c:smooth val="0"/>
        </c:ser>
        <c:ser>
          <c:idx val="3"/>
          <c:order val="3"/>
          <c:tx>
            <c:strRef>
              <c:f>'Calc for Optimal Choice'!$Q$1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'Calc for Optimal Choice'!$A$2:$A$400</c:f>
            </c:strRef>
          </c:cat>
          <c:val>
            <c:numRef>
              <c:f>'Calc for Optimal Choice'!$Q$2:$Q$400</c:f>
              <c:numCache/>
            </c:numRef>
          </c:val>
          <c:smooth val="0"/>
        </c:ser>
        <c:ser>
          <c:idx val="4"/>
          <c:order val="4"/>
          <c:tx>
            <c:strRef>
              <c:f>'Calc for Optimal Choice'!$R$1</c:f>
            </c:strRef>
          </c:tx>
          <c:spPr>
            <a:ln cmpd="sng" w="19050">
              <a:solidFill>
                <a:srgbClr val="9900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'Calc for Optimal Choice'!$A$2:$A$400</c:f>
            </c:strRef>
          </c:cat>
          <c:val>
            <c:numRef>
              <c:f>'Calc for Optimal Choice'!$R$2:$R$400</c:f>
              <c:numCache/>
            </c:numRef>
          </c:val>
          <c:smooth val="0"/>
        </c:ser>
        <c:axId val="967337602"/>
        <c:axId val="1248339923"/>
      </c:lineChart>
      <c:catAx>
        <c:axId val="967337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248339923"/>
      </c:catAx>
      <c:valAx>
        <c:axId val="1248339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96733760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Counts of Generators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'Calc for Optimal Choice'!$N$1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'Calc for Optimal Choice'!$A$2:$A$600</c:f>
            </c:strRef>
          </c:cat>
          <c:val>
            <c:numRef>
              <c:f>'Calc for Optimal Choice'!$N$2:$N$600</c:f>
              <c:numCache/>
            </c:numRef>
          </c:val>
          <c:smooth val="0"/>
        </c:ser>
        <c:ser>
          <c:idx val="1"/>
          <c:order val="1"/>
          <c:tx>
            <c:strRef>
              <c:f>'Calc for Optimal Choice'!$O$1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'Calc for Optimal Choice'!$A$2:$A$600</c:f>
            </c:strRef>
          </c:cat>
          <c:val>
            <c:numRef>
              <c:f>'Calc for Optimal Choice'!$O$2:$O$600</c:f>
              <c:numCache/>
            </c:numRef>
          </c:val>
          <c:smooth val="0"/>
        </c:ser>
        <c:ser>
          <c:idx val="2"/>
          <c:order val="2"/>
          <c:tx>
            <c:strRef>
              <c:f>'Calc for Optimal Choice'!$P$1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'Calc for Optimal Choice'!$A$2:$A$600</c:f>
            </c:strRef>
          </c:cat>
          <c:val>
            <c:numRef>
              <c:f>'Calc for Optimal Choice'!$P$2:$P$600</c:f>
              <c:numCache/>
            </c:numRef>
          </c:val>
          <c:smooth val="0"/>
        </c:ser>
        <c:ser>
          <c:idx val="3"/>
          <c:order val="3"/>
          <c:tx>
            <c:strRef>
              <c:f>'Calc for Optimal Choice'!$Q$1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'Calc for Optimal Choice'!$A$2:$A$600</c:f>
            </c:strRef>
          </c:cat>
          <c:val>
            <c:numRef>
              <c:f>'Calc for Optimal Choice'!$Q$2:$Q$600</c:f>
              <c:numCache/>
            </c:numRef>
          </c:val>
          <c:smooth val="0"/>
        </c:ser>
        <c:ser>
          <c:idx val="4"/>
          <c:order val="4"/>
          <c:tx>
            <c:strRef>
              <c:f>'Calc for Optimal Choice'!$R$1</c:f>
            </c:strRef>
          </c:tx>
          <c:spPr>
            <a:ln cmpd="sng">
              <a:solidFill>
                <a:srgbClr val="990099"/>
              </a:solidFill>
            </a:ln>
          </c:spPr>
          <c:marker>
            <c:symbol val="none"/>
          </c:marker>
          <c:cat>
            <c:strRef>
              <c:f>'Calc for Optimal Choice'!$A$2:$A$600</c:f>
            </c:strRef>
          </c:cat>
          <c:val>
            <c:numRef>
              <c:f>'Calc for Optimal Choice'!$R$2:$R$600</c:f>
              <c:numCache/>
            </c:numRef>
          </c:val>
          <c:smooth val="0"/>
        </c:ser>
        <c:axId val="288377899"/>
        <c:axId val="384255487"/>
      </c:lineChart>
      <c:catAx>
        <c:axId val="288377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384255487"/>
      </c:catAx>
      <c:valAx>
        <c:axId val="384255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8837789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Counts of Generators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'Calc for Optimal Choice'!$N$1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'Calc for Optimal Choice'!$A$2:$A$200</c:f>
            </c:strRef>
          </c:cat>
          <c:val>
            <c:numRef>
              <c:f>'Calc for Optimal Choice'!$N$2:$N$200</c:f>
              <c:numCache/>
            </c:numRef>
          </c:val>
          <c:smooth val="0"/>
        </c:ser>
        <c:ser>
          <c:idx val="1"/>
          <c:order val="1"/>
          <c:tx>
            <c:strRef>
              <c:f>'Calc for Optimal Choice'!$O$1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'Calc for Optimal Choice'!$A$2:$A$200</c:f>
            </c:strRef>
          </c:cat>
          <c:val>
            <c:numRef>
              <c:f>'Calc for Optimal Choice'!$O$2:$O$200</c:f>
              <c:numCache/>
            </c:numRef>
          </c:val>
          <c:smooth val="0"/>
        </c:ser>
        <c:ser>
          <c:idx val="2"/>
          <c:order val="2"/>
          <c:tx>
            <c:strRef>
              <c:f>'Calc for Optimal Choice'!$P$1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'Calc for Optimal Choice'!$A$2:$A$200</c:f>
            </c:strRef>
          </c:cat>
          <c:val>
            <c:numRef>
              <c:f>'Calc for Optimal Choice'!$P$2:$P$200</c:f>
              <c:numCache/>
            </c:numRef>
          </c:val>
          <c:smooth val="0"/>
        </c:ser>
        <c:ser>
          <c:idx val="3"/>
          <c:order val="3"/>
          <c:tx>
            <c:strRef>
              <c:f>'Calc for Optimal Choice'!$Q$1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'Calc for Optimal Choice'!$A$2:$A$200</c:f>
            </c:strRef>
          </c:cat>
          <c:val>
            <c:numRef>
              <c:f>'Calc for Optimal Choice'!$Q$2:$Q$200</c:f>
              <c:numCache/>
            </c:numRef>
          </c:val>
          <c:smooth val="0"/>
        </c:ser>
        <c:ser>
          <c:idx val="4"/>
          <c:order val="4"/>
          <c:tx>
            <c:strRef>
              <c:f>'Calc for Optimal Choice'!$R$1</c:f>
            </c:strRef>
          </c:tx>
          <c:spPr>
            <a:ln cmpd="sng">
              <a:solidFill>
                <a:srgbClr val="990099"/>
              </a:solidFill>
            </a:ln>
          </c:spPr>
          <c:marker>
            <c:symbol val="none"/>
          </c:marker>
          <c:cat>
            <c:strRef>
              <c:f>'Calc for Optimal Choice'!$A$2:$A$200</c:f>
            </c:strRef>
          </c:cat>
          <c:val>
            <c:numRef>
              <c:f>'Calc for Optimal Choice'!$R$2:$R$200</c:f>
              <c:numCache/>
            </c:numRef>
          </c:val>
          <c:smooth val="0"/>
        </c:ser>
        <c:axId val="416526313"/>
        <c:axId val="478271843"/>
      </c:lineChart>
      <c:catAx>
        <c:axId val="416526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478271843"/>
      </c:catAx>
      <c:valAx>
        <c:axId val="478271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41652631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Total Income for each Generator type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'Calc for Optimal Choice'!$AH$1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'Calc for Optimal Choice'!$A$2:$A$200</c:f>
            </c:strRef>
          </c:cat>
          <c:val>
            <c:numRef>
              <c:f>'Calc for Optimal Choice'!$AH$2:$AH$200</c:f>
              <c:numCache/>
            </c:numRef>
          </c:val>
          <c:smooth val="0"/>
        </c:ser>
        <c:ser>
          <c:idx val="1"/>
          <c:order val="1"/>
          <c:tx>
            <c:strRef>
              <c:f>'Calc for Optimal Choice'!$AI$1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'Calc for Optimal Choice'!$A$2:$A$200</c:f>
            </c:strRef>
          </c:cat>
          <c:val>
            <c:numRef>
              <c:f>'Calc for Optimal Choice'!$AI$2:$AI$200</c:f>
              <c:numCache/>
            </c:numRef>
          </c:val>
          <c:smooth val="0"/>
        </c:ser>
        <c:ser>
          <c:idx val="2"/>
          <c:order val="2"/>
          <c:tx>
            <c:strRef>
              <c:f>'Calc for Optimal Choice'!$AJ$1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'Calc for Optimal Choice'!$A$2:$A$200</c:f>
            </c:strRef>
          </c:cat>
          <c:val>
            <c:numRef>
              <c:f>'Calc for Optimal Choice'!$AJ$2:$AJ$200</c:f>
              <c:numCache/>
            </c:numRef>
          </c:val>
          <c:smooth val="0"/>
        </c:ser>
        <c:ser>
          <c:idx val="3"/>
          <c:order val="3"/>
          <c:tx>
            <c:strRef>
              <c:f>'Calc for Optimal Choice'!$AK$1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'Calc for Optimal Choice'!$A$2:$A$200</c:f>
            </c:strRef>
          </c:cat>
          <c:val>
            <c:numRef>
              <c:f>'Calc for Optimal Choice'!$AK$2:$AK$200</c:f>
              <c:numCache/>
            </c:numRef>
          </c:val>
          <c:smooth val="0"/>
        </c:ser>
        <c:ser>
          <c:idx val="4"/>
          <c:order val="4"/>
          <c:tx>
            <c:strRef>
              <c:f>'Calc for Optimal Choice'!$AL$1</c:f>
            </c:strRef>
          </c:tx>
          <c:spPr>
            <a:ln cmpd="sng">
              <a:solidFill>
                <a:srgbClr val="990099"/>
              </a:solidFill>
            </a:ln>
          </c:spPr>
          <c:marker>
            <c:symbol val="none"/>
          </c:marker>
          <c:cat>
            <c:strRef>
              <c:f>'Calc for Optimal Choice'!$A$2:$A$200</c:f>
            </c:strRef>
          </c:cat>
          <c:val>
            <c:numRef>
              <c:f>'Calc for Optimal Choice'!$AL$2:$AL$200</c:f>
              <c:numCache/>
            </c:numRef>
          </c:val>
          <c:smooth val="0"/>
        </c:ser>
        <c:axId val="452773779"/>
        <c:axId val="1273205413"/>
      </c:lineChart>
      <c:catAx>
        <c:axId val="452773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273205413"/>
      </c:catAx>
      <c:valAx>
        <c:axId val="1273205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45277377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Total Income for Each Generator Type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'Calc for Optimal Choice'!$AH$1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'Calc for Optimal Choice'!$A$2:$A$400</c:f>
            </c:strRef>
          </c:cat>
          <c:val>
            <c:numRef>
              <c:f>'Calc for Optimal Choice'!$AH$2:$AH$400</c:f>
              <c:numCache/>
            </c:numRef>
          </c:val>
          <c:smooth val="0"/>
        </c:ser>
        <c:ser>
          <c:idx val="1"/>
          <c:order val="1"/>
          <c:tx>
            <c:strRef>
              <c:f>'Calc for Optimal Choice'!$AI$1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'Calc for Optimal Choice'!$A$2:$A$400</c:f>
            </c:strRef>
          </c:cat>
          <c:val>
            <c:numRef>
              <c:f>'Calc for Optimal Choice'!$AI$2:$AI$400</c:f>
              <c:numCache/>
            </c:numRef>
          </c:val>
          <c:smooth val="0"/>
        </c:ser>
        <c:ser>
          <c:idx val="2"/>
          <c:order val="2"/>
          <c:tx>
            <c:strRef>
              <c:f>'Calc for Optimal Choice'!$AJ$1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'Calc for Optimal Choice'!$A$2:$A$400</c:f>
            </c:strRef>
          </c:cat>
          <c:val>
            <c:numRef>
              <c:f>'Calc for Optimal Choice'!$AJ$2:$AJ$400</c:f>
              <c:numCache/>
            </c:numRef>
          </c:val>
          <c:smooth val="0"/>
        </c:ser>
        <c:ser>
          <c:idx val="3"/>
          <c:order val="3"/>
          <c:tx>
            <c:strRef>
              <c:f>'Calc for Optimal Choice'!$AK$1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'Calc for Optimal Choice'!$A$2:$A$400</c:f>
            </c:strRef>
          </c:cat>
          <c:val>
            <c:numRef>
              <c:f>'Calc for Optimal Choice'!$AK$2:$AK$400</c:f>
              <c:numCache/>
            </c:numRef>
          </c:val>
          <c:smooth val="0"/>
        </c:ser>
        <c:ser>
          <c:idx val="4"/>
          <c:order val="4"/>
          <c:tx>
            <c:strRef>
              <c:f>'Calc for Optimal Choice'!$AL$1</c:f>
            </c:strRef>
          </c:tx>
          <c:spPr>
            <a:ln cmpd="sng">
              <a:solidFill>
                <a:srgbClr val="990099"/>
              </a:solidFill>
            </a:ln>
          </c:spPr>
          <c:marker>
            <c:symbol val="none"/>
          </c:marker>
          <c:cat>
            <c:strRef>
              <c:f>'Calc for Optimal Choice'!$A$2:$A$400</c:f>
            </c:strRef>
          </c:cat>
          <c:val>
            <c:numRef>
              <c:f>'Calc for Optimal Choice'!$AL$2:$AL$400</c:f>
              <c:numCache/>
            </c:numRef>
          </c:val>
          <c:smooth val="0"/>
        </c:ser>
        <c:axId val="1203809811"/>
        <c:axId val="1047114463"/>
      </c:lineChart>
      <c:catAx>
        <c:axId val="1203809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47114463"/>
      </c:catAx>
      <c:valAx>
        <c:axId val="1047114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20380981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Total Income for each Generator type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'Calc for Optimal Choice'!$AH$1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'Calc for Optimal Choice'!$A$2:$A$600</c:f>
            </c:strRef>
          </c:cat>
          <c:val>
            <c:numRef>
              <c:f>'Calc for Optimal Choice'!$AH$2:$AH$600</c:f>
              <c:numCache/>
            </c:numRef>
          </c:val>
          <c:smooth val="0"/>
        </c:ser>
        <c:ser>
          <c:idx val="1"/>
          <c:order val="1"/>
          <c:tx>
            <c:strRef>
              <c:f>'Calc for Optimal Choice'!$AI$1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'Calc for Optimal Choice'!$A$2:$A$600</c:f>
            </c:strRef>
          </c:cat>
          <c:val>
            <c:numRef>
              <c:f>'Calc for Optimal Choice'!$AI$2:$AI$600</c:f>
              <c:numCache/>
            </c:numRef>
          </c:val>
          <c:smooth val="0"/>
        </c:ser>
        <c:ser>
          <c:idx val="2"/>
          <c:order val="2"/>
          <c:tx>
            <c:strRef>
              <c:f>'Calc for Optimal Choice'!$AJ$1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'Calc for Optimal Choice'!$A$2:$A$600</c:f>
            </c:strRef>
          </c:cat>
          <c:val>
            <c:numRef>
              <c:f>'Calc for Optimal Choice'!$AJ$2:$AJ$600</c:f>
              <c:numCache/>
            </c:numRef>
          </c:val>
          <c:smooth val="0"/>
        </c:ser>
        <c:ser>
          <c:idx val="3"/>
          <c:order val="3"/>
          <c:tx>
            <c:strRef>
              <c:f>'Calc for Optimal Choice'!$AK$1</c:f>
            </c:strRef>
          </c:tx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'Calc for Optimal Choice'!$A$2:$A$600</c:f>
            </c:strRef>
          </c:cat>
          <c:val>
            <c:numRef>
              <c:f>'Calc for Optimal Choice'!$AK$2:$AK$600</c:f>
              <c:numCache/>
            </c:numRef>
          </c:val>
          <c:smooth val="0"/>
        </c:ser>
        <c:ser>
          <c:idx val="4"/>
          <c:order val="4"/>
          <c:tx>
            <c:strRef>
              <c:f>'Calc for Optimal Choice'!$AL$1</c:f>
            </c:strRef>
          </c:tx>
          <c:spPr>
            <a:ln cmpd="sng">
              <a:solidFill>
                <a:srgbClr val="990099"/>
              </a:solidFill>
            </a:ln>
          </c:spPr>
          <c:marker>
            <c:symbol val="none"/>
          </c:marker>
          <c:cat>
            <c:strRef>
              <c:f>'Calc for Optimal Choice'!$A$2:$A$600</c:f>
            </c:strRef>
          </c:cat>
          <c:val>
            <c:numRef>
              <c:f>'Calc for Optimal Choice'!$AL$2:$AL$600</c:f>
              <c:numCache/>
            </c:numRef>
          </c:val>
          <c:smooth val="0"/>
        </c:ser>
        <c:axId val="212452232"/>
        <c:axId val="661755820"/>
      </c:lineChart>
      <c:catAx>
        <c:axId val="212452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661755820"/>
      </c:catAx>
      <c:valAx>
        <c:axId val="661755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1245223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Time Between Purchases vs. Time Since Start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'Calc for Optimal Choice'!$AU$1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xVal>
            <c:numRef>
              <c:f>'Calc for Optimal Choice'!$A$2:$A$600</c:f>
            </c:numRef>
          </c:xVal>
          <c:yVal>
            <c:numRef>
              <c:f>'Calc for Optimal Choice'!$AU$2:$AU$600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239060"/>
        <c:axId val="1002279908"/>
      </c:scatterChart>
      <c:valAx>
        <c:axId val="8512390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 Since Start (minutes)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02279908"/>
      </c:valAx>
      <c:valAx>
        <c:axId val="1002279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Time Until Next Purchase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8512390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2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171450</xdr:colOff>
      <xdr:row>2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419100</xdr:colOff>
      <xdr:row>2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200025</xdr:colOff>
      <xdr:row>20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428625</xdr:colOff>
      <xdr:row>20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942975</xdr:colOff>
      <xdr:row>20</xdr:row>
      <xdr:rowOff>142875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942975</xdr:colOff>
      <xdr:row>39</xdr:row>
      <xdr:rowOff>152400</xdr:rowOff>
    </xdr:from>
    <xdr:ext cx="5743575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209550</xdr:colOff>
      <xdr:row>39</xdr:row>
      <xdr:rowOff>180975</xdr:rowOff>
    </xdr:from>
    <xdr:ext cx="5743575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16</xdr:col>
      <xdr:colOff>428625</xdr:colOff>
      <xdr:row>39</xdr:row>
      <xdr:rowOff>190500</xdr:rowOff>
    </xdr:from>
    <xdr:ext cx="5743575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</xdr:col>
      <xdr:colOff>942975</xdr:colOff>
      <xdr:row>58</xdr:row>
      <xdr:rowOff>28575</xdr:rowOff>
    </xdr:from>
    <xdr:ext cx="11696700" cy="61436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6.13"/>
    <col customWidth="1" min="3" max="6" width="12.63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</row>
    <row r="4" ht="15.75" customHeight="1">
      <c r="A4" s="3" t="s">
        <v>2</v>
      </c>
      <c r="B4" s="4">
        <v>1.67</v>
      </c>
    </row>
    <row r="5" ht="15.75" customHeight="1">
      <c r="A5" s="3" t="s">
        <v>3</v>
      </c>
      <c r="B5" s="4">
        <v>4.0</v>
      </c>
    </row>
    <row r="6" ht="15.75" customHeight="1">
      <c r="A6" s="3" t="s">
        <v>4</v>
      </c>
      <c r="B6" s="4">
        <v>1.07</v>
      </c>
    </row>
    <row r="7" ht="15.75" customHeight="1">
      <c r="B7" s="5"/>
    </row>
    <row r="8" ht="15.75" customHeight="1">
      <c r="A8" s="2" t="s">
        <v>5</v>
      </c>
      <c r="B8" s="5"/>
    </row>
    <row r="9" ht="15.75" customHeight="1">
      <c r="A9" s="6" t="s">
        <v>2</v>
      </c>
      <c r="B9" s="4">
        <v>20.0</v>
      </c>
    </row>
    <row r="10" ht="15.75" customHeight="1">
      <c r="A10" s="6" t="s">
        <v>3</v>
      </c>
      <c r="B10" s="4">
        <v>60.0</v>
      </c>
    </row>
    <row r="11" ht="15.75" customHeight="1">
      <c r="A11" s="6" t="s">
        <v>4</v>
      </c>
      <c r="B11" s="4">
        <v>1.15</v>
      </c>
    </row>
    <row r="12" ht="15.75" customHeight="1">
      <c r="B12" s="5"/>
      <c r="D12" s="7"/>
    </row>
    <row r="13" ht="15.75" customHeight="1">
      <c r="A13" s="2" t="s">
        <v>6</v>
      </c>
      <c r="B13" s="5"/>
    </row>
    <row r="14" ht="15.75" customHeight="1">
      <c r="A14" s="6" t="s">
        <v>2</v>
      </c>
      <c r="B14" s="4">
        <v>90.0</v>
      </c>
    </row>
    <row r="15" ht="15.75" customHeight="1">
      <c r="A15" s="6" t="s">
        <v>3</v>
      </c>
      <c r="B15" s="4">
        <v>720.0</v>
      </c>
    </row>
    <row r="16" ht="15.75" customHeight="1">
      <c r="A16" s="6" t="s">
        <v>4</v>
      </c>
      <c r="B16" s="4">
        <v>1.14</v>
      </c>
    </row>
    <row r="17" ht="15.75" customHeight="1">
      <c r="B17" s="5"/>
    </row>
    <row r="18" ht="15.75" customHeight="1">
      <c r="A18" s="2" t="s">
        <v>7</v>
      </c>
      <c r="B18" s="5"/>
    </row>
    <row r="19" ht="15.75" customHeight="1">
      <c r="A19" s="6" t="s">
        <v>2</v>
      </c>
      <c r="B19" s="4">
        <v>360.0</v>
      </c>
    </row>
    <row r="20" ht="15.75" customHeight="1">
      <c r="A20" s="6" t="s">
        <v>3</v>
      </c>
      <c r="B20" s="4">
        <v>8640.0</v>
      </c>
    </row>
    <row r="21" ht="15.75" customHeight="1">
      <c r="A21" s="6" t="s">
        <v>4</v>
      </c>
      <c r="B21" s="4">
        <v>1.13</v>
      </c>
    </row>
    <row r="22" ht="15.75" customHeight="1">
      <c r="B22" s="5"/>
    </row>
    <row r="23" ht="15.75" customHeight="1">
      <c r="A23" s="2" t="s">
        <v>8</v>
      </c>
      <c r="B23" s="5"/>
    </row>
    <row r="24" ht="15.75" customHeight="1">
      <c r="A24" s="6" t="s">
        <v>2</v>
      </c>
      <c r="B24" s="4">
        <v>2160.0</v>
      </c>
    </row>
    <row r="25" ht="15.75" customHeight="1">
      <c r="A25" s="6" t="s">
        <v>3</v>
      </c>
      <c r="B25" s="4">
        <v>103680.0</v>
      </c>
    </row>
    <row r="26" ht="15.75" customHeight="1">
      <c r="A26" s="6" t="s">
        <v>4</v>
      </c>
      <c r="B26" s="4">
        <v>1.12</v>
      </c>
    </row>
    <row r="27" ht="15.75" customHeight="1"/>
    <row r="28" ht="15.75" customHeight="1">
      <c r="A28" s="3" t="s">
        <v>9</v>
      </c>
      <c r="B28" s="8">
        <v>1.0</v>
      </c>
      <c r="C28" s="7"/>
    </row>
    <row r="29" ht="15.75" customHeight="1"/>
    <row r="30" ht="15.75" customHeight="1">
      <c r="A30" s="9" t="s">
        <v>10</v>
      </c>
      <c r="B30" s="5"/>
    </row>
    <row r="31" ht="15.75" customHeight="1">
      <c r="A31" s="10" t="s">
        <v>11</v>
      </c>
      <c r="B31" s="10" t="s">
        <v>12</v>
      </c>
    </row>
    <row r="32" ht="15.75" customHeight="1">
      <c r="A32" s="4">
        <v>25.0</v>
      </c>
      <c r="B32" s="4">
        <v>5.0</v>
      </c>
    </row>
    <row r="33" ht="15.75" customHeight="1">
      <c r="A33" s="4">
        <v>50.0</v>
      </c>
      <c r="B33" s="4">
        <v>5.0</v>
      </c>
    </row>
    <row r="34" ht="15.75" customHeight="1">
      <c r="A34" s="4">
        <v>100.0</v>
      </c>
      <c r="B34" s="4">
        <v>2.0</v>
      </c>
    </row>
    <row r="35" ht="15.75" customHeight="1">
      <c r="A35" s="4">
        <v>200.0</v>
      </c>
      <c r="B35" s="4">
        <v>2.0</v>
      </c>
    </row>
    <row r="36" ht="15.75" customHeight="1">
      <c r="A36" s="4">
        <v>300.0</v>
      </c>
      <c r="B36" s="4">
        <v>3.0</v>
      </c>
    </row>
    <row r="37" ht="15.75" customHeight="1">
      <c r="A37" s="4">
        <v>400.0</v>
      </c>
      <c r="B37" s="4">
        <v>4.0</v>
      </c>
    </row>
    <row r="38" ht="15.75" customHeight="1">
      <c r="A38" s="4">
        <v>500.0</v>
      </c>
      <c r="B38" s="4">
        <v>2.0</v>
      </c>
    </row>
    <row r="39" ht="15.75" customHeight="1">
      <c r="A39" s="4">
        <v>600.0</v>
      </c>
      <c r="B39" s="4">
        <v>3.0</v>
      </c>
    </row>
    <row r="40" ht="15.75" customHeight="1">
      <c r="A40" s="4">
        <v>1000.0</v>
      </c>
      <c r="B40" s="4">
        <v>4.0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1" t="s">
        <v>13</v>
      </c>
      <c r="B1" s="7" t="s">
        <v>14</v>
      </c>
      <c r="C1" s="11"/>
      <c r="D1" s="12" t="s">
        <v>15</v>
      </c>
      <c r="E1" s="12"/>
      <c r="F1" s="11"/>
      <c r="G1" s="11" t="s">
        <v>16</v>
      </c>
      <c r="H1" s="11" t="s">
        <v>17</v>
      </c>
      <c r="I1" s="11" t="s">
        <v>18</v>
      </c>
      <c r="J1" s="11" t="s">
        <v>19</v>
      </c>
      <c r="K1" s="11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T1" s="13" t="s">
        <v>27</v>
      </c>
      <c r="U1" s="13" t="s">
        <v>28</v>
      </c>
      <c r="V1" s="13" t="s">
        <v>29</v>
      </c>
      <c r="W1" s="13" t="s">
        <v>30</v>
      </c>
      <c r="X1" s="13" t="s">
        <v>31</v>
      </c>
      <c r="Z1" s="7" t="s">
        <v>32</v>
      </c>
      <c r="AA1" s="7" t="s">
        <v>22</v>
      </c>
      <c r="AB1" s="7" t="s">
        <v>23</v>
      </c>
      <c r="AC1" s="7" t="s">
        <v>24</v>
      </c>
      <c r="AD1" s="7" t="s">
        <v>25</v>
      </c>
      <c r="AE1" s="7" t="s">
        <v>26</v>
      </c>
      <c r="AG1" s="7" t="s">
        <v>33</v>
      </c>
      <c r="AH1" s="7" t="s">
        <v>22</v>
      </c>
      <c r="AI1" s="7" t="s">
        <v>23</v>
      </c>
      <c r="AJ1" s="7" t="s">
        <v>24</v>
      </c>
      <c r="AK1" s="7" t="s">
        <v>25</v>
      </c>
      <c r="AL1" s="7" t="s">
        <v>26</v>
      </c>
      <c r="AM1" s="7"/>
      <c r="AN1" s="14" t="s">
        <v>34</v>
      </c>
      <c r="AO1" s="7" t="s">
        <v>22</v>
      </c>
      <c r="AP1" s="7" t="s">
        <v>23</v>
      </c>
      <c r="AQ1" s="7" t="s">
        <v>24</v>
      </c>
      <c r="AR1" s="7" t="s">
        <v>25</v>
      </c>
      <c r="AS1" s="7" t="s">
        <v>26</v>
      </c>
      <c r="AU1" s="7" t="s">
        <v>35</v>
      </c>
    </row>
    <row r="2" ht="15.75" customHeight="1">
      <c r="A2" s="11">
        <v>0.0</v>
      </c>
      <c r="B2" s="7">
        <f>(sum(AH2:AL2))*'Optimal Choice'!$B$28</f>
        <v>1.67</v>
      </c>
      <c r="C2" s="11"/>
      <c r="D2" s="12">
        <f>'Optimal Choice'!A32</f>
        <v>25</v>
      </c>
      <c r="E2" s="12">
        <f>'Optimal Choice'!B32</f>
        <v>5</v>
      </c>
      <c r="F2" s="11"/>
      <c r="G2" s="11">
        <f>(T2/$B2)+(T2/('Optimal Choice'!$B$4*AO2))</f>
        <v>5.484550898</v>
      </c>
      <c r="H2" s="11">
        <f>(U2/$B2)+(U2/('Optimal Choice'!$B$9*AP2))</f>
        <v>44.76736527</v>
      </c>
      <c r="I2" s="11">
        <f>(V2/$B2)+(V2/('Optimal Choice'!$B$14*AQ2))</f>
        <v>500.617006</v>
      </c>
      <c r="J2" s="11">
        <f>(W2/$B2)+(W2/('Optimal Choice'!$B$19*AR2))</f>
        <v>5873.347545</v>
      </c>
      <c r="K2" s="11">
        <f>(X2/$B2)+(X2/('Optimal Choice'!$B$24*AS2))</f>
        <v>69587.65222</v>
      </c>
      <c r="N2" s="12">
        <v>1.0</v>
      </c>
      <c r="O2" s="12">
        <v>0.0</v>
      </c>
      <c r="P2" s="12">
        <v>0.0</v>
      </c>
      <c r="Q2" s="12">
        <v>0.0</v>
      </c>
      <c r="R2" s="12">
        <v>0.0</v>
      </c>
      <c r="T2" s="13">
        <f> 'Optimal Choice'!$B$5*'Optimal Choice'!$B$6^(N2+1)</f>
        <v>4.5796</v>
      </c>
      <c r="U2" s="13">
        <f> 'Optimal Choice'!$B$10*'Optimal Choice'!$B$11^(O2+1)</f>
        <v>69</v>
      </c>
      <c r="V2" s="13">
        <f> 'Optimal Choice'!$B$15*'Optimal Choice'!$B$16^(P2+1)</f>
        <v>820.8</v>
      </c>
      <c r="W2" s="13">
        <f> 'Optimal Choice'!$B$20*'Optimal Choice'!$B$21^(Q2+1)</f>
        <v>9763.2</v>
      </c>
      <c r="X2" s="13">
        <f> 'Optimal Choice'!$B$25*'Optimal Choice'!$B$26^(R2+1)</f>
        <v>116121.6</v>
      </c>
      <c r="AA2" s="7">
        <v>1.0</v>
      </c>
      <c r="AB2" s="7">
        <v>1.0</v>
      </c>
      <c r="AC2" s="7">
        <v>1.0</v>
      </c>
      <c r="AD2" s="7">
        <v>1.0</v>
      </c>
      <c r="AE2" s="7">
        <v>1.0</v>
      </c>
      <c r="AH2" s="15">
        <f>N2*'Optimal Choice'!$B$4*AA2</f>
        <v>1.67</v>
      </c>
      <c r="AI2" s="15">
        <f>O2*'Optimal Choice'!$B$9*AB2</f>
        <v>0</v>
      </c>
      <c r="AJ2" s="15">
        <f>P2*'Optimal Choice'!$B$14*AC2</f>
        <v>0</v>
      </c>
      <c r="AK2" s="15">
        <f>Q2*'Optimal Choice'!$B$19*AD2</f>
        <v>0</v>
      </c>
      <c r="AL2" s="15">
        <f>R2*'Optimal Choice'!$B$24*AE2</f>
        <v>0</v>
      </c>
      <c r="AO2" s="7">
        <v>1.0</v>
      </c>
      <c r="AP2" s="7">
        <v>1.0</v>
      </c>
      <c r="AQ2" s="7">
        <v>1.0</v>
      </c>
      <c r="AR2" s="7">
        <v>1.0</v>
      </c>
      <c r="AS2" s="7">
        <v>1.0</v>
      </c>
      <c r="AU2" s="7">
        <v>0.0</v>
      </c>
    </row>
    <row r="3" ht="15.75" customHeight="1">
      <c r="A3" s="16">
        <f t="shared" ref="A3:A600" si="4">A2+(index(T2:X2,1,match(min(G2:K2),G2:K2,0))/B2)/60</f>
        <v>0.04570459082</v>
      </c>
      <c r="B3" s="7">
        <f>(sum(AH3:AL3))*'Optimal Choice'!$B$28</f>
        <v>3.34</v>
      </c>
      <c r="C3" s="11"/>
      <c r="D3" s="12">
        <f>'Optimal Choice'!A33</f>
        <v>50</v>
      </c>
      <c r="E3" s="12">
        <f>E2*'Optimal Choice'!B33</f>
        <v>25</v>
      </c>
      <c r="F3" s="11"/>
      <c r="G3" s="11">
        <f>(T3/$B3)+(T3/('Optimal Choice'!$B$4*AO3))</f>
        <v>4.401352096</v>
      </c>
      <c r="H3" s="11">
        <f>(U3/$B3)+(U3/('Optimal Choice'!$B$9*AP3))</f>
        <v>24.10868263</v>
      </c>
      <c r="I3" s="11">
        <f>(V3/$B3)+(V3/('Optimal Choice'!$B$14*AQ3))</f>
        <v>254.868503</v>
      </c>
      <c r="J3" s="11">
        <f>(W3/$B3)+(W3/('Optimal Choice'!$B$19*AR3))</f>
        <v>2950.233772</v>
      </c>
      <c r="K3" s="11">
        <f>(X3/$B3)+(X3/('Optimal Choice'!$B$24*AS3))</f>
        <v>34820.70611</v>
      </c>
      <c r="N3" s="12">
        <f t="shared" ref="N3:R3" si="1">if(min($G2:$K2)=G2,N2+1,N2)</f>
        <v>2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T3" s="13">
        <f> 'Optimal Choice'!$B$5*'Optimal Choice'!$B$6^(N3+1)</f>
        <v>4.900172</v>
      </c>
      <c r="U3" s="13">
        <f> 'Optimal Choice'!$B$10*'Optimal Choice'!$B$11^(O3+1)</f>
        <v>69</v>
      </c>
      <c r="V3" s="13">
        <f> 'Optimal Choice'!$B$15*'Optimal Choice'!$B$16^(P3+1)</f>
        <v>820.8</v>
      </c>
      <c r="W3" s="13">
        <f> 'Optimal Choice'!$B$20*'Optimal Choice'!$B$21^(Q3+1)</f>
        <v>9763.2</v>
      </c>
      <c r="X3" s="13">
        <f> 'Optimal Choice'!$B$25*'Optimal Choice'!$B$26^(R3+1)</f>
        <v>116121.6</v>
      </c>
      <c r="AA3" s="15">
        <f t="shared" ref="AA3:AE3" si="2">if(isna(VLOOKUP(N3,$D$2:$E$10,2,false)),AA2, VLOOKUP(N3,$D$2:$E$10,2,false))</f>
        <v>1</v>
      </c>
      <c r="AB3" s="15">
        <f t="shared" si="2"/>
        <v>1</v>
      </c>
      <c r="AC3" s="15">
        <f t="shared" si="2"/>
        <v>1</v>
      </c>
      <c r="AD3" s="15">
        <f t="shared" si="2"/>
        <v>1</v>
      </c>
      <c r="AE3" s="15">
        <f t="shared" si="2"/>
        <v>1</v>
      </c>
      <c r="AH3" s="15">
        <f>N3*'Optimal Choice'!$B$4*AA3</f>
        <v>3.34</v>
      </c>
      <c r="AI3" s="15">
        <f>O3*'Optimal Choice'!$B$9*AB3</f>
        <v>0</v>
      </c>
      <c r="AJ3" s="15">
        <f>P3*'Optimal Choice'!$B$14*AC3</f>
        <v>0</v>
      </c>
      <c r="AK3" s="15">
        <f>Q3*'Optimal Choice'!$B$19*AD3</f>
        <v>0</v>
      </c>
      <c r="AL3" s="15">
        <f>R3*'Optimal Choice'!$B$24*AE3</f>
        <v>0</v>
      </c>
      <c r="AO3" s="15">
        <f t="shared" ref="AO3:AS3" si="3">if(isna(VLOOKUP(N3+1,$D$2:$E$10,2,false)),AO2, VLOOKUP(N3+1,$D$2:$E$10,2,false))</f>
        <v>1</v>
      </c>
      <c r="AP3" s="15">
        <f t="shared" si="3"/>
        <v>1</v>
      </c>
      <c r="AQ3" s="15">
        <f t="shared" si="3"/>
        <v>1</v>
      </c>
      <c r="AR3" s="15">
        <f t="shared" si="3"/>
        <v>1</v>
      </c>
      <c r="AS3" s="15">
        <f t="shared" si="3"/>
        <v>1</v>
      </c>
      <c r="AU3" s="11">
        <f t="shared" ref="AU3:AU600" si="8">A3-A2</f>
        <v>0.04570459082</v>
      </c>
    </row>
    <row r="4" ht="15.75" customHeight="1">
      <c r="A4" s="16">
        <f t="shared" si="4"/>
        <v>0.07015654691</v>
      </c>
      <c r="B4" s="7">
        <f>(sum(AH4:AL4))*'Optimal Choice'!$B$28</f>
        <v>5.01</v>
      </c>
      <c r="C4" s="11"/>
      <c r="D4" s="12">
        <f>'Optimal Choice'!A34</f>
        <v>100</v>
      </c>
      <c r="E4" s="12">
        <f>E3*'Optimal Choice'!B34</f>
        <v>50</v>
      </c>
      <c r="F4" s="11"/>
      <c r="G4" s="11">
        <f>(T4/$B4)+(T4/('Optimal Choice'!$B$4*AO4))</f>
        <v>4.186174882</v>
      </c>
      <c r="H4" s="11">
        <f>(U4/$B4)+(U4/('Optimal Choice'!$B$9*AP4))</f>
        <v>17.22245509</v>
      </c>
      <c r="I4" s="11">
        <f>(V4/$B4)+(V4/('Optimal Choice'!$B$14*AQ4))</f>
        <v>172.9523353</v>
      </c>
      <c r="J4" s="11">
        <f>(W4/$B4)+(W4/('Optimal Choice'!$B$19*AR4))</f>
        <v>1975.862515</v>
      </c>
      <c r="K4" s="11">
        <f>(X4/$B4)+(X4/('Optimal Choice'!$B$24*AS4))</f>
        <v>23231.72407</v>
      </c>
      <c r="N4" s="12">
        <f t="shared" ref="N4:R4" si="5">if(min($G3:$K3)=G3,N3+1,N3)</f>
        <v>3</v>
      </c>
      <c r="O4" s="12">
        <f t="shared" si="5"/>
        <v>0</v>
      </c>
      <c r="P4" s="12">
        <f t="shared" si="5"/>
        <v>0</v>
      </c>
      <c r="Q4" s="12">
        <f t="shared" si="5"/>
        <v>0</v>
      </c>
      <c r="R4" s="12">
        <f t="shared" si="5"/>
        <v>0</v>
      </c>
      <c r="T4" s="13">
        <f> 'Optimal Choice'!$B$5*'Optimal Choice'!$B$6^(N4+1)</f>
        <v>5.24318404</v>
      </c>
      <c r="U4" s="13">
        <f> 'Optimal Choice'!$B$10*'Optimal Choice'!$B$11^(O4+1)</f>
        <v>69</v>
      </c>
      <c r="V4" s="13">
        <f> 'Optimal Choice'!$B$15*'Optimal Choice'!$B$16^(P4+1)</f>
        <v>820.8</v>
      </c>
      <c r="W4" s="13">
        <f> 'Optimal Choice'!$B$20*'Optimal Choice'!$B$21^(Q4+1)</f>
        <v>9763.2</v>
      </c>
      <c r="X4" s="13">
        <f> 'Optimal Choice'!$B$25*'Optimal Choice'!$B$26^(R4+1)</f>
        <v>116121.6</v>
      </c>
      <c r="AA4" s="15">
        <f t="shared" ref="AA4:AE4" si="6">if(isna(VLOOKUP(N4,$D$2:$E$10,2,false)),AA3, VLOOKUP(N4,$D$2:$E$10,2,false))</f>
        <v>1</v>
      </c>
      <c r="AB4" s="15">
        <f t="shared" si="6"/>
        <v>1</v>
      </c>
      <c r="AC4" s="15">
        <f t="shared" si="6"/>
        <v>1</v>
      </c>
      <c r="AD4" s="15">
        <f t="shared" si="6"/>
        <v>1</v>
      </c>
      <c r="AE4" s="15">
        <f t="shared" si="6"/>
        <v>1</v>
      </c>
      <c r="AH4" s="15">
        <f>N4*'Optimal Choice'!$B$4*AA4</f>
        <v>5.01</v>
      </c>
      <c r="AI4" s="15">
        <f>O4*'Optimal Choice'!$B$9*AB4</f>
        <v>0</v>
      </c>
      <c r="AJ4" s="15">
        <f>P4*'Optimal Choice'!$B$14*AC4</f>
        <v>0</v>
      </c>
      <c r="AK4" s="15">
        <f>Q4*'Optimal Choice'!$B$19*AD4</f>
        <v>0</v>
      </c>
      <c r="AL4" s="15">
        <f>R4*'Optimal Choice'!$B$24*AE4</f>
        <v>0</v>
      </c>
      <c r="AO4" s="15">
        <f t="shared" ref="AO4:AS4" si="7">if(isna(VLOOKUP(N4+1,$D$2:$E$10,2,false)),AO3, VLOOKUP(N4+1,$D$2:$E$10,2,false))</f>
        <v>1</v>
      </c>
      <c r="AP4" s="15">
        <f t="shared" si="7"/>
        <v>1</v>
      </c>
      <c r="AQ4" s="15">
        <f t="shared" si="7"/>
        <v>1</v>
      </c>
      <c r="AR4" s="15">
        <f t="shared" si="7"/>
        <v>1</v>
      </c>
      <c r="AS4" s="15">
        <f t="shared" si="7"/>
        <v>1</v>
      </c>
      <c r="AU4" s="11">
        <f t="shared" si="8"/>
        <v>0.02445195609</v>
      </c>
    </row>
    <row r="5" ht="15.75" customHeight="1">
      <c r="A5" s="16">
        <f t="shared" si="4"/>
        <v>0.08759894225</v>
      </c>
      <c r="B5" s="7">
        <f>(sum(AH5:AL5))*'Optimal Choice'!$B$28</f>
        <v>6.68</v>
      </c>
      <c r="C5" s="11"/>
      <c r="D5" s="12">
        <f>'Optimal Choice'!A35</f>
        <v>200</v>
      </c>
      <c r="E5" s="12">
        <f>E4*'Optimal Choice'!B35</f>
        <v>100</v>
      </c>
      <c r="F5" s="11"/>
      <c r="G5" s="11">
        <f>(T5/$B5)+(T5/('Optimal Choice'!$B$4*AO5))</f>
        <v>4.199256679</v>
      </c>
      <c r="H5" s="11">
        <f>(U5/$B5)+(U5/('Optimal Choice'!$B$9*AP5))</f>
        <v>13.77934132</v>
      </c>
      <c r="I5" s="11">
        <f>(V5/$B5)+(V5/('Optimal Choice'!$B$14*AQ5))</f>
        <v>131.9942515</v>
      </c>
      <c r="J5" s="11">
        <f>(W5/$B5)+(W5/('Optimal Choice'!$B$19*AR5))</f>
        <v>1488.676886</v>
      </c>
      <c r="K5" s="11">
        <f>(X5/$B5)+(X5/('Optimal Choice'!$B$24*AS5))</f>
        <v>17437.23305</v>
      </c>
      <c r="N5" s="12">
        <f t="shared" ref="N5:R5" si="9">if(min($G4:$K4)=G4,N4+1,N4)</f>
        <v>4</v>
      </c>
      <c r="O5" s="12">
        <f t="shared" si="9"/>
        <v>0</v>
      </c>
      <c r="P5" s="12">
        <f t="shared" si="9"/>
        <v>0</v>
      </c>
      <c r="Q5" s="12">
        <f t="shared" si="9"/>
        <v>0</v>
      </c>
      <c r="R5" s="12">
        <f t="shared" si="9"/>
        <v>0</v>
      </c>
      <c r="T5" s="13">
        <f> 'Optimal Choice'!$B$5*'Optimal Choice'!$B$6^(N5+1)</f>
        <v>5.610206923</v>
      </c>
      <c r="U5" s="13">
        <f> 'Optimal Choice'!$B$10*'Optimal Choice'!$B$11^(O5+1)</f>
        <v>69</v>
      </c>
      <c r="V5" s="13">
        <f> 'Optimal Choice'!$B$15*'Optimal Choice'!$B$16^(P5+1)</f>
        <v>820.8</v>
      </c>
      <c r="W5" s="13">
        <f> 'Optimal Choice'!$B$20*'Optimal Choice'!$B$21^(Q5+1)</f>
        <v>9763.2</v>
      </c>
      <c r="X5" s="13">
        <f> 'Optimal Choice'!$B$25*'Optimal Choice'!$B$26^(R5+1)</f>
        <v>116121.6</v>
      </c>
      <c r="AA5" s="15">
        <f t="shared" ref="AA5:AE5" si="10">if(isna(VLOOKUP(N5,$D$2:$E$10,2,false)),AA4, VLOOKUP(N5,$D$2:$E$10,2,false))</f>
        <v>1</v>
      </c>
      <c r="AB5" s="15">
        <f t="shared" si="10"/>
        <v>1</v>
      </c>
      <c r="AC5" s="15">
        <f t="shared" si="10"/>
        <v>1</v>
      </c>
      <c r="AD5" s="15">
        <f t="shared" si="10"/>
        <v>1</v>
      </c>
      <c r="AE5" s="15">
        <f t="shared" si="10"/>
        <v>1</v>
      </c>
      <c r="AH5" s="15">
        <f>N5*'Optimal Choice'!$B$4*AA5</f>
        <v>6.68</v>
      </c>
      <c r="AI5" s="15">
        <f>O5*'Optimal Choice'!$B$9*AB5</f>
        <v>0</v>
      </c>
      <c r="AJ5" s="15">
        <f>P5*'Optimal Choice'!$B$14*AC5</f>
        <v>0</v>
      </c>
      <c r="AK5" s="15">
        <f>Q5*'Optimal Choice'!$B$19*AD5</f>
        <v>0</v>
      </c>
      <c r="AL5" s="15">
        <f>R5*'Optimal Choice'!$B$24*AE5</f>
        <v>0</v>
      </c>
      <c r="AO5" s="15">
        <f t="shared" ref="AO5:AS5" si="11">if(isna(VLOOKUP(N5+1,$D$2:$E$10,2,false)),AO4, VLOOKUP(N5+1,$D$2:$E$10,2,false))</f>
        <v>1</v>
      </c>
      <c r="AP5" s="15">
        <f t="shared" si="11"/>
        <v>1</v>
      </c>
      <c r="AQ5" s="15">
        <f t="shared" si="11"/>
        <v>1</v>
      </c>
      <c r="AR5" s="15">
        <f t="shared" si="11"/>
        <v>1</v>
      </c>
      <c r="AS5" s="15">
        <f t="shared" si="11"/>
        <v>1</v>
      </c>
      <c r="AU5" s="11">
        <f t="shared" si="8"/>
        <v>0.01744239534</v>
      </c>
    </row>
    <row r="6" ht="15.75" customHeight="1">
      <c r="A6" s="16">
        <f t="shared" si="4"/>
        <v>0.1015964645</v>
      </c>
      <c r="B6" s="7">
        <f>(sum(AH6:AL6))*'Optimal Choice'!$B$28</f>
        <v>8.35</v>
      </c>
      <c r="C6" s="11"/>
      <c r="D6" s="12">
        <f>'Optimal Choice'!A36</f>
        <v>300</v>
      </c>
      <c r="E6" s="12">
        <f>E5*'Optimal Choice'!B36</f>
        <v>300</v>
      </c>
      <c r="F6" s="11"/>
      <c r="G6" s="11">
        <f>(T6/$B6)+(T6/('Optimal Choice'!$B$4*AO6))</f>
        <v>4.31347646</v>
      </c>
      <c r="H6" s="11">
        <f>(U6/$B6)+(U6/('Optimal Choice'!$B$9*AP6))</f>
        <v>11.71347305</v>
      </c>
      <c r="I6" s="11">
        <f>(V6/$B6)+(V6/('Optimal Choice'!$B$14*AQ6))</f>
        <v>107.4194012</v>
      </c>
      <c r="J6" s="11">
        <f>(W6/$B6)+(W6/('Optimal Choice'!$B$19*AR6))</f>
        <v>1196.365509</v>
      </c>
      <c r="K6" s="11">
        <f>(X6/$B6)+(X6/('Optimal Choice'!$B$24*AS6))</f>
        <v>13960.53844</v>
      </c>
      <c r="N6" s="12">
        <f t="shared" ref="N6:R6" si="12">if(min($G5:$K5)=G5,N5+1,N5)</f>
        <v>5</v>
      </c>
      <c r="O6" s="12">
        <f t="shared" si="12"/>
        <v>0</v>
      </c>
      <c r="P6" s="12">
        <f t="shared" si="12"/>
        <v>0</v>
      </c>
      <c r="Q6" s="12">
        <f t="shared" si="12"/>
        <v>0</v>
      </c>
      <c r="R6" s="12">
        <f t="shared" si="12"/>
        <v>0</v>
      </c>
      <c r="T6" s="13">
        <f> 'Optimal Choice'!$B$5*'Optimal Choice'!$B$6^(N6+1)</f>
        <v>6.002921407</v>
      </c>
      <c r="U6" s="13">
        <f> 'Optimal Choice'!$B$10*'Optimal Choice'!$B$11^(O6+1)</f>
        <v>69</v>
      </c>
      <c r="V6" s="13">
        <f> 'Optimal Choice'!$B$15*'Optimal Choice'!$B$16^(P6+1)</f>
        <v>820.8</v>
      </c>
      <c r="W6" s="13">
        <f> 'Optimal Choice'!$B$20*'Optimal Choice'!$B$21^(Q6+1)</f>
        <v>9763.2</v>
      </c>
      <c r="X6" s="13">
        <f> 'Optimal Choice'!$B$25*'Optimal Choice'!$B$26^(R6+1)</f>
        <v>116121.6</v>
      </c>
      <c r="AA6" s="15">
        <f t="shared" ref="AA6:AE6" si="13">if(isna(VLOOKUP(N6,$D$2:$E$10,2,false)),AA5, VLOOKUP(N6,$D$2:$E$10,2,false))</f>
        <v>1</v>
      </c>
      <c r="AB6" s="15">
        <f t="shared" si="13"/>
        <v>1</v>
      </c>
      <c r="AC6" s="15">
        <f t="shared" si="13"/>
        <v>1</v>
      </c>
      <c r="AD6" s="15">
        <f t="shared" si="13"/>
        <v>1</v>
      </c>
      <c r="AE6" s="15">
        <f t="shared" si="13"/>
        <v>1</v>
      </c>
      <c r="AH6" s="15">
        <f>N6*'Optimal Choice'!$B$4*AA6</f>
        <v>8.35</v>
      </c>
      <c r="AI6" s="15">
        <f>O6*'Optimal Choice'!$B$9*AB6</f>
        <v>0</v>
      </c>
      <c r="AJ6" s="15">
        <f>P6*'Optimal Choice'!$B$14*AC6</f>
        <v>0</v>
      </c>
      <c r="AK6" s="15">
        <f>Q6*'Optimal Choice'!$B$19*AD6</f>
        <v>0</v>
      </c>
      <c r="AL6" s="15">
        <f>R6*'Optimal Choice'!$B$24*AE6</f>
        <v>0</v>
      </c>
      <c r="AO6" s="15">
        <f t="shared" ref="AO6:AS6" si="14">if(isna(VLOOKUP(N6+1,$D$2:$E$10,2,false)),AO5, VLOOKUP(N6+1,$D$2:$E$10,2,false))</f>
        <v>1</v>
      </c>
      <c r="AP6" s="15">
        <f t="shared" si="14"/>
        <v>1</v>
      </c>
      <c r="AQ6" s="15">
        <f t="shared" si="14"/>
        <v>1</v>
      </c>
      <c r="AR6" s="15">
        <f t="shared" si="14"/>
        <v>1</v>
      </c>
      <c r="AS6" s="15">
        <f t="shared" si="14"/>
        <v>1</v>
      </c>
      <c r="AU6" s="11">
        <f t="shared" si="8"/>
        <v>0.01399752226</v>
      </c>
    </row>
    <row r="7" ht="15.75" customHeight="1">
      <c r="A7" s="16">
        <f t="shared" si="4"/>
        <v>0.1135783436</v>
      </c>
      <c r="B7" s="7">
        <f>(sum(AH7:AL7))*'Optimal Choice'!$B$28</f>
        <v>10.02</v>
      </c>
      <c r="C7" s="11"/>
      <c r="D7" s="12">
        <f>'Optimal Choice'!A37</f>
        <v>400</v>
      </c>
      <c r="E7" s="12">
        <f>E6*'Optimal Choice'!B37</f>
        <v>1200</v>
      </c>
      <c r="F7" s="11"/>
      <c r="G7" s="11">
        <f>(T7/$B7)+(T7/('Optimal Choice'!$B$4*AO7))</f>
        <v>4.487213707</v>
      </c>
      <c r="H7" s="11">
        <f>(U7/$B7)+(U7/('Optimal Choice'!$B$9*AP7))</f>
        <v>10.33622754</v>
      </c>
      <c r="I7" s="11">
        <f>(V7/$B7)+(V7/('Optimal Choice'!$B$14*AQ7))</f>
        <v>91.03616766</v>
      </c>
      <c r="J7" s="11">
        <f>(W7/$B7)+(W7/('Optimal Choice'!$B$19*AR7))</f>
        <v>1001.491257</v>
      </c>
      <c r="K7" s="11">
        <f>(X7/$B7)+(X7/('Optimal Choice'!$B$24*AS7))</f>
        <v>11642.74204</v>
      </c>
      <c r="N7" s="12">
        <f t="shared" ref="N7:R7" si="15">if(min($G6:$K6)=G6,N6+1,N6)</f>
        <v>6</v>
      </c>
      <c r="O7" s="12">
        <f t="shared" si="15"/>
        <v>0</v>
      </c>
      <c r="P7" s="12">
        <f t="shared" si="15"/>
        <v>0</v>
      </c>
      <c r="Q7" s="12">
        <f t="shared" si="15"/>
        <v>0</v>
      </c>
      <c r="R7" s="12">
        <f t="shared" si="15"/>
        <v>0</v>
      </c>
      <c r="T7" s="13">
        <f> 'Optimal Choice'!$B$5*'Optimal Choice'!$B$6^(N7+1)</f>
        <v>6.423125906</v>
      </c>
      <c r="U7" s="13">
        <f> 'Optimal Choice'!$B$10*'Optimal Choice'!$B$11^(O7+1)</f>
        <v>69</v>
      </c>
      <c r="V7" s="13">
        <f> 'Optimal Choice'!$B$15*'Optimal Choice'!$B$16^(P7+1)</f>
        <v>820.8</v>
      </c>
      <c r="W7" s="13">
        <f> 'Optimal Choice'!$B$20*'Optimal Choice'!$B$21^(Q7+1)</f>
        <v>9763.2</v>
      </c>
      <c r="X7" s="13">
        <f> 'Optimal Choice'!$B$25*'Optimal Choice'!$B$26^(R7+1)</f>
        <v>116121.6</v>
      </c>
      <c r="AA7" s="15">
        <f t="shared" ref="AA7:AE7" si="16">if(isna(VLOOKUP(N7,$D$2:$E$10,2,false)),AA6, VLOOKUP(N7,$D$2:$E$10,2,false))</f>
        <v>1</v>
      </c>
      <c r="AB7" s="15">
        <f t="shared" si="16"/>
        <v>1</v>
      </c>
      <c r="AC7" s="15">
        <f t="shared" si="16"/>
        <v>1</v>
      </c>
      <c r="AD7" s="15">
        <f t="shared" si="16"/>
        <v>1</v>
      </c>
      <c r="AE7" s="15">
        <f t="shared" si="16"/>
        <v>1</v>
      </c>
      <c r="AH7" s="15">
        <f>N7*'Optimal Choice'!$B$4*AA7</f>
        <v>10.02</v>
      </c>
      <c r="AI7" s="15">
        <f>O7*'Optimal Choice'!$B$9*AB7</f>
        <v>0</v>
      </c>
      <c r="AJ7" s="15">
        <f>P7*'Optimal Choice'!$B$14*AC7</f>
        <v>0</v>
      </c>
      <c r="AK7" s="15">
        <f>Q7*'Optimal Choice'!$B$19*AD7</f>
        <v>0</v>
      </c>
      <c r="AL7" s="15">
        <f>R7*'Optimal Choice'!$B$24*AE7</f>
        <v>0</v>
      </c>
      <c r="AO7" s="15">
        <f t="shared" ref="AO7:AS7" si="17">if(isna(VLOOKUP(N7+1,$D$2:$E$10,2,false)),AO6, VLOOKUP(N7+1,$D$2:$E$10,2,false))</f>
        <v>1</v>
      </c>
      <c r="AP7" s="15">
        <f t="shared" si="17"/>
        <v>1</v>
      </c>
      <c r="AQ7" s="15">
        <f t="shared" si="17"/>
        <v>1</v>
      </c>
      <c r="AR7" s="15">
        <f t="shared" si="17"/>
        <v>1</v>
      </c>
      <c r="AS7" s="15">
        <f t="shared" si="17"/>
        <v>1</v>
      </c>
      <c r="AU7" s="11">
        <f t="shared" si="8"/>
        <v>0.01198187906</v>
      </c>
    </row>
    <row r="8" ht="15.75" customHeight="1">
      <c r="A8" s="16">
        <f t="shared" si="4"/>
        <v>0.1242621857</v>
      </c>
      <c r="B8" s="7">
        <f>(sum(AH8:AL8))*'Optimal Choice'!$B$28</f>
        <v>11.69</v>
      </c>
      <c r="C8" s="11"/>
      <c r="D8" s="12">
        <f>'Optimal Choice'!A38</f>
        <v>500</v>
      </c>
      <c r="E8" s="12">
        <f>E7*'Optimal Choice'!B38</f>
        <v>2400</v>
      </c>
      <c r="F8" s="11"/>
      <c r="G8" s="11">
        <f>(T8/$B8)+(T8/('Optimal Choice'!$B$4*AO8))</f>
        <v>4.703332571</v>
      </c>
      <c r="H8" s="11">
        <f>(U8/$B8)+(U8/('Optimal Choice'!$B$9*AP8))</f>
        <v>9.352480753</v>
      </c>
      <c r="I8" s="11">
        <f>(V8/$B8)+(V8/('Optimal Choice'!$B$14*AQ8))</f>
        <v>79.333858</v>
      </c>
      <c r="J8" s="11">
        <f>(W8/$B8)+(W8/('Optimal Choice'!$B$19*AR8))</f>
        <v>862.2953636</v>
      </c>
      <c r="K8" s="11">
        <f>(X8/$B8)+(X8/('Optimal Choice'!$B$24*AS8))</f>
        <v>9987.173174</v>
      </c>
      <c r="N8" s="12">
        <f t="shared" ref="N8:R8" si="18">if(min($G7:$K7)=G7,N7+1,N7)</f>
        <v>7</v>
      </c>
      <c r="O8" s="12">
        <f t="shared" si="18"/>
        <v>0</v>
      </c>
      <c r="P8" s="12">
        <f t="shared" si="18"/>
        <v>0</v>
      </c>
      <c r="Q8" s="12">
        <f t="shared" si="18"/>
        <v>0</v>
      </c>
      <c r="R8" s="12">
        <f t="shared" si="18"/>
        <v>0</v>
      </c>
      <c r="T8" s="13">
        <f> 'Optimal Choice'!$B$5*'Optimal Choice'!$B$6^(N8+1)</f>
        <v>6.872744719</v>
      </c>
      <c r="U8" s="13">
        <f> 'Optimal Choice'!$B$10*'Optimal Choice'!$B$11^(O8+1)</f>
        <v>69</v>
      </c>
      <c r="V8" s="13">
        <f> 'Optimal Choice'!$B$15*'Optimal Choice'!$B$16^(P8+1)</f>
        <v>820.8</v>
      </c>
      <c r="W8" s="13">
        <f> 'Optimal Choice'!$B$20*'Optimal Choice'!$B$21^(Q8+1)</f>
        <v>9763.2</v>
      </c>
      <c r="X8" s="13">
        <f> 'Optimal Choice'!$B$25*'Optimal Choice'!$B$26^(R8+1)</f>
        <v>116121.6</v>
      </c>
      <c r="AA8" s="15">
        <f t="shared" ref="AA8:AE8" si="19">if(isna(VLOOKUP(N8,$D$2:$E$10,2,false)),AA7, VLOOKUP(N8,$D$2:$E$10,2,false))</f>
        <v>1</v>
      </c>
      <c r="AB8" s="15">
        <f t="shared" si="19"/>
        <v>1</v>
      </c>
      <c r="AC8" s="15">
        <f t="shared" si="19"/>
        <v>1</v>
      </c>
      <c r="AD8" s="15">
        <f t="shared" si="19"/>
        <v>1</v>
      </c>
      <c r="AE8" s="15">
        <f t="shared" si="19"/>
        <v>1</v>
      </c>
      <c r="AH8" s="15">
        <f>N8*'Optimal Choice'!$B$4*AA8</f>
        <v>11.69</v>
      </c>
      <c r="AI8" s="15">
        <f>O8*'Optimal Choice'!$B$9*AB8</f>
        <v>0</v>
      </c>
      <c r="AJ8" s="15">
        <f>P8*'Optimal Choice'!$B$14*AC8</f>
        <v>0</v>
      </c>
      <c r="AK8" s="15">
        <f>Q8*'Optimal Choice'!$B$19*AD8</f>
        <v>0</v>
      </c>
      <c r="AL8" s="15">
        <f>R8*'Optimal Choice'!$B$24*AE8</f>
        <v>0</v>
      </c>
      <c r="AO8" s="15">
        <f t="shared" ref="AO8:AS8" si="20">if(isna(VLOOKUP(N8+1,$D$2:$E$10,2,false)),AO7, VLOOKUP(N8+1,$D$2:$E$10,2,false))</f>
        <v>1</v>
      </c>
      <c r="AP8" s="15">
        <f t="shared" si="20"/>
        <v>1</v>
      </c>
      <c r="AQ8" s="15">
        <f t="shared" si="20"/>
        <v>1</v>
      </c>
      <c r="AR8" s="15">
        <f t="shared" si="20"/>
        <v>1</v>
      </c>
      <c r="AS8" s="15">
        <f t="shared" si="20"/>
        <v>1</v>
      </c>
      <c r="AU8" s="11">
        <f t="shared" si="8"/>
        <v>0.01068384216</v>
      </c>
    </row>
    <row r="9" ht="15.75" customHeight="1">
      <c r="A9" s="16">
        <f t="shared" si="4"/>
        <v>0.1340607952</v>
      </c>
      <c r="B9" s="7">
        <f>(sum(AH9:AL9))*'Optimal Choice'!$B$28</f>
        <v>13.36</v>
      </c>
      <c r="C9" s="11"/>
      <c r="D9" s="12">
        <f>'Optimal Choice'!A39</f>
        <v>600</v>
      </c>
      <c r="E9" s="12">
        <f>E8*'Optimal Choice'!B39</f>
        <v>7200</v>
      </c>
      <c r="F9" s="11"/>
      <c r="G9" s="11">
        <f>(T9/$B9)+(T9/('Optimal Choice'!$B$4*AO9))</f>
        <v>4.95393201</v>
      </c>
      <c r="H9" s="11">
        <f>(U9/$B9)+(U9/('Optimal Choice'!$B$9*AP9))</f>
        <v>8.614670659</v>
      </c>
      <c r="I9" s="11">
        <f>(V9/$B9)+(V9/('Optimal Choice'!$B$14*AQ9))</f>
        <v>70.55712575</v>
      </c>
      <c r="J9" s="11">
        <f>(W9/$B9)+(W9/('Optimal Choice'!$B$19*AR9))</f>
        <v>757.8984431</v>
      </c>
      <c r="K9" s="11">
        <f>(X9/$B9)+(X9/('Optimal Choice'!$B$24*AS9))</f>
        <v>8745.496527</v>
      </c>
      <c r="N9" s="12">
        <f t="shared" ref="N9:R9" si="21">if(min($G8:$K8)=G8,N8+1,N8)</f>
        <v>8</v>
      </c>
      <c r="O9" s="12">
        <f t="shared" si="21"/>
        <v>0</v>
      </c>
      <c r="P9" s="12">
        <f t="shared" si="21"/>
        <v>0</v>
      </c>
      <c r="Q9" s="12">
        <f t="shared" si="21"/>
        <v>0</v>
      </c>
      <c r="R9" s="12">
        <f t="shared" si="21"/>
        <v>0</v>
      </c>
      <c r="T9" s="13">
        <f> 'Optimal Choice'!$B$5*'Optimal Choice'!$B$6^(N9+1)</f>
        <v>7.35383685</v>
      </c>
      <c r="U9" s="13">
        <f> 'Optimal Choice'!$B$10*'Optimal Choice'!$B$11^(O9+1)</f>
        <v>69</v>
      </c>
      <c r="V9" s="13">
        <f> 'Optimal Choice'!$B$15*'Optimal Choice'!$B$16^(P9+1)</f>
        <v>820.8</v>
      </c>
      <c r="W9" s="13">
        <f> 'Optimal Choice'!$B$20*'Optimal Choice'!$B$21^(Q9+1)</f>
        <v>9763.2</v>
      </c>
      <c r="X9" s="13">
        <f> 'Optimal Choice'!$B$25*'Optimal Choice'!$B$26^(R9+1)</f>
        <v>116121.6</v>
      </c>
      <c r="AA9" s="15">
        <f t="shared" ref="AA9:AE9" si="22">if(isna(VLOOKUP(N9,$D$2:$E$10,2,false)),AA8, VLOOKUP(N9,$D$2:$E$10,2,false))</f>
        <v>1</v>
      </c>
      <c r="AB9" s="15">
        <f t="shared" si="22"/>
        <v>1</v>
      </c>
      <c r="AC9" s="15">
        <f t="shared" si="22"/>
        <v>1</v>
      </c>
      <c r="AD9" s="15">
        <f t="shared" si="22"/>
        <v>1</v>
      </c>
      <c r="AE9" s="15">
        <f t="shared" si="22"/>
        <v>1</v>
      </c>
      <c r="AH9" s="15">
        <f>N9*'Optimal Choice'!$B$4*AA9</f>
        <v>13.36</v>
      </c>
      <c r="AI9" s="15">
        <f>O9*'Optimal Choice'!$B$9*AB9</f>
        <v>0</v>
      </c>
      <c r="AJ9" s="15">
        <f>P9*'Optimal Choice'!$B$14*AC9</f>
        <v>0</v>
      </c>
      <c r="AK9" s="15">
        <f>Q9*'Optimal Choice'!$B$19*AD9</f>
        <v>0</v>
      </c>
      <c r="AL9" s="15">
        <f>R9*'Optimal Choice'!$B$24*AE9</f>
        <v>0</v>
      </c>
      <c r="AO9" s="15">
        <f t="shared" ref="AO9:AS9" si="23">if(isna(VLOOKUP(N9+1,$D$2:$E$10,2,false)),AO8, VLOOKUP(N9+1,$D$2:$E$10,2,false))</f>
        <v>1</v>
      </c>
      <c r="AP9" s="15">
        <f t="shared" si="23"/>
        <v>1</v>
      </c>
      <c r="AQ9" s="15">
        <f t="shared" si="23"/>
        <v>1</v>
      </c>
      <c r="AR9" s="15">
        <f t="shared" si="23"/>
        <v>1</v>
      </c>
      <c r="AS9" s="15">
        <f t="shared" si="23"/>
        <v>1</v>
      </c>
      <c r="AU9" s="11">
        <f t="shared" si="8"/>
        <v>0.009798609523</v>
      </c>
    </row>
    <row r="10" ht="15.75" customHeight="1">
      <c r="A10" s="16">
        <f t="shared" si="4"/>
        <v>0.1432347434</v>
      </c>
      <c r="B10" s="7">
        <f>(sum(AH10:AL10))*'Optimal Choice'!$B$28</f>
        <v>15.03</v>
      </c>
      <c r="C10" s="11"/>
      <c r="D10" s="12">
        <f>'Optimal Choice'!A40</f>
        <v>1000</v>
      </c>
      <c r="E10" s="12">
        <f>E9*'Optimal Choice'!B40</f>
        <v>28800</v>
      </c>
      <c r="F10" s="11"/>
      <c r="G10" s="11">
        <f>(T10/$B10)+(T10/('Optimal Choice'!$B$4*AO10))</f>
        <v>5.23526642</v>
      </c>
      <c r="H10" s="11">
        <f>(U10/$B10)+(U10/('Optimal Choice'!$B$9*AP10))</f>
        <v>8.040818363</v>
      </c>
      <c r="I10" s="11">
        <f>(V10/$B10)+(V10/('Optimal Choice'!$B$14*AQ10))</f>
        <v>63.73077844</v>
      </c>
      <c r="J10" s="11">
        <f>(W10/$B10)+(W10/('Optimal Choice'!$B$19*AR10))</f>
        <v>676.7008383</v>
      </c>
      <c r="K10" s="11">
        <f>(X10/$B10)+(X10/('Optimal Choice'!$B$24*AS10))</f>
        <v>7779.748024</v>
      </c>
      <c r="N10" s="12">
        <f t="shared" ref="N10:R10" si="24">if(min($G9:$K9)=G9,N9+1,N9)</f>
        <v>9</v>
      </c>
      <c r="O10" s="12">
        <f t="shared" si="24"/>
        <v>0</v>
      </c>
      <c r="P10" s="12">
        <f t="shared" si="24"/>
        <v>0</v>
      </c>
      <c r="Q10" s="12">
        <f t="shared" si="24"/>
        <v>0</v>
      </c>
      <c r="R10" s="12">
        <f t="shared" si="24"/>
        <v>0</v>
      </c>
      <c r="T10" s="13">
        <f> 'Optimal Choice'!$B$5*'Optimal Choice'!$B$6^(N10+1)</f>
        <v>7.868605429</v>
      </c>
      <c r="U10" s="13">
        <f> 'Optimal Choice'!$B$10*'Optimal Choice'!$B$11^(O10+1)</f>
        <v>69</v>
      </c>
      <c r="V10" s="13">
        <f> 'Optimal Choice'!$B$15*'Optimal Choice'!$B$16^(P10+1)</f>
        <v>820.8</v>
      </c>
      <c r="W10" s="13">
        <f> 'Optimal Choice'!$B$20*'Optimal Choice'!$B$21^(Q10+1)</f>
        <v>9763.2</v>
      </c>
      <c r="X10" s="13">
        <f> 'Optimal Choice'!$B$25*'Optimal Choice'!$B$26^(R10+1)</f>
        <v>116121.6</v>
      </c>
      <c r="AA10" s="15">
        <f t="shared" ref="AA10:AE10" si="25">if(isna(VLOOKUP(N10,$D$2:$E$10,2,false)),AA9, VLOOKUP(N10,$D$2:$E$10,2,false))</f>
        <v>1</v>
      </c>
      <c r="AB10" s="15">
        <f t="shared" si="25"/>
        <v>1</v>
      </c>
      <c r="AC10" s="15">
        <f t="shared" si="25"/>
        <v>1</v>
      </c>
      <c r="AD10" s="15">
        <f t="shared" si="25"/>
        <v>1</v>
      </c>
      <c r="AE10" s="15">
        <f t="shared" si="25"/>
        <v>1</v>
      </c>
      <c r="AH10" s="15">
        <f>N10*'Optimal Choice'!$B$4*AA10</f>
        <v>15.03</v>
      </c>
      <c r="AI10" s="15">
        <f>O10*'Optimal Choice'!$B$9*AB10</f>
        <v>0</v>
      </c>
      <c r="AJ10" s="15">
        <f>P10*'Optimal Choice'!$B$14*AC10</f>
        <v>0</v>
      </c>
      <c r="AK10" s="15">
        <f>Q10*'Optimal Choice'!$B$19*AD10</f>
        <v>0</v>
      </c>
      <c r="AL10" s="15">
        <f>R10*'Optimal Choice'!$B$24*AE10</f>
        <v>0</v>
      </c>
      <c r="AO10" s="15">
        <f t="shared" ref="AO10:AS10" si="26">if(isna(VLOOKUP(N10+1,$D$2:$E$10,2,false)),AO9, VLOOKUP(N10+1,$D$2:$E$10,2,false))</f>
        <v>1</v>
      </c>
      <c r="AP10" s="15">
        <f t="shared" si="26"/>
        <v>1</v>
      </c>
      <c r="AQ10" s="15">
        <f t="shared" si="26"/>
        <v>1</v>
      </c>
      <c r="AR10" s="15">
        <f t="shared" si="26"/>
        <v>1</v>
      </c>
      <c r="AS10" s="15">
        <f t="shared" si="26"/>
        <v>1</v>
      </c>
      <c r="AU10" s="11">
        <f t="shared" si="8"/>
        <v>0.009173948166</v>
      </c>
    </row>
    <row r="11" ht="15.75" customHeight="1">
      <c r="A11" s="16">
        <f t="shared" si="4"/>
        <v>0.1519601874</v>
      </c>
      <c r="B11" s="7">
        <f>(sum(AH11:AL11))*'Optimal Choice'!$B$28</f>
        <v>16.7</v>
      </c>
      <c r="C11" s="11"/>
      <c r="D11" s="12" t="str">
        <f>'Optimal Choice'!A41</f>
        <v/>
      </c>
      <c r="E11" s="12"/>
      <c r="F11" s="11"/>
      <c r="G11" s="11">
        <f>(T11/$B11)+(T11/('Optimal Choice'!$B$4*AO11))</f>
        <v>5.545717719</v>
      </c>
      <c r="H11" s="11">
        <f>(U11/$B11)+(U11/('Optimal Choice'!$B$9*AP11))</f>
        <v>7.581736527</v>
      </c>
      <c r="I11" s="11">
        <f>(V11/$B11)+(V11/('Optimal Choice'!$B$14*AQ11))</f>
        <v>58.2697006</v>
      </c>
      <c r="J11" s="11">
        <f>(W11/$B11)+(W11/('Optimal Choice'!$B$19*AR11))</f>
        <v>611.7427545</v>
      </c>
      <c r="K11" s="11">
        <f>(X11/$B11)+(X11/('Optimal Choice'!$B$24*AS11))</f>
        <v>7007.149222</v>
      </c>
      <c r="N11" s="12">
        <f t="shared" ref="N11:R11" si="27">if(min($G10:$K10)=G10,N10+1,N10)</f>
        <v>10</v>
      </c>
      <c r="O11" s="12">
        <f t="shared" si="27"/>
        <v>0</v>
      </c>
      <c r="P11" s="12">
        <f t="shared" si="27"/>
        <v>0</v>
      </c>
      <c r="Q11" s="12">
        <f t="shared" si="27"/>
        <v>0</v>
      </c>
      <c r="R11" s="12">
        <f t="shared" si="27"/>
        <v>0</v>
      </c>
      <c r="T11" s="13">
        <f> 'Optimal Choice'!$B$5*'Optimal Choice'!$B$6^(N11+1)</f>
        <v>8.419407809</v>
      </c>
      <c r="U11" s="13">
        <f> 'Optimal Choice'!$B$10*'Optimal Choice'!$B$11^(O11+1)</f>
        <v>69</v>
      </c>
      <c r="V11" s="13">
        <f> 'Optimal Choice'!$B$15*'Optimal Choice'!$B$16^(P11+1)</f>
        <v>820.8</v>
      </c>
      <c r="W11" s="13">
        <f> 'Optimal Choice'!$B$20*'Optimal Choice'!$B$21^(Q11+1)</f>
        <v>9763.2</v>
      </c>
      <c r="X11" s="13">
        <f> 'Optimal Choice'!$B$25*'Optimal Choice'!$B$26^(R11+1)</f>
        <v>116121.6</v>
      </c>
      <c r="AA11" s="15">
        <f t="shared" ref="AA11:AE11" si="28">if(isna(VLOOKUP(N11,$D$2:$E$10,2,false)),AA10, VLOOKUP(N11,$D$2:$E$10,2,false))</f>
        <v>1</v>
      </c>
      <c r="AB11" s="15">
        <f t="shared" si="28"/>
        <v>1</v>
      </c>
      <c r="AC11" s="15">
        <f t="shared" si="28"/>
        <v>1</v>
      </c>
      <c r="AD11" s="15">
        <f t="shared" si="28"/>
        <v>1</v>
      </c>
      <c r="AE11" s="15">
        <f t="shared" si="28"/>
        <v>1</v>
      </c>
      <c r="AH11" s="15">
        <f>N11*'Optimal Choice'!$B$4*AA11</f>
        <v>16.7</v>
      </c>
      <c r="AI11" s="15">
        <f>O11*'Optimal Choice'!$B$9*AB11</f>
        <v>0</v>
      </c>
      <c r="AJ11" s="15">
        <f>P11*'Optimal Choice'!$B$14*AC11</f>
        <v>0</v>
      </c>
      <c r="AK11" s="15">
        <f>Q11*'Optimal Choice'!$B$19*AD11</f>
        <v>0</v>
      </c>
      <c r="AL11" s="15">
        <f>R11*'Optimal Choice'!$B$24*AE11</f>
        <v>0</v>
      </c>
      <c r="AO11" s="15">
        <f t="shared" ref="AO11:AS11" si="29">if(isna(VLOOKUP(N11+1,$D$2:$E$10,2,false)),AO10, VLOOKUP(N11+1,$D$2:$E$10,2,false))</f>
        <v>1</v>
      </c>
      <c r="AP11" s="15">
        <f t="shared" si="29"/>
        <v>1</v>
      </c>
      <c r="AQ11" s="15">
        <f t="shared" si="29"/>
        <v>1</v>
      </c>
      <c r="AR11" s="15">
        <f t="shared" si="29"/>
        <v>1</v>
      </c>
      <c r="AS11" s="15">
        <f t="shared" si="29"/>
        <v>1</v>
      </c>
      <c r="AU11" s="11">
        <f t="shared" si="8"/>
        <v>0.008725444033</v>
      </c>
    </row>
    <row r="12" ht="15.75" customHeight="1">
      <c r="A12" s="16">
        <f t="shared" si="4"/>
        <v>0.1603627901</v>
      </c>
      <c r="B12" s="7">
        <f>(sum(AH12:AL12))*'Optimal Choice'!$B$28</f>
        <v>18.37</v>
      </c>
      <c r="C12" s="11"/>
      <c r="D12" s="12"/>
      <c r="E12" s="12"/>
      <c r="F12" s="11"/>
      <c r="G12" s="11">
        <f>(T12/$B12)+(T12/('Optimal Choice'!$B$4*AO12))</f>
        <v>5.884877315</v>
      </c>
      <c r="H12" s="11">
        <f>(U12/$B12)+(U12/('Optimal Choice'!$B$9*AP12))</f>
        <v>7.206124115</v>
      </c>
      <c r="I12" s="11">
        <f>(V12/$B12)+(V12/('Optimal Choice'!$B$14*AQ12))</f>
        <v>53.801546</v>
      </c>
      <c r="J12" s="11">
        <f>(W12/$B12)+(W12/('Optimal Choice'!$B$19*AR12))</f>
        <v>558.5952314</v>
      </c>
      <c r="K12" s="11">
        <f>(X12/$B12)+(X12/('Optimal Choice'!$B$24*AS12))</f>
        <v>6375.022929</v>
      </c>
      <c r="N12" s="12">
        <f t="shared" ref="N12:R12" si="30">if(min($G11:$K11)=G11,N11+1,N11)</f>
        <v>11</v>
      </c>
      <c r="O12" s="12">
        <f t="shared" si="30"/>
        <v>0</v>
      </c>
      <c r="P12" s="12">
        <f t="shared" si="30"/>
        <v>0</v>
      </c>
      <c r="Q12" s="12">
        <f t="shared" si="30"/>
        <v>0</v>
      </c>
      <c r="R12" s="12">
        <f t="shared" si="30"/>
        <v>0</v>
      </c>
      <c r="T12" s="13">
        <f> 'Optimal Choice'!$B$5*'Optimal Choice'!$B$6^(N12+1)</f>
        <v>9.008766356</v>
      </c>
      <c r="U12" s="13">
        <f> 'Optimal Choice'!$B$10*'Optimal Choice'!$B$11^(O12+1)</f>
        <v>69</v>
      </c>
      <c r="V12" s="13">
        <f> 'Optimal Choice'!$B$15*'Optimal Choice'!$B$16^(P12+1)</f>
        <v>820.8</v>
      </c>
      <c r="W12" s="13">
        <f> 'Optimal Choice'!$B$20*'Optimal Choice'!$B$21^(Q12+1)</f>
        <v>9763.2</v>
      </c>
      <c r="X12" s="13">
        <f> 'Optimal Choice'!$B$25*'Optimal Choice'!$B$26^(R12+1)</f>
        <v>116121.6</v>
      </c>
      <c r="AA12" s="15">
        <f t="shared" ref="AA12:AE12" si="31">if(isna(VLOOKUP(N12,$D$2:$E$10,2,false)),AA11, VLOOKUP(N12,$D$2:$E$10,2,false))</f>
        <v>1</v>
      </c>
      <c r="AB12" s="15">
        <f t="shared" si="31"/>
        <v>1</v>
      </c>
      <c r="AC12" s="15">
        <f t="shared" si="31"/>
        <v>1</v>
      </c>
      <c r="AD12" s="15">
        <f t="shared" si="31"/>
        <v>1</v>
      </c>
      <c r="AE12" s="15">
        <f t="shared" si="31"/>
        <v>1</v>
      </c>
      <c r="AH12" s="15">
        <f>N12*'Optimal Choice'!$B$4*AA12</f>
        <v>18.37</v>
      </c>
      <c r="AI12" s="15">
        <f>O12*'Optimal Choice'!$B$9*AB12</f>
        <v>0</v>
      </c>
      <c r="AJ12" s="15">
        <f>P12*'Optimal Choice'!$B$14*AC12</f>
        <v>0</v>
      </c>
      <c r="AK12" s="15">
        <f>Q12*'Optimal Choice'!$B$19*AD12</f>
        <v>0</v>
      </c>
      <c r="AL12" s="15">
        <f>R12*'Optimal Choice'!$B$24*AE12</f>
        <v>0</v>
      </c>
      <c r="AO12" s="15">
        <f t="shared" ref="AO12:AS12" si="32">if(isna(VLOOKUP(N12+1,$D$2:$E$10,2,false)),AO11, VLOOKUP(N12+1,$D$2:$E$10,2,false))</f>
        <v>1</v>
      </c>
      <c r="AP12" s="15">
        <f t="shared" si="32"/>
        <v>1</v>
      </c>
      <c r="AQ12" s="15">
        <f t="shared" si="32"/>
        <v>1</v>
      </c>
      <c r="AR12" s="15">
        <f t="shared" si="32"/>
        <v>1</v>
      </c>
      <c r="AS12" s="15">
        <f t="shared" si="32"/>
        <v>1</v>
      </c>
      <c r="AU12" s="11">
        <f t="shared" si="8"/>
        <v>0.008402602604</v>
      </c>
    </row>
    <row r="13" ht="15.75" customHeight="1">
      <c r="A13" s="16">
        <f t="shared" si="4"/>
        <v>0.1685362308</v>
      </c>
      <c r="B13" s="7">
        <f>(sum(AH13:AL13))*'Optimal Choice'!$B$28</f>
        <v>20.04</v>
      </c>
      <c r="C13" s="11"/>
      <c r="D13" s="12"/>
      <c r="E13" s="12"/>
      <c r="F13" s="11"/>
      <c r="G13" s="11">
        <f>(T13/$B13)+(T13/('Optimal Choice'!$B$4*AO13))</f>
        <v>6.253090819</v>
      </c>
      <c r="H13" s="11">
        <f>(U13/$B13)+(U13/('Optimal Choice'!$B$9*AP13))</f>
        <v>6.893113772</v>
      </c>
      <c r="I13" s="11">
        <f>(V13/$B13)+(V13/('Optimal Choice'!$B$14*AQ13))</f>
        <v>50.07808383</v>
      </c>
      <c r="J13" s="11">
        <f>(W13/$B13)+(W13/('Optimal Choice'!$B$19*AR13))</f>
        <v>514.3056287</v>
      </c>
      <c r="K13" s="11">
        <f>(X13/$B13)+(X13/('Optimal Choice'!$B$24*AS13))</f>
        <v>5848.251018</v>
      </c>
      <c r="N13" s="12">
        <f t="shared" ref="N13:R13" si="33">if(min($G12:$K12)=G12,N12+1,N12)</f>
        <v>12</v>
      </c>
      <c r="O13" s="12">
        <f t="shared" si="33"/>
        <v>0</v>
      </c>
      <c r="P13" s="12">
        <f t="shared" si="33"/>
        <v>0</v>
      </c>
      <c r="Q13" s="12">
        <f t="shared" si="33"/>
        <v>0</v>
      </c>
      <c r="R13" s="12">
        <f t="shared" si="33"/>
        <v>0</v>
      </c>
      <c r="T13" s="13">
        <f> 'Optimal Choice'!$B$5*'Optimal Choice'!$B$6^(N13+1)</f>
        <v>9.639380001</v>
      </c>
      <c r="U13" s="13">
        <f> 'Optimal Choice'!$B$10*'Optimal Choice'!$B$11^(O13+1)</f>
        <v>69</v>
      </c>
      <c r="V13" s="13">
        <f> 'Optimal Choice'!$B$15*'Optimal Choice'!$B$16^(P13+1)</f>
        <v>820.8</v>
      </c>
      <c r="W13" s="13">
        <f> 'Optimal Choice'!$B$20*'Optimal Choice'!$B$21^(Q13+1)</f>
        <v>9763.2</v>
      </c>
      <c r="X13" s="13">
        <f> 'Optimal Choice'!$B$25*'Optimal Choice'!$B$26^(R13+1)</f>
        <v>116121.6</v>
      </c>
      <c r="AA13" s="15">
        <f t="shared" ref="AA13:AE13" si="34">if(isna(VLOOKUP(N13,$D$2:$E$10,2,false)),AA12, VLOOKUP(N13,$D$2:$E$10,2,false))</f>
        <v>1</v>
      </c>
      <c r="AB13" s="15">
        <f t="shared" si="34"/>
        <v>1</v>
      </c>
      <c r="AC13" s="15">
        <f t="shared" si="34"/>
        <v>1</v>
      </c>
      <c r="AD13" s="15">
        <f t="shared" si="34"/>
        <v>1</v>
      </c>
      <c r="AE13" s="15">
        <f t="shared" si="34"/>
        <v>1</v>
      </c>
      <c r="AH13" s="15">
        <f>N13*'Optimal Choice'!$B$4*AA13</f>
        <v>20.04</v>
      </c>
      <c r="AI13" s="15">
        <f>O13*'Optimal Choice'!$B$9*AB13</f>
        <v>0</v>
      </c>
      <c r="AJ13" s="15">
        <f>P13*'Optimal Choice'!$B$14*AC13</f>
        <v>0</v>
      </c>
      <c r="AK13" s="15">
        <f>Q13*'Optimal Choice'!$B$19*AD13</f>
        <v>0</v>
      </c>
      <c r="AL13" s="15">
        <f>R13*'Optimal Choice'!$B$24*AE13</f>
        <v>0</v>
      </c>
      <c r="AO13" s="15">
        <f t="shared" ref="AO13:AS13" si="35">if(isna(VLOOKUP(N13+1,$D$2:$E$10,2,false)),AO12, VLOOKUP(N13+1,$D$2:$E$10,2,false))</f>
        <v>1</v>
      </c>
      <c r="AP13" s="15">
        <f t="shared" si="35"/>
        <v>1</v>
      </c>
      <c r="AQ13" s="15">
        <f t="shared" si="35"/>
        <v>1</v>
      </c>
      <c r="AR13" s="15">
        <f t="shared" si="35"/>
        <v>1</v>
      </c>
      <c r="AS13" s="15">
        <f t="shared" si="35"/>
        <v>1</v>
      </c>
      <c r="AU13" s="11">
        <f t="shared" si="8"/>
        <v>0.008173440715</v>
      </c>
    </row>
    <row r="14" ht="15.75" customHeight="1">
      <c r="A14" s="16">
        <f t="shared" si="4"/>
        <v>0.1765530139</v>
      </c>
      <c r="B14" s="7">
        <f>(sum(AH14:AL14))*'Optimal Choice'!$B$28</f>
        <v>21.71</v>
      </c>
      <c r="C14" s="11"/>
      <c r="D14" s="12"/>
      <c r="E14" s="12"/>
      <c r="F14" s="11"/>
      <c r="G14" s="11">
        <f>(T14/$B14)+(T14/('Optimal Choice'!$B$4*AO14))</f>
        <v>6.651216601</v>
      </c>
      <c r="H14" s="11">
        <f>(U14/$B14)+(U14/('Optimal Choice'!$B$9*AP14))</f>
        <v>6.628258867</v>
      </c>
      <c r="I14" s="11">
        <f>(V14/$B14)+(V14/('Optimal Choice'!$B$14*AQ14))</f>
        <v>46.927462</v>
      </c>
      <c r="J14" s="11">
        <f>(W14/$B14)+(W14/('Optimal Choice'!$B$19*AR14))</f>
        <v>476.8298111</v>
      </c>
      <c r="K14" s="11">
        <f>(X14/$B14)+(X14/('Optimal Choice'!$B$24*AS14))</f>
        <v>5402.52094</v>
      </c>
      <c r="N14" s="12">
        <f t="shared" ref="N14:R14" si="36">if(min($G13:$K13)=G13,N13+1,N13)</f>
        <v>13</v>
      </c>
      <c r="O14" s="12">
        <f t="shared" si="36"/>
        <v>0</v>
      </c>
      <c r="P14" s="12">
        <f t="shared" si="36"/>
        <v>0</v>
      </c>
      <c r="Q14" s="12">
        <f t="shared" si="36"/>
        <v>0</v>
      </c>
      <c r="R14" s="12">
        <f t="shared" si="36"/>
        <v>0</v>
      </c>
      <c r="T14" s="13">
        <f> 'Optimal Choice'!$B$5*'Optimal Choice'!$B$6^(N14+1)</f>
        <v>10.3141366</v>
      </c>
      <c r="U14" s="13">
        <f> 'Optimal Choice'!$B$10*'Optimal Choice'!$B$11^(O14+1)</f>
        <v>69</v>
      </c>
      <c r="V14" s="13">
        <f> 'Optimal Choice'!$B$15*'Optimal Choice'!$B$16^(P14+1)</f>
        <v>820.8</v>
      </c>
      <c r="W14" s="13">
        <f> 'Optimal Choice'!$B$20*'Optimal Choice'!$B$21^(Q14+1)</f>
        <v>9763.2</v>
      </c>
      <c r="X14" s="13">
        <f> 'Optimal Choice'!$B$25*'Optimal Choice'!$B$26^(R14+1)</f>
        <v>116121.6</v>
      </c>
      <c r="AA14" s="15">
        <f t="shared" ref="AA14:AE14" si="37">if(isna(VLOOKUP(N14,$D$2:$E$10,2,false)),AA13, VLOOKUP(N14,$D$2:$E$10,2,false))</f>
        <v>1</v>
      </c>
      <c r="AB14" s="15">
        <f t="shared" si="37"/>
        <v>1</v>
      </c>
      <c r="AC14" s="15">
        <f t="shared" si="37"/>
        <v>1</v>
      </c>
      <c r="AD14" s="15">
        <f t="shared" si="37"/>
        <v>1</v>
      </c>
      <c r="AE14" s="15">
        <f t="shared" si="37"/>
        <v>1</v>
      </c>
      <c r="AH14" s="15">
        <f>N14*'Optimal Choice'!$B$4*AA14</f>
        <v>21.71</v>
      </c>
      <c r="AI14" s="15">
        <f>O14*'Optimal Choice'!$B$9*AB14</f>
        <v>0</v>
      </c>
      <c r="AJ14" s="15">
        <f>P14*'Optimal Choice'!$B$14*AC14</f>
        <v>0</v>
      </c>
      <c r="AK14" s="15">
        <f>Q14*'Optimal Choice'!$B$19*AD14</f>
        <v>0</v>
      </c>
      <c r="AL14" s="15">
        <f>R14*'Optimal Choice'!$B$24*AE14</f>
        <v>0</v>
      </c>
      <c r="AO14" s="15">
        <f t="shared" ref="AO14:AS14" si="38">if(isna(VLOOKUP(N14+1,$D$2:$E$10,2,false)),AO13, VLOOKUP(N14+1,$D$2:$E$10,2,false))</f>
        <v>1</v>
      </c>
      <c r="AP14" s="15">
        <f t="shared" si="38"/>
        <v>1</v>
      </c>
      <c r="AQ14" s="15">
        <f t="shared" si="38"/>
        <v>1</v>
      </c>
      <c r="AR14" s="15">
        <f t="shared" si="38"/>
        <v>1</v>
      </c>
      <c r="AS14" s="15">
        <f t="shared" si="38"/>
        <v>1</v>
      </c>
      <c r="AU14" s="11">
        <f t="shared" si="8"/>
        <v>0.008016783101</v>
      </c>
    </row>
    <row r="15" ht="15.75" customHeight="1">
      <c r="A15" s="16">
        <f t="shared" si="4"/>
        <v>0.229523995</v>
      </c>
      <c r="B15" s="7">
        <f>(sum(AH15:AL15))*'Optimal Choice'!$B$28</f>
        <v>41.71</v>
      </c>
      <c r="C15" s="11"/>
      <c r="D15" s="12"/>
      <c r="E15" s="12"/>
      <c r="F15" s="11"/>
      <c r="G15" s="11">
        <f>(T15/$B15)+(T15/('Optimal Choice'!$B$4*AO15))</f>
        <v>6.423411806</v>
      </c>
      <c r="H15" s="11">
        <f>(U15/$B15)+(U15/('Optimal Choice'!$B$9*AP15))</f>
        <v>5.869921482</v>
      </c>
      <c r="I15" s="11">
        <f>(V15/$B15)+(V15/('Optimal Choice'!$B$14*AQ15))</f>
        <v>28.79873412</v>
      </c>
      <c r="J15" s="11">
        <f>(W15/$B15)+(W15/('Optimal Choice'!$B$19*AR15))</f>
        <v>261.1933637</v>
      </c>
      <c r="K15" s="11">
        <f>(X15/$B15)+(X15/('Optimal Choice'!$B$24*AS15))</f>
        <v>2837.783016</v>
      </c>
      <c r="N15" s="12">
        <f t="shared" ref="N15:R15" si="39">if(min($G14:$K14)=G14,N14+1,N14)</f>
        <v>13</v>
      </c>
      <c r="O15" s="12">
        <f t="shared" si="39"/>
        <v>1</v>
      </c>
      <c r="P15" s="12">
        <f t="shared" si="39"/>
        <v>0</v>
      </c>
      <c r="Q15" s="12">
        <f t="shared" si="39"/>
        <v>0</v>
      </c>
      <c r="R15" s="12">
        <f t="shared" si="39"/>
        <v>0</v>
      </c>
      <c r="T15" s="13">
        <f> 'Optimal Choice'!$B$5*'Optimal Choice'!$B$6^(N15+1)</f>
        <v>10.3141366</v>
      </c>
      <c r="U15" s="13">
        <f> 'Optimal Choice'!$B$10*'Optimal Choice'!$B$11^(O15+1)</f>
        <v>79.35</v>
      </c>
      <c r="V15" s="13">
        <f> 'Optimal Choice'!$B$15*'Optimal Choice'!$B$16^(P15+1)</f>
        <v>820.8</v>
      </c>
      <c r="W15" s="13">
        <f> 'Optimal Choice'!$B$20*'Optimal Choice'!$B$21^(Q15+1)</f>
        <v>9763.2</v>
      </c>
      <c r="X15" s="13">
        <f> 'Optimal Choice'!$B$25*'Optimal Choice'!$B$26^(R15+1)</f>
        <v>116121.6</v>
      </c>
      <c r="AA15" s="15">
        <f t="shared" ref="AA15:AE15" si="40">if(isna(VLOOKUP(N15,$D$2:$E$10,2,false)),AA14, VLOOKUP(N15,$D$2:$E$10,2,false))</f>
        <v>1</v>
      </c>
      <c r="AB15" s="15">
        <f t="shared" si="40"/>
        <v>1</v>
      </c>
      <c r="AC15" s="15">
        <f t="shared" si="40"/>
        <v>1</v>
      </c>
      <c r="AD15" s="15">
        <f t="shared" si="40"/>
        <v>1</v>
      </c>
      <c r="AE15" s="15">
        <f t="shared" si="40"/>
        <v>1</v>
      </c>
      <c r="AH15" s="15">
        <f>N15*'Optimal Choice'!$B$4*AA15</f>
        <v>21.71</v>
      </c>
      <c r="AI15" s="15">
        <f>O15*'Optimal Choice'!$B$9*AB15</f>
        <v>20</v>
      </c>
      <c r="AJ15" s="15">
        <f>P15*'Optimal Choice'!$B$14*AC15</f>
        <v>0</v>
      </c>
      <c r="AK15" s="15">
        <f>Q15*'Optimal Choice'!$B$19*AD15</f>
        <v>0</v>
      </c>
      <c r="AL15" s="15">
        <f>R15*'Optimal Choice'!$B$24*AE15</f>
        <v>0</v>
      </c>
      <c r="AO15" s="15">
        <f t="shared" ref="AO15:AS15" si="41">if(isna(VLOOKUP(N15+1,$D$2:$E$10,2,false)),AO14, VLOOKUP(N15+1,$D$2:$E$10,2,false))</f>
        <v>1</v>
      </c>
      <c r="AP15" s="15">
        <f t="shared" si="41"/>
        <v>1</v>
      </c>
      <c r="AQ15" s="15">
        <f t="shared" si="41"/>
        <v>1</v>
      </c>
      <c r="AR15" s="15">
        <f t="shared" si="41"/>
        <v>1</v>
      </c>
      <c r="AS15" s="15">
        <f t="shared" si="41"/>
        <v>1</v>
      </c>
      <c r="AU15" s="11">
        <f t="shared" si="8"/>
        <v>0.05297098111</v>
      </c>
    </row>
    <row r="16" ht="15.75" customHeight="1">
      <c r="A16" s="16">
        <f t="shared" si="4"/>
        <v>0.2612310197</v>
      </c>
      <c r="B16" s="7">
        <f>(sum(AH16:AL16))*'Optimal Choice'!$B$28</f>
        <v>61.71</v>
      </c>
      <c r="C16" s="11"/>
      <c r="D16" s="12"/>
      <c r="E16" s="12"/>
      <c r="F16" s="11"/>
      <c r="G16" s="11">
        <f>(T16/$B16)+(T16/('Optimal Choice'!$B$4*AO16))</f>
        <v>6.343268521</v>
      </c>
      <c r="H16" s="11">
        <f>(U16/$B16)+(U16/('Optimal Choice'!$B$9*AP16))</f>
        <v>6.041356162</v>
      </c>
      <c r="I16" s="11">
        <f>(V16/$B16)+(V16/('Optimal Choice'!$B$14*AQ16))</f>
        <v>22.42092368</v>
      </c>
      <c r="J16" s="11">
        <f>(W16/$B16)+(W16/('Optimal Choice'!$B$19*AR16))</f>
        <v>185.3309869</v>
      </c>
      <c r="K16" s="11">
        <f>(X16/$B16)+(X16/('Optimal Choice'!$B$24*AS16))</f>
        <v>1935.490676</v>
      </c>
      <c r="N16" s="12">
        <f t="shared" ref="N16:R16" si="42">if(min($G15:$K15)=G15,N15+1,N15)</f>
        <v>13</v>
      </c>
      <c r="O16" s="12">
        <f t="shared" si="42"/>
        <v>2</v>
      </c>
      <c r="P16" s="12">
        <f t="shared" si="42"/>
        <v>0</v>
      </c>
      <c r="Q16" s="12">
        <f t="shared" si="42"/>
        <v>0</v>
      </c>
      <c r="R16" s="12">
        <f t="shared" si="42"/>
        <v>0</v>
      </c>
      <c r="T16" s="13">
        <f> 'Optimal Choice'!$B$5*'Optimal Choice'!$B$6^(N16+1)</f>
        <v>10.3141366</v>
      </c>
      <c r="U16" s="13">
        <f> 'Optimal Choice'!$B$10*'Optimal Choice'!$B$11^(O16+1)</f>
        <v>91.2525</v>
      </c>
      <c r="V16" s="13">
        <f> 'Optimal Choice'!$B$15*'Optimal Choice'!$B$16^(P16+1)</f>
        <v>820.8</v>
      </c>
      <c r="W16" s="13">
        <f> 'Optimal Choice'!$B$20*'Optimal Choice'!$B$21^(Q16+1)</f>
        <v>9763.2</v>
      </c>
      <c r="X16" s="13">
        <f> 'Optimal Choice'!$B$25*'Optimal Choice'!$B$26^(R16+1)</f>
        <v>116121.6</v>
      </c>
      <c r="AA16" s="15">
        <f t="shared" ref="AA16:AE16" si="43">if(isna(VLOOKUP(N16,$D$2:$E$10,2,false)),AA15, VLOOKUP(N16,$D$2:$E$10,2,false))</f>
        <v>1</v>
      </c>
      <c r="AB16" s="15">
        <f t="shared" si="43"/>
        <v>1</v>
      </c>
      <c r="AC16" s="15">
        <f t="shared" si="43"/>
        <v>1</v>
      </c>
      <c r="AD16" s="15">
        <f t="shared" si="43"/>
        <v>1</v>
      </c>
      <c r="AE16" s="15">
        <f t="shared" si="43"/>
        <v>1</v>
      </c>
      <c r="AH16" s="15">
        <f>N16*'Optimal Choice'!$B$4*AA16</f>
        <v>21.71</v>
      </c>
      <c r="AI16" s="15">
        <f>O16*'Optimal Choice'!$B$9*AB16</f>
        <v>40</v>
      </c>
      <c r="AJ16" s="15">
        <f>P16*'Optimal Choice'!$B$14*AC16</f>
        <v>0</v>
      </c>
      <c r="AK16" s="15">
        <f>Q16*'Optimal Choice'!$B$19*AD16</f>
        <v>0</v>
      </c>
      <c r="AL16" s="15">
        <f>R16*'Optimal Choice'!$B$24*AE16</f>
        <v>0</v>
      </c>
      <c r="AO16" s="15">
        <f t="shared" ref="AO16:AS16" si="44">if(isna(VLOOKUP(N16+1,$D$2:$E$10,2,false)),AO15, VLOOKUP(N16+1,$D$2:$E$10,2,false))</f>
        <v>1</v>
      </c>
      <c r="AP16" s="15">
        <f t="shared" si="44"/>
        <v>1</v>
      </c>
      <c r="AQ16" s="15">
        <f t="shared" si="44"/>
        <v>1</v>
      </c>
      <c r="AR16" s="15">
        <f t="shared" si="44"/>
        <v>1</v>
      </c>
      <c r="AS16" s="15">
        <f t="shared" si="44"/>
        <v>1</v>
      </c>
      <c r="AU16" s="11">
        <f t="shared" si="8"/>
        <v>0.03170702469</v>
      </c>
    </row>
    <row r="17" ht="15.75" customHeight="1">
      <c r="A17" s="16">
        <f t="shared" si="4"/>
        <v>0.285876539</v>
      </c>
      <c r="B17" s="7">
        <f>(sum(AH17:AL17))*'Optimal Choice'!$B$28</f>
        <v>81.71</v>
      </c>
      <c r="C17" s="11"/>
      <c r="D17" s="12"/>
      <c r="E17" s="12"/>
      <c r="F17" s="11"/>
      <c r="G17" s="11">
        <f>(T17/$B17)+(T17/('Optimal Choice'!$B$4*AO17))</f>
        <v>6.302358273</v>
      </c>
      <c r="H17" s="11">
        <f>(U17/$B17)+(U17/('Optimal Choice'!$B$9*AP17))</f>
        <v>6.531321467</v>
      </c>
      <c r="I17" s="11">
        <f>(V17/$B17)+(V17/('Optimal Choice'!$B$14*AQ17))</f>
        <v>19.1652821</v>
      </c>
      <c r="J17" s="11">
        <f>(W17/$B17)+(W17/('Optimal Choice'!$B$19*AR17))</f>
        <v>146.605987</v>
      </c>
      <c r="K17" s="11">
        <f>(X17/$B17)+(X17/('Optimal Choice'!$B$24*AS17))</f>
        <v>1474.903067</v>
      </c>
      <c r="N17" s="12">
        <f t="shared" ref="N17:R17" si="45">if(min($G16:$K16)=G16,N16+1,N16)</f>
        <v>13</v>
      </c>
      <c r="O17" s="12">
        <f t="shared" si="45"/>
        <v>3</v>
      </c>
      <c r="P17" s="12">
        <f t="shared" si="45"/>
        <v>0</v>
      </c>
      <c r="Q17" s="12">
        <f t="shared" si="45"/>
        <v>0</v>
      </c>
      <c r="R17" s="12">
        <f t="shared" si="45"/>
        <v>0</v>
      </c>
      <c r="T17" s="13">
        <f> 'Optimal Choice'!$B$5*'Optimal Choice'!$B$6^(N17+1)</f>
        <v>10.3141366</v>
      </c>
      <c r="U17" s="13">
        <f> 'Optimal Choice'!$B$10*'Optimal Choice'!$B$11^(O17+1)</f>
        <v>104.940375</v>
      </c>
      <c r="V17" s="13">
        <f> 'Optimal Choice'!$B$15*'Optimal Choice'!$B$16^(P17+1)</f>
        <v>820.8</v>
      </c>
      <c r="W17" s="13">
        <f> 'Optimal Choice'!$B$20*'Optimal Choice'!$B$21^(Q17+1)</f>
        <v>9763.2</v>
      </c>
      <c r="X17" s="13">
        <f> 'Optimal Choice'!$B$25*'Optimal Choice'!$B$26^(R17+1)</f>
        <v>116121.6</v>
      </c>
      <c r="AA17" s="15">
        <f t="shared" ref="AA17:AE17" si="46">if(isna(VLOOKUP(N17,$D$2:$E$10,2,false)),AA16, VLOOKUP(N17,$D$2:$E$10,2,false))</f>
        <v>1</v>
      </c>
      <c r="AB17" s="15">
        <f t="shared" si="46"/>
        <v>1</v>
      </c>
      <c r="AC17" s="15">
        <f t="shared" si="46"/>
        <v>1</v>
      </c>
      <c r="AD17" s="15">
        <f t="shared" si="46"/>
        <v>1</v>
      </c>
      <c r="AE17" s="15">
        <f t="shared" si="46"/>
        <v>1</v>
      </c>
      <c r="AH17" s="15">
        <f>N17*'Optimal Choice'!$B$4*AA17</f>
        <v>21.71</v>
      </c>
      <c r="AI17" s="15">
        <f>O17*'Optimal Choice'!$B$9*AB17</f>
        <v>60</v>
      </c>
      <c r="AJ17" s="15">
        <f>P17*'Optimal Choice'!$B$14*AC17</f>
        <v>0</v>
      </c>
      <c r="AK17" s="15">
        <f>Q17*'Optimal Choice'!$B$19*AD17</f>
        <v>0</v>
      </c>
      <c r="AL17" s="15">
        <f>R17*'Optimal Choice'!$B$24*AE17</f>
        <v>0</v>
      </c>
      <c r="AO17" s="15">
        <f t="shared" ref="AO17:AS17" si="47">if(isna(VLOOKUP(N17+1,$D$2:$E$10,2,false)),AO16, VLOOKUP(N17+1,$D$2:$E$10,2,false))</f>
        <v>1</v>
      </c>
      <c r="AP17" s="15">
        <f t="shared" si="47"/>
        <v>1</v>
      </c>
      <c r="AQ17" s="15">
        <f t="shared" si="47"/>
        <v>1</v>
      </c>
      <c r="AR17" s="15">
        <f t="shared" si="47"/>
        <v>1</v>
      </c>
      <c r="AS17" s="15">
        <f t="shared" si="47"/>
        <v>1</v>
      </c>
      <c r="AU17" s="11">
        <f t="shared" si="8"/>
        <v>0.02464551936</v>
      </c>
    </row>
    <row r="18" ht="15.75" customHeight="1">
      <c r="A18" s="16">
        <f t="shared" si="4"/>
        <v>0.2879803486</v>
      </c>
      <c r="B18" s="7">
        <f>(sum(AH18:AL18))*'Optimal Choice'!$B$28</f>
        <v>83.38</v>
      </c>
      <c r="C18" s="11"/>
      <c r="D18" s="12"/>
      <c r="E18" s="12"/>
      <c r="F18" s="11"/>
      <c r="G18" s="11">
        <f>(T18/$B18)+(T18/('Optimal Choice'!$B$4*AO18))</f>
        <v>6.740818173</v>
      </c>
      <c r="H18" s="11">
        <f>(U18/$B18)+(U18/('Optimal Choice'!$B$9*AP18))</f>
        <v>6.505598445</v>
      </c>
      <c r="I18" s="11">
        <f>(V18/$B18)+(V18/('Optimal Choice'!$B$14*AQ18))</f>
        <v>18.96408731</v>
      </c>
      <c r="J18" s="11">
        <f>(W18/$B18)+(W18/('Optimal Choice'!$B$19*AR18))</f>
        <v>144.212828</v>
      </c>
      <c r="K18" s="11">
        <f>(X18/$B18)+(X18/('Optimal Choice'!$B$24*AS18))</f>
        <v>1446.4393</v>
      </c>
      <c r="N18" s="12">
        <f t="shared" ref="N18:R18" si="48">if(min($G17:$K17)=G17,N17+1,N17)</f>
        <v>14</v>
      </c>
      <c r="O18" s="12">
        <f t="shared" si="48"/>
        <v>3</v>
      </c>
      <c r="P18" s="12">
        <f t="shared" si="48"/>
        <v>0</v>
      </c>
      <c r="Q18" s="12">
        <f t="shared" si="48"/>
        <v>0</v>
      </c>
      <c r="R18" s="12">
        <f t="shared" si="48"/>
        <v>0</v>
      </c>
      <c r="T18" s="13">
        <f> 'Optimal Choice'!$B$5*'Optimal Choice'!$B$6^(N18+1)</f>
        <v>11.03612616</v>
      </c>
      <c r="U18" s="13">
        <f> 'Optimal Choice'!$B$10*'Optimal Choice'!$B$11^(O18+1)</f>
        <v>104.940375</v>
      </c>
      <c r="V18" s="13">
        <f> 'Optimal Choice'!$B$15*'Optimal Choice'!$B$16^(P18+1)</f>
        <v>820.8</v>
      </c>
      <c r="W18" s="13">
        <f> 'Optimal Choice'!$B$20*'Optimal Choice'!$B$21^(Q18+1)</f>
        <v>9763.2</v>
      </c>
      <c r="X18" s="13">
        <f> 'Optimal Choice'!$B$25*'Optimal Choice'!$B$26^(R18+1)</f>
        <v>116121.6</v>
      </c>
      <c r="AA18" s="15">
        <f t="shared" ref="AA18:AE18" si="49">if(isna(VLOOKUP(N18,$D$2:$E$10,2,false)),AA17, VLOOKUP(N18,$D$2:$E$10,2,false))</f>
        <v>1</v>
      </c>
      <c r="AB18" s="15">
        <f t="shared" si="49"/>
        <v>1</v>
      </c>
      <c r="AC18" s="15">
        <f t="shared" si="49"/>
        <v>1</v>
      </c>
      <c r="AD18" s="15">
        <f t="shared" si="49"/>
        <v>1</v>
      </c>
      <c r="AE18" s="15">
        <f t="shared" si="49"/>
        <v>1</v>
      </c>
      <c r="AH18" s="15">
        <f>N18*'Optimal Choice'!$B$4*AA18</f>
        <v>23.38</v>
      </c>
      <c r="AI18" s="15">
        <f>O18*'Optimal Choice'!$B$9*AB18</f>
        <v>60</v>
      </c>
      <c r="AJ18" s="15">
        <f>P18*'Optimal Choice'!$B$14*AC18</f>
        <v>0</v>
      </c>
      <c r="AK18" s="15">
        <f>Q18*'Optimal Choice'!$B$19*AD18</f>
        <v>0</v>
      </c>
      <c r="AL18" s="15">
        <f>R18*'Optimal Choice'!$B$24*AE18</f>
        <v>0</v>
      </c>
      <c r="AO18" s="15">
        <f t="shared" ref="AO18:AS18" si="50">if(isna(VLOOKUP(N18+1,$D$2:$E$10,2,false)),AO17, VLOOKUP(N18+1,$D$2:$E$10,2,false))</f>
        <v>1</v>
      </c>
      <c r="AP18" s="15">
        <f t="shared" si="50"/>
        <v>1</v>
      </c>
      <c r="AQ18" s="15">
        <f t="shared" si="50"/>
        <v>1</v>
      </c>
      <c r="AR18" s="15">
        <f t="shared" si="50"/>
        <v>1</v>
      </c>
      <c r="AS18" s="15">
        <f t="shared" si="50"/>
        <v>1</v>
      </c>
      <c r="AU18" s="11">
        <f t="shared" si="8"/>
        <v>0.00210380953</v>
      </c>
    </row>
    <row r="19" ht="15.75" customHeight="1">
      <c r="A19" s="16">
        <f t="shared" si="4"/>
        <v>0.3089566768</v>
      </c>
      <c r="B19" s="7">
        <f>(sum(AH19:AL19))*'Optimal Choice'!$B$28</f>
        <v>103.38</v>
      </c>
      <c r="C19" s="11"/>
      <c r="D19" s="12"/>
      <c r="E19" s="12"/>
      <c r="F19" s="11"/>
      <c r="G19" s="11">
        <f>(T19/$B19)+(T19/('Optimal Choice'!$B$4*AO19))</f>
        <v>6.71521179</v>
      </c>
      <c r="H19" s="11">
        <f>(U19/$B19)+(U19/('Optimal Choice'!$B$9*AP19))</f>
        <v>7.201429187</v>
      </c>
      <c r="I19" s="11">
        <f>(V19/$B19)+(V19/('Optimal Choice'!$B$14*AQ19))</f>
        <v>17.05964016</v>
      </c>
      <c r="J19" s="11">
        <f>(W19/$B19)+(W19/('Optimal Choice'!$B$19*AR19))</f>
        <v>121.5599304</v>
      </c>
      <c r="K19" s="11">
        <f>(X19/$B19)+(X19/('Optimal Choice'!$B$24*AS19))</f>
        <v>1177.010145</v>
      </c>
      <c r="N19" s="12">
        <f t="shared" ref="N19:R19" si="51">if(min($G18:$K18)=G18,N18+1,N18)</f>
        <v>14</v>
      </c>
      <c r="O19" s="12">
        <f t="shared" si="51"/>
        <v>4</v>
      </c>
      <c r="P19" s="12">
        <f t="shared" si="51"/>
        <v>0</v>
      </c>
      <c r="Q19" s="12">
        <f t="shared" si="51"/>
        <v>0</v>
      </c>
      <c r="R19" s="12">
        <f t="shared" si="51"/>
        <v>0</v>
      </c>
      <c r="T19" s="13">
        <f> 'Optimal Choice'!$B$5*'Optimal Choice'!$B$6^(N19+1)</f>
        <v>11.03612616</v>
      </c>
      <c r="U19" s="13">
        <f> 'Optimal Choice'!$B$10*'Optimal Choice'!$B$11^(O19+1)</f>
        <v>120.6814313</v>
      </c>
      <c r="V19" s="13">
        <f> 'Optimal Choice'!$B$15*'Optimal Choice'!$B$16^(P19+1)</f>
        <v>820.8</v>
      </c>
      <c r="W19" s="13">
        <f> 'Optimal Choice'!$B$20*'Optimal Choice'!$B$21^(Q19+1)</f>
        <v>9763.2</v>
      </c>
      <c r="X19" s="13">
        <f> 'Optimal Choice'!$B$25*'Optimal Choice'!$B$26^(R19+1)</f>
        <v>116121.6</v>
      </c>
      <c r="AA19" s="15">
        <f t="shared" ref="AA19:AE19" si="52">if(isna(VLOOKUP(N19,$D$2:$E$10,2,false)),AA18, VLOOKUP(N19,$D$2:$E$10,2,false))</f>
        <v>1</v>
      </c>
      <c r="AB19" s="15">
        <f t="shared" si="52"/>
        <v>1</v>
      </c>
      <c r="AC19" s="15">
        <f t="shared" si="52"/>
        <v>1</v>
      </c>
      <c r="AD19" s="15">
        <f t="shared" si="52"/>
        <v>1</v>
      </c>
      <c r="AE19" s="15">
        <f t="shared" si="52"/>
        <v>1</v>
      </c>
      <c r="AH19" s="15">
        <f>N19*'Optimal Choice'!$B$4*AA19</f>
        <v>23.38</v>
      </c>
      <c r="AI19" s="15">
        <f>O19*'Optimal Choice'!$B$9*AB19</f>
        <v>80</v>
      </c>
      <c r="AJ19" s="15">
        <f>P19*'Optimal Choice'!$B$14*AC19</f>
        <v>0</v>
      </c>
      <c r="AK19" s="15">
        <f>Q19*'Optimal Choice'!$B$19*AD19</f>
        <v>0</v>
      </c>
      <c r="AL19" s="15">
        <f>R19*'Optimal Choice'!$B$24*AE19</f>
        <v>0</v>
      </c>
      <c r="AO19" s="15">
        <f t="shared" ref="AO19:AS19" si="53">if(isna(VLOOKUP(N19+1,$D$2:$E$10,2,false)),AO18, VLOOKUP(N19+1,$D$2:$E$10,2,false))</f>
        <v>1</v>
      </c>
      <c r="AP19" s="15">
        <f t="shared" si="53"/>
        <v>1</v>
      </c>
      <c r="AQ19" s="15">
        <f t="shared" si="53"/>
        <v>1</v>
      </c>
      <c r="AR19" s="15">
        <f t="shared" si="53"/>
        <v>1</v>
      </c>
      <c r="AS19" s="15">
        <f t="shared" si="53"/>
        <v>1</v>
      </c>
      <c r="AU19" s="11">
        <f t="shared" si="8"/>
        <v>0.02097632826</v>
      </c>
    </row>
    <row r="20" ht="15.75" customHeight="1">
      <c r="A20" s="16">
        <f t="shared" si="4"/>
        <v>0.3107358937</v>
      </c>
      <c r="B20" s="7">
        <f>(sum(AH20:AL20))*'Optimal Choice'!$B$28</f>
        <v>105.05</v>
      </c>
      <c r="C20" s="11"/>
      <c r="D20" s="12"/>
      <c r="E20" s="12"/>
      <c r="F20" s="11"/>
      <c r="G20" s="11">
        <f>(T20/$B20)+(T20/('Optimal Choice'!$B$4*AO20))</f>
        <v>7.183460747</v>
      </c>
      <c r="H20" s="11">
        <f>(U20/$B20)+(U20/('Optimal Choice'!$B$9*AP20))</f>
        <v>7.182871479</v>
      </c>
      <c r="I20" s="11">
        <f>(V20/$B20)+(V20/('Optimal Choice'!$B$14*AQ20))</f>
        <v>16.93342218</v>
      </c>
      <c r="J20" s="11">
        <f>(W20/$B20)+(W20/('Optimal Choice'!$B$19*AR20))</f>
        <v>120.0586007</v>
      </c>
      <c r="K20" s="11">
        <f>(X20/$B20)+(X20/('Optimal Choice'!$B$24*AS20))</f>
        <v>1159.153622</v>
      </c>
      <c r="N20" s="12">
        <f t="shared" ref="N20:R20" si="54">if(min($G19:$K19)=G19,N19+1,N19)</f>
        <v>15</v>
      </c>
      <c r="O20" s="12">
        <f t="shared" si="54"/>
        <v>4</v>
      </c>
      <c r="P20" s="12">
        <f t="shared" si="54"/>
        <v>0</v>
      </c>
      <c r="Q20" s="12">
        <f t="shared" si="54"/>
        <v>0</v>
      </c>
      <c r="R20" s="12">
        <f t="shared" si="54"/>
        <v>0</v>
      </c>
      <c r="T20" s="13">
        <f> 'Optimal Choice'!$B$5*'Optimal Choice'!$B$6^(N20+1)</f>
        <v>11.80865499</v>
      </c>
      <c r="U20" s="13">
        <f> 'Optimal Choice'!$B$10*'Optimal Choice'!$B$11^(O20+1)</f>
        <v>120.6814313</v>
      </c>
      <c r="V20" s="13">
        <f> 'Optimal Choice'!$B$15*'Optimal Choice'!$B$16^(P20+1)</f>
        <v>820.8</v>
      </c>
      <c r="W20" s="13">
        <f> 'Optimal Choice'!$B$20*'Optimal Choice'!$B$21^(Q20+1)</f>
        <v>9763.2</v>
      </c>
      <c r="X20" s="13">
        <f> 'Optimal Choice'!$B$25*'Optimal Choice'!$B$26^(R20+1)</f>
        <v>116121.6</v>
      </c>
      <c r="AA20" s="15">
        <f t="shared" ref="AA20:AE20" si="55">if(isna(VLOOKUP(N20,$D$2:$E$10,2,false)),AA19, VLOOKUP(N20,$D$2:$E$10,2,false))</f>
        <v>1</v>
      </c>
      <c r="AB20" s="15">
        <f t="shared" si="55"/>
        <v>1</v>
      </c>
      <c r="AC20" s="15">
        <f t="shared" si="55"/>
        <v>1</v>
      </c>
      <c r="AD20" s="15">
        <f t="shared" si="55"/>
        <v>1</v>
      </c>
      <c r="AE20" s="15">
        <f t="shared" si="55"/>
        <v>1</v>
      </c>
      <c r="AH20" s="15">
        <f>N20*'Optimal Choice'!$B$4*AA20</f>
        <v>25.05</v>
      </c>
      <c r="AI20" s="15">
        <f>O20*'Optimal Choice'!$B$9*AB20</f>
        <v>80</v>
      </c>
      <c r="AJ20" s="15">
        <f>P20*'Optimal Choice'!$B$14*AC20</f>
        <v>0</v>
      </c>
      <c r="AK20" s="15">
        <f>Q20*'Optimal Choice'!$B$19*AD20</f>
        <v>0</v>
      </c>
      <c r="AL20" s="15">
        <f>R20*'Optimal Choice'!$B$24*AE20</f>
        <v>0</v>
      </c>
      <c r="AO20" s="15">
        <f t="shared" ref="AO20:AS20" si="56">if(isna(VLOOKUP(N20+1,$D$2:$E$10,2,false)),AO19, VLOOKUP(N20+1,$D$2:$E$10,2,false))</f>
        <v>1</v>
      </c>
      <c r="AP20" s="15">
        <f t="shared" si="56"/>
        <v>1</v>
      </c>
      <c r="AQ20" s="15">
        <f t="shared" si="56"/>
        <v>1</v>
      </c>
      <c r="AR20" s="15">
        <f t="shared" si="56"/>
        <v>1</v>
      </c>
      <c r="AS20" s="15">
        <f t="shared" si="56"/>
        <v>1</v>
      </c>
      <c r="AU20" s="11">
        <f t="shared" si="8"/>
        <v>0.001779216832</v>
      </c>
    </row>
    <row r="21" ht="15.75" customHeight="1">
      <c r="A21" s="16">
        <f t="shared" si="4"/>
        <v>0.3298825589</v>
      </c>
      <c r="B21" s="7">
        <f>(sum(AH21:AL21))*'Optimal Choice'!$B$28</f>
        <v>125.05</v>
      </c>
      <c r="C21" s="11"/>
      <c r="D21" s="12"/>
      <c r="E21" s="12"/>
      <c r="F21" s="11"/>
      <c r="G21" s="11">
        <f>(T21/$B21)+(T21/('Optimal Choice'!$B$4*AO21))</f>
        <v>7.165482362</v>
      </c>
      <c r="H21" s="11">
        <f>(U21/$B21)+(U21/('Optimal Choice'!$B$9*AP21))</f>
        <v>8.049007534</v>
      </c>
      <c r="I21" s="11">
        <f>(V21/$B21)+(V21/('Optimal Choice'!$B$14*AQ21))</f>
        <v>15.68377449</v>
      </c>
      <c r="J21" s="11">
        <f>(W21/$B21)+(W21/('Optimal Choice'!$B$19*AR21))</f>
        <v>105.1943703</v>
      </c>
      <c r="K21" s="11">
        <f>(X21/$B21)+(X21/('Optimal Choice'!$B$24*AS21))</f>
        <v>982.3613595</v>
      </c>
      <c r="N21" s="12">
        <f t="shared" ref="N21:R21" si="57">if(min($G20:$K20)=G20,N20+1,N20)</f>
        <v>15</v>
      </c>
      <c r="O21" s="12">
        <f t="shared" si="57"/>
        <v>5</v>
      </c>
      <c r="P21" s="12">
        <f t="shared" si="57"/>
        <v>0</v>
      </c>
      <c r="Q21" s="12">
        <f t="shared" si="57"/>
        <v>0</v>
      </c>
      <c r="R21" s="12">
        <f t="shared" si="57"/>
        <v>0</v>
      </c>
      <c r="T21" s="13">
        <f> 'Optimal Choice'!$B$5*'Optimal Choice'!$B$6^(N21+1)</f>
        <v>11.80865499</v>
      </c>
      <c r="U21" s="13">
        <f> 'Optimal Choice'!$B$10*'Optimal Choice'!$B$11^(O21+1)</f>
        <v>138.7836459</v>
      </c>
      <c r="V21" s="13">
        <f> 'Optimal Choice'!$B$15*'Optimal Choice'!$B$16^(P21+1)</f>
        <v>820.8</v>
      </c>
      <c r="W21" s="13">
        <f> 'Optimal Choice'!$B$20*'Optimal Choice'!$B$21^(Q21+1)</f>
        <v>9763.2</v>
      </c>
      <c r="X21" s="13">
        <f> 'Optimal Choice'!$B$25*'Optimal Choice'!$B$26^(R21+1)</f>
        <v>116121.6</v>
      </c>
      <c r="AA21" s="15">
        <f t="shared" ref="AA21:AE21" si="58">if(isna(VLOOKUP(N21,$D$2:$E$10,2,false)),AA20, VLOOKUP(N21,$D$2:$E$10,2,false))</f>
        <v>1</v>
      </c>
      <c r="AB21" s="15">
        <f t="shared" si="58"/>
        <v>1</v>
      </c>
      <c r="AC21" s="15">
        <f t="shared" si="58"/>
        <v>1</v>
      </c>
      <c r="AD21" s="15">
        <f t="shared" si="58"/>
        <v>1</v>
      </c>
      <c r="AE21" s="15">
        <f t="shared" si="58"/>
        <v>1</v>
      </c>
      <c r="AH21" s="15">
        <f>N21*'Optimal Choice'!$B$4*AA21</f>
        <v>25.05</v>
      </c>
      <c r="AI21" s="15">
        <f>O21*'Optimal Choice'!$B$9*AB21</f>
        <v>100</v>
      </c>
      <c r="AJ21" s="15">
        <f>P21*'Optimal Choice'!$B$14*AC21</f>
        <v>0</v>
      </c>
      <c r="AK21" s="15">
        <f>Q21*'Optimal Choice'!$B$19*AD21</f>
        <v>0</v>
      </c>
      <c r="AL21" s="15">
        <f>R21*'Optimal Choice'!$B$24*AE21</f>
        <v>0</v>
      </c>
      <c r="AO21" s="15">
        <f t="shared" ref="AO21:AS21" si="59">if(isna(VLOOKUP(N21+1,$D$2:$E$10,2,false)),AO20, VLOOKUP(N21+1,$D$2:$E$10,2,false))</f>
        <v>1</v>
      </c>
      <c r="AP21" s="15">
        <f t="shared" si="59"/>
        <v>1</v>
      </c>
      <c r="AQ21" s="15">
        <f t="shared" si="59"/>
        <v>1</v>
      </c>
      <c r="AR21" s="15">
        <f t="shared" si="59"/>
        <v>1</v>
      </c>
      <c r="AS21" s="15">
        <f t="shared" si="59"/>
        <v>1</v>
      </c>
      <c r="AU21" s="11">
        <f t="shared" si="8"/>
        <v>0.01914666528</v>
      </c>
    </row>
    <row r="22" ht="15.75" customHeight="1">
      <c r="A22" s="16">
        <f t="shared" si="4"/>
        <v>0.3314564167</v>
      </c>
      <c r="B22" s="7">
        <f>(sum(AH22:AL22))*'Optimal Choice'!$B$28</f>
        <v>126.72</v>
      </c>
      <c r="C22" s="11"/>
      <c r="D22" s="12"/>
      <c r="E22" s="12"/>
      <c r="F22" s="11"/>
      <c r="G22" s="11">
        <f>(T22/$B22)+(T22/('Optimal Choice'!$B$4*AO22))</f>
        <v>7.665734534</v>
      </c>
      <c r="H22" s="11">
        <f>(U22/$B22)+(U22/('Optimal Choice'!$B$9*AP22))</f>
        <v>8.034381523</v>
      </c>
      <c r="I22" s="11">
        <f>(V22/$B22)+(V22/('Optimal Choice'!$B$14*AQ22))</f>
        <v>15.59727273</v>
      </c>
      <c r="J22" s="11">
        <f>(W22/$B22)+(W22/('Optimal Choice'!$B$19*AR22))</f>
        <v>104.1654545</v>
      </c>
      <c r="K22" s="11">
        <f>(X22/$B22)+(X22/('Optimal Choice'!$B$24*AS22))</f>
        <v>970.1236364</v>
      </c>
      <c r="N22" s="12">
        <f t="shared" ref="N22:R22" si="60">if(min($G21:$K21)=G21,N21+1,N21)</f>
        <v>16</v>
      </c>
      <c r="O22" s="12">
        <f t="shared" si="60"/>
        <v>5</v>
      </c>
      <c r="P22" s="12">
        <f t="shared" si="60"/>
        <v>0</v>
      </c>
      <c r="Q22" s="12">
        <f t="shared" si="60"/>
        <v>0</v>
      </c>
      <c r="R22" s="12">
        <f t="shared" si="60"/>
        <v>0</v>
      </c>
      <c r="T22" s="13">
        <f> 'Optimal Choice'!$B$5*'Optimal Choice'!$B$6^(N22+1)</f>
        <v>12.63526084</v>
      </c>
      <c r="U22" s="13">
        <f> 'Optimal Choice'!$B$10*'Optimal Choice'!$B$11^(O22+1)</f>
        <v>138.7836459</v>
      </c>
      <c r="V22" s="13">
        <f> 'Optimal Choice'!$B$15*'Optimal Choice'!$B$16^(P22+1)</f>
        <v>820.8</v>
      </c>
      <c r="W22" s="13">
        <f> 'Optimal Choice'!$B$20*'Optimal Choice'!$B$21^(Q22+1)</f>
        <v>9763.2</v>
      </c>
      <c r="X22" s="13">
        <f> 'Optimal Choice'!$B$25*'Optimal Choice'!$B$26^(R22+1)</f>
        <v>116121.6</v>
      </c>
      <c r="AA22" s="15">
        <f t="shared" ref="AA22:AE22" si="61">if(isna(VLOOKUP(N22,$D$2:$E$10,2,false)),AA21, VLOOKUP(N22,$D$2:$E$10,2,false))</f>
        <v>1</v>
      </c>
      <c r="AB22" s="15">
        <f t="shared" si="61"/>
        <v>1</v>
      </c>
      <c r="AC22" s="15">
        <f t="shared" si="61"/>
        <v>1</v>
      </c>
      <c r="AD22" s="15">
        <f t="shared" si="61"/>
        <v>1</v>
      </c>
      <c r="AE22" s="15">
        <f t="shared" si="61"/>
        <v>1</v>
      </c>
      <c r="AH22" s="15">
        <f>N22*'Optimal Choice'!$B$4*AA22</f>
        <v>26.72</v>
      </c>
      <c r="AI22" s="15">
        <f>O22*'Optimal Choice'!$B$9*AB22</f>
        <v>100</v>
      </c>
      <c r="AJ22" s="15">
        <f>P22*'Optimal Choice'!$B$14*AC22</f>
        <v>0</v>
      </c>
      <c r="AK22" s="15">
        <f>Q22*'Optimal Choice'!$B$19*AD22</f>
        <v>0</v>
      </c>
      <c r="AL22" s="15">
        <f>R22*'Optimal Choice'!$B$24*AE22</f>
        <v>0</v>
      </c>
      <c r="AO22" s="15">
        <f t="shared" ref="AO22:AS22" si="62">if(isna(VLOOKUP(N22+1,$D$2:$E$10,2,false)),AO21, VLOOKUP(N22+1,$D$2:$E$10,2,false))</f>
        <v>1</v>
      </c>
      <c r="AP22" s="15">
        <f t="shared" si="62"/>
        <v>1</v>
      </c>
      <c r="AQ22" s="15">
        <f t="shared" si="62"/>
        <v>1</v>
      </c>
      <c r="AR22" s="15">
        <f t="shared" si="62"/>
        <v>1</v>
      </c>
      <c r="AS22" s="15">
        <f t="shared" si="62"/>
        <v>1</v>
      </c>
      <c r="AU22" s="11">
        <f t="shared" si="8"/>
        <v>0.001573857789</v>
      </c>
    </row>
    <row r="23" ht="15.75" customHeight="1">
      <c r="A23" s="16">
        <f t="shared" si="4"/>
        <v>0.3331182513</v>
      </c>
      <c r="B23" s="7">
        <f>(sum(AH23:AL23))*'Optimal Choice'!$B$28</f>
        <v>128.39</v>
      </c>
      <c r="C23" s="11"/>
      <c r="D23" s="12"/>
      <c r="E23" s="12"/>
      <c r="F23" s="11"/>
      <c r="G23" s="11">
        <f>(T23/$B23)+(T23/('Optimal Choice'!$B$4*AO23))</f>
        <v>8.200948211</v>
      </c>
      <c r="H23" s="11">
        <f>(U23/$B23)+(U23/('Optimal Choice'!$B$9*AP23))</f>
        <v>8.020136</v>
      </c>
      <c r="I23" s="11">
        <f>(V23/$B23)+(V23/('Optimal Choice'!$B$14*AQ23))</f>
        <v>15.51302126</v>
      </c>
      <c r="J23" s="11">
        <f>(W23/$B23)+(W23/('Optimal Choice'!$B$19*AR23))</f>
        <v>103.1633056</v>
      </c>
      <c r="K23" s="11">
        <f>(X23/$B23)+(X23/('Optimal Choice'!$B$24*AS23))</f>
        <v>958.2042714</v>
      </c>
      <c r="N23" s="12">
        <f t="shared" ref="N23:R23" si="63">if(min($G22:$K22)=G22,N22+1,N22)</f>
        <v>17</v>
      </c>
      <c r="O23" s="12">
        <f t="shared" si="63"/>
        <v>5</v>
      </c>
      <c r="P23" s="12">
        <f t="shared" si="63"/>
        <v>0</v>
      </c>
      <c r="Q23" s="12">
        <f t="shared" si="63"/>
        <v>0</v>
      </c>
      <c r="R23" s="12">
        <f t="shared" si="63"/>
        <v>0</v>
      </c>
      <c r="T23" s="13">
        <f> 'Optimal Choice'!$B$5*'Optimal Choice'!$B$6^(N23+1)</f>
        <v>13.5197291</v>
      </c>
      <c r="U23" s="13">
        <f> 'Optimal Choice'!$B$10*'Optimal Choice'!$B$11^(O23+1)</f>
        <v>138.7836459</v>
      </c>
      <c r="V23" s="13">
        <f> 'Optimal Choice'!$B$15*'Optimal Choice'!$B$16^(P23+1)</f>
        <v>820.8</v>
      </c>
      <c r="W23" s="13">
        <f> 'Optimal Choice'!$B$20*'Optimal Choice'!$B$21^(Q23+1)</f>
        <v>9763.2</v>
      </c>
      <c r="X23" s="13">
        <f> 'Optimal Choice'!$B$25*'Optimal Choice'!$B$26^(R23+1)</f>
        <v>116121.6</v>
      </c>
      <c r="AA23" s="15">
        <f t="shared" ref="AA23:AE23" si="64">if(isna(VLOOKUP(N23,$D$2:$E$10,2,false)),AA22, VLOOKUP(N23,$D$2:$E$10,2,false))</f>
        <v>1</v>
      </c>
      <c r="AB23" s="15">
        <f t="shared" si="64"/>
        <v>1</v>
      </c>
      <c r="AC23" s="15">
        <f t="shared" si="64"/>
        <v>1</v>
      </c>
      <c r="AD23" s="15">
        <f t="shared" si="64"/>
        <v>1</v>
      </c>
      <c r="AE23" s="15">
        <f t="shared" si="64"/>
        <v>1</v>
      </c>
      <c r="AH23" s="15">
        <f>N23*'Optimal Choice'!$B$4*AA23</f>
        <v>28.39</v>
      </c>
      <c r="AI23" s="15">
        <f>O23*'Optimal Choice'!$B$9*AB23</f>
        <v>100</v>
      </c>
      <c r="AJ23" s="15">
        <f>P23*'Optimal Choice'!$B$14*AC23</f>
        <v>0</v>
      </c>
      <c r="AK23" s="15">
        <f>Q23*'Optimal Choice'!$B$19*AD23</f>
        <v>0</v>
      </c>
      <c r="AL23" s="15">
        <f>R23*'Optimal Choice'!$B$24*AE23</f>
        <v>0</v>
      </c>
      <c r="AO23" s="15">
        <f t="shared" ref="AO23:AS23" si="65">if(isna(VLOOKUP(N23+1,$D$2:$E$10,2,false)),AO22, VLOOKUP(N23+1,$D$2:$E$10,2,false))</f>
        <v>1</v>
      </c>
      <c r="AP23" s="15">
        <f t="shared" si="65"/>
        <v>1</v>
      </c>
      <c r="AQ23" s="15">
        <f t="shared" si="65"/>
        <v>1</v>
      </c>
      <c r="AR23" s="15">
        <f t="shared" si="65"/>
        <v>1</v>
      </c>
      <c r="AS23" s="15">
        <f t="shared" si="65"/>
        <v>1</v>
      </c>
      <c r="AU23" s="11">
        <f t="shared" si="8"/>
        <v>0.001661834602</v>
      </c>
    </row>
    <row r="24" ht="15.75" customHeight="1">
      <c r="A24" s="16">
        <f t="shared" si="4"/>
        <v>0.3511341464</v>
      </c>
      <c r="B24" s="7">
        <f>(sum(AH24:AL24))*'Optimal Choice'!$B$28</f>
        <v>148.39</v>
      </c>
      <c r="C24" s="11"/>
      <c r="D24" s="12"/>
      <c r="E24" s="12"/>
      <c r="F24" s="11"/>
      <c r="G24" s="11">
        <f>(T24/$B24)+(T24/('Optimal Choice'!$B$4*AO24))</f>
        <v>8.186755605</v>
      </c>
      <c r="H24" s="11">
        <f>(U24/$B24)+(U24/('Optimal Choice'!$B$9*AP24))</f>
        <v>9.055611854</v>
      </c>
      <c r="I24" s="11">
        <f>(V24/$B24)+(V24/('Optimal Choice'!$B$14*AQ24))</f>
        <v>14.65137004</v>
      </c>
      <c r="J24" s="11">
        <f>(W24/$B24)+(W24/('Optimal Choice'!$B$19*AR24))</f>
        <v>92.91419098</v>
      </c>
      <c r="K24" s="11">
        <f>(X24/$B24)+(X24/('Optimal Choice'!$B$24*AS24))</f>
        <v>836.3032981</v>
      </c>
      <c r="N24" s="12">
        <f t="shared" ref="N24:R24" si="66">if(min($G23:$K23)=G23,N23+1,N23)</f>
        <v>17</v>
      </c>
      <c r="O24" s="12">
        <f t="shared" si="66"/>
        <v>6</v>
      </c>
      <c r="P24" s="12">
        <f t="shared" si="66"/>
        <v>0</v>
      </c>
      <c r="Q24" s="12">
        <f t="shared" si="66"/>
        <v>0</v>
      </c>
      <c r="R24" s="12">
        <f t="shared" si="66"/>
        <v>0</v>
      </c>
      <c r="T24" s="13">
        <f> 'Optimal Choice'!$B$5*'Optimal Choice'!$B$6^(N24+1)</f>
        <v>13.5197291</v>
      </c>
      <c r="U24" s="13">
        <f> 'Optimal Choice'!$B$10*'Optimal Choice'!$B$11^(O24+1)</f>
        <v>159.6011928</v>
      </c>
      <c r="V24" s="13">
        <f> 'Optimal Choice'!$B$15*'Optimal Choice'!$B$16^(P24+1)</f>
        <v>820.8</v>
      </c>
      <c r="W24" s="13">
        <f> 'Optimal Choice'!$B$20*'Optimal Choice'!$B$21^(Q24+1)</f>
        <v>9763.2</v>
      </c>
      <c r="X24" s="13">
        <f> 'Optimal Choice'!$B$25*'Optimal Choice'!$B$26^(R24+1)</f>
        <v>116121.6</v>
      </c>
      <c r="AA24" s="15">
        <f t="shared" ref="AA24:AE24" si="67">if(isna(VLOOKUP(N24,$D$2:$E$10,2,false)),AA23, VLOOKUP(N24,$D$2:$E$10,2,false))</f>
        <v>1</v>
      </c>
      <c r="AB24" s="15">
        <f t="shared" si="67"/>
        <v>1</v>
      </c>
      <c r="AC24" s="15">
        <f t="shared" si="67"/>
        <v>1</v>
      </c>
      <c r="AD24" s="15">
        <f t="shared" si="67"/>
        <v>1</v>
      </c>
      <c r="AE24" s="15">
        <f t="shared" si="67"/>
        <v>1</v>
      </c>
      <c r="AH24" s="15">
        <f>N24*'Optimal Choice'!$B$4*AA24</f>
        <v>28.39</v>
      </c>
      <c r="AI24" s="15">
        <f>O24*'Optimal Choice'!$B$9*AB24</f>
        <v>120</v>
      </c>
      <c r="AJ24" s="15">
        <f>P24*'Optimal Choice'!$B$14*AC24</f>
        <v>0</v>
      </c>
      <c r="AK24" s="15">
        <f>Q24*'Optimal Choice'!$B$19*AD24</f>
        <v>0</v>
      </c>
      <c r="AL24" s="15">
        <f>R24*'Optimal Choice'!$B$24*AE24</f>
        <v>0</v>
      </c>
      <c r="AO24" s="15">
        <f t="shared" ref="AO24:AS24" si="68">if(isna(VLOOKUP(N24+1,$D$2:$E$10,2,false)),AO23, VLOOKUP(N24+1,$D$2:$E$10,2,false))</f>
        <v>1</v>
      </c>
      <c r="AP24" s="15">
        <f t="shared" si="68"/>
        <v>1</v>
      </c>
      <c r="AQ24" s="15">
        <f t="shared" si="68"/>
        <v>1</v>
      </c>
      <c r="AR24" s="15">
        <f t="shared" si="68"/>
        <v>1</v>
      </c>
      <c r="AS24" s="15">
        <f t="shared" si="68"/>
        <v>1</v>
      </c>
      <c r="AU24" s="11">
        <f t="shared" si="8"/>
        <v>0.01801589505</v>
      </c>
    </row>
    <row r="25" ht="15.75" customHeight="1">
      <c r="A25" s="16">
        <f t="shared" si="4"/>
        <v>0.352652637</v>
      </c>
      <c r="B25" s="7">
        <f>(sum(AH25:AL25))*'Optimal Choice'!$B$28</f>
        <v>150.06</v>
      </c>
      <c r="C25" s="11"/>
      <c r="D25" s="12"/>
      <c r="E25" s="12"/>
      <c r="F25" s="11"/>
      <c r="G25" s="11">
        <f>(T25/$B25)+(T25/('Optimal Choice'!$B$4*AO25))</f>
        <v>8.758743575</v>
      </c>
      <c r="H25" s="11">
        <f>(U25/$B25)+(U25/('Optimal Choice'!$B$9*AP25))</f>
        <v>9.043642161</v>
      </c>
      <c r="I25" s="11">
        <f>(V25/$B25)+(V25/('Optimal Choice'!$B$14*AQ25))</f>
        <v>14.58981208</v>
      </c>
      <c r="J25" s="11">
        <f>(W25/$B25)+(W25/('Optimal Choice'!$B$19*AR25))</f>
        <v>92.18197521</v>
      </c>
      <c r="K25" s="11">
        <f>(X25/$B25)+(X25/('Optimal Choice'!$B$24*AS25))</f>
        <v>827.5944662</v>
      </c>
      <c r="N25" s="12">
        <f t="shared" ref="N25:R25" si="69">if(min($G24:$K24)=G24,N24+1,N24)</f>
        <v>18</v>
      </c>
      <c r="O25" s="12">
        <f t="shared" si="69"/>
        <v>6</v>
      </c>
      <c r="P25" s="12">
        <f t="shared" si="69"/>
        <v>0</v>
      </c>
      <c r="Q25" s="12">
        <f t="shared" si="69"/>
        <v>0</v>
      </c>
      <c r="R25" s="12">
        <f t="shared" si="69"/>
        <v>0</v>
      </c>
      <c r="T25" s="13">
        <f> 'Optimal Choice'!$B$5*'Optimal Choice'!$B$6^(N25+1)</f>
        <v>14.46611014</v>
      </c>
      <c r="U25" s="13">
        <f> 'Optimal Choice'!$B$10*'Optimal Choice'!$B$11^(O25+1)</f>
        <v>159.6011928</v>
      </c>
      <c r="V25" s="13">
        <f> 'Optimal Choice'!$B$15*'Optimal Choice'!$B$16^(P25+1)</f>
        <v>820.8</v>
      </c>
      <c r="W25" s="13">
        <f> 'Optimal Choice'!$B$20*'Optimal Choice'!$B$21^(Q25+1)</f>
        <v>9763.2</v>
      </c>
      <c r="X25" s="13">
        <f> 'Optimal Choice'!$B$25*'Optimal Choice'!$B$26^(R25+1)</f>
        <v>116121.6</v>
      </c>
      <c r="AA25" s="15">
        <f t="shared" ref="AA25:AE25" si="70">if(isna(VLOOKUP(N25,$D$2:$E$10,2,false)),AA24, VLOOKUP(N25,$D$2:$E$10,2,false))</f>
        <v>1</v>
      </c>
      <c r="AB25" s="15">
        <f t="shared" si="70"/>
        <v>1</v>
      </c>
      <c r="AC25" s="15">
        <f t="shared" si="70"/>
        <v>1</v>
      </c>
      <c r="AD25" s="15">
        <f t="shared" si="70"/>
        <v>1</v>
      </c>
      <c r="AE25" s="15">
        <f t="shared" si="70"/>
        <v>1</v>
      </c>
      <c r="AH25" s="15">
        <f>N25*'Optimal Choice'!$B$4*AA25</f>
        <v>30.06</v>
      </c>
      <c r="AI25" s="15">
        <f>O25*'Optimal Choice'!$B$9*AB25</f>
        <v>120</v>
      </c>
      <c r="AJ25" s="15">
        <f>P25*'Optimal Choice'!$B$14*AC25</f>
        <v>0</v>
      </c>
      <c r="AK25" s="15">
        <f>Q25*'Optimal Choice'!$B$19*AD25</f>
        <v>0</v>
      </c>
      <c r="AL25" s="15">
        <f>R25*'Optimal Choice'!$B$24*AE25</f>
        <v>0</v>
      </c>
      <c r="AO25" s="15">
        <f t="shared" ref="AO25:AS25" si="71">if(isna(VLOOKUP(N25+1,$D$2:$E$10,2,false)),AO24, VLOOKUP(N25+1,$D$2:$E$10,2,false))</f>
        <v>1</v>
      </c>
      <c r="AP25" s="15">
        <f t="shared" si="71"/>
        <v>1</v>
      </c>
      <c r="AQ25" s="15">
        <f t="shared" si="71"/>
        <v>1</v>
      </c>
      <c r="AR25" s="15">
        <f t="shared" si="71"/>
        <v>1</v>
      </c>
      <c r="AS25" s="15">
        <f t="shared" si="71"/>
        <v>1</v>
      </c>
      <c r="AU25" s="11">
        <f t="shared" si="8"/>
        <v>0.001518490588</v>
      </c>
    </row>
    <row r="26" ht="15.75" customHeight="1">
      <c r="A26" s="16">
        <f t="shared" si="4"/>
        <v>0.3542593399</v>
      </c>
      <c r="B26" s="7">
        <f>(sum(AH26:AL26))*'Optimal Choice'!$B$28</f>
        <v>151.73</v>
      </c>
      <c r="C26" s="11"/>
      <c r="D26" s="12"/>
      <c r="E26" s="12"/>
      <c r="F26" s="11"/>
      <c r="G26" s="11">
        <f>(T26/$B26)+(T26/('Optimal Choice'!$B$4*AO26))</f>
        <v>9.370720312</v>
      </c>
      <c r="H26" s="11">
        <f>(U26/$B26)+(U26/('Optimal Choice'!$B$9*AP26))</f>
        <v>9.031935953</v>
      </c>
      <c r="I26" s="11">
        <f>(V26/$B26)+(V26/('Optimal Choice'!$B$14*AQ26))</f>
        <v>14.52960917</v>
      </c>
      <c r="J26" s="11">
        <f>(W26/$B26)+(W26/('Optimal Choice'!$B$19*AR26))</f>
        <v>91.46587755</v>
      </c>
      <c r="K26" s="11">
        <f>(X26/$B26)+(X26/('Optimal Choice'!$B$24*AS26))</f>
        <v>819.07734</v>
      </c>
      <c r="N26" s="12">
        <f t="shared" ref="N26:R26" si="72">if(min($G25:$K25)=G25,N25+1,N25)</f>
        <v>19</v>
      </c>
      <c r="O26" s="12">
        <f t="shared" si="72"/>
        <v>6</v>
      </c>
      <c r="P26" s="12">
        <f t="shared" si="72"/>
        <v>0</v>
      </c>
      <c r="Q26" s="12">
        <f t="shared" si="72"/>
        <v>0</v>
      </c>
      <c r="R26" s="12">
        <f t="shared" si="72"/>
        <v>0</v>
      </c>
      <c r="T26" s="13">
        <f> 'Optimal Choice'!$B$5*'Optimal Choice'!$B$6^(N26+1)</f>
        <v>15.47873785</v>
      </c>
      <c r="U26" s="13">
        <f> 'Optimal Choice'!$B$10*'Optimal Choice'!$B$11^(O26+1)</f>
        <v>159.6011928</v>
      </c>
      <c r="V26" s="13">
        <f> 'Optimal Choice'!$B$15*'Optimal Choice'!$B$16^(P26+1)</f>
        <v>820.8</v>
      </c>
      <c r="W26" s="13">
        <f> 'Optimal Choice'!$B$20*'Optimal Choice'!$B$21^(Q26+1)</f>
        <v>9763.2</v>
      </c>
      <c r="X26" s="13">
        <f> 'Optimal Choice'!$B$25*'Optimal Choice'!$B$26^(R26+1)</f>
        <v>116121.6</v>
      </c>
      <c r="AA26" s="15">
        <f t="shared" ref="AA26:AE26" si="73">if(isna(VLOOKUP(N26,$D$2:$E$10,2,false)),AA25, VLOOKUP(N26,$D$2:$E$10,2,false))</f>
        <v>1</v>
      </c>
      <c r="AB26" s="15">
        <f t="shared" si="73"/>
        <v>1</v>
      </c>
      <c r="AC26" s="15">
        <f t="shared" si="73"/>
        <v>1</v>
      </c>
      <c r="AD26" s="15">
        <f t="shared" si="73"/>
        <v>1</v>
      </c>
      <c r="AE26" s="15">
        <f t="shared" si="73"/>
        <v>1</v>
      </c>
      <c r="AH26" s="15">
        <f>N26*'Optimal Choice'!$B$4*AA26</f>
        <v>31.73</v>
      </c>
      <c r="AI26" s="15">
        <f>O26*'Optimal Choice'!$B$9*AB26</f>
        <v>120</v>
      </c>
      <c r="AJ26" s="15">
        <f>P26*'Optimal Choice'!$B$14*AC26</f>
        <v>0</v>
      </c>
      <c r="AK26" s="15">
        <f>Q26*'Optimal Choice'!$B$19*AD26</f>
        <v>0</v>
      </c>
      <c r="AL26" s="15">
        <f>R26*'Optimal Choice'!$B$24*AE26</f>
        <v>0</v>
      </c>
      <c r="AO26" s="15">
        <f t="shared" ref="AO26:AS26" si="74">if(isna(VLOOKUP(N26+1,$D$2:$E$10,2,false)),AO25, VLOOKUP(N26+1,$D$2:$E$10,2,false))</f>
        <v>1</v>
      </c>
      <c r="AP26" s="15">
        <f t="shared" si="74"/>
        <v>1</v>
      </c>
      <c r="AQ26" s="15">
        <f t="shared" si="74"/>
        <v>1</v>
      </c>
      <c r="AR26" s="15">
        <f t="shared" si="74"/>
        <v>1</v>
      </c>
      <c r="AS26" s="15">
        <f t="shared" si="74"/>
        <v>1</v>
      </c>
      <c r="AU26" s="11">
        <f t="shared" si="8"/>
        <v>0.00160670289</v>
      </c>
    </row>
    <row r="27" ht="15.75" customHeight="1">
      <c r="A27" s="16">
        <f t="shared" si="4"/>
        <v>0.3717906117</v>
      </c>
      <c r="B27" s="7">
        <f>(sum(AH27:AL27))*'Optimal Choice'!$B$28</f>
        <v>171.73</v>
      </c>
      <c r="C27" s="11"/>
      <c r="D27" s="12"/>
      <c r="E27" s="12"/>
      <c r="F27" s="11"/>
      <c r="G27" s="11">
        <f>(T27/$B27)+(T27/('Optimal Choice'!$B$4*AO27))</f>
        <v>9.358839451</v>
      </c>
      <c r="H27" s="11">
        <f>(U27/$B27)+(U27/('Optimal Choice'!$B$9*AP27))</f>
        <v>10.24584732</v>
      </c>
      <c r="I27" s="11">
        <f>(V27/$B27)+(V27/('Optimal Choice'!$B$14*AQ27))</f>
        <v>13.89959588</v>
      </c>
      <c r="J27" s="11">
        <f>(W27/$B27)+(W27/('Optimal Choice'!$B$19*AR27))</f>
        <v>83.97203517</v>
      </c>
      <c r="K27" s="11">
        <f>(X27/$B27)+(X27/('Optimal Choice'!$B$24*AS27))</f>
        <v>729.9470378</v>
      </c>
      <c r="N27" s="12">
        <f t="shared" ref="N27:R27" si="75">if(min($G26:$K26)=G26,N26+1,N26)</f>
        <v>19</v>
      </c>
      <c r="O27" s="12">
        <f t="shared" si="75"/>
        <v>7</v>
      </c>
      <c r="P27" s="12">
        <f t="shared" si="75"/>
        <v>0</v>
      </c>
      <c r="Q27" s="12">
        <f t="shared" si="75"/>
        <v>0</v>
      </c>
      <c r="R27" s="12">
        <f t="shared" si="75"/>
        <v>0</v>
      </c>
      <c r="T27" s="13">
        <f> 'Optimal Choice'!$B$5*'Optimal Choice'!$B$6^(N27+1)</f>
        <v>15.47873785</v>
      </c>
      <c r="U27" s="13">
        <f> 'Optimal Choice'!$B$10*'Optimal Choice'!$B$11^(O27+1)</f>
        <v>183.5413718</v>
      </c>
      <c r="V27" s="13">
        <f> 'Optimal Choice'!$B$15*'Optimal Choice'!$B$16^(P27+1)</f>
        <v>820.8</v>
      </c>
      <c r="W27" s="13">
        <f> 'Optimal Choice'!$B$20*'Optimal Choice'!$B$21^(Q27+1)</f>
        <v>9763.2</v>
      </c>
      <c r="X27" s="13">
        <f> 'Optimal Choice'!$B$25*'Optimal Choice'!$B$26^(R27+1)</f>
        <v>116121.6</v>
      </c>
      <c r="AA27" s="15">
        <f t="shared" ref="AA27:AE27" si="76">if(isna(VLOOKUP(N27,$D$2:$E$10,2,false)),AA26, VLOOKUP(N27,$D$2:$E$10,2,false))</f>
        <v>1</v>
      </c>
      <c r="AB27" s="15">
        <f t="shared" si="76"/>
        <v>1</v>
      </c>
      <c r="AC27" s="15">
        <f t="shared" si="76"/>
        <v>1</v>
      </c>
      <c r="AD27" s="15">
        <f t="shared" si="76"/>
        <v>1</v>
      </c>
      <c r="AE27" s="15">
        <f t="shared" si="76"/>
        <v>1</v>
      </c>
      <c r="AH27" s="15">
        <f>N27*'Optimal Choice'!$B$4*AA27</f>
        <v>31.73</v>
      </c>
      <c r="AI27" s="15">
        <f>O27*'Optimal Choice'!$B$9*AB27</f>
        <v>140</v>
      </c>
      <c r="AJ27" s="15">
        <f>P27*'Optimal Choice'!$B$14*AC27</f>
        <v>0</v>
      </c>
      <c r="AK27" s="15">
        <f>Q27*'Optimal Choice'!$B$19*AD27</f>
        <v>0</v>
      </c>
      <c r="AL27" s="15">
        <f>R27*'Optimal Choice'!$B$24*AE27</f>
        <v>0</v>
      </c>
      <c r="AO27" s="15">
        <f t="shared" ref="AO27:AS27" si="77">if(isna(VLOOKUP(N27+1,$D$2:$E$10,2,false)),AO26, VLOOKUP(N27+1,$D$2:$E$10,2,false))</f>
        <v>1</v>
      </c>
      <c r="AP27" s="15">
        <f t="shared" si="77"/>
        <v>1</v>
      </c>
      <c r="AQ27" s="15">
        <f t="shared" si="77"/>
        <v>1</v>
      </c>
      <c r="AR27" s="15">
        <f t="shared" si="77"/>
        <v>1</v>
      </c>
      <c r="AS27" s="15">
        <f t="shared" si="77"/>
        <v>1</v>
      </c>
      <c r="AU27" s="11">
        <f t="shared" si="8"/>
        <v>0.01753127187</v>
      </c>
    </row>
    <row r="28" ht="15.75" customHeight="1">
      <c r="A28" s="16">
        <f t="shared" si="4"/>
        <v>0.3732928476</v>
      </c>
      <c r="B28" s="7">
        <f>(sum(AH28:AL28))*'Optimal Choice'!$B$28</f>
        <v>173.4</v>
      </c>
      <c r="C28" s="11"/>
      <c r="D28" s="12"/>
      <c r="E28" s="12"/>
      <c r="F28" s="11"/>
      <c r="G28" s="11">
        <f>(T28/$B28)+(T28/('Optimal Choice'!$B$4*AO28))</f>
        <v>10.01302937</v>
      </c>
      <c r="H28" s="11">
        <f>(U28/$B28)+(U28/('Optimal Choice'!$B$9*AP28))</f>
        <v>10.23555401</v>
      </c>
      <c r="I28" s="11">
        <f>(V28/$B28)+(V28/('Optimal Choice'!$B$14*AQ28))</f>
        <v>13.85356401</v>
      </c>
      <c r="J28" s="11">
        <f>(W28/$B28)+(W28/('Optimal Choice'!$B$19*AR28))</f>
        <v>83.42449827</v>
      </c>
      <c r="K28" s="11">
        <f>(X28/$B28)+(X28/('Optimal Choice'!$B$24*AS28))</f>
        <v>723.4347405</v>
      </c>
      <c r="N28" s="12">
        <f t="shared" ref="N28:R28" si="78">if(min($G27:$K27)=G27,N27+1,N27)</f>
        <v>20</v>
      </c>
      <c r="O28" s="12">
        <f t="shared" si="78"/>
        <v>7</v>
      </c>
      <c r="P28" s="12">
        <f t="shared" si="78"/>
        <v>0</v>
      </c>
      <c r="Q28" s="12">
        <f t="shared" si="78"/>
        <v>0</v>
      </c>
      <c r="R28" s="12">
        <f t="shared" si="78"/>
        <v>0</v>
      </c>
      <c r="T28" s="13">
        <f> 'Optimal Choice'!$B$5*'Optimal Choice'!$B$6^(N28+1)</f>
        <v>16.5622495</v>
      </c>
      <c r="U28" s="13">
        <f> 'Optimal Choice'!$B$10*'Optimal Choice'!$B$11^(O28+1)</f>
        <v>183.5413718</v>
      </c>
      <c r="V28" s="13">
        <f> 'Optimal Choice'!$B$15*'Optimal Choice'!$B$16^(P28+1)</f>
        <v>820.8</v>
      </c>
      <c r="W28" s="13">
        <f> 'Optimal Choice'!$B$20*'Optimal Choice'!$B$21^(Q28+1)</f>
        <v>9763.2</v>
      </c>
      <c r="X28" s="13">
        <f> 'Optimal Choice'!$B$25*'Optimal Choice'!$B$26^(R28+1)</f>
        <v>116121.6</v>
      </c>
      <c r="AA28" s="15">
        <f t="shared" ref="AA28:AE28" si="79">if(isna(VLOOKUP(N28,$D$2:$E$10,2,false)),AA27, VLOOKUP(N28,$D$2:$E$10,2,false))</f>
        <v>1</v>
      </c>
      <c r="AB28" s="15">
        <f t="shared" si="79"/>
        <v>1</v>
      </c>
      <c r="AC28" s="15">
        <f t="shared" si="79"/>
        <v>1</v>
      </c>
      <c r="AD28" s="15">
        <f t="shared" si="79"/>
        <v>1</v>
      </c>
      <c r="AE28" s="15">
        <f t="shared" si="79"/>
        <v>1</v>
      </c>
      <c r="AH28" s="15">
        <f>N28*'Optimal Choice'!$B$4*AA28</f>
        <v>33.4</v>
      </c>
      <c r="AI28" s="15">
        <f>O28*'Optimal Choice'!$B$9*AB28</f>
        <v>140</v>
      </c>
      <c r="AJ28" s="15">
        <f>P28*'Optimal Choice'!$B$14*AC28</f>
        <v>0</v>
      </c>
      <c r="AK28" s="15">
        <f>Q28*'Optimal Choice'!$B$19*AD28</f>
        <v>0</v>
      </c>
      <c r="AL28" s="15">
        <f>R28*'Optimal Choice'!$B$24*AE28</f>
        <v>0</v>
      </c>
      <c r="AO28" s="15">
        <f t="shared" ref="AO28:AS28" si="80">if(isna(VLOOKUP(N28+1,$D$2:$E$10,2,false)),AO27, VLOOKUP(N28+1,$D$2:$E$10,2,false))</f>
        <v>1</v>
      </c>
      <c r="AP28" s="15">
        <f t="shared" si="80"/>
        <v>1</v>
      </c>
      <c r="AQ28" s="15">
        <f t="shared" si="80"/>
        <v>1</v>
      </c>
      <c r="AR28" s="15">
        <f t="shared" si="80"/>
        <v>1</v>
      </c>
      <c r="AS28" s="15">
        <f t="shared" si="80"/>
        <v>1</v>
      </c>
      <c r="AU28" s="11">
        <f t="shared" si="8"/>
        <v>0.00150223586</v>
      </c>
    </row>
    <row r="29" ht="15.75" customHeight="1">
      <c r="A29" s="16">
        <f t="shared" si="4"/>
        <v>0.3748847593</v>
      </c>
      <c r="B29" s="7">
        <f>(sum(AH29:AL29))*'Optimal Choice'!$B$28</f>
        <v>175.07</v>
      </c>
      <c r="C29" s="11"/>
      <c r="D29" s="12"/>
      <c r="E29" s="12"/>
      <c r="F29" s="11"/>
      <c r="G29" s="11">
        <f>(T29/$B29)+(T29/('Optimal Choice'!$B$4*AO29))</f>
        <v>10.71296653</v>
      </c>
      <c r="H29" s="11">
        <f>(U29/$B29)+(U29/('Optimal Choice'!$B$9*AP29))</f>
        <v>10.22545707</v>
      </c>
      <c r="I29" s="11">
        <f>(V29/$B29)+(V29/('Optimal Choice'!$B$14*AQ29))</f>
        <v>13.80841035</v>
      </c>
      <c r="J29" s="11">
        <f>(W29/$B29)+(W29/('Optimal Choice'!$B$19*AR29))</f>
        <v>82.88740732</v>
      </c>
      <c r="K29" s="11">
        <f>(X29/$B29)+(X29/('Optimal Choice'!$B$24*AS29))</f>
        <v>717.0466853</v>
      </c>
      <c r="N29" s="12">
        <f t="shared" ref="N29:R29" si="81">if(min($G28:$K28)=G28,N28+1,N28)</f>
        <v>21</v>
      </c>
      <c r="O29" s="12">
        <f t="shared" si="81"/>
        <v>7</v>
      </c>
      <c r="P29" s="12">
        <f t="shared" si="81"/>
        <v>0</v>
      </c>
      <c r="Q29" s="12">
        <f t="shared" si="81"/>
        <v>0</v>
      </c>
      <c r="R29" s="12">
        <f t="shared" si="81"/>
        <v>0</v>
      </c>
      <c r="T29" s="13">
        <f> 'Optimal Choice'!$B$5*'Optimal Choice'!$B$6^(N29+1)</f>
        <v>17.72160696</v>
      </c>
      <c r="U29" s="13">
        <f> 'Optimal Choice'!$B$10*'Optimal Choice'!$B$11^(O29+1)</f>
        <v>183.5413718</v>
      </c>
      <c r="V29" s="13">
        <f> 'Optimal Choice'!$B$15*'Optimal Choice'!$B$16^(P29+1)</f>
        <v>820.8</v>
      </c>
      <c r="W29" s="13">
        <f> 'Optimal Choice'!$B$20*'Optimal Choice'!$B$21^(Q29+1)</f>
        <v>9763.2</v>
      </c>
      <c r="X29" s="13">
        <f> 'Optimal Choice'!$B$25*'Optimal Choice'!$B$26^(R29+1)</f>
        <v>116121.6</v>
      </c>
      <c r="AA29" s="15">
        <f t="shared" ref="AA29:AE29" si="82">if(isna(VLOOKUP(N29,$D$2:$E$10,2,false)),AA28, VLOOKUP(N29,$D$2:$E$10,2,false))</f>
        <v>1</v>
      </c>
      <c r="AB29" s="15">
        <f t="shared" si="82"/>
        <v>1</v>
      </c>
      <c r="AC29" s="15">
        <f t="shared" si="82"/>
        <v>1</v>
      </c>
      <c r="AD29" s="15">
        <f t="shared" si="82"/>
        <v>1</v>
      </c>
      <c r="AE29" s="15">
        <f t="shared" si="82"/>
        <v>1</v>
      </c>
      <c r="AH29" s="15">
        <f>N29*'Optimal Choice'!$B$4*AA29</f>
        <v>35.07</v>
      </c>
      <c r="AI29" s="15">
        <f>O29*'Optimal Choice'!$B$9*AB29</f>
        <v>140</v>
      </c>
      <c r="AJ29" s="15">
        <f>P29*'Optimal Choice'!$B$14*AC29</f>
        <v>0</v>
      </c>
      <c r="AK29" s="15">
        <f>Q29*'Optimal Choice'!$B$19*AD29</f>
        <v>0</v>
      </c>
      <c r="AL29" s="15">
        <f>R29*'Optimal Choice'!$B$24*AE29</f>
        <v>0</v>
      </c>
      <c r="AO29" s="15">
        <f t="shared" ref="AO29:AS29" si="83">if(isna(VLOOKUP(N29+1,$D$2:$E$10,2,false)),AO28, VLOOKUP(N29+1,$D$2:$E$10,2,false))</f>
        <v>1</v>
      </c>
      <c r="AP29" s="15">
        <f t="shared" si="83"/>
        <v>1</v>
      </c>
      <c r="AQ29" s="15">
        <f t="shared" si="83"/>
        <v>1</v>
      </c>
      <c r="AR29" s="15">
        <f t="shared" si="83"/>
        <v>1</v>
      </c>
      <c r="AS29" s="15">
        <f t="shared" si="83"/>
        <v>1</v>
      </c>
      <c r="AU29" s="11">
        <f t="shared" si="8"/>
        <v>0.001591911717</v>
      </c>
    </row>
    <row r="30" ht="15.75" customHeight="1">
      <c r="A30" s="16">
        <f t="shared" si="4"/>
        <v>0.3923579007</v>
      </c>
      <c r="B30" s="7">
        <f>(sum(AH30:AL30))*'Optimal Choice'!$B$28</f>
        <v>195.07</v>
      </c>
      <c r="C30" s="11"/>
      <c r="D30" s="12"/>
      <c r="E30" s="12"/>
      <c r="F30" s="11"/>
      <c r="G30" s="11">
        <f>(T30/$B30)+(T30/('Optimal Choice'!$B$4*AO30))</f>
        <v>10.70258812</v>
      </c>
      <c r="H30" s="11">
        <f>(U30/$B30)+(U30/('Optimal Choice'!$B$9*AP30))</f>
        <v>11.63566393</v>
      </c>
      <c r="I30" s="11">
        <f>(V30/$B30)+(V30/('Optimal Choice'!$B$14*AQ30))</f>
        <v>13.32772031</v>
      </c>
      <c r="J30" s="11">
        <f>(W30/$B30)+(W30/('Optimal Choice'!$B$19*AR30))</f>
        <v>77.16972574</v>
      </c>
      <c r="K30" s="11">
        <f>(X30/$B30)+(X30/('Optimal Choice'!$B$24*AS30))</f>
        <v>649.0416938</v>
      </c>
      <c r="N30" s="12">
        <f t="shared" ref="N30:R30" si="84">if(min($G29:$K29)=G29,N29+1,N29)</f>
        <v>21</v>
      </c>
      <c r="O30" s="12">
        <f t="shared" si="84"/>
        <v>8</v>
      </c>
      <c r="P30" s="12">
        <f t="shared" si="84"/>
        <v>0</v>
      </c>
      <c r="Q30" s="12">
        <f t="shared" si="84"/>
        <v>0</v>
      </c>
      <c r="R30" s="12">
        <f t="shared" si="84"/>
        <v>0</v>
      </c>
      <c r="T30" s="13">
        <f> 'Optimal Choice'!$B$5*'Optimal Choice'!$B$6^(N30+1)</f>
        <v>17.72160696</v>
      </c>
      <c r="U30" s="13">
        <f> 'Optimal Choice'!$B$10*'Optimal Choice'!$B$11^(O30+1)</f>
        <v>211.0725775</v>
      </c>
      <c r="V30" s="13">
        <f> 'Optimal Choice'!$B$15*'Optimal Choice'!$B$16^(P30+1)</f>
        <v>820.8</v>
      </c>
      <c r="W30" s="13">
        <f> 'Optimal Choice'!$B$20*'Optimal Choice'!$B$21^(Q30+1)</f>
        <v>9763.2</v>
      </c>
      <c r="X30" s="13">
        <f> 'Optimal Choice'!$B$25*'Optimal Choice'!$B$26^(R30+1)</f>
        <v>116121.6</v>
      </c>
      <c r="AA30" s="15">
        <f t="shared" ref="AA30:AE30" si="85">if(isna(VLOOKUP(N30,$D$2:$E$10,2,false)),AA29, VLOOKUP(N30,$D$2:$E$10,2,false))</f>
        <v>1</v>
      </c>
      <c r="AB30" s="15">
        <f t="shared" si="85"/>
        <v>1</v>
      </c>
      <c r="AC30" s="15">
        <f t="shared" si="85"/>
        <v>1</v>
      </c>
      <c r="AD30" s="15">
        <f t="shared" si="85"/>
        <v>1</v>
      </c>
      <c r="AE30" s="15">
        <f t="shared" si="85"/>
        <v>1</v>
      </c>
      <c r="AH30" s="15">
        <f>N30*'Optimal Choice'!$B$4*AA30</f>
        <v>35.07</v>
      </c>
      <c r="AI30" s="15">
        <f>O30*'Optimal Choice'!$B$9*AB30</f>
        <v>160</v>
      </c>
      <c r="AJ30" s="15">
        <f>P30*'Optimal Choice'!$B$14*AC30</f>
        <v>0</v>
      </c>
      <c r="AK30" s="15">
        <f>Q30*'Optimal Choice'!$B$19*AD30</f>
        <v>0</v>
      </c>
      <c r="AL30" s="15">
        <f>R30*'Optimal Choice'!$B$24*AE30</f>
        <v>0</v>
      </c>
      <c r="AO30" s="15">
        <f t="shared" ref="AO30:AS30" si="86">if(isna(VLOOKUP(N30+1,$D$2:$E$10,2,false)),AO29, VLOOKUP(N30+1,$D$2:$E$10,2,false))</f>
        <v>1</v>
      </c>
      <c r="AP30" s="15">
        <f t="shared" si="86"/>
        <v>1</v>
      </c>
      <c r="AQ30" s="15">
        <f t="shared" si="86"/>
        <v>1</v>
      </c>
      <c r="AR30" s="15">
        <f t="shared" si="86"/>
        <v>1</v>
      </c>
      <c r="AS30" s="15">
        <f t="shared" si="86"/>
        <v>1</v>
      </c>
      <c r="AU30" s="11">
        <f t="shared" si="8"/>
        <v>0.01747314139</v>
      </c>
    </row>
    <row r="31" ht="15.75" customHeight="1">
      <c r="A31" s="16">
        <f t="shared" si="4"/>
        <v>0.3938720244</v>
      </c>
      <c r="B31" s="7">
        <f>(sum(AH31:AL31))*'Optimal Choice'!$B$28</f>
        <v>196.74</v>
      </c>
      <c r="C31" s="11"/>
      <c r="D31" s="12"/>
      <c r="E31" s="12"/>
      <c r="F31" s="11"/>
      <c r="G31" s="11">
        <f>(T31/$B31)+(T31/('Optimal Choice'!$B$4*AO31))</f>
        <v>11.45094416</v>
      </c>
      <c r="H31" s="11">
        <f>(U31/$B31)+(U31/('Optimal Choice'!$B$9*AP31))</f>
        <v>11.62647922</v>
      </c>
      <c r="I31" s="11">
        <f>(V31/$B31)+(V31/('Optimal Choice'!$B$14*AQ31))</f>
        <v>13.29200366</v>
      </c>
      <c r="J31" s="11">
        <f>(W31/$B31)+(W31/('Optimal Choice'!$B$19*AR31))</f>
        <v>76.74488564</v>
      </c>
      <c r="K31" s="11">
        <f>(X31/$B31)+(X31/('Optimal Choice'!$B$24*AS31))</f>
        <v>643.9887283</v>
      </c>
      <c r="N31" s="12">
        <f t="shared" ref="N31:R31" si="87">if(min($G30:$K30)=G30,N30+1,N30)</f>
        <v>22</v>
      </c>
      <c r="O31" s="12">
        <f t="shared" si="87"/>
        <v>8</v>
      </c>
      <c r="P31" s="12">
        <f t="shared" si="87"/>
        <v>0</v>
      </c>
      <c r="Q31" s="12">
        <f t="shared" si="87"/>
        <v>0</v>
      </c>
      <c r="R31" s="12">
        <f t="shared" si="87"/>
        <v>0</v>
      </c>
      <c r="T31" s="13">
        <f> 'Optimal Choice'!$B$5*'Optimal Choice'!$B$6^(N31+1)</f>
        <v>18.96211945</v>
      </c>
      <c r="U31" s="13">
        <f> 'Optimal Choice'!$B$10*'Optimal Choice'!$B$11^(O31+1)</f>
        <v>211.0725775</v>
      </c>
      <c r="V31" s="13">
        <f> 'Optimal Choice'!$B$15*'Optimal Choice'!$B$16^(P31+1)</f>
        <v>820.8</v>
      </c>
      <c r="W31" s="13">
        <f> 'Optimal Choice'!$B$20*'Optimal Choice'!$B$21^(Q31+1)</f>
        <v>9763.2</v>
      </c>
      <c r="X31" s="13">
        <f> 'Optimal Choice'!$B$25*'Optimal Choice'!$B$26^(R31+1)</f>
        <v>116121.6</v>
      </c>
      <c r="AA31" s="15">
        <f t="shared" ref="AA31:AE31" si="88">if(isna(VLOOKUP(N31,$D$2:$E$10,2,false)),AA30, VLOOKUP(N31,$D$2:$E$10,2,false))</f>
        <v>1</v>
      </c>
      <c r="AB31" s="15">
        <f t="shared" si="88"/>
        <v>1</v>
      </c>
      <c r="AC31" s="15">
        <f t="shared" si="88"/>
        <v>1</v>
      </c>
      <c r="AD31" s="15">
        <f t="shared" si="88"/>
        <v>1</v>
      </c>
      <c r="AE31" s="15">
        <f t="shared" si="88"/>
        <v>1</v>
      </c>
      <c r="AH31" s="15">
        <f>N31*'Optimal Choice'!$B$4*AA31</f>
        <v>36.74</v>
      </c>
      <c r="AI31" s="15">
        <f>O31*'Optimal Choice'!$B$9*AB31</f>
        <v>160</v>
      </c>
      <c r="AJ31" s="15">
        <f>P31*'Optimal Choice'!$B$14*AC31</f>
        <v>0</v>
      </c>
      <c r="AK31" s="15">
        <f>Q31*'Optimal Choice'!$B$19*AD31</f>
        <v>0</v>
      </c>
      <c r="AL31" s="15">
        <f>R31*'Optimal Choice'!$B$24*AE31</f>
        <v>0</v>
      </c>
      <c r="AO31" s="15">
        <f t="shared" ref="AO31:AS31" si="89">if(isna(VLOOKUP(N31+1,$D$2:$E$10,2,false)),AO30, VLOOKUP(N31+1,$D$2:$E$10,2,false))</f>
        <v>1</v>
      </c>
      <c r="AP31" s="15">
        <f t="shared" si="89"/>
        <v>1</v>
      </c>
      <c r="AQ31" s="15">
        <f t="shared" si="89"/>
        <v>1</v>
      </c>
      <c r="AR31" s="15">
        <f t="shared" si="89"/>
        <v>1</v>
      </c>
      <c r="AS31" s="15">
        <f t="shared" si="89"/>
        <v>1</v>
      </c>
      <c r="AU31" s="11">
        <f t="shared" si="8"/>
        <v>0.00151412373</v>
      </c>
    </row>
    <row r="32" ht="15.75" customHeight="1">
      <c r="A32" s="16">
        <f t="shared" si="4"/>
        <v>0.3954783847</v>
      </c>
      <c r="B32" s="7">
        <f>(sum(AH32:AL32))*'Optimal Choice'!$B$28</f>
        <v>198.41</v>
      </c>
      <c r="C32" s="11"/>
      <c r="D32" s="12"/>
      <c r="E32" s="12"/>
      <c r="F32" s="11"/>
      <c r="G32" s="11">
        <f>(T32/$B32)+(T32/('Optimal Choice'!$B$4*AO32))</f>
        <v>12.25164223</v>
      </c>
      <c r="H32" s="11">
        <f>(U32/$B32)+(U32/('Optimal Choice'!$B$9*AP32))</f>
        <v>11.61744913</v>
      </c>
      <c r="I32" s="11">
        <f>(V32/$B32)+(V32/('Optimal Choice'!$B$14*AQ32))</f>
        <v>13.25688826</v>
      </c>
      <c r="J32" s="11">
        <f>(W32/$B32)+(W32/('Optimal Choice'!$B$19*AR32))</f>
        <v>76.32719722</v>
      </c>
      <c r="K32" s="11">
        <f>(X32/$B32)+(X32/('Optimal Choice'!$B$24*AS32))</f>
        <v>639.0208235</v>
      </c>
      <c r="N32" s="12">
        <f t="shared" ref="N32:R32" si="90">if(min($G31:$K31)=G31,N31+1,N31)</f>
        <v>23</v>
      </c>
      <c r="O32" s="12">
        <f t="shared" si="90"/>
        <v>8</v>
      </c>
      <c r="P32" s="12">
        <f t="shared" si="90"/>
        <v>0</v>
      </c>
      <c r="Q32" s="12">
        <f t="shared" si="90"/>
        <v>0</v>
      </c>
      <c r="R32" s="12">
        <f t="shared" si="90"/>
        <v>0</v>
      </c>
      <c r="T32" s="13">
        <f> 'Optimal Choice'!$B$5*'Optimal Choice'!$B$6^(N32+1)</f>
        <v>20.28946781</v>
      </c>
      <c r="U32" s="13">
        <f> 'Optimal Choice'!$B$10*'Optimal Choice'!$B$11^(O32+1)</f>
        <v>211.0725775</v>
      </c>
      <c r="V32" s="13">
        <f> 'Optimal Choice'!$B$15*'Optimal Choice'!$B$16^(P32+1)</f>
        <v>820.8</v>
      </c>
      <c r="W32" s="13">
        <f> 'Optimal Choice'!$B$20*'Optimal Choice'!$B$21^(Q32+1)</f>
        <v>9763.2</v>
      </c>
      <c r="X32" s="13">
        <f> 'Optimal Choice'!$B$25*'Optimal Choice'!$B$26^(R32+1)</f>
        <v>116121.6</v>
      </c>
      <c r="AA32" s="15">
        <f t="shared" ref="AA32:AE32" si="91">if(isna(VLOOKUP(N32,$D$2:$E$10,2,false)),AA31, VLOOKUP(N32,$D$2:$E$10,2,false))</f>
        <v>1</v>
      </c>
      <c r="AB32" s="15">
        <f t="shared" si="91"/>
        <v>1</v>
      </c>
      <c r="AC32" s="15">
        <f t="shared" si="91"/>
        <v>1</v>
      </c>
      <c r="AD32" s="15">
        <f t="shared" si="91"/>
        <v>1</v>
      </c>
      <c r="AE32" s="15">
        <f t="shared" si="91"/>
        <v>1</v>
      </c>
      <c r="AH32" s="15">
        <f>N32*'Optimal Choice'!$B$4*AA32</f>
        <v>38.41</v>
      </c>
      <c r="AI32" s="15">
        <f>O32*'Optimal Choice'!$B$9*AB32</f>
        <v>160</v>
      </c>
      <c r="AJ32" s="15">
        <f>P32*'Optimal Choice'!$B$14*AC32</f>
        <v>0</v>
      </c>
      <c r="AK32" s="15">
        <f>Q32*'Optimal Choice'!$B$19*AD32</f>
        <v>0</v>
      </c>
      <c r="AL32" s="15">
        <f>R32*'Optimal Choice'!$B$24*AE32</f>
        <v>0</v>
      </c>
      <c r="AO32" s="15">
        <f t="shared" ref="AO32:AS32" si="92">if(isna(VLOOKUP(N32+1,$D$2:$E$10,2,false)),AO31, VLOOKUP(N32+1,$D$2:$E$10,2,false))</f>
        <v>1</v>
      </c>
      <c r="AP32" s="15">
        <f t="shared" si="92"/>
        <v>1</v>
      </c>
      <c r="AQ32" s="15">
        <f t="shared" si="92"/>
        <v>1</v>
      </c>
      <c r="AR32" s="15">
        <f t="shared" si="92"/>
        <v>1</v>
      </c>
      <c r="AS32" s="15">
        <f t="shared" si="92"/>
        <v>1</v>
      </c>
      <c r="AU32" s="11">
        <f t="shared" si="8"/>
        <v>0.001606360294</v>
      </c>
    </row>
    <row r="33" ht="15.75" customHeight="1">
      <c r="A33" s="16">
        <f t="shared" si="4"/>
        <v>0.4132087224</v>
      </c>
      <c r="B33" s="7">
        <f>(sum(AH33:AL33))*'Optimal Choice'!$B$28</f>
        <v>218.41</v>
      </c>
      <c r="C33" s="11"/>
      <c r="D33" s="12"/>
      <c r="E33" s="12"/>
      <c r="F33" s="11"/>
      <c r="G33" s="11">
        <f>(T33/$B33)+(T33/('Optimal Choice'!$B$4*AO33))</f>
        <v>12.24227816</v>
      </c>
      <c r="H33" s="11">
        <f>(U33/$B33)+(U33/('Optimal Choice'!$B$9*AP33))</f>
        <v>13.24803928</v>
      </c>
      <c r="I33" s="11">
        <f>(V33/$B33)+(V33/('Optimal Choice'!$B$14*AQ33))</f>
        <v>12.87806969</v>
      </c>
      <c r="J33" s="11">
        <f>(W33/$B33)+(W33/('Optimal Choice'!$B$19*AR33))</f>
        <v>71.82124994</v>
      </c>
      <c r="K33" s="11">
        <f>(X33/$B33)+(X33/('Optimal Choice'!$B$24*AS33))</f>
        <v>585.4279639</v>
      </c>
      <c r="N33" s="12">
        <f t="shared" ref="N33:R33" si="93">if(min($G32:$K32)=G32,N32+1,N32)</f>
        <v>23</v>
      </c>
      <c r="O33" s="12">
        <f t="shared" si="93"/>
        <v>9</v>
      </c>
      <c r="P33" s="12">
        <f t="shared" si="93"/>
        <v>0</v>
      </c>
      <c r="Q33" s="12">
        <f t="shared" si="93"/>
        <v>0</v>
      </c>
      <c r="R33" s="12">
        <f t="shared" si="93"/>
        <v>0</v>
      </c>
      <c r="T33" s="13">
        <f> 'Optimal Choice'!$B$5*'Optimal Choice'!$B$6^(N33+1)</f>
        <v>20.28946781</v>
      </c>
      <c r="U33" s="13">
        <f> 'Optimal Choice'!$B$10*'Optimal Choice'!$B$11^(O33+1)</f>
        <v>242.7334641</v>
      </c>
      <c r="V33" s="13">
        <f> 'Optimal Choice'!$B$15*'Optimal Choice'!$B$16^(P33+1)</f>
        <v>820.8</v>
      </c>
      <c r="W33" s="13">
        <f> 'Optimal Choice'!$B$20*'Optimal Choice'!$B$21^(Q33+1)</f>
        <v>9763.2</v>
      </c>
      <c r="X33" s="13">
        <f> 'Optimal Choice'!$B$25*'Optimal Choice'!$B$26^(R33+1)</f>
        <v>116121.6</v>
      </c>
      <c r="AA33" s="15">
        <f t="shared" ref="AA33:AE33" si="94">if(isna(VLOOKUP(N33,$D$2:$E$10,2,false)),AA32, VLOOKUP(N33,$D$2:$E$10,2,false))</f>
        <v>1</v>
      </c>
      <c r="AB33" s="15">
        <f t="shared" si="94"/>
        <v>1</v>
      </c>
      <c r="AC33" s="15">
        <f t="shared" si="94"/>
        <v>1</v>
      </c>
      <c r="AD33" s="15">
        <f t="shared" si="94"/>
        <v>1</v>
      </c>
      <c r="AE33" s="15">
        <f t="shared" si="94"/>
        <v>1</v>
      </c>
      <c r="AH33" s="15">
        <f>N33*'Optimal Choice'!$B$4*AA33</f>
        <v>38.41</v>
      </c>
      <c r="AI33" s="15">
        <f>O33*'Optimal Choice'!$B$9*AB33</f>
        <v>180</v>
      </c>
      <c r="AJ33" s="15">
        <f>P33*'Optimal Choice'!$B$14*AC33</f>
        <v>0</v>
      </c>
      <c r="AK33" s="15">
        <f>Q33*'Optimal Choice'!$B$19*AD33</f>
        <v>0</v>
      </c>
      <c r="AL33" s="15">
        <f>R33*'Optimal Choice'!$B$24*AE33</f>
        <v>0</v>
      </c>
      <c r="AO33" s="15">
        <f t="shared" ref="AO33:AS33" si="95">if(isna(VLOOKUP(N33+1,$D$2:$E$10,2,false)),AO32, VLOOKUP(N33+1,$D$2:$E$10,2,false))</f>
        <v>1</v>
      </c>
      <c r="AP33" s="15">
        <f t="shared" si="95"/>
        <v>1</v>
      </c>
      <c r="AQ33" s="15">
        <f t="shared" si="95"/>
        <v>1</v>
      </c>
      <c r="AR33" s="15">
        <f t="shared" si="95"/>
        <v>1</v>
      </c>
      <c r="AS33" s="15">
        <f t="shared" si="95"/>
        <v>1</v>
      </c>
      <c r="AU33" s="11">
        <f t="shared" si="8"/>
        <v>0.01773033764</v>
      </c>
    </row>
    <row r="34" ht="15.75" customHeight="1">
      <c r="A34" s="16">
        <f t="shared" si="4"/>
        <v>0.414756993</v>
      </c>
      <c r="B34" s="7">
        <f>(sum(AH34:AL34))*'Optimal Choice'!$B$28</f>
        <v>220.08</v>
      </c>
      <c r="C34" s="11"/>
      <c r="D34" s="12"/>
      <c r="E34" s="12"/>
      <c r="F34" s="11"/>
      <c r="G34" s="11">
        <f>(T34/$B34)+(T34/('Optimal Choice'!$B$4*AO34))</f>
        <v>2.698612454</v>
      </c>
      <c r="H34" s="11">
        <f>(U34/$B34)+(U34/('Optimal Choice'!$B$9*AP34))</f>
        <v>13.23960607</v>
      </c>
      <c r="I34" s="11">
        <f>(V34/$B34)+(V34/('Optimal Choice'!$B$14*AQ34))</f>
        <v>12.84955289</v>
      </c>
      <c r="J34" s="11">
        <f>(W34/$B34)+(W34/('Optimal Choice'!$B$19*AR34))</f>
        <v>71.48205016</v>
      </c>
      <c r="K34" s="11">
        <f>(X34/$B34)+(X34/('Optimal Choice'!$B$24*AS34))</f>
        <v>581.3935878</v>
      </c>
      <c r="N34" s="12">
        <f t="shared" ref="N34:R34" si="96">if(min($G33:$K33)=G33,N33+1,N33)</f>
        <v>24</v>
      </c>
      <c r="O34" s="12">
        <f t="shared" si="96"/>
        <v>9</v>
      </c>
      <c r="P34" s="12">
        <f t="shared" si="96"/>
        <v>0</v>
      </c>
      <c r="Q34" s="12">
        <f t="shared" si="96"/>
        <v>0</v>
      </c>
      <c r="R34" s="12">
        <f t="shared" si="96"/>
        <v>0</v>
      </c>
      <c r="T34" s="13">
        <f> 'Optimal Choice'!$B$5*'Optimal Choice'!$B$6^(N34+1)</f>
        <v>21.70973056</v>
      </c>
      <c r="U34" s="13">
        <f> 'Optimal Choice'!$B$10*'Optimal Choice'!$B$11^(O34+1)</f>
        <v>242.7334641</v>
      </c>
      <c r="V34" s="13">
        <f> 'Optimal Choice'!$B$15*'Optimal Choice'!$B$16^(P34+1)</f>
        <v>820.8</v>
      </c>
      <c r="W34" s="13">
        <f> 'Optimal Choice'!$B$20*'Optimal Choice'!$B$21^(Q34+1)</f>
        <v>9763.2</v>
      </c>
      <c r="X34" s="13">
        <f> 'Optimal Choice'!$B$25*'Optimal Choice'!$B$26^(R34+1)</f>
        <v>116121.6</v>
      </c>
      <c r="AA34" s="15">
        <f t="shared" ref="AA34:AE34" si="97">if(isna(VLOOKUP(N34,$D$2:$E$10,2,false)),AA33, VLOOKUP(N34,$D$2:$E$10,2,false))</f>
        <v>1</v>
      </c>
      <c r="AB34" s="15">
        <f t="shared" si="97"/>
        <v>1</v>
      </c>
      <c r="AC34" s="15">
        <f t="shared" si="97"/>
        <v>1</v>
      </c>
      <c r="AD34" s="15">
        <f t="shared" si="97"/>
        <v>1</v>
      </c>
      <c r="AE34" s="15">
        <f t="shared" si="97"/>
        <v>1</v>
      </c>
      <c r="AH34" s="15">
        <f>N34*'Optimal Choice'!$B$4*AA34</f>
        <v>40.08</v>
      </c>
      <c r="AI34" s="15">
        <f>O34*'Optimal Choice'!$B$9*AB34</f>
        <v>180</v>
      </c>
      <c r="AJ34" s="15">
        <f>P34*'Optimal Choice'!$B$14*AC34</f>
        <v>0</v>
      </c>
      <c r="AK34" s="15">
        <f>Q34*'Optimal Choice'!$B$19*AD34</f>
        <v>0</v>
      </c>
      <c r="AL34" s="15">
        <f>R34*'Optimal Choice'!$B$24*AE34</f>
        <v>0</v>
      </c>
      <c r="AO34" s="12">
        <f t="shared" ref="AO34:AS34" si="98">if(isna(VLOOKUP(N34+1,$D$2:$E$10,2,false)),AO33, VLOOKUP(N34+1,$D$2:$E$10,2,false))</f>
        <v>5</v>
      </c>
      <c r="AP34" s="15">
        <f t="shared" si="98"/>
        <v>1</v>
      </c>
      <c r="AQ34" s="15">
        <f t="shared" si="98"/>
        <v>1</v>
      </c>
      <c r="AR34" s="15">
        <f t="shared" si="98"/>
        <v>1</v>
      </c>
      <c r="AS34" s="15">
        <f t="shared" si="98"/>
        <v>1</v>
      </c>
      <c r="AU34" s="11">
        <f t="shared" si="8"/>
        <v>0.001548270669</v>
      </c>
    </row>
    <row r="35" ht="15.75" customHeight="1">
      <c r="A35" s="16">
        <f t="shared" si="4"/>
        <v>0.4164010717</v>
      </c>
      <c r="B35" s="7">
        <f>(sum(AH35:AL35))*'Optimal Choice'!$B$28</f>
        <v>388.75</v>
      </c>
      <c r="C35" s="11"/>
      <c r="D35" s="12"/>
      <c r="E35" s="12"/>
      <c r="F35" s="11"/>
      <c r="G35" s="11">
        <f>(T35/$B35)+(T35/('Optimal Choice'!$B$4*AO35))</f>
        <v>2.841719587</v>
      </c>
      <c r="H35" s="11">
        <f>(U35/$B35)+(U35/('Optimal Choice'!$B$9*AP35))</f>
        <v>12.76106797</v>
      </c>
      <c r="I35" s="11">
        <f>(V35/$B35)+(V35/('Optimal Choice'!$B$14*AQ35))</f>
        <v>11.23138264</v>
      </c>
      <c r="J35" s="11">
        <f>(W35/$B35)+(W35/('Optimal Choice'!$B$19*AR35))</f>
        <v>52.23434084</v>
      </c>
      <c r="K35" s="11">
        <f>(X35/$B35)+(X35/('Optimal Choice'!$B$24*AS35))</f>
        <v>352.4650804</v>
      </c>
      <c r="N35" s="12">
        <f t="shared" ref="N35:R35" si="99">if(min($G34:$K34)=G34,N34+1,N34)</f>
        <v>25</v>
      </c>
      <c r="O35" s="12">
        <f t="shared" si="99"/>
        <v>9</v>
      </c>
      <c r="P35" s="12">
        <f t="shared" si="99"/>
        <v>0</v>
      </c>
      <c r="Q35" s="12">
        <f t="shared" si="99"/>
        <v>0</v>
      </c>
      <c r="R35" s="12">
        <f t="shared" si="99"/>
        <v>0</v>
      </c>
      <c r="T35" s="13">
        <f> 'Optimal Choice'!$B$5*'Optimal Choice'!$B$6^(N35+1)</f>
        <v>23.2294117</v>
      </c>
      <c r="U35" s="13">
        <f> 'Optimal Choice'!$B$10*'Optimal Choice'!$B$11^(O35+1)</f>
        <v>242.7334641</v>
      </c>
      <c r="V35" s="13">
        <f> 'Optimal Choice'!$B$15*'Optimal Choice'!$B$16^(P35+1)</f>
        <v>820.8</v>
      </c>
      <c r="W35" s="13">
        <f> 'Optimal Choice'!$B$20*'Optimal Choice'!$B$21^(Q35+1)</f>
        <v>9763.2</v>
      </c>
      <c r="X35" s="13">
        <f> 'Optimal Choice'!$B$25*'Optimal Choice'!$B$26^(R35+1)</f>
        <v>116121.6</v>
      </c>
      <c r="AA35" s="12">
        <f t="shared" ref="AA35:AE35" si="100">if(isna(VLOOKUP(N35,$D$2:$E$10,2,false)),AA34, VLOOKUP(N35,$D$2:$E$10,2,false))</f>
        <v>5</v>
      </c>
      <c r="AB35" s="15">
        <f t="shared" si="100"/>
        <v>1</v>
      </c>
      <c r="AC35" s="15">
        <f t="shared" si="100"/>
        <v>1</v>
      </c>
      <c r="AD35" s="15">
        <f t="shared" si="100"/>
        <v>1</v>
      </c>
      <c r="AE35" s="15">
        <f t="shared" si="100"/>
        <v>1</v>
      </c>
      <c r="AH35" s="15">
        <f>N35*'Optimal Choice'!$B$4*AA35</f>
        <v>208.75</v>
      </c>
      <c r="AI35" s="15">
        <f>O35*'Optimal Choice'!$B$9*AB35</f>
        <v>180</v>
      </c>
      <c r="AJ35" s="15">
        <f>P35*'Optimal Choice'!$B$14*AC35</f>
        <v>0</v>
      </c>
      <c r="AK35" s="15">
        <f>Q35*'Optimal Choice'!$B$19*AD35</f>
        <v>0</v>
      </c>
      <c r="AL35" s="15">
        <f>R35*'Optimal Choice'!$B$24*AE35</f>
        <v>0</v>
      </c>
      <c r="AO35" s="12">
        <f t="shared" ref="AO35:AS35" si="101">if(isna(VLOOKUP(N35+1,$D$2:$E$10,2,false)),AO34, VLOOKUP(N35+1,$D$2:$E$10,2,false))</f>
        <v>5</v>
      </c>
      <c r="AP35" s="15">
        <f t="shared" si="101"/>
        <v>1</v>
      </c>
      <c r="AQ35" s="15">
        <f t="shared" si="101"/>
        <v>1</v>
      </c>
      <c r="AR35" s="15">
        <f t="shared" si="101"/>
        <v>1</v>
      </c>
      <c r="AS35" s="15">
        <f t="shared" si="101"/>
        <v>1</v>
      </c>
      <c r="AU35" s="11">
        <f t="shared" si="8"/>
        <v>0.001644078711</v>
      </c>
    </row>
    <row r="36" ht="15.75" customHeight="1">
      <c r="A36" s="16">
        <f t="shared" si="4"/>
        <v>0.4173969736</v>
      </c>
      <c r="B36" s="7">
        <f>(sum(AH36:AL36))*'Optimal Choice'!$B$28</f>
        <v>397.1</v>
      </c>
      <c r="C36" s="11"/>
      <c r="D36" s="12"/>
      <c r="E36" s="12"/>
      <c r="F36" s="11"/>
      <c r="G36" s="11">
        <f>(T36/$B36)+(T36/('Optimal Choice'!$B$4*AO36))</f>
        <v>3.039295528</v>
      </c>
      <c r="H36" s="11">
        <f>(U36/$B36)+(U36/('Optimal Choice'!$B$9*AP36))</f>
        <v>12.74793854</v>
      </c>
      <c r="I36" s="11">
        <f>(V36/$B36)+(V36/('Optimal Choice'!$B$14*AQ36))</f>
        <v>11.18698565</v>
      </c>
      <c r="J36" s="11">
        <f>(W36/$B36)+(W36/('Optimal Choice'!$B$19*AR36))</f>
        <v>51.70625031</v>
      </c>
      <c r="K36" s="11">
        <f>(X36/$B36)+(X36/('Optimal Choice'!$B$24*AS36))</f>
        <v>346.1840745</v>
      </c>
      <c r="N36" s="12">
        <f t="shared" ref="N36:R36" si="102">if(min($G35:$K35)=G35,N35+1,N35)</f>
        <v>26</v>
      </c>
      <c r="O36" s="12">
        <f t="shared" si="102"/>
        <v>9</v>
      </c>
      <c r="P36" s="12">
        <f t="shared" si="102"/>
        <v>0</v>
      </c>
      <c r="Q36" s="12">
        <f t="shared" si="102"/>
        <v>0</v>
      </c>
      <c r="R36" s="12">
        <f t="shared" si="102"/>
        <v>0</v>
      </c>
      <c r="T36" s="13">
        <f> 'Optimal Choice'!$B$5*'Optimal Choice'!$B$6^(N36+1)</f>
        <v>24.85547052</v>
      </c>
      <c r="U36" s="13">
        <f> 'Optimal Choice'!$B$10*'Optimal Choice'!$B$11^(O36+1)</f>
        <v>242.7334641</v>
      </c>
      <c r="V36" s="13">
        <f> 'Optimal Choice'!$B$15*'Optimal Choice'!$B$16^(P36+1)</f>
        <v>820.8</v>
      </c>
      <c r="W36" s="13">
        <f> 'Optimal Choice'!$B$20*'Optimal Choice'!$B$21^(Q36+1)</f>
        <v>9763.2</v>
      </c>
      <c r="X36" s="13">
        <f> 'Optimal Choice'!$B$25*'Optimal Choice'!$B$26^(R36+1)</f>
        <v>116121.6</v>
      </c>
      <c r="AA36" s="12">
        <f t="shared" ref="AA36:AE36" si="103">if(isna(VLOOKUP(N36,$D$2:$E$10,2,false)),AA35, VLOOKUP(N36,$D$2:$E$10,2,false))</f>
        <v>5</v>
      </c>
      <c r="AB36" s="15">
        <f t="shared" si="103"/>
        <v>1</v>
      </c>
      <c r="AC36" s="15">
        <f t="shared" si="103"/>
        <v>1</v>
      </c>
      <c r="AD36" s="15">
        <f t="shared" si="103"/>
        <v>1</v>
      </c>
      <c r="AE36" s="15">
        <f t="shared" si="103"/>
        <v>1</v>
      </c>
      <c r="AH36" s="15">
        <f>N36*'Optimal Choice'!$B$4*AA36</f>
        <v>217.1</v>
      </c>
      <c r="AI36" s="15">
        <f>O36*'Optimal Choice'!$B$9*AB36</f>
        <v>180</v>
      </c>
      <c r="AJ36" s="15">
        <f>P36*'Optimal Choice'!$B$14*AC36</f>
        <v>0</v>
      </c>
      <c r="AK36" s="15">
        <f>Q36*'Optimal Choice'!$B$19*AD36</f>
        <v>0</v>
      </c>
      <c r="AL36" s="15">
        <f>R36*'Optimal Choice'!$B$24*AE36</f>
        <v>0</v>
      </c>
      <c r="AO36" s="12">
        <f t="shared" ref="AO36:AS36" si="104">if(isna(VLOOKUP(N36+1,$D$2:$E$10,2,false)),AO35, VLOOKUP(N36+1,$D$2:$E$10,2,false))</f>
        <v>5</v>
      </c>
      <c r="AP36" s="15">
        <f t="shared" si="104"/>
        <v>1</v>
      </c>
      <c r="AQ36" s="15">
        <f t="shared" si="104"/>
        <v>1</v>
      </c>
      <c r="AR36" s="15">
        <f t="shared" si="104"/>
        <v>1</v>
      </c>
      <c r="AS36" s="15">
        <f t="shared" si="104"/>
        <v>1</v>
      </c>
      <c r="AU36" s="11">
        <f t="shared" si="8"/>
        <v>0.000995901895</v>
      </c>
    </row>
    <row r="37" ht="15.75" customHeight="1">
      <c r="A37" s="16">
        <f t="shared" si="4"/>
        <v>0.4184401815</v>
      </c>
      <c r="B37" s="7">
        <f>(sum(AH37:AL37))*'Optimal Choice'!$B$28</f>
        <v>405.45</v>
      </c>
      <c r="C37" s="11"/>
      <c r="D37" s="12"/>
      <c r="E37" s="12"/>
      <c r="F37" s="11"/>
      <c r="G37" s="11">
        <f>(T37/$B37)+(T37/('Optimal Choice'!$B$4*AO37))</f>
        <v>3.250666927</v>
      </c>
      <c r="H37" s="11">
        <f>(U37/$B37)+(U37/('Optimal Choice'!$B$9*AP37))</f>
        <v>12.7353499</v>
      </c>
      <c r="I37" s="11">
        <f>(V37/$B37)+(V37/('Optimal Choice'!$B$14*AQ37))</f>
        <v>11.14441731</v>
      </c>
      <c r="J37" s="11">
        <f>(W37/$B37)+(W37/('Optimal Choice'!$B$19*AR37))</f>
        <v>51.19991121</v>
      </c>
      <c r="K37" s="11">
        <f>(X37/$B37)+(X37/('Optimal Choice'!$B$24*AS37))</f>
        <v>340.1617758</v>
      </c>
      <c r="N37" s="12">
        <f t="shared" ref="N37:R37" si="105">if(min($G36:$K36)=G36,N36+1,N36)</f>
        <v>27</v>
      </c>
      <c r="O37" s="12">
        <f t="shared" si="105"/>
        <v>9</v>
      </c>
      <c r="P37" s="12">
        <f t="shared" si="105"/>
        <v>0</v>
      </c>
      <c r="Q37" s="12">
        <f t="shared" si="105"/>
        <v>0</v>
      </c>
      <c r="R37" s="12">
        <f t="shared" si="105"/>
        <v>0</v>
      </c>
      <c r="T37" s="13">
        <f> 'Optimal Choice'!$B$5*'Optimal Choice'!$B$6^(N37+1)</f>
        <v>26.59535346</v>
      </c>
      <c r="U37" s="13">
        <f> 'Optimal Choice'!$B$10*'Optimal Choice'!$B$11^(O37+1)</f>
        <v>242.7334641</v>
      </c>
      <c r="V37" s="13">
        <f> 'Optimal Choice'!$B$15*'Optimal Choice'!$B$16^(P37+1)</f>
        <v>820.8</v>
      </c>
      <c r="W37" s="13">
        <f> 'Optimal Choice'!$B$20*'Optimal Choice'!$B$21^(Q37+1)</f>
        <v>9763.2</v>
      </c>
      <c r="X37" s="13">
        <f> 'Optimal Choice'!$B$25*'Optimal Choice'!$B$26^(R37+1)</f>
        <v>116121.6</v>
      </c>
      <c r="AA37" s="12">
        <f t="shared" ref="AA37:AE37" si="106">if(isna(VLOOKUP(N37,$D$2:$E$10,2,false)),AA36, VLOOKUP(N37,$D$2:$E$10,2,false))</f>
        <v>5</v>
      </c>
      <c r="AB37" s="15">
        <f t="shared" si="106"/>
        <v>1</v>
      </c>
      <c r="AC37" s="15">
        <f t="shared" si="106"/>
        <v>1</v>
      </c>
      <c r="AD37" s="15">
        <f t="shared" si="106"/>
        <v>1</v>
      </c>
      <c r="AE37" s="15">
        <f t="shared" si="106"/>
        <v>1</v>
      </c>
      <c r="AH37" s="15">
        <f>N37*'Optimal Choice'!$B$4*AA37</f>
        <v>225.45</v>
      </c>
      <c r="AI37" s="15">
        <f>O37*'Optimal Choice'!$B$9*AB37</f>
        <v>180</v>
      </c>
      <c r="AJ37" s="15">
        <f>P37*'Optimal Choice'!$B$14*AC37</f>
        <v>0</v>
      </c>
      <c r="AK37" s="15">
        <f>Q37*'Optimal Choice'!$B$19*AD37</f>
        <v>0</v>
      </c>
      <c r="AL37" s="15">
        <f>R37*'Optimal Choice'!$B$24*AE37</f>
        <v>0</v>
      </c>
      <c r="AO37" s="12">
        <f t="shared" ref="AO37:AS37" si="107">if(isna(VLOOKUP(N37+1,$D$2:$E$10,2,false)),AO36, VLOOKUP(N37+1,$D$2:$E$10,2,false))</f>
        <v>5</v>
      </c>
      <c r="AP37" s="15">
        <f t="shared" si="107"/>
        <v>1</v>
      </c>
      <c r="AQ37" s="15">
        <f t="shared" si="107"/>
        <v>1</v>
      </c>
      <c r="AR37" s="15">
        <f t="shared" si="107"/>
        <v>1</v>
      </c>
      <c r="AS37" s="15">
        <f t="shared" si="107"/>
        <v>1</v>
      </c>
      <c r="AU37" s="11">
        <f t="shared" si="8"/>
        <v>0.001043207862</v>
      </c>
    </row>
    <row r="38" ht="15.75" customHeight="1">
      <c r="A38" s="16">
        <f t="shared" si="4"/>
        <v>0.4195334258</v>
      </c>
      <c r="B38" s="7">
        <f>(sum(AH38:AL38))*'Optimal Choice'!$B$28</f>
        <v>413.8</v>
      </c>
      <c r="C38" s="11"/>
      <c r="D38" s="12"/>
      <c r="E38" s="12"/>
      <c r="F38" s="11"/>
      <c r="G38" s="11">
        <f>(T38/$B38)+(T38/('Optimal Choice'!$B$4*AO38))</f>
        <v>3.476797334</v>
      </c>
      <c r="H38" s="11">
        <f>(U38/$B38)+(U38/('Optimal Choice'!$B$9*AP38))</f>
        <v>12.7232693</v>
      </c>
      <c r="I38" s="11">
        <f>(V38/$B38)+(V38/('Optimal Choice'!$B$14*AQ38))</f>
        <v>11.10356694</v>
      </c>
      <c r="J38" s="11">
        <f>(W38/$B38)+(W38/('Optimal Choice'!$B$19*AR38))</f>
        <v>50.71400677</v>
      </c>
      <c r="K38" s="11">
        <f>(X38/$B38)+(X38/('Optimal Choice'!$B$24*AS38))</f>
        <v>334.382523</v>
      </c>
      <c r="N38" s="12">
        <f t="shared" ref="N38:R38" si="108">if(min($G37:$K37)=G37,N37+1,N37)</f>
        <v>28</v>
      </c>
      <c r="O38" s="12">
        <f t="shared" si="108"/>
        <v>9</v>
      </c>
      <c r="P38" s="12">
        <f t="shared" si="108"/>
        <v>0</v>
      </c>
      <c r="Q38" s="12">
        <f t="shared" si="108"/>
        <v>0</v>
      </c>
      <c r="R38" s="12">
        <f t="shared" si="108"/>
        <v>0</v>
      </c>
      <c r="T38" s="13">
        <f> 'Optimal Choice'!$B$5*'Optimal Choice'!$B$6^(N38+1)</f>
        <v>28.4570282</v>
      </c>
      <c r="U38" s="13">
        <f> 'Optimal Choice'!$B$10*'Optimal Choice'!$B$11^(O38+1)</f>
        <v>242.7334641</v>
      </c>
      <c r="V38" s="13">
        <f> 'Optimal Choice'!$B$15*'Optimal Choice'!$B$16^(P38+1)</f>
        <v>820.8</v>
      </c>
      <c r="W38" s="13">
        <f> 'Optimal Choice'!$B$20*'Optimal Choice'!$B$21^(Q38+1)</f>
        <v>9763.2</v>
      </c>
      <c r="X38" s="13">
        <f> 'Optimal Choice'!$B$25*'Optimal Choice'!$B$26^(R38+1)</f>
        <v>116121.6</v>
      </c>
      <c r="AA38" s="12">
        <f t="shared" ref="AA38:AE38" si="109">if(isna(VLOOKUP(N38,$D$2:$E$10,2,false)),AA37, VLOOKUP(N38,$D$2:$E$10,2,false))</f>
        <v>5</v>
      </c>
      <c r="AB38" s="15">
        <f t="shared" si="109"/>
        <v>1</v>
      </c>
      <c r="AC38" s="15">
        <f t="shared" si="109"/>
        <v>1</v>
      </c>
      <c r="AD38" s="15">
        <f t="shared" si="109"/>
        <v>1</v>
      </c>
      <c r="AE38" s="15">
        <f t="shared" si="109"/>
        <v>1</v>
      </c>
      <c r="AH38" s="15">
        <f>N38*'Optimal Choice'!$B$4*AA38</f>
        <v>233.8</v>
      </c>
      <c r="AI38" s="15">
        <f>O38*'Optimal Choice'!$B$9*AB38</f>
        <v>180</v>
      </c>
      <c r="AJ38" s="15">
        <f>P38*'Optimal Choice'!$B$14*AC38</f>
        <v>0</v>
      </c>
      <c r="AK38" s="15">
        <f>Q38*'Optimal Choice'!$B$19*AD38</f>
        <v>0</v>
      </c>
      <c r="AL38" s="15">
        <f>R38*'Optimal Choice'!$B$24*AE38</f>
        <v>0</v>
      </c>
      <c r="AO38" s="12">
        <f t="shared" ref="AO38:AS38" si="110">if(isna(VLOOKUP(N38+1,$D$2:$E$10,2,false)),AO37, VLOOKUP(N38+1,$D$2:$E$10,2,false))</f>
        <v>5</v>
      </c>
      <c r="AP38" s="15">
        <f t="shared" si="110"/>
        <v>1</v>
      </c>
      <c r="AQ38" s="15">
        <f t="shared" si="110"/>
        <v>1</v>
      </c>
      <c r="AR38" s="15">
        <f t="shared" si="110"/>
        <v>1</v>
      </c>
      <c r="AS38" s="15">
        <f t="shared" si="110"/>
        <v>1</v>
      </c>
      <c r="AU38" s="11">
        <f t="shared" si="8"/>
        <v>0.001093244274</v>
      </c>
    </row>
    <row r="39" ht="15.75" customHeight="1">
      <c r="A39" s="16">
        <f t="shared" si="4"/>
        <v>0.4206795925</v>
      </c>
      <c r="B39" s="7">
        <f>(sum(AH39:AL39))*'Optimal Choice'!$B$28</f>
        <v>422.15</v>
      </c>
      <c r="C39" s="11"/>
      <c r="D39" s="12"/>
      <c r="E39" s="12"/>
      <c r="F39" s="11"/>
      <c r="G39" s="11">
        <f>(T39/$B39)+(T39/('Optimal Choice'!$B$4*AO39))</f>
        <v>3.71871768</v>
      </c>
      <c r="H39" s="11">
        <f>(U39/$B39)+(U39/('Optimal Choice'!$B$9*AP39))</f>
        <v>12.71166661</v>
      </c>
      <c r="I39" s="11">
        <f>(V39/$B39)+(V39/('Optimal Choice'!$B$14*AQ39))</f>
        <v>11.06433258</v>
      </c>
      <c r="J39" s="11">
        <f>(W39/$B39)+(W39/('Optimal Choice'!$B$19*AR39))</f>
        <v>50.24732441</v>
      </c>
      <c r="K39" s="11">
        <f>(X39/$B39)+(X39/('Optimal Choice'!$B$24*AS39))</f>
        <v>328.8318939</v>
      </c>
      <c r="N39" s="12">
        <f t="shared" ref="N39:R39" si="111">if(min($G38:$K38)=G38,N38+1,N38)</f>
        <v>29</v>
      </c>
      <c r="O39" s="12">
        <f t="shared" si="111"/>
        <v>9</v>
      </c>
      <c r="P39" s="12">
        <f t="shared" si="111"/>
        <v>0</v>
      </c>
      <c r="Q39" s="12">
        <f t="shared" si="111"/>
        <v>0</v>
      </c>
      <c r="R39" s="12">
        <f t="shared" si="111"/>
        <v>0</v>
      </c>
      <c r="T39" s="13">
        <f> 'Optimal Choice'!$B$5*'Optimal Choice'!$B$6^(N39+1)</f>
        <v>30.44902017</v>
      </c>
      <c r="U39" s="13">
        <f> 'Optimal Choice'!$B$10*'Optimal Choice'!$B$11^(O39+1)</f>
        <v>242.7334641</v>
      </c>
      <c r="V39" s="13">
        <f> 'Optimal Choice'!$B$15*'Optimal Choice'!$B$16^(P39+1)</f>
        <v>820.8</v>
      </c>
      <c r="W39" s="13">
        <f> 'Optimal Choice'!$B$20*'Optimal Choice'!$B$21^(Q39+1)</f>
        <v>9763.2</v>
      </c>
      <c r="X39" s="13">
        <f> 'Optimal Choice'!$B$25*'Optimal Choice'!$B$26^(R39+1)</f>
        <v>116121.6</v>
      </c>
      <c r="AA39" s="12">
        <f t="shared" ref="AA39:AE39" si="112">if(isna(VLOOKUP(N39,$D$2:$E$10,2,false)),AA38, VLOOKUP(N39,$D$2:$E$10,2,false))</f>
        <v>5</v>
      </c>
      <c r="AB39" s="15">
        <f t="shared" si="112"/>
        <v>1</v>
      </c>
      <c r="AC39" s="15">
        <f t="shared" si="112"/>
        <v>1</v>
      </c>
      <c r="AD39" s="15">
        <f t="shared" si="112"/>
        <v>1</v>
      </c>
      <c r="AE39" s="15">
        <f t="shared" si="112"/>
        <v>1</v>
      </c>
      <c r="AH39" s="15">
        <f>N39*'Optimal Choice'!$B$4*AA39</f>
        <v>242.15</v>
      </c>
      <c r="AI39" s="15">
        <f>O39*'Optimal Choice'!$B$9*AB39</f>
        <v>180</v>
      </c>
      <c r="AJ39" s="15">
        <f>P39*'Optimal Choice'!$B$14*AC39</f>
        <v>0</v>
      </c>
      <c r="AK39" s="15">
        <f>Q39*'Optimal Choice'!$B$19*AD39</f>
        <v>0</v>
      </c>
      <c r="AL39" s="15">
        <f>R39*'Optimal Choice'!$B$24*AE39</f>
        <v>0</v>
      </c>
      <c r="AO39" s="12">
        <f t="shared" ref="AO39:AS39" si="113">if(isna(VLOOKUP(N39+1,$D$2:$E$10,2,false)),AO38, VLOOKUP(N39+1,$D$2:$E$10,2,false))</f>
        <v>5</v>
      </c>
      <c r="AP39" s="15">
        <f t="shared" si="113"/>
        <v>1</v>
      </c>
      <c r="AQ39" s="15">
        <f t="shared" si="113"/>
        <v>1</v>
      </c>
      <c r="AR39" s="15">
        <f t="shared" si="113"/>
        <v>1</v>
      </c>
      <c r="AS39" s="15">
        <f t="shared" si="113"/>
        <v>1</v>
      </c>
      <c r="AU39" s="11">
        <f t="shared" si="8"/>
        <v>0.001146166755</v>
      </c>
    </row>
    <row r="40" ht="15.75" customHeight="1">
      <c r="A40" s="16">
        <f t="shared" si="4"/>
        <v>0.4218817332</v>
      </c>
      <c r="B40" s="7">
        <f>(sum(AH40:AL40))*'Optimal Choice'!$B$28</f>
        <v>430.5</v>
      </c>
      <c r="C40" s="11"/>
      <c r="D40" s="12"/>
      <c r="E40" s="12"/>
      <c r="F40" s="11"/>
      <c r="G40" s="11">
        <f>(T40/$B40)+(T40/('Optimal Choice'!$B$4*AO40))</f>
        <v>3.97753098</v>
      </c>
      <c r="H40" s="11">
        <f>(U40/$B40)+(U40/('Optimal Choice'!$B$9*AP40))</f>
        <v>12.70051401</v>
      </c>
      <c r="I40" s="11">
        <f>(V40/$B40)+(V40/('Optimal Choice'!$B$14*AQ40))</f>
        <v>11.02662021</v>
      </c>
      <c r="J40" s="11">
        <f>(W40/$B40)+(W40/('Optimal Choice'!$B$19*AR40))</f>
        <v>49.79874564</v>
      </c>
      <c r="K40" s="11">
        <f>(X40/$B40)+(X40/('Optimal Choice'!$B$24*AS40))</f>
        <v>323.4965854</v>
      </c>
      <c r="N40" s="12">
        <f t="shared" ref="N40:R40" si="114">if(min($G39:$K39)=G39,N39+1,N39)</f>
        <v>30</v>
      </c>
      <c r="O40" s="12">
        <f t="shared" si="114"/>
        <v>9</v>
      </c>
      <c r="P40" s="12">
        <f t="shared" si="114"/>
        <v>0</v>
      </c>
      <c r="Q40" s="12">
        <f t="shared" si="114"/>
        <v>0</v>
      </c>
      <c r="R40" s="12">
        <f t="shared" si="114"/>
        <v>0</v>
      </c>
      <c r="T40" s="13">
        <f> 'Optimal Choice'!$B$5*'Optimal Choice'!$B$6^(N40+1)</f>
        <v>32.58045158</v>
      </c>
      <c r="U40" s="13">
        <f> 'Optimal Choice'!$B$10*'Optimal Choice'!$B$11^(O40+1)</f>
        <v>242.7334641</v>
      </c>
      <c r="V40" s="13">
        <f> 'Optimal Choice'!$B$15*'Optimal Choice'!$B$16^(P40+1)</f>
        <v>820.8</v>
      </c>
      <c r="W40" s="13">
        <f> 'Optimal Choice'!$B$20*'Optimal Choice'!$B$21^(Q40+1)</f>
        <v>9763.2</v>
      </c>
      <c r="X40" s="13">
        <f> 'Optimal Choice'!$B$25*'Optimal Choice'!$B$26^(R40+1)</f>
        <v>116121.6</v>
      </c>
      <c r="AA40" s="12">
        <f t="shared" ref="AA40:AE40" si="115">if(isna(VLOOKUP(N40,$D$2:$E$10,2,false)),AA39, VLOOKUP(N40,$D$2:$E$10,2,false))</f>
        <v>5</v>
      </c>
      <c r="AB40" s="15">
        <f t="shared" si="115"/>
        <v>1</v>
      </c>
      <c r="AC40" s="15">
        <f t="shared" si="115"/>
        <v>1</v>
      </c>
      <c r="AD40" s="15">
        <f t="shared" si="115"/>
        <v>1</v>
      </c>
      <c r="AE40" s="15">
        <f t="shared" si="115"/>
        <v>1</v>
      </c>
      <c r="AH40" s="15">
        <f>N40*'Optimal Choice'!$B$4*AA40</f>
        <v>250.5</v>
      </c>
      <c r="AI40" s="15">
        <f>O40*'Optimal Choice'!$B$9*AB40</f>
        <v>180</v>
      </c>
      <c r="AJ40" s="15">
        <f>P40*'Optimal Choice'!$B$14*AC40</f>
        <v>0</v>
      </c>
      <c r="AK40" s="15">
        <f>Q40*'Optimal Choice'!$B$19*AD40</f>
        <v>0</v>
      </c>
      <c r="AL40" s="15">
        <f>R40*'Optimal Choice'!$B$24*AE40</f>
        <v>0</v>
      </c>
      <c r="AO40" s="12">
        <f t="shared" ref="AO40:AS40" si="116">if(isna(VLOOKUP(N40+1,$D$2:$E$10,2,false)),AO39, VLOOKUP(N40+1,$D$2:$E$10,2,false))</f>
        <v>5</v>
      </c>
      <c r="AP40" s="15">
        <f t="shared" si="116"/>
        <v>1</v>
      </c>
      <c r="AQ40" s="15">
        <f t="shared" si="116"/>
        <v>1</v>
      </c>
      <c r="AR40" s="15">
        <f t="shared" si="116"/>
        <v>1</v>
      </c>
      <c r="AS40" s="15">
        <f t="shared" si="116"/>
        <v>1</v>
      </c>
      <c r="AU40" s="11">
        <f t="shared" si="8"/>
        <v>0.001202140636</v>
      </c>
    </row>
    <row r="41" ht="15.75" customHeight="1">
      <c r="A41" s="16">
        <f t="shared" si="4"/>
        <v>0.4231430747</v>
      </c>
      <c r="B41" s="7">
        <f>(sum(AH41:AL41))*'Optimal Choice'!$B$28</f>
        <v>438.85</v>
      </c>
      <c r="C41" s="11"/>
      <c r="D41" s="12"/>
      <c r="E41" s="12"/>
      <c r="F41" s="11"/>
      <c r="G41" s="11">
        <f>(T41/$B41)+(T41/('Optimal Choice'!$B$4*AO41))</f>
        <v>4.254417378</v>
      </c>
      <c r="H41" s="11">
        <f>(U41/$B41)+(U41/('Optimal Choice'!$B$9*AP41))</f>
        <v>12.68978581</v>
      </c>
      <c r="I41" s="11">
        <f>(V41/$B41)+(V41/('Optimal Choice'!$B$14*AQ41))</f>
        <v>10.99034294</v>
      </c>
      <c r="J41" s="11">
        <f>(W41/$B41)+(W41/('Optimal Choice'!$B$19*AR41))</f>
        <v>49.3672371</v>
      </c>
      <c r="K41" s="11">
        <f>(X41/$B41)+(X41/('Optimal Choice'!$B$24*AS41))</f>
        <v>318.3643067</v>
      </c>
      <c r="N41" s="12">
        <f t="shared" ref="N41:R41" si="117">if(min($G40:$K40)=G40,N40+1,N40)</f>
        <v>31</v>
      </c>
      <c r="O41" s="12">
        <f t="shared" si="117"/>
        <v>9</v>
      </c>
      <c r="P41" s="12">
        <f t="shared" si="117"/>
        <v>0</v>
      </c>
      <c r="Q41" s="12">
        <f t="shared" si="117"/>
        <v>0</v>
      </c>
      <c r="R41" s="12">
        <f t="shared" si="117"/>
        <v>0</v>
      </c>
      <c r="T41" s="13">
        <f> 'Optimal Choice'!$B$5*'Optimal Choice'!$B$6^(N41+1)</f>
        <v>34.86108319</v>
      </c>
      <c r="U41" s="13">
        <f> 'Optimal Choice'!$B$10*'Optimal Choice'!$B$11^(O41+1)</f>
        <v>242.7334641</v>
      </c>
      <c r="V41" s="13">
        <f> 'Optimal Choice'!$B$15*'Optimal Choice'!$B$16^(P41+1)</f>
        <v>820.8</v>
      </c>
      <c r="W41" s="13">
        <f> 'Optimal Choice'!$B$20*'Optimal Choice'!$B$21^(Q41+1)</f>
        <v>9763.2</v>
      </c>
      <c r="X41" s="13">
        <f> 'Optimal Choice'!$B$25*'Optimal Choice'!$B$26^(R41+1)</f>
        <v>116121.6</v>
      </c>
      <c r="AA41" s="12">
        <f t="shared" ref="AA41:AE41" si="118">if(isna(VLOOKUP(N41,$D$2:$E$10,2,false)),AA40, VLOOKUP(N41,$D$2:$E$10,2,false))</f>
        <v>5</v>
      </c>
      <c r="AB41" s="15">
        <f t="shared" si="118"/>
        <v>1</v>
      </c>
      <c r="AC41" s="15">
        <f t="shared" si="118"/>
        <v>1</v>
      </c>
      <c r="AD41" s="15">
        <f t="shared" si="118"/>
        <v>1</v>
      </c>
      <c r="AE41" s="15">
        <f t="shared" si="118"/>
        <v>1</v>
      </c>
      <c r="AH41" s="15">
        <f>N41*'Optimal Choice'!$B$4*AA41</f>
        <v>258.85</v>
      </c>
      <c r="AI41" s="15">
        <f>O41*'Optimal Choice'!$B$9*AB41</f>
        <v>180</v>
      </c>
      <c r="AJ41" s="15">
        <f>P41*'Optimal Choice'!$B$14*AC41</f>
        <v>0</v>
      </c>
      <c r="AK41" s="15">
        <f>Q41*'Optimal Choice'!$B$19*AD41</f>
        <v>0</v>
      </c>
      <c r="AL41" s="15">
        <f>R41*'Optimal Choice'!$B$24*AE41</f>
        <v>0</v>
      </c>
      <c r="AO41" s="12">
        <f t="shared" ref="AO41:AS41" si="119">if(isna(VLOOKUP(N41+1,$D$2:$E$10,2,false)),AO40, VLOOKUP(N41+1,$D$2:$E$10,2,false))</f>
        <v>5</v>
      </c>
      <c r="AP41" s="15">
        <f t="shared" si="119"/>
        <v>1</v>
      </c>
      <c r="AQ41" s="15">
        <f t="shared" si="119"/>
        <v>1</v>
      </c>
      <c r="AR41" s="15">
        <f t="shared" si="119"/>
        <v>1</v>
      </c>
      <c r="AS41" s="15">
        <f t="shared" si="119"/>
        <v>1</v>
      </c>
      <c r="AU41" s="11">
        <f t="shared" si="8"/>
        <v>0.001261341525</v>
      </c>
    </row>
    <row r="42" ht="15.75" customHeight="1">
      <c r="A42" s="16">
        <f t="shared" si="4"/>
        <v>0.4244670306</v>
      </c>
      <c r="B42" s="7">
        <f>(sum(AH42:AL42))*'Optimal Choice'!$B$28</f>
        <v>447.2</v>
      </c>
      <c r="C42" s="11"/>
      <c r="D42" s="12"/>
      <c r="E42" s="12"/>
      <c r="F42" s="11"/>
      <c r="G42" s="11">
        <f>(T42/$B42)+(T42/('Optimal Choice'!$B$4*AO42))</f>
        <v>4.550639535</v>
      </c>
      <c r="H42" s="11">
        <f>(U42/$B42)+(U42/('Optimal Choice'!$B$9*AP42))</f>
        <v>12.67945823</v>
      </c>
      <c r="I42" s="11">
        <f>(V42/$B42)+(V42/('Optimal Choice'!$B$14*AQ42))</f>
        <v>10.95542039</v>
      </c>
      <c r="J42" s="11">
        <f>(W42/$B42)+(W42/('Optimal Choice'!$B$19*AR42))</f>
        <v>48.95184258</v>
      </c>
      <c r="K42" s="11">
        <f>(X42/$B42)+(X42/('Optimal Choice'!$B$24*AS42))</f>
        <v>313.4236852</v>
      </c>
      <c r="N42" s="12">
        <f t="shared" ref="N42:R42" si="120">if(min($G41:$K41)=G41,N41+1,N41)</f>
        <v>32</v>
      </c>
      <c r="O42" s="12">
        <f t="shared" si="120"/>
        <v>9</v>
      </c>
      <c r="P42" s="12">
        <f t="shared" si="120"/>
        <v>0</v>
      </c>
      <c r="Q42" s="12">
        <f t="shared" si="120"/>
        <v>0</v>
      </c>
      <c r="R42" s="12">
        <f t="shared" si="120"/>
        <v>0</v>
      </c>
      <c r="T42" s="13">
        <f> 'Optimal Choice'!$B$5*'Optimal Choice'!$B$6^(N42+1)</f>
        <v>37.30135902</v>
      </c>
      <c r="U42" s="13">
        <f> 'Optimal Choice'!$B$10*'Optimal Choice'!$B$11^(O42+1)</f>
        <v>242.7334641</v>
      </c>
      <c r="V42" s="13">
        <f> 'Optimal Choice'!$B$15*'Optimal Choice'!$B$16^(P42+1)</f>
        <v>820.8</v>
      </c>
      <c r="W42" s="13">
        <f> 'Optimal Choice'!$B$20*'Optimal Choice'!$B$21^(Q42+1)</f>
        <v>9763.2</v>
      </c>
      <c r="X42" s="13">
        <f> 'Optimal Choice'!$B$25*'Optimal Choice'!$B$26^(R42+1)</f>
        <v>116121.6</v>
      </c>
      <c r="AA42" s="12">
        <f t="shared" ref="AA42:AE42" si="121">if(isna(VLOOKUP(N42,$D$2:$E$10,2,false)),AA41, VLOOKUP(N42,$D$2:$E$10,2,false))</f>
        <v>5</v>
      </c>
      <c r="AB42" s="15">
        <f t="shared" si="121"/>
        <v>1</v>
      </c>
      <c r="AC42" s="15">
        <f t="shared" si="121"/>
        <v>1</v>
      </c>
      <c r="AD42" s="15">
        <f t="shared" si="121"/>
        <v>1</v>
      </c>
      <c r="AE42" s="15">
        <f t="shared" si="121"/>
        <v>1</v>
      </c>
      <c r="AH42" s="15">
        <f>N42*'Optimal Choice'!$B$4*AA42</f>
        <v>267.2</v>
      </c>
      <c r="AI42" s="15">
        <f>O42*'Optimal Choice'!$B$9*AB42</f>
        <v>180</v>
      </c>
      <c r="AJ42" s="15">
        <f>P42*'Optimal Choice'!$B$14*AC42</f>
        <v>0</v>
      </c>
      <c r="AK42" s="15">
        <f>Q42*'Optimal Choice'!$B$19*AD42</f>
        <v>0</v>
      </c>
      <c r="AL42" s="15">
        <f>R42*'Optimal Choice'!$B$24*AE42</f>
        <v>0</v>
      </c>
      <c r="AO42" s="12">
        <f t="shared" ref="AO42:AS42" si="122">if(isna(VLOOKUP(N42+1,$D$2:$E$10,2,false)),AO41, VLOOKUP(N42+1,$D$2:$E$10,2,false))</f>
        <v>5</v>
      </c>
      <c r="AP42" s="15">
        <f t="shared" si="122"/>
        <v>1</v>
      </c>
      <c r="AQ42" s="15">
        <f t="shared" si="122"/>
        <v>1</v>
      </c>
      <c r="AR42" s="15">
        <f t="shared" si="122"/>
        <v>1</v>
      </c>
      <c r="AS42" s="15">
        <f t="shared" si="122"/>
        <v>1</v>
      </c>
      <c r="AU42" s="11">
        <f t="shared" si="8"/>
        <v>0.001323955915</v>
      </c>
    </row>
    <row r="43" ht="15.75" customHeight="1">
      <c r="A43" s="16">
        <f t="shared" si="4"/>
        <v>0.4258572124</v>
      </c>
      <c r="B43" s="7">
        <f>(sum(AH43:AL43))*'Optimal Choice'!$B$28</f>
        <v>455.55</v>
      </c>
      <c r="C43" s="11"/>
      <c r="D43" s="12"/>
      <c r="E43" s="12"/>
      <c r="F43" s="11"/>
      <c r="G43" s="11">
        <f>(T43/$B43)+(T43/('Optimal Choice'!$B$4*AO43))</f>
        <v>4.867548401</v>
      </c>
      <c r="H43" s="11">
        <f>(U43/$B43)+(U43/('Optimal Choice'!$B$9*AP43))</f>
        <v>12.66950926</v>
      </c>
      <c r="I43" s="11">
        <f>(V43/$B43)+(V43/('Optimal Choice'!$B$14*AQ43))</f>
        <v>10.92177807</v>
      </c>
      <c r="J43" s="11">
        <f>(W43/$B43)+(W43/('Optimal Choice'!$B$19*AR43))</f>
        <v>48.551676</v>
      </c>
      <c r="K43" s="11">
        <f>(X43/$B43)+(X43/('Optimal Choice'!$B$24*AS43))</f>
        <v>308.6641818</v>
      </c>
      <c r="N43" s="12">
        <f t="shared" ref="N43:R43" si="123">if(min($G42:$K42)=G42,N42+1,N42)</f>
        <v>33</v>
      </c>
      <c r="O43" s="12">
        <f t="shared" si="123"/>
        <v>9</v>
      </c>
      <c r="P43" s="12">
        <f t="shared" si="123"/>
        <v>0</v>
      </c>
      <c r="Q43" s="12">
        <f t="shared" si="123"/>
        <v>0</v>
      </c>
      <c r="R43" s="12">
        <f t="shared" si="123"/>
        <v>0</v>
      </c>
      <c r="T43" s="13">
        <f> 'Optimal Choice'!$B$5*'Optimal Choice'!$B$6^(N43+1)</f>
        <v>39.91245415</v>
      </c>
      <c r="U43" s="13">
        <f> 'Optimal Choice'!$B$10*'Optimal Choice'!$B$11^(O43+1)</f>
        <v>242.7334641</v>
      </c>
      <c r="V43" s="13">
        <f> 'Optimal Choice'!$B$15*'Optimal Choice'!$B$16^(P43+1)</f>
        <v>820.8</v>
      </c>
      <c r="W43" s="13">
        <f> 'Optimal Choice'!$B$20*'Optimal Choice'!$B$21^(Q43+1)</f>
        <v>9763.2</v>
      </c>
      <c r="X43" s="13">
        <f> 'Optimal Choice'!$B$25*'Optimal Choice'!$B$26^(R43+1)</f>
        <v>116121.6</v>
      </c>
      <c r="AA43" s="12">
        <f t="shared" ref="AA43:AE43" si="124">if(isna(VLOOKUP(N43,$D$2:$E$10,2,false)),AA42, VLOOKUP(N43,$D$2:$E$10,2,false))</f>
        <v>5</v>
      </c>
      <c r="AB43" s="15">
        <f t="shared" si="124"/>
        <v>1</v>
      </c>
      <c r="AC43" s="15">
        <f t="shared" si="124"/>
        <v>1</v>
      </c>
      <c r="AD43" s="15">
        <f t="shared" si="124"/>
        <v>1</v>
      </c>
      <c r="AE43" s="15">
        <f t="shared" si="124"/>
        <v>1</v>
      </c>
      <c r="AH43" s="15">
        <f>N43*'Optimal Choice'!$B$4*AA43</f>
        <v>275.55</v>
      </c>
      <c r="AI43" s="15">
        <f>O43*'Optimal Choice'!$B$9*AB43</f>
        <v>180</v>
      </c>
      <c r="AJ43" s="15">
        <f>P43*'Optimal Choice'!$B$14*AC43</f>
        <v>0</v>
      </c>
      <c r="AK43" s="15">
        <f>Q43*'Optimal Choice'!$B$19*AD43</f>
        <v>0</v>
      </c>
      <c r="AL43" s="15">
        <f>R43*'Optimal Choice'!$B$24*AE43</f>
        <v>0</v>
      </c>
      <c r="AO43" s="12">
        <f t="shared" ref="AO43:AS43" si="125">if(isna(VLOOKUP(N43+1,$D$2:$E$10,2,false)),AO42, VLOOKUP(N43+1,$D$2:$E$10,2,false))</f>
        <v>5</v>
      </c>
      <c r="AP43" s="15">
        <f t="shared" si="125"/>
        <v>1</v>
      </c>
      <c r="AQ43" s="15">
        <f t="shared" si="125"/>
        <v>1</v>
      </c>
      <c r="AR43" s="15">
        <f t="shared" si="125"/>
        <v>1</v>
      </c>
      <c r="AS43" s="15">
        <f t="shared" si="125"/>
        <v>1</v>
      </c>
      <c r="AU43" s="11">
        <f t="shared" si="8"/>
        <v>0.001390181836</v>
      </c>
    </row>
    <row r="44" ht="15.75" customHeight="1">
      <c r="A44" s="16">
        <f t="shared" si="4"/>
        <v>0.427317442</v>
      </c>
      <c r="B44" s="7">
        <f>(sum(AH44:AL44))*'Optimal Choice'!$B$28</f>
        <v>463.9</v>
      </c>
      <c r="C44" s="11"/>
      <c r="D44" s="12"/>
      <c r="E44" s="12"/>
      <c r="F44" s="11"/>
      <c r="G44" s="11">
        <f>(T44/$B44)+(T44/('Optimal Choice'!$B$4*AO44))</f>
        <v>5.206589388</v>
      </c>
      <c r="H44" s="11">
        <f>(U44/$B44)+(U44/('Optimal Choice'!$B$9*AP44))</f>
        <v>12.65991844</v>
      </c>
      <c r="I44" s="11">
        <f>(V44/$B44)+(V44/('Optimal Choice'!$B$14*AQ44))</f>
        <v>10.88934684</v>
      </c>
      <c r="J44" s="11">
        <f>(W44/$B44)+(W44/('Optimal Choice'!$B$19*AR44))</f>
        <v>48.16591507</v>
      </c>
      <c r="K44" s="11">
        <f>(X44/$B44)+(X44/('Optimal Choice'!$B$24*AS44))</f>
        <v>304.0760164</v>
      </c>
      <c r="N44" s="12">
        <f t="shared" ref="N44:R44" si="126">if(min($G43:$K43)=G43,N43+1,N43)</f>
        <v>34</v>
      </c>
      <c r="O44" s="12">
        <f t="shared" si="126"/>
        <v>9</v>
      </c>
      <c r="P44" s="12">
        <f t="shared" si="126"/>
        <v>0</v>
      </c>
      <c r="Q44" s="12">
        <f t="shared" si="126"/>
        <v>0</v>
      </c>
      <c r="R44" s="12">
        <f t="shared" si="126"/>
        <v>0</v>
      </c>
      <c r="T44" s="13">
        <f> 'Optimal Choice'!$B$5*'Optimal Choice'!$B$6^(N44+1)</f>
        <v>42.70632594</v>
      </c>
      <c r="U44" s="13">
        <f> 'Optimal Choice'!$B$10*'Optimal Choice'!$B$11^(O44+1)</f>
        <v>242.7334641</v>
      </c>
      <c r="V44" s="13">
        <f> 'Optimal Choice'!$B$15*'Optimal Choice'!$B$16^(P44+1)</f>
        <v>820.8</v>
      </c>
      <c r="W44" s="13">
        <f> 'Optimal Choice'!$B$20*'Optimal Choice'!$B$21^(Q44+1)</f>
        <v>9763.2</v>
      </c>
      <c r="X44" s="13">
        <f> 'Optimal Choice'!$B$25*'Optimal Choice'!$B$26^(R44+1)</f>
        <v>116121.6</v>
      </c>
      <c r="AA44" s="12">
        <f t="shared" ref="AA44:AE44" si="127">if(isna(VLOOKUP(N44,$D$2:$E$10,2,false)),AA43, VLOOKUP(N44,$D$2:$E$10,2,false))</f>
        <v>5</v>
      </c>
      <c r="AB44" s="15">
        <f t="shared" si="127"/>
        <v>1</v>
      </c>
      <c r="AC44" s="15">
        <f t="shared" si="127"/>
        <v>1</v>
      </c>
      <c r="AD44" s="15">
        <f t="shared" si="127"/>
        <v>1</v>
      </c>
      <c r="AE44" s="15">
        <f t="shared" si="127"/>
        <v>1</v>
      </c>
      <c r="AH44" s="15">
        <f>N44*'Optimal Choice'!$B$4*AA44</f>
        <v>283.9</v>
      </c>
      <c r="AI44" s="15">
        <f>O44*'Optimal Choice'!$B$9*AB44</f>
        <v>180</v>
      </c>
      <c r="AJ44" s="15">
        <f>P44*'Optimal Choice'!$B$14*AC44</f>
        <v>0</v>
      </c>
      <c r="AK44" s="15">
        <f>Q44*'Optimal Choice'!$B$19*AD44</f>
        <v>0</v>
      </c>
      <c r="AL44" s="15">
        <f>R44*'Optimal Choice'!$B$24*AE44</f>
        <v>0</v>
      </c>
      <c r="AO44" s="12">
        <f t="shared" ref="AO44:AS44" si="128">if(isna(VLOOKUP(N44+1,$D$2:$E$10,2,false)),AO43, VLOOKUP(N44+1,$D$2:$E$10,2,false))</f>
        <v>5</v>
      </c>
      <c r="AP44" s="15">
        <f t="shared" si="128"/>
        <v>1</v>
      </c>
      <c r="AQ44" s="15">
        <f t="shared" si="128"/>
        <v>1</v>
      </c>
      <c r="AR44" s="15">
        <f t="shared" si="128"/>
        <v>1</v>
      </c>
      <c r="AS44" s="15">
        <f t="shared" si="128"/>
        <v>1</v>
      </c>
      <c r="AU44" s="11">
        <f t="shared" si="8"/>
        <v>0.001460229545</v>
      </c>
    </row>
    <row r="45" ht="15.75" customHeight="1">
      <c r="A45" s="16">
        <f t="shared" si="4"/>
        <v>0.4288517642</v>
      </c>
      <c r="B45" s="7">
        <f>(sum(AH45:AL45))*'Optimal Choice'!$B$28</f>
        <v>472.25</v>
      </c>
      <c r="C45" s="11"/>
      <c r="D45" s="12"/>
      <c r="E45" s="12"/>
      <c r="F45" s="11"/>
      <c r="G45" s="11">
        <f>(T45/$B45)+(T45/('Optimal Choice'!$B$4*AO45))</f>
        <v>5.569308975</v>
      </c>
      <c r="H45" s="11">
        <f>(U45/$B45)+(U45/('Optimal Choice'!$B$9*AP45))</f>
        <v>12.65066678</v>
      </c>
      <c r="I45" s="11">
        <f>(V45/$B45)+(V45/('Optimal Choice'!$B$14*AQ45))</f>
        <v>10.85806247</v>
      </c>
      <c r="J45" s="11">
        <f>(W45/$B45)+(W45/('Optimal Choice'!$B$19*AR45))</f>
        <v>47.79379566</v>
      </c>
      <c r="K45" s="11">
        <f>(X45/$B45)+(X45/('Optimal Choice'!$B$24*AS45))</f>
        <v>299.6501006</v>
      </c>
      <c r="N45" s="12">
        <f t="shared" ref="N45:R45" si="129">if(min($G44:$K44)=G44,N44+1,N44)</f>
        <v>35</v>
      </c>
      <c r="O45" s="12">
        <f t="shared" si="129"/>
        <v>9</v>
      </c>
      <c r="P45" s="12">
        <f t="shared" si="129"/>
        <v>0</v>
      </c>
      <c r="Q45" s="12">
        <f t="shared" si="129"/>
        <v>0</v>
      </c>
      <c r="R45" s="12">
        <f t="shared" si="129"/>
        <v>0</v>
      </c>
      <c r="T45" s="13">
        <f> 'Optimal Choice'!$B$5*'Optimal Choice'!$B$6^(N45+1)</f>
        <v>45.69576875</v>
      </c>
      <c r="U45" s="13">
        <f> 'Optimal Choice'!$B$10*'Optimal Choice'!$B$11^(O45+1)</f>
        <v>242.7334641</v>
      </c>
      <c r="V45" s="13">
        <f> 'Optimal Choice'!$B$15*'Optimal Choice'!$B$16^(P45+1)</f>
        <v>820.8</v>
      </c>
      <c r="W45" s="13">
        <f> 'Optimal Choice'!$B$20*'Optimal Choice'!$B$21^(Q45+1)</f>
        <v>9763.2</v>
      </c>
      <c r="X45" s="13">
        <f> 'Optimal Choice'!$B$25*'Optimal Choice'!$B$26^(R45+1)</f>
        <v>116121.6</v>
      </c>
      <c r="AA45" s="12">
        <f t="shared" ref="AA45:AE45" si="130">if(isna(VLOOKUP(N45,$D$2:$E$10,2,false)),AA44, VLOOKUP(N45,$D$2:$E$10,2,false))</f>
        <v>5</v>
      </c>
      <c r="AB45" s="15">
        <f t="shared" si="130"/>
        <v>1</v>
      </c>
      <c r="AC45" s="15">
        <f t="shared" si="130"/>
        <v>1</v>
      </c>
      <c r="AD45" s="15">
        <f t="shared" si="130"/>
        <v>1</v>
      </c>
      <c r="AE45" s="15">
        <f t="shared" si="130"/>
        <v>1</v>
      </c>
      <c r="AH45" s="15">
        <f>N45*'Optimal Choice'!$B$4*AA45</f>
        <v>292.25</v>
      </c>
      <c r="AI45" s="15">
        <f>O45*'Optimal Choice'!$B$9*AB45</f>
        <v>180</v>
      </c>
      <c r="AJ45" s="15">
        <f>P45*'Optimal Choice'!$B$14*AC45</f>
        <v>0</v>
      </c>
      <c r="AK45" s="15">
        <f>Q45*'Optimal Choice'!$B$19*AD45</f>
        <v>0</v>
      </c>
      <c r="AL45" s="15">
        <f>R45*'Optimal Choice'!$B$24*AE45</f>
        <v>0</v>
      </c>
      <c r="AO45" s="12">
        <f t="shared" ref="AO45:AS45" si="131">if(isna(VLOOKUP(N45+1,$D$2:$E$10,2,false)),AO44, VLOOKUP(N45+1,$D$2:$E$10,2,false))</f>
        <v>5</v>
      </c>
      <c r="AP45" s="15">
        <f t="shared" si="131"/>
        <v>1</v>
      </c>
      <c r="AQ45" s="15">
        <f t="shared" si="131"/>
        <v>1</v>
      </c>
      <c r="AR45" s="15">
        <f t="shared" si="131"/>
        <v>1</v>
      </c>
      <c r="AS45" s="15">
        <f t="shared" si="131"/>
        <v>1</v>
      </c>
      <c r="AU45" s="11">
        <f t="shared" si="8"/>
        <v>0.001534322266</v>
      </c>
    </row>
    <row r="46" ht="15.75" customHeight="1">
      <c r="A46" s="16">
        <f t="shared" si="4"/>
        <v>0.4304644612</v>
      </c>
      <c r="B46" s="7">
        <f>(sum(AH46:AL46))*'Optimal Choice'!$B$28</f>
        <v>480.6</v>
      </c>
      <c r="C46" s="11"/>
      <c r="D46" s="12"/>
      <c r="E46" s="12"/>
      <c r="F46" s="11"/>
      <c r="G46" s="11">
        <f>(T46/$B46)+(T46/('Optimal Choice'!$B$4*AO46))</f>
        <v>5.957361771</v>
      </c>
      <c r="H46" s="11">
        <f>(U46/$B46)+(U46/('Optimal Choice'!$B$9*AP46))</f>
        <v>12.64173659</v>
      </c>
      <c r="I46" s="11">
        <f>(V46/$B46)+(V46/('Optimal Choice'!$B$14*AQ46))</f>
        <v>10.82786517</v>
      </c>
      <c r="J46" s="11">
        <f>(W46/$B46)+(W46/('Optimal Choice'!$B$19*AR46))</f>
        <v>47.43460674</v>
      </c>
      <c r="K46" s="11">
        <f>(X46/$B46)+(X46/('Optimal Choice'!$B$24*AS46))</f>
        <v>295.3779775</v>
      </c>
      <c r="N46" s="12">
        <f t="shared" ref="N46:R46" si="132">if(min($G45:$K45)=G45,N45+1,N45)</f>
        <v>36</v>
      </c>
      <c r="O46" s="12">
        <f t="shared" si="132"/>
        <v>9</v>
      </c>
      <c r="P46" s="12">
        <f t="shared" si="132"/>
        <v>0</v>
      </c>
      <c r="Q46" s="12">
        <f t="shared" si="132"/>
        <v>0</v>
      </c>
      <c r="R46" s="12">
        <f t="shared" si="132"/>
        <v>0</v>
      </c>
      <c r="T46" s="13">
        <f> 'Optimal Choice'!$B$5*'Optimal Choice'!$B$6^(N46+1)</f>
        <v>48.89447257</v>
      </c>
      <c r="U46" s="13">
        <f> 'Optimal Choice'!$B$10*'Optimal Choice'!$B$11^(O46+1)</f>
        <v>242.7334641</v>
      </c>
      <c r="V46" s="13">
        <f> 'Optimal Choice'!$B$15*'Optimal Choice'!$B$16^(P46+1)</f>
        <v>820.8</v>
      </c>
      <c r="W46" s="13">
        <f> 'Optimal Choice'!$B$20*'Optimal Choice'!$B$21^(Q46+1)</f>
        <v>9763.2</v>
      </c>
      <c r="X46" s="13">
        <f> 'Optimal Choice'!$B$25*'Optimal Choice'!$B$26^(R46+1)</f>
        <v>116121.6</v>
      </c>
      <c r="AA46" s="12">
        <f t="shared" ref="AA46:AE46" si="133">if(isna(VLOOKUP(N46,$D$2:$E$10,2,false)),AA45, VLOOKUP(N46,$D$2:$E$10,2,false))</f>
        <v>5</v>
      </c>
      <c r="AB46" s="15">
        <f t="shared" si="133"/>
        <v>1</v>
      </c>
      <c r="AC46" s="15">
        <f t="shared" si="133"/>
        <v>1</v>
      </c>
      <c r="AD46" s="15">
        <f t="shared" si="133"/>
        <v>1</v>
      </c>
      <c r="AE46" s="15">
        <f t="shared" si="133"/>
        <v>1</v>
      </c>
      <c r="AH46" s="15">
        <f>N46*'Optimal Choice'!$B$4*AA46</f>
        <v>300.6</v>
      </c>
      <c r="AI46" s="15">
        <f>O46*'Optimal Choice'!$B$9*AB46</f>
        <v>180</v>
      </c>
      <c r="AJ46" s="15">
        <f>P46*'Optimal Choice'!$B$14*AC46</f>
        <v>0</v>
      </c>
      <c r="AK46" s="15">
        <f>Q46*'Optimal Choice'!$B$19*AD46</f>
        <v>0</v>
      </c>
      <c r="AL46" s="15">
        <f>R46*'Optimal Choice'!$B$24*AE46</f>
        <v>0</v>
      </c>
      <c r="AO46" s="12">
        <f t="shared" ref="AO46:AS46" si="134">if(isna(VLOOKUP(N46+1,$D$2:$E$10,2,false)),AO45, VLOOKUP(N46+1,$D$2:$E$10,2,false))</f>
        <v>5</v>
      </c>
      <c r="AP46" s="15">
        <f t="shared" si="134"/>
        <v>1</v>
      </c>
      <c r="AQ46" s="15">
        <f t="shared" si="134"/>
        <v>1</v>
      </c>
      <c r="AR46" s="15">
        <f t="shared" si="134"/>
        <v>1</v>
      </c>
      <c r="AS46" s="15">
        <f t="shared" si="134"/>
        <v>1</v>
      </c>
      <c r="AU46" s="11">
        <f t="shared" si="8"/>
        <v>0.001612696974</v>
      </c>
    </row>
    <row r="47" ht="15.75" customHeight="1">
      <c r="A47" s="16">
        <f t="shared" si="4"/>
        <v>0.4321600665</v>
      </c>
      <c r="B47" s="7">
        <f>(sum(AH47:AL47))*'Optimal Choice'!$B$28</f>
        <v>488.95</v>
      </c>
      <c r="C47" s="11"/>
      <c r="D47" s="12"/>
      <c r="E47" s="12"/>
      <c r="F47" s="11"/>
      <c r="G47" s="11">
        <f>(T47/$B47)+(T47/('Optimal Choice'!$B$4*AO47))</f>
        <v>6.372518085</v>
      </c>
      <c r="H47" s="11">
        <f>(U47/$B47)+(U47/('Optimal Choice'!$B$9*AP47))</f>
        <v>12.63311142</v>
      </c>
      <c r="I47" s="11">
        <f>(V47/$B47)+(V47/('Optimal Choice'!$B$14*AQ47))</f>
        <v>10.79869925</v>
      </c>
      <c r="J47" s="11">
        <f>(W47/$B47)+(W47/('Optimal Choice'!$B$19*AR47))</f>
        <v>47.08768586</v>
      </c>
      <c r="K47" s="11">
        <f>(X47/$B47)+(X47/('Optimal Choice'!$B$24*AS47))</f>
        <v>291.2517681</v>
      </c>
      <c r="N47" s="12">
        <f t="shared" ref="N47:R47" si="135">if(min($G46:$K46)=G46,N46+1,N46)</f>
        <v>37</v>
      </c>
      <c r="O47" s="12">
        <f t="shared" si="135"/>
        <v>9</v>
      </c>
      <c r="P47" s="12">
        <f t="shared" si="135"/>
        <v>0</v>
      </c>
      <c r="Q47" s="12">
        <f t="shared" si="135"/>
        <v>0</v>
      </c>
      <c r="R47" s="12">
        <f t="shared" si="135"/>
        <v>0</v>
      </c>
      <c r="T47" s="13">
        <f> 'Optimal Choice'!$B$5*'Optimal Choice'!$B$6^(N47+1)</f>
        <v>52.31708565</v>
      </c>
      <c r="U47" s="13">
        <f> 'Optimal Choice'!$B$10*'Optimal Choice'!$B$11^(O47+1)</f>
        <v>242.7334641</v>
      </c>
      <c r="V47" s="13">
        <f> 'Optimal Choice'!$B$15*'Optimal Choice'!$B$16^(P47+1)</f>
        <v>820.8</v>
      </c>
      <c r="W47" s="13">
        <f> 'Optimal Choice'!$B$20*'Optimal Choice'!$B$21^(Q47+1)</f>
        <v>9763.2</v>
      </c>
      <c r="X47" s="13">
        <f> 'Optimal Choice'!$B$25*'Optimal Choice'!$B$26^(R47+1)</f>
        <v>116121.6</v>
      </c>
      <c r="AA47" s="12">
        <f t="shared" ref="AA47:AE47" si="136">if(isna(VLOOKUP(N47,$D$2:$E$10,2,false)),AA46, VLOOKUP(N47,$D$2:$E$10,2,false))</f>
        <v>5</v>
      </c>
      <c r="AB47" s="15">
        <f t="shared" si="136"/>
        <v>1</v>
      </c>
      <c r="AC47" s="15">
        <f t="shared" si="136"/>
        <v>1</v>
      </c>
      <c r="AD47" s="15">
        <f t="shared" si="136"/>
        <v>1</v>
      </c>
      <c r="AE47" s="15">
        <f t="shared" si="136"/>
        <v>1</v>
      </c>
      <c r="AH47" s="15">
        <f>N47*'Optimal Choice'!$B$4*AA47</f>
        <v>308.95</v>
      </c>
      <c r="AI47" s="15">
        <f>O47*'Optimal Choice'!$B$9*AB47</f>
        <v>180</v>
      </c>
      <c r="AJ47" s="15">
        <f>P47*'Optimal Choice'!$B$14*AC47</f>
        <v>0</v>
      </c>
      <c r="AK47" s="15">
        <f>Q47*'Optimal Choice'!$B$19*AD47</f>
        <v>0</v>
      </c>
      <c r="AL47" s="15">
        <f>R47*'Optimal Choice'!$B$24*AE47</f>
        <v>0</v>
      </c>
      <c r="AO47" s="12">
        <f t="shared" ref="AO47:AS47" si="137">if(isna(VLOOKUP(N47+1,$D$2:$E$10,2,false)),AO46, VLOOKUP(N47+1,$D$2:$E$10,2,false))</f>
        <v>5</v>
      </c>
      <c r="AP47" s="15">
        <f t="shared" si="137"/>
        <v>1</v>
      </c>
      <c r="AQ47" s="15">
        <f t="shared" si="137"/>
        <v>1</v>
      </c>
      <c r="AR47" s="15">
        <f t="shared" si="137"/>
        <v>1</v>
      </c>
      <c r="AS47" s="15">
        <f t="shared" si="137"/>
        <v>1</v>
      </c>
      <c r="AU47" s="11">
        <f t="shared" si="8"/>
        <v>0.001695605235</v>
      </c>
    </row>
    <row r="48" ht="15.75" customHeight="1">
      <c r="A48" s="16">
        <f t="shared" si="4"/>
        <v>0.4339433806</v>
      </c>
      <c r="B48" s="7">
        <f>(sum(AH48:AL48))*'Optimal Choice'!$B$28</f>
        <v>497.3</v>
      </c>
      <c r="C48" s="11"/>
      <c r="D48" s="12"/>
      <c r="E48" s="12"/>
      <c r="F48" s="11"/>
      <c r="G48" s="11">
        <f>(T48/$B48)+(T48/('Optimal Choice'!$B$4*AO48))</f>
        <v>6.816672008</v>
      </c>
      <c r="H48" s="11">
        <f>(U48/$B48)+(U48/('Optimal Choice'!$B$9*AP48))</f>
        <v>12.62477589</v>
      </c>
      <c r="I48" s="11">
        <f>(V48/$B48)+(V48/('Optimal Choice'!$B$14*AQ48))</f>
        <v>10.77051277</v>
      </c>
      <c r="J48" s="11">
        <f>(W48/$B48)+(W48/('Optimal Choice'!$B$19*AR48))</f>
        <v>46.75241504</v>
      </c>
      <c r="K48" s="11">
        <f>(X48/$B48)+(X48/('Optimal Choice'!$B$24*AS48))</f>
        <v>287.2641223</v>
      </c>
      <c r="N48" s="12">
        <f t="shared" ref="N48:R48" si="138">if(min($G47:$K47)=G47,N47+1,N47)</f>
        <v>38</v>
      </c>
      <c r="O48" s="12">
        <f t="shared" si="138"/>
        <v>9</v>
      </c>
      <c r="P48" s="12">
        <f t="shared" si="138"/>
        <v>0</v>
      </c>
      <c r="Q48" s="12">
        <f t="shared" si="138"/>
        <v>0</v>
      </c>
      <c r="R48" s="12">
        <f t="shared" si="138"/>
        <v>0</v>
      </c>
      <c r="T48" s="13">
        <f> 'Optimal Choice'!$B$5*'Optimal Choice'!$B$6^(N48+1)</f>
        <v>55.97928164</v>
      </c>
      <c r="U48" s="13">
        <f> 'Optimal Choice'!$B$10*'Optimal Choice'!$B$11^(O48+1)</f>
        <v>242.7334641</v>
      </c>
      <c r="V48" s="13">
        <f> 'Optimal Choice'!$B$15*'Optimal Choice'!$B$16^(P48+1)</f>
        <v>820.8</v>
      </c>
      <c r="W48" s="13">
        <f> 'Optimal Choice'!$B$20*'Optimal Choice'!$B$21^(Q48+1)</f>
        <v>9763.2</v>
      </c>
      <c r="X48" s="13">
        <f> 'Optimal Choice'!$B$25*'Optimal Choice'!$B$26^(R48+1)</f>
        <v>116121.6</v>
      </c>
      <c r="AA48" s="12">
        <f t="shared" ref="AA48:AE48" si="139">if(isna(VLOOKUP(N48,$D$2:$E$10,2,false)),AA47, VLOOKUP(N48,$D$2:$E$10,2,false))</f>
        <v>5</v>
      </c>
      <c r="AB48" s="15">
        <f t="shared" si="139"/>
        <v>1</v>
      </c>
      <c r="AC48" s="15">
        <f t="shared" si="139"/>
        <v>1</v>
      </c>
      <c r="AD48" s="15">
        <f t="shared" si="139"/>
        <v>1</v>
      </c>
      <c r="AE48" s="15">
        <f t="shared" si="139"/>
        <v>1</v>
      </c>
      <c r="AH48" s="15">
        <f>N48*'Optimal Choice'!$B$4*AA48</f>
        <v>317.3</v>
      </c>
      <c r="AI48" s="15">
        <f>O48*'Optimal Choice'!$B$9*AB48</f>
        <v>180</v>
      </c>
      <c r="AJ48" s="15">
        <f>P48*'Optimal Choice'!$B$14*AC48</f>
        <v>0</v>
      </c>
      <c r="AK48" s="15">
        <f>Q48*'Optimal Choice'!$B$19*AD48</f>
        <v>0</v>
      </c>
      <c r="AL48" s="15">
        <f>R48*'Optimal Choice'!$B$24*AE48</f>
        <v>0</v>
      </c>
      <c r="AO48" s="12">
        <f t="shared" ref="AO48:AS48" si="140">if(isna(VLOOKUP(N48+1,$D$2:$E$10,2,false)),AO47, VLOOKUP(N48+1,$D$2:$E$10,2,false))</f>
        <v>5</v>
      </c>
      <c r="AP48" s="15">
        <f t="shared" si="140"/>
        <v>1</v>
      </c>
      <c r="AQ48" s="15">
        <f t="shared" si="140"/>
        <v>1</v>
      </c>
      <c r="AR48" s="15">
        <f t="shared" si="140"/>
        <v>1</v>
      </c>
      <c r="AS48" s="15">
        <f t="shared" si="140"/>
        <v>1</v>
      </c>
      <c r="AU48" s="11">
        <f t="shared" si="8"/>
        <v>0.001783314096</v>
      </c>
    </row>
    <row r="49" ht="15.75" customHeight="1">
      <c r="A49" s="16">
        <f t="shared" si="4"/>
        <v>0.4358194876</v>
      </c>
      <c r="B49" s="7">
        <f>(sum(AH49:AL49))*'Optimal Choice'!$B$28</f>
        <v>505.65</v>
      </c>
      <c r="C49" s="11"/>
      <c r="D49" s="12"/>
      <c r="E49" s="12"/>
      <c r="F49" s="11"/>
      <c r="G49" s="11">
        <f>(T49/$B49)+(T49/('Optimal Choice'!$B$4*AO49))</f>
        <v>7.291850074</v>
      </c>
      <c r="H49" s="11">
        <f>(U49/$B49)+(U49/('Optimal Choice'!$B$9*AP49))</f>
        <v>12.61671566</v>
      </c>
      <c r="I49" s="11">
        <f>(V49/$B49)+(V49/('Optimal Choice'!$B$14*AQ49))</f>
        <v>10.74325719</v>
      </c>
      <c r="J49" s="11">
        <f>(W49/$B49)+(W49/('Optimal Choice'!$B$19*AR49))</f>
        <v>46.42821715</v>
      </c>
      <c r="K49" s="11">
        <f>(X49/$B49)+(X49/('Optimal Choice'!$B$24*AS49))</f>
        <v>283.4081756</v>
      </c>
      <c r="N49" s="12">
        <f t="shared" ref="N49:R49" si="141">if(min($G48:$K48)=G48,N48+1,N48)</f>
        <v>39</v>
      </c>
      <c r="O49" s="12">
        <f t="shared" si="141"/>
        <v>9</v>
      </c>
      <c r="P49" s="12">
        <f t="shared" si="141"/>
        <v>0</v>
      </c>
      <c r="Q49" s="12">
        <f t="shared" si="141"/>
        <v>0</v>
      </c>
      <c r="R49" s="12">
        <f t="shared" si="141"/>
        <v>0</v>
      </c>
      <c r="T49" s="13">
        <f> 'Optimal Choice'!$B$5*'Optimal Choice'!$B$6^(N49+1)</f>
        <v>59.89783136</v>
      </c>
      <c r="U49" s="13">
        <f> 'Optimal Choice'!$B$10*'Optimal Choice'!$B$11^(O49+1)</f>
        <v>242.7334641</v>
      </c>
      <c r="V49" s="13">
        <f> 'Optimal Choice'!$B$15*'Optimal Choice'!$B$16^(P49+1)</f>
        <v>820.8</v>
      </c>
      <c r="W49" s="13">
        <f> 'Optimal Choice'!$B$20*'Optimal Choice'!$B$21^(Q49+1)</f>
        <v>9763.2</v>
      </c>
      <c r="X49" s="13">
        <f> 'Optimal Choice'!$B$25*'Optimal Choice'!$B$26^(R49+1)</f>
        <v>116121.6</v>
      </c>
      <c r="AA49" s="12">
        <f t="shared" ref="AA49:AE49" si="142">if(isna(VLOOKUP(N49,$D$2:$E$10,2,false)),AA48, VLOOKUP(N49,$D$2:$E$10,2,false))</f>
        <v>5</v>
      </c>
      <c r="AB49" s="15">
        <f t="shared" si="142"/>
        <v>1</v>
      </c>
      <c r="AC49" s="15">
        <f t="shared" si="142"/>
        <v>1</v>
      </c>
      <c r="AD49" s="15">
        <f t="shared" si="142"/>
        <v>1</v>
      </c>
      <c r="AE49" s="15">
        <f t="shared" si="142"/>
        <v>1</v>
      </c>
      <c r="AH49" s="15">
        <f>N49*'Optimal Choice'!$B$4*AA49</f>
        <v>325.65</v>
      </c>
      <c r="AI49" s="15">
        <f>O49*'Optimal Choice'!$B$9*AB49</f>
        <v>180</v>
      </c>
      <c r="AJ49" s="15">
        <f>P49*'Optimal Choice'!$B$14*AC49</f>
        <v>0</v>
      </c>
      <c r="AK49" s="15">
        <f>Q49*'Optimal Choice'!$B$19*AD49</f>
        <v>0</v>
      </c>
      <c r="AL49" s="15">
        <f>R49*'Optimal Choice'!$B$24*AE49</f>
        <v>0</v>
      </c>
      <c r="AO49" s="12">
        <f t="shared" ref="AO49:AS49" si="143">if(isna(VLOOKUP(N49+1,$D$2:$E$10,2,false)),AO48, VLOOKUP(N49+1,$D$2:$E$10,2,false))</f>
        <v>5</v>
      </c>
      <c r="AP49" s="15">
        <f t="shared" si="143"/>
        <v>1</v>
      </c>
      <c r="AQ49" s="15">
        <f t="shared" si="143"/>
        <v>1</v>
      </c>
      <c r="AR49" s="15">
        <f t="shared" si="143"/>
        <v>1</v>
      </c>
      <c r="AS49" s="15">
        <f t="shared" si="143"/>
        <v>1</v>
      </c>
      <c r="AU49" s="11">
        <f t="shared" si="8"/>
        <v>0.001876107033</v>
      </c>
    </row>
    <row r="50" ht="15.75" customHeight="1">
      <c r="A50" s="16">
        <f t="shared" si="4"/>
        <v>0.4377937725</v>
      </c>
      <c r="B50" s="7">
        <f>(sum(AH50:AL50))*'Optimal Choice'!$B$28</f>
        <v>514</v>
      </c>
      <c r="C50" s="11"/>
      <c r="D50" s="12"/>
      <c r="E50" s="12"/>
      <c r="F50" s="11"/>
      <c r="G50" s="11">
        <f>(T50/$B50)+(T50/('Optimal Choice'!$B$4*AO50))</f>
        <v>7.800220523</v>
      </c>
      <c r="H50" s="11">
        <f>(U50/$B50)+(U50/('Optimal Choice'!$B$9*AP50))</f>
        <v>12.6089173</v>
      </c>
      <c r="I50" s="11">
        <f>(V50/$B50)+(V50/('Optimal Choice'!$B$14*AQ50))</f>
        <v>10.71688716</v>
      </c>
      <c r="J50" s="11">
        <f>(W50/$B50)+(W50/('Optimal Choice'!$B$19*AR50))</f>
        <v>46.11455253</v>
      </c>
      <c r="K50" s="11">
        <f>(X50/$B50)+(X50/('Optimal Choice'!$B$24*AS50))</f>
        <v>279.6775097</v>
      </c>
      <c r="N50" s="12">
        <f t="shared" ref="N50:R50" si="144">if(min($G49:$K49)=G49,N49+1,N49)</f>
        <v>40</v>
      </c>
      <c r="O50" s="12">
        <f t="shared" si="144"/>
        <v>9</v>
      </c>
      <c r="P50" s="12">
        <f t="shared" si="144"/>
        <v>0</v>
      </c>
      <c r="Q50" s="12">
        <f t="shared" si="144"/>
        <v>0</v>
      </c>
      <c r="R50" s="12">
        <f t="shared" si="144"/>
        <v>0</v>
      </c>
      <c r="T50" s="13">
        <f> 'Optimal Choice'!$B$5*'Optimal Choice'!$B$6^(N50+1)</f>
        <v>64.09067955</v>
      </c>
      <c r="U50" s="13">
        <f> 'Optimal Choice'!$B$10*'Optimal Choice'!$B$11^(O50+1)</f>
        <v>242.7334641</v>
      </c>
      <c r="V50" s="13">
        <f> 'Optimal Choice'!$B$15*'Optimal Choice'!$B$16^(P50+1)</f>
        <v>820.8</v>
      </c>
      <c r="W50" s="13">
        <f> 'Optimal Choice'!$B$20*'Optimal Choice'!$B$21^(Q50+1)</f>
        <v>9763.2</v>
      </c>
      <c r="X50" s="13">
        <f> 'Optimal Choice'!$B$25*'Optimal Choice'!$B$26^(R50+1)</f>
        <v>116121.6</v>
      </c>
      <c r="AA50" s="12">
        <f t="shared" ref="AA50:AE50" si="145">if(isna(VLOOKUP(N50,$D$2:$E$10,2,false)),AA49, VLOOKUP(N50,$D$2:$E$10,2,false))</f>
        <v>5</v>
      </c>
      <c r="AB50" s="15">
        <f t="shared" si="145"/>
        <v>1</v>
      </c>
      <c r="AC50" s="15">
        <f t="shared" si="145"/>
        <v>1</v>
      </c>
      <c r="AD50" s="15">
        <f t="shared" si="145"/>
        <v>1</v>
      </c>
      <c r="AE50" s="15">
        <f t="shared" si="145"/>
        <v>1</v>
      </c>
      <c r="AH50" s="15">
        <f>N50*'Optimal Choice'!$B$4*AA50</f>
        <v>334</v>
      </c>
      <c r="AI50" s="15">
        <f>O50*'Optimal Choice'!$B$9*AB50</f>
        <v>180</v>
      </c>
      <c r="AJ50" s="15">
        <f>P50*'Optimal Choice'!$B$14*AC50</f>
        <v>0</v>
      </c>
      <c r="AK50" s="15">
        <f>Q50*'Optimal Choice'!$B$19*AD50</f>
        <v>0</v>
      </c>
      <c r="AL50" s="15">
        <f>R50*'Optimal Choice'!$B$24*AE50</f>
        <v>0</v>
      </c>
      <c r="AO50" s="12">
        <f t="shared" ref="AO50:AS50" si="146">if(isna(VLOOKUP(N50+1,$D$2:$E$10,2,false)),AO49, VLOOKUP(N50+1,$D$2:$E$10,2,false))</f>
        <v>5</v>
      </c>
      <c r="AP50" s="15">
        <f t="shared" si="146"/>
        <v>1</v>
      </c>
      <c r="AQ50" s="15">
        <f t="shared" si="146"/>
        <v>1</v>
      </c>
      <c r="AR50" s="15">
        <f t="shared" si="146"/>
        <v>1</v>
      </c>
      <c r="AS50" s="15">
        <f t="shared" si="146"/>
        <v>1</v>
      </c>
      <c r="AU50" s="11">
        <f t="shared" si="8"/>
        <v>0.001974284959</v>
      </c>
    </row>
    <row r="51" ht="15.75" customHeight="1">
      <c r="A51" s="16">
        <f t="shared" si="4"/>
        <v>0.4398719398</v>
      </c>
      <c r="B51" s="7">
        <f>(sum(AH51:AL51))*'Optimal Choice'!$B$28</f>
        <v>522.35</v>
      </c>
      <c r="C51" s="11"/>
      <c r="D51" s="12"/>
      <c r="E51" s="12"/>
      <c r="F51" s="11"/>
      <c r="G51" s="11">
        <f>(T51/$B51)+(T51/('Optimal Choice'!$B$4*AO51))</f>
        <v>8.344103208</v>
      </c>
      <c r="H51" s="11">
        <f>(U51/$B51)+(U51/('Optimal Choice'!$B$9*AP51))</f>
        <v>12.60136827</v>
      </c>
      <c r="I51" s="11">
        <f>(V51/$B51)+(V51/('Optimal Choice'!$B$14*AQ51))</f>
        <v>10.6913602</v>
      </c>
      <c r="J51" s="11">
        <f>(W51/$B51)+(W51/('Optimal Choice'!$B$19*AR51))</f>
        <v>45.81091605</v>
      </c>
      <c r="K51" s="11">
        <f>(X51/$B51)+(X51/('Optimal Choice'!$B$24*AS51))</f>
        <v>276.0661166</v>
      </c>
      <c r="N51" s="12">
        <f t="shared" ref="N51:R51" si="147">if(min($G50:$K50)=G50,N50+1,N50)</f>
        <v>41</v>
      </c>
      <c r="O51" s="12">
        <f t="shared" si="147"/>
        <v>9</v>
      </c>
      <c r="P51" s="12">
        <f t="shared" si="147"/>
        <v>0</v>
      </c>
      <c r="Q51" s="12">
        <f t="shared" si="147"/>
        <v>0</v>
      </c>
      <c r="R51" s="12">
        <f t="shared" si="147"/>
        <v>0</v>
      </c>
      <c r="T51" s="13">
        <f> 'Optimal Choice'!$B$5*'Optimal Choice'!$B$6^(N51+1)</f>
        <v>68.57702712</v>
      </c>
      <c r="U51" s="13">
        <f> 'Optimal Choice'!$B$10*'Optimal Choice'!$B$11^(O51+1)</f>
        <v>242.7334641</v>
      </c>
      <c r="V51" s="13">
        <f> 'Optimal Choice'!$B$15*'Optimal Choice'!$B$16^(P51+1)</f>
        <v>820.8</v>
      </c>
      <c r="W51" s="13">
        <f> 'Optimal Choice'!$B$20*'Optimal Choice'!$B$21^(Q51+1)</f>
        <v>9763.2</v>
      </c>
      <c r="X51" s="13">
        <f> 'Optimal Choice'!$B$25*'Optimal Choice'!$B$26^(R51+1)</f>
        <v>116121.6</v>
      </c>
      <c r="AA51" s="12">
        <f t="shared" ref="AA51:AE51" si="148">if(isna(VLOOKUP(N51,$D$2:$E$10,2,false)),AA50, VLOOKUP(N51,$D$2:$E$10,2,false))</f>
        <v>5</v>
      </c>
      <c r="AB51" s="15">
        <f t="shared" si="148"/>
        <v>1</v>
      </c>
      <c r="AC51" s="15">
        <f t="shared" si="148"/>
        <v>1</v>
      </c>
      <c r="AD51" s="15">
        <f t="shared" si="148"/>
        <v>1</v>
      </c>
      <c r="AE51" s="15">
        <f t="shared" si="148"/>
        <v>1</v>
      </c>
      <c r="AH51" s="15">
        <f>N51*'Optimal Choice'!$B$4*AA51</f>
        <v>342.35</v>
      </c>
      <c r="AI51" s="15">
        <f>O51*'Optimal Choice'!$B$9*AB51</f>
        <v>180</v>
      </c>
      <c r="AJ51" s="15">
        <f>P51*'Optimal Choice'!$B$14*AC51</f>
        <v>0</v>
      </c>
      <c r="AK51" s="15">
        <f>Q51*'Optimal Choice'!$B$19*AD51</f>
        <v>0</v>
      </c>
      <c r="AL51" s="15">
        <f>R51*'Optimal Choice'!$B$24*AE51</f>
        <v>0</v>
      </c>
      <c r="AO51" s="12">
        <f t="shared" ref="AO51:AS51" si="149">if(isna(VLOOKUP(N51+1,$D$2:$E$10,2,false)),AO50, VLOOKUP(N51+1,$D$2:$E$10,2,false))</f>
        <v>5</v>
      </c>
      <c r="AP51" s="15">
        <f t="shared" si="149"/>
        <v>1</v>
      </c>
      <c r="AQ51" s="15">
        <f t="shared" si="149"/>
        <v>1</v>
      </c>
      <c r="AR51" s="15">
        <f t="shared" si="149"/>
        <v>1</v>
      </c>
      <c r="AS51" s="15">
        <f t="shared" si="149"/>
        <v>1</v>
      </c>
      <c r="AU51" s="11">
        <f t="shared" si="8"/>
        <v>0.002078167301</v>
      </c>
    </row>
    <row r="52" ht="15.75" customHeight="1">
      <c r="A52" s="16">
        <f t="shared" si="4"/>
        <v>0.442060033</v>
      </c>
      <c r="B52" s="7">
        <f>(sum(AH52:AL52))*'Optimal Choice'!$B$28</f>
        <v>530.7</v>
      </c>
      <c r="C52" s="11"/>
      <c r="D52" s="12"/>
      <c r="E52" s="12"/>
      <c r="F52" s="11"/>
      <c r="G52" s="11">
        <f>(T52/$B52)+(T52/('Optimal Choice'!$B$4*AO52))</f>
        <v>8.925980198</v>
      </c>
      <c r="H52" s="11">
        <f>(U52/$B52)+(U52/('Optimal Choice'!$B$9*AP52))</f>
        <v>12.59405678</v>
      </c>
      <c r="I52" s="11">
        <f>(V52/$B52)+(V52/('Optimal Choice'!$B$14*AQ52))</f>
        <v>10.66663652</v>
      </c>
      <c r="J52" s="11">
        <f>(W52/$B52)+(W52/('Optimal Choice'!$B$19*AR52))</f>
        <v>45.51683437</v>
      </c>
      <c r="K52" s="11">
        <f>(X52/$B52)+(X52/('Optimal Choice'!$B$24*AS52))</f>
        <v>272.5683663</v>
      </c>
      <c r="N52" s="12">
        <f t="shared" ref="N52:R52" si="150">if(min($G51:$K51)=G51,N51+1,N51)</f>
        <v>42</v>
      </c>
      <c r="O52" s="12">
        <f t="shared" si="150"/>
        <v>9</v>
      </c>
      <c r="P52" s="12">
        <f t="shared" si="150"/>
        <v>0</v>
      </c>
      <c r="Q52" s="12">
        <f t="shared" si="150"/>
        <v>0</v>
      </c>
      <c r="R52" s="12">
        <f t="shared" si="150"/>
        <v>0</v>
      </c>
      <c r="T52" s="13">
        <f> 'Optimal Choice'!$B$5*'Optimal Choice'!$B$6^(N52+1)</f>
        <v>73.37741902</v>
      </c>
      <c r="U52" s="13">
        <f> 'Optimal Choice'!$B$10*'Optimal Choice'!$B$11^(O52+1)</f>
        <v>242.7334641</v>
      </c>
      <c r="V52" s="13">
        <f> 'Optimal Choice'!$B$15*'Optimal Choice'!$B$16^(P52+1)</f>
        <v>820.8</v>
      </c>
      <c r="W52" s="13">
        <f> 'Optimal Choice'!$B$20*'Optimal Choice'!$B$21^(Q52+1)</f>
        <v>9763.2</v>
      </c>
      <c r="X52" s="13">
        <f> 'Optimal Choice'!$B$25*'Optimal Choice'!$B$26^(R52+1)</f>
        <v>116121.6</v>
      </c>
      <c r="AA52" s="12">
        <f t="shared" ref="AA52:AE52" si="151">if(isna(VLOOKUP(N52,$D$2:$E$10,2,false)),AA51, VLOOKUP(N52,$D$2:$E$10,2,false))</f>
        <v>5</v>
      </c>
      <c r="AB52" s="15">
        <f t="shared" si="151"/>
        <v>1</v>
      </c>
      <c r="AC52" s="15">
        <f t="shared" si="151"/>
        <v>1</v>
      </c>
      <c r="AD52" s="15">
        <f t="shared" si="151"/>
        <v>1</v>
      </c>
      <c r="AE52" s="15">
        <f t="shared" si="151"/>
        <v>1</v>
      </c>
      <c r="AH52" s="15">
        <f>N52*'Optimal Choice'!$B$4*AA52</f>
        <v>350.7</v>
      </c>
      <c r="AI52" s="15">
        <f>O52*'Optimal Choice'!$B$9*AB52</f>
        <v>180</v>
      </c>
      <c r="AJ52" s="15">
        <f>P52*'Optimal Choice'!$B$14*AC52</f>
        <v>0</v>
      </c>
      <c r="AK52" s="15">
        <f>Q52*'Optimal Choice'!$B$19*AD52</f>
        <v>0</v>
      </c>
      <c r="AL52" s="15">
        <f>R52*'Optimal Choice'!$B$24*AE52</f>
        <v>0</v>
      </c>
      <c r="AO52" s="12">
        <f t="shared" ref="AO52:AS52" si="152">if(isna(VLOOKUP(N52+1,$D$2:$E$10,2,false)),AO51, VLOOKUP(N52+1,$D$2:$E$10,2,false))</f>
        <v>5</v>
      </c>
      <c r="AP52" s="15">
        <f t="shared" si="152"/>
        <v>1</v>
      </c>
      <c r="AQ52" s="15">
        <f t="shared" si="152"/>
        <v>1</v>
      </c>
      <c r="AR52" s="15">
        <f t="shared" si="152"/>
        <v>1</v>
      </c>
      <c r="AS52" s="15">
        <f t="shared" si="152"/>
        <v>1</v>
      </c>
      <c r="AU52" s="11">
        <f t="shared" si="8"/>
        <v>0.002188093141</v>
      </c>
    </row>
    <row r="53" ht="15.75" customHeight="1">
      <c r="A53" s="16">
        <f t="shared" si="4"/>
        <v>0.4443644554</v>
      </c>
      <c r="B53" s="7">
        <f>(sum(AH53:AL53))*'Optimal Choice'!$B$28</f>
        <v>539.05</v>
      </c>
      <c r="C53" s="11"/>
      <c r="D53" s="12"/>
      <c r="E53" s="12"/>
      <c r="F53" s="11"/>
      <c r="G53" s="11">
        <f>(T53/$B53)+(T53/('Optimal Choice'!$B$4*AO53))</f>
        <v>9.548507129</v>
      </c>
      <c r="H53" s="11">
        <f>(U53/$B53)+(U53/('Optimal Choice'!$B$9*AP53))</f>
        <v>12.58697181</v>
      </c>
      <c r="I53" s="11">
        <f>(V53/$B53)+(V53/('Optimal Choice'!$B$14*AQ53))</f>
        <v>10.64267879</v>
      </c>
      <c r="J53" s="11">
        <f>(W53/$B53)+(W53/('Optimal Choice'!$B$19*AR53))</f>
        <v>45.23186346</v>
      </c>
      <c r="K53" s="11">
        <f>(X53/$B53)+(X53/('Optimal Choice'!$B$24*AS53))</f>
        <v>269.1789778</v>
      </c>
      <c r="N53" s="12">
        <f t="shared" ref="N53:R53" si="153">if(min($G52:$K52)=G52,N52+1,N52)</f>
        <v>43</v>
      </c>
      <c r="O53" s="12">
        <f t="shared" si="153"/>
        <v>9</v>
      </c>
      <c r="P53" s="12">
        <f t="shared" si="153"/>
        <v>0</v>
      </c>
      <c r="Q53" s="12">
        <f t="shared" si="153"/>
        <v>0</v>
      </c>
      <c r="R53" s="12">
        <f t="shared" si="153"/>
        <v>0</v>
      </c>
      <c r="T53" s="13">
        <f> 'Optimal Choice'!$B$5*'Optimal Choice'!$B$6^(N53+1)</f>
        <v>78.51383835</v>
      </c>
      <c r="U53" s="13">
        <f> 'Optimal Choice'!$B$10*'Optimal Choice'!$B$11^(O53+1)</f>
        <v>242.7334641</v>
      </c>
      <c r="V53" s="13">
        <f> 'Optimal Choice'!$B$15*'Optimal Choice'!$B$16^(P53+1)</f>
        <v>820.8</v>
      </c>
      <c r="W53" s="13">
        <f> 'Optimal Choice'!$B$20*'Optimal Choice'!$B$21^(Q53+1)</f>
        <v>9763.2</v>
      </c>
      <c r="X53" s="13">
        <f> 'Optimal Choice'!$B$25*'Optimal Choice'!$B$26^(R53+1)</f>
        <v>116121.6</v>
      </c>
      <c r="AA53" s="12">
        <f t="shared" ref="AA53:AE53" si="154">if(isna(VLOOKUP(N53,$D$2:$E$10,2,false)),AA52, VLOOKUP(N53,$D$2:$E$10,2,false))</f>
        <v>5</v>
      </c>
      <c r="AB53" s="15">
        <f t="shared" si="154"/>
        <v>1</v>
      </c>
      <c r="AC53" s="15">
        <f t="shared" si="154"/>
        <v>1</v>
      </c>
      <c r="AD53" s="15">
        <f t="shared" si="154"/>
        <v>1</v>
      </c>
      <c r="AE53" s="15">
        <f t="shared" si="154"/>
        <v>1</v>
      </c>
      <c r="AH53" s="15">
        <f>N53*'Optimal Choice'!$B$4*AA53</f>
        <v>359.05</v>
      </c>
      <c r="AI53" s="15">
        <f>O53*'Optimal Choice'!$B$9*AB53</f>
        <v>180</v>
      </c>
      <c r="AJ53" s="15">
        <f>P53*'Optimal Choice'!$B$14*AC53</f>
        <v>0</v>
      </c>
      <c r="AK53" s="15">
        <f>Q53*'Optimal Choice'!$B$19*AD53</f>
        <v>0</v>
      </c>
      <c r="AL53" s="15">
        <f>R53*'Optimal Choice'!$B$24*AE53</f>
        <v>0</v>
      </c>
      <c r="AO53" s="12">
        <f t="shared" ref="AO53:AS53" si="155">if(isna(VLOOKUP(N53+1,$D$2:$E$10,2,false)),AO52, VLOOKUP(N53+1,$D$2:$E$10,2,false))</f>
        <v>5</v>
      </c>
      <c r="AP53" s="15">
        <f t="shared" si="155"/>
        <v>1</v>
      </c>
      <c r="AQ53" s="15">
        <f t="shared" si="155"/>
        <v>1</v>
      </c>
      <c r="AR53" s="15">
        <f t="shared" si="155"/>
        <v>1</v>
      </c>
      <c r="AS53" s="15">
        <f t="shared" si="155"/>
        <v>1</v>
      </c>
      <c r="AU53" s="11">
        <f t="shared" si="8"/>
        <v>0.00230442243</v>
      </c>
    </row>
    <row r="54" ht="15.75" customHeight="1">
      <c r="A54" s="16">
        <f t="shared" si="4"/>
        <v>0.4467919927</v>
      </c>
      <c r="B54" s="7">
        <f>(sum(AH54:AL54))*'Optimal Choice'!$B$28</f>
        <v>547.4</v>
      </c>
      <c r="C54" s="11"/>
      <c r="D54" s="12"/>
      <c r="E54" s="12"/>
      <c r="F54" s="11"/>
      <c r="G54" s="11">
        <f>(T54/$B54)+(T54/('Optimal Choice'!$B$4*AO54))</f>
        <v>10.21452534</v>
      </c>
      <c r="H54" s="11">
        <f>(U54/$B54)+(U54/('Optimal Choice'!$B$9*AP54))</f>
        <v>12.58010299</v>
      </c>
      <c r="I54" s="11">
        <f>(V54/$B54)+(V54/('Optimal Choice'!$B$14*AQ54))</f>
        <v>10.61945195</v>
      </c>
      <c r="J54" s="11">
        <f>(W54/$B54)+(W54/('Optimal Choice'!$B$19*AR54))</f>
        <v>44.95558641</v>
      </c>
      <c r="K54" s="11">
        <f>(X54/$B54)+(X54/('Optimal Choice'!$B$24*AS54))</f>
        <v>265.8929923</v>
      </c>
      <c r="N54" s="12">
        <f t="shared" ref="N54:R54" si="156">if(min($G53:$K53)=G53,N53+1,N53)</f>
        <v>44</v>
      </c>
      <c r="O54" s="12">
        <f t="shared" si="156"/>
        <v>9</v>
      </c>
      <c r="P54" s="12">
        <f t="shared" si="156"/>
        <v>0</v>
      </c>
      <c r="Q54" s="12">
        <f t="shared" si="156"/>
        <v>0</v>
      </c>
      <c r="R54" s="12">
        <f t="shared" si="156"/>
        <v>0</v>
      </c>
      <c r="T54" s="13">
        <f> 'Optimal Choice'!$B$5*'Optimal Choice'!$B$6^(N54+1)</f>
        <v>84.00980703</v>
      </c>
      <c r="U54" s="13">
        <f> 'Optimal Choice'!$B$10*'Optimal Choice'!$B$11^(O54+1)</f>
        <v>242.7334641</v>
      </c>
      <c r="V54" s="13">
        <f> 'Optimal Choice'!$B$15*'Optimal Choice'!$B$16^(P54+1)</f>
        <v>820.8</v>
      </c>
      <c r="W54" s="13">
        <f> 'Optimal Choice'!$B$20*'Optimal Choice'!$B$21^(Q54+1)</f>
        <v>9763.2</v>
      </c>
      <c r="X54" s="13">
        <f> 'Optimal Choice'!$B$25*'Optimal Choice'!$B$26^(R54+1)</f>
        <v>116121.6</v>
      </c>
      <c r="AA54" s="12">
        <f t="shared" ref="AA54:AE54" si="157">if(isna(VLOOKUP(N54,$D$2:$E$10,2,false)),AA53, VLOOKUP(N54,$D$2:$E$10,2,false))</f>
        <v>5</v>
      </c>
      <c r="AB54" s="15">
        <f t="shared" si="157"/>
        <v>1</v>
      </c>
      <c r="AC54" s="15">
        <f t="shared" si="157"/>
        <v>1</v>
      </c>
      <c r="AD54" s="15">
        <f t="shared" si="157"/>
        <v>1</v>
      </c>
      <c r="AE54" s="15">
        <f t="shared" si="157"/>
        <v>1</v>
      </c>
      <c r="AH54" s="15">
        <f>N54*'Optimal Choice'!$B$4*AA54</f>
        <v>367.4</v>
      </c>
      <c r="AI54" s="15">
        <f>O54*'Optimal Choice'!$B$9*AB54</f>
        <v>180</v>
      </c>
      <c r="AJ54" s="15">
        <f>P54*'Optimal Choice'!$B$14*AC54</f>
        <v>0</v>
      </c>
      <c r="AK54" s="15">
        <f>Q54*'Optimal Choice'!$B$19*AD54</f>
        <v>0</v>
      </c>
      <c r="AL54" s="15">
        <f>R54*'Optimal Choice'!$B$24*AE54</f>
        <v>0</v>
      </c>
      <c r="AO54" s="12">
        <f t="shared" ref="AO54:AS54" si="158">if(isna(VLOOKUP(N54+1,$D$2:$E$10,2,false)),AO53, VLOOKUP(N54+1,$D$2:$E$10,2,false))</f>
        <v>5</v>
      </c>
      <c r="AP54" s="15">
        <f t="shared" si="158"/>
        <v>1</v>
      </c>
      <c r="AQ54" s="15">
        <f t="shared" si="158"/>
        <v>1</v>
      </c>
      <c r="AR54" s="15">
        <f t="shared" si="158"/>
        <v>1</v>
      </c>
      <c r="AS54" s="15">
        <f t="shared" si="158"/>
        <v>1</v>
      </c>
      <c r="AU54" s="11">
        <f t="shared" si="8"/>
        <v>0.002427537283</v>
      </c>
    </row>
    <row r="55" ht="15.75" customHeight="1">
      <c r="A55" s="16">
        <f t="shared" si="4"/>
        <v>0.449349836</v>
      </c>
      <c r="B55" s="7">
        <f>(sum(AH55:AL55))*'Optimal Choice'!$B$28</f>
        <v>555.75</v>
      </c>
      <c r="C55" s="11"/>
      <c r="D55" s="12"/>
      <c r="E55" s="12"/>
      <c r="F55" s="11"/>
      <c r="G55" s="11">
        <f>(T55/$B55)+(T55/('Optimal Choice'!$B$4*AO55))</f>
        <v>10.92707484</v>
      </c>
      <c r="H55" s="11">
        <f>(U55/$B55)+(U55/('Optimal Choice'!$B$9*AP55))</f>
        <v>12.57344057</v>
      </c>
      <c r="I55" s="11">
        <f>(V55/$B55)+(V55/('Optimal Choice'!$B$14*AQ55))</f>
        <v>10.59692308</v>
      </c>
      <c r="J55" s="11">
        <f>(W55/$B55)+(W55/('Optimal Choice'!$B$19*AR55))</f>
        <v>44.68761134</v>
      </c>
      <c r="K55" s="11">
        <f>(X55/$B55)+(X55/('Optimal Choice'!$B$24*AS55))</f>
        <v>262.705749</v>
      </c>
      <c r="N55" s="12">
        <f t="shared" ref="N55:R55" si="159">if(min($G54:$K54)=G54,N54+1,N54)</f>
        <v>45</v>
      </c>
      <c r="O55" s="12">
        <f t="shared" si="159"/>
        <v>9</v>
      </c>
      <c r="P55" s="12">
        <f t="shared" si="159"/>
        <v>0</v>
      </c>
      <c r="Q55" s="12">
        <f t="shared" si="159"/>
        <v>0</v>
      </c>
      <c r="R55" s="12">
        <f t="shared" si="159"/>
        <v>0</v>
      </c>
      <c r="T55" s="13">
        <f> 'Optimal Choice'!$B$5*'Optimal Choice'!$B$6^(N55+1)</f>
        <v>89.89049353</v>
      </c>
      <c r="U55" s="13">
        <f> 'Optimal Choice'!$B$10*'Optimal Choice'!$B$11^(O55+1)</f>
        <v>242.7334641</v>
      </c>
      <c r="V55" s="13">
        <f> 'Optimal Choice'!$B$15*'Optimal Choice'!$B$16^(P55+1)</f>
        <v>820.8</v>
      </c>
      <c r="W55" s="13">
        <f> 'Optimal Choice'!$B$20*'Optimal Choice'!$B$21^(Q55+1)</f>
        <v>9763.2</v>
      </c>
      <c r="X55" s="13">
        <f> 'Optimal Choice'!$B$25*'Optimal Choice'!$B$26^(R55+1)</f>
        <v>116121.6</v>
      </c>
      <c r="AA55" s="12">
        <f t="shared" ref="AA55:AE55" si="160">if(isna(VLOOKUP(N55,$D$2:$E$10,2,false)),AA54, VLOOKUP(N55,$D$2:$E$10,2,false))</f>
        <v>5</v>
      </c>
      <c r="AB55" s="15">
        <f t="shared" si="160"/>
        <v>1</v>
      </c>
      <c r="AC55" s="15">
        <f t="shared" si="160"/>
        <v>1</v>
      </c>
      <c r="AD55" s="15">
        <f t="shared" si="160"/>
        <v>1</v>
      </c>
      <c r="AE55" s="15">
        <f t="shared" si="160"/>
        <v>1</v>
      </c>
      <c r="AH55" s="15">
        <f>N55*'Optimal Choice'!$B$4*AA55</f>
        <v>375.75</v>
      </c>
      <c r="AI55" s="15">
        <f>O55*'Optimal Choice'!$B$9*AB55</f>
        <v>180</v>
      </c>
      <c r="AJ55" s="15">
        <f>P55*'Optimal Choice'!$B$14*AC55</f>
        <v>0</v>
      </c>
      <c r="AK55" s="15">
        <f>Q55*'Optimal Choice'!$B$19*AD55</f>
        <v>0</v>
      </c>
      <c r="AL55" s="15">
        <f>R55*'Optimal Choice'!$B$24*AE55</f>
        <v>0</v>
      </c>
      <c r="AO55" s="12">
        <f t="shared" ref="AO55:AS55" si="161">if(isna(VLOOKUP(N55+1,$D$2:$E$10,2,false)),AO54, VLOOKUP(N55+1,$D$2:$E$10,2,false))</f>
        <v>5</v>
      </c>
      <c r="AP55" s="15">
        <f t="shared" si="161"/>
        <v>1</v>
      </c>
      <c r="AQ55" s="15">
        <f t="shared" si="161"/>
        <v>1</v>
      </c>
      <c r="AR55" s="15">
        <f t="shared" si="161"/>
        <v>1</v>
      </c>
      <c r="AS55" s="15">
        <f t="shared" si="161"/>
        <v>1</v>
      </c>
      <c r="AU55" s="11">
        <f t="shared" si="8"/>
        <v>0.002557843351</v>
      </c>
    </row>
    <row r="56" ht="15.75" customHeight="1">
      <c r="A56" s="16">
        <f t="shared" si="4"/>
        <v>0.4739652207</v>
      </c>
      <c r="B56" s="7">
        <f>(sum(AH56:AL56))*'Optimal Choice'!$B$28</f>
        <v>645.75</v>
      </c>
      <c r="C56" s="11"/>
      <c r="D56" s="12"/>
      <c r="E56" s="12"/>
      <c r="F56" s="11"/>
      <c r="G56" s="11">
        <f>(T56/$B56)+(T56/('Optimal Choice'!$B$4*AO56))</f>
        <v>10.90453181</v>
      </c>
      <c r="H56" s="11">
        <f>(U56/$B56)+(U56/('Optimal Choice'!$B$9*AP56))</f>
        <v>12.51256707</v>
      </c>
      <c r="I56" s="11">
        <f>(V56/$B56)+(V56/('Optimal Choice'!$B$14*AQ56))</f>
        <v>11.84583136</v>
      </c>
      <c r="J56" s="11">
        <f>(W56/$B56)+(W56/('Optimal Choice'!$B$19*AR56))</f>
        <v>42.23916376</v>
      </c>
      <c r="K56" s="11">
        <f>(X56/$B56)+(X56/('Optimal Choice'!$B$24*AS56))</f>
        <v>233.5843902</v>
      </c>
      <c r="N56" s="12">
        <f t="shared" ref="N56:R56" si="162">if(min($G55:$K55)=G55,N55+1,N55)</f>
        <v>45</v>
      </c>
      <c r="O56" s="12">
        <f t="shared" si="162"/>
        <v>9</v>
      </c>
      <c r="P56" s="12">
        <f t="shared" si="162"/>
        <v>1</v>
      </c>
      <c r="Q56" s="12">
        <f t="shared" si="162"/>
        <v>0</v>
      </c>
      <c r="R56" s="12">
        <f t="shared" si="162"/>
        <v>0</v>
      </c>
      <c r="T56" s="13">
        <f> 'Optimal Choice'!$B$5*'Optimal Choice'!$B$6^(N56+1)</f>
        <v>89.89049353</v>
      </c>
      <c r="U56" s="13">
        <f> 'Optimal Choice'!$B$10*'Optimal Choice'!$B$11^(O56+1)</f>
        <v>242.7334641</v>
      </c>
      <c r="V56" s="13">
        <f> 'Optimal Choice'!$B$15*'Optimal Choice'!$B$16^(P56+1)</f>
        <v>935.712</v>
      </c>
      <c r="W56" s="13">
        <f> 'Optimal Choice'!$B$20*'Optimal Choice'!$B$21^(Q56+1)</f>
        <v>9763.2</v>
      </c>
      <c r="X56" s="13">
        <f> 'Optimal Choice'!$B$25*'Optimal Choice'!$B$26^(R56+1)</f>
        <v>116121.6</v>
      </c>
      <c r="AA56" s="12">
        <f t="shared" ref="AA56:AE56" si="163">if(isna(VLOOKUP(N56,$D$2:$E$10,2,false)),AA55, VLOOKUP(N56,$D$2:$E$10,2,false))</f>
        <v>5</v>
      </c>
      <c r="AB56" s="15">
        <f t="shared" si="163"/>
        <v>1</v>
      </c>
      <c r="AC56" s="15">
        <f t="shared" si="163"/>
        <v>1</v>
      </c>
      <c r="AD56" s="15">
        <f t="shared" si="163"/>
        <v>1</v>
      </c>
      <c r="AE56" s="15">
        <f t="shared" si="163"/>
        <v>1</v>
      </c>
      <c r="AH56" s="15">
        <f>N56*'Optimal Choice'!$B$4*AA56</f>
        <v>375.75</v>
      </c>
      <c r="AI56" s="15">
        <f>O56*'Optimal Choice'!$B$9*AB56</f>
        <v>180</v>
      </c>
      <c r="AJ56" s="15">
        <f>P56*'Optimal Choice'!$B$14*AC56</f>
        <v>90</v>
      </c>
      <c r="AK56" s="15">
        <f>Q56*'Optimal Choice'!$B$19*AD56</f>
        <v>0</v>
      </c>
      <c r="AL56" s="15">
        <f>R56*'Optimal Choice'!$B$24*AE56</f>
        <v>0</v>
      </c>
      <c r="AO56" s="12">
        <f t="shared" ref="AO56:AS56" si="164">if(isna(VLOOKUP(N56+1,$D$2:$E$10,2,false)),AO55, VLOOKUP(N56+1,$D$2:$E$10,2,false))</f>
        <v>5</v>
      </c>
      <c r="AP56" s="15">
        <f t="shared" si="164"/>
        <v>1</v>
      </c>
      <c r="AQ56" s="15">
        <f t="shared" si="164"/>
        <v>1</v>
      </c>
      <c r="AR56" s="15">
        <f t="shared" si="164"/>
        <v>1</v>
      </c>
      <c r="AS56" s="15">
        <f t="shared" si="164"/>
        <v>1</v>
      </c>
      <c r="AU56" s="11">
        <f t="shared" si="8"/>
        <v>0.02461538462</v>
      </c>
    </row>
    <row r="57" ht="15.75" customHeight="1">
      <c r="A57" s="16">
        <f t="shared" si="4"/>
        <v>0.4762852747</v>
      </c>
      <c r="B57" s="7">
        <f>(sum(AH57:AL57))*'Optimal Choice'!$B$28</f>
        <v>654.1</v>
      </c>
      <c r="C57" s="11"/>
      <c r="D57" s="12"/>
      <c r="E57" s="12"/>
      <c r="F57" s="11"/>
      <c r="G57" s="11">
        <f>(T57/$B57)+(T57/('Optimal Choice'!$B$4*AO57))</f>
        <v>11.66594763</v>
      </c>
      <c r="H57" s="11">
        <f>(U57/$B57)+(U57/('Optimal Choice'!$B$9*AP57))</f>
        <v>12.50776855</v>
      </c>
      <c r="I57" s="11">
        <f>(V57/$B57)+(V57/('Optimal Choice'!$B$14*AQ57))</f>
        <v>11.82733356</v>
      </c>
      <c r="J57" s="11">
        <f>(W57/$B57)+(W57/('Optimal Choice'!$B$19*AR57))</f>
        <v>42.04615808</v>
      </c>
      <c r="K57" s="11">
        <f>(X57/$B57)+(X57/('Optimal Choice'!$B$24*AS57))</f>
        <v>231.2888182</v>
      </c>
      <c r="N57" s="12">
        <f t="shared" ref="N57:R57" si="165">if(min($G56:$K56)=G56,N56+1,N56)</f>
        <v>46</v>
      </c>
      <c r="O57" s="12">
        <f t="shared" si="165"/>
        <v>9</v>
      </c>
      <c r="P57" s="12">
        <f t="shared" si="165"/>
        <v>1</v>
      </c>
      <c r="Q57" s="12">
        <f t="shared" si="165"/>
        <v>0</v>
      </c>
      <c r="R57" s="12">
        <f t="shared" si="165"/>
        <v>0</v>
      </c>
      <c r="T57" s="13">
        <f> 'Optimal Choice'!$B$5*'Optimal Choice'!$B$6^(N57+1)</f>
        <v>96.18282807</v>
      </c>
      <c r="U57" s="13">
        <f> 'Optimal Choice'!$B$10*'Optimal Choice'!$B$11^(O57+1)</f>
        <v>242.7334641</v>
      </c>
      <c r="V57" s="13">
        <f> 'Optimal Choice'!$B$15*'Optimal Choice'!$B$16^(P57+1)</f>
        <v>935.712</v>
      </c>
      <c r="W57" s="13">
        <f> 'Optimal Choice'!$B$20*'Optimal Choice'!$B$21^(Q57+1)</f>
        <v>9763.2</v>
      </c>
      <c r="X57" s="13">
        <f> 'Optimal Choice'!$B$25*'Optimal Choice'!$B$26^(R57+1)</f>
        <v>116121.6</v>
      </c>
      <c r="AA57" s="12">
        <f t="shared" ref="AA57:AE57" si="166">if(isna(VLOOKUP(N57,$D$2:$E$10,2,false)),AA56, VLOOKUP(N57,$D$2:$E$10,2,false))</f>
        <v>5</v>
      </c>
      <c r="AB57" s="15">
        <f t="shared" si="166"/>
        <v>1</v>
      </c>
      <c r="AC57" s="15">
        <f t="shared" si="166"/>
        <v>1</v>
      </c>
      <c r="AD57" s="15">
        <f t="shared" si="166"/>
        <v>1</v>
      </c>
      <c r="AE57" s="15">
        <f t="shared" si="166"/>
        <v>1</v>
      </c>
      <c r="AH57" s="15">
        <f>N57*'Optimal Choice'!$B$4*AA57</f>
        <v>384.1</v>
      </c>
      <c r="AI57" s="15">
        <f>O57*'Optimal Choice'!$B$9*AB57</f>
        <v>180</v>
      </c>
      <c r="AJ57" s="15">
        <f>P57*'Optimal Choice'!$B$14*AC57</f>
        <v>90</v>
      </c>
      <c r="AK57" s="15">
        <f>Q57*'Optimal Choice'!$B$19*AD57</f>
        <v>0</v>
      </c>
      <c r="AL57" s="15">
        <f>R57*'Optimal Choice'!$B$24*AE57</f>
        <v>0</v>
      </c>
      <c r="AO57" s="12">
        <f t="shared" ref="AO57:AS57" si="167">if(isna(VLOOKUP(N57+1,$D$2:$E$10,2,false)),AO56, VLOOKUP(N57+1,$D$2:$E$10,2,false))</f>
        <v>5</v>
      </c>
      <c r="AP57" s="15">
        <f t="shared" si="167"/>
        <v>1</v>
      </c>
      <c r="AQ57" s="15">
        <f t="shared" si="167"/>
        <v>1</v>
      </c>
      <c r="AR57" s="15">
        <f t="shared" si="167"/>
        <v>1</v>
      </c>
      <c r="AS57" s="15">
        <f t="shared" si="167"/>
        <v>1</v>
      </c>
      <c r="AU57" s="11">
        <f t="shared" si="8"/>
        <v>0.002320054033</v>
      </c>
    </row>
    <row r="58" ht="15.75" customHeight="1">
      <c r="A58" s="16">
        <f t="shared" si="4"/>
        <v>0.4787360424</v>
      </c>
      <c r="B58" s="7">
        <f>(sum(AH58:AL58))*'Optimal Choice'!$B$28</f>
        <v>662.45</v>
      </c>
      <c r="C58" s="11"/>
      <c r="D58" s="12"/>
      <c r="E58" s="12"/>
      <c r="F58" s="11"/>
      <c r="G58" s="11">
        <f>(T58/$B58)+(T58/('Optimal Choice'!$B$4*AO58))</f>
        <v>12.48058074</v>
      </c>
      <c r="H58" s="11">
        <f>(U58/$B58)+(U58/('Optimal Choice'!$B$9*AP58))</f>
        <v>12.503091</v>
      </c>
      <c r="I58" s="11">
        <f>(V58/$B58)+(V58/('Optimal Choice'!$B$14*AQ58))</f>
        <v>11.80930208</v>
      </c>
      <c r="J58" s="11">
        <f>(W58/$B58)+(W58/('Optimal Choice'!$B$19*AR58))</f>
        <v>41.85801796</v>
      </c>
      <c r="K58" s="11">
        <f>(X58/$B58)+(X58/('Optimal Choice'!$B$24*AS58))</f>
        <v>229.0511163</v>
      </c>
      <c r="N58" s="12">
        <f t="shared" ref="N58:R58" si="168">if(min($G57:$K57)=G57,N57+1,N57)</f>
        <v>47</v>
      </c>
      <c r="O58" s="12">
        <f t="shared" si="168"/>
        <v>9</v>
      </c>
      <c r="P58" s="12">
        <f t="shared" si="168"/>
        <v>1</v>
      </c>
      <c r="Q58" s="12">
        <f t="shared" si="168"/>
        <v>0</v>
      </c>
      <c r="R58" s="12">
        <f t="shared" si="168"/>
        <v>0</v>
      </c>
      <c r="T58" s="13">
        <f> 'Optimal Choice'!$B$5*'Optimal Choice'!$B$6^(N58+1)</f>
        <v>102.915626</v>
      </c>
      <c r="U58" s="13">
        <f> 'Optimal Choice'!$B$10*'Optimal Choice'!$B$11^(O58+1)</f>
        <v>242.7334641</v>
      </c>
      <c r="V58" s="13">
        <f> 'Optimal Choice'!$B$15*'Optimal Choice'!$B$16^(P58+1)</f>
        <v>935.712</v>
      </c>
      <c r="W58" s="13">
        <f> 'Optimal Choice'!$B$20*'Optimal Choice'!$B$21^(Q58+1)</f>
        <v>9763.2</v>
      </c>
      <c r="X58" s="13">
        <f> 'Optimal Choice'!$B$25*'Optimal Choice'!$B$26^(R58+1)</f>
        <v>116121.6</v>
      </c>
      <c r="AA58" s="12">
        <f t="shared" ref="AA58:AE58" si="169">if(isna(VLOOKUP(N58,$D$2:$E$10,2,false)),AA57, VLOOKUP(N58,$D$2:$E$10,2,false))</f>
        <v>5</v>
      </c>
      <c r="AB58" s="15">
        <f t="shared" si="169"/>
        <v>1</v>
      </c>
      <c r="AC58" s="15">
        <f t="shared" si="169"/>
        <v>1</v>
      </c>
      <c r="AD58" s="15">
        <f t="shared" si="169"/>
        <v>1</v>
      </c>
      <c r="AE58" s="15">
        <f t="shared" si="169"/>
        <v>1</v>
      </c>
      <c r="AH58" s="15">
        <f>N58*'Optimal Choice'!$B$4*AA58</f>
        <v>392.45</v>
      </c>
      <c r="AI58" s="15">
        <f>O58*'Optimal Choice'!$B$9*AB58</f>
        <v>180</v>
      </c>
      <c r="AJ58" s="15">
        <f>P58*'Optimal Choice'!$B$14*AC58</f>
        <v>90</v>
      </c>
      <c r="AK58" s="15">
        <f>Q58*'Optimal Choice'!$B$19*AD58</f>
        <v>0</v>
      </c>
      <c r="AL58" s="15">
        <f>R58*'Optimal Choice'!$B$24*AE58</f>
        <v>0</v>
      </c>
      <c r="AO58" s="12">
        <f t="shared" ref="AO58:AS58" si="170">if(isna(VLOOKUP(N58+1,$D$2:$E$10,2,false)),AO57, VLOOKUP(N58+1,$D$2:$E$10,2,false))</f>
        <v>5</v>
      </c>
      <c r="AP58" s="15">
        <f t="shared" si="170"/>
        <v>1</v>
      </c>
      <c r="AQ58" s="15">
        <f t="shared" si="170"/>
        <v>1</v>
      </c>
      <c r="AR58" s="15">
        <f t="shared" si="170"/>
        <v>1</v>
      </c>
      <c r="AS58" s="15">
        <f t="shared" si="170"/>
        <v>1</v>
      </c>
      <c r="AU58" s="11">
        <f t="shared" si="8"/>
        <v>0.002450767672</v>
      </c>
    </row>
    <row r="59" ht="15.75" customHeight="1">
      <c r="A59" s="16">
        <f t="shared" si="4"/>
        <v>0.5022777436</v>
      </c>
      <c r="B59" s="7">
        <f>(sum(AH59:AL59))*'Optimal Choice'!$B$28</f>
        <v>752.45</v>
      </c>
      <c r="C59" s="11"/>
      <c r="D59" s="12"/>
      <c r="E59" s="12"/>
      <c r="F59" s="11"/>
      <c r="G59" s="11">
        <f>(T59/$B59)+(T59/('Optimal Choice'!$B$4*AO59))</f>
        <v>12.46199871</v>
      </c>
      <c r="H59" s="11">
        <f>(U59/$B59)+(U59/('Optimal Choice'!$B$9*AP59))</f>
        <v>12.45926403</v>
      </c>
      <c r="I59" s="11">
        <f>(V59/$B59)+(V59/('Optimal Choice'!$B$14*AQ59))</f>
        <v>13.27000325</v>
      </c>
      <c r="J59" s="11">
        <f>(W59/$B59)+(W59/('Optimal Choice'!$B$19*AR59))</f>
        <v>40.0952143</v>
      </c>
      <c r="K59" s="11">
        <f>(X59/$B59)+(X59/('Optimal Choice'!$B$24*AS59))</f>
        <v>208.0846727</v>
      </c>
      <c r="N59" s="12">
        <f t="shared" ref="N59:R59" si="171">if(min($G58:$K58)=G58,N58+1,N58)</f>
        <v>47</v>
      </c>
      <c r="O59" s="12">
        <f t="shared" si="171"/>
        <v>9</v>
      </c>
      <c r="P59" s="12">
        <f t="shared" si="171"/>
        <v>2</v>
      </c>
      <c r="Q59" s="12">
        <f t="shared" si="171"/>
        <v>0</v>
      </c>
      <c r="R59" s="12">
        <f t="shared" si="171"/>
        <v>0</v>
      </c>
      <c r="T59" s="13">
        <f> 'Optimal Choice'!$B$5*'Optimal Choice'!$B$6^(N59+1)</f>
        <v>102.915626</v>
      </c>
      <c r="U59" s="13">
        <f> 'Optimal Choice'!$B$10*'Optimal Choice'!$B$11^(O59+1)</f>
        <v>242.7334641</v>
      </c>
      <c r="V59" s="13">
        <f> 'Optimal Choice'!$B$15*'Optimal Choice'!$B$16^(P59+1)</f>
        <v>1066.71168</v>
      </c>
      <c r="W59" s="13">
        <f> 'Optimal Choice'!$B$20*'Optimal Choice'!$B$21^(Q59+1)</f>
        <v>9763.2</v>
      </c>
      <c r="X59" s="13">
        <f> 'Optimal Choice'!$B$25*'Optimal Choice'!$B$26^(R59+1)</f>
        <v>116121.6</v>
      </c>
      <c r="AA59" s="12">
        <f t="shared" ref="AA59:AE59" si="172">if(isna(VLOOKUP(N59,$D$2:$E$10,2,false)),AA58, VLOOKUP(N59,$D$2:$E$10,2,false))</f>
        <v>5</v>
      </c>
      <c r="AB59" s="15">
        <f t="shared" si="172"/>
        <v>1</v>
      </c>
      <c r="AC59" s="15">
        <f t="shared" si="172"/>
        <v>1</v>
      </c>
      <c r="AD59" s="15">
        <f t="shared" si="172"/>
        <v>1</v>
      </c>
      <c r="AE59" s="15">
        <f t="shared" si="172"/>
        <v>1</v>
      </c>
      <c r="AH59" s="15">
        <f>N59*'Optimal Choice'!$B$4*AA59</f>
        <v>392.45</v>
      </c>
      <c r="AI59" s="15">
        <f>O59*'Optimal Choice'!$B$9*AB59</f>
        <v>180</v>
      </c>
      <c r="AJ59" s="15">
        <f>P59*'Optimal Choice'!$B$14*AC59</f>
        <v>180</v>
      </c>
      <c r="AK59" s="15">
        <f>Q59*'Optimal Choice'!$B$19*AD59</f>
        <v>0</v>
      </c>
      <c r="AL59" s="15">
        <f>R59*'Optimal Choice'!$B$24*AE59</f>
        <v>0</v>
      </c>
      <c r="AO59" s="12">
        <f t="shared" ref="AO59:AS59" si="173">if(isna(VLOOKUP(N59+1,$D$2:$E$10,2,false)),AO58, VLOOKUP(N59+1,$D$2:$E$10,2,false))</f>
        <v>5</v>
      </c>
      <c r="AP59" s="15">
        <f t="shared" si="173"/>
        <v>1</v>
      </c>
      <c r="AQ59" s="15">
        <f t="shared" si="173"/>
        <v>1</v>
      </c>
      <c r="AR59" s="15">
        <f t="shared" si="173"/>
        <v>1</v>
      </c>
      <c r="AS59" s="15">
        <f t="shared" si="173"/>
        <v>1</v>
      </c>
      <c r="AU59" s="11">
        <f t="shared" si="8"/>
        <v>0.02354170126</v>
      </c>
    </row>
    <row r="60" ht="15.75" customHeight="1">
      <c r="A60" s="16">
        <f t="shared" si="4"/>
        <v>0.5076542573</v>
      </c>
      <c r="B60" s="7">
        <f>(sum(AH60:AL60))*'Optimal Choice'!$B$28</f>
        <v>772.45</v>
      </c>
      <c r="C60" s="11"/>
      <c r="D60" s="12"/>
      <c r="E60" s="12"/>
      <c r="F60" s="11"/>
      <c r="G60" s="11">
        <f>(T60/$B60)+(T60/('Optimal Choice'!$B$4*AO60))</f>
        <v>12.45845741</v>
      </c>
      <c r="H60" s="11">
        <f>(U60/$B60)+(U60/('Optimal Choice'!$B$9*AP60))</f>
        <v>14.31854837</v>
      </c>
      <c r="I60" s="11">
        <f>(V60/$B60)+(V60/('Optimal Choice'!$B$14*AQ60))</f>
        <v>13.23329793</v>
      </c>
      <c r="J60" s="11">
        <f>(W60/$B60)+(W60/('Optimal Choice'!$B$19*AR60))</f>
        <v>39.75926468</v>
      </c>
      <c r="K60" s="11">
        <f>(X60/$B60)+(X60/('Optimal Choice'!$B$24*AS60))</f>
        <v>204.0889533</v>
      </c>
      <c r="N60" s="12">
        <f t="shared" ref="N60:R60" si="174">if(min($G59:$K59)=G59,N59+1,N59)</f>
        <v>47</v>
      </c>
      <c r="O60" s="12">
        <f t="shared" si="174"/>
        <v>10</v>
      </c>
      <c r="P60" s="12">
        <f t="shared" si="174"/>
        <v>2</v>
      </c>
      <c r="Q60" s="12">
        <f t="shared" si="174"/>
        <v>0</v>
      </c>
      <c r="R60" s="12">
        <f t="shared" si="174"/>
        <v>0</v>
      </c>
      <c r="T60" s="13">
        <f> 'Optimal Choice'!$B$5*'Optimal Choice'!$B$6^(N60+1)</f>
        <v>102.915626</v>
      </c>
      <c r="U60" s="13">
        <f> 'Optimal Choice'!$B$10*'Optimal Choice'!$B$11^(O60+1)</f>
        <v>279.1434838</v>
      </c>
      <c r="V60" s="13">
        <f> 'Optimal Choice'!$B$15*'Optimal Choice'!$B$16^(P60+1)</f>
        <v>1066.71168</v>
      </c>
      <c r="W60" s="13">
        <f> 'Optimal Choice'!$B$20*'Optimal Choice'!$B$21^(Q60+1)</f>
        <v>9763.2</v>
      </c>
      <c r="X60" s="13">
        <f> 'Optimal Choice'!$B$25*'Optimal Choice'!$B$26^(R60+1)</f>
        <v>116121.6</v>
      </c>
      <c r="AA60" s="12">
        <f t="shared" ref="AA60:AE60" si="175">if(isna(VLOOKUP(N60,$D$2:$E$10,2,false)),AA59, VLOOKUP(N60,$D$2:$E$10,2,false))</f>
        <v>5</v>
      </c>
      <c r="AB60" s="15">
        <f t="shared" si="175"/>
        <v>1</v>
      </c>
      <c r="AC60" s="15">
        <f t="shared" si="175"/>
        <v>1</v>
      </c>
      <c r="AD60" s="15">
        <f t="shared" si="175"/>
        <v>1</v>
      </c>
      <c r="AE60" s="15">
        <f t="shared" si="175"/>
        <v>1</v>
      </c>
      <c r="AH60" s="15">
        <f>N60*'Optimal Choice'!$B$4*AA60</f>
        <v>392.45</v>
      </c>
      <c r="AI60" s="15">
        <f>O60*'Optimal Choice'!$B$9*AB60</f>
        <v>200</v>
      </c>
      <c r="AJ60" s="15">
        <f>P60*'Optimal Choice'!$B$14*AC60</f>
        <v>180</v>
      </c>
      <c r="AK60" s="15">
        <f>Q60*'Optimal Choice'!$B$19*AD60</f>
        <v>0</v>
      </c>
      <c r="AL60" s="15">
        <f>R60*'Optimal Choice'!$B$24*AE60</f>
        <v>0</v>
      </c>
      <c r="AO60" s="12">
        <f t="shared" ref="AO60:AS60" si="176">if(isna(VLOOKUP(N60+1,$D$2:$E$10,2,false)),AO59, VLOOKUP(N60+1,$D$2:$E$10,2,false))</f>
        <v>5</v>
      </c>
      <c r="AP60" s="15">
        <f t="shared" si="176"/>
        <v>1</v>
      </c>
      <c r="AQ60" s="15">
        <f t="shared" si="176"/>
        <v>1</v>
      </c>
      <c r="AR60" s="15">
        <f t="shared" si="176"/>
        <v>1</v>
      </c>
      <c r="AS60" s="15">
        <f t="shared" si="176"/>
        <v>1</v>
      </c>
      <c r="AU60" s="11">
        <f t="shared" si="8"/>
        <v>0.005376513703</v>
      </c>
    </row>
    <row r="61" ht="15.75" customHeight="1">
      <c r="A61" s="16">
        <f t="shared" si="4"/>
        <v>0.5098748029</v>
      </c>
      <c r="B61" s="7">
        <f>(sum(AH61:AL61))*'Optimal Choice'!$B$28</f>
        <v>780.8</v>
      </c>
      <c r="C61" s="11"/>
      <c r="D61" s="12"/>
      <c r="E61" s="12"/>
      <c r="F61" s="11"/>
      <c r="G61" s="11">
        <f>(T61/$B61)+(T61/('Optimal Choice'!$B$4*AO61))</f>
        <v>13.32902488</v>
      </c>
      <c r="H61" s="11">
        <f>(U61/$B61)+(U61/('Optimal Choice'!$B$9*AP61))</f>
        <v>14.31468377</v>
      </c>
      <c r="I61" s="11">
        <f>(V61/$B61)+(V61/('Optimal Choice'!$B$14*AQ61))</f>
        <v>13.21852987</v>
      </c>
      <c r="J61" s="11">
        <f>(W61/$B61)+(W61/('Optimal Choice'!$B$19*AR61))</f>
        <v>39.62409836</v>
      </c>
      <c r="K61" s="11">
        <f>(X61/$B61)+(X61/('Optimal Choice'!$B$24*AS61))</f>
        <v>202.4813115</v>
      </c>
      <c r="N61" s="12">
        <f t="shared" ref="N61:R61" si="177">if(min($G60:$K60)=G60,N60+1,N60)</f>
        <v>48</v>
      </c>
      <c r="O61" s="12">
        <f t="shared" si="177"/>
        <v>10</v>
      </c>
      <c r="P61" s="12">
        <f t="shared" si="177"/>
        <v>2</v>
      </c>
      <c r="Q61" s="12">
        <f t="shared" si="177"/>
        <v>0</v>
      </c>
      <c r="R61" s="12">
        <f t="shared" si="177"/>
        <v>0</v>
      </c>
      <c r="T61" s="13">
        <f> 'Optimal Choice'!$B$5*'Optimal Choice'!$B$6^(N61+1)</f>
        <v>110.1197199</v>
      </c>
      <c r="U61" s="13">
        <f> 'Optimal Choice'!$B$10*'Optimal Choice'!$B$11^(O61+1)</f>
        <v>279.1434838</v>
      </c>
      <c r="V61" s="13">
        <f> 'Optimal Choice'!$B$15*'Optimal Choice'!$B$16^(P61+1)</f>
        <v>1066.71168</v>
      </c>
      <c r="W61" s="13">
        <f> 'Optimal Choice'!$B$20*'Optimal Choice'!$B$21^(Q61+1)</f>
        <v>9763.2</v>
      </c>
      <c r="X61" s="13">
        <f> 'Optimal Choice'!$B$25*'Optimal Choice'!$B$26^(R61+1)</f>
        <v>116121.6</v>
      </c>
      <c r="AA61" s="12">
        <f t="shared" ref="AA61:AE61" si="178">if(isna(VLOOKUP(N61,$D$2:$E$10,2,false)),AA60, VLOOKUP(N61,$D$2:$E$10,2,false))</f>
        <v>5</v>
      </c>
      <c r="AB61" s="15">
        <f t="shared" si="178"/>
        <v>1</v>
      </c>
      <c r="AC61" s="15">
        <f t="shared" si="178"/>
        <v>1</v>
      </c>
      <c r="AD61" s="15">
        <f t="shared" si="178"/>
        <v>1</v>
      </c>
      <c r="AE61" s="15">
        <f t="shared" si="178"/>
        <v>1</v>
      </c>
      <c r="AH61" s="15">
        <f>N61*'Optimal Choice'!$B$4*AA61</f>
        <v>400.8</v>
      </c>
      <c r="AI61" s="15">
        <f>O61*'Optimal Choice'!$B$9*AB61</f>
        <v>200</v>
      </c>
      <c r="AJ61" s="15">
        <f>P61*'Optimal Choice'!$B$14*AC61</f>
        <v>180</v>
      </c>
      <c r="AK61" s="15">
        <f>Q61*'Optimal Choice'!$B$19*AD61</f>
        <v>0</v>
      </c>
      <c r="AL61" s="15">
        <f>R61*'Optimal Choice'!$B$24*AE61</f>
        <v>0</v>
      </c>
      <c r="AO61" s="12">
        <f t="shared" ref="AO61:AS61" si="179">if(isna(VLOOKUP(N61+1,$D$2:$E$10,2,false)),AO60, VLOOKUP(N61+1,$D$2:$E$10,2,false))</f>
        <v>5</v>
      </c>
      <c r="AP61" s="15">
        <f t="shared" si="179"/>
        <v>1</v>
      </c>
      <c r="AQ61" s="15">
        <f t="shared" si="179"/>
        <v>1</v>
      </c>
      <c r="AR61" s="15">
        <f t="shared" si="179"/>
        <v>1</v>
      </c>
      <c r="AS61" s="15">
        <f t="shared" si="179"/>
        <v>1</v>
      </c>
      <c r="AU61" s="11">
        <f t="shared" si="8"/>
        <v>0.002220545581</v>
      </c>
    </row>
    <row r="62" ht="15.75" customHeight="1">
      <c r="A62" s="16">
        <f t="shared" si="4"/>
        <v>0.5326444341</v>
      </c>
      <c r="B62" s="7">
        <f>(sum(AH62:AL62))*'Optimal Choice'!$B$28</f>
        <v>870.8</v>
      </c>
      <c r="C62" s="11"/>
      <c r="D62" s="12"/>
      <c r="E62" s="12"/>
      <c r="F62" s="11"/>
      <c r="G62" s="11">
        <f>(T62/$B62)+(T62/('Optimal Choice'!$B$4*AO62))</f>
        <v>13.31444851</v>
      </c>
      <c r="H62" s="11">
        <f>(U62/$B62)+(U62/('Optimal Choice'!$B$9*AP62))</f>
        <v>14.277734</v>
      </c>
      <c r="I62" s="11">
        <f>(V62/$B62)+(V62/('Optimal Choice'!$B$14*AQ62))</f>
        <v>14.9081573</v>
      </c>
      <c r="J62" s="11">
        <f>(W62/$B62)+(W62/('Optimal Choice'!$B$19*AR62))</f>
        <v>38.3317593</v>
      </c>
      <c r="K62" s="11">
        <f>(X62/$B62)+(X62/('Optimal Choice'!$B$24*AS62))</f>
        <v>187.1104823</v>
      </c>
      <c r="N62" s="12">
        <f t="shared" ref="N62:R62" si="180">if(min($G61:$K61)=G61,N61+1,N61)</f>
        <v>48</v>
      </c>
      <c r="O62" s="12">
        <f t="shared" si="180"/>
        <v>10</v>
      </c>
      <c r="P62" s="12">
        <f t="shared" si="180"/>
        <v>3</v>
      </c>
      <c r="Q62" s="12">
        <f t="shared" si="180"/>
        <v>0</v>
      </c>
      <c r="R62" s="12">
        <f t="shared" si="180"/>
        <v>0</v>
      </c>
      <c r="T62" s="13">
        <f> 'Optimal Choice'!$B$5*'Optimal Choice'!$B$6^(N62+1)</f>
        <v>110.1197199</v>
      </c>
      <c r="U62" s="13">
        <f> 'Optimal Choice'!$B$10*'Optimal Choice'!$B$11^(O62+1)</f>
        <v>279.1434838</v>
      </c>
      <c r="V62" s="13">
        <f> 'Optimal Choice'!$B$15*'Optimal Choice'!$B$16^(P62+1)</f>
        <v>1216.051315</v>
      </c>
      <c r="W62" s="13">
        <f> 'Optimal Choice'!$B$20*'Optimal Choice'!$B$21^(Q62+1)</f>
        <v>9763.2</v>
      </c>
      <c r="X62" s="13">
        <f> 'Optimal Choice'!$B$25*'Optimal Choice'!$B$26^(R62+1)</f>
        <v>116121.6</v>
      </c>
      <c r="AA62" s="12">
        <f t="shared" ref="AA62:AE62" si="181">if(isna(VLOOKUP(N62,$D$2:$E$10,2,false)),AA61, VLOOKUP(N62,$D$2:$E$10,2,false))</f>
        <v>5</v>
      </c>
      <c r="AB62" s="15">
        <f t="shared" si="181"/>
        <v>1</v>
      </c>
      <c r="AC62" s="15">
        <f t="shared" si="181"/>
        <v>1</v>
      </c>
      <c r="AD62" s="15">
        <f t="shared" si="181"/>
        <v>1</v>
      </c>
      <c r="AE62" s="15">
        <f t="shared" si="181"/>
        <v>1</v>
      </c>
      <c r="AH62" s="15">
        <f>N62*'Optimal Choice'!$B$4*AA62</f>
        <v>400.8</v>
      </c>
      <c r="AI62" s="15">
        <f>O62*'Optimal Choice'!$B$9*AB62</f>
        <v>200</v>
      </c>
      <c r="AJ62" s="15">
        <f>P62*'Optimal Choice'!$B$14*AC62</f>
        <v>270</v>
      </c>
      <c r="AK62" s="15">
        <f>Q62*'Optimal Choice'!$B$19*AD62</f>
        <v>0</v>
      </c>
      <c r="AL62" s="15">
        <f>R62*'Optimal Choice'!$B$24*AE62</f>
        <v>0</v>
      </c>
      <c r="AO62" s="12">
        <f t="shared" ref="AO62:AS62" si="182">if(isna(VLOOKUP(N62+1,$D$2:$E$10,2,false)),AO61, VLOOKUP(N62+1,$D$2:$E$10,2,false))</f>
        <v>5</v>
      </c>
      <c r="AP62" s="15">
        <f t="shared" si="182"/>
        <v>1</v>
      </c>
      <c r="AQ62" s="15">
        <f t="shared" si="182"/>
        <v>1</v>
      </c>
      <c r="AR62" s="15">
        <f t="shared" si="182"/>
        <v>1</v>
      </c>
      <c r="AS62" s="15">
        <f t="shared" si="182"/>
        <v>1</v>
      </c>
      <c r="AU62" s="11">
        <f t="shared" si="8"/>
        <v>0.02276963115</v>
      </c>
    </row>
    <row r="63" ht="15.75" customHeight="1">
      <c r="A63" s="16">
        <f t="shared" si="4"/>
        <v>0.5347520692</v>
      </c>
      <c r="B63" s="7">
        <f>(sum(AH63:AL63))*'Optimal Choice'!$B$28</f>
        <v>879.15</v>
      </c>
      <c r="C63" s="11"/>
      <c r="D63" s="12"/>
      <c r="E63" s="12"/>
      <c r="F63" s="11"/>
      <c r="G63" s="11">
        <f>(T63/$B63)+(T63/('Optimal Choice'!$B$4*AO63))</f>
        <v>2.956254971</v>
      </c>
      <c r="H63" s="11">
        <f>(U63/$B63)+(U63/('Optimal Choice'!$B$9*AP63))</f>
        <v>14.27468938</v>
      </c>
      <c r="I63" s="11">
        <f>(V63/$B63)+(V63/('Optimal Choice'!$B$14*AQ63))</f>
        <v>14.89489383</v>
      </c>
      <c r="J63" s="11">
        <f>(W63/$B63)+(W63/('Optimal Choice'!$B$19*AR63))</f>
        <v>38.22527214</v>
      </c>
      <c r="K63" s="11">
        <f>(X63/$B63)+(X63/('Optimal Choice'!$B$24*AS63))</f>
        <v>185.8439447</v>
      </c>
      <c r="N63" s="12">
        <f t="shared" ref="N63:R63" si="183">if(min($G62:$K62)=G62,N62+1,N62)</f>
        <v>49</v>
      </c>
      <c r="O63" s="12">
        <f t="shared" si="183"/>
        <v>10</v>
      </c>
      <c r="P63" s="12">
        <f t="shared" si="183"/>
        <v>3</v>
      </c>
      <c r="Q63" s="12">
        <f t="shared" si="183"/>
        <v>0</v>
      </c>
      <c r="R63" s="12">
        <f t="shared" si="183"/>
        <v>0</v>
      </c>
      <c r="T63" s="13">
        <f> 'Optimal Choice'!$B$5*'Optimal Choice'!$B$6^(N63+1)</f>
        <v>117.8281003</v>
      </c>
      <c r="U63" s="13">
        <f> 'Optimal Choice'!$B$10*'Optimal Choice'!$B$11^(O63+1)</f>
        <v>279.1434838</v>
      </c>
      <c r="V63" s="13">
        <f> 'Optimal Choice'!$B$15*'Optimal Choice'!$B$16^(P63+1)</f>
        <v>1216.051315</v>
      </c>
      <c r="W63" s="13">
        <f> 'Optimal Choice'!$B$20*'Optimal Choice'!$B$21^(Q63+1)</f>
        <v>9763.2</v>
      </c>
      <c r="X63" s="13">
        <f> 'Optimal Choice'!$B$25*'Optimal Choice'!$B$26^(R63+1)</f>
        <v>116121.6</v>
      </c>
      <c r="AA63" s="12">
        <f t="shared" ref="AA63:AE63" si="184">if(isna(VLOOKUP(N63,$D$2:$E$10,2,false)),AA62, VLOOKUP(N63,$D$2:$E$10,2,false))</f>
        <v>5</v>
      </c>
      <c r="AB63" s="15">
        <f t="shared" si="184"/>
        <v>1</v>
      </c>
      <c r="AC63" s="15">
        <f t="shared" si="184"/>
        <v>1</v>
      </c>
      <c r="AD63" s="15">
        <f t="shared" si="184"/>
        <v>1</v>
      </c>
      <c r="AE63" s="15">
        <f t="shared" si="184"/>
        <v>1</v>
      </c>
      <c r="AH63" s="15">
        <f>N63*'Optimal Choice'!$B$4*AA63</f>
        <v>409.15</v>
      </c>
      <c r="AI63" s="15">
        <f>O63*'Optimal Choice'!$B$9*AB63</f>
        <v>200</v>
      </c>
      <c r="AJ63" s="15">
        <f>P63*'Optimal Choice'!$B$14*AC63</f>
        <v>270</v>
      </c>
      <c r="AK63" s="15">
        <f>Q63*'Optimal Choice'!$B$19*AD63</f>
        <v>0</v>
      </c>
      <c r="AL63" s="15">
        <f>R63*'Optimal Choice'!$B$24*AE63</f>
        <v>0</v>
      </c>
      <c r="AO63" s="12">
        <f t="shared" ref="AO63:AS63" si="185">if(isna(VLOOKUP(N63+1,$D$2:$E$10,2,false)),AO62, VLOOKUP(N63+1,$D$2:$E$10,2,false))</f>
        <v>25</v>
      </c>
      <c r="AP63" s="15">
        <f t="shared" si="185"/>
        <v>1</v>
      </c>
      <c r="AQ63" s="15">
        <f t="shared" si="185"/>
        <v>1</v>
      </c>
      <c r="AR63" s="15">
        <f t="shared" si="185"/>
        <v>1</v>
      </c>
      <c r="AS63" s="15">
        <f t="shared" si="185"/>
        <v>1</v>
      </c>
      <c r="AU63" s="11">
        <f t="shared" si="8"/>
        <v>0.002107635122</v>
      </c>
    </row>
    <row r="64" ht="15.75" customHeight="1">
      <c r="A64" s="16">
        <f t="shared" si="4"/>
        <v>0.5369858196</v>
      </c>
      <c r="B64" s="7">
        <f>(sum(AH64:AL64))*'Optimal Choice'!$B$28</f>
        <v>2557.5</v>
      </c>
      <c r="C64" s="11"/>
      <c r="D64" s="12"/>
      <c r="E64" s="12"/>
      <c r="F64" s="11"/>
      <c r="G64" s="11">
        <f>(T64/$B64)+(T64/('Optimal Choice'!$B$4*AO64))</f>
        <v>3.069082647</v>
      </c>
      <c r="H64" s="11">
        <f>(U64/$B64)+(U64/('Optimal Choice'!$B$9*AP64))</f>
        <v>14.0663212</v>
      </c>
      <c r="I64" s="11">
        <f>(V64/$B64)+(V64/('Optimal Choice'!$B$14*AQ64))</f>
        <v>13.98716567</v>
      </c>
      <c r="J64" s="11">
        <f>(W64/$B64)+(W64/('Optimal Choice'!$B$19*AR64))</f>
        <v>30.93747801</v>
      </c>
      <c r="K64" s="11">
        <f>(X64/$B64)+(X64/('Optimal Choice'!$B$24*AS64))</f>
        <v>99.16434018</v>
      </c>
      <c r="N64" s="12">
        <f t="shared" ref="N64:R64" si="186">if(min($G63:$K63)=G63,N63+1,N63)</f>
        <v>50</v>
      </c>
      <c r="O64" s="12">
        <f t="shared" si="186"/>
        <v>10</v>
      </c>
      <c r="P64" s="12">
        <f t="shared" si="186"/>
        <v>3</v>
      </c>
      <c r="Q64" s="12">
        <f t="shared" si="186"/>
        <v>0</v>
      </c>
      <c r="R64" s="12">
        <f t="shared" si="186"/>
        <v>0</v>
      </c>
      <c r="T64" s="13">
        <f> 'Optimal Choice'!$B$5*'Optimal Choice'!$B$6^(N64+1)</f>
        <v>126.0760673</v>
      </c>
      <c r="U64" s="13">
        <f> 'Optimal Choice'!$B$10*'Optimal Choice'!$B$11^(O64+1)</f>
        <v>279.1434838</v>
      </c>
      <c r="V64" s="13">
        <f> 'Optimal Choice'!$B$15*'Optimal Choice'!$B$16^(P64+1)</f>
        <v>1216.051315</v>
      </c>
      <c r="W64" s="13">
        <f> 'Optimal Choice'!$B$20*'Optimal Choice'!$B$21^(Q64+1)</f>
        <v>9763.2</v>
      </c>
      <c r="X64" s="13">
        <f> 'Optimal Choice'!$B$25*'Optimal Choice'!$B$26^(R64+1)</f>
        <v>116121.6</v>
      </c>
      <c r="AA64" s="12">
        <f t="shared" ref="AA64:AE64" si="187">if(isna(VLOOKUP(N64,$D$2:$E$10,2,false)),AA63, VLOOKUP(N64,$D$2:$E$10,2,false))</f>
        <v>25</v>
      </c>
      <c r="AB64" s="15">
        <f t="shared" si="187"/>
        <v>1</v>
      </c>
      <c r="AC64" s="15">
        <f t="shared" si="187"/>
        <v>1</v>
      </c>
      <c r="AD64" s="15">
        <f t="shared" si="187"/>
        <v>1</v>
      </c>
      <c r="AE64" s="15">
        <f t="shared" si="187"/>
        <v>1</v>
      </c>
      <c r="AH64" s="15">
        <f>N64*'Optimal Choice'!$B$4*AA64</f>
        <v>2087.5</v>
      </c>
      <c r="AI64" s="15">
        <f>O64*'Optimal Choice'!$B$9*AB64</f>
        <v>200</v>
      </c>
      <c r="AJ64" s="15">
        <f>P64*'Optimal Choice'!$B$14*AC64</f>
        <v>270</v>
      </c>
      <c r="AK64" s="15">
        <f>Q64*'Optimal Choice'!$B$19*AD64</f>
        <v>0</v>
      </c>
      <c r="AL64" s="15">
        <f>R64*'Optimal Choice'!$B$24*AE64</f>
        <v>0</v>
      </c>
      <c r="AO64" s="12">
        <f t="shared" ref="AO64:AS64" si="188">if(isna(VLOOKUP(N64+1,$D$2:$E$10,2,false)),AO63, VLOOKUP(N64+1,$D$2:$E$10,2,false))</f>
        <v>25</v>
      </c>
      <c r="AP64" s="15">
        <f t="shared" si="188"/>
        <v>1</v>
      </c>
      <c r="AQ64" s="15">
        <f t="shared" si="188"/>
        <v>1</v>
      </c>
      <c r="AR64" s="15">
        <f t="shared" si="188"/>
        <v>1</v>
      </c>
      <c r="AS64" s="15">
        <f t="shared" si="188"/>
        <v>1</v>
      </c>
      <c r="AU64" s="11">
        <f t="shared" si="8"/>
        <v>0.002233750408</v>
      </c>
    </row>
    <row r="65" ht="15.75" customHeight="1">
      <c r="A65" s="16">
        <f t="shared" si="4"/>
        <v>0.5378074297</v>
      </c>
      <c r="B65" s="7">
        <f>(sum(AH65:AL65))*'Optimal Choice'!$B$28</f>
        <v>2599.25</v>
      </c>
      <c r="C65" s="11"/>
      <c r="D65" s="12"/>
      <c r="E65" s="12"/>
      <c r="F65" s="11"/>
      <c r="G65" s="11">
        <f>(T65/$B65)+(T65/('Optimal Choice'!$B$4*AO65))</f>
        <v>3.283071187</v>
      </c>
      <c r="H65" s="11">
        <f>(U65/$B65)+(U65/('Optimal Choice'!$B$9*AP65))</f>
        <v>14.06456805</v>
      </c>
      <c r="I65" s="11">
        <f>(V65/$B65)+(V65/('Optimal Choice'!$B$14*AQ65))</f>
        <v>13.97952828</v>
      </c>
      <c r="J65" s="11">
        <f>(W65/$B65)+(W65/('Optimal Choice'!$B$19*AR65))</f>
        <v>30.87616043</v>
      </c>
      <c r="K65" s="11">
        <f>(X65/$B65)+(X65/('Optimal Choice'!$B$24*AS65))</f>
        <v>98.43504088</v>
      </c>
      <c r="N65" s="12">
        <f t="shared" ref="N65:R65" si="189">if(min($G64:$K64)=G64,N64+1,N64)</f>
        <v>51</v>
      </c>
      <c r="O65" s="12">
        <f t="shared" si="189"/>
        <v>10</v>
      </c>
      <c r="P65" s="12">
        <f t="shared" si="189"/>
        <v>3</v>
      </c>
      <c r="Q65" s="12">
        <f t="shared" si="189"/>
        <v>0</v>
      </c>
      <c r="R65" s="12">
        <f t="shared" si="189"/>
        <v>0</v>
      </c>
      <c r="T65" s="13">
        <f> 'Optimal Choice'!$B$5*'Optimal Choice'!$B$6^(N65+1)</f>
        <v>134.901392</v>
      </c>
      <c r="U65" s="13">
        <f> 'Optimal Choice'!$B$10*'Optimal Choice'!$B$11^(O65+1)</f>
        <v>279.1434838</v>
      </c>
      <c r="V65" s="13">
        <f> 'Optimal Choice'!$B$15*'Optimal Choice'!$B$16^(P65+1)</f>
        <v>1216.051315</v>
      </c>
      <c r="W65" s="13">
        <f> 'Optimal Choice'!$B$20*'Optimal Choice'!$B$21^(Q65+1)</f>
        <v>9763.2</v>
      </c>
      <c r="X65" s="13">
        <f> 'Optimal Choice'!$B$25*'Optimal Choice'!$B$26^(R65+1)</f>
        <v>116121.6</v>
      </c>
      <c r="AA65" s="12">
        <f t="shared" ref="AA65:AE65" si="190">if(isna(VLOOKUP(N65,$D$2:$E$10,2,false)),AA64, VLOOKUP(N65,$D$2:$E$10,2,false))</f>
        <v>25</v>
      </c>
      <c r="AB65" s="15">
        <f t="shared" si="190"/>
        <v>1</v>
      </c>
      <c r="AC65" s="15">
        <f t="shared" si="190"/>
        <v>1</v>
      </c>
      <c r="AD65" s="15">
        <f t="shared" si="190"/>
        <v>1</v>
      </c>
      <c r="AE65" s="15">
        <f t="shared" si="190"/>
        <v>1</v>
      </c>
      <c r="AH65" s="15">
        <f>N65*'Optimal Choice'!$B$4*AA65</f>
        <v>2129.25</v>
      </c>
      <c r="AI65" s="15">
        <f>O65*'Optimal Choice'!$B$9*AB65</f>
        <v>200</v>
      </c>
      <c r="AJ65" s="15">
        <f>P65*'Optimal Choice'!$B$14*AC65</f>
        <v>270</v>
      </c>
      <c r="AK65" s="15">
        <f>Q65*'Optimal Choice'!$B$19*AD65</f>
        <v>0</v>
      </c>
      <c r="AL65" s="15">
        <f>R65*'Optimal Choice'!$B$24*AE65</f>
        <v>0</v>
      </c>
      <c r="AO65" s="12">
        <f t="shared" ref="AO65:AS65" si="191">if(isna(VLOOKUP(N65+1,$D$2:$E$10,2,false)),AO64, VLOOKUP(N65+1,$D$2:$E$10,2,false))</f>
        <v>25</v>
      </c>
      <c r="AP65" s="15">
        <f t="shared" si="191"/>
        <v>1</v>
      </c>
      <c r="AQ65" s="15">
        <f t="shared" si="191"/>
        <v>1</v>
      </c>
      <c r="AR65" s="15">
        <f t="shared" si="191"/>
        <v>1</v>
      </c>
      <c r="AS65" s="15">
        <f t="shared" si="191"/>
        <v>1</v>
      </c>
      <c r="AU65" s="11">
        <f t="shared" si="8"/>
        <v>0.0008216100832</v>
      </c>
    </row>
    <row r="66" ht="15.75" customHeight="1">
      <c r="A66" s="16">
        <f t="shared" si="4"/>
        <v>0.5386724317</v>
      </c>
      <c r="B66" s="7">
        <f>(sum(AH66:AL66))*'Optimal Choice'!$B$28</f>
        <v>2641</v>
      </c>
      <c r="C66" s="11"/>
      <c r="D66" s="12"/>
      <c r="E66" s="12"/>
      <c r="F66" s="11"/>
      <c r="G66" s="11">
        <f>(T66/$B66)+(T66/('Optimal Choice'!$B$4*AO66))</f>
        <v>3.51200828</v>
      </c>
      <c r="H66" s="11">
        <f>(U66/$B66)+(U66/('Optimal Choice'!$B$9*AP66))</f>
        <v>14.06287032</v>
      </c>
      <c r="I66" s="11">
        <f>(V66/$B66)+(V66/('Optimal Choice'!$B$14*AQ66))</f>
        <v>13.97213236</v>
      </c>
      <c r="J66" s="11">
        <f>(W66/$B66)+(W66/('Optimal Choice'!$B$19*AR66))</f>
        <v>30.81678152</v>
      </c>
      <c r="K66" s="11">
        <f>(X66/$B66)+(X66/('Optimal Choice'!$B$24*AS66))</f>
        <v>97.7287997</v>
      </c>
      <c r="N66" s="12">
        <f t="shared" ref="N66:R66" si="192">if(min($G65:$K65)=G65,N65+1,N65)</f>
        <v>52</v>
      </c>
      <c r="O66" s="12">
        <f t="shared" si="192"/>
        <v>10</v>
      </c>
      <c r="P66" s="12">
        <f t="shared" si="192"/>
        <v>3</v>
      </c>
      <c r="Q66" s="12">
        <f t="shared" si="192"/>
        <v>0</v>
      </c>
      <c r="R66" s="12">
        <f t="shared" si="192"/>
        <v>0</v>
      </c>
      <c r="T66" s="13">
        <f> 'Optimal Choice'!$B$5*'Optimal Choice'!$B$6^(N66+1)</f>
        <v>144.3444894</v>
      </c>
      <c r="U66" s="13">
        <f> 'Optimal Choice'!$B$10*'Optimal Choice'!$B$11^(O66+1)</f>
        <v>279.1434838</v>
      </c>
      <c r="V66" s="13">
        <f> 'Optimal Choice'!$B$15*'Optimal Choice'!$B$16^(P66+1)</f>
        <v>1216.051315</v>
      </c>
      <c r="W66" s="13">
        <f> 'Optimal Choice'!$B$20*'Optimal Choice'!$B$21^(Q66+1)</f>
        <v>9763.2</v>
      </c>
      <c r="X66" s="13">
        <f> 'Optimal Choice'!$B$25*'Optimal Choice'!$B$26^(R66+1)</f>
        <v>116121.6</v>
      </c>
      <c r="AA66" s="12">
        <f t="shared" ref="AA66:AE66" si="193">if(isna(VLOOKUP(N66,$D$2:$E$10,2,false)),AA65, VLOOKUP(N66,$D$2:$E$10,2,false))</f>
        <v>25</v>
      </c>
      <c r="AB66" s="15">
        <f t="shared" si="193"/>
        <v>1</v>
      </c>
      <c r="AC66" s="15">
        <f t="shared" si="193"/>
        <v>1</v>
      </c>
      <c r="AD66" s="15">
        <f t="shared" si="193"/>
        <v>1</v>
      </c>
      <c r="AE66" s="15">
        <f t="shared" si="193"/>
        <v>1</v>
      </c>
      <c r="AH66" s="15">
        <f>N66*'Optimal Choice'!$B$4*AA66</f>
        <v>2171</v>
      </c>
      <c r="AI66" s="15">
        <f>O66*'Optimal Choice'!$B$9*AB66</f>
        <v>200</v>
      </c>
      <c r="AJ66" s="15">
        <f>P66*'Optimal Choice'!$B$14*AC66</f>
        <v>270</v>
      </c>
      <c r="AK66" s="15">
        <f>Q66*'Optimal Choice'!$B$19*AD66</f>
        <v>0</v>
      </c>
      <c r="AL66" s="15">
        <f>R66*'Optimal Choice'!$B$24*AE66</f>
        <v>0</v>
      </c>
      <c r="AO66" s="12">
        <f t="shared" ref="AO66:AS66" si="194">if(isna(VLOOKUP(N66+1,$D$2:$E$10,2,false)),AO65, VLOOKUP(N66+1,$D$2:$E$10,2,false))</f>
        <v>25</v>
      </c>
      <c r="AP66" s="15">
        <f t="shared" si="194"/>
        <v>1</v>
      </c>
      <c r="AQ66" s="15">
        <f t="shared" si="194"/>
        <v>1</v>
      </c>
      <c r="AR66" s="15">
        <f t="shared" si="194"/>
        <v>1</v>
      </c>
      <c r="AS66" s="15">
        <f t="shared" si="194"/>
        <v>1</v>
      </c>
      <c r="AU66" s="11">
        <f t="shared" si="8"/>
        <v>0.0008650020325</v>
      </c>
    </row>
    <row r="67" ht="15.75" customHeight="1">
      <c r="A67" s="16">
        <f t="shared" si="4"/>
        <v>0.5395833524</v>
      </c>
      <c r="B67" s="7">
        <f>(sum(AH67:AL67))*'Optimal Choice'!$B$28</f>
        <v>2682.75</v>
      </c>
      <c r="C67" s="11"/>
      <c r="D67" s="12"/>
      <c r="E67" s="12"/>
      <c r="F67" s="11"/>
      <c r="G67" s="11">
        <f>(T67/$B67)+(T67/('Optimal Choice'!$B$4*AO67))</f>
        <v>3.756938754</v>
      </c>
      <c r="H67" s="11">
        <f>(U67/$B67)+(U67/('Optimal Choice'!$B$9*AP67))</f>
        <v>14.06122544</v>
      </c>
      <c r="I67" s="11">
        <f>(V67/$B67)+(V67/('Optimal Choice'!$B$14*AQ67))</f>
        <v>13.96496665</v>
      </c>
      <c r="J67" s="11">
        <f>(W67/$B67)+(W67/('Optimal Choice'!$B$19*AR67))</f>
        <v>30.75925077</v>
      </c>
      <c r="K67" s="11">
        <f>(X67/$B67)+(X67/('Optimal Choice'!$B$24*AS67))</f>
        <v>97.04454012</v>
      </c>
      <c r="N67" s="12">
        <f t="shared" ref="N67:R67" si="195">if(min($G66:$K66)=G66,N66+1,N66)</f>
        <v>53</v>
      </c>
      <c r="O67" s="12">
        <f t="shared" si="195"/>
        <v>10</v>
      </c>
      <c r="P67" s="12">
        <f t="shared" si="195"/>
        <v>3</v>
      </c>
      <c r="Q67" s="12">
        <f t="shared" si="195"/>
        <v>0</v>
      </c>
      <c r="R67" s="12">
        <f t="shared" si="195"/>
        <v>0</v>
      </c>
      <c r="T67" s="13">
        <f> 'Optimal Choice'!$B$5*'Optimal Choice'!$B$6^(N67+1)</f>
        <v>154.4486037</v>
      </c>
      <c r="U67" s="13">
        <f> 'Optimal Choice'!$B$10*'Optimal Choice'!$B$11^(O67+1)</f>
        <v>279.1434838</v>
      </c>
      <c r="V67" s="13">
        <f> 'Optimal Choice'!$B$15*'Optimal Choice'!$B$16^(P67+1)</f>
        <v>1216.051315</v>
      </c>
      <c r="W67" s="13">
        <f> 'Optimal Choice'!$B$20*'Optimal Choice'!$B$21^(Q67+1)</f>
        <v>9763.2</v>
      </c>
      <c r="X67" s="13">
        <f> 'Optimal Choice'!$B$25*'Optimal Choice'!$B$26^(R67+1)</f>
        <v>116121.6</v>
      </c>
      <c r="AA67" s="12">
        <f t="shared" ref="AA67:AE67" si="196">if(isna(VLOOKUP(N67,$D$2:$E$10,2,false)),AA66, VLOOKUP(N67,$D$2:$E$10,2,false))</f>
        <v>25</v>
      </c>
      <c r="AB67" s="15">
        <f t="shared" si="196"/>
        <v>1</v>
      </c>
      <c r="AC67" s="15">
        <f t="shared" si="196"/>
        <v>1</v>
      </c>
      <c r="AD67" s="15">
        <f t="shared" si="196"/>
        <v>1</v>
      </c>
      <c r="AE67" s="15">
        <f t="shared" si="196"/>
        <v>1</v>
      </c>
      <c r="AH67" s="15">
        <f>N67*'Optimal Choice'!$B$4*AA67</f>
        <v>2212.75</v>
      </c>
      <c r="AI67" s="15">
        <f>O67*'Optimal Choice'!$B$9*AB67</f>
        <v>200</v>
      </c>
      <c r="AJ67" s="15">
        <f>P67*'Optimal Choice'!$B$14*AC67</f>
        <v>270</v>
      </c>
      <c r="AK67" s="15">
        <f>Q67*'Optimal Choice'!$B$19*AD67</f>
        <v>0</v>
      </c>
      <c r="AL67" s="15">
        <f>R67*'Optimal Choice'!$B$24*AE67</f>
        <v>0</v>
      </c>
      <c r="AO67" s="12">
        <f t="shared" ref="AO67:AS67" si="197">if(isna(VLOOKUP(N67+1,$D$2:$E$10,2,false)),AO66, VLOOKUP(N67+1,$D$2:$E$10,2,false))</f>
        <v>25</v>
      </c>
      <c r="AP67" s="15">
        <f t="shared" si="197"/>
        <v>1</v>
      </c>
      <c r="AQ67" s="15">
        <f t="shared" si="197"/>
        <v>1</v>
      </c>
      <c r="AR67" s="15">
        <f t="shared" si="197"/>
        <v>1</v>
      </c>
      <c r="AS67" s="15">
        <f t="shared" si="197"/>
        <v>1</v>
      </c>
      <c r="AU67" s="11">
        <f t="shared" si="8"/>
        <v>0.0009109206703</v>
      </c>
    </row>
    <row r="68" ht="15.75" customHeight="1">
      <c r="A68" s="16">
        <f t="shared" si="4"/>
        <v>0.5405428691</v>
      </c>
      <c r="B68" s="7">
        <f>(sum(AH68:AL68))*'Optimal Choice'!$B$28</f>
        <v>2724.5</v>
      </c>
      <c r="C68" s="11"/>
      <c r="D68" s="12"/>
      <c r="E68" s="12"/>
      <c r="F68" s="11"/>
      <c r="G68" s="11">
        <f>(T68/$B68)+(T68/('Optimal Choice'!$B$4*AO68))</f>
        <v>4.018980499</v>
      </c>
      <c r="H68" s="11">
        <f>(U68/$B68)+(U68/('Optimal Choice'!$B$9*AP68))</f>
        <v>14.05963096</v>
      </c>
      <c r="I68" s="11">
        <f>(V68/$B68)+(V68/('Optimal Choice'!$B$14*AQ68))</f>
        <v>13.95802054</v>
      </c>
      <c r="J68" s="11">
        <f>(W68/$B68)+(W68/('Optimal Choice'!$B$19*AR68))</f>
        <v>30.70348321</v>
      </c>
      <c r="K68" s="11">
        <f>(X68/$B68)+(X68/('Optimal Choice'!$B$24*AS68))</f>
        <v>96.38125161</v>
      </c>
      <c r="N68" s="12">
        <f t="shared" ref="N68:R68" si="198">if(min($G67:$K67)=G67,N67+1,N67)</f>
        <v>54</v>
      </c>
      <c r="O68" s="12">
        <f t="shared" si="198"/>
        <v>10</v>
      </c>
      <c r="P68" s="12">
        <f t="shared" si="198"/>
        <v>3</v>
      </c>
      <c r="Q68" s="12">
        <f t="shared" si="198"/>
        <v>0</v>
      </c>
      <c r="R68" s="12">
        <f t="shared" si="198"/>
        <v>0</v>
      </c>
      <c r="T68" s="13">
        <f> 'Optimal Choice'!$B$5*'Optimal Choice'!$B$6^(N68+1)</f>
        <v>165.2600059</v>
      </c>
      <c r="U68" s="13">
        <f> 'Optimal Choice'!$B$10*'Optimal Choice'!$B$11^(O68+1)</f>
        <v>279.1434838</v>
      </c>
      <c r="V68" s="13">
        <f> 'Optimal Choice'!$B$15*'Optimal Choice'!$B$16^(P68+1)</f>
        <v>1216.051315</v>
      </c>
      <c r="W68" s="13">
        <f> 'Optimal Choice'!$B$20*'Optimal Choice'!$B$21^(Q68+1)</f>
        <v>9763.2</v>
      </c>
      <c r="X68" s="13">
        <f> 'Optimal Choice'!$B$25*'Optimal Choice'!$B$26^(R68+1)</f>
        <v>116121.6</v>
      </c>
      <c r="AA68" s="12">
        <f t="shared" ref="AA68:AE68" si="199">if(isna(VLOOKUP(N68,$D$2:$E$10,2,false)),AA67, VLOOKUP(N68,$D$2:$E$10,2,false))</f>
        <v>25</v>
      </c>
      <c r="AB68" s="15">
        <f t="shared" si="199"/>
        <v>1</v>
      </c>
      <c r="AC68" s="15">
        <f t="shared" si="199"/>
        <v>1</v>
      </c>
      <c r="AD68" s="15">
        <f t="shared" si="199"/>
        <v>1</v>
      </c>
      <c r="AE68" s="15">
        <f t="shared" si="199"/>
        <v>1</v>
      </c>
      <c r="AH68" s="15">
        <f>N68*'Optimal Choice'!$B$4*AA68</f>
        <v>2254.5</v>
      </c>
      <c r="AI68" s="15">
        <f>O68*'Optimal Choice'!$B$9*AB68</f>
        <v>200</v>
      </c>
      <c r="AJ68" s="15">
        <f>P68*'Optimal Choice'!$B$14*AC68</f>
        <v>270</v>
      </c>
      <c r="AK68" s="15">
        <f>Q68*'Optimal Choice'!$B$19*AD68</f>
        <v>0</v>
      </c>
      <c r="AL68" s="15">
        <f>R68*'Optimal Choice'!$B$24*AE68</f>
        <v>0</v>
      </c>
      <c r="AO68" s="12">
        <f t="shared" ref="AO68:AS68" si="200">if(isna(VLOOKUP(N68+1,$D$2:$E$10,2,false)),AO67, VLOOKUP(N68+1,$D$2:$E$10,2,false))</f>
        <v>25</v>
      </c>
      <c r="AP68" s="15">
        <f t="shared" si="200"/>
        <v>1</v>
      </c>
      <c r="AQ68" s="15">
        <f t="shared" si="200"/>
        <v>1</v>
      </c>
      <c r="AR68" s="15">
        <f t="shared" si="200"/>
        <v>1</v>
      </c>
      <c r="AS68" s="15">
        <f t="shared" si="200"/>
        <v>1</v>
      </c>
      <c r="AU68" s="11">
        <f t="shared" si="8"/>
        <v>0.000959516688</v>
      </c>
    </row>
    <row r="69" ht="15.75" customHeight="1">
      <c r="A69" s="16">
        <f t="shared" si="4"/>
        <v>0.5415538191</v>
      </c>
      <c r="B69" s="7">
        <f>(sum(AH69:AL69))*'Optimal Choice'!$B$28</f>
        <v>2766.25</v>
      </c>
      <c r="C69" s="11"/>
      <c r="D69" s="12"/>
      <c r="E69" s="12"/>
      <c r="F69" s="11"/>
      <c r="G69" s="11">
        <f>(T69/$B69)+(T69/('Optimal Choice'!$B$4*AO69))</f>
        <v>4.299329577</v>
      </c>
      <c r="H69" s="11">
        <f>(U69/$B69)+(U69/('Optimal Choice'!$B$9*AP69))</f>
        <v>14.05808462</v>
      </c>
      <c r="I69" s="11">
        <f>(V69/$B69)+(V69/('Optimal Choice'!$B$14*AQ69))</f>
        <v>13.95128411</v>
      </c>
      <c r="J69" s="11">
        <f>(W69/$B69)+(W69/('Optimal Choice'!$B$19*AR69))</f>
        <v>30.64939901</v>
      </c>
      <c r="K69" s="11">
        <f>(X69/$B69)+(X69/('Optimal Choice'!$B$24*AS69))</f>
        <v>95.73798464</v>
      </c>
      <c r="N69" s="12">
        <f t="shared" ref="N69:R69" si="201">if(min($G68:$K68)=G68,N68+1,N68)</f>
        <v>55</v>
      </c>
      <c r="O69" s="12">
        <f t="shared" si="201"/>
        <v>10</v>
      </c>
      <c r="P69" s="12">
        <f t="shared" si="201"/>
        <v>3</v>
      </c>
      <c r="Q69" s="12">
        <f t="shared" si="201"/>
        <v>0</v>
      </c>
      <c r="R69" s="12">
        <f t="shared" si="201"/>
        <v>0</v>
      </c>
      <c r="T69" s="13">
        <f> 'Optimal Choice'!$B$5*'Optimal Choice'!$B$6^(N69+1)</f>
        <v>176.8282063</v>
      </c>
      <c r="U69" s="13">
        <f> 'Optimal Choice'!$B$10*'Optimal Choice'!$B$11^(O69+1)</f>
        <v>279.1434838</v>
      </c>
      <c r="V69" s="13">
        <f> 'Optimal Choice'!$B$15*'Optimal Choice'!$B$16^(P69+1)</f>
        <v>1216.051315</v>
      </c>
      <c r="W69" s="13">
        <f> 'Optimal Choice'!$B$20*'Optimal Choice'!$B$21^(Q69+1)</f>
        <v>9763.2</v>
      </c>
      <c r="X69" s="13">
        <f> 'Optimal Choice'!$B$25*'Optimal Choice'!$B$26^(R69+1)</f>
        <v>116121.6</v>
      </c>
      <c r="AA69" s="12">
        <f t="shared" ref="AA69:AE69" si="202">if(isna(VLOOKUP(N69,$D$2:$E$10,2,false)),AA68, VLOOKUP(N69,$D$2:$E$10,2,false))</f>
        <v>25</v>
      </c>
      <c r="AB69" s="15">
        <f t="shared" si="202"/>
        <v>1</v>
      </c>
      <c r="AC69" s="15">
        <f t="shared" si="202"/>
        <v>1</v>
      </c>
      <c r="AD69" s="15">
        <f t="shared" si="202"/>
        <v>1</v>
      </c>
      <c r="AE69" s="15">
        <f t="shared" si="202"/>
        <v>1</v>
      </c>
      <c r="AH69" s="15">
        <f>N69*'Optimal Choice'!$B$4*AA69</f>
        <v>2296.25</v>
      </c>
      <c r="AI69" s="15">
        <f>O69*'Optimal Choice'!$B$9*AB69</f>
        <v>200</v>
      </c>
      <c r="AJ69" s="15">
        <f>P69*'Optimal Choice'!$B$14*AC69</f>
        <v>270</v>
      </c>
      <c r="AK69" s="15">
        <f>Q69*'Optimal Choice'!$B$19*AD69</f>
        <v>0</v>
      </c>
      <c r="AL69" s="15">
        <f>R69*'Optimal Choice'!$B$24*AE69</f>
        <v>0</v>
      </c>
      <c r="AO69" s="12">
        <f t="shared" ref="AO69:AS69" si="203">if(isna(VLOOKUP(N69+1,$D$2:$E$10,2,false)),AO68, VLOOKUP(N69+1,$D$2:$E$10,2,false))</f>
        <v>25</v>
      </c>
      <c r="AP69" s="15">
        <f t="shared" si="203"/>
        <v>1</v>
      </c>
      <c r="AQ69" s="15">
        <f t="shared" si="203"/>
        <v>1</v>
      </c>
      <c r="AR69" s="15">
        <f t="shared" si="203"/>
        <v>1</v>
      </c>
      <c r="AS69" s="15">
        <f t="shared" si="203"/>
        <v>1</v>
      </c>
      <c r="AU69" s="11">
        <f t="shared" si="8"/>
        <v>0.001010950058</v>
      </c>
    </row>
    <row r="70" ht="15.75" customHeight="1">
      <c r="A70" s="16">
        <f t="shared" si="4"/>
        <v>0.5426192097</v>
      </c>
      <c r="B70" s="7">
        <f>(sum(AH70:AL70))*'Optimal Choice'!$B$28</f>
        <v>2808</v>
      </c>
      <c r="C70" s="11"/>
      <c r="D70" s="12"/>
      <c r="E70" s="12"/>
      <c r="F70" s="11"/>
      <c r="G70" s="11">
        <f>(T70/$B70)+(T70/('Optimal Choice'!$B$4*AO70))</f>
        <v>4.599265688</v>
      </c>
      <c r="H70" s="11">
        <f>(U70/$B70)+(U70/('Optimal Choice'!$B$9*AP70))</f>
        <v>14.05658426</v>
      </c>
      <c r="I70" s="11">
        <f>(V70/$B70)+(V70/('Optimal Choice'!$B$14*AQ70))</f>
        <v>13.94474799</v>
      </c>
      <c r="J70" s="11">
        <f>(W70/$B70)+(W70/('Optimal Choice'!$B$19*AR70))</f>
        <v>30.59692308</v>
      </c>
      <c r="K70" s="11">
        <f>(X70/$B70)+(X70/('Optimal Choice'!$B$24*AS70))</f>
        <v>95.11384615</v>
      </c>
      <c r="N70" s="12">
        <f t="shared" ref="N70:R70" si="204">if(min($G69:$K69)=G69,N69+1,N69)</f>
        <v>56</v>
      </c>
      <c r="O70" s="12">
        <f t="shared" si="204"/>
        <v>10</v>
      </c>
      <c r="P70" s="12">
        <f t="shared" si="204"/>
        <v>3</v>
      </c>
      <c r="Q70" s="12">
        <f t="shared" si="204"/>
        <v>0</v>
      </c>
      <c r="R70" s="12">
        <f t="shared" si="204"/>
        <v>0</v>
      </c>
      <c r="T70" s="13">
        <f> 'Optimal Choice'!$B$5*'Optimal Choice'!$B$6^(N70+1)</f>
        <v>189.2061808</v>
      </c>
      <c r="U70" s="13">
        <f> 'Optimal Choice'!$B$10*'Optimal Choice'!$B$11^(O70+1)</f>
        <v>279.1434838</v>
      </c>
      <c r="V70" s="13">
        <f> 'Optimal Choice'!$B$15*'Optimal Choice'!$B$16^(P70+1)</f>
        <v>1216.051315</v>
      </c>
      <c r="W70" s="13">
        <f> 'Optimal Choice'!$B$20*'Optimal Choice'!$B$21^(Q70+1)</f>
        <v>9763.2</v>
      </c>
      <c r="X70" s="13">
        <f> 'Optimal Choice'!$B$25*'Optimal Choice'!$B$26^(R70+1)</f>
        <v>116121.6</v>
      </c>
      <c r="AA70" s="12">
        <f t="shared" ref="AA70:AE70" si="205">if(isna(VLOOKUP(N70,$D$2:$E$10,2,false)),AA69, VLOOKUP(N70,$D$2:$E$10,2,false))</f>
        <v>25</v>
      </c>
      <c r="AB70" s="15">
        <f t="shared" si="205"/>
        <v>1</v>
      </c>
      <c r="AC70" s="15">
        <f t="shared" si="205"/>
        <v>1</v>
      </c>
      <c r="AD70" s="15">
        <f t="shared" si="205"/>
        <v>1</v>
      </c>
      <c r="AE70" s="15">
        <f t="shared" si="205"/>
        <v>1</v>
      </c>
      <c r="AH70" s="15">
        <f>N70*'Optimal Choice'!$B$4*AA70</f>
        <v>2338</v>
      </c>
      <c r="AI70" s="15">
        <f>O70*'Optimal Choice'!$B$9*AB70</f>
        <v>200</v>
      </c>
      <c r="AJ70" s="15">
        <f>P70*'Optimal Choice'!$B$14*AC70</f>
        <v>270</v>
      </c>
      <c r="AK70" s="15">
        <f>Q70*'Optimal Choice'!$B$19*AD70</f>
        <v>0</v>
      </c>
      <c r="AL70" s="15">
        <f>R70*'Optimal Choice'!$B$24*AE70</f>
        <v>0</v>
      </c>
      <c r="AO70" s="12">
        <f t="shared" ref="AO70:AS70" si="206">if(isna(VLOOKUP(N70+1,$D$2:$E$10,2,false)),AO69, VLOOKUP(N70+1,$D$2:$E$10,2,false))</f>
        <v>25</v>
      </c>
      <c r="AP70" s="15">
        <f t="shared" si="206"/>
        <v>1</v>
      </c>
      <c r="AQ70" s="15">
        <f t="shared" si="206"/>
        <v>1</v>
      </c>
      <c r="AR70" s="15">
        <f t="shared" si="206"/>
        <v>1</v>
      </c>
      <c r="AS70" s="15">
        <f t="shared" si="206"/>
        <v>1</v>
      </c>
      <c r="AU70" s="11">
        <f t="shared" si="8"/>
        <v>0.001065390609</v>
      </c>
    </row>
    <row r="71" ht="15.75" customHeight="1">
      <c r="A71" s="16">
        <f t="shared" si="4"/>
        <v>0.5437422284</v>
      </c>
      <c r="B71" s="7">
        <f>(sum(AH71:AL71))*'Optimal Choice'!$B$28</f>
        <v>2849.75</v>
      </c>
      <c r="C71" s="11"/>
      <c r="D71" s="12"/>
      <c r="E71" s="12"/>
      <c r="F71" s="11"/>
      <c r="G71" s="11">
        <f>(T71/$B71)+(T71/('Optimal Choice'!$B$4*AO71))</f>
        <v>4.920158024</v>
      </c>
      <c r="H71" s="11">
        <f>(U71/$B71)+(U71/('Optimal Choice'!$B$9*AP71))</f>
        <v>14.05512786</v>
      </c>
      <c r="I71" s="11">
        <f>(V71/$B71)+(V71/('Optimal Choice'!$B$14*AQ71))</f>
        <v>13.93840338</v>
      </c>
      <c r="J71" s="11">
        <f>(W71/$B71)+(W71/('Optimal Choice'!$B$19*AR71))</f>
        <v>30.54598474</v>
      </c>
      <c r="K71" s="11">
        <f>(X71/$B71)+(X71/('Optimal Choice'!$B$24*AS71))</f>
        <v>94.50799544</v>
      </c>
      <c r="N71" s="12">
        <f t="shared" ref="N71:R71" si="207">if(min($G70:$K70)=G70,N70+1,N70)</f>
        <v>57</v>
      </c>
      <c r="O71" s="12">
        <f t="shared" si="207"/>
        <v>10</v>
      </c>
      <c r="P71" s="12">
        <f t="shared" si="207"/>
        <v>3</v>
      </c>
      <c r="Q71" s="12">
        <f t="shared" si="207"/>
        <v>0</v>
      </c>
      <c r="R71" s="12">
        <f t="shared" si="207"/>
        <v>0</v>
      </c>
      <c r="T71" s="13">
        <f> 'Optimal Choice'!$B$5*'Optimal Choice'!$B$6^(N71+1)</f>
        <v>202.4506134</v>
      </c>
      <c r="U71" s="13">
        <f> 'Optimal Choice'!$B$10*'Optimal Choice'!$B$11^(O71+1)</f>
        <v>279.1434838</v>
      </c>
      <c r="V71" s="13">
        <f> 'Optimal Choice'!$B$15*'Optimal Choice'!$B$16^(P71+1)</f>
        <v>1216.051315</v>
      </c>
      <c r="W71" s="13">
        <f> 'Optimal Choice'!$B$20*'Optimal Choice'!$B$21^(Q71+1)</f>
        <v>9763.2</v>
      </c>
      <c r="X71" s="13">
        <f> 'Optimal Choice'!$B$25*'Optimal Choice'!$B$26^(R71+1)</f>
        <v>116121.6</v>
      </c>
      <c r="AA71" s="12">
        <f t="shared" ref="AA71:AE71" si="208">if(isna(VLOOKUP(N71,$D$2:$E$10,2,false)),AA70, VLOOKUP(N71,$D$2:$E$10,2,false))</f>
        <v>25</v>
      </c>
      <c r="AB71" s="15">
        <f t="shared" si="208"/>
        <v>1</v>
      </c>
      <c r="AC71" s="15">
        <f t="shared" si="208"/>
        <v>1</v>
      </c>
      <c r="AD71" s="15">
        <f t="shared" si="208"/>
        <v>1</v>
      </c>
      <c r="AE71" s="15">
        <f t="shared" si="208"/>
        <v>1</v>
      </c>
      <c r="AH71" s="15">
        <f>N71*'Optimal Choice'!$B$4*AA71</f>
        <v>2379.75</v>
      </c>
      <c r="AI71" s="15">
        <f>O71*'Optimal Choice'!$B$9*AB71</f>
        <v>200</v>
      </c>
      <c r="AJ71" s="15">
        <f>P71*'Optimal Choice'!$B$14*AC71</f>
        <v>270</v>
      </c>
      <c r="AK71" s="15">
        <f>Q71*'Optimal Choice'!$B$19*AD71</f>
        <v>0</v>
      </c>
      <c r="AL71" s="15">
        <f>R71*'Optimal Choice'!$B$24*AE71</f>
        <v>0</v>
      </c>
      <c r="AO71" s="12">
        <f t="shared" ref="AO71:AS71" si="209">if(isna(VLOOKUP(N71+1,$D$2:$E$10,2,false)),AO70, VLOOKUP(N71+1,$D$2:$E$10,2,false))</f>
        <v>25</v>
      </c>
      <c r="AP71" s="15">
        <f t="shared" si="209"/>
        <v>1</v>
      </c>
      <c r="AQ71" s="15">
        <f t="shared" si="209"/>
        <v>1</v>
      </c>
      <c r="AR71" s="15">
        <f t="shared" si="209"/>
        <v>1</v>
      </c>
      <c r="AS71" s="15">
        <f t="shared" si="209"/>
        <v>1</v>
      </c>
      <c r="AU71" s="11">
        <f t="shared" si="8"/>
        <v>0.001123018642</v>
      </c>
    </row>
    <row r="72" ht="15.75" customHeight="1">
      <c r="A72" s="16">
        <f t="shared" si="4"/>
        <v>0.544926254</v>
      </c>
      <c r="B72" s="7">
        <f>(sum(AH72:AL72))*'Optimal Choice'!$B$28</f>
        <v>2891.5</v>
      </c>
      <c r="C72" s="11"/>
      <c r="D72" s="12"/>
      <c r="E72" s="12"/>
      <c r="F72" s="11"/>
      <c r="G72" s="11">
        <f>(T72/$B72)+(T72/('Optimal Choice'!$B$4*AO72))</f>
        <v>5.263471523</v>
      </c>
      <c r="H72" s="11">
        <f>(U72/$B72)+(U72/('Optimal Choice'!$B$9*AP72))</f>
        <v>14.05371352</v>
      </c>
      <c r="I72" s="11">
        <f>(V72/$B72)+(V72/('Optimal Choice'!$B$14*AQ72))</f>
        <v>13.932242</v>
      </c>
      <c r="J72" s="11">
        <f>(W72/$B72)+(W72/('Optimal Choice'!$B$19*AR72))</f>
        <v>30.49651738</v>
      </c>
      <c r="K72" s="11">
        <f>(X72/$B72)+(X72/('Optimal Choice'!$B$24*AS72))</f>
        <v>93.91964033</v>
      </c>
      <c r="N72" s="12">
        <f t="shared" ref="N72:R72" si="210">if(min($G71:$K71)=G71,N71+1,N71)</f>
        <v>58</v>
      </c>
      <c r="O72" s="12">
        <f t="shared" si="210"/>
        <v>10</v>
      </c>
      <c r="P72" s="12">
        <f t="shared" si="210"/>
        <v>3</v>
      </c>
      <c r="Q72" s="12">
        <f t="shared" si="210"/>
        <v>0</v>
      </c>
      <c r="R72" s="12">
        <f t="shared" si="210"/>
        <v>0</v>
      </c>
      <c r="T72" s="13">
        <f> 'Optimal Choice'!$B$5*'Optimal Choice'!$B$6^(N72+1)</f>
        <v>216.6221564</v>
      </c>
      <c r="U72" s="13">
        <f> 'Optimal Choice'!$B$10*'Optimal Choice'!$B$11^(O72+1)</f>
        <v>279.1434838</v>
      </c>
      <c r="V72" s="13">
        <f> 'Optimal Choice'!$B$15*'Optimal Choice'!$B$16^(P72+1)</f>
        <v>1216.051315</v>
      </c>
      <c r="W72" s="13">
        <f> 'Optimal Choice'!$B$20*'Optimal Choice'!$B$21^(Q72+1)</f>
        <v>9763.2</v>
      </c>
      <c r="X72" s="13">
        <f> 'Optimal Choice'!$B$25*'Optimal Choice'!$B$26^(R72+1)</f>
        <v>116121.6</v>
      </c>
      <c r="AA72" s="12">
        <f t="shared" ref="AA72:AE72" si="211">if(isna(VLOOKUP(N72,$D$2:$E$10,2,false)),AA71, VLOOKUP(N72,$D$2:$E$10,2,false))</f>
        <v>25</v>
      </c>
      <c r="AB72" s="15">
        <f t="shared" si="211"/>
        <v>1</v>
      </c>
      <c r="AC72" s="15">
        <f t="shared" si="211"/>
        <v>1</v>
      </c>
      <c r="AD72" s="15">
        <f t="shared" si="211"/>
        <v>1</v>
      </c>
      <c r="AE72" s="15">
        <f t="shared" si="211"/>
        <v>1</v>
      </c>
      <c r="AH72" s="15">
        <f>N72*'Optimal Choice'!$B$4*AA72</f>
        <v>2421.5</v>
      </c>
      <c r="AI72" s="15">
        <f>O72*'Optimal Choice'!$B$9*AB72</f>
        <v>200</v>
      </c>
      <c r="AJ72" s="15">
        <f>P72*'Optimal Choice'!$B$14*AC72</f>
        <v>270</v>
      </c>
      <c r="AK72" s="15">
        <f>Q72*'Optimal Choice'!$B$19*AD72</f>
        <v>0</v>
      </c>
      <c r="AL72" s="15">
        <f>R72*'Optimal Choice'!$B$24*AE72</f>
        <v>0</v>
      </c>
      <c r="AO72" s="12">
        <f t="shared" ref="AO72:AS72" si="212">if(isna(VLOOKUP(N72+1,$D$2:$E$10,2,false)),AO71, VLOOKUP(N72+1,$D$2:$E$10,2,false))</f>
        <v>25</v>
      </c>
      <c r="AP72" s="15">
        <f t="shared" si="212"/>
        <v>1</v>
      </c>
      <c r="AQ72" s="15">
        <f t="shared" si="212"/>
        <v>1</v>
      </c>
      <c r="AR72" s="15">
        <f t="shared" si="212"/>
        <v>1</v>
      </c>
      <c r="AS72" s="15">
        <f t="shared" si="212"/>
        <v>1</v>
      </c>
      <c r="AU72" s="11">
        <f t="shared" si="8"/>
        <v>0.001184025578</v>
      </c>
    </row>
    <row r="73" ht="15.75" customHeight="1">
      <c r="A73" s="16">
        <f t="shared" si="4"/>
        <v>0.5461748686</v>
      </c>
      <c r="B73" s="7">
        <f>(sum(AH73:AL73))*'Optimal Choice'!$B$28</f>
        <v>2933.25</v>
      </c>
      <c r="C73" s="11"/>
      <c r="D73" s="12"/>
      <c r="E73" s="12"/>
      <c r="F73" s="11"/>
      <c r="G73" s="11">
        <f>(T73/$B73)+(T73/('Optimal Choice'!$B$4*AO73))</f>
        <v>5.630773569</v>
      </c>
      <c r="H73" s="11">
        <f>(U73/$B73)+(U73/('Optimal Choice'!$B$9*AP73))</f>
        <v>14.05233944</v>
      </c>
      <c r="I73" s="11">
        <f>(V73/$B73)+(V73/('Optimal Choice'!$B$14*AQ73))</f>
        <v>13.92625601</v>
      </c>
      <c r="J73" s="11">
        <f>(W73/$B73)+(W73/('Optimal Choice'!$B$19*AR73))</f>
        <v>30.44845819</v>
      </c>
      <c r="K73" s="11">
        <f>(X73/$B73)+(X73/('Optimal Choice'!$B$24*AS73))</f>
        <v>93.34803375</v>
      </c>
      <c r="N73" s="12">
        <f t="shared" ref="N73:R73" si="213">if(min($G72:$K72)=G72,N72+1,N72)</f>
        <v>59</v>
      </c>
      <c r="O73" s="12">
        <f t="shared" si="213"/>
        <v>10</v>
      </c>
      <c r="P73" s="12">
        <f t="shared" si="213"/>
        <v>3</v>
      </c>
      <c r="Q73" s="12">
        <f t="shared" si="213"/>
        <v>0</v>
      </c>
      <c r="R73" s="12">
        <f t="shared" si="213"/>
        <v>0</v>
      </c>
      <c r="T73" s="13">
        <f> 'Optimal Choice'!$B$5*'Optimal Choice'!$B$6^(N73+1)</f>
        <v>231.7857073</v>
      </c>
      <c r="U73" s="13">
        <f> 'Optimal Choice'!$B$10*'Optimal Choice'!$B$11^(O73+1)</f>
        <v>279.1434838</v>
      </c>
      <c r="V73" s="13">
        <f> 'Optimal Choice'!$B$15*'Optimal Choice'!$B$16^(P73+1)</f>
        <v>1216.051315</v>
      </c>
      <c r="W73" s="13">
        <f> 'Optimal Choice'!$B$20*'Optimal Choice'!$B$21^(Q73+1)</f>
        <v>9763.2</v>
      </c>
      <c r="X73" s="13">
        <f> 'Optimal Choice'!$B$25*'Optimal Choice'!$B$26^(R73+1)</f>
        <v>116121.6</v>
      </c>
      <c r="AA73" s="12">
        <f t="shared" ref="AA73:AE73" si="214">if(isna(VLOOKUP(N73,$D$2:$E$10,2,false)),AA72, VLOOKUP(N73,$D$2:$E$10,2,false))</f>
        <v>25</v>
      </c>
      <c r="AB73" s="15">
        <f t="shared" si="214"/>
        <v>1</v>
      </c>
      <c r="AC73" s="15">
        <f t="shared" si="214"/>
        <v>1</v>
      </c>
      <c r="AD73" s="15">
        <f t="shared" si="214"/>
        <v>1</v>
      </c>
      <c r="AE73" s="15">
        <f t="shared" si="214"/>
        <v>1</v>
      </c>
      <c r="AH73" s="15">
        <f>N73*'Optimal Choice'!$B$4*AA73</f>
        <v>2463.25</v>
      </c>
      <c r="AI73" s="15">
        <f>O73*'Optimal Choice'!$B$9*AB73</f>
        <v>200</v>
      </c>
      <c r="AJ73" s="15">
        <f>P73*'Optimal Choice'!$B$14*AC73</f>
        <v>270</v>
      </c>
      <c r="AK73" s="15">
        <f>Q73*'Optimal Choice'!$B$19*AD73</f>
        <v>0</v>
      </c>
      <c r="AL73" s="15">
        <f>R73*'Optimal Choice'!$B$24*AE73</f>
        <v>0</v>
      </c>
      <c r="AO73" s="12">
        <f t="shared" ref="AO73:AS73" si="215">if(isna(VLOOKUP(N73+1,$D$2:$E$10,2,false)),AO72, VLOOKUP(N73+1,$D$2:$E$10,2,false))</f>
        <v>25</v>
      </c>
      <c r="AP73" s="15">
        <f t="shared" si="215"/>
        <v>1</v>
      </c>
      <c r="AQ73" s="15">
        <f t="shared" si="215"/>
        <v>1</v>
      </c>
      <c r="AR73" s="15">
        <f t="shared" si="215"/>
        <v>1</v>
      </c>
      <c r="AS73" s="15">
        <f t="shared" si="215"/>
        <v>1</v>
      </c>
      <c r="AU73" s="11">
        <f t="shared" si="8"/>
        <v>0.001248614654</v>
      </c>
    </row>
    <row r="74" ht="15.75" customHeight="1">
      <c r="A74" s="16">
        <f t="shared" si="4"/>
        <v>0.5474918703</v>
      </c>
      <c r="B74" s="7">
        <f>(sum(AH74:AL74))*'Optimal Choice'!$B$28</f>
        <v>2975</v>
      </c>
      <c r="C74" s="11"/>
      <c r="D74" s="12"/>
      <c r="E74" s="12"/>
      <c r="F74" s="11"/>
      <c r="G74" s="11">
        <f>(T74/$B74)+(T74/('Optimal Choice'!$B$4*AO74))</f>
        <v>6.023741155</v>
      </c>
      <c r="H74" s="11">
        <f>(U74/$B74)+(U74/('Optimal Choice'!$B$9*AP74))</f>
        <v>14.05100393</v>
      </c>
      <c r="I74" s="11">
        <f>(V74/$B74)+(V74/('Optimal Choice'!$B$14*AQ74))</f>
        <v>13.92043802</v>
      </c>
      <c r="J74" s="11">
        <f>(W74/$B74)+(W74/('Optimal Choice'!$B$19*AR74))</f>
        <v>30.4017479</v>
      </c>
      <c r="K74" s="11">
        <f>(X74/$B74)+(X74/('Optimal Choice'!$B$24*AS74))</f>
        <v>92.79247059</v>
      </c>
      <c r="N74" s="12">
        <f t="shared" ref="N74:R74" si="216">if(min($G73:$K73)=G73,N73+1,N73)</f>
        <v>60</v>
      </c>
      <c r="O74" s="12">
        <f t="shared" si="216"/>
        <v>10</v>
      </c>
      <c r="P74" s="12">
        <f t="shared" si="216"/>
        <v>3</v>
      </c>
      <c r="Q74" s="12">
        <f t="shared" si="216"/>
        <v>0</v>
      </c>
      <c r="R74" s="12">
        <f t="shared" si="216"/>
        <v>0</v>
      </c>
      <c r="T74" s="13">
        <f> 'Optimal Choice'!$B$5*'Optimal Choice'!$B$6^(N74+1)</f>
        <v>248.0107069</v>
      </c>
      <c r="U74" s="13">
        <f> 'Optimal Choice'!$B$10*'Optimal Choice'!$B$11^(O74+1)</f>
        <v>279.1434838</v>
      </c>
      <c r="V74" s="13">
        <f> 'Optimal Choice'!$B$15*'Optimal Choice'!$B$16^(P74+1)</f>
        <v>1216.051315</v>
      </c>
      <c r="W74" s="13">
        <f> 'Optimal Choice'!$B$20*'Optimal Choice'!$B$21^(Q74+1)</f>
        <v>9763.2</v>
      </c>
      <c r="X74" s="13">
        <f> 'Optimal Choice'!$B$25*'Optimal Choice'!$B$26^(R74+1)</f>
        <v>116121.6</v>
      </c>
      <c r="AA74" s="12">
        <f t="shared" ref="AA74:AE74" si="217">if(isna(VLOOKUP(N74,$D$2:$E$10,2,false)),AA73, VLOOKUP(N74,$D$2:$E$10,2,false))</f>
        <v>25</v>
      </c>
      <c r="AB74" s="15">
        <f t="shared" si="217"/>
        <v>1</v>
      </c>
      <c r="AC74" s="15">
        <f t="shared" si="217"/>
        <v>1</v>
      </c>
      <c r="AD74" s="15">
        <f t="shared" si="217"/>
        <v>1</v>
      </c>
      <c r="AE74" s="15">
        <f t="shared" si="217"/>
        <v>1</v>
      </c>
      <c r="AH74" s="15">
        <f>N74*'Optimal Choice'!$B$4*AA74</f>
        <v>2505</v>
      </c>
      <c r="AI74" s="15">
        <f>O74*'Optimal Choice'!$B$9*AB74</f>
        <v>200</v>
      </c>
      <c r="AJ74" s="15">
        <f>P74*'Optimal Choice'!$B$14*AC74</f>
        <v>270</v>
      </c>
      <c r="AK74" s="15">
        <f>Q74*'Optimal Choice'!$B$19*AD74</f>
        <v>0</v>
      </c>
      <c r="AL74" s="15">
        <f>R74*'Optimal Choice'!$B$24*AE74</f>
        <v>0</v>
      </c>
      <c r="AO74" s="12">
        <f t="shared" ref="AO74:AS74" si="218">if(isna(VLOOKUP(N74+1,$D$2:$E$10,2,false)),AO73, VLOOKUP(N74+1,$D$2:$E$10,2,false))</f>
        <v>25</v>
      </c>
      <c r="AP74" s="15">
        <f t="shared" si="218"/>
        <v>1</v>
      </c>
      <c r="AQ74" s="15">
        <f t="shared" si="218"/>
        <v>1</v>
      </c>
      <c r="AR74" s="15">
        <f t="shared" si="218"/>
        <v>1</v>
      </c>
      <c r="AS74" s="15">
        <f t="shared" si="218"/>
        <v>1</v>
      </c>
      <c r="AU74" s="11">
        <f t="shared" si="8"/>
        <v>0.001317001661</v>
      </c>
    </row>
    <row r="75" ht="15.75" customHeight="1">
      <c r="A75" s="16">
        <f t="shared" si="4"/>
        <v>0.548881286</v>
      </c>
      <c r="B75" s="7">
        <f>(sum(AH75:AL75))*'Optimal Choice'!$B$28</f>
        <v>3016.75</v>
      </c>
      <c r="C75" s="11"/>
      <c r="D75" s="12"/>
      <c r="E75" s="12"/>
      <c r="F75" s="11"/>
      <c r="G75" s="11">
        <f>(T75/$B75)+(T75/('Optimal Choice'!$B$4*AO75))</f>
        <v>6.444168555</v>
      </c>
      <c r="H75" s="11">
        <f>(U75/$B75)+(U75/('Optimal Choice'!$B$9*AP75))</f>
        <v>14.04970538</v>
      </c>
      <c r="I75" s="11">
        <f>(V75/$B75)+(V75/('Optimal Choice'!$B$14*AQ75))</f>
        <v>13.91478108</v>
      </c>
      <c r="J75" s="11">
        <f>(W75/$B75)+(W75/('Optimal Choice'!$B$19*AR75))</f>
        <v>30.35633049</v>
      </c>
      <c r="K75" s="11">
        <f>(X75/$B75)+(X75/('Optimal Choice'!$B$24*AS75))</f>
        <v>92.25228474</v>
      </c>
      <c r="N75" s="12">
        <f t="shared" ref="N75:R75" si="219">if(min($G74:$K74)=G74,N74+1,N74)</f>
        <v>61</v>
      </c>
      <c r="O75" s="12">
        <f t="shared" si="219"/>
        <v>10</v>
      </c>
      <c r="P75" s="12">
        <f t="shared" si="219"/>
        <v>3</v>
      </c>
      <c r="Q75" s="12">
        <f t="shared" si="219"/>
        <v>0</v>
      </c>
      <c r="R75" s="12">
        <f t="shared" si="219"/>
        <v>0</v>
      </c>
      <c r="T75" s="13">
        <f> 'Optimal Choice'!$B$5*'Optimal Choice'!$B$6^(N75+1)</f>
        <v>265.3714563</v>
      </c>
      <c r="U75" s="13">
        <f> 'Optimal Choice'!$B$10*'Optimal Choice'!$B$11^(O75+1)</f>
        <v>279.1434838</v>
      </c>
      <c r="V75" s="13">
        <f> 'Optimal Choice'!$B$15*'Optimal Choice'!$B$16^(P75+1)</f>
        <v>1216.051315</v>
      </c>
      <c r="W75" s="13">
        <f> 'Optimal Choice'!$B$20*'Optimal Choice'!$B$21^(Q75+1)</f>
        <v>9763.2</v>
      </c>
      <c r="X75" s="13">
        <f> 'Optimal Choice'!$B$25*'Optimal Choice'!$B$26^(R75+1)</f>
        <v>116121.6</v>
      </c>
      <c r="AA75" s="12">
        <f t="shared" ref="AA75:AE75" si="220">if(isna(VLOOKUP(N75,$D$2:$E$10,2,false)),AA74, VLOOKUP(N75,$D$2:$E$10,2,false))</f>
        <v>25</v>
      </c>
      <c r="AB75" s="15">
        <f t="shared" si="220"/>
        <v>1</v>
      </c>
      <c r="AC75" s="15">
        <f t="shared" si="220"/>
        <v>1</v>
      </c>
      <c r="AD75" s="15">
        <f t="shared" si="220"/>
        <v>1</v>
      </c>
      <c r="AE75" s="15">
        <f t="shared" si="220"/>
        <v>1</v>
      </c>
      <c r="AH75" s="15">
        <f>N75*'Optimal Choice'!$B$4*AA75</f>
        <v>2546.75</v>
      </c>
      <c r="AI75" s="15">
        <f>O75*'Optimal Choice'!$B$9*AB75</f>
        <v>200</v>
      </c>
      <c r="AJ75" s="15">
        <f>P75*'Optimal Choice'!$B$14*AC75</f>
        <v>270</v>
      </c>
      <c r="AK75" s="15">
        <f>Q75*'Optimal Choice'!$B$19*AD75</f>
        <v>0</v>
      </c>
      <c r="AL75" s="15">
        <f>R75*'Optimal Choice'!$B$24*AE75</f>
        <v>0</v>
      </c>
      <c r="AO75" s="12">
        <f t="shared" ref="AO75:AS75" si="221">if(isna(VLOOKUP(N75+1,$D$2:$E$10,2,false)),AO74, VLOOKUP(N75+1,$D$2:$E$10,2,false))</f>
        <v>25</v>
      </c>
      <c r="AP75" s="15">
        <f t="shared" si="221"/>
        <v>1</v>
      </c>
      <c r="AQ75" s="15">
        <f t="shared" si="221"/>
        <v>1</v>
      </c>
      <c r="AR75" s="15">
        <f t="shared" si="221"/>
        <v>1</v>
      </c>
      <c r="AS75" s="15">
        <f t="shared" si="221"/>
        <v>1</v>
      </c>
      <c r="AU75" s="11">
        <f t="shared" si="8"/>
        <v>0.001389415725</v>
      </c>
    </row>
    <row r="76" ht="15.75" customHeight="1">
      <c r="A76" s="16">
        <f t="shared" si="4"/>
        <v>0.5503473861</v>
      </c>
      <c r="B76" s="7">
        <f>(sum(AH76:AL76))*'Optimal Choice'!$B$28</f>
        <v>3058.5</v>
      </c>
      <c r="C76" s="11"/>
      <c r="D76" s="12"/>
      <c r="E76" s="12"/>
      <c r="F76" s="11"/>
      <c r="G76" s="11">
        <f>(T76/$B76)+(T76/('Optimal Choice'!$B$4*AO76))</f>
        <v>6.893975521</v>
      </c>
      <c r="H76" s="11">
        <f>(U76/$B76)+(U76/('Optimal Choice'!$B$9*AP76))</f>
        <v>14.04844229</v>
      </c>
      <c r="I76" s="11">
        <f>(V76/$B76)+(V76/('Optimal Choice'!$B$14*AQ76))</f>
        <v>13.90927857</v>
      </c>
      <c r="J76" s="11">
        <f>(W76/$B76)+(W76/('Optimal Choice'!$B$19*AR76))</f>
        <v>30.31215302</v>
      </c>
      <c r="K76" s="11">
        <f>(X76/$B76)+(X76/('Optimal Choice'!$B$24*AS76))</f>
        <v>91.72684649</v>
      </c>
      <c r="N76" s="12">
        <f t="shared" ref="N76:R76" si="222">if(min($G75:$K75)=G75,N75+1,N75)</f>
        <v>62</v>
      </c>
      <c r="O76" s="12">
        <f t="shared" si="222"/>
        <v>10</v>
      </c>
      <c r="P76" s="12">
        <f t="shared" si="222"/>
        <v>3</v>
      </c>
      <c r="Q76" s="12">
        <f t="shared" si="222"/>
        <v>0</v>
      </c>
      <c r="R76" s="12">
        <f t="shared" si="222"/>
        <v>0</v>
      </c>
      <c r="T76" s="13">
        <f> 'Optimal Choice'!$B$5*'Optimal Choice'!$B$6^(N76+1)</f>
        <v>283.9474583</v>
      </c>
      <c r="U76" s="13">
        <f> 'Optimal Choice'!$B$10*'Optimal Choice'!$B$11^(O76+1)</f>
        <v>279.1434838</v>
      </c>
      <c r="V76" s="13">
        <f> 'Optimal Choice'!$B$15*'Optimal Choice'!$B$16^(P76+1)</f>
        <v>1216.051315</v>
      </c>
      <c r="W76" s="13">
        <f> 'Optimal Choice'!$B$20*'Optimal Choice'!$B$21^(Q76+1)</f>
        <v>9763.2</v>
      </c>
      <c r="X76" s="13">
        <f> 'Optimal Choice'!$B$25*'Optimal Choice'!$B$26^(R76+1)</f>
        <v>116121.6</v>
      </c>
      <c r="AA76" s="12">
        <f t="shared" ref="AA76:AE76" si="223">if(isna(VLOOKUP(N76,$D$2:$E$10,2,false)),AA75, VLOOKUP(N76,$D$2:$E$10,2,false))</f>
        <v>25</v>
      </c>
      <c r="AB76" s="15">
        <f t="shared" si="223"/>
        <v>1</v>
      </c>
      <c r="AC76" s="15">
        <f t="shared" si="223"/>
        <v>1</v>
      </c>
      <c r="AD76" s="15">
        <f t="shared" si="223"/>
        <v>1</v>
      </c>
      <c r="AE76" s="15">
        <f t="shared" si="223"/>
        <v>1</v>
      </c>
      <c r="AH76" s="15">
        <f>N76*'Optimal Choice'!$B$4*AA76</f>
        <v>2588.5</v>
      </c>
      <c r="AI76" s="15">
        <f>O76*'Optimal Choice'!$B$9*AB76</f>
        <v>200</v>
      </c>
      <c r="AJ76" s="15">
        <f>P76*'Optimal Choice'!$B$14*AC76</f>
        <v>270</v>
      </c>
      <c r="AK76" s="15">
        <f>Q76*'Optimal Choice'!$B$19*AD76</f>
        <v>0</v>
      </c>
      <c r="AL76" s="15">
        <f>R76*'Optimal Choice'!$B$24*AE76</f>
        <v>0</v>
      </c>
      <c r="AO76" s="12">
        <f t="shared" ref="AO76:AS76" si="224">if(isna(VLOOKUP(N76+1,$D$2:$E$10,2,false)),AO75, VLOOKUP(N76+1,$D$2:$E$10,2,false))</f>
        <v>25</v>
      </c>
      <c r="AP76" s="15">
        <f t="shared" si="224"/>
        <v>1</v>
      </c>
      <c r="AQ76" s="15">
        <f t="shared" si="224"/>
        <v>1</v>
      </c>
      <c r="AR76" s="15">
        <f t="shared" si="224"/>
        <v>1</v>
      </c>
      <c r="AS76" s="15">
        <f t="shared" si="224"/>
        <v>1</v>
      </c>
      <c r="AU76" s="11">
        <f t="shared" si="8"/>
        <v>0.001466100143</v>
      </c>
    </row>
    <row r="77" ht="15.75" customHeight="1">
      <c r="A77" s="16">
        <f t="shared" si="4"/>
        <v>0.5518946994</v>
      </c>
      <c r="B77" s="7">
        <f>(sum(AH77:AL77))*'Optimal Choice'!$B$28</f>
        <v>3100.25</v>
      </c>
      <c r="C77" s="11"/>
      <c r="D77" s="12"/>
      <c r="E77" s="12"/>
      <c r="F77" s="11"/>
      <c r="G77" s="11">
        <f>(T77/$B77)+(T77/('Optimal Choice'!$B$4*AO77))</f>
        <v>7.375216064</v>
      </c>
      <c r="H77" s="11">
        <f>(U77/$B77)+(U77/('Optimal Choice'!$B$9*AP77))</f>
        <v>14.04721321</v>
      </c>
      <c r="I77" s="11">
        <f>(V77/$B77)+(V77/('Optimal Choice'!$B$14*AQ77))</f>
        <v>13.90392427</v>
      </c>
      <c r="J77" s="11">
        <f>(W77/$B77)+(W77/('Optimal Choice'!$B$19*AR77))</f>
        <v>30.26916539</v>
      </c>
      <c r="K77" s="11">
        <f>(X77/$B77)+(X77/('Optimal Choice'!$B$24*AS77))</f>
        <v>91.21556004</v>
      </c>
      <c r="N77" s="12">
        <f t="shared" ref="N77:R77" si="225">if(min($G76:$K76)=G76,N76+1,N76)</f>
        <v>63</v>
      </c>
      <c r="O77" s="12">
        <f t="shared" si="225"/>
        <v>10</v>
      </c>
      <c r="P77" s="12">
        <f t="shared" si="225"/>
        <v>3</v>
      </c>
      <c r="Q77" s="12">
        <f t="shared" si="225"/>
        <v>0</v>
      </c>
      <c r="R77" s="12">
        <f t="shared" si="225"/>
        <v>0</v>
      </c>
      <c r="T77" s="13">
        <f> 'Optimal Choice'!$B$5*'Optimal Choice'!$B$6^(N77+1)</f>
        <v>303.8237804</v>
      </c>
      <c r="U77" s="13">
        <f> 'Optimal Choice'!$B$10*'Optimal Choice'!$B$11^(O77+1)</f>
        <v>279.1434838</v>
      </c>
      <c r="V77" s="13">
        <f> 'Optimal Choice'!$B$15*'Optimal Choice'!$B$16^(P77+1)</f>
        <v>1216.051315</v>
      </c>
      <c r="W77" s="13">
        <f> 'Optimal Choice'!$B$20*'Optimal Choice'!$B$21^(Q77+1)</f>
        <v>9763.2</v>
      </c>
      <c r="X77" s="13">
        <f> 'Optimal Choice'!$B$25*'Optimal Choice'!$B$26^(R77+1)</f>
        <v>116121.6</v>
      </c>
      <c r="AA77" s="12">
        <f t="shared" ref="AA77:AE77" si="226">if(isna(VLOOKUP(N77,$D$2:$E$10,2,false)),AA76, VLOOKUP(N77,$D$2:$E$10,2,false))</f>
        <v>25</v>
      </c>
      <c r="AB77" s="15">
        <f t="shared" si="226"/>
        <v>1</v>
      </c>
      <c r="AC77" s="15">
        <f t="shared" si="226"/>
        <v>1</v>
      </c>
      <c r="AD77" s="15">
        <f t="shared" si="226"/>
        <v>1</v>
      </c>
      <c r="AE77" s="15">
        <f t="shared" si="226"/>
        <v>1</v>
      </c>
      <c r="AH77" s="15">
        <f>N77*'Optimal Choice'!$B$4*AA77</f>
        <v>2630.25</v>
      </c>
      <c r="AI77" s="15">
        <f>O77*'Optimal Choice'!$B$9*AB77</f>
        <v>200</v>
      </c>
      <c r="AJ77" s="15">
        <f>P77*'Optimal Choice'!$B$14*AC77</f>
        <v>270</v>
      </c>
      <c r="AK77" s="15">
        <f>Q77*'Optimal Choice'!$B$19*AD77</f>
        <v>0</v>
      </c>
      <c r="AL77" s="15">
        <f>R77*'Optimal Choice'!$B$24*AE77</f>
        <v>0</v>
      </c>
      <c r="AO77" s="12">
        <f t="shared" ref="AO77:AS77" si="227">if(isna(VLOOKUP(N77+1,$D$2:$E$10,2,false)),AO76, VLOOKUP(N77+1,$D$2:$E$10,2,false))</f>
        <v>25</v>
      </c>
      <c r="AP77" s="15">
        <f t="shared" si="227"/>
        <v>1</v>
      </c>
      <c r="AQ77" s="15">
        <f t="shared" si="227"/>
        <v>1</v>
      </c>
      <c r="AR77" s="15">
        <f t="shared" si="227"/>
        <v>1</v>
      </c>
      <c r="AS77" s="15">
        <f t="shared" si="227"/>
        <v>1</v>
      </c>
      <c r="AU77" s="11">
        <f t="shared" si="8"/>
        <v>0.001547313271</v>
      </c>
    </row>
    <row r="78" ht="15.75" customHeight="1">
      <c r="A78" s="16">
        <f t="shared" si="4"/>
        <v>0.5535280289</v>
      </c>
      <c r="B78" s="7">
        <f>(sum(AH78:AL78))*'Optimal Choice'!$B$28</f>
        <v>3142</v>
      </c>
      <c r="C78" s="11"/>
      <c r="D78" s="12"/>
      <c r="E78" s="12"/>
      <c r="F78" s="11"/>
      <c r="G78" s="11">
        <f>(T78/$B78)+(T78/('Optimal Choice'!$B$4*AO78))</f>
        <v>7.890087842</v>
      </c>
      <c r="H78" s="11">
        <f>(U78/$B78)+(U78/('Optimal Choice'!$B$9*AP78))</f>
        <v>14.0460168</v>
      </c>
      <c r="I78" s="11">
        <f>(V78/$B78)+(V78/('Optimal Choice'!$B$14*AQ78))</f>
        <v>13.89871225</v>
      </c>
      <c r="J78" s="11">
        <f>(W78/$B78)+(W78/('Optimal Choice'!$B$19*AR78))</f>
        <v>30.22732018</v>
      </c>
      <c r="K78" s="11">
        <f>(X78/$B78)+(X78/('Optimal Choice'!$B$24*AS78))</f>
        <v>90.71786123</v>
      </c>
      <c r="N78" s="12">
        <f t="shared" ref="N78:R78" si="228">if(min($G77:$K77)=G77,N77+1,N77)</f>
        <v>64</v>
      </c>
      <c r="O78" s="12">
        <f t="shared" si="228"/>
        <v>10</v>
      </c>
      <c r="P78" s="12">
        <f t="shared" si="228"/>
        <v>3</v>
      </c>
      <c r="Q78" s="12">
        <f t="shared" si="228"/>
        <v>0</v>
      </c>
      <c r="R78" s="12">
        <f t="shared" si="228"/>
        <v>0</v>
      </c>
      <c r="T78" s="13">
        <f> 'Optimal Choice'!$B$5*'Optimal Choice'!$B$6^(N78+1)</f>
        <v>325.091445</v>
      </c>
      <c r="U78" s="13">
        <f> 'Optimal Choice'!$B$10*'Optimal Choice'!$B$11^(O78+1)</f>
        <v>279.1434838</v>
      </c>
      <c r="V78" s="13">
        <f> 'Optimal Choice'!$B$15*'Optimal Choice'!$B$16^(P78+1)</f>
        <v>1216.051315</v>
      </c>
      <c r="W78" s="13">
        <f> 'Optimal Choice'!$B$20*'Optimal Choice'!$B$21^(Q78+1)</f>
        <v>9763.2</v>
      </c>
      <c r="X78" s="13">
        <f> 'Optimal Choice'!$B$25*'Optimal Choice'!$B$26^(R78+1)</f>
        <v>116121.6</v>
      </c>
      <c r="AA78" s="12">
        <f t="shared" ref="AA78:AE78" si="229">if(isna(VLOOKUP(N78,$D$2:$E$10,2,false)),AA77, VLOOKUP(N78,$D$2:$E$10,2,false))</f>
        <v>25</v>
      </c>
      <c r="AB78" s="15">
        <f t="shared" si="229"/>
        <v>1</v>
      </c>
      <c r="AC78" s="15">
        <f t="shared" si="229"/>
        <v>1</v>
      </c>
      <c r="AD78" s="15">
        <f t="shared" si="229"/>
        <v>1</v>
      </c>
      <c r="AE78" s="15">
        <f t="shared" si="229"/>
        <v>1</v>
      </c>
      <c r="AH78" s="15">
        <f>N78*'Optimal Choice'!$B$4*AA78</f>
        <v>2672</v>
      </c>
      <c r="AI78" s="15">
        <f>O78*'Optimal Choice'!$B$9*AB78</f>
        <v>200</v>
      </c>
      <c r="AJ78" s="15">
        <f>P78*'Optimal Choice'!$B$14*AC78</f>
        <v>270</v>
      </c>
      <c r="AK78" s="15">
        <f>Q78*'Optimal Choice'!$B$19*AD78</f>
        <v>0</v>
      </c>
      <c r="AL78" s="15">
        <f>R78*'Optimal Choice'!$B$24*AE78</f>
        <v>0</v>
      </c>
      <c r="AO78" s="12">
        <f t="shared" ref="AO78:AS78" si="230">if(isna(VLOOKUP(N78+1,$D$2:$E$10,2,false)),AO77, VLOOKUP(N78+1,$D$2:$E$10,2,false))</f>
        <v>25</v>
      </c>
      <c r="AP78" s="15">
        <f t="shared" si="230"/>
        <v>1</v>
      </c>
      <c r="AQ78" s="15">
        <f t="shared" si="230"/>
        <v>1</v>
      </c>
      <c r="AR78" s="15">
        <f t="shared" si="230"/>
        <v>1</v>
      </c>
      <c r="AS78" s="15">
        <f t="shared" si="230"/>
        <v>1</v>
      </c>
      <c r="AU78" s="11">
        <f t="shared" si="8"/>
        <v>0.001633329465</v>
      </c>
    </row>
    <row r="79" ht="15.75" customHeight="1">
      <c r="A79" s="16">
        <f t="shared" si="4"/>
        <v>0.555252469</v>
      </c>
      <c r="B79" s="7">
        <f>(sum(AH79:AL79))*'Optimal Choice'!$B$28</f>
        <v>3183.75</v>
      </c>
      <c r="C79" s="11"/>
      <c r="D79" s="12"/>
      <c r="E79" s="12"/>
      <c r="F79" s="11"/>
      <c r="G79" s="11">
        <f>(T79/$B79)+(T79/('Optimal Choice'!$B$4*AO79))</f>
        <v>8.440942211</v>
      </c>
      <c r="H79" s="11">
        <f>(U79/$B79)+(U79/('Optimal Choice'!$B$9*AP79))</f>
        <v>14.04485176</v>
      </c>
      <c r="I79" s="11">
        <f>(V79/$B79)+(V79/('Optimal Choice'!$B$14*AQ79))</f>
        <v>13.89363693</v>
      </c>
      <c r="J79" s="11">
        <f>(W79/$B79)+(W79/('Optimal Choice'!$B$19*AR79))</f>
        <v>30.18657244</v>
      </c>
      <c r="K79" s="11">
        <f>(X79/$B79)+(X79/('Optimal Choice'!$B$24*AS79))</f>
        <v>90.23321555</v>
      </c>
      <c r="N79" s="12">
        <f t="shared" ref="N79:R79" si="231">if(min($G78:$K78)=G78,N78+1,N78)</f>
        <v>65</v>
      </c>
      <c r="O79" s="12">
        <f t="shared" si="231"/>
        <v>10</v>
      </c>
      <c r="P79" s="12">
        <f t="shared" si="231"/>
        <v>3</v>
      </c>
      <c r="Q79" s="12">
        <f t="shared" si="231"/>
        <v>0</v>
      </c>
      <c r="R79" s="12">
        <f t="shared" si="231"/>
        <v>0</v>
      </c>
      <c r="T79" s="13">
        <f> 'Optimal Choice'!$B$5*'Optimal Choice'!$B$6^(N79+1)</f>
        <v>347.8478461</v>
      </c>
      <c r="U79" s="13">
        <f> 'Optimal Choice'!$B$10*'Optimal Choice'!$B$11^(O79+1)</f>
        <v>279.1434838</v>
      </c>
      <c r="V79" s="13">
        <f> 'Optimal Choice'!$B$15*'Optimal Choice'!$B$16^(P79+1)</f>
        <v>1216.051315</v>
      </c>
      <c r="W79" s="13">
        <f> 'Optimal Choice'!$B$20*'Optimal Choice'!$B$21^(Q79+1)</f>
        <v>9763.2</v>
      </c>
      <c r="X79" s="13">
        <f> 'Optimal Choice'!$B$25*'Optimal Choice'!$B$26^(R79+1)</f>
        <v>116121.6</v>
      </c>
      <c r="AA79" s="12">
        <f t="shared" ref="AA79:AE79" si="232">if(isna(VLOOKUP(N79,$D$2:$E$10,2,false)),AA78, VLOOKUP(N79,$D$2:$E$10,2,false))</f>
        <v>25</v>
      </c>
      <c r="AB79" s="15">
        <f t="shared" si="232"/>
        <v>1</v>
      </c>
      <c r="AC79" s="15">
        <f t="shared" si="232"/>
        <v>1</v>
      </c>
      <c r="AD79" s="15">
        <f t="shared" si="232"/>
        <v>1</v>
      </c>
      <c r="AE79" s="15">
        <f t="shared" si="232"/>
        <v>1</v>
      </c>
      <c r="AH79" s="15">
        <f>N79*'Optimal Choice'!$B$4*AA79</f>
        <v>2713.75</v>
      </c>
      <c r="AI79" s="15">
        <f>O79*'Optimal Choice'!$B$9*AB79</f>
        <v>200</v>
      </c>
      <c r="AJ79" s="15">
        <f>P79*'Optimal Choice'!$B$14*AC79</f>
        <v>270</v>
      </c>
      <c r="AK79" s="15">
        <f>Q79*'Optimal Choice'!$B$19*AD79</f>
        <v>0</v>
      </c>
      <c r="AL79" s="15">
        <f>R79*'Optimal Choice'!$B$24*AE79</f>
        <v>0</v>
      </c>
      <c r="AO79" s="12">
        <f t="shared" ref="AO79:AS79" si="233">if(isna(VLOOKUP(N79+1,$D$2:$E$10,2,false)),AO78, VLOOKUP(N79+1,$D$2:$E$10,2,false))</f>
        <v>25</v>
      </c>
      <c r="AP79" s="15">
        <f t="shared" si="233"/>
        <v>1</v>
      </c>
      <c r="AQ79" s="15">
        <f t="shared" si="233"/>
        <v>1</v>
      </c>
      <c r="AR79" s="15">
        <f t="shared" si="233"/>
        <v>1</v>
      </c>
      <c r="AS79" s="15">
        <f t="shared" si="233"/>
        <v>1</v>
      </c>
      <c r="AU79" s="11">
        <f t="shared" si="8"/>
        <v>0.001724440086</v>
      </c>
    </row>
    <row r="80" ht="15.75" customHeight="1">
      <c r="A80" s="16">
        <f t="shared" si="4"/>
        <v>0.5570734235</v>
      </c>
      <c r="B80" s="7">
        <f>(sum(AH80:AL80))*'Optimal Choice'!$B$28</f>
        <v>3225.5</v>
      </c>
      <c r="C80" s="11"/>
      <c r="D80" s="12"/>
      <c r="E80" s="12"/>
      <c r="F80" s="11"/>
      <c r="G80" s="11">
        <f>(T80/$B80)+(T80/('Optimal Choice'!$B$4*AO80))</f>
        <v>9.030294976</v>
      </c>
      <c r="H80" s="11">
        <f>(U80/$B80)+(U80/('Optimal Choice'!$B$9*AP80))</f>
        <v>14.04371689</v>
      </c>
      <c r="I80" s="11">
        <f>(V80/$B80)+(V80/('Optimal Choice'!$B$14*AQ80))</f>
        <v>13.888693</v>
      </c>
      <c r="J80" s="11">
        <f>(W80/$B80)+(W80/('Optimal Choice'!$B$19*AR80))</f>
        <v>30.14687955</v>
      </c>
      <c r="K80" s="11">
        <f>(X80/$B80)+(X80/('Optimal Choice'!$B$24*AS80))</f>
        <v>89.76111611</v>
      </c>
      <c r="N80" s="12">
        <f t="shared" ref="N80:R80" si="234">if(min($G79:$K79)=G79,N79+1,N79)</f>
        <v>66</v>
      </c>
      <c r="O80" s="12">
        <f t="shared" si="234"/>
        <v>10</v>
      </c>
      <c r="P80" s="12">
        <f t="shared" si="234"/>
        <v>3</v>
      </c>
      <c r="Q80" s="12">
        <f t="shared" si="234"/>
        <v>0</v>
      </c>
      <c r="R80" s="12">
        <f t="shared" si="234"/>
        <v>0</v>
      </c>
      <c r="T80" s="13">
        <f> 'Optimal Choice'!$B$5*'Optimal Choice'!$B$6^(N80+1)</f>
        <v>372.1971954</v>
      </c>
      <c r="U80" s="13">
        <f> 'Optimal Choice'!$B$10*'Optimal Choice'!$B$11^(O80+1)</f>
        <v>279.1434838</v>
      </c>
      <c r="V80" s="13">
        <f> 'Optimal Choice'!$B$15*'Optimal Choice'!$B$16^(P80+1)</f>
        <v>1216.051315</v>
      </c>
      <c r="W80" s="13">
        <f> 'Optimal Choice'!$B$20*'Optimal Choice'!$B$21^(Q80+1)</f>
        <v>9763.2</v>
      </c>
      <c r="X80" s="13">
        <f> 'Optimal Choice'!$B$25*'Optimal Choice'!$B$26^(R80+1)</f>
        <v>116121.6</v>
      </c>
      <c r="AA80" s="12">
        <f t="shared" ref="AA80:AE80" si="235">if(isna(VLOOKUP(N80,$D$2:$E$10,2,false)),AA79, VLOOKUP(N80,$D$2:$E$10,2,false))</f>
        <v>25</v>
      </c>
      <c r="AB80" s="15">
        <f t="shared" si="235"/>
        <v>1</v>
      </c>
      <c r="AC80" s="15">
        <f t="shared" si="235"/>
        <v>1</v>
      </c>
      <c r="AD80" s="15">
        <f t="shared" si="235"/>
        <v>1</v>
      </c>
      <c r="AE80" s="15">
        <f t="shared" si="235"/>
        <v>1</v>
      </c>
      <c r="AH80" s="15">
        <f>N80*'Optimal Choice'!$B$4*AA80</f>
        <v>2755.5</v>
      </c>
      <c r="AI80" s="15">
        <f>O80*'Optimal Choice'!$B$9*AB80</f>
        <v>200</v>
      </c>
      <c r="AJ80" s="15">
        <f>P80*'Optimal Choice'!$B$14*AC80</f>
        <v>270</v>
      </c>
      <c r="AK80" s="15">
        <f>Q80*'Optimal Choice'!$B$19*AD80</f>
        <v>0</v>
      </c>
      <c r="AL80" s="15">
        <f>R80*'Optimal Choice'!$B$24*AE80</f>
        <v>0</v>
      </c>
      <c r="AO80" s="12">
        <f t="shared" ref="AO80:AS80" si="236">if(isna(VLOOKUP(N80+1,$D$2:$E$10,2,false)),AO79, VLOOKUP(N80+1,$D$2:$E$10,2,false))</f>
        <v>25</v>
      </c>
      <c r="AP80" s="15">
        <f t="shared" si="236"/>
        <v>1</v>
      </c>
      <c r="AQ80" s="15">
        <f t="shared" si="236"/>
        <v>1</v>
      </c>
      <c r="AR80" s="15">
        <f t="shared" si="236"/>
        <v>1</v>
      </c>
      <c r="AS80" s="15">
        <f t="shared" si="236"/>
        <v>1</v>
      </c>
      <c r="AU80" s="11">
        <f t="shared" si="8"/>
        <v>0.001820954567</v>
      </c>
    </row>
    <row r="81" ht="15.75" customHeight="1">
      <c r="A81" s="16">
        <f t="shared" si="4"/>
        <v>0.5589966251</v>
      </c>
      <c r="B81" s="7">
        <f>(sum(AH81:AL81))*'Optimal Choice'!$B$28</f>
        <v>3267.25</v>
      </c>
      <c r="C81" s="11"/>
      <c r="D81" s="12"/>
      <c r="E81" s="12"/>
      <c r="F81" s="11"/>
      <c r="G81" s="11">
        <f>(T81/$B81)+(T81/('Optimal Choice'!$B$4*AO81))</f>
        <v>9.660837889</v>
      </c>
      <c r="H81" s="11">
        <f>(U81/$B81)+(U81/('Optimal Choice'!$B$9*AP81))</f>
        <v>14.04261102</v>
      </c>
      <c r="I81" s="11">
        <f>(V81/$B81)+(V81/('Optimal Choice'!$B$14*AQ81))</f>
        <v>13.88387542</v>
      </c>
      <c r="J81" s="11">
        <f>(W81/$B81)+(W81/('Optimal Choice'!$B$19*AR81))</f>
        <v>30.10820109</v>
      </c>
      <c r="K81" s="11">
        <f>(X81/$B81)+(X81/('Optimal Choice'!$B$24*AS81))</f>
        <v>89.30108195</v>
      </c>
      <c r="N81" s="12">
        <f t="shared" ref="N81:R81" si="237">if(min($G80:$K80)=G80,N80+1,N80)</f>
        <v>67</v>
      </c>
      <c r="O81" s="12">
        <f t="shared" si="237"/>
        <v>10</v>
      </c>
      <c r="P81" s="12">
        <f t="shared" si="237"/>
        <v>3</v>
      </c>
      <c r="Q81" s="12">
        <f t="shared" si="237"/>
        <v>0</v>
      </c>
      <c r="R81" s="12">
        <f t="shared" si="237"/>
        <v>0</v>
      </c>
      <c r="T81" s="13">
        <f> 'Optimal Choice'!$B$5*'Optimal Choice'!$B$6^(N81+1)</f>
        <v>398.250999</v>
      </c>
      <c r="U81" s="13">
        <f> 'Optimal Choice'!$B$10*'Optimal Choice'!$B$11^(O81+1)</f>
        <v>279.1434838</v>
      </c>
      <c r="V81" s="13">
        <f> 'Optimal Choice'!$B$15*'Optimal Choice'!$B$16^(P81+1)</f>
        <v>1216.051315</v>
      </c>
      <c r="W81" s="13">
        <f> 'Optimal Choice'!$B$20*'Optimal Choice'!$B$21^(Q81+1)</f>
        <v>9763.2</v>
      </c>
      <c r="X81" s="13">
        <f> 'Optimal Choice'!$B$25*'Optimal Choice'!$B$26^(R81+1)</f>
        <v>116121.6</v>
      </c>
      <c r="AA81" s="12">
        <f t="shared" ref="AA81:AE81" si="238">if(isna(VLOOKUP(N81,$D$2:$E$10,2,false)),AA80, VLOOKUP(N81,$D$2:$E$10,2,false))</f>
        <v>25</v>
      </c>
      <c r="AB81" s="15">
        <f t="shared" si="238"/>
        <v>1</v>
      </c>
      <c r="AC81" s="15">
        <f t="shared" si="238"/>
        <v>1</v>
      </c>
      <c r="AD81" s="15">
        <f t="shared" si="238"/>
        <v>1</v>
      </c>
      <c r="AE81" s="15">
        <f t="shared" si="238"/>
        <v>1</v>
      </c>
      <c r="AH81" s="15">
        <f>N81*'Optimal Choice'!$B$4*AA81</f>
        <v>2797.25</v>
      </c>
      <c r="AI81" s="15">
        <f>O81*'Optimal Choice'!$B$9*AB81</f>
        <v>200</v>
      </c>
      <c r="AJ81" s="15">
        <f>P81*'Optimal Choice'!$B$14*AC81</f>
        <v>270</v>
      </c>
      <c r="AK81" s="15">
        <f>Q81*'Optimal Choice'!$B$19*AD81</f>
        <v>0</v>
      </c>
      <c r="AL81" s="15">
        <f>R81*'Optimal Choice'!$B$24*AE81</f>
        <v>0</v>
      </c>
      <c r="AO81" s="12">
        <f t="shared" ref="AO81:AS81" si="239">if(isna(VLOOKUP(N81+1,$D$2:$E$10,2,false)),AO80, VLOOKUP(N81+1,$D$2:$E$10,2,false))</f>
        <v>25</v>
      </c>
      <c r="AP81" s="15">
        <f t="shared" si="239"/>
        <v>1</v>
      </c>
      <c r="AQ81" s="15">
        <f t="shared" si="239"/>
        <v>1</v>
      </c>
      <c r="AR81" s="15">
        <f t="shared" si="239"/>
        <v>1</v>
      </c>
      <c r="AS81" s="15">
        <f t="shared" si="239"/>
        <v>1</v>
      </c>
      <c r="AU81" s="11">
        <f t="shared" si="8"/>
        <v>0.001923201547</v>
      </c>
    </row>
    <row r="82" ht="15.75" customHeight="1">
      <c r="A82" s="16">
        <f t="shared" si="4"/>
        <v>0.5610281551</v>
      </c>
      <c r="B82" s="7">
        <f>(sum(AH82:AL82))*'Optimal Choice'!$B$28</f>
        <v>3309</v>
      </c>
      <c r="C82" s="11"/>
      <c r="D82" s="12"/>
      <c r="E82" s="12"/>
      <c r="F82" s="11"/>
      <c r="G82" s="11">
        <f>(T82/$B82)+(T82/('Optimal Choice'!$B$4*AO82))</f>
        <v>10.33545097</v>
      </c>
      <c r="H82" s="11">
        <f>(U82/$B82)+(U82/('Optimal Choice'!$B$9*AP82))</f>
        <v>14.04153305</v>
      </c>
      <c r="I82" s="11">
        <f>(V82/$B82)+(V82/('Optimal Choice'!$B$14*AQ82))</f>
        <v>13.87917941</v>
      </c>
      <c r="J82" s="11">
        <f>(W82/$B82)+(W82/('Optimal Choice'!$B$19*AR82))</f>
        <v>30.07049864</v>
      </c>
      <c r="K82" s="11">
        <f>(X82/$B82)+(X82/('Optimal Choice'!$B$24*AS82))</f>
        <v>88.85265639</v>
      </c>
      <c r="N82" s="12">
        <f t="shared" ref="N82:R82" si="240">if(min($G81:$K81)=G81,N81+1,N81)</f>
        <v>68</v>
      </c>
      <c r="O82" s="12">
        <f t="shared" si="240"/>
        <v>10</v>
      </c>
      <c r="P82" s="12">
        <f t="shared" si="240"/>
        <v>3</v>
      </c>
      <c r="Q82" s="12">
        <f t="shared" si="240"/>
        <v>0</v>
      </c>
      <c r="R82" s="12">
        <f t="shared" si="240"/>
        <v>0</v>
      </c>
      <c r="T82" s="13">
        <f> 'Optimal Choice'!$B$5*'Optimal Choice'!$B$6^(N82+1)</f>
        <v>426.128569</v>
      </c>
      <c r="U82" s="13">
        <f> 'Optimal Choice'!$B$10*'Optimal Choice'!$B$11^(O82+1)</f>
        <v>279.1434838</v>
      </c>
      <c r="V82" s="13">
        <f> 'Optimal Choice'!$B$15*'Optimal Choice'!$B$16^(P82+1)</f>
        <v>1216.051315</v>
      </c>
      <c r="W82" s="13">
        <f> 'Optimal Choice'!$B$20*'Optimal Choice'!$B$21^(Q82+1)</f>
        <v>9763.2</v>
      </c>
      <c r="X82" s="13">
        <f> 'Optimal Choice'!$B$25*'Optimal Choice'!$B$26^(R82+1)</f>
        <v>116121.6</v>
      </c>
      <c r="AA82" s="12">
        <f t="shared" ref="AA82:AE82" si="241">if(isna(VLOOKUP(N82,$D$2:$E$10,2,false)),AA81, VLOOKUP(N82,$D$2:$E$10,2,false))</f>
        <v>25</v>
      </c>
      <c r="AB82" s="15">
        <f t="shared" si="241"/>
        <v>1</v>
      </c>
      <c r="AC82" s="15">
        <f t="shared" si="241"/>
        <v>1</v>
      </c>
      <c r="AD82" s="15">
        <f t="shared" si="241"/>
        <v>1</v>
      </c>
      <c r="AE82" s="15">
        <f t="shared" si="241"/>
        <v>1</v>
      </c>
      <c r="AH82" s="15">
        <f>N82*'Optimal Choice'!$B$4*AA82</f>
        <v>2839</v>
      </c>
      <c r="AI82" s="15">
        <f>O82*'Optimal Choice'!$B$9*AB82</f>
        <v>200</v>
      </c>
      <c r="AJ82" s="15">
        <f>P82*'Optimal Choice'!$B$14*AC82</f>
        <v>270</v>
      </c>
      <c r="AK82" s="15">
        <f>Q82*'Optimal Choice'!$B$19*AD82</f>
        <v>0</v>
      </c>
      <c r="AL82" s="15">
        <f>R82*'Optimal Choice'!$B$24*AE82</f>
        <v>0</v>
      </c>
      <c r="AO82" s="12">
        <f t="shared" ref="AO82:AS82" si="242">if(isna(VLOOKUP(N82+1,$D$2:$E$10,2,false)),AO81, VLOOKUP(N82+1,$D$2:$E$10,2,false))</f>
        <v>25</v>
      </c>
      <c r="AP82" s="15">
        <f t="shared" si="242"/>
        <v>1</v>
      </c>
      <c r="AQ82" s="15">
        <f t="shared" si="242"/>
        <v>1</v>
      </c>
      <c r="AR82" s="15">
        <f t="shared" si="242"/>
        <v>1</v>
      </c>
      <c r="AS82" s="15">
        <f t="shared" si="242"/>
        <v>1</v>
      </c>
      <c r="AU82" s="11">
        <f t="shared" si="8"/>
        <v>0.002031530079</v>
      </c>
    </row>
    <row r="83" ht="15.75" customHeight="1">
      <c r="A83" s="16">
        <f t="shared" si="4"/>
        <v>0.5631744661</v>
      </c>
      <c r="B83" s="7">
        <f>(sum(AH83:AL83))*'Optimal Choice'!$B$28</f>
        <v>3350.75</v>
      </c>
      <c r="C83" s="11"/>
      <c r="D83" s="12"/>
      <c r="E83" s="12"/>
      <c r="F83" s="11"/>
      <c r="G83" s="11">
        <f>(T83/$B83)+(T83/('Optimal Choice'!$B$4*AO83))</f>
        <v>11.05721564</v>
      </c>
      <c r="H83" s="11">
        <f>(U83/$B83)+(U83/('Optimal Choice'!$B$9*AP83))</f>
        <v>14.04048195</v>
      </c>
      <c r="I83" s="11">
        <f>(V83/$B83)+(V83/('Optimal Choice'!$B$14*AQ83))</f>
        <v>13.87460042</v>
      </c>
      <c r="J83" s="11">
        <f>(W83/$B83)+(W83/('Optimal Choice'!$B$19*AR83))</f>
        <v>30.03373573</v>
      </c>
      <c r="K83" s="11">
        <f>(X83/$B83)+(X83/('Optimal Choice'!$B$24*AS83))</f>
        <v>88.41540551</v>
      </c>
      <c r="N83" s="12">
        <f t="shared" ref="N83:R83" si="243">if(min($G82:$K82)=G82,N82+1,N82)</f>
        <v>69</v>
      </c>
      <c r="O83" s="12">
        <f t="shared" si="243"/>
        <v>10</v>
      </c>
      <c r="P83" s="12">
        <f t="shared" si="243"/>
        <v>3</v>
      </c>
      <c r="Q83" s="12">
        <f t="shared" si="243"/>
        <v>0</v>
      </c>
      <c r="R83" s="12">
        <f t="shared" si="243"/>
        <v>0</v>
      </c>
      <c r="T83" s="13">
        <f> 'Optimal Choice'!$B$5*'Optimal Choice'!$B$6^(N83+1)</f>
        <v>455.9575688</v>
      </c>
      <c r="U83" s="13">
        <f> 'Optimal Choice'!$B$10*'Optimal Choice'!$B$11^(O83+1)</f>
        <v>279.1434838</v>
      </c>
      <c r="V83" s="13">
        <f> 'Optimal Choice'!$B$15*'Optimal Choice'!$B$16^(P83+1)</f>
        <v>1216.051315</v>
      </c>
      <c r="W83" s="13">
        <f> 'Optimal Choice'!$B$20*'Optimal Choice'!$B$21^(Q83+1)</f>
        <v>9763.2</v>
      </c>
      <c r="X83" s="13">
        <f> 'Optimal Choice'!$B$25*'Optimal Choice'!$B$26^(R83+1)</f>
        <v>116121.6</v>
      </c>
      <c r="AA83" s="12">
        <f t="shared" ref="AA83:AE83" si="244">if(isna(VLOOKUP(N83,$D$2:$E$10,2,false)),AA82, VLOOKUP(N83,$D$2:$E$10,2,false))</f>
        <v>25</v>
      </c>
      <c r="AB83" s="15">
        <f t="shared" si="244"/>
        <v>1</v>
      </c>
      <c r="AC83" s="15">
        <f t="shared" si="244"/>
        <v>1</v>
      </c>
      <c r="AD83" s="15">
        <f t="shared" si="244"/>
        <v>1</v>
      </c>
      <c r="AE83" s="15">
        <f t="shared" si="244"/>
        <v>1</v>
      </c>
      <c r="AH83" s="15">
        <f>N83*'Optimal Choice'!$B$4*AA83</f>
        <v>2880.75</v>
      </c>
      <c r="AI83" s="15">
        <f>O83*'Optimal Choice'!$B$9*AB83</f>
        <v>200</v>
      </c>
      <c r="AJ83" s="15">
        <f>P83*'Optimal Choice'!$B$14*AC83</f>
        <v>270</v>
      </c>
      <c r="AK83" s="15">
        <f>Q83*'Optimal Choice'!$B$19*AD83</f>
        <v>0</v>
      </c>
      <c r="AL83" s="15">
        <f>R83*'Optimal Choice'!$B$24*AE83</f>
        <v>0</v>
      </c>
      <c r="AO83" s="12">
        <f t="shared" ref="AO83:AS83" si="245">if(isna(VLOOKUP(N83+1,$D$2:$E$10,2,false)),AO82, VLOOKUP(N83+1,$D$2:$E$10,2,false))</f>
        <v>25</v>
      </c>
      <c r="AP83" s="15">
        <f t="shared" si="245"/>
        <v>1</v>
      </c>
      <c r="AQ83" s="15">
        <f t="shared" si="245"/>
        <v>1</v>
      </c>
      <c r="AR83" s="15">
        <f t="shared" si="245"/>
        <v>1</v>
      </c>
      <c r="AS83" s="15">
        <f t="shared" si="245"/>
        <v>1</v>
      </c>
      <c r="AU83" s="11">
        <f t="shared" si="8"/>
        <v>0.002146310914</v>
      </c>
    </row>
    <row r="84" ht="15.75" customHeight="1">
      <c r="A84" s="16">
        <f t="shared" si="4"/>
        <v>0.5654424039</v>
      </c>
      <c r="B84" s="7">
        <f>(sum(AH84:AL84))*'Optimal Choice'!$B$28</f>
        <v>3392.5</v>
      </c>
      <c r="C84" s="11"/>
      <c r="D84" s="12"/>
      <c r="E84" s="12"/>
      <c r="F84" s="11"/>
      <c r="G84" s="11">
        <f>(T84/$B84)+(T84/('Optimal Choice'!$B$4*AO84))</f>
        <v>11.82942888</v>
      </c>
      <c r="H84" s="11">
        <f>(U84/$B84)+(U84/('Optimal Choice'!$B$9*AP84))</f>
        <v>14.03945672</v>
      </c>
      <c r="I84" s="11">
        <f>(V84/$B84)+(V84/('Optimal Choice'!$B$14*AQ84))</f>
        <v>13.87013414</v>
      </c>
      <c r="J84" s="11">
        <f>(W84/$B84)+(W84/('Optimal Choice'!$B$19*AR84))</f>
        <v>29.99787767</v>
      </c>
      <c r="K84" s="11">
        <f>(X84/$B84)+(X84/('Optimal Choice'!$B$24*AS84))</f>
        <v>87.98891673</v>
      </c>
      <c r="N84" s="12">
        <f t="shared" ref="N84:R84" si="246">if(min($G83:$K83)=G83,N83+1,N83)</f>
        <v>70</v>
      </c>
      <c r="O84" s="12">
        <f t="shared" si="246"/>
        <v>10</v>
      </c>
      <c r="P84" s="12">
        <f t="shared" si="246"/>
        <v>3</v>
      </c>
      <c r="Q84" s="12">
        <f t="shared" si="246"/>
        <v>0</v>
      </c>
      <c r="R84" s="12">
        <f t="shared" si="246"/>
        <v>0</v>
      </c>
      <c r="T84" s="13">
        <f> 'Optimal Choice'!$B$5*'Optimal Choice'!$B$6^(N84+1)</f>
        <v>487.8745986</v>
      </c>
      <c r="U84" s="13">
        <f> 'Optimal Choice'!$B$10*'Optimal Choice'!$B$11^(O84+1)</f>
        <v>279.1434838</v>
      </c>
      <c r="V84" s="13">
        <f> 'Optimal Choice'!$B$15*'Optimal Choice'!$B$16^(P84+1)</f>
        <v>1216.051315</v>
      </c>
      <c r="W84" s="13">
        <f> 'Optimal Choice'!$B$20*'Optimal Choice'!$B$21^(Q84+1)</f>
        <v>9763.2</v>
      </c>
      <c r="X84" s="13">
        <f> 'Optimal Choice'!$B$25*'Optimal Choice'!$B$26^(R84+1)</f>
        <v>116121.6</v>
      </c>
      <c r="AA84" s="12">
        <f t="shared" ref="AA84:AE84" si="247">if(isna(VLOOKUP(N84,$D$2:$E$10,2,false)),AA83, VLOOKUP(N84,$D$2:$E$10,2,false))</f>
        <v>25</v>
      </c>
      <c r="AB84" s="15">
        <f t="shared" si="247"/>
        <v>1</v>
      </c>
      <c r="AC84" s="15">
        <f t="shared" si="247"/>
        <v>1</v>
      </c>
      <c r="AD84" s="15">
        <f t="shared" si="247"/>
        <v>1</v>
      </c>
      <c r="AE84" s="15">
        <f t="shared" si="247"/>
        <v>1</v>
      </c>
      <c r="AH84" s="15">
        <f>N84*'Optimal Choice'!$B$4*AA84</f>
        <v>2922.5</v>
      </c>
      <c r="AI84" s="15">
        <f>O84*'Optimal Choice'!$B$9*AB84</f>
        <v>200</v>
      </c>
      <c r="AJ84" s="15">
        <f>P84*'Optimal Choice'!$B$14*AC84</f>
        <v>270</v>
      </c>
      <c r="AK84" s="15">
        <f>Q84*'Optimal Choice'!$B$19*AD84</f>
        <v>0</v>
      </c>
      <c r="AL84" s="15">
        <f>R84*'Optimal Choice'!$B$24*AE84</f>
        <v>0</v>
      </c>
      <c r="AO84" s="12">
        <f t="shared" ref="AO84:AS84" si="248">if(isna(VLOOKUP(N84+1,$D$2:$E$10,2,false)),AO83, VLOOKUP(N84+1,$D$2:$E$10,2,false))</f>
        <v>25</v>
      </c>
      <c r="AP84" s="15">
        <f t="shared" si="248"/>
        <v>1</v>
      </c>
      <c r="AQ84" s="15">
        <f t="shared" si="248"/>
        <v>1</v>
      </c>
      <c r="AR84" s="15">
        <f t="shared" si="248"/>
        <v>1</v>
      </c>
      <c r="AS84" s="15">
        <f t="shared" si="248"/>
        <v>1</v>
      </c>
      <c r="AU84" s="11">
        <f t="shared" si="8"/>
        <v>0.002267937869</v>
      </c>
    </row>
    <row r="85" ht="15.75" customHeight="1">
      <c r="A85" s="16">
        <f t="shared" si="4"/>
        <v>0.5678392332</v>
      </c>
      <c r="B85" s="7">
        <f>(sum(AH85:AL85))*'Optimal Choice'!$B$28</f>
        <v>3434.25</v>
      </c>
      <c r="C85" s="11"/>
      <c r="D85" s="12"/>
      <c r="E85" s="12"/>
      <c r="F85" s="11"/>
      <c r="G85" s="11">
        <f>(T85/$B85)+(T85/('Optimal Choice'!$B$4*AO85))</f>
        <v>12.65561824</v>
      </c>
      <c r="H85" s="11">
        <f>(U85/$B85)+(U85/('Optimal Choice'!$B$9*AP85))</f>
        <v>14.03845641</v>
      </c>
      <c r="I85" s="11">
        <f>(V85/$B85)+(V85/('Optimal Choice'!$B$14*AQ85))</f>
        <v>13.86577644</v>
      </c>
      <c r="J85" s="11">
        <f>(W85/$B85)+(W85/('Optimal Choice'!$B$19*AR85))</f>
        <v>29.96289146</v>
      </c>
      <c r="K85" s="11">
        <f>(X85/$B85)+(X85/('Optimal Choice'!$B$24*AS85))</f>
        <v>87.57279755</v>
      </c>
      <c r="N85" s="12">
        <f t="shared" ref="N85:R85" si="249">if(min($G84:$K84)=G84,N84+1,N84)</f>
        <v>71</v>
      </c>
      <c r="O85" s="12">
        <f t="shared" si="249"/>
        <v>10</v>
      </c>
      <c r="P85" s="12">
        <f t="shared" si="249"/>
        <v>3</v>
      </c>
      <c r="Q85" s="12">
        <f t="shared" si="249"/>
        <v>0</v>
      </c>
      <c r="R85" s="12">
        <f t="shared" si="249"/>
        <v>0</v>
      </c>
      <c r="T85" s="13">
        <f> 'Optimal Choice'!$B$5*'Optimal Choice'!$B$6^(N85+1)</f>
        <v>522.0258205</v>
      </c>
      <c r="U85" s="13">
        <f> 'Optimal Choice'!$B$10*'Optimal Choice'!$B$11^(O85+1)</f>
        <v>279.1434838</v>
      </c>
      <c r="V85" s="13">
        <f> 'Optimal Choice'!$B$15*'Optimal Choice'!$B$16^(P85+1)</f>
        <v>1216.051315</v>
      </c>
      <c r="W85" s="13">
        <f> 'Optimal Choice'!$B$20*'Optimal Choice'!$B$21^(Q85+1)</f>
        <v>9763.2</v>
      </c>
      <c r="X85" s="13">
        <f> 'Optimal Choice'!$B$25*'Optimal Choice'!$B$26^(R85+1)</f>
        <v>116121.6</v>
      </c>
      <c r="AA85" s="12">
        <f t="shared" ref="AA85:AE85" si="250">if(isna(VLOOKUP(N85,$D$2:$E$10,2,false)),AA84, VLOOKUP(N85,$D$2:$E$10,2,false))</f>
        <v>25</v>
      </c>
      <c r="AB85" s="15">
        <f t="shared" si="250"/>
        <v>1</v>
      </c>
      <c r="AC85" s="15">
        <f t="shared" si="250"/>
        <v>1</v>
      </c>
      <c r="AD85" s="15">
        <f t="shared" si="250"/>
        <v>1</v>
      </c>
      <c r="AE85" s="15">
        <f t="shared" si="250"/>
        <v>1</v>
      </c>
      <c r="AH85" s="15">
        <f>N85*'Optimal Choice'!$B$4*AA85</f>
        <v>2964.25</v>
      </c>
      <c r="AI85" s="15">
        <f>O85*'Optimal Choice'!$B$9*AB85</f>
        <v>200</v>
      </c>
      <c r="AJ85" s="15">
        <f>P85*'Optimal Choice'!$B$14*AC85</f>
        <v>270</v>
      </c>
      <c r="AK85" s="15">
        <f>Q85*'Optimal Choice'!$B$19*AD85</f>
        <v>0</v>
      </c>
      <c r="AL85" s="15">
        <f>R85*'Optimal Choice'!$B$24*AE85</f>
        <v>0</v>
      </c>
      <c r="AO85" s="12">
        <f t="shared" ref="AO85:AS85" si="251">if(isna(VLOOKUP(N85+1,$D$2:$E$10,2,false)),AO84, VLOOKUP(N85+1,$D$2:$E$10,2,false))</f>
        <v>25</v>
      </c>
      <c r="AP85" s="15">
        <f t="shared" si="251"/>
        <v>1</v>
      </c>
      <c r="AQ85" s="15">
        <f t="shared" si="251"/>
        <v>1</v>
      </c>
      <c r="AR85" s="15">
        <f t="shared" si="251"/>
        <v>1</v>
      </c>
      <c r="AS85" s="15">
        <f t="shared" si="251"/>
        <v>1</v>
      </c>
      <c r="AU85" s="11">
        <f t="shared" si="8"/>
        <v>0.002396829273</v>
      </c>
    </row>
    <row r="86" ht="15.75" customHeight="1">
      <c r="A86" s="16">
        <f t="shared" si="4"/>
        <v>0.5703726627</v>
      </c>
      <c r="B86" s="7">
        <f>(sum(AH86:AL86))*'Optimal Choice'!$B$28</f>
        <v>3476</v>
      </c>
      <c r="C86" s="11"/>
      <c r="D86" s="12"/>
      <c r="E86" s="12"/>
      <c r="F86" s="11"/>
      <c r="G86" s="11">
        <f>(T86/$B86)+(T86/('Optimal Choice'!$B$4*AO86))</f>
        <v>13.53955798</v>
      </c>
      <c r="H86" s="11">
        <f>(U86/$B86)+(U86/('Optimal Choice'!$B$9*AP86))</f>
        <v>14.03748014</v>
      </c>
      <c r="I86" s="11">
        <f>(V86/$B86)+(V86/('Optimal Choice'!$B$14*AQ86))</f>
        <v>13.86152343</v>
      </c>
      <c r="J86" s="11">
        <f>(W86/$B86)+(W86/('Optimal Choice'!$B$19*AR86))</f>
        <v>29.92874568</v>
      </c>
      <c r="K86" s="11">
        <f>(X86/$B86)+(X86/('Optimal Choice'!$B$24*AS86))</f>
        <v>87.16667434</v>
      </c>
      <c r="N86" s="12">
        <f t="shared" ref="N86:R86" si="252">if(min($G85:$K85)=G85,N85+1,N85)</f>
        <v>72</v>
      </c>
      <c r="O86" s="12">
        <f t="shared" si="252"/>
        <v>10</v>
      </c>
      <c r="P86" s="12">
        <f t="shared" si="252"/>
        <v>3</v>
      </c>
      <c r="Q86" s="12">
        <f t="shared" si="252"/>
        <v>0</v>
      </c>
      <c r="R86" s="12">
        <f t="shared" si="252"/>
        <v>0</v>
      </c>
      <c r="T86" s="13">
        <f> 'Optimal Choice'!$B$5*'Optimal Choice'!$B$6^(N86+1)</f>
        <v>558.5676279</v>
      </c>
      <c r="U86" s="13">
        <f> 'Optimal Choice'!$B$10*'Optimal Choice'!$B$11^(O86+1)</f>
        <v>279.1434838</v>
      </c>
      <c r="V86" s="13">
        <f> 'Optimal Choice'!$B$15*'Optimal Choice'!$B$16^(P86+1)</f>
        <v>1216.051315</v>
      </c>
      <c r="W86" s="13">
        <f> 'Optimal Choice'!$B$20*'Optimal Choice'!$B$21^(Q86+1)</f>
        <v>9763.2</v>
      </c>
      <c r="X86" s="13">
        <f> 'Optimal Choice'!$B$25*'Optimal Choice'!$B$26^(R86+1)</f>
        <v>116121.6</v>
      </c>
      <c r="AA86" s="12">
        <f t="shared" ref="AA86:AE86" si="253">if(isna(VLOOKUP(N86,$D$2:$E$10,2,false)),AA85, VLOOKUP(N86,$D$2:$E$10,2,false))</f>
        <v>25</v>
      </c>
      <c r="AB86" s="15">
        <f t="shared" si="253"/>
        <v>1</v>
      </c>
      <c r="AC86" s="15">
        <f t="shared" si="253"/>
        <v>1</v>
      </c>
      <c r="AD86" s="15">
        <f t="shared" si="253"/>
        <v>1</v>
      </c>
      <c r="AE86" s="15">
        <f t="shared" si="253"/>
        <v>1</v>
      </c>
      <c r="AH86" s="15">
        <f>N86*'Optimal Choice'!$B$4*AA86</f>
        <v>3006</v>
      </c>
      <c r="AI86" s="15">
        <f>O86*'Optimal Choice'!$B$9*AB86</f>
        <v>200</v>
      </c>
      <c r="AJ86" s="15">
        <f>P86*'Optimal Choice'!$B$14*AC86</f>
        <v>270</v>
      </c>
      <c r="AK86" s="15">
        <f>Q86*'Optimal Choice'!$B$19*AD86</f>
        <v>0</v>
      </c>
      <c r="AL86" s="15">
        <f>R86*'Optimal Choice'!$B$24*AE86</f>
        <v>0</v>
      </c>
      <c r="AO86" s="12">
        <f t="shared" ref="AO86:AS86" si="254">if(isna(VLOOKUP(N86+1,$D$2:$E$10,2,false)),AO85, VLOOKUP(N86+1,$D$2:$E$10,2,false))</f>
        <v>25</v>
      </c>
      <c r="AP86" s="15">
        <f t="shared" si="254"/>
        <v>1</v>
      </c>
      <c r="AQ86" s="15">
        <f t="shared" si="254"/>
        <v>1</v>
      </c>
      <c r="AR86" s="15">
        <f t="shared" si="254"/>
        <v>1</v>
      </c>
      <c r="AS86" s="15">
        <f t="shared" si="254"/>
        <v>1</v>
      </c>
      <c r="AU86" s="11">
        <f t="shared" si="8"/>
        <v>0.002533429524</v>
      </c>
    </row>
    <row r="87" ht="15.75" customHeight="1">
      <c r="A87" s="16">
        <f t="shared" si="4"/>
        <v>0.5730508734</v>
      </c>
      <c r="B87" s="7">
        <f>(sum(AH87:AL87))*'Optimal Choice'!$B$28</f>
        <v>3517.75</v>
      </c>
      <c r="C87" s="11"/>
      <c r="D87" s="12"/>
      <c r="E87" s="12"/>
      <c r="F87" s="11"/>
      <c r="G87" s="11">
        <f>(T87/$B87)+(T87/('Optimal Choice'!$B$4*AO87))</f>
        <v>14.48528638</v>
      </c>
      <c r="H87" s="11">
        <f>(U87/$B87)+(U87/('Optimal Choice'!$B$9*AP87))</f>
        <v>14.03652704</v>
      </c>
      <c r="I87" s="11">
        <f>(V87/$B87)+(V87/('Optimal Choice'!$B$14*AQ87))</f>
        <v>13.85737137</v>
      </c>
      <c r="J87" s="11">
        <f>(W87/$B87)+(W87/('Optimal Choice'!$B$19*AR87))</f>
        <v>29.89541042</v>
      </c>
      <c r="K87" s="11">
        <f>(X87/$B87)+(X87/('Optimal Choice'!$B$24*AS87))</f>
        <v>86.77019117</v>
      </c>
      <c r="N87" s="12">
        <f t="shared" ref="N87:R87" si="255">if(min($G86:$K86)=G86,N86+1,N86)</f>
        <v>73</v>
      </c>
      <c r="O87" s="12">
        <f t="shared" si="255"/>
        <v>10</v>
      </c>
      <c r="P87" s="12">
        <f t="shared" si="255"/>
        <v>3</v>
      </c>
      <c r="Q87" s="12">
        <f t="shared" si="255"/>
        <v>0</v>
      </c>
      <c r="R87" s="12">
        <f t="shared" si="255"/>
        <v>0</v>
      </c>
      <c r="T87" s="13">
        <f> 'Optimal Choice'!$B$5*'Optimal Choice'!$B$6^(N87+1)</f>
        <v>597.6673619</v>
      </c>
      <c r="U87" s="13">
        <f> 'Optimal Choice'!$B$10*'Optimal Choice'!$B$11^(O87+1)</f>
        <v>279.1434838</v>
      </c>
      <c r="V87" s="13">
        <f> 'Optimal Choice'!$B$15*'Optimal Choice'!$B$16^(P87+1)</f>
        <v>1216.051315</v>
      </c>
      <c r="W87" s="13">
        <f> 'Optimal Choice'!$B$20*'Optimal Choice'!$B$21^(Q87+1)</f>
        <v>9763.2</v>
      </c>
      <c r="X87" s="13">
        <f> 'Optimal Choice'!$B$25*'Optimal Choice'!$B$26^(R87+1)</f>
        <v>116121.6</v>
      </c>
      <c r="AA87" s="12">
        <f t="shared" ref="AA87:AE87" si="256">if(isna(VLOOKUP(N87,$D$2:$E$10,2,false)),AA86, VLOOKUP(N87,$D$2:$E$10,2,false))</f>
        <v>25</v>
      </c>
      <c r="AB87" s="15">
        <f t="shared" si="256"/>
        <v>1</v>
      </c>
      <c r="AC87" s="15">
        <f t="shared" si="256"/>
        <v>1</v>
      </c>
      <c r="AD87" s="15">
        <f t="shared" si="256"/>
        <v>1</v>
      </c>
      <c r="AE87" s="15">
        <f t="shared" si="256"/>
        <v>1</v>
      </c>
      <c r="AH87" s="15">
        <f>N87*'Optimal Choice'!$B$4*AA87</f>
        <v>3047.75</v>
      </c>
      <c r="AI87" s="15">
        <f>O87*'Optimal Choice'!$B$9*AB87</f>
        <v>200</v>
      </c>
      <c r="AJ87" s="15">
        <f>P87*'Optimal Choice'!$B$14*AC87</f>
        <v>270</v>
      </c>
      <c r="AK87" s="15">
        <f>Q87*'Optimal Choice'!$B$19*AD87</f>
        <v>0</v>
      </c>
      <c r="AL87" s="15">
        <f>R87*'Optimal Choice'!$B$24*AE87</f>
        <v>0</v>
      </c>
      <c r="AO87" s="12">
        <f t="shared" ref="AO87:AS87" si="257">if(isna(VLOOKUP(N87+1,$D$2:$E$10,2,false)),AO86, VLOOKUP(N87+1,$D$2:$E$10,2,false))</f>
        <v>25</v>
      </c>
      <c r="AP87" s="15">
        <f t="shared" si="257"/>
        <v>1</v>
      </c>
      <c r="AQ87" s="15">
        <f t="shared" si="257"/>
        <v>1</v>
      </c>
      <c r="AR87" s="15">
        <f t="shared" si="257"/>
        <v>1</v>
      </c>
      <c r="AS87" s="15">
        <f t="shared" si="257"/>
        <v>1</v>
      </c>
      <c r="AU87" s="11">
        <f t="shared" si="8"/>
        <v>0.002678210721</v>
      </c>
    </row>
    <row r="88" ht="15.75" customHeight="1">
      <c r="A88" s="16">
        <f t="shared" si="4"/>
        <v>0.578812375</v>
      </c>
      <c r="B88" s="7">
        <f>(sum(AH88:AL88))*'Optimal Choice'!$B$28</f>
        <v>3607.75</v>
      </c>
      <c r="C88" s="11"/>
      <c r="D88" s="12"/>
      <c r="E88" s="12"/>
      <c r="F88" s="11"/>
      <c r="G88" s="11">
        <f>(T88/$B88)+(T88/('Optimal Choice'!$B$4*AO88))</f>
        <v>14.48104799</v>
      </c>
      <c r="H88" s="11">
        <f>(U88/$B88)+(U88/('Optimal Choice'!$B$9*AP88))</f>
        <v>14.03454748</v>
      </c>
      <c r="I88" s="11">
        <f>(V88/$B88)+(V88/('Optimal Choice'!$B$14*AQ88))</f>
        <v>15.78757236</v>
      </c>
      <c r="J88" s="11">
        <f>(W88/$B88)+(W88/('Optimal Choice'!$B$19*AR88))</f>
        <v>29.82617421</v>
      </c>
      <c r="K88" s="11">
        <f>(X88/$B88)+(X88/('Optimal Choice'!$B$24*AS88))</f>
        <v>85.94670917</v>
      </c>
      <c r="N88" s="12">
        <f t="shared" ref="N88:R88" si="258">if(min($G87:$K87)=G87,N87+1,N87)</f>
        <v>73</v>
      </c>
      <c r="O88" s="12">
        <f t="shared" si="258"/>
        <v>10</v>
      </c>
      <c r="P88" s="12">
        <f t="shared" si="258"/>
        <v>4</v>
      </c>
      <c r="Q88" s="12">
        <f t="shared" si="258"/>
        <v>0</v>
      </c>
      <c r="R88" s="12">
        <f t="shared" si="258"/>
        <v>0</v>
      </c>
      <c r="T88" s="13">
        <f> 'Optimal Choice'!$B$5*'Optimal Choice'!$B$6^(N88+1)</f>
        <v>597.6673619</v>
      </c>
      <c r="U88" s="13">
        <f> 'Optimal Choice'!$B$10*'Optimal Choice'!$B$11^(O88+1)</f>
        <v>279.1434838</v>
      </c>
      <c r="V88" s="13">
        <f> 'Optimal Choice'!$B$15*'Optimal Choice'!$B$16^(P88+1)</f>
        <v>1386.298499</v>
      </c>
      <c r="W88" s="13">
        <f> 'Optimal Choice'!$B$20*'Optimal Choice'!$B$21^(Q88+1)</f>
        <v>9763.2</v>
      </c>
      <c r="X88" s="13">
        <f> 'Optimal Choice'!$B$25*'Optimal Choice'!$B$26^(R88+1)</f>
        <v>116121.6</v>
      </c>
      <c r="AA88" s="12">
        <f t="shared" ref="AA88:AE88" si="259">if(isna(VLOOKUP(N88,$D$2:$E$10,2,false)),AA87, VLOOKUP(N88,$D$2:$E$10,2,false))</f>
        <v>25</v>
      </c>
      <c r="AB88" s="15">
        <f t="shared" si="259"/>
        <v>1</v>
      </c>
      <c r="AC88" s="15">
        <f t="shared" si="259"/>
        <v>1</v>
      </c>
      <c r="AD88" s="15">
        <f t="shared" si="259"/>
        <v>1</v>
      </c>
      <c r="AE88" s="15">
        <f t="shared" si="259"/>
        <v>1</v>
      </c>
      <c r="AH88" s="15">
        <f>N88*'Optimal Choice'!$B$4*AA88</f>
        <v>3047.75</v>
      </c>
      <c r="AI88" s="15">
        <f>O88*'Optimal Choice'!$B$9*AB88</f>
        <v>200</v>
      </c>
      <c r="AJ88" s="15">
        <f>P88*'Optimal Choice'!$B$14*AC88</f>
        <v>360</v>
      </c>
      <c r="AK88" s="15">
        <f>Q88*'Optimal Choice'!$B$19*AD88</f>
        <v>0</v>
      </c>
      <c r="AL88" s="15">
        <f>R88*'Optimal Choice'!$B$24*AE88</f>
        <v>0</v>
      </c>
      <c r="AO88" s="12">
        <f t="shared" ref="AO88:AS88" si="260">if(isna(VLOOKUP(N88+1,$D$2:$E$10,2,false)),AO87, VLOOKUP(N88+1,$D$2:$E$10,2,false))</f>
        <v>25</v>
      </c>
      <c r="AP88" s="15">
        <f t="shared" si="260"/>
        <v>1</v>
      </c>
      <c r="AQ88" s="15">
        <f t="shared" si="260"/>
        <v>1</v>
      </c>
      <c r="AR88" s="15">
        <f t="shared" si="260"/>
        <v>1</v>
      </c>
      <c r="AS88" s="15">
        <f t="shared" si="260"/>
        <v>1</v>
      </c>
      <c r="AU88" s="11">
        <f t="shared" si="8"/>
        <v>0.005761501505</v>
      </c>
    </row>
    <row r="89" ht="15.75" customHeight="1">
      <c r="A89" s="16">
        <f t="shared" si="4"/>
        <v>0.5801019298</v>
      </c>
      <c r="B89" s="7">
        <f>(sum(AH89:AL89))*'Optimal Choice'!$B$28</f>
        <v>3627.75</v>
      </c>
      <c r="C89" s="11"/>
      <c r="D89" s="12"/>
      <c r="E89" s="12"/>
      <c r="F89" s="11"/>
      <c r="G89" s="11">
        <f>(T89/$B89)+(T89/('Optimal Choice'!$B$4*AO89))</f>
        <v>14.48013469</v>
      </c>
      <c r="H89" s="11">
        <f>(U89/$B89)+(U89/('Optimal Choice'!$B$9*AP89))</f>
        <v>16.13923905</v>
      </c>
      <c r="I89" s="11">
        <f>(V89/$B89)+(V89/('Optimal Choice'!$B$14*AQ89))</f>
        <v>15.78545393</v>
      </c>
      <c r="J89" s="11">
        <f>(W89/$B89)+(W89/('Optimal Choice'!$B$19*AR89))</f>
        <v>29.81125491</v>
      </c>
      <c r="K89" s="11">
        <f>(X89/$B89)+(X89/('Optimal Choice'!$B$24*AS89))</f>
        <v>85.76926194</v>
      </c>
      <c r="N89" s="12">
        <f t="shared" ref="N89:R89" si="261">if(min($G88:$K88)=G88,N88+1,N88)</f>
        <v>73</v>
      </c>
      <c r="O89" s="12">
        <f t="shared" si="261"/>
        <v>11</v>
      </c>
      <c r="P89" s="12">
        <f t="shared" si="261"/>
        <v>4</v>
      </c>
      <c r="Q89" s="12">
        <f t="shared" si="261"/>
        <v>0</v>
      </c>
      <c r="R89" s="12">
        <f t="shared" si="261"/>
        <v>0</v>
      </c>
      <c r="T89" s="13">
        <f> 'Optimal Choice'!$B$5*'Optimal Choice'!$B$6^(N89+1)</f>
        <v>597.6673619</v>
      </c>
      <c r="U89" s="13">
        <f> 'Optimal Choice'!$B$10*'Optimal Choice'!$B$11^(O89+1)</f>
        <v>321.0150063</v>
      </c>
      <c r="V89" s="13">
        <f> 'Optimal Choice'!$B$15*'Optimal Choice'!$B$16^(P89+1)</f>
        <v>1386.298499</v>
      </c>
      <c r="W89" s="13">
        <f> 'Optimal Choice'!$B$20*'Optimal Choice'!$B$21^(Q89+1)</f>
        <v>9763.2</v>
      </c>
      <c r="X89" s="13">
        <f> 'Optimal Choice'!$B$25*'Optimal Choice'!$B$26^(R89+1)</f>
        <v>116121.6</v>
      </c>
      <c r="AA89" s="12">
        <f t="shared" ref="AA89:AE89" si="262">if(isna(VLOOKUP(N89,$D$2:$E$10,2,false)),AA88, VLOOKUP(N89,$D$2:$E$10,2,false))</f>
        <v>25</v>
      </c>
      <c r="AB89" s="15">
        <f t="shared" si="262"/>
        <v>1</v>
      </c>
      <c r="AC89" s="15">
        <f t="shared" si="262"/>
        <v>1</v>
      </c>
      <c r="AD89" s="15">
        <f t="shared" si="262"/>
        <v>1</v>
      </c>
      <c r="AE89" s="15">
        <f t="shared" si="262"/>
        <v>1</v>
      </c>
      <c r="AH89" s="15">
        <f>N89*'Optimal Choice'!$B$4*AA89</f>
        <v>3047.75</v>
      </c>
      <c r="AI89" s="15">
        <f>O89*'Optimal Choice'!$B$9*AB89</f>
        <v>220</v>
      </c>
      <c r="AJ89" s="15">
        <f>P89*'Optimal Choice'!$B$14*AC89</f>
        <v>360</v>
      </c>
      <c r="AK89" s="15">
        <f>Q89*'Optimal Choice'!$B$19*AD89</f>
        <v>0</v>
      </c>
      <c r="AL89" s="15">
        <f>R89*'Optimal Choice'!$B$24*AE89</f>
        <v>0</v>
      </c>
      <c r="AO89" s="12">
        <f t="shared" ref="AO89:AS89" si="263">if(isna(VLOOKUP(N89+1,$D$2:$E$10,2,false)),AO88, VLOOKUP(N89+1,$D$2:$E$10,2,false))</f>
        <v>25</v>
      </c>
      <c r="AP89" s="15">
        <f t="shared" si="263"/>
        <v>1</v>
      </c>
      <c r="AQ89" s="15">
        <f t="shared" si="263"/>
        <v>1</v>
      </c>
      <c r="AR89" s="15">
        <f t="shared" si="263"/>
        <v>1</v>
      </c>
      <c r="AS89" s="15">
        <f t="shared" si="263"/>
        <v>1</v>
      </c>
      <c r="AU89" s="11">
        <f t="shared" si="8"/>
        <v>0.001289554818</v>
      </c>
    </row>
    <row r="90" ht="15.75" customHeight="1">
      <c r="A90" s="16">
        <f t="shared" si="4"/>
        <v>0.5828477427</v>
      </c>
      <c r="B90" s="7">
        <f>(sum(AH90:AL90))*'Optimal Choice'!$B$28</f>
        <v>3669.5</v>
      </c>
      <c r="C90" s="11"/>
      <c r="D90" s="12"/>
      <c r="E90" s="12"/>
      <c r="F90" s="11"/>
      <c r="G90" s="11">
        <f>(T90/$B90)+(T90/('Optimal Choice'!$B$4*AO90))</f>
        <v>15.49173846</v>
      </c>
      <c r="H90" s="11">
        <f>(U90/$B90)+(U90/('Optimal Choice'!$B$9*AP90))</f>
        <v>16.13823226</v>
      </c>
      <c r="I90" s="11">
        <f>(V90/$B90)+(V90/('Optimal Choice'!$B$14*AQ90))</f>
        <v>15.78110614</v>
      </c>
      <c r="J90" s="11">
        <f>(W90/$B90)+(W90/('Optimal Choice'!$B$19*AR90))</f>
        <v>29.78063496</v>
      </c>
      <c r="K90" s="11">
        <f>(X90/$B90)+(X90/('Optimal Choice'!$B$24*AS90))</f>
        <v>85.40507426</v>
      </c>
      <c r="N90" s="12">
        <f t="shared" ref="N90:R90" si="264">if(min($G89:$K89)=G89,N89+1,N89)</f>
        <v>74</v>
      </c>
      <c r="O90" s="12">
        <f t="shared" si="264"/>
        <v>11</v>
      </c>
      <c r="P90" s="12">
        <f t="shared" si="264"/>
        <v>4</v>
      </c>
      <c r="Q90" s="12">
        <f t="shared" si="264"/>
        <v>0</v>
      </c>
      <c r="R90" s="12">
        <f t="shared" si="264"/>
        <v>0</v>
      </c>
      <c r="T90" s="13">
        <f> 'Optimal Choice'!$B$5*'Optimal Choice'!$B$6^(N90+1)</f>
        <v>639.5040772</v>
      </c>
      <c r="U90" s="13">
        <f> 'Optimal Choice'!$B$10*'Optimal Choice'!$B$11^(O90+1)</f>
        <v>321.0150063</v>
      </c>
      <c r="V90" s="13">
        <f> 'Optimal Choice'!$B$15*'Optimal Choice'!$B$16^(P90+1)</f>
        <v>1386.298499</v>
      </c>
      <c r="W90" s="13">
        <f> 'Optimal Choice'!$B$20*'Optimal Choice'!$B$21^(Q90+1)</f>
        <v>9763.2</v>
      </c>
      <c r="X90" s="13">
        <f> 'Optimal Choice'!$B$25*'Optimal Choice'!$B$26^(R90+1)</f>
        <v>116121.6</v>
      </c>
      <c r="AA90" s="12">
        <f t="shared" ref="AA90:AE90" si="265">if(isna(VLOOKUP(N90,$D$2:$E$10,2,false)),AA89, VLOOKUP(N90,$D$2:$E$10,2,false))</f>
        <v>25</v>
      </c>
      <c r="AB90" s="15">
        <f t="shared" si="265"/>
        <v>1</v>
      </c>
      <c r="AC90" s="15">
        <f t="shared" si="265"/>
        <v>1</v>
      </c>
      <c r="AD90" s="15">
        <f t="shared" si="265"/>
        <v>1</v>
      </c>
      <c r="AE90" s="15">
        <f t="shared" si="265"/>
        <v>1</v>
      </c>
      <c r="AH90" s="15">
        <f>N90*'Optimal Choice'!$B$4*AA90</f>
        <v>3089.5</v>
      </c>
      <c r="AI90" s="15">
        <f>O90*'Optimal Choice'!$B$9*AB90</f>
        <v>220</v>
      </c>
      <c r="AJ90" s="15">
        <f>P90*'Optimal Choice'!$B$14*AC90</f>
        <v>360</v>
      </c>
      <c r="AK90" s="15">
        <f>Q90*'Optimal Choice'!$B$19*AD90</f>
        <v>0</v>
      </c>
      <c r="AL90" s="15">
        <f>R90*'Optimal Choice'!$B$24*AE90</f>
        <v>0</v>
      </c>
      <c r="AO90" s="12">
        <f t="shared" ref="AO90:AS90" si="266">if(isna(VLOOKUP(N90+1,$D$2:$E$10,2,false)),AO89, VLOOKUP(N90+1,$D$2:$E$10,2,false))</f>
        <v>25</v>
      </c>
      <c r="AP90" s="15">
        <f t="shared" si="266"/>
        <v>1</v>
      </c>
      <c r="AQ90" s="15">
        <f t="shared" si="266"/>
        <v>1</v>
      </c>
      <c r="AR90" s="15">
        <f t="shared" si="266"/>
        <v>1</v>
      </c>
      <c r="AS90" s="15">
        <f t="shared" si="266"/>
        <v>1</v>
      </c>
      <c r="AU90" s="11">
        <f t="shared" si="8"/>
        <v>0.002745812886</v>
      </c>
    </row>
    <row r="91" ht="15.75" customHeight="1">
      <c r="A91" s="16">
        <f t="shared" si="4"/>
        <v>0.5857523349</v>
      </c>
      <c r="B91" s="7">
        <f>(sum(AH91:AL91))*'Optimal Choice'!$B$28</f>
        <v>3711.25</v>
      </c>
      <c r="C91" s="11"/>
      <c r="D91" s="12"/>
      <c r="E91" s="12"/>
      <c r="F91" s="11"/>
      <c r="G91" s="11">
        <f>(T91/$B91)+(T91/('Optimal Choice'!$B$4*AO91))</f>
        <v>16.57406239</v>
      </c>
      <c r="H91" s="11">
        <f>(U91/$B91)+(U91/('Optimal Choice'!$B$9*AP91))</f>
        <v>16.13724813</v>
      </c>
      <c r="I91" s="11">
        <f>(V91/$B91)+(V91/('Optimal Choice'!$B$14*AQ91))</f>
        <v>15.77685617</v>
      </c>
      <c r="J91" s="11">
        <f>(W91/$B91)+(W91/('Optimal Choice'!$B$19*AR91))</f>
        <v>29.75070394</v>
      </c>
      <c r="K91" s="11">
        <f>(X91/$B91)+(X91/('Optimal Choice'!$B$24*AS91))</f>
        <v>85.0490805</v>
      </c>
      <c r="N91" s="12">
        <f t="shared" ref="N91:R91" si="267">if(min($G90:$K90)=G90,N90+1,N90)</f>
        <v>75</v>
      </c>
      <c r="O91" s="12">
        <f t="shared" si="267"/>
        <v>11</v>
      </c>
      <c r="P91" s="12">
        <f t="shared" si="267"/>
        <v>4</v>
      </c>
      <c r="Q91" s="12">
        <f t="shared" si="267"/>
        <v>0</v>
      </c>
      <c r="R91" s="12">
        <f t="shared" si="267"/>
        <v>0</v>
      </c>
      <c r="T91" s="13">
        <f> 'Optimal Choice'!$B$5*'Optimal Choice'!$B$6^(N91+1)</f>
        <v>684.2693626</v>
      </c>
      <c r="U91" s="13">
        <f> 'Optimal Choice'!$B$10*'Optimal Choice'!$B$11^(O91+1)</f>
        <v>321.0150063</v>
      </c>
      <c r="V91" s="13">
        <f> 'Optimal Choice'!$B$15*'Optimal Choice'!$B$16^(P91+1)</f>
        <v>1386.298499</v>
      </c>
      <c r="W91" s="13">
        <f> 'Optimal Choice'!$B$20*'Optimal Choice'!$B$21^(Q91+1)</f>
        <v>9763.2</v>
      </c>
      <c r="X91" s="13">
        <f> 'Optimal Choice'!$B$25*'Optimal Choice'!$B$26^(R91+1)</f>
        <v>116121.6</v>
      </c>
      <c r="AA91" s="12">
        <f t="shared" ref="AA91:AE91" si="268">if(isna(VLOOKUP(N91,$D$2:$E$10,2,false)),AA90, VLOOKUP(N91,$D$2:$E$10,2,false))</f>
        <v>25</v>
      </c>
      <c r="AB91" s="15">
        <f t="shared" si="268"/>
        <v>1</v>
      </c>
      <c r="AC91" s="15">
        <f t="shared" si="268"/>
        <v>1</v>
      </c>
      <c r="AD91" s="15">
        <f t="shared" si="268"/>
        <v>1</v>
      </c>
      <c r="AE91" s="15">
        <f t="shared" si="268"/>
        <v>1</v>
      </c>
      <c r="AH91" s="15">
        <f>N91*'Optimal Choice'!$B$4*AA91</f>
        <v>3131.25</v>
      </c>
      <c r="AI91" s="15">
        <f>O91*'Optimal Choice'!$B$9*AB91</f>
        <v>220</v>
      </c>
      <c r="AJ91" s="15">
        <f>P91*'Optimal Choice'!$B$14*AC91</f>
        <v>360</v>
      </c>
      <c r="AK91" s="15">
        <f>Q91*'Optimal Choice'!$B$19*AD91</f>
        <v>0</v>
      </c>
      <c r="AL91" s="15">
        <f>R91*'Optimal Choice'!$B$24*AE91</f>
        <v>0</v>
      </c>
      <c r="AO91" s="12">
        <f t="shared" ref="AO91:AS91" si="269">if(isna(VLOOKUP(N91+1,$D$2:$E$10,2,false)),AO90, VLOOKUP(N91+1,$D$2:$E$10,2,false))</f>
        <v>25</v>
      </c>
      <c r="AP91" s="15">
        <f t="shared" si="269"/>
        <v>1</v>
      </c>
      <c r="AQ91" s="15">
        <f t="shared" si="269"/>
        <v>1</v>
      </c>
      <c r="AR91" s="15">
        <f t="shared" si="269"/>
        <v>1</v>
      </c>
      <c r="AS91" s="15">
        <f t="shared" si="269"/>
        <v>1</v>
      </c>
      <c r="AU91" s="11">
        <f t="shared" si="8"/>
        <v>0.002904592257</v>
      </c>
    </row>
    <row r="92" ht="15.75" customHeight="1">
      <c r="A92" s="16">
        <f t="shared" si="4"/>
        <v>0.5919779934</v>
      </c>
      <c r="B92" s="7">
        <f>(sum(AH92:AL92))*'Optimal Choice'!$B$28</f>
        <v>3801.25</v>
      </c>
      <c r="C92" s="11"/>
      <c r="D92" s="12"/>
      <c r="E92" s="12"/>
      <c r="F92" s="11"/>
      <c r="G92" s="11">
        <f>(T92/$B92)+(T92/('Optimal Choice'!$B$4*AO92))</f>
        <v>16.569697</v>
      </c>
      <c r="H92" s="11">
        <f>(U92/$B92)+(U92/('Optimal Choice'!$B$9*AP92))</f>
        <v>16.13520017</v>
      </c>
      <c r="I92" s="11">
        <f>(V92/$B92)+(V92/('Optimal Choice'!$B$14*AQ92))</f>
        <v>17.97553378</v>
      </c>
      <c r="J92" s="11">
        <f>(W92/$B92)+(W92/('Optimal Choice'!$B$19*AR92))</f>
        <v>29.68841828</v>
      </c>
      <c r="K92" s="11">
        <f>(X92/$B92)+(X92/('Optimal Choice'!$B$24*AS92))</f>
        <v>84.30826702</v>
      </c>
      <c r="N92" s="12">
        <f t="shared" ref="N92:R92" si="270">if(min($G91:$K91)=G91,N91+1,N91)</f>
        <v>75</v>
      </c>
      <c r="O92" s="12">
        <f t="shared" si="270"/>
        <v>11</v>
      </c>
      <c r="P92" s="12">
        <f t="shared" si="270"/>
        <v>5</v>
      </c>
      <c r="Q92" s="12">
        <f t="shared" si="270"/>
        <v>0</v>
      </c>
      <c r="R92" s="12">
        <f t="shared" si="270"/>
        <v>0</v>
      </c>
      <c r="T92" s="13">
        <f> 'Optimal Choice'!$B$5*'Optimal Choice'!$B$6^(N92+1)</f>
        <v>684.2693626</v>
      </c>
      <c r="U92" s="13">
        <f> 'Optimal Choice'!$B$10*'Optimal Choice'!$B$11^(O92+1)</f>
        <v>321.0150063</v>
      </c>
      <c r="V92" s="13">
        <f> 'Optimal Choice'!$B$15*'Optimal Choice'!$B$16^(P92+1)</f>
        <v>1580.380289</v>
      </c>
      <c r="W92" s="13">
        <f> 'Optimal Choice'!$B$20*'Optimal Choice'!$B$21^(Q92+1)</f>
        <v>9763.2</v>
      </c>
      <c r="X92" s="13">
        <f> 'Optimal Choice'!$B$25*'Optimal Choice'!$B$26^(R92+1)</f>
        <v>116121.6</v>
      </c>
      <c r="AA92" s="12">
        <f t="shared" ref="AA92:AE92" si="271">if(isna(VLOOKUP(N92,$D$2:$E$10,2,false)),AA91, VLOOKUP(N92,$D$2:$E$10,2,false))</f>
        <v>25</v>
      </c>
      <c r="AB92" s="15">
        <f t="shared" si="271"/>
        <v>1</v>
      </c>
      <c r="AC92" s="15">
        <f t="shared" si="271"/>
        <v>1</v>
      </c>
      <c r="AD92" s="15">
        <f t="shared" si="271"/>
        <v>1</v>
      </c>
      <c r="AE92" s="15">
        <f t="shared" si="271"/>
        <v>1</v>
      </c>
      <c r="AH92" s="15">
        <f>N92*'Optimal Choice'!$B$4*AA92</f>
        <v>3131.25</v>
      </c>
      <c r="AI92" s="15">
        <f>O92*'Optimal Choice'!$B$9*AB92</f>
        <v>220</v>
      </c>
      <c r="AJ92" s="15">
        <f>P92*'Optimal Choice'!$B$14*AC92</f>
        <v>450</v>
      </c>
      <c r="AK92" s="15">
        <f>Q92*'Optimal Choice'!$B$19*AD92</f>
        <v>0</v>
      </c>
      <c r="AL92" s="15">
        <f>R92*'Optimal Choice'!$B$24*AE92</f>
        <v>0</v>
      </c>
      <c r="AO92" s="12">
        <f t="shared" ref="AO92:AS92" si="272">if(isna(VLOOKUP(N92+1,$D$2:$E$10,2,false)),AO91, VLOOKUP(N92+1,$D$2:$E$10,2,false))</f>
        <v>25</v>
      </c>
      <c r="AP92" s="15">
        <f t="shared" si="272"/>
        <v>1</v>
      </c>
      <c r="AQ92" s="15">
        <f t="shared" si="272"/>
        <v>1</v>
      </c>
      <c r="AR92" s="15">
        <f t="shared" si="272"/>
        <v>1</v>
      </c>
      <c r="AS92" s="15">
        <f t="shared" si="272"/>
        <v>1</v>
      </c>
      <c r="AU92" s="11">
        <f t="shared" si="8"/>
        <v>0.006225658468</v>
      </c>
    </row>
    <row r="93" ht="15.75" customHeight="1">
      <c r="A93" s="16">
        <f t="shared" si="4"/>
        <v>0.5933854909</v>
      </c>
      <c r="B93" s="7">
        <f>(sum(AH93:AL93))*'Optimal Choice'!$B$28</f>
        <v>3821.25</v>
      </c>
      <c r="C93" s="11"/>
      <c r="D93" s="12"/>
      <c r="E93" s="12"/>
      <c r="F93" s="11"/>
      <c r="G93" s="11">
        <f>(T93/$B93)+(T93/('Optimal Choice'!$B$4*AO93))</f>
        <v>16.56875484</v>
      </c>
      <c r="H93" s="11">
        <f>(U93/$B93)+(U93/('Optimal Choice'!$B$9*AP93))</f>
        <v>18.55497189</v>
      </c>
      <c r="I93" s="11">
        <f>(V93/$B93)+(V93/('Optimal Choice'!$B$14*AQ93))</f>
        <v>17.97335778</v>
      </c>
      <c r="J93" s="11">
        <f>(W93/$B93)+(W93/('Optimal Choice'!$B$19*AR93))</f>
        <v>29.67497547</v>
      </c>
      <c r="K93" s="11">
        <f>(X93/$B93)+(X93/('Optimal Choice'!$B$24*AS93))</f>
        <v>84.14838077</v>
      </c>
      <c r="N93" s="12">
        <f t="shared" ref="N93:R93" si="273">if(min($G92:$K92)=G92,N92+1,N92)</f>
        <v>75</v>
      </c>
      <c r="O93" s="12">
        <f t="shared" si="273"/>
        <v>12</v>
      </c>
      <c r="P93" s="12">
        <f t="shared" si="273"/>
        <v>5</v>
      </c>
      <c r="Q93" s="12">
        <f t="shared" si="273"/>
        <v>0</v>
      </c>
      <c r="R93" s="12">
        <f t="shared" si="273"/>
        <v>0</v>
      </c>
      <c r="T93" s="13">
        <f> 'Optimal Choice'!$B$5*'Optimal Choice'!$B$6^(N93+1)</f>
        <v>684.2693626</v>
      </c>
      <c r="U93" s="13">
        <f> 'Optimal Choice'!$B$10*'Optimal Choice'!$B$11^(O93+1)</f>
        <v>369.1672573</v>
      </c>
      <c r="V93" s="13">
        <f> 'Optimal Choice'!$B$15*'Optimal Choice'!$B$16^(P93+1)</f>
        <v>1580.380289</v>
      </c>
      <c r="W93" s="13">
        <f> 'Optimal Choice'!$B$20*'Optimal Choice'!$B$21^(Q93+1)</f>
        <v>9763.2</v>
      </c>
      <c r="X93" s="13">
        <f> 'Optimal Choice'!$B$25*'Optimal Choice'!$B$26^(R93+1)</f>
        <v>116121.6</v>
      </c>
      <c r="AA93" s="12">
        <f t="shared" ref="AA93:AE93" si="274">if(isna(VLOOKUP(N93,$D$2:$E$10,2,false)),AA92, VLOOKUP(N93,$D$2:$E$10,2,false))</f>
        <v>25</v>
      </c>
      <c r="AB93" s="15">
        <f t="shared" si="274"/>
        <v>1</v>
      </c>
      <c r="AC93" s="15">
        <f t="shared" si="274"/>
        <v>1</v>
      </c>
      <c r="AD93" s="15">
        <f t="shared" si="274"/>
        <v>1</v>
      </c>
      <c r="AE93" s="15">
        <f t="shared" si="274"/>
        <v>1</v>
      </c>
      <c r="AH93" s="15">
        <f>N93*'Optimal Choice'!$B$4*AA93</f>
        <v>3131.25</v>
      </c>
      <c r="AI93" s="15">
        <f>O93*'Optimal Choice'!$B$9*AB93</f>
        <v>240</v>
      </c>
      <c r="AJ93" s="15">
        <f>P93*'Optimal Choice'!$B$14*AC93</f>
        <v>450</v>
      </c>
      <c r="AK93" s="15">
        <f>Q93*'Optimal Choice'!$B$19*AD93</f>
        <v>0</v>
      </c>
      <c r="AL93" s="15">
        <f>R93*'Optimal Choice'!$B$24*AE93</f>
        <v>0</v>
      </c>
      <c r="AO93" s="12">
        <f t="shared" ref="AO93:AS93" si="275">if(isna(VLOOKUP(N93+1,$D$2:$E$10,2,false)),AO92, VLOOKUP(N93+1,$D$2:$E$10,2,false))</f>
        <v>25</v>
      </c>
      <c r="AP93" s="15">
        <f t="shared" si="275"/>
        <v>1</v>
      </c>
      <c r="AQ93" s="15">
        <f t="shared" si="275"/>
        <v>1</v>
      </c>
      <c r="AR93" s="15">
        <f t="shared" si="275"/>
        <v>1</v>
      </c>
      <c r="AS93" s="15">
        <f t="shared" si="275"/>
        <v>1</v>
      </c>
      <c r="AU93" s="11">
        <f t="shared" si="8"/>
        <v>0.001407497561</v>
      </c>
    </row>
    <row r="94" ht="15.75" customHeight="1">
      <c r="A94" s="16">
        <f t="shared" si="4"/>
        <v>0.5963699828</v>
      </c>
      <c r="B94" s="7">
        <f>(sum(AH94:AL94))*'Optimal Choice'!$B$28</f>
        <v>3863</v>
      </c>
      <c r="C94" s="11"/>
      <c r="D94" s="12"/>
      <c r="E94" s="12"/>
      <c r="F94" s="11"/>
      <c r="G94" s="11">
        <f>(T94/$B94)+(T94/('Optimal Choice'!$B$4*AO94))</f>
        <v>17.72649689</v>
      </c>
      <c r="H94" s="11">
        <f>(U94/$B94)+(U94/('Optimal Choice'!$B$9*AP94))</f>
        <v>18.55392778</v>
      </c>
      <c r="I94" s="11">
        <f>(V94/$B94)+(V94/('Optimal Choice'!$B$14*AQ94))</f>
        <v>17.96888798</v>
      </c>
      <c r="J94" s="11">
        <f>(W94/$B94)+(W94/('Optimal Choice'!$B$19*AR94))</f>
        <v>29.64736215</v>
      </c>
      <c r="K94" s="11">
        <f>(X94/$B94)+(X94/('Optimal Choice'!$B$24*AS94))</f>
        <v>83.8199534</v>
      </c>
      <c r="N94" s="12">
        <f t="shared" ref="N94:R94" si="276">if(min($G93:$K93)=G93,N93+1,N93)</f>
        <v>76</v>
      </c>
      <c r="O94" s="12">
        <f t="shared" si="276"/>
        <v>12</v>
      </c>
      <c r="P94" s="12">
        <f t="shared" si="276"/>
        <v>5</v>
      </c>
      <c r="Q94" s="12">
        <f t="shared" si="276"/>
        <v>0</v>
      </c>
      <c r="R94" s="12">
        <f t="shared" si="276"/>
        <v>0</v>
      </c>
      <c r="T94" s="13">
        <f> 'Optimal Choice'!$B$5*'Optimal Choice'!$B$6^(N94+1)</f>
        <v>732.168218</v>
      </c>
      <c r="U94" s="13">
        <f> 'Optimal Choice'!$B$10*'Optimal Choice'!$B$11^(O94+1)</f>
        <v>369.1672573</v>
      </c>
      <c r="V94" s="13">
        <f> 'Optimal Choice'!$B$15*'Optimal Choice'!$B$16^(P94+1)</f>
        <v>1580.380289</v>
      </c>
      <c r="W94" s="13">
        <f> 'Optimal Choice'!$B$20*'Optimal Choice'!$B$21^(Q94+1)</f>
        <v>9763.2</v>
      </c>
      <c r="X94" s="13">
        <f> 'Optimal Choice'!$B$25*'Optimal Choice'!$B$26^(R94+1)</f>
        <v>116121.6</v>
      </c>
      <c r="AA94" s="12">
        <f t="shared" ref="AA94:AE94" si="277">if(isna(VLOOKUP(N94,$D$2:$E$10,2,false)),AA93, VLOOKUP(N94,$D$2:$E$10,2,false))</f>
        <v>25</v>
      </c>
      <c r="AB94" s="15">
        <f t="shared" si="277"/>
        <v>1</v>
      </c>
      <c r="AC94" s="15">
        <f t="shared" si="277"/>
        <v>1</v>
      </c>
      <c r="AD94" s="15">
        <f t="shared" si="277"/>
        <v>1</v>
      </c>
      <c r="AE94" s="15">
        <f t="shared" si="277"/>
        <v>1</v>
      </c>
      <c r="AH94" s="15">
        <f>N94*'Optimal Choice'!$B$4*AA94</f>
        <v>3173</v>
      </c>
      <c r="AI94" s="15">
        <f>O94*'Optimal Choice'!$B$9*AB94</f>
        <v>240</v>
      </c>
      <c r="AJ94" s="15">
        <f>P94*'Optimal Choice'!$B$14*AC94</f>
        <v>450</v>
      </c>
      <c r="AK94" s="15">
        <f>Q94*'Optimal Choice'!$B$19*AD94</f>
        <v>0</v>
      </c>
      <c r="AL94" s="15">
        <f>R94*'Optimal Choice'!$B$24*AE94</f>
        <v>0</v>
      </c>
      <c r="AO94" s="12">
        <f t="shared" ref="AO94:AS94" si="278">if(isna(VLOOKUP(N94+1,$D$2:$E$10,2,false)),AO93, VLOOKUP(N94+1,$D$2:$E$10,2,false))</f>
        <v>25</v>
      </c>
      <c r="AP94" s="15">
        <f t="shared" si="278"/>
        <v>1</v>
      </c>
      <c r="AQ94" s="15">
        <f t="shared" si="278"/>
        <v>1</v>
      </c>
      <c r="AR94" s="15">
        <f t="shared" si="278"/>
        <v>1</v>
      </c>
      <c r="AS94" s="15">
        <f t="shared" si="278"/>
        <v>1</v>
      </c>
      <c r="AU94" s="11">
        <f t="shared" si="8"/>
        <v>0.002984491823</v>
      </c>
    </row>
    <row r="95" ht="15.75" customHeight="1">
      <c r="A95" s="16">
        <f t="shared" si="4"/>
        <v>0.5995288758</v>
      </c>
      <c r="B95" s="7">
        <f>(sum(AH95:AL95))*'Optimal Choice'!$B$28</f>
        <v>3904.75</v>
      </c>
      <c r="C95" s="11"/>
      <c r="D95" s="12"/>
      <c r="E95" s="12"/>
      <c r="F95" s="11"/>
      <c r="G95" s="11">
        <f>(T95/$B95)+(T95/('Optimal Choice'!$B$4*AO95))</f>
        <v>18.9651833</v>
      </c>
      <c r="H95" s="11">
        <f>(U95/$B95)+(U95/('Optimal Choice'!$B$9*AP95))</f>
        <v>18.55290599</v>
      </c>
      <c r="I95" s="11">
        <f>(V95/$B95)+(V95/('Optimal Choice'!$B$14*AQ95))</f>
        <v>17.96451376</v>
      </c>
      <c r="J95" s="11">
        <f>(W95/$B95)+(W95/('Optimal Choice'!$B$19*AR95))</f>
        <v>29.62033933</v>
      </c>
      <c r="K95" s="11">
        <f>(X95/$B95)+(X95/('Optimal Choice'!$B$24*AS95))</f>
        <v>83.4985492</v>
      </c>
      <c r="N95" s="12">
        <f t="shared" ref="N95:R95" si="279">if(min($G94:$K94)=G94,N94+1,N94)</f>
        <v>77</v>
      </c>
      <c r="O95" s="12">
        <f t="shared" si="279"/>
        <v>12</v>
      </c>
      <c r="P95" s="12">
        <f t="shared" si="279"/>
        <v>5</v>
      </c>
      <c r="Q95" s="12">
        <f t="shared" si="279"/>
        <v>0</v>
      </c>
      <c r="R95" s="12">
        <f t="shared" si="279"/>
        <v>0</v>
      </c>
      <c r="T95" s="13">
        <f> 'Optimal Choice'!$B$5*'Optimal Choice'!$B$6^(N95+1)</f>
        <v>783.4199933</v>
      </c>
      <c r="U95" s="13">
        <f> 'Optimal Choice'!$B$10*'Optimal Choice'!$B$11^(O95+1)</f>
        <v>369.1672573</v>
      </c>
      <c r="V95" s="13">
        <f> 'Optimal Choice'!$B$15*'Optimal Choice'!$B$16^(P95+1)</f>
        <v>1580.380289</v>
      </c>
      <c r="W95" s="13">
        <f> 'Optimal Choice'!$B$20*'Optimal Choice'!$B$21^(Q95+1)</f>
        <v>9763.2</v>
      </c>
      <c r="X95" s="13">
        <f> 'Optimal Choice'!$B$25*'Optimal Choice'!$B$26^(R95+1)</f>
        <v>116121.6</v>
      </c>
      <c r="AA95" s="12">
        <f t="shared" ref="AA95:AE95" si="280">if(isna(VLOOKUP(N95,$D$2:$E$10,2,false)),AA94, VLOOKUP(N95,$D$2:$E$10,2,false))</f>
        <v>25</v>
      </c>
      <c r="AB95" s="15">
        <f t="shared" si="280"/>
        <v>1</v>
      </c>
      <c r="AC95" s="15">
        <f t="shared" si="280"/>
        <v>1</v>
      </c>
      <c r="AD95" s="15">
        <f t="shared" si="280"/>
        <v>1</v>
      </c>
      <c r="AE95" s="15">
        <f t="shared" si="280"/>
        <v>1</v>
      </c>
      <c r="AH95" s="15">
        <f>N95*'Optimal Choice'!$B$4*AA95</f>
        <v>3214.75</v>
      </c>
      <c r="AI95" s="15">
        <f>O95*'Optimal Choice'!$B$9*AB95</f>
        <v>240</v>
      </c>
      <c r="AJ95" s="15">
        <f>P95*'Optimal Choice'!$B$14*AC95</f>
        <v>450</v>
      </c>
      <c r="AK95" s="15">
        <f>Q95*'Optimal Choice'!$B$19*AD95</f>
        <v>0</v>
      </c>
      <c r="AL95" s="15">
        <f>R95*'Optimal Choice'!$B$24*AE95</f>
        <v>0</v>
      </c>
      <c r="AO95" s="12">
        <f t="shared" ref="AO95:AS95" si="281">if(isna(VLOOKUP(N95+1,$D$2:$E$10,2,false)),AO94, VLOOKUP(N95+1,$D$2:$E$10,2,false))</f>
        <v>25</v>
      </c>
      <c r="AP95" s="15">
        <f t="shared" si="281"/>
        <v>1</v>
      </c>
      <c r="AQ95" s="15">
        <f t="shared" si="281"/>
        <v>1</v>
      </c>
      <c r="AR95" s="15">
        <f t="shared" si="281"/>
        <v>1</v>
      </c>
      <c r="AS95" s="15">
        <f t="shared" si="281"/>
        <v>1</v>
      </c>
      <c r="AU95" s="11">
        <f t="shared" si="8"/>
        <v>0.003158892993</v>
      </c>
    </row>
    <row r="96" ht="15.75" customHeight="1">
      <c r="A96" s="16">
        <f t="shared" si="4"/>
        <v>0.606274422</v>
      </c>
      <c r="B96" s="7">
        <f>(sum(AH96:AL96))*'Optimal Choice'!$B$28</f>
        <v>3994.75</v>
      </c>
      <c r="C96" s="11"/>
      <c r="D96" s="12"/>
      <c r="E96" s="12"/>
      <c r="F96" s="11"/>
      <c r="G96" s="11">
        <f>(T96/$B96)+(T96/('Optimal Choice'!$B$4*AO96))</f>
        <v>18.96066313</v>
      </c>
      <c r="H96" s="11">
        <f>(U96/$B96)+(U96/('Optimal Choice'!$B$9*AP96))</f>
        <v>18.55077597</v>
      </c>
      <c r="I96" s="11">
        <f>(V96/$B96)+(V96/('Optimal Choice'!$B$14*AQ96))</f>
        <v>20.46915065</v>
      </c>
      <c r="J96" s="11">
        <f>(W96/$B96)+(W96/('Optimal Choice'!$B$19*AR96))</f>
        <v>29.56400776</v>
      </c>
      <c r="K96" s="11">
        <f>(X96/$B96)+(X96/('Optimal Choice'!$B$24*AS96))</f>
        <v>82.82855248</v>
      </c>
      <c r="N96" s="12">
        <f t="shared" ref="N96:R96" si="282">if(min($G95:$K95)=G95,N95+1,N95)</f>
        <v>77</v>
      </c>
      <c r="O96" s="12">
        <f t="shared" si="282"/>
        <v>12</v>
      </c>
      <c r="P96" s="12">
        <f t="shared" si="282"/>
        <v>6</v>
      </c>
      <c r="Q96" s="12">
        <f t="shared" si="282"/>
        <v>0</v>
      </c>
      <c r="R96" s="12">
        <f t="shared" si="282"/>
        <v>0</v>
      </c>
      <c r="T96" s="13">
        <f> 'Optimal Choice'!$B$5*'Optimal Choice'!$B$6^(N96+1)</f>
        <v>783.4199933</v>
      </c>
      <c r="U96" s="13">
        <f> 'Optimal Choice'!$B$10*'Optimal Choice'!$B$11^(O96+1)</f>
        <v>369.1672573</v>
      </c>
      <c r="V96" s="13">
        <f> 'Optimal Choice'!$B$15*'Optimal Choice'!$B$16^(P96+1)</f>
        <v>1801.63353</v>
      </c>
      <c r="W96" s="13">
        <f> 'Optimal Choice'!$B$20*'Optimal Choice'!$B$21^(Q96+1)</f>
        <v>9763.2</v>
      </c>
      <c r="X96" s="13">
        <f> 'Optimal Choice'!$B$25*'Optimal Choice'!$B$26^(R96+1)</f>
        <v>116121.6</v>
      </c>
      <c r="AA96" s="12">
        <f t="shared" ref="AA96:AE96" si="283">if(isna(VLOOKUP(N96,$D$2:$E$10,2,false)),AA95, VLOOKUP(N96,$D$2:$E$10,2,false))</f>
        <v>25</v>
      </c>
      <c r="AB96" s="15">
        <f t="shared" si="283"/>
        <v>1</v>
      </c>
      <c r="AC96" s="15">
        <f t="shared" si="283"/>
        <v>1</v>
      </c>
      <c r="AD96" s="15">
        <f t="shared" si="283"/>
        <v>1</v>
      </c>
      <c r="AE96" s="15">
        <f t="shared" si="283"/>
        <v>1</v>
      </c>
      <c r="AH96" s="15">
        <f>N96*'Optimal Choice'!$B$4*AA96</f>
        <v>3214.75</v>
      </c>
      <c r="AI96" s="15">
        <f>O96*'Optimal Choice'!$B$9*AB96</f>
        <v>240</v>
      </c>
      <c r="AJ96" s="15">
        <f>P96*'Optimal Choice'!$B$14*AC96</f>
        <v>540</v>
      </c>
      <c r="AK96" s="15">
        <f>Q96*'Optimal Choice'!$B$19*AD96</f>
        <v>0</v>
      </c>
      <c r="AL96" s="15">
        <f>R96*'Optimal Choice'!$B$24*AE96</f>
        <v>0</v>
      </c>
      <c r="AO96" s="12">
        <f t="shared" ref="AO96:AS96" si="284">if(isna(VLOOKUP(N96+1,$D$2:$E$10,2,false)),AO95, VLOOKUP(N96+1,$D$2:$E$10,2,false))</f>
        <v>25</v>
      </c>
      <c r="AP96" s="15">
        <f t="shared" si="284"/>
        <v>1</v>
      </c>
      <c r="AQ96" s="15">
        <f t="shared" si="284"/>
        <v>1</v>
      </c>
      <c r="AR96" s="15">
        <f t="shared" si="284"/>
        <v>1</v>
      </c>
      <c r="AS96" s="15">
        <f t="shared" si="284"/>
        <v>1</v>
      </c>
      <c r="AU96" s="11">
        <f t="shared" si="8"/>
        <v>0.00674554619</v>
      </c>
    </row>
    <row r="97" ht="15.75" customHeight="1">
      <c r="A97" s="16">
        <f t="shared" si="4"/>
        <v>0.6078146404</v>
      </c>
      <c r="B97" s="7">
        <f>(sum(AH97:AL97))*'Optimal Choice'!$B$28</f>
        <v>4014.75</v>
      </c>
      <c r="C97" s="11"/>
      <c r="D97" s="12"/>
      <c r="E97" s="12"/>
      <c r="F97" s="11"/>
      <c r="G97" s="11">
        <f>(T97/$B97)+(T97/('Optimal Choice'!$B$4*AO97))</f>
        <v>18.95968617</v>
      </c>
      <c r="H97" s="11">
        <f>(U97/$B97)+(U97/('Optimal Choice'!$B$9*AP97))</f>
        <v>21.33286294</v>
      </c>
      <c r="I97" s="11">
        <f>(V97/$B97)+(V97/('Optimal Choice'!$B$14*AQ97))</f>
        <v>20.46690393</v>
      </c>
      <c r="J97" s="11">
        <f>(W97/$B97)+(W97/('Optimal Choice'!$B$19*AR97))</f>
        <v>29.55183262</v>
      </c>
      <c r="K97" s="11">
        <f>(X97/$B97)+(X97/('Optimal Choice'!$B$24*AS97))</f>
        <v>82.6837437</v>
      </c>
      <c r="N97" s="12">
        <f t="shared" ref="N97:R97" si="285">if(min($G96:$K96)=G96,N96+1,N96)</f>
        <v>77</v>
      </c>
      <c r="O97" s="12">
        <f t="shared" si="285"/>
        <v>13</v>
      </c>
      <c r="P97" s="12">
        <f t="shared" si="285"/>
        <v>6</v>
      </c>
      <c r="Q97" s="12">
        <f t="shared" si="285"/>
        <v>0</v>
      </c>
      <c r="R97" s="12">
        <f t="shared" si="285"/>
        <v>0</v>
      </c>
      <c r="T97" s="13">
        <f> 'Optimal Choice'!$B$5*'Optimal Choice'!$B$6^(N97+1)</f>
        <v>783.4199933</v>
      </c>
      <c r="U97" s="13">
        <f> 'Optimal Choice'!$B$10*'Optimal Choice'!$B$11^(O97+1)</f>
        <v>424.5423459</v>
      </c>
      <c r="V97" s="13">
        <f> 'Optimal Choice'!$B$15*'Optimal Choice'!$B$16^(P97+1)</f>
        <v>1801.63353</v>
      </c>
      <c r="W97" s="13">
        <f> 'Optimal Choice'!$B$20*'Optimal Choice'!$B$21^(Q97+1)</f>
        <v>9763.2</v>
      </c>
      <c r="X97" s="13">
        <f> 'Optimal Choice'!$B$25*'Optimal Choice'!$B$26^(R97+1)</f>
        <v>116121.6</v>
      </c>
      <c r="AA97" s="12">
        <f t="shared" ref="AA97:AE97" si="286">if(isna(VLOOKUP(N97,$D$2:$E$10,2,false)),AA96, VLOOKUP(N97,$D$2:$E$10,2,false))</f>
        <v>25</v>
      </c>
      <c r="AB97" s="15">
        <f t="shared" si="286"/>
        <v>1</v>
      </c>
      <c r="AC97" s="15">
        <f t="shared" si="286"/>
        <v>1</v>
      </c>
      <c r="AD97" s="15">
        <f t="shared" si="286"/>
        <v>1</v>
      </c>
      <c r="AE97" s="15">
        <f t="shared" si="286"/>
        <v>1</v>
      </c>
      <c r="AH97" s="15">
        <f>N97*'Optimal Choice'!$B$4*AA97</f>
        <v>3214.75</v>
      </c>
      <c r="AI97" s="15">
        <f>O97*'Optimal Choice'!$B$9*AB97</f>
        <v>260</v>
      </c>
      <c r="AJ97" s="15">
        <f>P97*'Optimal Choice'!$B$14*AC97</f>
        <v>540</v>
      </c>
      <c r="AK97" s="15">
        <f>Q97*'Optimal Choice'!$B$19*AD97</f>
        <v>0</v>
      </c>
      <c r="AL97" s="15">
        <f>R97*'Optimal Choice'!$B$24*AE97</f>
        <v>0</v>
      </c>
      <c r="AO97" s="12">
        <f t="shared" ref="AO97:AS97" si="287">if(isna(VLOOKUP(N97+1,$D$2:$E$10,2,false)),AO96, VLOOKUP(N97+1,$D$2:$E$10,2,false))</f>
        <v>25</v>
      </c>
      <c r="AP97" s="15">
        <f t="shared" si="287"/>
        <v>1</v>
      </c>
      <c r="AQ97" s="15">
        <f t="shared" si="287"/>
        <v>1</v>
      </c>
      <c r="AR97" s="15">
        <f t="shared" si="287"/>
        <v>1</v>
      </c>
      <c r="AS97" s="15">
        <f t="shared" si="287"/>
        <v>1</v>
      </c>
      <c r="AU97" s="11">
        <f t="shared" si="8"/>
        <v>0.001540218442</v>
      </c>
    </row>
    <row r="98" ht="15.75" customHeight="1">
      <c r="A98" s="16">
        <f t="shared" si="4"/>
        <v>0.6110668977</v>
      </c>
      <c r="B98" s="7">
        <f>(sum(AH98:AL98))*'Optimal Choice'!$B$28</f>
        <v>4056.5</v>
      </c>
      <c r="C98" s="11"/>
      <c r="D98" s="12"/>
      <c r="E98" s="12"/>
      <c r="F98" s="11"/>
      <c r="G98" s="11">
        <f>(T98/$B98)+(T98/('Optimal Choice'!$B$4*AO98))</f>
        <v>20.28471526</v>
      </c>
      <c r="H98" s="11">
        <f>(U98/$B98)+(U98/('Optimal Choice'!$B$9*AP98))</f>
        <v>21.3317746</v>
      </c>
      <c r="I98" s="11">
        <f>(V98/$B98)+(V98/('Optimal Choice'!$B$14*AQ98))</f>
        <v>20.46228531</v>
      </c>
      <c r="J98" s="11">
        <f>(W98/$B98)+(W98/('Optimal Choice'!$B$19*AR98))</f>
        <v>29.52680389</v>
      </c>
      <c r="K98" s="11">
        <f>(X98/$B98)+(X98/('Optimal Choice'!$B$24*AS98))</f>
        <v>82.38605695</v>
      </c>
      <c r="N98" s="12">
        <f t="shared" ref="N98:R98" si="288">if(min($G97:$K97)=G97,N97+1,N97)</f>
        <v>78</v>
      </c>
      <c r="O98" s="12">
        <f t="shared" si="288"/>
        <v>13</v>
      </c>
      <c r="P98" s="12">
        <f t="shared" si="288"/>
        <v>6</v>
      </c>
      <c r="Q98" s="12">
        <f t="shared" si="288"/>
        <v>0</v>
      </c>
      <c r="R98" s="12">
        <f t="shared" si="288"/>
        <v>0</v>
      </c>
      <c r="T98" s="13">
        <f> 'Optimal Choice'!$B$5*'Optimal Choice'!$B$6^(N98+1)</f>
        <v>838.2593928</v>
      </c>
      <c r="U98" s="13">
        <f> 'Optimal Choice'!$B$10*'Optimal Choice'!$B$11^(O98+1)</f>
        <v>424.5423459</v>
      </c>
      <c r="V98" s="13">
        <f> 'Optimal Choice'!$B$15*'Optimal Choice'!$B$16^(P98+1)</f>
        <v>1801.63353</v>
      </c>
      <c r="W98" s="13">
        <f> 'Optimal Choice'!$B$20*'Optimal Choice'!$B$21^(Q98+1)</f>
        <v>9763.2</v>
      </c>
      <c r="X98" s="13">
        <f> 'Optimal Choice'!$B$25*'Optimal Choice'!$B$26^(R98+1)</f>
        <v>116121.6</v>
      </c>
      <c r="AA98" s="12">
        <f t="shared" ref="AA98:AE98" si="289">if(isna(VLOOKUP(N98,$D$2:$E$10,2,false)),AA97, VLOOKUP(N98,$D$2:$E$10,2,false))</f>
        <v>25</v>
      </c>
      <c r="AB98" s="15">
        <f t="shared" si="289"/>
        <v>1</v>
      </c>
      <c r="AC98" s="15">
        <f t="shared" si="289"/>
        <v>1</v>
      </c>
      <c r="AD98" s="15">
        <f t="shared" si="289"/>
        <v>1</v>
      </c>
      <c r="AE98" s="15">
        <f t="shared" si="289"/>
        <v>1</v>
      </c>
      <c r="AH98" s="15">
        <f>N98*'Optimal Choice'!$B$4*AA98</f>
        <v>3256.5</v>
      </c>
      <c r="AI98" s="15">
        <f>O98*'Optimal Choice'!$B$9*AB98</f>
        <v>260</v>
      </c>
      <c r="AJ98" s="15">
        <f>P98*'Optimal Choice'!$B$14*AC98</f>
        <v>540</v>
      </c>
      <c r="AK98" s="15">
        <f>Q98*'Optimal Choice'!$B$19*AD98</f>
        <v>0</v>
      </c>
      <c r="AL98" s="15">
        <f>R98*'Optimal Choice'!$B$24*AE98</f>
        <v>0</v>
      </c>
      <c r="AO98" s="12">
        <f t="shared" ref="AO98:AS98" si="290">if(isna(VLOOKUP(N98+1,$D$2:$E$10,2,false)),AO97, VLOOKUP(N98+1,$D$2:$E$10,2,false))</f>
        <v>25</v>
      </c>
      <c r="AP98" s="15">
        <f t="shared" si="290"/>
        <v>1</v>
      </c>
      <c r="AQ98" s="15">
        <f t="shared" si="290"/>
        <v>1</v>
      </c>
      <c r="AR98" s="15">
        <f t="shared" si="290"/>
        <v>1</v>
      </c>
      <c r="AS98" s="15">
        <f t="shared" si="290"/>
        <v>1</v>
      </c>
      <c r="AU98" s="11">
        <f t="shared" si="8"/>
        <v>0.003252257273</v>
      </c>
    </row>
    <row r="99" ht="15.75" customHeight="1">
      <c r="A99" s="16">
        <f t="shared" si="4"/>
        <v>0.6145109972</v>
      </c>
      <c r="B99" s="7">
        <f>(sum(AH99:AL99))*'Optimal Choice'!$B$28</f>
        <v>4098.25</v>
      </c>
      <c r="C99" s="11"/>
      <c r="D99" s="12"/>
      <c r="E99" s="12"/>
      <c r="F99" s="11"/>
      <c r="G99" s="11">
        <f>(T99/$B99)+(T99/('Optimal Choice'!$B$4*AO99))</f>
        <v>21.70239281</v>
      </c>
      <c r="H99" s="11">
        <f>(U99/$B99)+(U99/('Optimal Choice'!$B$9*AP99))</f>
        <v>21.33070842</v>
      </c>
      <c r="I99" s="11">
        <f>(V99/$B99)+(V99/('Optimal Choice'!$B$14*AQ99))</f>
        <v>20.45776078</v>
      </c>
      <c r="J99" s="11">
        <f>(W99/$B99)+(W99/('Optimal Choice'!$B$19*AR99))</f>
        <v>29.50228512</v>
      </c>
      <c r="K99" s="11">
        <f>(X99/$B99)+(X99/('Optimal Choice'!$B$24*AS99))</f>
        <v>82.09443543</v>
      </c>
      <c r="N99" s="12">
        <f t="shared" ref="N99:R99" si="291">if(min($G98:$K98)=G98,N98+1,N98)</f>
        <v>79</v>
      </c>
      <c r="O99" s="12">
        <f t="shared" si="291"/>
        <v>13</v>
      </c>
      <c r="P99" s="12">
        <f t="shared" si="291"/>
        <v>6</v>
      </c>
      <c r="Q99" s="12">
        <f t="shared" si="291"/>
        <v>0</v>
      </c>
      <c r="R99" s="12">
        <f t="shared" si="291"/>
        <v>0</v>
      </c>
      <c r="T99" s="13">
        <f> 'Optimal Choice'!$B$5*'Optimal Choice'!$B$6^(N99+1)</f>
        <v>896.9375503</v>
      </c>
      <c r="U99" s="13">
        <f> 'Optimal Choice'!$B$10*'Optimal Choice'!$B$11^(O99+1)</f>
        <v>424.5423459</v>
      </c>
      <c r="V99" s="13">
        <f> 'Optimal Choice'!$B$15*'Optimal Choice'!$B$16^(P99+1)</f>
        <v>1801.63353</v>
      </c>
      <c r="W99" s="13">
        <f> 'Optimal Choice'!$B$20*'Optimal Choice'!$B$21^(Q99+1)</f>
        <v>9763.2</v>
      </c>
      <c r="X99" s="13">
        <f> 'Optimal Choice'!$B$25*'Optimal Choice'!$B$26^(R99+1)</f>
        <v>116121.6</v>
      </c>
      <c r="AA99" s="12">
        <f t="shared" ref="AA99:AE99" si="292">if(isna(VLOOKUP(N99,$D$2:$E$10,2,false)),AA98, VLOOKUP(N99,$D$2:$E$10,2,false))</f>
        <v>25</v>
      </c>
      <c r="AB99" s="15">
        <f t="shared" si="292"/>
        <v>1</v>
      </c>
      <c r="AC99" s="15">
        <f t="shared" si="292"/>
        <v>1</v>
      </c>
      <c r="AD99" s="15">
        <f t="shared" si="292"/>
        <v>1</v>
      </c>
      <c r="AE99" s="15">
        <f t="shared" si="292"/>
        <v>1</v>
      </c>
      <c r="AH99" s="15">
        <f>N99*'Optimal Choice'!$B$4*AA99</f>
        <v>3298.25</v>
      </c>
      <c r="AI99" s="15">
        <f>O99*'Optimal Choice'!$B$9*AB99</f>
        <v>260</v>
      </c>
      <c r="AJ99" s="15">
        <f>P99*'Optimal Choice'!$B$14*AC99</f>
        <v>540</v>
      </c>
      <c r="AK99" s="15">
        <f>Q99*'Optimal Choice'!$B$19*AD99</f>
        <v>0</v>
      </c>
      <c r="AL99" s="15">
        <f>R99*'Optimal Choice'!$B$24*AE99</f>
        <v>0</v>
      </c>
      <c r="AO99" s="12">
        <f t="shared" ref="AO99:AS99" si="293">if(isna(VLOOKUP(N99+1,$D$2:$E$10,2,false)),AO98, VLOOKUP(N99+1,$D$2:$E$10,2,false))</f>
        <v>25</v>
      </c>
      <c r="AP99" s="15">
        <f t="shared" si="293"/>
        <v>1</v>
      </c>
      <c r="AQ99" s="15">
        <f t="shared" si="293"/>
        <v>1</v>
      </c>
      <c r="AR99" s="15">
        <f t="shared" si="293"/>
        <v>1</v>
      </c>
      <c r="AS99" s="15">
        <f t="shared" si="293"/>
        <v>1</v>
      </c>
      <c r="AU99" s="11">
        <f t="shared" si="8"/>
        <v>0.003444099564</v>
      </c>
    </row>
    <row r="100" ht="15.75" customHeight="1">
      <c r="A100" s="16">
        <f t="shared" si="4"/>
        <v>0.6218378381</v>
      </c>
      <c r="B100" s="7">
        <f>(sum(AH100:AL100))*'Optimal Choice'!$B$28</f>
        <v>4188.25</v>
      </c>
      <c r="C100" s="11"/>
      <c r="D100" s="12"/>
      <c r="E100" s="12"/>
      <c r="F100" s="11"/>
      <c r="G100" s="11">
        <f>(T100/$B100)+(T100/('Optimal Choice'!$B$4*AO100))</f>
        <v>21.69768982</v>
      </c>
      <c r="H100" s="11">
        <f>(U100/$B100)+(U100/('Optimal Choice'!$B$9*AP100))</f>
        <v>21.32848239</v>
      </c>
      <c r="I100" s="11">
        <f>(V100/$B100)+(V100/('Optimal Choice'!$B$14*AQ100))</f>
        <v>23.31107811</v>
      </c>
      <c r="J100" s="11">
        <f>(W100/$B100)+(W100/('Optimal Choice'!$B$19*AR100))</f>
        <v>29.45109294</v>
      </c>
      <c r="K100" s="11">
        <f>(X100/$B100)+(X100/('Optimal Choice'!$B$24*AS100))</f>
        <v>81.48556557</v>
      </c>
      <c r="N100" s="12">
        <f t="shared" ref="N100:R100" si="294">if(min($G99:$K99)=G99,N99+1,N99)</f>
        <v>79</v>
      </c>
      <c r="O100" s="12">
        <f t="shared" si="294"/>
        <v>13</v>
      </c>
      <c r="P100" s="12">
        <f t="shared" si="294"/>
        <v>7</v>
      </c>
      <c r="Q100" s="12">
        <f t="shared" si="294"/>
        <v>0</v>
      </c>
      <c r="R100" s="12">
        <f t="shared" si="294"/>
        <v>0</v>
      </c>
      <c r="T100" s="13">
        <f> 'Optimal Choice'!$B$5*'Optimal Choice'!$B$6^(N100+1)</f>
        <v>896.9375503</v>
      </c>
      <c r="U100" s="13">
        <f> 'Optimal Choice'!$B$10*'Optimal Choice'!$B$11^(O100+1)</f>
        <v>424.5423459</v>
      </c>
      <c r="V100" s="13">
        <f> 'Optimal Choice'!$B$15*'Optimal Choice'!$B$16^(P100+1)</f>
        <v>2053.862224</v>
      </c>
      <c r="W100" s="13">
        <f> 'Optimal Choice'!$B$20*'Optimal Choice'!$B$21^(Q100+1)</f>
        <v>9763.2</v>
      </c>
      <c r="X100" s="13">
        <f> 'Optimal Choice'!$B$25*'Optimal Choice'!$B$26^(R100+1)</f>
        <v>116121.6</v>
      </c>
      <c r="AA100" s="12">
        <f t="shared" ref="AA100:AE100" si="295">if(isna(VLOOKUP(N100,$D$2:$E$10,2,false)),AA99, VLOOKUP(N100,$D$2:$E$10,2,false))</f>
        <v>25</v>
      </c>
      <c r="AB100" s="15">
        <f t="shared" si="295"/>
        <v>1</v>
      </c>
      <c r="AC100" s="15">
        <f t="shared" si="295"/>
        <v>1</v>
      </c>
      <c r="AD100" s="15">
        <f t="shared" si="295"/>
        <v>1</v>
      </c>
      <c r="AE100" s="15">
        <f t="shared" si="295"/>
        <v>1</v>
      </c>
      <c r="AH100" s="15">
        <f>N100*'Optimal Choice'!$B$4*AA100</f>
        <v>3298.25</v>
      </c>
      <c r="AI100" s="15">
        <f>O100*'Optimal Choice'!$B$9*AB100</f>
        <v>260</v>
      </c>
      <c r="AJ100" s="15">
        <f>P100*'Optimal Choice'!$B$14*AC100</f>
        <v>630</v>
      </c>
      <c r="AK100" s="15">
        <f>Q100*'Optimal Choice'!$B$19*AD100</f>
        <v>0</v>
      </c>
      <c r="AL100" s="15">
        <f>R100*'Optimal Choice'!$B$24*AE100</f>
        <v>0</v>
      </c>
      <c r="AO100" s="12">
        <f t="shared" ref="AO100:AS100" si="296">if(isna(VLOOKUP(N100+1,$D$2:$E$10,2,false)),AO99, VLOOKUP(N100+1,$D$2:$E$10,2,false))</f>
        <v>25</v>
      </c>
      <c r="AP100" s="15">
        <f t="shared" si="296"/>
        <v>1</v>
      </c>
      <c r="AQ100" s="15">
        <f t="shared" si="296"/>
        <v>1</v>
      </c>
      <c r="AR100" s="15">
        <f t="shared" si="296"/>
        <v>1</v>
      </c>
      <c r="AS100" s="15">
        <f t="shared" si="296"/>
        <v>1</v>
      </c>
      <c r="AU100" s="11">
        <f t="shared" si="8"/>
        <v>0.007326840846</v>
      </c>
    </row>
    <row r="101" ht="15.75" customHeight="1">
      <c r="A101" s="16">
        <f t="shared" si="4"/>
        <v>0.6235272563</v>
      </c>
      <c r="B101" s="7">
        <f>(sum(AH101:AL101))*'Optimal Choice'!$B$28</f>
        <v>4208.25</v>
      </c>
      <c r="C101" s="11"/>
      <c r="D101" s="12"/>
      <c r="E101" s="12"/>
      <c r="F101" s="11"/>
      <c r="G101" s="11">
        <f>(T101/$B101)+(T101/('Optimal Choice'!$B$4*AO101))</f>
        <v>21.69667204</v>
      </c>
      <c r="H101" s="11">
        <f>(U101/$B101)+(U101/('Optimal Choice'!$B$9*AP101))</f>
        <v>24.52720074</v>
      </c>
      <c r="I101" s="11">
        <f>(V101/$B101)+(V101/('Optimal Choice'!$B$14*AQ101))</f>
        <v>23.30874751</v>
      </c>
      <c r="J101" s="11">
        <f>(W101/$B101)+(W101/('Optimal Choice'!$B$19*AR101))</f>
        <v>29.44001426</v>
      </c>
      <c r="K101" s="11">
        <f>(X101/$B101)+(X101/('Optimal Choice'!$B$24*AS101))</f>
        <v>81.3537979</v>
      </c>
      <c r="N101" s="12">
        <f t="shared" ref="N101:R101" si="297">if(min($G100:$K100)=G100,N100+1,N100)</f>
        <v>79</v>
      </c>
      <c r="O101" s="12">
        <f t="shared" si="297"/>
        <v>14</v>
      </c>
      <c r="P101" s="12">
        <f t="shared" si="297"/>
        <v>7</v>
      </c>
      <c r="Q101" s="12">
        <f t="shared" si="297"/>
        <v>0</v>
      </c>
      <c r="R101" s="12">
        <f t="shared" si="297"/>
        <v>0</v>
      </c>
      <c r="T101" s="13">
        <f> 'Optimal Choice'!$B$5*'Optimal Choice'!$B$6^(N101+1)</f>
        <v>896.9375503</v>
      </c>
      <c r="U101" s="13">
        <f> 'Optimal Choice'!$B$10*'Optimal Choice'!$B$11^(O101+1)</f>
        <v>488.2236977</v>
      </c>
      <c r="V101" s="13">
        <f> 'Optimal Choice'!$B$15*'Optimal Choice'!$B$16^(P101+1)</f>
        <v>2053.862224</v>
      </c>
      <c r="W101" s="13">
        <f> 'Optimal Choice'!$B$20*'Optimal Choice'!$B$21^(Q101+1)</f>
        <v>9763.2</v>
      </c>
      <c r="X101" s="13">
        <f> 'Optimal Choice'!$B$25*'Optimal Choice'!$B$26^(R101+1)</f>
        <v>116121.6</v>
      </c>
      <c r="AA101" s="12">
        <f t="shared" ref="AA101:AE101" si="298">if(isna(VLOOKUP(N101,$D$2:$E$10,2,false)),AA100, VLOOKUP(N101,$D$2:$E$10,2,false))</f>
        <v>25</v>
      </c>
      <c r="AB101" s="15">
        <f t="shared" si="298"/>
        <v>1</v>
      </c>
      <c r="AC101" s="15">
        <f t="shared" si="298"/>
        <v>1</v>
      </c>
      <c r="AD101" s="15">
        <f t="shared" si="298"/>
        <v>1</v>
      </c>
      <c r="AE101" s="15">
        <f t="shared" si="298"/>
        <v>1</v>
      </c>
      <c r="AH101" s="15">
        <f>N101*'Optimal Choice'!$B$4*AA101</f>
        <v>3298.25</v>
      </c>
      <c r="AI101" s="15">
        <f>O101*'Optimal Choice'!$B$9*AB101</f>
        <v>280</v>
      </c>
      <c r="AJ101" s="15">
        <f>P101*'Optimal Choice'!$B$14*AC101</f>
        <v>630</v>
      </c>
      <c r="AK101" s="15">
        <f>Q101*'Optimal Choice'!$B$19*AD101</f>
        <v>0</v>
      </c>
      <c r="AL101" s="15">
        <f>R101*'Optimal Choice'!$B$24*AE101</f>
        <v>0</v>
      </c>
      <c r="AO101" s="12">
        <f t="shared" ref="AO101:AS101" si="299">if(isna(VLOOKUP(N101+1,$D$2:$E$10,2,false)),AO100, VLOOKUP(N101+1,$D$2:$E$10,2,false))</f>
        <v>25</v>
      </c>
      <c r="AP101" s="15">
        <f t="shared" si="299"/>
        <v>1</v>
      </c>
      <c r="AQ101" s="15">
        <f t="shared" si="299"/>
        <v>1</v>
      </c>
      <c r="AR101" s="15">
        <f t="shared" si="299"/>
        <v>1</v>
      </c>
      <c r="AS101" s="15">
        <f t="shared" si="299"/>
        <v>1</v>
      </c>
      <c r="AU101" s="11">
        <f t="shared" si="8"/>
        <v>0.001689418197</v>
      </c>
    </row>
    <row r="102" ht="15.75" customHeight="1">
      <c r="A102" s="16">
        <f t="shared" si="4"/>
        <v>0.6270795545</v>
      </c>
      <c r="B102" s="7">
        <f>(sum(AH102:AL102))*'Optimal Choice'!$B$28</f>
        <v>4250</v>
      </c>
      <c r="C102" s="11"/>
      <c r="D102" s="12"/>
      <c r="E102" s="12"/>
      <c r="F102" s="11"/>
      <c r="G102" s="11">
        <f>(T102/$B102)+(T102/('Optimal Choice'!$B$4*AO102))</f>
        <v>23.21319875</v>
      </c>
      <c r="H102" s="11">
        <f>(U102/$B102)+(U102/('Optimal Choice'!$B$9*AP102))</f>
        <v>24.52606105</v>
      </c>
      <c r="I102" s="11">
        <f>(V102/$B102)+(V102/('Optimal Choice'!$B$14*AQ102))</f>
        <v>23.30395308</v>
      </c>
      <c r="J102" s="11">
        <f>(W102/$B102)+(W102/('Optimal Choice'!$B$19*AR102))</f>
        <v>29.41722353</v>
      </c>
      <c r="K102" s="11">
        <f>(X102/$B102)+(X102/('Optimal Choice'!$B$24*AS102))</f>
        <v>81.08272941</v>
      </c>
      <c r="N102" s="12">
        <f t="shared" ref="N102:R102" si="300">if(min($G101:$K101)=G101,N101+1,N101)</f>
        <v>80</v>
      </c>
      <c r="O102" s="12">
        <f t="shared" si="300"/>
        <v>14</v>
      </c>
      <c r="P102" s="12">
        <f t="shared" si="300"/>
        <v>7</v>
      </c>
      <c r="Q102" s="12">
        <f t="shared" si="300"/>
        <v>0</v>
      </c>
      <c r="R102" s="12">
        <f t="shared" si="300"/>
        <v>0</v>
      </c>
      <c r="T102" s="13">
        <f> 'Optimal Choice'!$B$5*'Optimal Choice'!$B$6^(N102+1)</f>
        <v>959.7231788</v>
      </c>
      <c r="U102" s="13">
        <f> 'Optimal Choice'!$B$10*'Optimal Choice'!$B$11^(O102+1)</f>
        <v>488.2236977</v>
      </c>
      <c r="V102" s="13">
        <f> 'Optimal Choice'!$B$15*'Optimal Choice'!$B$16^(P102+1)</f>
        <v>2053.862224</v>
      </c>
      <c r="W102" s="13">
        <f> 'Optimal Choice'!$B$20*'Optimal Choice'!$B$21^(Q102+1)</f>
        <v>9763.2</v>
      </c>
      <c r="X102" s="13">
        <f> 'Optimal Choice'!$B$25*'Optimal Choice'!$B$26^(R102+1)</f>
        <v>116121.6</v>
      </c>
      <c r="AA102" s="12">
        <f t="shared" ref="AA102:AE102" si="301">if(isna(VLOOKUP(N102,$D$2:$E$10,2,false)),AA101, VLOOKUP(N102,$D$2:$E$10,2,false))</f>
        <v>25</v>
      </c>
      <c r="AB102" s="15">
        <f t="shared" si="301"/>
        <v>1</v>
      </c>
      <c r="AC102" s="15">
        <f t="shared" si="301"/>
        <v>1</v>
      </c>
      <c r="AD102" s="15">
        <f t="shared" si="301"/>
        <v>1</v>
      </c>
      <c r="AE102" s="15">
        <f t="shared" si="301"/>
        <v>1</v>
      </c>
      <c r="AH102" s="15">
        <f>N102*'Optimal Choice'!$B$4*AA102</f>
        <v>3340</v>
      </c>
      <c r="AI102" s="15">
        <f>O102*'Optimal Choice'!$B$9*AB102</f>
        <v>280</v>
      </c>
      <c r="AJ102" s="15">
        <f>P102*'Optimal Choice'!$B$14*AC102</f>
        <v>630</v>
      </c>
      <c r="AK102" s="15">
        <f>Q102*'Optimal Choice'!$B$19*AD102</f>
        <v>0</v>
      </c>
      <c r="AL102" s="15">
        <f>R102*'Optimal Choice'!$B$24*AE102</f>
        <v>0</v>
      </c>
      <c r="AO102" s="12">
        <f t="shared" ref="AO102:AS102" si="302">if(isna(VLOOKUP(N102+1,$D$2:$E$10,2,false)),AO101, VLOOKUP(N102+1,$D$2:$E$10,2,false))</f>
        <v>25</v>
      </c>
      <c r="AP102" s="15">
        <f t="shared" si="302"/>
        <v>1</v>
      </c>
      <c r="AQ102" s="15">
        <f t="shared" si="302"/>
        <v>1</v>
      </c>
      <c r="AR102" s="15">
        <f t="shared" si="302"/>
        <v>1</v>
      </c>
      <c r="AS102" s="15">
        <f t="shared" si="302"/>
        <v>1</v>
      </c>
      <c r="AU102" s="11">
        <f t="shared" si="8"/>
        <v>0.003552298265</v>
      </c>
    </row>
    <row r="103" ht="15.75" customHeight="1">
      <c r="A103" s="16">
        <f t="shared" si="4"/>
        <v>0.6308431748</v>
      </c>
      <c r="B103" s="7">
        <f>(sum(AH103:AL103))*'Optimal Choice'!$B$28</f>
        <v>4291.75</v>
      </c>
      <c r="C103" s="11"/>
      <c r="D103" s="12"/>
      <c r="E103" s="12"/>
      <c r="F103" s="11"/>
      <c r="G103" s="11">
        <f>(T103/$B103)+(T103/('Optimal Choice'!$B$4*AO103))</f>
        <v>24.83577215</v>
      </c>
      <c r="H103" s="11">
        <f>(U103/$B103)+(U103/('Optimal Choice'!$B$9*AP103))</f>
        <v>24.52494354</v>
      </c>
      <c r="I103" s="11">
        <f>(V103/$B103)+(V103/('Optimal Choice'!$B$14*AQ103))</f>
        <v>23.29925192</v>
      </c>
      <c r="J103" s="11">
        <f>(W103/$B103)+(W103/('Optimal Choice'!$B$19*AR103))</f>
        <v>29.39487622</v>
      </c>
      <c r="K103" s="11">
        <f>(X103/$B103)+(X103/('Optimal Choice'!$B$24*AS103))</f>
        <v>80.81693482</v>
      </c>
      <c r="N103" s="12">
        <f t="shared" ref="N103:R103" si="303">if(min($G102:$K102)=G102,N102+1,N102)</f>
        <v>81</v>
      </c>
      <c r="O103" s="12">
        <f t="shared" si="303"/>
        <v>14</v>
      </c>
      <c r="P103" s="12">
        <f t="shared" si="303"/>
        <v>7</v>
      </c>
      <c r="Q103" s="12">
        <f t="shared" si="303"/>
        <v>0</v>
      </c>
      <c r="R103" s="12">
        <f t="shared" si="303"/>
        <v>0</v>
      </c>
      <c r="T103" s="13">
        <f> 'Optimal Choice'!$B$5*'Optimal Choice'!$B$6^(N103+1)</f>
        <v>1026.903801</v>
      </c>
      <c r="U103" s="13">
        <f> 'Optimal Choice'!$B$10*'Optimal Choice'!$B$11^(O103+1)</f>
        <v>488.2236977</v>
      </c>
      <c r="V103" s="13">
        <f> 'Optimal Choice'!$B$15*'Optimal Choice'!$B$16^(P103+1)</f>
        <v>2053.862224</v>
      </c>
      <c r="W103" s="13">
        <f> 'Optimal Choice'!$B$20*'Optimal Choice'!$B$21^(Q103+1)</f>
        <v>9763.2</v>
      </c>
      <c r="X103" s="13">
        <f> 'Optimal Choice'!$B$25*'Optimal Choice'!$B$26^(R103+1)</f>
        <v>116121.6</v>
      </c>
      <c r="AA103" s="12">
        <f t="shared" ref="AA103:AE103" si="304">if(isna(VLOOKUP(N103,$D$2:$E$10,2,false)),AA102, VLOOKUP(N103,$D$2:$E$10,2,false))</f>
        <v>25</v>
      </c>
      <c r="AB103" s="15">
        <f t="shared" si="304"/>
        <v>1</v>
      </c>
      <c r="AC103" s="15">
        <f t="shared" si="304"/>
        <v>1</v>
      </c>
      <c r="AD103" s="15">
        <f t="shared" si="304"/>
        <v>1</v>
      </c>
      <c r="AE103" s="15">
        <f t="shared" si="304"/>
        <v>1</v>
      </c>
      <c r="AH103" s="15">
        <f>N103*'Optimal Choice'!$B$4*AA103</f>
        <v>3381.75</v>
      </c>
      <c r="AI103" s="15">
        <f>O103*'Optimal Choice'!$B$9*AB103</f>
        <v>280</v>
      </c>
      <c r="AJ103" s="15">
        <f>P103*'Optimal Choice'!$B$14*AC103</f>
        <v>630</v>
      </c>
      <c r="AK103" s="15">
        <f>Q103*'Optimal Choice'!$B$19*AD103</f>
        <v>0</v>
      </c>
      <c r="AL103" s="15">
        <f>R103*'Optimal Choice'!$B$24*AE103</f>
        <v>0</v>
      </c>
      <c r="AO103" s="12">
        <f t="shared" ref="AO103:AS103" si="305">if(isna(VLOOKUP(N103+1,$D$2:$E$10,2,false)),AO102, VLOOKUP(N103+1,$D$2:$E$10,2,false))</f>
        <v>25</v>
      </c>
      <c r="AP103" s="15">
        <f t="shared" si="305"/>
        <v>1</v>
      </c>
      <c r="AQ103" s="15">
        <f t="shared" si="305"/>
        <v>1</v>
      </c>
      <c r="AR103" s="15">
        <f t="shared" si="305"/>
        <v>1</v>
      </c>
      <c r="AS103" s="15">
        <f t="shared" si="305"/>
        <v>1</v>
      </c>
      <c r="AU103" s="11">
        <f t="shared" si="8"/>
        <v>0.003763620309</v>
      </c>
    </row>
    <row r="104" ht="15.75" customHeight="1">
      <c r="A104" s="16">
        <f t="shared" si="4"/>
        <v>0.6388191839</v>
      </c>
      <c r="B104" s="7">
        <f>(sum(AH104:AL104))*'Optimal Choice'!$B$28</f>
        <v>4381.75</v>
      </c>
      <c r="C104" s="11"/>
      <c r="D104" s="12"/>
      <c r="E104" s="12"/>
      <c r="F104" s="11"/>
      <c r="G104" s="11">
        <f>(T104/$B104)+(T104/('Optimal Choice'!$B$4*AO104))</f>
        <v>24.83085752</v>
      </c>
      <c r="H104" s="11">
        <f>(U104/$B104)+(U104/('Optimal Choice'!$B$9*AP104))</f>
        <v>24.52260697</v>
      </c>
      <c r="I104" s="11">
        <f>(V104/$B104)+(V104/('Optimal Choice'!$B$14*AQ104))</f>
        <v>26.54994155</v>
      </c>
      <c r="J104" s="11">
        <f>(W104/$B104)+(W104/('Optimal Choice'!$B$19*AR104))</f>
        <v>29.34815085</v>
      </c>
      <c r="K104" s="11">
        <f>(X104/$B104)+(X104/('Optimal Choice'!$B$24*AS104))</f>
        <v>80.26119245</v>
      </c>
      <c r="N104" s="12">
        <f t="shared" ref="N104:R104" si="306">if(min($G103:$K103)=G103,N103+1,N103)</f>
        <v>81</v>
      </c>
      <c r="O104" s="12">
        <f t="shared" si="306"/>
        <v>14</v>
      </c>
      <c r="P104" s="12">
        <f t="shared" si="306"/>
        <v>8</v>
      </c>
      <c r="Q104" s="12">
        <f t="shared" si="306"/>
        <v>0</v>
      </c>
      <c r="R104" s="12">
        <f t="shared" si="306"/>
        <v>0</v>
      </c>
      <c r="T104" s="13">
        <f> 'Optimal Choice'!$B$5*'Optimal Choice'!$B$6^(N104+1)</f>
        <v>1026.903801</v>
      </c>
      <c r="U104" s="13">
        <f> 'Optimal Choice'!$B$10*'Optimal Choice'!$B$11^(O104+1)</f>
        <v>488.2236977</v>
      </c>
      <c r="V104" s="13">
        <f> 'Optimal Choice'!$B$15*'Optimal Choice'!$B$16^(P104+1)</f>
        <v>2341.402935</v>
      </c>
      <c r="W104" s="13">
        <f> 'Optimal Choice'!$B$20*'Optimal Choice'!$B$21^(Q104+1)</f>
        <v>9763.2</v>
      </c>
      <c r="X104" s="13">
        <f> 'Optimal Choice'!$B$25*'Optimal Choice'!$B$26^(R104+1)</f>
        <v>116121.6</v>
      </c>
      <c r="AA104" s="12">
        <f t="shared" ref="AA104:AE104" si="307">if(isna(VLOOKUP(N104,$D$2:$E$10,2,false)),AA103, VLOOKUP(N104,$D$2:$E$10,2,false))</f>
        <v>25</v>
      </c>
      <c r="AB104" s="15">
        <f t="shared" si="307"/>
        <v>1</v>
      </c>
      <c r="AC104" s="15">
        <f t="shared" si="307"/>
        <v>1</v>
      </c>
      <c r="AD104" s="15">
        <f t="shared" si="307"/>
        <v>1</v>
      </c>
      <c r="AE104" s="15">
        <f t="shared" si="307"/>
        <v>1</v>
      </c>
      <c r="AH104" s="15">
        <f>N104*'Optimal Choice'!$B$4*AA104</f>
        <v>3381.75</v>
      </c>
      <c r="AI104" s="15">
        <f>O104*'Optimal Choice'!$B$9*AB104</f>
        <v>280</v>
      </c>
      <c r="AJ104" s="15">
        <f>P104*'Optimal Choice'!$B$14*AC104</f>
        <v>720</v>
      </c>
      <c r="AK104" s="15">
        <f>Q104*'Optimal Choice'!$B$19*AD104</f>
        <v>0</v>
      </c>
      <c r="AL104" s="15">
        <f>R104*'Optimal Choice'!$B$24*AE104</f>
        <v>0</v>
      </c>
      <c r="AO104" s="12">
        <f t="shared" ref="AO104:AS104" si="308">if(isna(VLOOKUP(N104+1,$D$2:$E$10,2,false)),AO103, VLOOKUP(N104+1,$D$2:$E$10,2,false))</f>
        <v>25</v>
      </c>
      <c r="AP104" s="15">
        <f t="shared" si="308"/>
        <v>1</v>
      </c>
      <c r="AQ104" s="15">
        <f t="shared" si="308"/>
        <v>1</v>
      </c>
      <c r="AR104" s="15">
        <f t="shared" si="308"/>
        <v>1</v>
      </c>
      <c r="AS104" s="15">
        <f t="shared" si="308"/>
        <v>1</v>
      </c>
      <c r="AU104" s="11">
        <f t="shared" si="8"/>
        <v>0.007976009102</v>
      </c>
    </row>
    <row r="105" ht="15.75" customHeight="1">
      <c r="A105" s="16">
        <f t="shared" si="4"/>
        <v>0.6406762186</v>
      </c>
      <c r="B105" s="7">
        <f>(sum(AH105:AL105))*'Optimal Choice'!$B$28</f>
        <v>4401.75</v>
      </c>
      <c r="C105" s="11"/>
      <c r="D105" s="12"/>
      <c r="E105" s="12"/>
      <c r="F105" s="11"/>
      <c r="G105" s="11">
        <f>(T105/$B105)+(T105/('Optimal Choice'!$B$4*AO105))</f>
        <v>24.82979268</v>
      </c>
      <c r="H105" s="11">
        <f>(U105/$B105)+(U105/('Optimal Choice'!$B$9*AP105))</f>
        <v>28.20041581</v>
      </c>
      <c r="I105" s="11">
        <f>(V105/$B105)+(V105/('Optimal Choice'!$B$14*AQ105))</f>
        <v>26.54751364</v>
      </c>
      <c r="J105" s="11">
        <f>(W105/$B105)+(W105/('Optimal Choice'!$B$19*AR105))</f>
        <v>29.33802692</v>
      </c>
      <c r="K105" s="11">
        <f>(X105/$B105)+(X105/('Optimal Choice'!$B$24*AS105))</f>
        <v>80.14078037</v>
      </c>
      <c r="N105" s="12">
        <f t="shared" ref="N105:R105" si="309">if(min($G104:$K104)=G104,N104+1,N104)</f>
        <v>81</v>
      </c>
      <c r="O105" s="12">
        <f t="shared" si="309"/>
        <v>15</v>
      </c>
      <c r="P105" s="12">
        <f t="shared" si="309"/>
        <v>8</v>
      </c>
      <c r="Q105" s="12">
        <f t="shared" si="309"/>
        <v>0</v>
      </c>
      <c r="R105" s="12">
        <f t="shared" si="309"/>
        <v>0</v>
      </c>
      <c r="T105" s="13">
        <f> 'Optimal Choice'!$B$5*'Optimal Choice'!$B$6^(N105+1)</f>
        <v>1026.903801</v>
      </c>
      <c r="U105" s="13">
        <f> 'Optimal Choice'!$B$10*'Optimal Choice'!$B$11^(O105+1)</f>
        <v>561.4572524</v>
      </c>
      <c r="V105" s="13">
        <f> 'Optimal Choice'!$B$15*'Optimal Choice'!$B$16^(P105+1)</f>
        <v>2341.402935</v>
      </c>
      <c r="W105" s="13">
        <f> 'Optimal Choice'!$B$20*'Optimal Choice'!$B$21^(Q105+1)</f>
        <v>9763.2</v>
      </c>
      <c r="X105" s="13">
        <f> 'Optimal Choice'!$B$25*'Optimal Choice'!$B$26^(R105+1)</f>
        <v>116121.6</v>
      </c>
      <c r="AA105" s="12">
        <f t="shared" ref="AA105:AE105" si="310">if(isna(VLOOKUP(N105,$D$2:$E$10,2,false)),AA104, VLOOKUP(N105,$D$2:$E$10,2,false))</f>
        <v>25</v>
      </c>
      <c r="AB105" s="15">
        <f t="shared" si="310"/>
        <v>1</v>
      </c>
      <c r="AC105" s="15">
        <f t="shared" si="310"/>
        <v>1</v>
      </c>
      <c r="AD105" s="15">
        <f t="shared" si="310"/>
        <v>1</v>
      </c>
      <c r="AE105" s="15">
        <f t="shared" si="310"/>
        <v>1</v>
      </c>
      <c r="AH105" s="15">
        <f>N105*'Optimal Choice'!$B$4*AA105</f>
        <v>3381.75</v>
      </c>
      <c r="AI105" s="15">
        <f>O105*'Optimal Choice'!$B$9*AB105</f>
        <v>300</v>
      </c>
      <c r="AJ105" s="15">
        <f>P105*'Optimal Choice'!$B$14*AC105</f>
        <v>720</v>
      </c>
      <c r="AK105" s="15">
        <f>Q105*'Optimal Choice'!$B$19*AD105</f>
        <v>0</v>
      </c>
      <c r="AL105" s="15">
        <f>R105*'Optimal Choice'!$B$24*AE105</f>
        <v>0</v>
      </c>
      <c r="AO105" s="12">
        <f t="shared" ref="AO105:AS105" si="311">if(isna(VLOOKUP(N105+1,$D$2:$E$10,2,false)),AO104, VLOOKUP(N105+1,$D$2:$E$10,2,false))</f>
        <v>25</v>
      </c>
      <c r="AP105" s="15">
        <f t="shared" si="311"/>
        <v>1</v>
      </c>
      <c r="AQ105" s="15">
        <f t="shared" si="311"/>
        <v>1</v>
      </c>
      <c r="AR105" s="15">
        <f t="shared" si="311"/>
        <v>1</v>
      </c>
      <c r="AS105" s="15">
        <f t="shared" si="311"/>
        <v>1</v>
      </c>
      <c r="AU105" s="11">
        <f t="shared" si="8"/>
        <v>0.001857034662</v>
      </c>
    </row>
    <row r="106" ht="15.75" customHeight="1">
      <c r="A106" s="16">
        <f t="shared" si="4"/>
        <v>0.6445644593</v>
      </c>
      <c r="B106" s="7">
        <f>(sum(AH106:AL106))*'Optimal Choice'!$B$28</f>
        <v>4443.5</v>
      </c>
      <c r="C106" s="11"/>
      <c r="D106" s="12"/>
      <c r="E106" s="12"/>
      <c r="F106" s="11"/>
      <c r="G106" s="11">
        <f>(T106/$B106)+(T106/('Optimal Choice'!$B$4*AO106))</f>
        <v>26.56553275</v>
      </c>
      <c r="H106" s="11">
        <f>(U106/$B106)+(U106/('Optimal Choice'!$B$9*AP106))</f>
        <v>28.19921735</v>
      </c>
      <c r="I106" s="11">
        <f>(V106/$B106)+(V106/('Optimal Choice'!$B$14*AQ106))</f>
        <v>26.5425158</v>
      </c>
      <c r="J106" s="11">
        <f>(W106/$B106)+(W106/('Optimal Choice'!$B$19*AR106))</f>
        <v>29.3171869</v>
      </c>
      <c r="K106" s="11">
        <f>(X106/$B106)+(X106/('Optimal Choice'!$B$24*AS106))</f>
        <v>79.89291324</v>
      </c>
      <c r="N106" s="12">
        <f t="shared" ref="N106:R106" si="312">if(min($G105:$K105)=G105,N105+1,N105)</f>
        <v>82</v>
      </c>
      <c r="O106" s="12">
        <f t="shared" si="312"/>
        <v>15</v>
      </c>
      <c r="P106" s="12">
        <f t="shared" si="312"/>
        <v>8</v>
      </c>
      <c r="Q106" s="12">
        <f t="shared" si="312"/>
        <v>0</v>
      </c>
      <c r="R106" s="12">
        <f t="shared" si="312"/>
        <v>0</v>
      </c>
      <c r="T106" s="13">
        <f> 'Optimal Choice'!$B$5*'Optimal Choice'!$B$6^(N106+1)</f>
        <v>1098.787067</v>
      </c>
      <c r="U106" s="13">
        <f> 'Optimal Choice'!$B$10*'Optimal Choice'!$B$11^(O106+1)</f>
        <v>561.4572524</v>
      </c>
      <c r="V106" s="13">
        <f> 'Optimal Choice'!$B$15*'Optimal Choice'!$B$16^(P106+1)</f>
        <v>2341.402935</v>
      </c>
      <c r="W106" s="13">
        <f> 'Optimal Choice'!$B$20*'Optimal Choice'!$B$21^(Q106+1)</f>
        <v>9763.2</v>
      </c>
      <c r="X106" s="13">
        <f> 'Optimal Choice'!$B$25*'Optimal Choice'!$B$26^(R106+1)</f>
        <v>116121.6</v>
      </c>
      <c r="AA106" s="12">
        <f t="shared" ref="AA106:AE106" si="313">if(isna(VLOOKUP(N106,$D$2:$E$10,2,false)),AA105, VLOOKUP(N106,$D$2:$E$10,2,false))</f>
        <v>25</v>
      </c>
      <c r="AB106" s="15">
        <f t="shared" si="313"/>
        <v>1</v>
      </c>
      <c r="AC106" s="15">
        <f t="shared" si="313"/>
        <v>1</v>
      </c>
      <c r="AD106" s="15">
        <f t="shared" si="313"/>
        <v>1</v>
      </c>
      <c r="AE106" s="15">
        <f t="shared" si="313"/>
        <v>1</v>
      </c>
      <c r="AH106" s="15">
        <f>N106*'Optimal Choice'!$B$4*AA106</f>
        <v>3423.5</v>
      </c>
      <c r="AI106" s="15">
        <f>O106*'Optimal Choice'!$B$9*AB106</f>
        <v>300</v>
      </c>
      <c r="AJ106" s="15">
        <f>P106*'Optimal Choice'!$B$14*AC106</f>
        <v>720</v>
      </c>
      <c r="AK106" s="15">
        <f>Q106*'Optimal Choice'!$B$19*AD106</f>
        <v>0</v>
      </c>
      <c r="AL106" s="15">
        <f>R106*'Optimal Choice'!$B$24*AE106</f>
        <v>0</v>
      </c>
      <c r="AO106" s="12">
        <f t="shared" ref="AO106:AS106" si="314">if(isna(VLOOKUP(N106+1,$D$2:$E$10,2,false)),AO105, VLOOKUP(N106+1,$D$2:$E$10,2,false))</f>
        <v>25</v>
      </c>
      <c r="AP106" s="15">
        <f t="shared" si="314"/>
        <v>1</v>
      </c>
      <c r="AQ106" s="15">
        <f t="shared" si="314"/>
        <v>1</v>
      </c>
      <c r="AR106" s="15">
        <f t="shared" si="314"/>
        <v>1</v>
      </c>
      <c r="AS106" s="15">
        <f t="shared" si="314"/>
        <v>1</v>
      </c>
      <c r="AU106" s="11">
        <f t="shared" si="8"/>
        <v>0.003888240667</v>
      </c>
    </row>
    <row r="107" ht="15.75" customHeight="1">
      <c r="A107" s="16">
        <f t="shared" si="4"/>
        <v>0.6533465865</v>
      </c>
      <c r="B107" s="7">
        <f>(sum(AH107:AL107))*'Optimal Choice'!$B$28</f>
        <v>4533.5</v>
      </c>
      <c r="C107" s="11"/>
      <c r="D107" s="12"/>
      <c r="E107" s="12"/>
      <c r="F107" s="11"/>
      <c r="G107" s="11">
        <f>(T107/$B107)+(T107/('Optimal Choice'!$B$4*AO107))</f>
        <v>26.5606237</v>
      </c>
      <c r="H107" s="11">
        <f>(U107/$B107)+(U107/('Optimal Choice'!$B$9*AP107))</f>
        <v>28.19670893</v>
      </c>
      <c r="I107" s="11">
        <f>(V107/$B107)+(V107/('Optimal Choice'!$B$14*AQ107))</f>
        <v>30.24654284</v>
      </c>
      <c r="J107" s="11">
        <f>(W107/$B107)+(W107/('Optimal Choice'!$B$19*AR107))</f>
        <v>29.27356788</v>
      </c>
      <c r="K107" s="11">
        <f>(X107/$B107)+(X107/('Optimal Choice'!$B$24*AS107))</f>
        <v>79.37411713</v>
      </c>
      <c r="N107" s="12">
        <f t="shared" ref="N107:R107" si="315">if(min($G106:$K106)=G106,N106+1,N106)</f>
        <v>82</v>
      </c>
      <c r="O107" s="12">
        <f t="shared" si="315"/>
        <v>15</v>
      </c>
      <c r="P107" s="12">
        <f t="shared" si="315"/>
        <v>9</v>
      </c>
      <c r="Q107" s="12">
        <f t="shared" si="315"/>
        <v>0</v>
      </c>
      <c r="R107" s="12">
        <f t="shared" si="315"/>
        <v>0</v>
      </c>
      <c r="T107" s="13">
        <f> 'Optimal Choice'!$B$5*'Optimal Choice'!$B$6^(N107+1)</f>
        <v>1098.787067</v>
      </c>
      <c r="U107" s="13">
        <f> 'Optimal Choice'!$B$10*'Optimal Choice'!$B$11^(O107+1)</f>
        <v>561.4572524</v>
      </c>
      <c r="V107" s="13">
        <f> 'Optimal Choice'!$B$15*'Optimal Choice'!$B$16^(P107+1)</f>
        <v>2669.199346</v>
      </c>
      <c r="W107" s="13">
        <f> 'Optimal Choice'!$B$20*'Optimal Choice'!$B$21^(Q107+1)</f>
        <v>9763.2</v>
      </c>
      <c r="X107" s="13">
        <f> 'Optimal Choice'!$B$25*'Optimal Choice'!$B$26^(R107+1)</f>
        <v>116121.6</v>
      </c>
      <c r="AA107" s="12">
        <f t="shared" ref="AA107:AE107" si="316">if(isna(VLOOKUP(N107,$D$2:$E$10,2,false)),AA106, VLOOKUP(N107,$D$2:$E$10,2,false))</f>
        <v>25</v>
      </c>
      <c r="AB107" s="15">
        <f t="shared" si="316"/>
        <v>1</v>
      </c>
      <c r="AC107" s="15">
        <f t="shared" si="316"/>
        <v>1</v>
      </c>
      <c r="AD107" s="15">
        <f t="shared" si="316"/>
        <v>1</v>
      </c>
      <c r="AE107" s="15">
        <f t="shared" si="316"/>
        <v>1</v>
      </c>
      <c r="AH107" s="15">
        <f>N107*'Optimal Choice'!$B$4*AA107</f>
        <v>3423.5</v>
      </c>
      <c r="AI107" s="15">
        <f>O107*'Optimal Choice'!$B$9*AB107</f>
        <v>300</v>
      </c>
      <c r="AJ107" s="15">
        <f>P107*'Optimal Choice'!$B$14*AC107</f>
        <v>810</v>
      </c>
      <c r="AK107" s="15">
        <f>Q107*'Optimal Choice'!$B$19*AD107</f>
        <v>0</v>
      </c>
      <c r="AL107" s="15">
        <f>R107*'Optimal Choice'!$B$24*AE107</f>
        <v>0</v>
      </c>
      <c r="AO107" s="12">
        <f t="shared" ref="AO107:AS107" si="317">if(isna(VLOOKUP(N107+1,$D$2:$E$10,2,false)),AO106, VLOOKUP(N107+1,$D$2:$E$10,2,false))</f>
        <v>25</v>
      </c>
      <c r="AP107" s="15">
        <f t="shared" si="317"/>
        <v>1</v>
      </c>
      <c r="AQ107" s="15">
        <f t="shared" si="317"/>
        <v>1</v>
      </c>
      <c r="AR107" s="15">
        <f t="shared" si="317"/>
        <v>1</v>
      </c>
      <c r="AS107" s="15">
        <f t="shared" si="317"/>
        <v>1</v>
      </c>
      <c r="AU107" s="11">
        <f t="shared" si="8"/>
        <v>0.008782127209</v>
      </c>
    </row>
    <row r="108" ht="15.75" customHeight="1">
      <c r="A108" s="16">
        <f t="shared" si="4"/>
        <v>0.6573860963</v>
      </c>
      <c r="B108" s="7">
        <f>(sum(AH108:AL108))*'Optimal Choice'!$B$28</f>
        <v>4575.25</v>
      </c>
      <c r="C108" s="11"/>
      <c r="D108" s="12"/>
      <c r="E108" s="12"/>
      <c r="F108" s="11"/>
      <c r="G108" s="11">
        <f>(T108/$B108)+(T108/('Optimal Choice'!$B$4*AO108))</f>
        <v>28.41750087</v>
      </c>
      <c r="H108" s="11">
        <f>(U108/$B108)+(U108/('Optimal Choice'!$B$9*AP108))</f>
        <v>28.19557881</v>
      </c>
      <c r="I108" s="11">
        <f>(V108/$B108)+(V108/('Optimal Choice'!$B$14*AQ108))</f>
        <v>30.24117018</v>
      </c>
      <c r="J108" s="11">
        <f>(W108/$B108)+(W108/('Optimal Choice'!$B$19*AR108))</f>
        <v>29.25391618</v>
      </c>
      <c r="K108" s="11">
        <f>(X108/$B108)+(X108/('Optimal Choice'!$B$24*AS108))</f>
        <v>79.14038359</v>
      </c>
      <c r="N108" s="12">
        <f t="shared" ref="N108:R108" si="318">if(min($G107:$K107)=G107,N107+1,N107)</f>
        <v>83</v>
      </c>
      <c r="O108" s="12">
        <f t="shared" si="318"/>
        <v>15</v>
      </c>
      <c r="P108" s="12">
        <f t="shared" si="318"/>
        <v>9</v>
      </c>
      <c r="Q108" s="12">
        <f t="shared" si="318"/>
        <v>0</v>
      </c>
      <c r="R108" s="12">
        <f t="shared" si="318"/>
        <v>0</v>
      </c>
      <c r="T108" s="13">
        <f> 'Optimal Choice'!$B$5*'Optimal Choice'!$B$6^(N108+1)</f>
        <v>1175.702162</v>
      </c>
      <c r="U108" s="13">
        <f> 'Optimal Choice'!$B$10*'Optimal Choice'!$B$11^(O108+1)</f>
        <v>561.4572524</v>
      </c>
      <c r="V108" s="13">
        <f> 'Optimal Choice'!$B$15*'Optimal Choice'!$B$16^(P108+1)</f>
        <v>2669.199346</v>
      </c>
      <c r="W108" s="13">
        <f> 'Optimal Choice'!$B$20*'Optimal Choice'!$B$21^(Q108+1)</f>
        <v>9763.2</v>
      </c>
      <c r="X108" s="13">
        <f> 'Optimal Choice'!$B$25*'Optimal Choice'!$B$26^(R108+1)</f>
        <v>116121.6</v>
      </c>
      <c r="AA108" s="12">
        <f t="shared" ref="AA108:AE108" si="319">if(isna(VLOOKUP(N108,$D$2:$E$10,2,false)),AA107, VLOOKUP(N108,$D$2:$E$10,2,false))</f>
        <v>25</v>
      </c>
      <c r="AB108" s="15">
        <f t="shared" si="319"/>
        <v>1</v>
      </c>
      <c r="AC108" s="15">
        <f t="shared" si="319"/>
        <v>1</v>
      </c>
      <c r="AD108" s="15">
        <f t="shared" si="319"/>
        <v>1</v>
      </c>
      <c r="AE108" s="15">
        <f t="shared" si="319"/>
        <v>1</v>
      </c>
      <c r="AH108" s="15">
        <f>N108*'Optimal Choice'!$B$4*AA108</f>
        <v>3465.25</v>
      </c>
      <c r="AI108" s="15">
        <f>O108*'Optimal Choice'!$B$9*AB108</f>
        <v>300</v>
      </c>
      <c r="AJ108" s="15">
        <f>P108*'Optimal Choice'!$B$14*AC108</f>
        <v>810</v>
      </c>
      <c r="AK108" s="15">
        <f>Q108*'Optimal Choice'!$B$19*AD108</f>
        <v>0</v>
      </c>
      <c r="AL108" s="15">
        <f>R108*'Optimal Choice'!$B$24*AE108</f>
        <v>0</v>
      </c>
      <c r="AO108" s="12">
        <f t="shared" ref="AO108:AS108" si="320">if(isna(VLOOKUP(N108+1,$D$2:$E$10,2,false)),AO107, VLOOKUP(N108+1,$D$2:$E$10,2,false))</f>
        <v>25</v>
      </c>
      <c r="AP108" s="15">
        <f t="shared" si="320"/>
        <v>1</v>
      </c>
      <c r="AQ108" s="15">
        <f t="shared" si="320"/>
        <v>1</v>
      </c>
      <c r="AR108" s="15">
        <f t="shared" si="320"/>
        <v>1</v>
      </c>
      <c r="AS108" s="15">
        <f t="shared" si="320"/>
        <v>1</v>
      </c>
      <c r="AU108" s="11">
        <f t="shared" si="8"/>
        <v>0.004039509825</v>
      </c>
    </row>
    <row r="109" ht="15.75" customHeight="1">
      <c r="A109" s="16">
        <f t="shared" si="4"/>
        <v>0.6594313662</v>
      </c>
      <c r="B109" s="7">
        <f>(sum(AH109:AL109))*'Optimal Choice'!$B$28</f>
        <v>4595.25</v>
      </c>
      <c r="C109" s="11"/>
      <c r="D109" s="12"/>
      <c r="E109" s="12"/>
      <c r="F109" s="11"/>
      <c r="G109" s="11">
        <f>(T109/$B109)+(T109/('Optimal Choice'!$B$4*AO109))</f>
        <v>28.41638245</v>
      </c>
      <c r="H109" s="11">
        <f>(U109/$B109)+(U109/('Optimal Choice'!$B$9*AP109))</f>
        <v>32.42430142</v>
      </c>
      <c r="I109" s="11">
        <f>(V109/$B109)+(V109/('Optimal Choice'!$B$14*AQ109))</f>
        <v>30.23863104</v>
      </c>
      <c r="J109" s="11">
        <f>(W109/$B109)+(W109/('Optimal Choice'!$B$19*AR109))</f>
        <v>29.24462869</v>
      </c>
      <c r="K109" s="11">
        <f>(X109/$B109)+(X109/('Optimal Choice'!$B$24*AS109))</f>
        <v>79.02992003</v>
      </c>
      <c r="N109" s="12">
        <f t="shared" ref="N109:R109" si="321">if(min($G108:$K108)=G108,N108+1,N108)</f>
        <v>83</v>
      </c>
      <c r="O109" s="12">
        <f t="shared" si="321"/>
        <v>16</v>
      </c>
      <c r="P109" s="12">
        <f t="shared" si="321"/>
        <v>9</v>
      </c>
      <c r="Q109" s="12">
        <f t="shared" si="321"/>
        <v>0</v>
      </c>
      <c r="R109" s="12">
        <f t="shared" si="321"/>
        <v>0</v>
      </c>
      <c r="T109" s="13">
        <f> 'Optimal Choice'!$B$5*'Optimal Choice'!$B$6^(N109+1)</f>
        <v>1175.702162</v>
      </c>
      <c r="U109" s="13">
        <f> 'Optimal Choice'!$B$10*'Optimal Choice'!$B$11^(O109+1)</f>
        <v>645.6758403</v>
      </c>
      <c r="V109" s="13">
        <f> 'Optimal Choice'!$B$15*'Optimal Choice'!$B$16^(P109+1)</f>
        <v>2669.199346</v>
      </c>
      <c r="W109" s="13">
        <f> 'Optimal Choice'!$B$20*'Optimal Choice'!$B$21^(Q109+1)</f>
        <v>9763.2</v>
      </c>
      <c r="X109" s="13">
        <f> 'Optimal Choice'!$B$25*'Optimal Choice'!$B$26^(R109+1)</f>
        <v>116121.6</v>
      </c>
      <c r="AA109" s="12">
        <f t="shared" ref="AA109:AE109" si="322">if(isna(VLOOKUP(N109,$D$2:$E$10,2,false)),AA108, VLOOKUP(N109,$D$2:$E$10,2,false))</f>
        <v>25</v>
      </c>
      <c r="AB109" s="15">
        <f t="shared" si="322"/>
        <v>1</v>
      </c>
      <c r="AC109" s="15">
        <f t="shared" si="322"/>
        <v>1</v>
      </c>
      <c r="AD109" s="15">
        <f t="shared" si="322"/>
        <v>1</v>
      </c>
      <c r="AE109" s="15">
        <f t="shared" si="322"/>
        <v>1</v>
      </c>
      <c r="AH109" s="15">
        <f>N109*'Optimal Choice'!$B$4*AA109</f>
        <v>3465.25</v>
      </c>
      <c r="AI109" s="15">
        <f>O109*'Optimal Choice'!$B$9*AB109</f>
        <v>320</v>
      </c>
      <c r="AJ109" s="15">
        <f>P109*'Optimal Choice'!$B$14*AC109</f>
        <v>810</v>
      </c>
      <c r="AK109" s="15">
        <f>Q109*'Optimal Choice'!$B$19*AD109</f>
        <v>0</v>
      </c>
      <c r="AL109" s="15">
        <f>R109*'Optimal Choice'!$B$24*AE109</f>
        <v>0</v>
      </c>
      <c r="AO109" s="12">
        <f t="shared" ref="AO109:AS109" si="323">if(isna(VLOOKUP(N109+1,$D$2:$E$10,2,false)),AO108, VLOOKUP(N109+1,$D$2:$E$10,2,false))</f>
        <v>25</v>
      </c>
      <c r="AP109" s="15">
        <f t="shared" si="323"/>
        <v>1</v>
      </c>
      <c r="AQ109" s="15">
        <f t="shared" si="323"/>
        <v>1</v>
      </c>
      <c r="AR109" s="15">
        <f t="shared" si="323"/>
        <v>1</v>
      </c>
      <c r="AS109" s="15">
        <f t="shared" si="323"/>
        <v>1</v>
      </c>
      <c r="AU109" s="11">
        <f t="shared" si="8"/>
        <v>0.002045269848</v>
      </c>
    </row>
    <row r="110" ht="15.75" customHeight="1">
      <c r="A110" s="16">
        <f t="shared" si="4"/>
        <v>0.6636955598</v>
      </c>
      <c r="B110" s="7">
        <f>(sum(AH110:AL110))*'Optimal Choice'!$B$28</f>
        <v>4637</v>
      </c>
      <c r="C110" s="11"/>
      <c r="D110" s="12"/>
      <c r="E110" s="12"/>
      <c r="F110" s="11"/>
      <c r="G110" s="11">
        <f>(T110/$B110)+(T110/('Optimal Choice'!$B$4*AO110))</f>
        <v>30.40306437</v>
      </c>
      <c r="H110" s="11">
        <f>(U110/$B110)+(U110/('Optimal Choice'!$B$9*AP110))</f>
        <v>32.42303632</v>
      </c>
      <c r="I110" s="11">
        <f>(V110/$B110)+(V110/('Optimal Choice'!$B$14*AQ110))</f>
        <v>30.23340117</v>
      </c>
      <c r="J110" s="11">
        <f>(W110/$B110)+(W110/('Optimal Choice'!$B$19*AR110))</f>
        <v>29.22549925</v>
      </c>
      <c r="K110" s="11">
        <f>(X110/$B110)+(X110/('Optimal Choice'!$B$24*AS110))</f>
        <v>78.8023981</v>
      </c>
      <c r="N110" s="12">
        <f t="shared" ref="N110:R110" si="324">if(min($G109:$K109)=G109,N109+1,N109)</f>
        <v>84</v>
      </c>
      <c r="O110" s="12">
        <f t="shared" si="324"/>
        <v>16</v>
      </c>
      <c r="P110" s="12">
        <f t="shared" si="324"/>
        <v>9</v>
      </c>
      <c r="Q110" s="12">
        <f t="shared" si="324"/>
        <v>0</v>
      </c>
      <c r="R110" s="12">
        <f t="shared" si="324"/>
        <v>0</v>
      </c>
      <c r="T110" s="13">
        <f> 'Optimal Choice'!$B$5*'Optimal Choice'!$B$6^(N110+1)</f>
        <v>1258.001314</v>
      </c>
      <c r="U110" s="13">
        <f> 'Optimal Choice'!$B$10*'Optimal Choice'!$B$11^(O110+1)</f>
        <v>645.6758403</v>
      </c>
      <c r="V110" s="13">
        <f> 'Optimal Choice'!$B$15*'Optimal Choice'!$B$16^(P110+1)</f>
        <v>2669.199346</v>
      </c>
      <c r="W110" s="13">
        <f> 'Optimal Choice'!$B$20*'Optimal Choice'!$B$21^(Q110+1)</f>
        <v>9763.2</v>
      </c>
      <c r="X110" s="13">
        <f> 'Optimal Choice'!$B$25*'Optimal Choice'!$B$26^(R110+1)</f>
        <v>116121.6</v>
      </c>
      <c r="AA110" s="12">
        <f t="shared" ref="AA110:AE110" si="325">if(isna(VLOOKUP(N110,$D$2:$E$10,2,false)),AA109, VLOOKUP(N110,$D$2:$E$10,2,false))</f>
        <v>25</v>
      </c>
      <c r="AB110" s="15">
        <f t="shared" si="325"/>
        <v>1</v>
      </c>
      <c r="AC110" s="15">
        <f t="shared" si="325"/>
        <v>1</v>
      </c>
      <c r="AD110" s="15">
        <f t="shared" si="325"/>
        <v>1</v>
      </c>
      <c r="AE110" s="15">
        <f t="shared" si="325"/>
        <v>1</v>
      </c>
      <c r="AH110" s="15">
        <f>N110*'Optimal Choice'!$B$4*AA110</f>
        <v>3507</v>
      </c>
      <c r="AI110" s="15">
        <f>O110*'Optimal Choice'!$B$9*AB110</f>
        <v>320</v>
      </c>
      <c r="AJ110" s="15">
        <f>P110*'Optimal Choice'!$B$14*AC110</f>
        <v>810</v>
      </c>
      <c r="AK110" s="15">
        <f>Q110*'Optimal Choice'!$B$19*AD110</f>
        <v>0</v>
      </c>
      <c r="AL110" s="15">
        <f>R110*'Optimal Choice'!$B$24*AE110</f>
        <v>0</v>
      </c>
      <c r="AO110" s="12">
        <f t="shared" ref="AO110:AS110" si="326">if(isna(VLOOKUP(N110+1,$D$2:$E$10,2,false)),AO109, VLOOKUP(N110+1,$D$2:$E$10,2,false))</f>
        <v>25</v>
      </c>
      <c r="AP110" s="15">
        <f t="shared" si="326"/>
        <v>1</v>
      </c>
      <c r="AQ110" s="15">
        <f t="shared" si="326"/>
        <v>1</v>
      </c>
      <c r="AR110" s="15">
        <f t="shared" si="326"/>
        <v>1</v>
      </c>
      <c r="AS110" s="15">
        <f t="shared" si="326"/>
        <v>1</v>
      </c>
      <c r="AU110" s="11">
        <f t="shared" si="8"/>
        <v>0.004264193686</v>
      </c>
    </row>
    <row r="111" ht="15.75" customHeight="1">
      <c r="A111" s="16">
        <f t="shared" si="4"/>
        <v>0.6987872139</v>
      </c>
      <c r="B111" s="7">
        <f>(sum(AH111:AL111))*'Optimal Choice'!$B$28</f>
        <v>4997</v>
      </c>
      <c r="C111" s="11"/>
      <c r="D111" s="12"/>
      <c r="E111" s="12"/>
      <c r="F111" s="11"/>
      <c r="G111" s="11">
        <f>(T111/$B111)+(T111/('Optimal Choice'!$B$4*AO111))</f>
        <v>30.3835193</v>
      </c>
      <c r="H111" s="11">
        <f>(U111/$B111)+(U111/('Optimal Choice'!$B$9*AP111))</f>
        <v>32.41300471</v>
      </c>
      <c r="I111" s="11">
        <f>(V111/$B111)+(V111/('Optimal Choice'!$B$14*AQ111))</f>
        <v>30.19193088</v>
      </c>
      <c r="J111" s="11">
        <f>(W111/$B111)+(W111/('Optimal Choice'!$B$19*AR111))</f>
        <v>32.85340788</v>
      </c>
      <c r="K111" s="11">
        <f>(X111/$B111)+(X111/('Optimal Choice'!$B$24*AS111))</f>
        <v>76.99826296</v>
      </c>
      <c r="N111" s="12">
        <f t="shared" ref="N111:R111" si="327">if(min($G110:$K110)=G110,N110+1,N110)</f>
        <v>84</v>
      </c>
      <c r="O111" s="12">
        <f t="shared" si="327"/>
        <v>16</v>
      </c>
      <c r="P111" s="12">
        <f t="shared" si="327"/>
        <v>9</v>
      </c>
      <c r="Q111" s="12">
        <f t="shared" si="327"/>
        <v>1</v>
      </c>
      <c r="R111" s="12">
        <f t="shared" si="327"/>
        <v>0</v>
      </c>
      <c r="T111" s="13">
        <f> 'Optimal Choice'!$B$5*'Optimal Choice'!$B$6^(N111+1)</f>
        <v>1258.001314</v>
      </c>
      <c r="U111" s="13">
        <f> 'Optimal Choice'!$B$10*'Optimal Choice'!$B$11^(O111+1)</f>
        <v>645.6758403</v>
      </c>
      <c r="V111" s="13">
        <f> 'Optimal Choice'!$B$15*'Optimal Choice'!$B$16^(P111+1)</f>
        <v>2669.199346</v>
      </c>
      <c r="W111" s="13">
        <f> 'Optimal Choice'!$B$20*'Optimal Choice'!$B$21^(Q111+1)</f>
        <v>11032.416</v>
      </c>
      <c r="X111" s="13">
        <f> 'Optimal Choice'!$B$25*'Optimal Choice'!$B$26^(R111+1)</f>
        <v>116121.6</v>
      </c>
      <c r="AA111" s="12">
        <f t="shared" ref="AA111:AE111" si="328">if(isna(VLOOKUP(N111,$D$2:$E$10,2,false)),AA110, VLOOKUP(N111,$D$2:$E$10,2,false))</f>
        <v>25</v>
      </c>
      <c r="AB111" s="15">
        <f t="shared" si="328"/>
        <v>1</v>
      </c>
      <c r="AC111" s="15">
        <f t="shared" si="328"/>
        <v>1</v>
      </c>
      <c r="AD111" s="15">
        <f t="shared" si="328"/>
        <v>1</v>
      </c>
      <c r="AE111" s="15">
        <f t="shared" si="328"/>
        <v>1</v>
      </c>
      <c r="AH111" s="15">
        <f>N111*'Optimal Choice'!$B$4*AA111</f>
        <v>3507</v>
      </c>
      <c r="AI111" s="15">
        <f>O111*'Optimal Choice'!$B$9*AB111</f>
        <v>320</v>
      </c>
      <c r="AJ111" s="15">
        <f>P111*'Optimal Choice'!$B$14*AC111</f>
        <v>810</v>
      </c>
      <c r="AK111" s="15">
        <f>Q111*'Optimal Choice'!$B$19*AD111</f>
        <v>360</v>
      </c>
      <c r="AL111" s="15">
        <f>R111*'Optimal Choice'!$B$24*AE111</f>
        <v>0</v>
      </c>
      <c r="AO111" s="12">
        <f t="shared" ref="AO111:AS111" si="329">if(isna(VLOOKUP(N111+1,$D$2:$E$10,2,false)),AO110, VLOOKUP(N111+1,$D$2:$E$10,2,false))</f>
        <v>25</v>
      </c>
      <c r="AP111" s="15">
        <f t="shared" si="329"/>
        <v>1</v>
      </c>
      <c r="AQ111" s="15">
        <f t="shared" si="329"/>
        <v>1</v>
      </c>
      <c r="AR111" s="15">
        <f t="shared" si="329"/>
        <v>1</v>
      </c>
      <c r="AS111" s="15">
        <f t="shared" si="329"/>
        <v>1</v>
      </c>
      <c r="AU111" s="11">
        <f t="shared" si="8"/>
        <v>0.03509165409</v>
      </c>
    </row>
    <row r="112" ht="15.75" customHeight="1">
      <c r="A112" s="16">
        <f t="shared" si="4"/>
        <v>0.7076898867</v>
      </c>
      <c r="B112" s="7">
        <f>(sum(AH112:AL112))*'Optimal Choice'!$B$28</f>
        <v>5087</v>
      </c>
      <c r="C112" s="11"/>
      <c r="D112" s="12"/>
      <c r="E112" s="12"/>
      <c r="F112" s="11"/>
      <c r="G112" s="11">
        <f>(T112/$B112)+(T112/('Optimal Choice'!$B$4*AO112))</f>
        <v>30.37906528</v>
      </c>
      <c r="H112" s="11">
        <f>(U112/$B112)+(U112/('Optimal Choice'!$B$9*AP112))</f>
        <v>32.41071866</v>
      </c>
      <c r="I112" s="11">
        <f>(V112/$B112)+(V112/('Optimal Choice'!$B$14*AQ112))</f>
        <v>34.40802769</v>
      </c>
      <c r="J112" s="11">
        <f>(W112/$B112)+(W112/('Optimal Choice'!$B$19*AR112))</f>
        <v>32.814347</v>
      </c>
      <c r="K112" s="11">
        <f>(X112/$B112)+(X112/('Optimal Choice'!$B$24*AS112))</f>
        <v>76.58712797</v>
      </c>
      <c r="N112" s="12">
        <f t="shared" ref="N112:R112" si="330">if(min($G111:$K111)=G111,N111+1,N111)</f>
        <v>84</v>
      </c>
      <c r="O112" s="12">
        <f t="shared" si="330"/>
        <v>16</v>
      </c>
      <c r="P112" s="12">
        <f t="shared" si="330"/>
        <v>10</v>
      </c>
      <c r="Q112" s="12">
        <f t="shared" si="330"/>
        <v>1</v>
      </c>
      <c r="R112" s="12">
        <f t="shared" si="330"/>
        <v>0</v>
      </c>
      <c r="T112" s="13">
        <f> 'Optimal Choice'!$B$5*'Optimal Choice'!$B$6^(N112+1)</f>
        <v>1258.001314</v>
      </c>
      <c r="U112" s="13">
        <f> 'Optimal Choice'!$B$10*'Optimal Choice'!$B$11^(O112+1)</f>
        <v>645.6758403</v>
      </c>
      <c r="V112" s="13">
        <f> 'Optimal Choice'!$B$15*'Optimal Choice'!$B$16^(P112+1)</f>
        <v>3042.887255</v>
      </c>
      <c r="W112" s="13">
        <f> 'Optimal Choice'!$B$20*'Optimal Choice'!$B$21^(Q112+1)</f>
        <v>11032.416</v>
      </c>
      <c r="X112" s="13">
        <f> 'Optimal Choice'!$B$25*'Optimal Choice'!$B$26^(R112+1)</f>
        <v>116121.6</v>
      </c>
      <c r="AA112" s="12">
        <f t="shared" ref="AA112:AE112" si="331">if(isna(VLOOKUP(N112,$D$2:$E$10,2,false)),AA111, VLOOKUP(N112,$D$2:$E$10,2,false))</f>
        <v>25</v>
      </c>
      <c r="AB112" s="15">
        <f t="shared" si="331"/>
        <v>1</v>
      </c>
      <c r="AC112" s="15">
        <f t="shared" si="331"/>
        <v>1</v>
      </c>
      <c r="AD112" s="15">
        <f t="shared" si="331"/>
        <v>1</v>
      </c>
      <c r="AE112" s="15">
        <f t="shared" si="331"/>
        <v>1</v>
      </c>
      <c r="AH112" s="15">
        <f>N112*'Optimal Choice'!$B$4*AA112</f>
        <v>3507</v>
      </c>
      <c r="AI112" s="15">
        <f>O112*'Optimal Choice'!$B$9*AB112</f>
        <v>320</v>
      </c>
      <c r="AJ112" s="15">
        <f>P112*'Optimal Choice'!$B$14*AC112</f>
        <v>900</v>
      </c>
      <c r="AK112" s="15">
        <f>Q112*'Optimal Choice'!$B$19*AD112</f>
        <v>360</v>
      </c>
      <c r="AL112" s="15">
        <f>R112*'Optimal Choice'!$B$24*AE112</f>
        <v>0</v>
      </c>
      <c r="AO112" s="12">
        <f t="shared" ref="AO112:AS112" si="332">if(isna(VLOOKUP(N112+1,$D$2:$E$10,2,false)),AO111, VLOOKUP(N112+1,$D$2:$E$10,2,false))</f>
        <v>25</v>
      </c>
      <c r="AP112" s="15">
        <f t="shared" si="332"/>
        <v>1</v>
      </c>
      <c r="AQ112" s="15">
        <f t="shared" si="332"/>
        <v>1</v>
      </c>
      <c r="AR112" s="15">
        <f t="shared" si="332"/>
        <v>1</v>
      </c>
      <c r="AS112" s="15">
        <f t="shared" si="332"/>
        <v>1</v>
      </c>
      <c r="AU112" s="11">
        <f t="shared" si="8"/>
        <v>0.008902672758</v>
      </c>
    </row>
    <row r="113" ht="15.75" customHeight="1">
      <c r="A113" s="16">
        <f t="shared" si="4"/>
        <v>0.7118115082</v>
      </c>
      <c r="B113" s="7">
        <f>(sum(AH113:AL113))*'Optimal Choice'!$B$28</f>
        <v>5128.75</v>
      </c>
      <c r="C113" s="11"/>
      <c r="D113" s="12"/>
      <c r="E113" s="12"/>
      <c r="F113" s="11"/>
      <c r="G113" s="11">
        <f>(T113/$B113)+(T113/('Optimal Choice'!$B$4*AO113))</f>
        <v>32.50344584</v>
      </c>
      <c r="H113" s="11">
        <f>(U113/$B113)+(U113/('Optimal Choice'!$B$9*AP113))</f>
        <v>32.40968543</v>
      </c>
      <c r="I113" s="11">
        <f>(V113/$B113)+(V113/('Optimal Choice'!$B$14*AQ113))</f>
        <v>34.40315836</v>
      </c>
      <c r="J113" s="11">
        <f>(W113/$B113)+(W113/('Optimal Choice'!$B$19*AR113))</f>
        <v>32.79669257</v>
      </c>
      <c r="K113" s="11">
        <f>(X113/$B113)+(X113/('Optimal Choice'!$B$24*AS113))</f>
        <v>76.40130636</v>
      </c>
      <c r="N113" s="12">
        <f t="shared" ref="N113:R113" si="333">if(min($G112:$K112)=G112,N112+1,N112)</f>
        <v>85</v>
      </c>
      <c r="O113" s="12">
        <f t="shared" si="333"/>
        <v>16</v>
      </c>
      <c r="P113" s="12">
        <f t="shared" si="333"/>
        <v>10</v>
      </c>
      <c r="Q113" s="12">
        <f t="shared" si="333"/>
        <v>1</v>
      </c>
      <c r="R113" s="12">
        <f t="shared" si="333"/>
        <v>0</v>
      </c>
      <c r="T113" s="13">
        <f> 'Optimal Choice'!$B$5*'Optimal Choice'!$B$6^(N113+1)</f>
        <v>1346.061405</v>
      </c>
      <c r="U113" s="13">
        <f> 'Optimal Choice'!$B$10*'Optimal Choice'!$B$11^(O113+1)</f>
        <v>645.6758403</v>
      </c>
      <c r="V113" s="13">
        <f> 'Optimal Choice'!$B$15*'Optimal Choice'!$B$16^(P113+1)</f>
        <v>3042.887255</v>
      </c>
      <c r="W113" s="13">
        <f> 'Optimal Choice'!$B$20*'Optimal Choice'!$B$21^(Q113+1)</f>
        <v>11032.416</v>
      </c>
      <c r="X113" s="13">
        <f> 'Optimal Choice'!$B$25*'Optimal Choice'!$B$26^(R113+1)</f>
        <v>116121.6</v>
      </c>
      <c r="AA113" s="12">
        <f t="shared" ref="AA113:AE113" si="334">if(isna(VLOOKUP(N113,$D$2:$E$10,2,false)),AA112, VLOOKUP(N113,$D$2:$E$10,2,false))</f>
        <v>25</v>
      </c>
      <c r="AB113" s="15">
        <f t="shared" si="334"/>
        <v>1</v>
      </c>
      <c r="AC113" s="15">
        <f t="shared" si="334"/>
        <v>1</v>
      </c>
      <c r="AD113" s="15">
        <f t="shared" si="334"/>
        <v>1</v>
      </c>
      <c r="AE113" s="15">
        <f t="shared" si="334"/>
        <v>1</v>
      </c>
      <c r="AH113" s="15">
        <f>N113*'Optimal Choice'!$B$4*AA113</f>
        <v>3548.75</v>
      </c>
      <c r="AI113" s="15">
        <f>O113*'Optimal Choice'!$B$9*AB113</f>
        <v>320</v>
      </c>
      <c r="AJ113" s="15">
        <f>P113*'Optimal Choice'!$B$14*AC113</f>
        <v>900</v>
      </c>
      <c r="AK113" s="15">
        <f>Q113*'Optimal Choice'!$B$19*AD113</f>
        <v>360</v>
      </c>
      <c r="AL113" s="15">
        <f>R113*'Optimal Choice'!$B$24*AE113</f>
        <v>0</v>
      </c>
      <c r="AO113" s="12">
        <f t="shared" ref="AO113:AS113" si="335">if(isna(VLOOKUP(N113+1,$D$2:$E$10,2,false)),AO112, VLOOKUP(N113+1,$D$2:$E$10,2,false))</f>
        <v>25</v>
      </c>
      <c r="AP113" s="15">
        <f t="shared" si="335"/>
        <v>1</v>
      </c>
      <c r="AQ113" s="15">
        <f t="shared" si="335"/>
        <v>1</v>
      </c>
      <c r="AR113" s="15">
        <f t="shared" si="335"/>
        <v>1</v>
      </c>
      <c r="AS113" s="15">
        <f t="shared" si="335"/>
        <v>1</v>
      </c>
      <c r="AU113" s="11">
        <f t="shared" si="8"/>
        <v>0.004121621498</v>
      </c>
    </row>
    <row r="114" ht="15.75" customHeight="1">
      <c r="A114" s="16">
        <f t="shared" si="4"/>
        <v>0.7139097317</v>
      </c>
      <c r="B114" s="7">
        <f>(sum(AH114:AL114))*'Optimal Choice'!$B$28</f>
        <v>5148.75</v>
      </c>
      <c r="C114" s="11"/>
      <c r="D114" s="12"/>
      <c r="E114" s="12"/>
      <c r="F114" s="11"/>
      <c r="G114" s="11">
        <f>(T114/$B114)+(T114/('Optimal Choice'!$B$4*AO114))</f>
        <v>32.50242635</v>
      </c>
      <c r="H114" s="11">
        <f>(U114/$B114)+(U114/('Optimal Choice'!$B$9*AP114))</f>
        <v>37.27057586</v>
      </c>
      <c r="I114" s="11">
        <f>(V114/$B114)+(V114/('Optimal Choice'!$B$14*AQ114))</f>
        <v>34.40085372</v>
      </c>
      <c r="J114" s="11">
        <f>(W114/$B114)+(W114/('Optimal Choice'!$B$19*AR114))</f>
        <v>32.78833678</v>
      </c>
      <c r="K114" s="11">
        <f>(X114/$B114)+(X114/('Optimal Choice'!$B$24*AS114))</f>
        <v>76.31335761</v>
      </c>
      <c r="N114" s="12">
        <f t="shared" ref="N114:R114" si="336">if(min($G113:$K113)=G113,N113+1,N113)</f>
        <v>85</v>
      </c>
      <c r="O114" s="12">
        <f t="shared" si="336"/>
        <v>17</v>
      </c>
      <c r="P114" s="12">
        <f t="shared" si="336"/>
        <v>10</v>
      </c>
      <c r="Q114" s="12">
        <f t="shared" si="336"/>
        <v>1</v>
      </c>
      <c r="R114" s="12">
        <f t="shared" si="336"/>
        <v>0</v>
      </c>
      <c r="T114" s="13">
        <f> 'Optimal Choice'!$B$5*'Optimal Choice'!$B$6^(N114+1)</f>
        <v>1346.061405</v>
      </c>
      <c r="U114" s="13">
        <f> 'Optimal Choice'!$B$10*'Optimal Choice'!$B$11^(O114+1)</f>
        <v>742.5272163</v>
      </c>
      <c r="V114" s="13">
        <f> 'Optimal Choice'!$B$15*'Optimal Choice'!$B$16^(P114+1)</f>
        <v>3042.887255</v>
      </c>
      <c r="W114" s="13">
        <f> 'Optimal Choice'!$B$20*'Optimal Choice'!$B$21^(Q114+1)</f>
        <v>11032.416</v>
      </c>
      <c r="X114" s="13">
        <f> 'Optimal Choice'!$B$25*'Optimal Choice'!$B$26^(R114+1)</f>
        <v>116121.6</v>
      </c>
      <c r="AA114" s="12">
        <f t="shared" ref="AA114:AE114" si="337">if(isna(VLOOKUP(N114,$D$2:$E$10,2,false)),AA113, VLOOKUP(N114,$D$2:$E$10,2,false))</f>
        <v>25</v>
      </c>
      <c r="AB114" s="15">
        <f t="shared" si="337"/>
        <v>1</v>
      </c>
      <c r="AC114" s="15">
        <f t="shared" si="337"/>
        <v>1</v>
      </c>
      <c r="AD114" s="15">
        <f t="shared" si="337"/>
        <v>1</v>
      </c>
      <c r="AE114" s="15">
        <f t="shared" si="337"/>
        <v>1</v>
      </c>
      <c r="AH114" s="15">
        <f>N114*'Optimal Choice'!$B$4*AA114</f>
        <v>3548.75</v>
      </c>
      <c r="AI114" s="15">
        <f>O114*'Optimal Choice'!$B$9*AB114</f>
        <v>340</v>
      </c>
      <c r="AJ114" s="15">
        <f>P114*'Optimal Choice'!$B$14*AC114</f>
        <v>900</v>
      </c>
      <c r="AK114" s="15">
        <f>Q114*'Optimal Choice'!$B$19*AD114</f>
        <v>360</v>
      </c>
      <c r="AL114" s="15">
        <f>R114*'Optimal Choice'!$B$24*AE114</f>
        <v>0</v>
      </c>
      <c r="AO114" s="12">
        <f t="shared" ref="AO114:AS114" si="338">if(isna(VLOOKUP(N114+1,$D$2:$E$10,2,false)),AO113, VLOOKUP(N114+1,$D$2:$E$10,2,false))</f>
        <v>25</v>
      </c>
      <c r="AP114" s="15">
        <f t="shared" si="338"/>
        <v>1</v>
      </c>
      <c r="AQ114" s="15">
        <f t="shared" si="338"/>
        <v>1</v>
      </c>
      <c r="AR114" s="15">
        <f t="shared" si="338"/>
        <v>1</v>
      </c>
      <c r="AS114" s="15">
        <f t="shared" si="338"/>
        <v>1</v>
      </c>
      <c r="AU114" s="11">
        <f t="shared" si="8"/>
        <v>0.002098223545</v>
      </c>
    </row>
    <row r="115" ht="15.75" customHeight="1">
      <c r="A115" s="16">
        <f t="shared" si="4"/>
        <v>0.7182669751</v>
      </c>
      <c r="B115" s="7">
        <f>(sum(AH115:AL115))*'Optimal Choice'!$B$28</f>
        <v>5190.5</v>
      </c>
      <c r="C115" s="11"/>
      <c r="D115" s="12"/>
      <c r="E115" s="12"/>
      <c r="F115" s="11"/>
      <c r="G115" s="11">
        <f>(T115/$B115)+(T115/('Optimal Choice'!$B$4*AO115))</f>
        <v>34.77534613</v>
      </c>
      <c r="H115" s="11">
        <f>(U115/$B115)+(U115/('Optimal Choice'!$B$9*AP115))</f>
        <v>37.26941586</v>
      </c>
      <c r="I115" s="11">
        <f>(V115/$B115)+(V115/('Optimal Choice'!$B$14*AQ115))</f>
        <v>34.39610003</v>
      </c>
      <c r="J115" s="11">
        <f>(W115/$B115)+(W115/('Optimal Choice'!$B$19*AR115))</f>
        <v>32.77110159</v>
      </c>
      <c r="K115" s="11">
        <f>(X115/$B115)+(X115/('Optimal Choice'!$B$24*AS115))</f>
        <v>76.13194875</v>
      </c>
      <c r="N115" s="12">
        <f t="shared" ref="N115:R115" si="339">if(min($G114:$K114)=G114,N114+1,N114)</f>
        <v>86</v>
      </c>
      <c r="O115" s="12">
        <f t="shared" si="339"/>
        <v>17</v>
      </c>
      <c r="P115" s="12">
        <f t="shared" si="339"/>
        <v>10</v>
      </c>
      <c r="Q115" s="12">
        <f t="shared" si="339"/>
        <v>1</v>
      </c>
      <c r="R115" s="12">
        <f t="shared" si="339"/>
        <v>0</v>
      </c>
      <c r="T115" s="13">
        <f> 'Optimal Choice'!$B$5*'Optimal Choice'!$B$6^(N115+1)</f>
        <v>1440.285704</v>
      </c>
      <c r="U115" s="13">
        <f> 'Optimal Choice'!$B$10*'Optimal Choice'!$B$11^(O115+1)</f>
        <v>742.5272163</v>
      </c>
      <c r="V115" s="13">
        <f> 'Optimal Choice'!$B$15*'Optimal Choice'!$B$16^(P115+1)</f>
        <v>3042.887255</v>
      </c>
      <c r="W115" s="13">
        <f> 'Optimal Choice'!$B$20*'Optimal Choice'!$B$21^(Q115+1)</f>
        <v>11032.416</v>
      </c>
      <c r="X115" s="13">
        <f> 'Optimal Choice'!$B$25*'Optimal Choice'!$B$26^(R115+1)</f>
        <v>116121.6</v>
      </c>
      <c r="AA115" s="12">
        <f t="shared" ref="AA115:AE115" si="340">if(isna(VLOOKUP(N115,$D$2:$E$10,2,false)),AA114, VLOOKUP(N115,$D$2:$E$10,2,false))</f>
        <v>25</v>
      </c>
      <c r="AB115" s="15">
        <f t="shared" si="340"/>
        <v>1</v>
      </c>
      <c r="AC115" s="15">
        <f t="shared" si="340"/>
        <v>1</v>
      </c>
      <c r="AD115" s="15">
        <f t="shared" si="340"/>
        <v>1</v>
      </c>
      <c r="AE115" s="15">
        <f t="shared" si="340"/>
        <v>1</v>
      </c>
      <c r="AH115" s="15">
        <f>N115*'Optimal Choice'!$B$4*AA115</f>
        <v>3590.5</v>
      </c>
      <c r="AI115" s="15">
        <f>O115*'Optimal Choice'!$B$9*AB115</f>
        <v>340</v>
      </c>
      <c r="AJ115" s="15">
        <f>P115*'Optimal Choice'!$B$14*AC115</f>
        <v>900</v>
      </c>
      <c r="AK115" s="15">
        <f>Q115*'Optimal Choice'!$B$19*AD115</f>
        <v>360</v>
      </c>
      <c r="AL115" s="15">
        <f>R115*'Optimal Choice'!$B$24*AE115</f>
        <v>0</v>
      </c>
      <c r="AO115" s="12">
        <f t="shared" ref="AO115:AS115" si="341">if(isna(VLOOKUP(N115+1,$D$2:$E$10,2,false)),AO114, VLOOKUP(N115+1,$D$2:$E$10,2,false))</f>
        <v>25</v>
      </c>
      <c r="AP115" s="15">
        <f t="shared" si="341"/>
        <v>1</v>
      </c>
      <c r="AQ115" s="15">
        <f t="shared" si="341"/>
        <v>1</v>
      </c>
      <c r="AR115" s="15">
        <f t="shared" si="341"/>
        <v>1</v>
      </c>
      <c r="AS115" s="15">
        <f t="shared" si="341"/>
        <v>1</v>
      </c>
      <c r="AU115" s="11">
        <f t="shared" si="8"/>
        <v>0.004357243362</v>
      </c>
    </row>
    <row r="116" ht="15.75" customHeight="1">
      <c r="A116" s="16">
        <f t="shared" si="4"/>
        <v>0.7536920016</v>
      </c>
      <c r="B116" s="7">
        <f>(sum(AH116:AL116))*'Optimal Choice'!$B$28</f>
        <v>5550.5</v>
      </c>
      <c r="C116" s="11"/>
      <c r="D116" s="12"/>
      <c r="E116" s="12"/>
      <c r="F116" s="11"/>
      <c r="G116" s="11">
        <f>(T116/$B116)+(T116/('Optimal Choice'!$B$4*AO116))</f>
        <v>34.75734873</v>
      </c>
      <c r="H116" s="11">
        <f>(U116/$B116)+(U116/('Optimal Choice'!$B$9*AP116))</f>
        <v>37.26013745</v>
      </c>
      <c r="I116" s="11">
        <f>(V116/$B116)+(V116/('Optimal Choice'!$B$14*AQ116))</f>
        <v>34.35807697</v>
      </c>
      <c r="J116" s="11">
        <f>(W116/$B116)+(W116/('Optimal Choice'!$B$19*AR116))</f>
        <v>36.87556531</v>
      </c>
      <c r="K116" s="11">
        <f>(X116/$B116)+(X116/('Optimal Choice'!$B$24*AS116))</f>
        <v>74.68092604</v>
      </c>
      <c r="N116" s="12">
        <f t="shared" ref="N116:R116" si="342">if(min($G115:$K115)=G115,N115+1,N115)</f>
        <v>86</v>
      </c>
      <c r="O116" s="12">
        <f t="shared" si="342"/>
        <v>17</v>
      </c>
      <c r="P116" s="12">
        <f t="shared" si="342"/>
        <v>10</v>
      </c>
      <c r="Q116" s="12">
        <f t="shared" si="342"/>
        <v>2</v>
      </c>
      <c r="R116" s="12">
        <f t="shared" si="342"/>
        <v>0</v>
      </c>
      <c r="T116" s="13">
        <f> 'Optimal Choice'!$B$5*'Optimal Choice'!$B$6^(N116+1)</f>
        <v>1440.285704</v>
      </c>
      <c r="U116" s="13">
        <f> 'Optimal Choice'!$B$10*'Optimal Choice'!$B$11^(O116+1)</f>
        <v>742.5272163</v>
      </c>
      <c r="V116" s="13">
        <f> 'Optimal Choice'!$B$15*'Optimal Choice'!$B$16^(P116+1)</f>
        <v>3042.887255</v>
      </c>
      <c r="W116" s="13">
        <f> 'Optimal Choice'!$B$20*'Optimal Choice'!$B$21^(Q116+1)</f>
        <v>12466.63008</v>
      </c>
      <c r="X116" s="13">
        <f> 'Optimal Choice'!$B$25*'Optimal Choice'!$B$26^(R116+1)</f>
        <v>116121.6</v>
      </c>
      <c r="AA116" s="12">
        <f t="shared" ref="AA116:AE116" si="343">if(isna(VLOOKUP(N116,$D$2:$E$10,2,false)),AA115, VLOOKUP(N116,$D$2:$E$10,2,false))</f>
        <v>25</v>
      </c>
      <c r="AB116" s="15">
        <f t="shared" si="343"/>
        <v>1</v>
      </c>
      <c r="AC116" s="15">
        <f t="shared" si="343"/>
        <v>1</v>
      </c>
      <c r="AD116" s="15">
        <f t="shared" si="343"/>
        <v>1</v>
      </c>
      <c r="AE116" s="15">
        <f t="shared" si="343"/>
        <v>1</v>
      </c>
      <c r="AH116" s="15">
        <f>N116*'Optimal Choice'!$B$4*AA116</f>
        <v>3590.5</v>
      </c>
      <c r="AI116" s="15">
        <f>O116*'Optimal Choice'!$B$9*AB116</f>
        <v>340</v>
      </c>
      <c r="AJ116" s="15">
        <f>P116*'Optimal Choice'!$B$14*AC116</f>
        <v>900</v>
      </c>
      <c r="AK116" s="15">
        <f>Q116*'Optimal Choice'!$B$19*AD116</f>
        <v>720</v>
      </c>
      <c r="AL116" s="15">
        <f>R116*'Optimal Choice'!$B$24*AE116</f>
        <v>0</v>
      </c>
      <c r="AO116" s="12">
        <f t="shared" ref="AO116:AS116" si="344">if(isna(VLOOKUP(N116+1,$D$2:$E$10,2,false)),AO115, VLOOKUP(N116+1,$D$2:$E$10,2,false))</f>
        <v>25</v>
      </c>
      <c r="AP116" s="15">
        <f t="shared" si="344"/>
        <v>1</v>
      </c>
      <c r="AQ116" s="15">
        <f t="shared" si="344"/>
        <v>1</v>
      </c>
      <c r="AR116" s="15">
        <f t="shared" si="344"/>
        <v>1</v>
      </c>
      <c r="AS116" s="15">
        <f t="shared" si="344"/>
        <v>1</v>
      </c>
      <c r="AU116" s="11">
        <f t="shared" si="8"/>
        <v>0.03542502649</v>
      </c>
    </row>
    <row r="117" ht="15.75" customHeight="1">
      <c r="A117" s="16">
        <f t="shared" si="4"/>
        <v>0.762828978</v>
      </c>
      <c r="B117" s="7">
        <f>(sum(AH117:AL117))*'Optimal Choice'!$B$28</f>
        <v>5640.5</v>
      </c>
      <c r="C117" s="11"/>
      <c r="D117" s="12"/>
      <c r="E117" s="12"/>
      <c r="F117" s="11"/>
      <c r="G117" s="11">
        <f>(T117/$B117)+(T117/('Optimal Choice'!$B$4*AO117))</f>
        <v>34.75320834</v>
      </c>
      <c r="H117" s="11">
        <f>(U117/$B117)+(U117/('Optimal Choice'!$B$9*AP117))</f>
        <v>37.25800291</v>
      </c>
      <c r="I117" s="11">
        <f>(V117/$B117)+(V117/('Optimal Choice'!$B$14*AQ117))</f>
        <v>39.15823572</v>
      </c>
      <c r="J117" s="11">
        <f>(W117/$B117)+(W117/('Optimal Choice'!$B$19*AR117))</f>
        <v>36.83972746</v>
      </c>
      <c r="K117" s="11">
        <f>(X117/$B117)+(X117/('Optimal Choice'!$B$24*AS117))</f>
        <v>74.34711107</v>
      </c>
      <c r="N117" s="12">
        <f t="shared" ref="N117:R117" si="345">if(min($G116:$K116)=G116,N116+1,N116)</f>
        <v>86</v>
      </c>
      <c r="O117" s="12">
        <f t="shared" si="345"/>
        <v>17</v>
      </c>
      <c r="P117" s="12">
        <f t="shared" si="345"/>
        <v>11</v>
      </c>
      <c r="Q117" s="12">
        <f t="shared" si="345"/>
        <v>2</v>
      </c>
      <c r="R117" s="12">
        <f t="shared" si="345"/>
        <v>0</v>
      </c>
      <c r="T117" s="13">
        <f> 'Optimal Choice'!$B$5*'Optimal Choice'!$B$6^(N117+1)</f>
        <v>1440.285704</v>
      </c>
      <c r="U117" s="13">
        <f> 'Optimal Choice'!$B$10*'Optimal Choice'!$B$11^(O117+1)</f>
        <v>742.5272163</v>
      </c>
      <c r="V117" s="13">
        <f> 'Optimal Choice'!$B$15*'Optimal Choice'!$B$16^(P117+1)</f>
        <v>3468.89147</v>
      </c>
      <c r="W117" s="13">
        <f> 'Optimal Choice'!$B$20*'Optimal Choice'!$B$21^(Q117+1)</f>
        <v>12466.63008</v>
      </c>
      <c r="X117" s="13">
        <f> 'Optimal Choice'!$B$25*'Optimal Choice'!$B$26^(R117+1)</f>
        <v>116121.6</v>
      </c>
      <c r="AA117" s="12">
        <f t="shared" ref="AA117:AE117" si="346">if(isna(VLOOKUP(N117,$D$2:$E$10,2,false)),AA116, VLOOKUP(N117,$D$2:$E$10,2,false))</f>
        <v>25</v>
      </c>
      <c r="AB117" s="15">
        <f t="shared" si="346"/>
        <v>1</v>
      </c>
      <c r="AC117" s="15">
        <f t="shared" si="346"/>
        <v>1</v>
      </c>
      <c r="AD117" s="15">
        <f t="shared" si="346"/>
        <v>1</v>
      </c>
      <c r="AE117" s="15">
        <f t="shared" si="346"/>
        <v>1</v>
      </c>
      <c r="AH117" s="15">
        <f>N117*'Optimal Choice'!$B$4*AA117</f>
        <v>3590.5</v>
      </c>
      <c r="AI117" s="15">
        <f>O117*'Optimal Choice'!$B$9*AB117</f>
        <v>340</v>
      </c>
      <c r="AJ117" s="15">
        <f>P117*'Optimal Choice'!$B$14*AC117</f>
        <v>990</v>
      </c>
      <c r="AK117" s="15">
        <f>Q117*'Optimal Choice'!$B$19*AD117</f>
        <v>720</v>
      </c>
      <c r="AL117" s="15">
        <f>R117*'Optimal Choice'!$B$24*AE117</f>
        <v>0</v>
      </c>
      <c r="AO117" s="12">
        <f t="shared" ref="AO117:AS117" si="347">if(isna(VLOOKUP(N117+1,$D$2:$E$10,2,false)),AO116, VLOOKUP(N117+1,$D$2:$E$10,2,false))</f>
        <v>25</v>
      </c>
      <c r="AP117" s="15">
        <f t="shared" si="347"/>
        <v>1</v>
      </c>
      <c r="AQ117" s="15">
        <f t="shared" si="347"/>
        <v>1</v>
      </c>
      <c r="AR117" s="15">
        <f t="shared" si="347"/>
        <v>1</v>
      </c>
      <c r="AS117" s="15">
        <f t="shared" si="347"/>
        <v>1</v>
      </c>
      <c r="AU117" s="11">
        <f t="shared" si="8"/>
        <v>0.009136976412</v>
      </c>
    </row>
    <row r="118" ht="15.75" customHeight="1">
      <c r="A118" s="16">
        <f t="shared" si="4"/>
        <v>0.7670847641</v>
      </c>
      <c r="B118" s="7">
        <f>(sum(AH118:AL118))*'Optimal Choice'!$B$28</f>
        <v>5682.25</v>
      </c>
      <c r="C118" s="11"/>
      <c r="D118" s="12"/>
      <c r="E118" s="12"/>
      <c r="F118" s="11"/>
      <c r="G118" s="11">
        <f>(T118/$B118)+(T118/('Optimal Choice'!$B$4*AO118))</f>
        <v>37.18392544</v>
      </c>
      <c r="H118" s="11">
        <f>(U118/$B118)+(U118/('Optimal Choice'!$B$9*AP118))</f>
        <v>37.25703567</v>
      </c>
      <c r="I118" s="11">
        <f>(V118/$B118)+(V118/('Optimal Choice'!$B$14*AQ118))</f>
        <v>39.15371706</v>
      </c>
      <c r="J118" s="11">
        <f>(W118/$B118)+(W118/('Optimal Choice'!$B$19*AR118))</f>
        <v>36.82348815</v>
      </c>
      <c r="K118" s="11">
        <f>(X118/$B118)+(X118/('Optimal Choice'!$B$24*AS118))</f>
        <v>74.19584848</v>
      </c>
      <c r="N118" s="12">
        <f t="shared" ref="N118:R118" si="348">if(min($G117:$K117)=G117,N117+1,N117)</f>
        <v>87</v>
      </c>
      <c r="O118" s="12">
        <f t="shared" si="348"/>
        <v>17</v>
      </c>
      <c r="P118" s="12">
        <f t="shared" si="348"/>
        <v>11</v>
      </c>
      <c r="Q118" s="12">
        <f t="shared" si="348"/>
        <v>2</v>
      </c>
      <c r="R118" s="12">
        <f t="shared" si="348"/>
        <v>0</v>
      </c>
      <c r="T118" s="13">
        <f> 'Optimal Choice'!$B$5*'Optimal Choice'!$B$6^(N118+1)</f>
        <v>1541.105703</v>
      </c>
      <c r="U118" s="13">
        <f> 'Optimal Choice'!$B$10*'Optimal Choice'!$B$11^(O118+1)</f>
        <v>742.5272163</v>
      </c>
      <c r="V118" s="13">
        <f> 'Optimal Choice'!$B$15*'Optimal Choice'!$B$16^(P118+1)</f>
        <v>3468.89147</v>
      </c>
      <c r="W118" s="13">
        <f> 'Optimal Choice'!$B$20*'Optimal Choice'!$B$21^(Q118+1)</f>
        <v>12466.63008</v>
      </c>
      <c r="X118" s="13">
        <f> 'Optimal Choice'!$B$25*'Optimal Choice'!$B$26^(R118+1)</f>
        <v>116121.6</v>
      </c>
      <c r="AA118" s="12">
        <f t="shared" ref="AA118:AE118" si="349">if(isna(VLOOKUP(N118,$D$2:$E$10,2,false)),AA117, VLOOKUP(N118,$D$2:$E$10,2,false))</f>
        <v>25</v>
      </c>
      <c r="AB118" s="15">
        <f t="shared" si="349"/>
        <v>1</v>
      </c>
      <c r="AC118" s="15">
        <f t="shared" si="349"/>
        <v>1</v>
      </c>
      <c r="AD118" s="15">
        <f t="shared" si="349"/>
        <v>1</v>
      </c>
      <c r="AE118" s="15">
        <f t="shared" si="349"/>
        <v>1</v>
      </c>
      <c r="AH118" s="15">
        <f>N118*'Optimal Choice'!$B$4*AA118</f>
        <v>3632.25</v>
      </c>
      <c r="AI118" s="15">
        <f>O118*'Optimal Choice'!$B$9*AB118</f>
        <v>340</v>
      </c>
      <c r="AJ118" s="15">
        <f>P118*'Optimal Choice'!$B$14*AC118</f>
        <v>990</v>
      </c>
      <c r="AK118" s="15">
        <f>Q118*'Optimal Choice'!$B$19*AD118</f>
        <v>720</v>
      </c>
      <c r="AL118" s="15">
        <f>R118*'Optimal Choice'!$B$24*AE118</f>
        <v>0</v>
      </c>
      <c r="AO118" s="12">
        <f t="shared" ref="AO118:AS118" si="350">if(isna(VLOOKUP(N118+1,$D$2:$E$10,2,false)),AO117, VLOOKUP(N118+1,$D$2:$E$10,2,false))</f>
        <v>25</v>
      </c>
      <c r="AP118" s="15">
        <f t="shared" si="350"/>
        <v>1</v>
      </c>
      <c r="AQ118" s="15">
        <f t="shared" si="350"/>
        <v>1</v>
      </c>
      <c r="AR118" s="15">
        <f t="shared" si="350"/>
        <v>1</v>
      </c>
      <c r="AS118" s="15">
        <f t="shared" si="350"/>
        <v>1</v>
      </c>
      <c r="AU118" s="11">
        <f t="shared" si="8"/>
        <v>0.004255786141</v>
      </c>
    </row>
    <row r="119" ht="15.75" customHeight="1">
      <c r="A119" s="16">
        <f t="shared" si="4"/>
        <v>0.8036507667</v>
      </c>
      <c r="B119" s="7">
        <f>(sum(AH119:AL119))*'Optimal Choice'!$B$28</f>
        <v>6042.25</v>
      </c>
      <c r="C119" s="11"/>
      <c r="D119" s="12"/>
      <c r="E119" s="12"/>
      <c r="F119" s="11"/>
      <c r="G119" s="11">
        <f>(T119/$B119)+(T119/('Optimal Choice'!$B$4*AO119))</f>
        <v>37.16776639</v>
      </c>
      <c r="H119" s="11">
        <f>(U119/$B119)+(U119/('Optimal Choice'!$B$9*AP119))</f>
        <v>37.24925001</v>
      </c>
      <c r="I119" s="11">
        <f>(V119/$B119)+(V119/('Optimal Choice'!$B$14*AQ119))</f>
        <v>39.11734447</v>
      </c>
      <c r="J119" s="11">
        <f>(W119/$B119)+(W119/('Optimal Choice'!$B$19*AR119))</f>
        <v>41.46283124</v>
      </c>
      <c r="K119" s="11">
        <f>(X119/$B119)+(X119/('Optimal Choice'!$B$24*AS119))</f>
        <v>72.97827134</v>
      </c>
      <c r="N119" s="12">
        <f t="shared" ref="N119:R119" si="351">if(min($G118:$K118)=G118,N118+1,N118)</f>
        <v>87</v>
      </c>
      <c r="O119" s="12">
        <f t="shared" si="351"/>
        <v>17</v>
      </c>
      <c r="P119" s="12">
        <f t="shared" si="351"/>
        <v>11</v>
      </c>
      <c r="Q119" s="12">
        <f t="shared" si="351"/>
        <v>3</v>
      </c>
      <c r="R119" s="12">
        <f t="shared" si="351"/>
        <v>0</v>
      </c>
      <c r="T119" s="13">
        <f> 'Optimal Choice'!$B$5*'Optimal Choice'!$B$6^(N119+1)</f>
        <v>1541.105703</v>
      </c>
      <c r="U119" s="13">
        <f> 'Optimal Choice'!$B$10*'Optimal Choice'!$B$11^(O119+1)</f>
        <v>742.5272163</v>
      </c>
      <c r="V119" s="13">
        <f> 'Optimal Choice'!$B$15*'Optimal Choice'!$B$16^(P119+1)</f>
        <v>3468.89147</v>
      </c>
      <c r="W119" s="13">
        <f> 'Optimal Choice'!$B$20*'Optimal Choice'!$B$21^(Q119+1)</f>
        <v>14087.29199</v>
      </c>
      <c r="X119" s="13">
        <f> 'Optimal Choice'!$B$25*'Optimal Choice'!$B$26^(R119+1)</f>
        <v>116121.6</v>
      </c>
      <c r="AA119" s="12">
        <f t="shared" ref="AA119:AE119" si="352">if(isna(VLOOKUP(N119,$D$2:$E$10,2,false)),AA118, VLOOKUP(N119,$D$2:$E$10,2,false))</f>
        <v>25</v>
      </c>
      <c r="AB119" s="15">
        <f t="shared" si="352"/>
        <v>1</v>
      </c>
      <c r="AC119" s="15">
        <f t="shared" si="352"/>
        <v>1</v>
      </c>
      <c r="AD119" s="15">
        <f t="shared" si="352"/>
        <v>1</v>
      </c>
      <c r="AE119" s="15">
        <f t="shared" si="352"/>
        <v>1</v>
      </c>
      <c r="AH119" s="15">
        <f>N119*'Optimal Choice'!$B$4*AA119</f>
        <v>3632.25</v>
      </c>
      <c r="AI119" s="15">
        <f>O119*'Optimal Choice'!$B$9*AB119</f>
        <v>340</v>
      </c>
      <c r="AJ119" s="15">
        <f>P119*'Optimal Choice'!$B$14*AC119</f>
        <v>990</v>
      </c>
      <c r="AK119" s="15">
        <f>Q119*'Optimal Choice'!$B$19*AD119</f>
        <v>1080</v>
      </c>
      <c r="AL119" s="15">
        <f>R119*'Optimal Choice'!$B$24*AE119</f>
        <v>0</v>
      </c>
      <c r="AO119" s="12">
        <f t="shared" ref="AO119:AS119" si="353">if(isna(VLOOKUP(N119+1,$D$2:$E$10,2,false)),AO118, VLOOKUP(N119+1,$D$2:$E$10,2,false))</f>
        <v>25</v>
      </c>
      <c r="AP119" s="15">
        <f t="shared" si="353"/>
        <v>1</v>
      </c>
      <c r="AQ119" s="15">
        <f t="shared" si="353"/>
        <v>1</v>
      </c>
      <c r="AR119" s="15">
        <f t="shared" si="353"/>
        <v>1</v>
      </c>
      <c r="AS119" s="15">
        <f t="shared" si="353"/>
        <v>1</v>
      </c>
      <c r="AU119" s="11">
        <f t="shared" si="8"/>
        <v>0.03656600255</v>
      </c>
    </row>
    <row r="120" ht="15.75" customHeight="1">
      <c r="A120" s="16">
        <f t="shared" si="4"/>
        <v>0.8079016823</v>
      </c>
      <c r="B120" s="7">
        <f>(sum(AH120:AL120))*'Optimal Choice'!$B$28</f>
        <v>6084</v>
      </c>
      <c r="C120" s="11"/>
      <c r="D120" s="12"/>
      <c r="E120" s="12"/>
      <c r="F120" s="11"/>
      <c r="G120" s="11">
        <f>(T120/$B120)+(T120/('Optimal Choice'!$B$4*AO120))</f>
        <v>39.76763727</v>
      </c>
      <c r="H120" s="11">
        <f>(U120/$B120)+(U120/('Optimal Choice'!$B$9*AP120))</f>
        <v>37.24840671</v>
      </c>
      <c r="I120" s="11">
        <f>(V120/$B120)+(V120/('Optimal Choice'!$B$14*AQ120))</f>
        <v>39.11340481</v>
      </c>
      <c r="J120" s="11">
        <f>(W120/$B120)+(W120/('Optimal Choice'!$B$19*AR120))</f>
        <v>41.44683212</v>
      </c>
      <c r="K120" s="11">
        <f>(X120/$B120)+(X120/('Optimal Choice'!$B$24*AS120))</f>
        <v>72.84639053</v>
      </c>
      <c r="N120" s="12">
        <f t="shared" ref="N120:R120" si="354">if(min($G119:$K119)=G119,N119+1,N119)</f>
        <v>88</v>
      </c>
      <c r="O120" s="12">
        <f t="shared" si="354"/>
        <v>17</v>
      </c>
      <c r="P120" s="12">
        <f t="shared" si="354"/>
        <v>11</v>
      </c>
      <c r="Q120" s="12">
        <f t="shared" si="354"/>
        <v>3</v>
      </c>
      <c r="R120" s="12">
        <f t="shared" si="354"/>
        <v>0</v>
      </c>
      <c r="T120" s="13">
        <f> 'Optimal Choice'!$B$5*'Optimal Choice'!$B$6^(N120+1)</f>
        <v>1648.983102</v>
      </c>
      <c r="U120" s="13">
        <f> 'Optimal Choice'!$B$10*'Optimal Choice'!$B$11^(O120+1)</f>
        <v>742.5272163</v>
      </c>
      <c r="V120" s="13">
        <f> 'Optimal Choice'!$B$15*'Optimal Choice'!$B$16^(P120+1)</f>
        <v>3468.89147</v>
      </c>
      <c r="W120" s="13">
        <f> 'Optimal Choice'!$B$20*'Optimal Choice'!$B$21^(Q120+1)</f>
        <v>14087.29199</v>
      </c>
      <c r="X120" s="13">
        <f> 'Optimal Choice'!$B$25*'Optimal Choice'!$B$26^(R120+1)</f>
        <v>116121.6</v>
      </c>
      <c r="AA120" s="12">
        <f t="shared" ref="AA120:AE120" si="355">if(isna(VLOOKUP(N120,$D$2:$E$10,2,false)),AA119, VLOOKUP(N120,$D$2:$E$10,2,false))</f>
        <v>25</v>
      </c>
      <c r="AB120" s="15">
        <f t="shared" si="355"/>
        <v>1</v>
      </c>
      <c r="AC120" s="15">
        <f t="shared" si="355"/>
        <v>1</v>
      </c>
      <c r="AD120" s="15">
        <f t="shared" si="355"/>
        <v>1</v>
      </c>
      <c r="AE120" s="15">
        <f t="shared" si="355"/>
        <v>1</v>
      </c>
      <c r="AH120" s="15">
        <f>N120*'Optimal Choice'!$B$4*AA120</f>
        <v>3674</v>
      </c>
      <c r="AI120" s="15">
        <f>O120*'Optimal Choice'!$B$9*AB120</f>
        <v>340</v>
      </c>
      <c r="AJ120" s="15">
        <f>P120*'Optimal Choice'!$B$14*AC120</f>
        <v>990</v>
      </c>
      <c r="AK120" s="15">
        <f>Q120*'Optimal Choice'!$B$19*AD120</f>
        <v>1080</v>
      </c>
      <c r="AL120" s="15">
        <f>R120*'Optimal Choice'!$B$24*AE120</f>
        <v>0</v>
      </c>
      <c r="AO120" s="12">
        <f t="shared" ref="AO120:AS120" si="356">if(isna(VLOOKUP(N120+1,$D$2:$E$10,2,false)),AO119, VLOOKUP(N120+1,$D$2:$E$10,2,false))</f>
        <v>25</v>
      </c>
      <c r="AP120" s="15">
        <f t="shared" si="356"/>
        <v>1</v>
      </c>
      <c r="AQ120" s="15">
        <f t="shared" si="356"/>
        <v>1</v>
      </c>
      <c r="AR120" s="15">
        <f t="shared" si="356"/>
        <v>1</v>
      </c>
      <c r="AS120" s="15">
        <f t="shared" si="356"/>
        <v>1</v>
      </c>
      <c r="AU120" s="11">
        <f t="shared" si="8"/>
        <v>0.004250915644</v>
      </c>
    </row>
    <row r="121" ht="15.75" customHeight="1">
      <c r="A121" s="16">
        <f t="shared" si="4"/>
        <v>0.8099357806</v>
      </c>
      <c r="B121" s="7">
        <f>(sum(AH121:AL121))*'Optimal Choice'!$B$28</f>
        <v>6104</v>
      </c>
      <c r="C121" s="11"/>
      <c r="D121" s="12"/>
      <c r="E121" s="12"/>
      <c r="F121" s="11"/>
      <c r="G121" s="11">
        <f>(T121/$B121)+(T121/('Optimal Choice'!$B$4*AO121))</f>
        <v>39.76674921</v>
      </c>
      <c r="H121" s="11">
        <f>(U121/$B121)+(U121/('Optimal Choice'!$B$9*AP121))</f>
        <v>42.83520784</v>
      </c>
      <c r="I121" s="11">
        <f>(V121/$B121)+(V121/('Optimal Choice'!$B$14*AQ121))</f>
        <v>39.11153664</v>
      </c>
      <c r="J121" s="11">
        <f>(W121/$B121)+(W121/('Optimal Choice'!$B$19*AR121))</f>
        <v>41.43924541</v>
      </c>
      <c r="K121" s="11">
        <f>(X121/$B121)+(X121/('Optimal Choice'!$B$24*AS121))</f>
        <v>72.78385321</v>
      </c>
      <c r="N121" s="12">
        <f t="shared" ref="N121:R121" si="357">if(min($G120:$K120)=G120,N120+1,N120)</f>
        <v>88</v>
      </c>
      <c r="O121" s="12">
        <f t="shared" si="357"/>
        <v>18</v>
      </c>
      <c r="P121" s="12">
        <f t="shared" si="357"/>
        <v>11</v>
      </c>
      <c r="Q121" s="12">
        <f t="shared" si="357"/>
        <v>3</v>
      </c>
      <c r="R121" s="12">
        <f t="shared" si="357"/>
        <v>0</v>
      </c>
      <c r="T121" s="13">
        <f> 'Optimal Choice'!$B$5*'Optimal Choice'!$B$6^(N121+1)</f>
        <v>1648.983102</v>
      </c>
      <c r="U121" s="13">
        <f> 'Optimal Choice'!$B$10*'Optimal Choice'!$B$11^(O121+1)</f>
        <v>853.9062988</v>
      </c>
      <c r="V121" s="13">
        <f> 'Optimal Choice'!$B$15*'Optimal Choice'!$B$16^(P121+1)</f>
        <v>3468.89147</v>
      </c>
      <c r="W121" s="13">
        <f> 'Optimal Choice'!$B$20*'Optimal Choice'!$B$21^(Q121+1)</f>
        <v>14087.29199</v>
      </c>
      <c r="X121" s="13">
        <f> 'Optimal Choice'!$B$25*'Optimal Choice'!$B$26^(R121+1)</f>
        <v>116121.6</v>
      </c>
      <c r="AA121" s="12">
        <f t="shared" ref="AA121:AE121" si="358">if(isna(VLOOKUP(N121,$D$2:$E$10,2,false)),AA120, VLOOKUP(N121,$D$2:$E$10,2,false))</f>
        <v>25</v>
      </c>
      <c r="AB121" s="15">
        <f t="shared" si="358"/>
        <v>1</v>
      </c>
      <c r="AC121" s="15">
        <f t="shared" si="358"/>
        <v>1</v>
      </c>
      <c r="AD121" s="15">
        <f t="shared" si="358"/>
        <v>1</v>
      </c>
      <c r="AE121" s="15">
        <f t="shared" si="358"/>
        <v>1</v>
      </c>
      <c r="AH121" s="15">
        <f>N121*'Optimal Choice'!$B$4*AA121</f>
        <v>3674</v>
      </c>
      <c r="AI121" s="15">
        <f>O121*'Optimal Choice'!$B$9*AB121</f>
        <v>360</v>
      </c>
      <c r="AJ121" s="15">
        <f>P121*'Optimal Choice'!$B$14*AC121</f>
        <v>990</v>
      </c>
      <c r="AK121" s="15">
        <f>Q121*'Optimal Choice'!$B$19*AD121</f>
        <v>1080</v>
      </c>
      <c r="AL121" s="15">
        <f>R121*'Optimal Choice'!$B$24*AE121</f>
        <v>0</v>
      </c>
      <c r="AO121" s="12">
        <f t="shared" ref="AO121:AS121" si="359">if(isna(VLOOKUP(N121+1,$D$2:$E$10,2,false)),AO120, VLOOKUP(N121+1,$D$2:$E$10,2,false))</f>
        <v>25</v>
      </c>
      <c r="AP121" s="15">
        <f t="shared" si="359"/>
        <v>1</v>
      </c>
      <c r="AQ121" s="15">
        <f t="shared" si="359"/>
        <v>1</v>
      </c>
      <c r="AR121" s="15">
        <f t="shared" si="359"/>
        <v>1</v>
      </c>
      <c r="AS121" s="15">
        <f t="shared" si="359"/>
        <v>1</v>
      </c>
      <c r="AU121" s="11">
        <f t="shared" si="8"/>
        <v>0.002034098226</v>
      </c>
    </row>
    <row r="122" ht="15.75" customHeight="1">
      <c r="A122" s="16">
        <f t="shared" si="4"/>
        <v>0.8194074152</v>
      </c>
      <c r="B122" s="7">
        <f>(sum(AH122:AL122))*'Optimal Choice'!$B$28</f>
        <v>6194</v>
      </c>
      <c r="C122" s="11"/>
      <c r="D122" s="12"/>
      <c r="E122" s="12"/>
      <c r="F122" s="11"/>
      <c r="G122" s="11">
        <f>(T122/$B122)+(T122/('Optimal Choice'!$B$4*AO122))</f>
        <v>39.7628239</v>
      </c>
      <c r="H122" s="11">
        <f>(U122/$B122)+(U122/('Optimal Choice'!$B$9*AP122))</f>
        <v>42.83317517</v>
      </c>
      <c r="I122" s="11">
        <f>(V122/$B122)+(V122/('Optimal Choice'!$B$14*AQ122))</f>
        <v>44.57773824</v>
      </c>
      <c r="J122" s="11">
        <f>(W122/$B122)+(W122/('Optimal Choice'!$B$19*AR122))</f>
        <v>41.40571149</v>
      </c>
      <c r="K122" s="11">
        <f>(X122/$B122)+(X122/('Optimal Choice'!$B$24*AS122))</f>
        <v>72.507433</v>
      </c>
      <c r="N122" s="12">
        <f t="shared" ref="N122:R122" si="360">if(min($G121:$K121)=G121,N121+1,N121)</f>
        <v>88</v>
      </c>
      <c r="O122" s="12">
        <f t="shared" si="360"/>
        <v>18</v>
      </c>
      <c r="P122" s="12">
        <f t="shared" si="360"/>
        <v>12</v>
      </c>
      <c r="Q122" s="12">
        <f t="shared" si="360"/>
        <v>3</v>
      </c>
      <c r="R122" s="12">
        <f t="shared" si="360"/>
        <v>0</v>
      </c>
      <c r="T122" s="13">
        <f> 'Optimal Choice'!$B$5*'Optimal Choice'!$B$6^(N122+1)</f>
        <v>1648.983102</v>
      </c>
      <c r="U122" s="13">
        <f> 'Optimal Choice'!$B$10*'Optimal Choice'!$B$11^(O122+1)</f>
        <v>853.9062988</v>
      </c>
      <c r="V122" s="13">
        <f> 'Optimal Choice'!$B$15*'Optimal Choice'!$B$16^(P122+1)</f>
        <v>3954.536276</v>
      </c>
      <c r="W122" s="13">
        <f> 'Optimal Choice'!$B$20*'Optimal Choice'!$B$21^(Q122+1)</f>
        <v>14087.29199</v>
      </c>
      <c r="X122" s="13">
        <f> 'Optimal Choice'!$B$25*'Optimal Choice'!$B$26^(R122+1)</f>
        <v>116121.6</v>
      </c>
      <c r="AA122" s="12">
        <f t="shared" ref="AA122:AE122" si="361">if(isna(VLOOKUP(N122,$D$2:$E$10,2,false)),AA121, VLOOKUP(N122,$D$2:$E$10,2,false))</f>
        <v>25</v>
      </c>
      <c r="AB122" s="15">
        <f t="shared" si="361"/>
        <v>1</v>
      </c>
      <c r="AC122" s="15">
        <f t="shared" si="361"/>
        <v>1</v>
      </c>
      <c r="AD122" s="15">
        <f t="shared" si="361"/>
        <v>1</v>
      </c>
      <c r="AE122" s="15">
        <f t="shared" si="361"/>
        <v>1</v>
      </c>
      <c r="AH122" s="15">
        <f>N122*'Optimal Choice'!$B$4*AA122</f>
        <v>3674</v>
      </c>
      <c r="AI122" s="15">
        <f>O122*'Optimal Choice'!$B$9*AB122</f>
        <v>360</v>
      </c>
      <c r="AJ122" s="15">
        <f>P122*'Optimal Choice'!$B$14*AC122</f>
        <v>1080</v>
      </c>
      <c r="AK122" s="15">
        <f>Q122*'Optimal Choice'!$B$19*AD122</f>
        <v>1080</v>
      </c>
      <c r="AL122" s="15">
        <f>R122*'Optimal Choice'!$B$24*AE122</f>
        <v>0</v>
      </c>
      <c r="AO122" s="12">
        <f t="shared" ref="AO122:AS122" si="362">if(isna(VLOOKUP(N122+1,$D$2:$E$10,2,false)),AO121, VLOOKUP(N122+1,$D$2:$E$10,2,false))</f>
        <v>25</v>
      </c>
      <c r="AP122" s="15">
        <f t="shared" si="362"/>
        <v>1</v>
      </c>
      <c r="AQ122" s="15">
        <f t="shared" si="362"/>
        <v>1</v>
      </c>
      <c r="AR122" s="15">
        <f t="shared" si="362"/>
        <v>1</v>
      </c>
      <c r="AS122" s="15">
        <f t="shared" si="362"/>
        <v>1</v>
      </c>
      <c r="AU122" s="11">
        <f t="shared" si="8"/>
        <v>0.009471634639</v>
      </c>
    </row>
    <row r="123" ht="15.75" customHeight="1">
      <c r="A123" s="16">
        <f t="shared" si="4"/>
        <v>0.8238444594</v>
      </c>
      <c r="B123" s="7">
        <f>(sum(AH123:AL123))*'Optimal Choice'!$B$28</f>
        <v>6235.75</v>
      </c>
      <c r="C123" s="11"/>
      <c r="D123" s="12"/>
      <c r="E123" s="12"/>
      <c r="F123" s="11"/>
      <c r="G123" s="11">
        <f>(T123/$B123)+(T123/('Optimal Choice'!$B$4*AO123))</f>
        <v>42.54431438</v>
      </c>
      <c r="H123" s="11">
        <f>(U123/$B123)+(U123/('Optimal Choice'!$B$9*AP123))</f>
        <v>42.83225216</v>
      </c>
      <c r="I123" s="11">
        <f>(V123/$B123)+(V123/('Optimal Choice'!$B$14*AQ123))</f>
        <v>44.57346367</v>
      </c>
      <c r="J123" s="11">
        <f>(W123/$B123)+(W123/('Optimal Choice'!$B$19*AR123))</f>
        <v>41.39048415</v>
      </c>
      <c r="K123" s="11">
        <f>(X123/$B123)+(X123/('Optimal Choice'!$B$24*AS123))</f>
        <v>72.38191396</v>
      </c>
      <c r="N123" s="12">
        <f t="shared" ref="N123:R123" si="363">if(min($G122:$K122)=G122,N122+1,N122)</f>
        <v>89</v>
      </c>
      <c r="O123" s="12">
        <f t="shared" si="363"/>
        <v>18</v>
      </c>
      <c r="P123" s="12">
        <f t="shared" si="363"/>
        <v>12</v>
      </c>
      <c r="Q123" s="12">
        <f t="shared" si="363"/>
        <v>3</v>
      </c>
      <c r="R123" s="12">
        <f t="shared" si="363"/>
        <v>0</v>
      </c>
      <c r="T123" s="13">
        <f> 'Optimal Choice'!$B$5*'Optimal Choice'!$B$6^(N123+1)</f>
        <v>1764.41192</v>
      </c>
      <c r="U123" s="13">
        <f> 'Optimal Choice'!$B$10*'Optimal Choice'!$B$11^(O123+1)</f>
        <v>853.9062988</v>
      </c>
      <c r="V123" s="13">
        <f> 'Optimal Choice'!$B$15*'Optimal Choice'!$B$16^(P123+1)</f>
        <v>3954.536276</v>
      </c>
      <c r="W123" s="13">
        <f> 'Optimal Choice'!$B$20*'Optimal Choice'!$B$21^(Q123+1)</f>
        <v>14087.29199</v>
      </c>
      <c r="X123" s="13">
        <f> 'Optimal Choice'!$B$25*'Optimal Choice'!$B$26^(R123+1)</f>
        <v>116121.6</v>
      </c>
      <c r="AA123" s="12">
        <f t="shared" ref="AA123:AE123" si="364">if(isna(VLOOKUP(N123,$D$2:$E$10,2,false)),AA122, VLOOKUP(N123,$D$2:$E$10,2,false))</f>
        <v>25</v>
      </c>
      <c r="AB123" s="15">
        <f t="shared" si="364"/>
        <v>1</v>
      </c>
      <c r="AC123" s="15">
        <f t="shared" si="364"/>
        <v>1</v>
      </c>
      <c r="AD123" s="15">
        <f t="shared" si="364"/>
        <v>1</v>
      </c>
      <c r="AE123" s="15">
        <f t="shared" si="364"/>
        <v>1</v>
      </c>
      <c r="AH123" s="15">
        <f>N123*'Optimal Choice'!$B$4*AA123</f>
        <v>3715.75</v>
      </c>
      <c r="AI123" s="15">
        <f>O123*'Optimal Choice'!$B$9*AB123</f>
        <v>360</v>
      </c>
      <c r="AJ123" s="15">
        <f>P123*'Optimal Choice'!$B$14*AC123</f>
        <v>1080</v>
      </c>
      <c r="AK123" s="15">
        <f>Q123*'Optimal Choice'!$B$19*AD123</f>
        <v>1080</v>
      </c>
      <c r="AL123" s="15">
        <f>R123*'Optimal Choice'!$B$24*AE123</f>
        <v>0</v>
      </c>
      <c r="AO123" s="12">
        <f t="shared" ref="AO123:AS123" si="365">if(isna(VLOOKUP(N123+1,$D$2:$E$10,2,false)),AO122, VLOOKUP(N123+1,$D$2:$E$10,2,false))</f>
        <v>25</v>
      </c>
      <c r="AP123" s="15">
        <f t="shared" si="365"/>
        <v>1</v>
      </c>
      <c r="AQ123" s="15">
        <f t="shared" si="365"/>
        <v>1</v>
      </c>
      <c r="AR123" s="15">
        <f t="shared" si="365"/>
        <v>1</v>
      </c>
      <c r="AS123" s="15">
        <f t="shared" si="365"/>
        <v>1</v>
      </c>
      <c r="AU123" s="11">
        <f t="shared" si="8"/>
        <v>0.004437044189</v>
      </c>
    </row>
    <row r="124" ht="15.75" customHeight="1">
      <c r="A124" s="16">
        <f t="shared" si="4"/>
        <v>0.8614964178</v>
      </c>
      <c r="B124" s="7">
        <f>(sum(AH124:AL124))*'Optimal Choice'!$B$28</f>
        <v>6595.75</v>
      </c>
      <c r="C124" s="11"/>
      <c r="D124" s="12"/>
      <c r="E124" s="12"/>
      <c r="F124" s="11"/>
      <c r="G124" s="11">
        <f>(T124/$B124)+(T124/('Optimal Choice'!$B$4*AO124))</f>
        <v>42.52887074</v>
      </c>
      <c r="H124" s="11">
        <f>(U124/$B124)+(U124/('Optimal Choice'!$B$9*AP124))</f>
        <v>42.82477805</v>
      </c>
      <c r="I124" s="11">
        <f>(V124/$B124)+(V124/('Optimal Choice'!$B$14*AQ124))</f>
        <v>44.5388502</v>
      </c>
      <c r="J124" s="11">
        <f>(W124/$B124)+(W124/('Optimal Choice'!$B$19*AR124))</f>
        <v>46.63191357</v>
      </c>
      <c r="K124" s="11">
        <f>(X124/$B124)+(X124/('Optimal Choice'!$B$24*AS124))</f>
        <v>71.36551871</v>
      </c>
      <c r="N124" s="12">
        <f t="shared" ref="N124:R124" si="366">if(min($G123:$K123)=G123,N123+1,N123)</f>
        <v>89</v>
      </c>
      <c r="O124" s="12">
        <f t="shared" si="366"/>
        <v>18</v>
      </c>
      <c r="P124" s="12">
        <f t="shared" si="366"/>
        <v>12</v>
      </c>
      <c r="Q124" s="12">
        <f t="shared" si="366"/>
        <v>4</v>
      </c>
      <c r="R124" s="12">
        <f t="shared" si="366"/>
        <v>0</v>
      </c>
      <c r="T124" s="13">
        <f> 'Optimal Choice'!$B$5*'Optimal Choice'!$B$6^(N124+1)</f>
        <v>1764.41192</v>
      </c>
      <c r="U124" s="13">
        <f> 'Optimal Choice'!$B$10*'Optimal Choice'!$B$11^(O124+1)</f>
        <v>853.9062988</v>
      </c>
      <c r="V124" s="13">
        <f> 'Optimal Choice'!$B$15*'Optimal Choice'!$B$16^(P124+1)</f>
        <v>3954.536276</v>
      </c>
      <c r="W124" s="13">
        <f> 'Optimal Choice'!$B$20*'Optimal Choice'!$B$21^(Q124+1)</f>
        <v>15918.63995</v>
      </c>
      <c r="X124" s="13">
        <f> 'Optimal Choice'!$B$25*'Optimal Choice'!$B$26^(R124+1)</f>
        <v>116121.6</v>
      </c>
      <c r="AA124" s="12">
        <f t="shared" ref="AA124:AE124" si="367">if(isna(VLOOKUP(N124,$D$2:$E$10,2,false)),AA123, VLOOKUP(N124,$D$2:$E$10,2,false))</f>
        <v>25</v>
      </c>
      <c r="AB124" s="15">
        <f t="shared" si="367"/>
        <v>1</v>
      </c>
      <c r="AC124" s="15">
        <f t="shared" si="367"/>
        <v>1</v>
      </c>
      <c r="AD124" s="15">
        <f t="shared" si="367"/>
        <v>1</v>
      </c>
      <c r="AE124" s="15">
        <f t="shared" si="367"/>
        <v>1</v>
      </c>
      <c r="AH124" s="15">
        <f>N124*'Optimal Choice'!$B$4*AA124</f>
        <v>3715.75</v>
      </c>
      <c r="AI124" s="15">
        <f>O124*'Optimal Choice'!$B$9*AB124</f>
        <v>360</v>
      </c>
      <c r="AJ124" s="15">
        <f>P124*'Optimal Choice'!$B$14*AC124</f>
        <v>1080</v>
      </c>
      <c r="AK124" s="15">
        <f>Q124*'Optimal Choice'!$B$19*AD124</f>
        <v>1440</v>
      </c>
      <c r="AL124" s="15">
        <f>R124*'Optimal Choice'!$B$24*AE124</f>
        <v>0</v>
      </c>
      <c r="AO124" s="12">
        <f t="shared" ref="AO124:AS124" si="368">if(isna(VLOOKUP(N124+1,$D$2:$E$10,2,false)),AO123, VLOOKUP(N124+1,$D$2:$E$10,2,false))</f>
        <v>25</v>
      </c>
      <c r="AP124" s="15">
        <f t="shared" si="368"/>
        <v>1</v>
      </c>
      <c r="AQ124" s="15">
        <f t="shared" si="368"/>
        <v>1</v>
      </c>
      <c r="AR124" s="15">
        <f t="shared" si="368"/>
        <v>1</v>
      </c>
      <c r="AS124" s="15">
        <f t="shared" si="368"/>
        <v>1</v>
      </c>
      <c r="AU124" s="11">
        <f t="shared" si="8"/>
        <v>0.03765195844</v>
      </c>
    </row>
    <row r="125" ht="15.75" customHeight="1">
      <c r="A125" s="16">
        <f t="shared" si="4"/>
        <v>0.8659548745</v>
      </c>
      <c r="B125" s="7">
        <f>(sum(AH125:AL125))*'Optimal Choice'!$B$28</f>
        <v>6637.5</v>
      </c>
      <c r="C125" s="11"/>
      <c r="D125" s="12"/>
      <c r="E125" s="12"/>
      <c r="F125" s="11"/>
      <c r="G125" s="11">
        <f>(T125/$B125)+(T125/('Optimal Choice'!$B$4*AO125))</f>
        <v>45.50409128</v>
      </c>
      <c r="H125" s="11">
        <f>(U125/$B125)+(U125/('Optimal Choice'!$B$9*AP125))</f>
        <v>42.82396372</v>
      </c>
      <c r="I125" s="11">
        <f>(V125/$B125)+(V125/('Optimal Choice'!$B$14*AQ125))</f>
        <v>44.53507897</v>
      </c>
      <c r="J125" s="11">
        <f>(W125/$B125)+(W125/('Optimal Choice'!$B$19*AR125))</f>
        <v>46.61673281</v>
      </c>
      <c r="K125" s="11">
        <f>(X125/$B125)+(X125/('Optimal Choice'!$B$24*AS125))</f>
        <v>71.25477966</v>
      </c>
      <c r="N125" s="12">
        <f t="shared" ref="N125:R125" si="369">if(min($G124:$K124)=G124,N124+1,N124)</f>
        <v>90</v>
      </c>
      <c r="O125" s="12">
        <f t="shared" si="369"/>
        <v>18</v>
      </c>
      <c r="P125" s="12">
        <f t="shared" si="369"/>
        <v>12</v>
      </c>
      <c r="Q125" s="12">
        <f t="shared" si="369"/>
        <v>4</v>
      </c>
      <c r="R125" s="12">
        <f t="shared" si="369"/>
        <v>0</v>
      </c>
      <c r="T125" s="13">
        <f> 'Optimal Choice'!$B$5*'Optimal Choice'!$B$6^(N125+1)</f>
        <v>1887.920754</v>
      </c>
      <c r="U125" s="13">
        <f> 'Optimal Choice'!$B$10*'Optimal Choice'!$B$11^(O125+1)</f>
        <v>853.9062988</v>
      </c>
      <c r="V125" s="13">
        <f> 'Optimal Choice'!$B$15*'Optimal Choice'!$B$16^(P125+1)</f>
        <v>3954.536276</v>
      </c>
      <c r="W125" s="13">
        <f> 'Optimal Choice'!$B$20*'Optimal Choice'!$B$21^(Q125+1)</f>
        <v>15918.63995</v>
      </c>
      <c r="X125" s="13">
        <f> 'Optimal Choice'!$B$25*'Optimal Choice'!$B$26^(R125+1)</f>
        <v>116121.6</v>
      </c>
      <c r="AA125" s="12">
        <f t="shared" ref="AA125:AE125" si="370">if(isna(VLOOKUP(N125,$D$2:$E$10,2,false)),AA124, VLOOKUP(N125,$D$2:$E$10,2,false))</f>
        <v>25</v>
      </c>
      <c r="AB125" s="15">
        <f t="shared" si="370"/>
        <v>1</v>
      </c>
      <c r="AC125" s="15">
        <f t="shared" si="370"/>
        <v>1</v>
      </c>
      <c r="AD125" s="15">
        <f t="shared" si="370"/>
        <v>1</v>
      </c>
      <c r="AE125" s="15">
        <f t="shared" si="370"/>
        <v>1</v>
      </c>
      <c r="AH125" s="15">
        <f>N125*'Optimal Choice'!$B$4*AA125</f>
        <v>3757.5</v>
      </c>
      <c r="AI125" s="15">
        <f>O125*'Optimal Choice'!$B$9*AB125</f>
        <v>360</v>
      </c>
      <c r="AJ125" s="15">
        <f>P125*'Optimal Choice'!$B$14*AC125</f>
        <v>1080</v>
      </c>
      <c r="AK125" s="15">
        <f>Q125*'Optimal Choice'!$B$19*AD125</f>
        <v>1440</v>
      </c>
      <c r="AL125" s="15">
        <f>R125*'Optimal Choice'!$B$24*AE125</f>
        <v>0</v>
      </c>
      <c r="AO125" s="12">
        <f t="shared" ref="AO125:AS125" si="371">if(isna(VLOOKUP(N125+1,$D$2:$E$10,2,false)),AO124, VLOOKUP(N125+1,$D$2:$E$10,2,false))</f>
        <v>25</v>
      </c>
      <c r="AP125" s="15">
        <f t="shared" si="371"/>
        <v>1</v>
      </c>
      <c r="AQ125" s="15">
        <f t="shared" si="371"/>
        <v>1</v>
      </c>
      <c r="AR125" s="15">
        <f t="shared" si="371"/>
        <v>1</v>
      </c>
      <c r="AS125" s="15">
        <f t="shared" si="371"/>
        <v>1</v>
      </c>
      <c r="AU125" s="11">
        <f t="shared" si="8"/>
        <v>0.004458456631</v>
      </c>
    </row>
    <row r="126" ht="15.75" customHeight="1">
      <c r="A126" s="16">
        <f t="shared" si="4"/>
        <v>0.8680990208</v>
      </c>
      <c r="B126" s="7">
        <f>(sum(AH126:AL126))*'Optimal Choice'!$B$28</f>
        <v>6657.5</v>
      </c>
      <c r="C126" s="11"/>
      <c r="D126" s="12"/>
      <c r="E126" s="12"/>
      <c r="F126" s="11"/>
      <c r="G126" s="11">
        <f>(T126/$B126)+(T126/('Optimal Choice'!$B$4*AO126))</f>
        <v>45.50323681</v>
      </c>
      <c r="H126" s="11">
        <f>(U126/$B126)+(U126/('Optimal Choice'!$B$9*AP126))</f>
        <v>49.24711383</v>
      </c>
      <c r="I126" s="11">
        <f>(V126/$B126)+(V126/('Optimal Choice'!$B$14*AQ126))</f>
        <v>44.53328914</v>
      </c>
      <c r="J126" s="11">
        <f>(W126/$B126)+(W126/('Optimal Choice'!$B$19*AR126))</f>
        <v>46.60952804</v>
      </c>
      <c r="K126" s="11">
        <f>(X126/$B126)+(X126/('Optimal Choice'!$B$24*AS126))</f>
        <v>71.20222306</v>
      </c>
      <c r="N126" s="12">
        <f t="shared" ref="N126:R126" si="372">if(min($G125:$K125)=G125,N125+1,N125)</f>
        <v>90</v>
      </c>
      <c r="O126" s="12">
        <f t="shared" si="372"/>
        <v>19</v>
      </c>
      <c r="P126" s="12">
        <f t="shared" si="372"/>
        <v>12</v>
      </c>
      <c r="Q126" s="12">
        <f t="shared" si="372"/>
        <v>4</v>
      </c>
      <c r="R126" s="12">
        <f t="shared" si="372"/>
        <v>0</v>
      </c>
      <c r="T126" s="13">
        <f> 'Optimal Choice'!$B$5*'Optimal Choice'!$B$6^(N126+1)</f>
        <v>1887.920754</v>
      </c>
      <c r="U126" s="13">
        <f> 'Optimal Choice'!$B$10*'Optimal Choice'!$B$11^(O126+1)</f>
        <v>981.9922436</v>
      </c>
      <c r="V126" s="13">
        <f> 'Optimal Choice'!$B$15*'Optimal Choice'!$B$16^(P126+1)</f>
        <v>3954.536276</v>
      </c>
      <c r="W126" s="13">
        <f> 'Optimal Choice'!$B$20*'Optimal Choice'!$B$21^(Q126+1)</f>
        <v>15918.63995</v>
      </c>
      <c r="X126" s="13">
        <f> 'Optimal Choice'!$B$25*'Optimal Choice'!$B$26^(R126+1)</f>
        <v>116121.6</v>
      </c>
      <c r="AA126" s="12">
        <f t="shared" ref="AA126:AE126" si="373">if(isna(VLOOKUP(N126,$D$2:$E$10,2,false)),AA125, VLOOKUP(N126,$D$2:$E$10,2,false))</f>
        <v>25</v>
      </c>
      <c r="AB126" s="15">
        <f t="shared" si="373"/>
        <v>1</v>
      </c>
      <c r="AC126" s="15">
        <f t="shared" si="373"/>
        <v>1</v>
      </c>
      <c r="AD126" s="15">
        <f t="shared" si="373"/>
        <v>1</v>
      </c>
      <c r="AE126" s="15">
        <f t="shared" si="373"/>
        <v>1</v>
      </c>
      <c r="AH126" s="15">
        <f>N126*'Optimal Choice'!$B$4*AA126</f>
        <v>3757.5</v>
      </c>
      <c r="AI126" s="15">
        <f>O126*'Optimal Choice'!$B$9*AB126</f>
        <v>380</v>
      </c>
      <c r="AJ126" s="15">
        <f>P126*'Optimal Choice'!$B$14*AC126</f>
        <v>1080</v>
      </c>
      <c r="AK126" s="15">
        <f>Q126*'Optimal Choice'!$B$19*AD126</f>
        <v>1440</v>
      </c>
      <c r="AL126" s="15">
        <f>R126*'Optimal Choice'!$B$24*AE126</f>
        <v>0</v>
      </c>
      <c r="AO126" s="12">
        <f t="shared" ref="AO126:AS126" si="374">if(isna(VLOOKUP(N126+1,$D$2:$E$10,2,false)),AO125, VLOOKUP(N126+1,$D$2:$E$10,2,false))</f>
        <v>25</v>
      </c>
      <c r="AP126" s="15">
        <f t="shared" si="374"/>
        <v>1</v>
      </c>
      <c r="AQ126" s="15">
        <f t="shared" si="374"/>
        <v>1</v>
      </c>
      <c r="AR126" s="15">
        <f t="shared" si="374"/>
        <v>1</v>
      </c>
      <c r="AS126" s="15">
        <f t="shared" si="374"/>
        <v>1</v>
      </c>
      <c r="AU126" s="11">
        <f t="shared" si="8"/>
        <v>0.002144146387</v>
      </c>
    </row>
    <row r="127" ht="15.75" customHeight="1">
      <c r="A127" s="16">
        <f t="shared" si="4"/>
        <v>0.877998974</v>
      </c>
      <c r="B127" s="7">
        <f>(sum(AH127:AL127))*'Optimal Choice'!$B$28</f>
        <v>6747.5</v>
      </c>
      <c r="C127" s="11"/>
      <c r="D127" s="12"/>
      <c r="E127" s="12"/>
      <c r="F127" s="11"/>
      <c r="G127" s="11">
        <f>(T127/$B127)+(T127/('Optimal Choice'!$B$4*AO127))</f>
        <v>45.49945437</v>
      </c>
      <c r="H127" s="11">
        <f>(U127/$B127)+(U127/('Optimal Choice'!$B$9*AP127))</f>
        <v>49.24514641</v>
      </c>
      <c r="I127" s="11">
        <f>(V127/$B127)+(V127/('Optimal Choice'!$B$14*AQ127))</f>
        <v>50.75891752</v>
      </c>
      <c r="J127" s="11">
        <f>(W127/$B127)+(W127/('Optimal Choice'!$B$19*AR127))</f>
        <v>46.57763511</v>
      </c>
      <c r="K127" s="11">
        <f>(X127/$B127)+(X127/('Optimal Choice'!$B$24*AS127))</f>
        <v>70.96957392</v>
      </c>
      <c r="N127" s="12">
        <f t="shared" ref="N127:R127" si="375">if(min($G126:$K126)=G126,N126+1,N126)</f>
        <v>90</v>
      </c>
      <c r="O127" s="12">
        <f t="shared" si="375"/>
        <v>19</v>
      </c>
      <c r="P127" s="12">
        <f t="shared" si="375"/>
        <v>13</v>
      </c>
      <c r="Q127" s="12">
        <f t="shared" si="375"/>
        <v>4</v>
      </c>
      <c r="R127" s="12">
        <f t="shared" si="375"/>
        <v>0</v>
      </c>
      <c r="T127" s="13">
        <f> 'Optimal Choice'!$B$5*'Optimal Choice'!$B$6^(N127+1)</f>
        <v>1887.920754</v>
      </c>
      <c r="U127" s="13">
        <f> 'Optimal Choice'!$B$10*'Optimal Choice'!$B$11^(O127+1)</f>
        <v>981.9922436</v>
      </c>
      <c r="V127" s="13">
        <f> 'Optimal Choice'!$B$15*'Optimal Choice'!$B$16^(P127+1)</f>
        <v>4508.171355</v>
      </c>
      <c r="W127" s="13">
        <f> 'Optimal Choice'!$B$20*'Optimal Choice'!$B$21^(Q127+1)</f>
        <v>15918.63995</v>
      </c>
      <c r="X127" s="13">
        <f> 'Optimal Choice'!$B$25*'Optimal Choice'!$B$26^(R127+1)</f>
        <v>116121.6</v>
      </c>
      <c r="AA127" s="12">
        <f t="shared" ref="AA127:AE127" si="376">if(isna(VLOOKUP(N127,$D$2:$E$10,2,false)),AA126, VLOOKUP(N127,$D$2:$E$10,2,false))</f>
        <v>25</v>
      </c>
      <c r="AB127" s="15">
        <f t="shared" si="376"/>
        <v>1</v>
      </c>
      <c r="AC127" s="15">
        <f t="shared" si="376"/>
        <v>1</v>
      </c>
      <c r="AD127" s="15">
        <f t="shared" si="376"/>
        <v>1</v>
      </c>
      <c r="AE127" s="15">
        <f t="shared" si="376"/>
        <v>1</v>
      </c>
      <c r="AH127" s="15">
        <f>N127*'Optimal Choice'!$B$4*AA127</f>
        <v>3757.5</v>
      </c>
      <c r="AI127" s="15">
        <f>O127*'Optimal Choice'!$B$9*AB127</f>
        <v>380</v>
      </c>
      <c r="AJ127" s="15">
        <f>P127*'Optimal Choice'!$B$14*AC127</f>
        <v>1170</v>
      </c>
      <c r="AK127" s="15">
        <f>Q127*'Optimal Choice'!$B$19*AD127</f>
        <v>1440</v>
      </c>
      <c r="AL127" s="15">
        <f>R127*'Optimal Choice'!$B$24*AE127</f>
        <v>0</v>
      </c>
      <c r="AO127" s="12">
        <f t="shared" ref="AO127:AS127" si="377">if(isna(VLOOKUP(N127+1,$D$2:$E$10,2,false)),AO126, VLOOKUP(N127+1,$D$2:$E$10,2,false))</f>
        <v>25</v>
      </c>
      <c r="AP127" s="15">
        <f t="shared" si="377"/>
        <v>1</v>
      </c>
      <c r="AQ127" s="15">
        <f t="shared" si="377"/>
        <v>1</v>
      </c>
      <c r="AR127" s="15">
        <f t="shared" si="377"/>
        <v>1</v>
      </c>
      <c r="AS127" s="15">
        <f t="shared" si="377"/>
        <v>1</v>
      </c>
      <c r="AU127" s="11">
        <f t="shared" si="8"/>
        <v>0.009899953126</v>
      </c>
    </row>
    <row r="128" ht="15.75" customHeight="1">
      <c r="A128" s="16">
        <f t="shared" si="4"/>
        <v>0.8826622338</v>
      </c>
      <c r="B128" s="7">
        <f>(sum(AH128:AL128))*'Optimal Choice'!$B$28</f>
        <v>6789.25</v>
      </c>
      <c r="C128" s="11"/>
      <c r="D128" s="12"/>
      <c r="E128" s="12"/>
      <c r="F128" s="11"/>
      <c r="G128" s="11">
        <f>(T128/$B128)+(T128/('Optimal Choice'!$B$4*AO128))</f>
        <v>48.68257515</v>
      </c>
      <c r="H128" s="11">
        <f>(U128/$B128)+(U128/('Optimal Choice'!$B$9*AP128))</f>
        <v>49.24425146</v>
      </c>
      <c r="I128" s="11">
        <f>(V128/$B128)+(V128/('Optimal Choice'!$B$14*AQ128))</f>
        <v>50.75480894</v>
      </c>
      <c r="J128" s="11">
        <f>(W128/$B128)+(W128/('Optimal Choice'!$B$19*AR128))</f>
        <v>46.56312743</v>
      </c>
      <c r="K128" s="11">
        <f>(X128/$B128)+(X128/('Optimal Choice'!$B$24*AS128))</f>
        <v>70.86374489</v>
      </c>
      <c r="N128" s="12">
        <f t="shared" ref="N128:R128" si="378">if(min($G127:$K127)=G127,N127+1,N127)</f>
        <v>91</v>
      </c>
      <c r="O128" s="12">
        <f t="shared" si="378"/>
        <v>19</v>
      </c>
      <c r="P128" s="12">
        <f t="shared" si="378"/>
        <v>13</v>
      </c>
      <c r="Q128" s="12">
        <f t="shared" si="378"/>
        <v>4</v>
      </c>
      <c r="R128" s="12">
        <f t="shared" si="378"/>
        <v>0</v>
      </c>
      <c r="T128" s="13">
        <f> 'Optimal Choice'!$B$5*'Optimal Choice'!$B$6^(N128+1)</f>
        <v>2020.075207</v>
      </c>
      <c r="U128" s="13">
        <f> 'Optimal Choice'!$B$10*'Optimal Choice'!$B$11^(O128+1)</f>
        <v>981.9922436</v>
      </c>
      <c r="V128" s="13">
        <f> 'Optimal Choice'!$B$15*'Optimal Choice'!$B$16^(P128+1)</f>
        <v>4508.171355</v>
      </c>
      <c r="W128" s="13">
        <f> 'Optimal Choice'!$B$20*'Optimal Choice'!$B$21^(Q128+1)</f>
        <v>15918.63995</v>
      </c>
      <c r="X128" s="13">
        <f> 'Optimal Choice'!$B$25*'Optimal Choice'!$B$26^(R128+1)</f>
        <v>116121.6</v>
      </c>
      <c r="AA128" s="12">
        <f t="shared" ref="AA128:AE128" si="379">if(isna(VLOOKUP(N128,$D$2:$E$10,2,false)),AA127, VLOOKUP(N128,$D$2:$E$10,2,false))</f>
        <v>25</v>
      </c>
      <c r="AB128" s="15">
        <f t="shared" si="379"/>
        <v>1</v>
      </c>
      <c r="AC128" s="15">
        <f t="shared" si="379"/>
        <v>1</v>
      </c>
      <c r="AD128" s="15">
        <f t="shared" si="379"/>
        <v>1</v>
      </c>
      <c r="AE128" s="15">
        <f t="shared" si="379"/>
        <v>1</v>
      </c>
      <c r="AH128" s="15">
        <f>N128*'Optimal Choice'!$B$4*AA128</f>
        <v>3799.25</v>
      </c>
      <c r="AI128" s="15">
        <f>O128*'Optimal Choice'!$B$9*AB128</f>
        <v>380</v>
      </c>
      <c r="AJ128" s="15">
        <f>P128*'Optimal Choice'!$B$14*AC128</f>
        <v>1170</v>
      </c>
      <c r="AK128" s="15">
        <f>Q128*'Optimal Choice'!$B$19*AD128</f>
        <v>1440</v>
      </c>
      <c r="AL128" s="15">
        <f>R128*'Optimal Choice'!$B$24*AE128</f>
        <v>0</v>
      </c>
      <c r="AO128" s="12">
        <f t="shared" ref="AO128:AS128" si="380">if(isna(VLOOKUP(N128+1,$D$2:$E$10,2,false)),AO127, VLOOKUP(N128+1,$D$2:$E$10,2,false))</f>
        <v>25</v>
      </c>
      <c r="AP128" s="15">
        <f t="shared" si="380"/>
        <v>1</v>
      </c>
      <c r="AQ128" s="15">
        <f t="shared" si="380"/>
        <v>1</v>
      </c>
      <c r="AR128" s="15">
        <f t="shared" si="380"/>
        <v>1</v>
      </c>
      <c r="AS128" s="15">
        <f t="shared" si="380"/>
        <v>1</v>
      </c>
      <c r="AU128" s="11">
        <f t="shared" si="8"/>
        <v>0.004663259859</v>
      </c>
    </row>
    <row r="129" ht="15.75" customHeight="1">
      <c r="A129" s="16">
        <f t="shared" si="4"/>
        <v>0.921740286</v>
      </c>
      <c r="B129" s="7">
        <f>(sum(AH129:AL129))*'Optimal Choice'!$B$28</f>
        <v>7149.25</v>
      </c>
      <c r="C129" s="11"/>
      <c r="D129" s="12"/>
      <c r="E129" s="12"/>
      <c r="F129" s="11"/>
      <c r="G129" s="11">
        <f>(T129/$B129)+(T129/('Optimal Choice'!$B$4*AO129))</f>
        <v>48.66759253</v>
      </c>
      <c r="H129" s="11">
        <f>(U129/$B129)+(U129/('Optimal Choice'!$B$9*AP129))</f>
        <v>49.23696816</v>
      </c>
      <c r="I129" s="11">
        <f>(V129/$B129)+(V129/('Optimal Choice'!$B$14*AQ129))</f>
        <v>50.72137245</v>
      </c>
      <c r="J129" s="11">
        <f>(W129/$B129)+(W129/('Optimal Choice'!$B$19*AR129))</f>
        <v>52.48291901</v>
      </c>
      <c r="K129" s="11">
        <f>(X129/$B129)+(X129/('Optimal Choice'!$B$24*AS129))</f>
        <v>70.00248697</v>
      </c>
      <c r="N129" s="12">
        <f t="shared" ref="N129:R129" si="381">if(min($G128:$K128)=G128,N128+1,N128)</f>
        <v>91</v>
      </c>
      <c r="O129" s="12">
        <f t="shared" si="381"/>
        <v>19</v>
      </c>
      <c r="P129" s="12">
        <f t="shared" si="381"/>
        <v>13</v>
      </c>
      <c r="Q129" s="12">
        <f t="shared" si="381"/>
        <v>5</v>
      </c>
      <c r="R129" s="12">
        <f t="shared" si="381"/>
        <v>0</v>
      </c>
      <c r="T129" s="13">
        <f> 'Optimal Choice'!$B$5*'Optimal Choice'!$B$6^(N129+1)</f>
        <v>2020.075207</v>
      </c>
      <c r="U129" s="13">
        <f> 'Optimal Choice'!$B$10*'Optimal Choice'!$B$11^(O129+1)</f>
        <v>981.9922436</v>
      </c>
      <c r="V129" s="13">
        <f> 'Optimal Choice'!$B$15*'Optimal Choice'!$B$16^(P129+1)</f>
        <v>4508.171355</v>
      </c>
      <c r="W129" s="13">
        <f> 'Optimal Choice'!$B$20*'Optimal Choice'!$B$21^(Q129+1)</f>
        <v>17988.06314</v>
      </c>
      <c r="X129" s="13">
        <f> 'Optimal Choice'!$B$25*'Optimal Choice'!$B$26^(R129+1)</f>
        <v>116121.6</v>
      </c>
      <c r="AA129" s="12">
        <f t="shared" ref="AA129:AE129" si="382">if(isna(VLOOKUP(N129,$D$2:$E$10,2,false)),AA128, VLOOKUP(N129,$D$2:$E$10,2,false))</f>
        <v>25</v>
      </c>
      <c r="AB129" s="15">
        <f t="shared" si="382"/>
        <v>1</v>
      </c>
      <c r="AC129" s="15">
        <f t="shared" si="382"/>
        <v>1</v>
      </c>
      <c r="AD129" s="15">
        <f t="shared" si="382"/>
        <v>1</v>
      </c>
      <c r="AE129" s="15">
        <f t="shared" si="382"/>
        <v>1</v>
      </c>
      <c r="AH129" s="15">
        <f>N129*'Optimal Choice'!$B$4*AA129</f>
        <v>3799.25</v>
      </c>
      <c r="AI129" s="15">
        <f>O129*'Optimal Choice'!$B$9*AB129</f>
        <v>380</v>
      </c>
      <c r="AJ129" s="15">
        <f>P129*'Optimal Choice'!$B$14*AC129</f>
        <v>1170</v>
      </c>
      <c r="AK129" s="15">
        <f>Q129*'Optimal Choice'!$B$19*AD129</f>
        <v>1800</v>
      </c>
      <c r="AL129" s="15">
        <f>R129*'Optimal Choice'!$B$24*AE129</f>
        <v>0</v>
      </c>
      <c r="AO129" s="12">
        <f t="shared" ref="AO129:AS129" si="383">if(isna(VLOOKUP(N129+1,$D$2:$E$10,2,false)),AO128, VLOOKUP(N129+1,$D$2:$E$10,2,false))</f>
        <v>25</v>
      </c>
      <c r="AP129" s="15">
        <f t="shared" si="383"/>
        <v>1</v>
      </c>
      <c r="AQ129" s="15">
        <f t="shared" si="383"/>
        <v>1</v>
      </c>
      <c r="AR129" s="15">
        <f t="shared" si="383"/>
        <v>1</v>
      </c>
      <c r="AS129" s="15">
        <f t="shared" si="383"/>
        <v>1</v>
      </c>
      <c r="AU129" s="11">
        <f t="shared" si="8"/>
        <v>0.03907805219</v>
      </c>
    </row>
    <row r="130" ht="15.75" customHeight="1">
      <c r="A130" s="16">
        <f t="shared" si="4"/>
        <v>0.92644958</v>
      </c>
      <c r="B130" s="7">
        <f>(sum(AH130:AL130))*'Optimal Choice'!$B$28</f>
        <v>7191</v>
      </c>
      <c r="C130" s="11"/>
      <c r="D130" s="12"/>
      <c r="E130" s="12"/>
      <c r="F130" s="11"/>
      <c r="G130" s="11">
        <f>(T130/$B130)+(T130/('Optimal Choice'!$B$4*AO130))</f>
        <v>52.07256868</v>
      </c>
      <c r="H130" s="11">
        <f>(U130/$B130)+(U130/('Optimal Choice'!$B$9*AP130))</f>
        <v>49.23617069</v>
      </c>
      <c r="I130" s="11">
        <f>(V130/$B130)+(V130/('Optimal Choice'!$B$14*AQ130))</f>
        <v>50.71771139</v>
      </c>
      <c r="J130" s="11">
        <f>(W130/$B130)+(W130/('Optimal Choice'!$B$19*AR130))</f>
        <v>52.468311</v>
      </c>
      <c r="K130" s="11">
        <f>(X130/$B130)+(X130/('Optimal Choice'!$B$24*AS130))</f>
        <v>69.90818523</v>
      </c>
      <c r="N130" s="12">
        <f t="shared" ref="N130:R130" si="384">if(min($G129:$K129)=G129,N129+1,N129)</f>
        <v>92</v>
      </c>
      <c r="O130" s="12">
        <f t="shared" si="384"/>
        <v>19</v>
      </c>
      <c r="P130" s="12">
        <f t="shared" si="384"/>
        <v>13</v>
      </c>
      <c r="Q130" s="12">
        <f t="shared" si="384"/>
        <v>5</v>
      </c>
      <c r="R130" s="12">
        <f t="shared" si="384"/>
        <v>0</v>
      </c>
      <c r="T130" s="13">
        <f> 'Optimal Choice'!$B$5*'Optimal Choice'!$B$6^(N130+1)</f>
        <v>2161.480471</v>
      </c>
      <c r="U130" s="13">
        <f> 'Optimal Choice'!$B$10*'Optimal Choice'!$B$11^(O130+1)</f>
        <v>981.9922436</v>
      </c>
      <c r="V130" s="13">
        <f> 'Optimal Choice'!$B$15*'Optimal Choice'!$B$16^(P130+1)</f>
        <v>4508.171355</v>
      </c>
      <c r="W130" s="13">
        <f> 'Optimal Choice'!$B$20*'Optimal Choice'!$B$21^(Q130+1)</f>
        <v>17988.06314</v>
      </c>
      <c r="X130" s="13">
        <f> 'Optimal Choice'!$B$25*'Optimal Choice'!$B$26^(R130+1)</f>
        <v>116121.6</v>
      </c>
      <c r="AA130" s="12">
        <f t="shared" ref="AA130:AE130" si="385">if(isna(VLOOKUP(N130,$D$2:$E$10,2,false)),AA129, VLOOKUP(N130,$D$2:$E$10,2,false))</f>
        <v>25</v>
      </c>
      <c r="AB130" s="15">
        <f t="shared" si="385"/>
        <v>1</v>
      </c>
      <c r="AC130" s="15">
        <f t="shared" si="385"/>
        <v>1</v>
      </c>
      <c r="AD130" s="15">
        <f t="shared" si="385"/>
        <v>1</v>
      </c>
      <c r="AE130" s="15">
        <f t="shared" si="385"/>
        <v>1</v>
      </c>
      <c r="AH130" s="15">
        <f>N130*'Optimal Choice'!$B$4*AA130</f>
        <v>3841</v>
      </c>
      <c r="AI130" s="15">
        <f>O130*'Optimal Choice'!$B$9*AB130</f>
        <v>380</v>
      </c>
      <c r="AJ130" s="15">
        <f>P130*'Optimal Choice'!$B$14*AC130</f>
        <v>1170</v>
      </c>
      <c r="AK130" s="15">
        <f>Q130*'Optimal Choice'!$B$19*AD130</f>
        <v>1800</v>
      </c>
      <c r="AL130" s="15">
        <f>R130*'Optimal Choice'!$B$24*AE130</f>
        <v>0</v>
      </c>
      <c r="AO130" s="12">
        <f t="shared" ref="AO130:AS130" si="386">if(isna(VLOOKUP(N130+1,$D$2:$E$10,2,false)),AO129, VLOOKUP(N130+1,$D$2:$E$10,2,false))</f>
        <v>25</v>
      </c>
      <c r="AP130" s="15">
        <f t="shared" si="386"/>
        <v>1</v>
      </c>
      <c r="AQ130" s="15">
        <f t="shared" si="386"/>
        <v>1</v>
      </c>
      <c r="AR130" s="15">
        <f t="shared" si="386"/>
        <v>1</v>
      </c>
      <c r="AS130" s="15">
        <f t="shared" si="386"/>
        <v>1</v>
      </c>
      <c r="AU130" s="11">
        <f t="shared" si="8"/>
        <v>0.004709293997</v>
      </c>
    </row>
    <row r="131" ht="15.75" customHeight="1">
      <c r="A131" s="16">
        <f t="shared" si="4"/>
        <v>0.9287255552</v>
      </c>
      <c r="B131" s="7">
        <f>(sum(AH131:AL131))*'Optimal Choice'!$B$28</f>
        <v>7211</v>
      </c>
      <c r="C131" s="11"/>
      <c r="D131" s="12"/>
      <c r="E131" s="12"/>
      <c r="F131" s="11"/>
      <c r="G131" s="11">
        <f>(T131/$B131)+(T131/('Optimal Choice'!$B$4*AO131))</f>
        <v>52.071735</v>
      </c>
      <c r="H131" s="11">
        <f>(U131/$B131)+(U131/('Optimal Choice'!$B$9*AP131))</f>
        <v>56.62116073</v>
      </c>
      <c r="I131" s="11">
        <f>(V131/$B131)+(V131/('Optimal Choice'!$B$14*AQ131))</f>
        <v>50.71597261</v>
      </c>
      <c r="J131" s="11">
        <f>(W131/$B131)+(W131/('Optimal Choice'!$B$19*AR131))</f>
        <v>52.46137308</v>
      </c>
      <c r="K131" s="11">
        <f>(X131/$B131)+(X131/('Optimal Choice'!$B$24*AS131))</f>
        <v>69.86339759</v>
      </c>
      <c r="N131" s="12">
        <f t="shared" ref="N131:R131" si="387">if(min($G130:$K130)=G130,N130+1,N130)</f>
        <v>92</v>
      </c>
      <c r="O131" s="12">
        <f t="shared" si="387"/>
        <v>20</v>
      </c>
      <c r="P131" s="12">
        <f t="shared" si="387"/>
        <v>13</v>
      </c>
      <c r="Q131" s="12">
        <f t="shared" si="387"/>
        <v>5</v>
      </c>
      <c r="R131" s="12">
        <f t="shared" si="387"/>
        <v>0</v>
      </c>
      <c r="T131" s="13">
        <f> 'Optimal Choice'!$B$5*'Optimal Choice'!$B$6^(N131+1)</f>
        <v>2161.480471</v>
      </c>
      <c r="U131" s="13">
        <f> 'Optimal Choice'!$B$10*'Optimal Choice'!$B$11^(O131+1)</f>
        <v>1129.29108</v>
      </c>
      <c r="V131" s="13">
        <f> 'Optimal Choice'!$B$15*'Optimal Choice'!$B$16^(P131+1)</f>
        <v>4508.171355</v>
      </c>
      <c r="W131" s="13">
        <f> 'Optimal Choice'!$B$20*'Optimal Choice'!$B$21^(Q131+1)</f>
        <v>17988.06314</v>
      </c>
      <c r="X131" s="13">
        <f> 'Optimal Choice'!$B$25*'Optimal Choice'!$B$26^(R131+1)</f>
        <v>116121.6</v>
      </c>
      <c r="AA131" s="12">
        <f t="shared" ref="AA131:AE131" si="388">if(isna(VLOOKUP(N131,$D$2:$E$10,2,false)),AA130, VLOOKUP(N131,$D$2:$E$10,2,false))</f>
        <v>25</v>
      </c>
      <c r="AB131" s="15">
        <f t="shared" si="388"/>
        <v>1</v>
      </c>
      <c r="AC131" s="15">
        <f t="shared" si="388"/>
        <v>1</v>
      </c>
      <c r="AD131" s="15">
        <f t="shared" si="388"/>
        <v>1</v>
      </c>
      <c r="AE131" s="15">
        <f t="shared" si="388"/>
        <v>1</v>
      </c>
      <c r="AH131" s="15">
        <f>N131*'Optimal Choice'!$B$4*AA131</f>
        <v>3841</v>
      </c>
      <c r="AI131" s="15">
        <f>O131*'Optimal Choice'!$B$9*AB131</f>
        <v>400</v>
      </c>
      <c r="AJ131" s="15">
        <f>P131*'Optimal Choice'!$B$14*AC131</f>
        <v>1170</v>
      </c>
      <c r="AK131" s="15">
        <f>Q131*'Optimal Choice'!$B$19*AD131</f>
        <v>1800</v>
      </c>
      <c r="AL131" s="15">
        <f>R131*'Optimal Choice'!$B$24*AE131</f>
        <v>0</v>
      </c>
      <c r="AO131" s="12">
        <f t="shared" ref="AO131:AS131" si="389">if(isna(VLOOKUP(N131+1,$D$2:$E$10,2,false)),AO130, VLOOKUP(N131+1,$D$2:$E$10,2,false))</f>
        <v>25</v>
      </c>
      <c r="AP131" s="15">
        <f t="shared" si="389"/>
        <v>1</v>
      </c>
      <c r="AQ131" s="15">
        <f t="shared" si="389"/>
        <v>1</v>
      </c>
      <c r="AR131" s="15">
        <f t="shared" si="389"/>
        <v>1</v>
      </c>
      <c r="AS131" s="15">
        <f t="shared" si="389"/>
        <v>1</v>
      </c>
      <c r="AU131" s="11">
        <f t="shared" si="8"/>
        <v>0.002275975162</v>
      </c>
    </row>
    <row r="132" ht="15.75" customHeight="1">
      <c r="A132" s="16">
        <f t="shared" si="4"/>
        <v>0.9391452181</v>
      </c>
      <c r="B132" s="7">
        <f>(sum(AH132:AL132))*'Optimal Choice'!$B$28</f>
        <v>7301</v>
      </c>
      <c r="C132" s="11"/>
      <c r="D132" s="12"/>
      <c r="E132" s="12"/>
      <c r="F132" s="11"/>
      <c r="G132" s="11">
        <f>(T132/$B132)+(T132/('Optimal Choice'!$B$4*AO132))</f>
        <v>52.06803999</v>
      </c>
      <c r="H132" s="11">
        <f>(U132/$B132)+(U132/('Optimal Choice'!$B$9*AP132))</f>
        <v>56.61923023</v>
      </c>
      <c r="I132" s="11">
        <f>(V132/$B132)+(V132/('Optimal Choice'!$B$14*AQ132))</f>
        <v>57.8074232</v>
      </c>
      <c r="J132" s="11">
        <f>(W132/$B132)+(W132/('Optimal Choice'!$B$19*AR132))</f>
        <v>52.4306228</v>
      </c>
      <c r="K132" s="11">
        <f>(X132/$B132)+(X132/('Optimal Choice'!$B$24*AS132))</f>
        <v>69.66488974</v>
      </c>
      <c r="N132" s="12">
        <f t="shared" ref="N132:R132" si="390">if(min($G131:$K131)=G131,N131+1,N131)</f>
        <v>92</v>
      </c>
      <c r="O132" s="12">
        <f t="shared" si="390"/>
        <v>20</v>
      </c>
      <c r="P132" s="12">
        <f t="shared" si="390"/>
        <v>14</v>
      </c>
      <c r="Q132" s="12">
        <f t="shared" si="390"/>
        <v>5</v>
      </c>
      <c r="R132" s="12">
        <f t="shared" si="390"/>
        <v>0</v>
      </c>
      <c r="T132" s="13">
        <f> 'Optimal Choice'!$B$5*'Optimal Choice'!$B$6^(N132+1)</f>
        <v>2161.480471</v>
      </c>
      <c r="U132" s="13">
        <f> 'Optimal Choice'!$B$10*'Optimal Choice'!$B$11^(O132+1)</f>
        <v>1129.29108</v>
      </c>
      <c r="V132" s="13">
        <f> 'Optimal Choice'!$B$15*'Optimal Choice'!$B$16^(P132+1)</f>
        <v>5139.315344</v>
      </c>
      <c r="W132" s="13">
        <f> 'Optimal Choice'!$B$20*'Optimal Choice'!$B$21^(Q132+1)</f>
        <v>17988.06314</v>
      </c>
      <c r="X132" s="13">
        <f> 'Optimal Choice'!$B$25*'Optimal Choice'!$B$26^(R132+1)</f>
        <v>116121.6</v>
      </c>
      <c r="AA132" s="12">
        <f t="shared" ref="AA132:AE132" si="391">if(isna(VLOOKUP(N132,$D$2:$E$10,2,false)),AA131, VLOOKUP(N132,$D$2:$E$10,2,false))</f>
        <v>25</v>
      </c>
      <c r="AB132" s="15">
        <f t="shared" si="391"/>
        <v>1</v>
      </c>
      <c r="AC132" s="15">
        <f t="shared" si="391"/>
        <v>1</v>
      </c>
      <c r="AD132" s="15">
        <f t="shared" si="391"/>
        <v>1</v>
      </c>
      <c r="AE132" s="15">
        <f t="shared" si="391"/>
        <v>1</v>
      </c>
      <c r="AH132" s="15">
        <f>N132*'Optimal Choice'!$B$4*AA132</f>
        <v>3841</v>
      </c>
      <c r="AI132" s="15">
        <f>O132*'Optimal Choice'!$B$9*AB132</f>
        <v>400</v>
      </c>
      <c r="AJ132" s="15">
        <f>P132*'Optimal Choice'!$B$14*AC132</f>
        <v>1260</v>
      </c>
      <c r="AK132" s="15">
        <f>Q132*'Optimal Choice'!$B$19*AD132</f>
        <v>1800</v>
      </c>
      <c r="AL132" s="15">
        <f>R132*'Optimal Choice'!$B$24*AE132</f>
        <v>0</v>
      </c>
      <c r="AO132" s="12">
        <f t="shared" ref="AO132:AS132" si="392">if(isna(VLOOKUP(N132+1,$D$2:$E$10,2,false)),AO131, VLOOKUP(N132+1,$D$2:$E$10,2,false))</f>
        <v>25</v>
      </c>
      <c r="AP132" s="15">
        <f t="shared" si="392"/>
        <v>1</v>
      </c>
      <c r="AQ132" s="15">
        <f t="shared" si="392"/>
        <v>1</v>
      </c>
      <c r="AR132" s="15">
        <f t="shared" si="392"/>
        <v>1</v>
      </c>
      <c r="AS132" s="15">
        <f t="shared" si="392"/>
        <v>1</v>
      </c>
      <c r="AU132" s="11">
        <f t="shared" si="8"/>
        <v>0.01041966291</v>
      </c>
    </row>
    <row r="133" ht="15.75" customHeight="1">
      <c r="A133" s="16">
        <f t="shared" si="4"/>
        <v>0.9440794291</v>
      </c>
      <c r="B133" s="7">
        <f>(sum(AH133:AL133))*'Optimal Choice'!$B$28</f>
        <v>7342.75</v>
      </c>
      <c r="C133" s="11"/>
      <c r="D133" s="12"/>
      <c r="E133" s="12"/>
      <c r="F133" s="11"/>
      <c r="G133" s="11">
        <f>(T133/$B133)+(T133/('Optimal Choice'!$B$4*AO133))</f>
        <v>55.71100164</v>
      </c>
      <c r="H133" s="11">
        <f>(U133/$B133)+(U133/('Optimal Choice'!$B$9*AP133))</f>
        <v>56.61835075</v>
      </c>
      <c r="I133" s="11">
        <f>(V133/$B133)+(V133/('Optimal Choice'!$B$14*AQ133))</f>
        <v>57.8034208</v>
      </c>
      <c r="J133" s="11">
        <f>(W133/$B133)+(W133/('Optimal Choice'!$B$19*AR133))</f>
        <v>52.41661403</v>
      </c>
      <c r="K133" s="11">
        <f>(X133/$B133)+(X133/('Optimal Choice'!$B$24*AS133))</f>
        <v>69.57445644</v>
      </c>
      <c r="N133" s="12">
        <f t="shared" ref="N133:R133" si="393">if(min($G132:$K132)=G132,N132+1,N132)</f>
        <v>93</v>
      </c>
      <c r="O133" s="12">
        <f t="shared" si="393"/>
        <v>20</v>
      </c>
      <c r="P133" s="12">
        <f t="shared" si="393"/>
        <v>14</v>
      </c>
      <c r="Q133" s="12">
        <f t="shared" si="393"/>
        <v>5</v>
      </c>
      <c r="R133" s="12">
        <f t="shared" si="393"/>
        <v>0</v>
      </c>
      <c r="T133" s="13">
        <f> 'Optimal Choice'!$B$5*'Optimal Choice'!$B$6^(N133+1)</f>
        <v>2312.784104</v>
      </c>
      <c r="U133" s="13">
        <f> 'Optimal Choice'!$B$10*'Optimal Choice'!$B$11^(O133+1)</f>
        <v>1129.29108</v>
      </c>
      <c r="V133" s="13">
        <f> 'Optimal Choice'!$B$15*'Optimal Choice'!$B$16^(P133+1)</f>
        <v>5139.315344</v>
      </c>
      <c r="W133" s="13">
        <f> 'Optimal Choice'!$B$20*'Optimal Choice'!$B$21^(Q133+1)</f>
        <v>17988.06314</v>
      </c>
      <c r="X133" s="13">
        <f> 'Optimal Choice'!$B$25*'Optimal Choice'!$B$26^(R133+1)</f>
        <v>116121.6</v>
      </c>
      <c r="AA133" s="12">
        <f t="shared" ref="AA133:AE133" si="394">if(isna(VLOOKUP(N133,$D$2:$E$10,2,false)),AA132, VLOOKUP(N133,$D$2:$E$10,2,false))</f>
        <v>25</v>
      </c>
      <c r="AB133" s="15">
        <f t="shared" si="394"/>
        <v>1</v>
      </c>
      <c r="AC133" s="15">
        <f t="shared" si="394"/>
        <v>1</v>
      </c>
      <c r="AD133" s="15">
        <f t="shared" si="394"/>
        <v>1</v>
      </c>
      <c r="AE133" s="15">
        <f t="shared" si="394"/>
        <v>1</v>
      </c>
      <c r="AH133" s="15">
        <f>N133*'Optimal Choice'!$B$4*AA133</f>
        <v>3882.75</v>
      </c>
      <c r="AI133" s="15">
        <f>O133*'Optimal Choice'!$B$9*AB133</f>
        <v>400</v>
      </c>
      <c r="AJ133" s="15">
        <f>P133*'Optimal Choice'!$B$14*AC133</f>
        <v>1260</v>
      </c>
      <c r="AK133" s="15">
        <f>Q133*'Optimal Choice'!$B$19*AD133</f>
        <v>1800</v>
      </c>
      <c r="AL133" s="15">
        <f>R133*'Optimal Choice'!$B$24*AE133</f>
        <v>0</v>
      </c>
      <c r="AO133" s="12">
        <f t="shared" ref="AO133:AS133" si="395">if(isna(VLOOKUP(N133+1,$D$2:$E$10,2,false)),AO132, VLOOKUP(N133+1,$D$2:$E$10,2,false))</f>
        <v>25</v>
      </c>
      <c r="AP133" s="15">
        <f t="shared" si="395"/>
        <v>1</v>
      </c>
      <c r="AQ133" s="15">
        <f t="shared" si="395"/>
        <v>1</v>
      </c>
      <c r="AR133" s="15">
        <f t="shared" si="395"/>
        <v>1</v>
      </c>
      <c r="AS133" s="15">
        <f t="shared" si="395"/>
        <v>1</v>
      </c>
      <c r="AU133" s="11">
        <f t="shared" si="8"/>
        <v>0.004934211001</v>
      </c>
    </row>
    <row r="134" ht="15.75" customHeight="1">
      <c r="A134" s="16">
        <f t="shared" si="4"/>
        <v>0.9849089619</v>
      </c>
      <c r="B134" s="7">
        <f>(sum(AH134:AL134))*'Optimal Choice'!$B$28</f>
        <v>7702.75</v>
      </c>
      <c r="C134" s="11"/>
      <c r="D134" s="12"/>
      <c r="E134" s="12"/>
      <c r="F134" s="11"/>
      <c r="G134" s="11">
        <f>(T134/$B134)+(T134/('Optimal Choice'!$B$4*AO134))</f>
        <v>55.69628078</v>
      </c>
      <c r="H134" s="11">
        <f>(U134/$B134)+(U134/('Optimal Choice'!$B$9*AP134))</f>
        <v>56.61116282</v>
      </c>
      <c r="I134" s="11">
        <f>(V134/$B134)+(V134/('Optimal Choice'!$B$14*AQ134))</f>
        <v>57.77070909</v>
      </c>
      <c r="J134" s="11">
        <f>(W134/$B134)+(W134/('Optimal Choice'!$B$19*AR134))</f>
        <v>59.10139575</v>
      </c>
      <c r="K134" s="11">
        <f>(X134/$B134)+(X134/('Optimal Choice'!$B$24*AS134))</f>
        <v>68.83534322</v>
      </c>
      <c r="N134" s="12">
        <f t="shared" ref="N134:R134" si="396">if(min($G133:$K133)=G133,N133+1,N133)</f>
        <v>93</v>
      </c>
      <c r="O134" s="12">
        <f t="shared" si="396"/>
        <v>20</v>
      </c>
      <c r="P134" s="12">
        <f t="shared" si="396"/>
        <v>14</v>
      </c>
      <c r="Q134" s="12">
        <f t="shared" si="396"/>
        <v>6</v>
      </c>
      <c r="R134" s="12">
        <f t="shared" si="396"/>
        <v>0</v>
      </c>
      <c r="T134" s="13">
        <f> 'Optimal Choice'!$B$5*'Optimal Choice'!$B$6^(N134+1)</f>
        <v>2312.784104</v>
      </c>
      <c r="U134" s="13">
        <f> 'Optimal Choice'!$B$10*'Optimal Choice'!$B$11^(O134+1)</f>
        <v>1129.29108</v>
      </c>
      <c r="V134" s="13">
        <f> 'Optimal Choice'!$B$15*'Optimal Choice'!$B$16^(P134+1)</f>
        <v>5139.315344</v>
      </c>
      <c r="W134" s="13">
        <f> 'Optimal Choice'!$B$20*'Optimal Choice'!$B$21^(Q134+1)</f>
        <v>20326.51135</v>
      </c>
      <c r="X134" s="13">
        <f> 'Optimal Choice'!$B$25*'Optimal Choice'!$B$26^(R134+1)</f>
        <v>116121.6</v>
      </c>
      <c r="AA134" s="12">
        <f t="shared" ref="AA134:AE134" si="397">if(isna(VLOOKUP(N134,$D$2:$E$10,2,false)),AA133, VLOOKUP(N134,$D$2:$E$10,2,false))</f>
        <v>25</v>
      </c>
      <c r="AB134" s="15">
        <f t="shared" si="397"/>
        <v>1</v>
      </c>
      <c r="AC134" s="15">
        <f t="shared" si="397"/>
        <v>1</v>
      </c>
      <c r="AD134" s="15">
        <f t="shared" si="397"/>
        <v>1</v>
      </c>
      <c r="AE134" s="15">
        <f t="shared" si="397"/>
        <v>1</v>
      </c>
      <c r="AH134" s="15">
        <f>N134*'Optimal Choice'!$B$4*AA134</f>
        <v>3882.75</v>
      </c>
      <c r="AI134" s="15">
        <f>O134*'Optimal Choice'!$B$9*AB134</f>
        <v>400</v>
      </c>
      <c r="AJ134" s="15">
        <f>P134*'Optimal Choice'!$B$14*AC134</f>
        <v>1260</v>
      </c>
      <c r="AK134" s="15">
        <f>Q134*'Optimal Choice'!$B$19*AD134</f>
        <v>2160</v>
      </c>
      <c r="AL134" s="15">
        <f>R134*'Optimal Choice'!$B$24*AE134</f>
        <v>0</v>
      </c>
      <c r="AO134" s="12">
        <f t="shared" ref="AO134:AS134" si="398">if(isna(VLOOKUP(N134+1,$D$2:$E$10,2,false)),AO133, VLOOKUP(N134+1,$D$2:$E$10,2,false))</f>
        <v>25</v>
      </c>
      <c r="AP134" s="15">
        <f t="shared" si="398"/>
        <v>1</v>
      </c>
      <c r="AQ134" s="15">
        <f t="shared" si="398"/>
        <v>1</v>
      </c>
      <c r="AR134" s="15">
        <f t="shared" si="398"/>
        <v>1</v>
      </c>
      <c r="AS134" s="15">
        <f t="shared" si="398"/>
        <v>1</v>
      </c>
      <c r="AU134" s="11">
        <f t="shared" si="8"/>
        <v>0.04082953286</v>
      </c>
    </row>
    <row r="135" ht="15.75" customHeight="1">
      <c r="A135" s="16">
        <f t="shared" si="4"/>
        <v>0.9899132009</v>
      </c>
      <c r="B135" s="7">
        <f>(sum(AH135:AL135))*'Optimal Choice'!$B$28</f>
        <v>7744.5</v>
      </c>
      <c r="C135" s="11"/>
      <c r="D135" s="12"/>
      <c r="E135" s="12"/>
      <c r="F135" s="11"/>
      <c r="G135" s="11">
        <f>(T135/$B135)+(T135/('Optimal Choice'!$B$4*AO135))</f>
        <v>59.59328848</v>
      </c>
      <c r="H135" s="11">
        <f>(U135/$B135)+(U135/('Optimal Choice'!$B$9*AP135))</f>
        <v>56.61037247</v>
      </c>
      <c r="I135" s="11">
        <f>(V135/$B135)+(V135/('Optimal Choice'!$B$14*AQ135))</f>
        <v>57.76711224</v>
      </c>
      <c r="J135" s="11">
        <f>(W135/$B135)+(W135/('Optimal Choice'!$B$19*AR135))</f>
        <v>59.08716984</v>
      </c>
      <c r="K135" s="11">
        <f>(X135/$B135)+(X135/('Optimal Choice'!$B$24*AS135))</f>
        <v>68.75407321</v>
      </c>
      <c r="N135" s="12">
        <f t="shared" ref="N135:R135" si="399">if(min($G134:$K134)=G134,N134+1,N134)</f>
        <v>94</v>
      </c>
      <c r="O135" s="12">
        <f t="shared" si="399"/>
        <v>20</v>
      </c>
      <c r="P135" s="12">
        <f t="shared" si="399"/>
        <v>14</v>
      </c>
      <c r="Q135" s="12">
        <f t="shared" si="399"/>
        <v>6</v>
      </c>
      <c r="R135" s="12">
        <f t="shared" si="399"/>
        <v>0</v>
      </c>
      <c r="T135" s="13">
        <f> 'Optimal Choice'!$B$5*'Optimal Choice'!$B$6^(N135+1)</f>
        <v>2474.678991</v>
      </c>
      <c r="U135" s="13">
        <f> 'Optimal Choice'!$B$10*'Optimal Choice'!$B$11^(O135+1)</f>
        <v>1129.29108</v>
      </c>
      <c r="V135" s="13">
        <f> 'Optimal Choice'!$B$15*'Optimal Choice'!$B$16^(P135+1)</f>
        <v>5139.315344</v>
      </c>
      <c r="W135" s="13">
        <f> 'Optimal Choice'!$B$20*'Optimal Choice'!$B$21^(Q135+1)</f>
        <v>20326.51135</v>
      </c>
      <c r="X135" s="13">
        <f> 'Optimal Choice'!$B$25*'Optimal Choice'!$B$26^(R135+1)</f>
        <v>116121.6</v>
      </c>
      <c r="AA135" s="12">
        <f t="shared" ref="AA135:AE135" si="400">if(isna(VLOOKUP(N135,$D$2:$E$10,2,false)),AA134, VLOOKUP(N135,$D$2:$E$10,2,false))</f>
        <v>25</v>
      </c>
      <c r="AB135" s="15">
        <f t="shared" si="400"/>
        <v>1</v>
      </c>
      <c r="AC135" s="15">
        <f t="shared" si="400"/>
        <v>1</v>
      </c>
      <c r="AD135" s="15">
        <f t="shared" si="400"/>
        <v>1</v>
      </c>
      <c r="AE135" s="15">
        <f t="shared" si="400"/>
        <v>1</v>
      </c>
      <c r="AH135" s="15">
        <f>N135*'Optimal Choice'!$B$4*AA135</f>
        <v>3924.5</v>
      </c>
      <c r="AI135" s="15">
        <f>O135*'Optimal Choice'!$B$9*AB135</f>
        <v>400</v>
      </c>
      <c r="AJ135" s="15">
        <f>P135*'Optimal Choice'!$B$14*AC135</f>
        <v>1260</v>
      </c>
      <c r="AK135" s="15">
        <f>Q135*'Optimal Choice'!$B$19*AD135</f>
        <v>2160</v>
      </c>
      <c r="AL135" s="15">
        <f>R135*'Optimal Choice'!$B$24*AE135</f>
        <v>0</v>
      </c>
      <c r="AO135" s="12">
        <f t="shared" ref="AO135:AS135" si="401">if(isna(VLOOKUP(N135+1,$D$2:$E$10,2,false)),AO134, VLOOKUP(N135+1,$D$2:$E$10,2,false))</f>
        <v>25</v>
      </c>
      <c r="AP135" s="15">
        <f t="shared" si="401"/>
        <v>1</v>
      </c>
      <c r="AQ135" s="15">
        <f t="shared" si="401"/>
        <v>1</v>
      </c>
      <c r="AR135" s="15">
        <f t="shared" si="401"/>
        <v>1</v>
      </c>
      <c r="AS135" s="15">
        <f t="shared" si="401"/>
        <v>1</v>
      </c>
      <c r="AU135" s="11">
        <f t="shared" si="8"/>
        <v>0.005004238971</v>
      </c>
    </row>
    <row r="136" ht="15.75" customHeight="1">
      <c r="A136" s="16">
        <f t="shared" si="4"/>
        <v>0.9923435086</v>
      </c>
      <c r="B136" s="7">
        <f>(sum(AH136:AL136))*'Optimal Choice'!$B$28</f>
        <v>7764.5</v>
      </c>
      <c r="C136" s="11"/>
      <c r="D136" s="12"/>
      <c r="E136" s="12"/>
      <c r="F136" s="11"/>
      <c r="G136" s="11">
        <f>(T136/$B136)+(T136/('Optimal Choice'!$B$4*AO136))</f>
        <v>59.5924654</v>
      </c>
      <c r="H136" s="11">
        <f>(U136/$B136)+(U136/('Optimal Choice'!$B$9*AP136))</f>
        <v>65.10149639</v>
      </c>
      <c r="I136" s="11">
        <f>(V136/$B136)+(V136/('Optimal Choice'!$B$14*AQ136))</f>
        <v>57.7654029</v>
      </c>
      <c r="J136" s="11">
        <f>(W136/$B136)+(W136/('Optimal Choice'!$B$19*AR136))</f>
        <v>59.08040922</v>
      </c>
      <c r="K136" s="11">
        <f>(X136/$B136)+(X136/('Optimal Choice'!$B$24*AS136))</f>
        <v>68.71545109</v>
      </c>
      <c r="N136" s="12">
        <f t="shared" ref="N136:R136" si="402">if(min($G135:$K135)=G135,N135+1,N135)</f>
        <v>94</v>
      </c>
      <c r="O136" s="12">
        <f t="shared" si="402"/>
        <v>21</v>
      </c>
      <c r="P136" s="12">
        <f t="shared" si="402"/>
        <v>14</v>
      </c>
      <c r="Q136" s="12">
        <f t="shared" si="402"/>
        <v>6</v>
      </c>
      <c r="R136" s="12">
        <f t="shared" si="402"/>
        <v>0</v>
      </c>
      <c r="T136" s="13">
        <f> 'Optimal Choice'!$B$5*'Optimal Choice'!$B$6^(N136+1)</f>
        <v>2474.678991</v>
      </c>
      <c r="U136" s="13">
        <f> 'Optimal Choice'!$B$10*'Optimal Choice'!$B$11^(O136+1)</f>
        <v>1298.684742</v>
      </c>
      <c r="V136" s="13">
        <f> 'Optimal Choice'!$B$15*'Optimal Choice'!$B$16^(P136+1)</f>
        <v>5139.315344</v>
      </c>
      <c r="W136" s="13">
        <f> 'Optimal Choice'!$B$20*'Optimal Choice'!$B$21^(Q136+1)</f>
        <v>20326.51135</v>
      </c>
      <c r="X136" s="13">
        <f> 'Optimal Choice'!$B$25*'Optimal Choice'!$B$26^(R136+1)</f>
        <v>116121.6</v>
      </c>
      <c r="AA136" s="12">
        <f t="shared" ref="AA136:AE136" si="403">if(isna(VLOOKUP(N136,$D$2:$E$10,2,false)),AA135, VLOOKUP(N136,$D$2:$E$10,2,false))</f>
        <v>25</v>
      </c>
      <c r="AB136" s="15">
        <f t="shared" si="403"/>
        <v>1</v>
      </c>
      <c r="AC136" s="15">
        <f t="shared" si="403"/>
        <v>1</v>
      </c>
      <c r="AD136" s="15">
        <f t="shared" si="403"/>
        <v>1</v>
      </c>
      <c r="AE136" s="15">
        <f t="shared" si="403"/>
        <v>1</v>
      </c>
      <c r="AH136" s="15">
        <f>N136*'Optimal Choice'!$B$4*AA136</f>
        <v>3924.5</v>
      </c>
      <c r="AI136" s="15">
        <f>O136*'Optimal Choice'!$B$9*AB136</f>
        <v>420</v>
      </c>
      <c r="AJ136" s="15">
        <f>P136*'Optimal Choice'!$B$14*AC136</f>
        <v>1260</v>
      </c>
      <c r="AK136" s="15">
        <f>Q136*'Optimal Choice'!$B$19*AD136</f>
        <v>2160</v>
      </c>
      <c r="AL136" s="15">
        <f>R136*'Optimal Choice'!$B$24*AE136</f>
        <v>0</v>
      </c>
      <c r="AO136" s="12">
        <f t="shared" ref="AO136:AS136" si="404">if(isna(VLOOKUP(N136+1,$D$2:$E$10,2,false)),AO135, VLOOKUP(N136+1,$D$2:$E$10,2,false))</f>
        <v>25</v>
      </c>
      <c r="AP136" s="15">
        <f t="shared" si="404"/>
        <v>1</v>
      </c>
      <c r="AQ136" s="15">
        <f t="shared" si="404"/>
        <v>1</v>
      </c>
      <c r="AR136" s="15">
        <f t="shared" si="404"/>
        <v>1</v>
      </c>
      <c r="AS136" s="15">
        <f t="shared" si="404"/>
        <v>1</v>
      </c>
      <c r="AU136" s="11">
        <f t="shared" si="8"/>
        <v>0.002430307702</v>
      </c>
    </row>
    <row r="137" ht="15.75" customHeight="1">
      <c r="A137" s="16">
        <f t="shared" si="4"/>
        <v>1.00337516</v>
      </c>
      <c r="B137" s="7">
        <f>(sum(AH137:AL137))*'Optimal Choice'!$B$28</f>
        <v>7854.5</v>
      </c>
      <c r="C137" s="11"/>
      <c r="D137" s="12"/>
      <c r="E137" s="12"/>
      <c r="F137" s="11"/>
      <c r="G137" s="11">
        <f>(T137/$B137)+(T137/('Optimal Choice'!$B$4*AO137))</f>
        <v>59.58881342</v>
      </c>
      <c r="H137" s="11">
        <f>(U137/$B137)+(U137/('Optimal Choice'!$B$9*AP137))</f>
        <v>65.09957987</v>
      </c>
      <c r="I137" s="11">
        <f>(V137/$B137)+(V137/('Optimal Choice'!$B$14*AQ137))</f>
        <v>65.8439132</v>
      </c>
      <c r="J137" s="11">
        <f>(W137/$B137)+(W137/('Optimal Choice'!$B$19*AR137))</f>
        <v>59.05041254</v>
      </c>
      <c r="K137" s="11">
        <f>(X137/$B137)+(X137/('Optimal Choice'!$B$24*AS137))</f>
        <v>68.54408556</v>
      </c>
      <c r="N137" s="12">
        <f t="shared" ref="N137:R137" si="405">if(min($G136:$K136)=G136,N136+1,N136)</f>
        <v>94</v>
      </c>
      <c r="O137" s="12">
        <f t="shared" si="405"/>
        <v>21</v>
      </c>
      <c r="P137" s="12">
        <f t="shared" si="405"/>
        <v>15</v>
      </c>
      <c r="Q137" s="12">
        <f t="shared" si="405"/>
        <v>6</v>
      </c>
      <c r="R137" s="12">
        <f t="shared" si="405"/>
        <v>0</v>
      </c>
      <c r="T137" s="13">
        <f> 'Optimal Choice'!$B$5*'Optimal Choice'!$B$6^(N137+1)</f>
        <v>2474.678991</v>
      </c>
      <c r="U137" s="13">
        <f> 'Optimal Choice'!$B$10*'Optimal Choice'!$B$11^(O137+1)</f>
        <v>1298.684742</v>
      </c>
      <c r="V137" s="13">
        <f> 'Optimal Choice'!$B$15*'Optimal Choice'!$B$16^(P137+1)</f>
        <v>5858.819493</v>
      </c>
      <c r="W137" s="13">
        <f> 'Optimal Choice'!$B$20*'Optimal Choice'!$B$21^(Q137+1)</f>
        <v>20326.51135</v>
      </c>
      <c r="X137" s="13">
        <f> 'Optimal Choice'!$B$25*'Optimal Choice'!$B$26^(R137+1)</f>
        <v>116121.6</v>
      </c>
      <c r="AA137" s="12">
        <f t="shared" ref="AA137:AE137" si="406">if(isna(VLOOKUP(N137,$D$2:$E$10,2,false)),AA136, VLOOKUP(N137,$D$2:$E$10,2,false))</f>
        <v>25</v>
      </c>
      <c r="AB137" s="15">
        <f t="shared" si="406"/>
        <v>1</v>
      </c>
      <c r="AC137" s="15">
        <f t="shared" si="406"/>
        <v>1</v>
      </c>
      <c r="AD137" s="15">
        <f t="shared" si="406"/>
        <v>1</v>
      </c>
      <c r="AE137" s="15">
        <f t="shared" si="406"/>
        <v>1</v>
      </c>
      <c r="AH137" s="15">
        <f>N137*'Optimal Choice'!$B$4*AA137</f>
        <v>3924.5</v>
      </c>
      <c r="AI137" s="15">
        <f>O137*'Optimal Choice'!$B$9*AB137</f>
        <v>420</v>
      </c>
      <c r="AJ137" s="15">
        <f>P137*'Optimal Choice'!$B$14*AC137</f>
        <v>1350</v>
      </c>
      <c r="AK137" s="15">
        <f>Q137*'Optimal Choice'!$B$19*AD137</f>
        <v>2160</v>
      </c>
      <c r="AL137" s="15">
        <f>R137*'Optimal Choice'!$B$24*AE137</f>
        <v>0</v>
      </c>
      <c r="AO137" s="12">
        <f t="shared" ref="AO137:AS137" si="407">if(isna(VLOOKUP(N137+1,$D$2:$E$10,2,false)),AO136, VLOOKUP(N137+1,$D$2:$E$10,2,false))</f>
        <v>25</v>
      </c>
      <c r="AP137" s="15">
        <f t="shared" si="407"/>
        <v>1</v>
      </c>
      <c r="AQ137" s="15">
        <f t="shared" si="407"/>
        <v>1</v>
      </c>
      <c r="AR137" s="15">
        <f t="shared" si="407"/>
        <v>1</v>
      </c>
      <c r="AS137" s="15">
        <f t="shared" si="407"/>
        <v>1</v>
      </c>
      <c r="AU137" s="11">
        <f t="shared" si="8"/>
        <v>0.0110316512</v>
      </c>
    </row>
    <row r="138" ht="15.75" customHeight="1">
      <c r="A138" s="16">
        <f t="shared" si="4"/>
        <v>1.04650651</v>
      </c>
      <c r="B138" s="7">
        <f>(sum(AH138:AL138))*'Optimal Choice'!$B$28</f>
        <v>8214.5</v>
      </c>
      <c r="C138" s="11"/>
      <c r="D138" s="12"/>
      <c r="E138" s="12"/>
      <c r="F138" s="11"/>
      <c r="G138" s="11">
        <f>(T138/$B138)+(T138/('Optimal Choice'!$B$4*AO138))</f>
        <v>59.57500571</v>
      </c>
      <c r="H138" s="11">
        <f>(U138/$B138)+(U138/('Optimal Choice'!$B$9*AP138))</f>
        <v>65.09233373</v>
      </c>
      <c r="I138" s="11">
        <f>(V138/$B138)+(V138/('Optimal Choice'!$B$14*AQ138))</f>
        <v>65.81122335</v>
      </c>
      <c r="J138" s="11">
        <f>(W138/$B138)+(W138/('Optimal Choice'!$B$19*AR138))</f>
        <v>66.59880864</v>
      </c>
      <c r="K138" s="11">
        <f>(X138/$B138)+(X138/('Optimal Choice'!$B$24*AS138))</f>
        <v>67.89617384</v>
      </c>
      <c r="N138" s="12">
        <f t="shared" ref="N138:R138" si="408">if(min($G137:$K137)=G137,N137+1,N137)</f>
        <v>94</v>
      </c>
      <c r="O138" s="12">
        <f t="shared" si="408"/>
        <v>21</v>
      </c>
      <c r="P138" s="12">
        <f t="shared" si="408"/>
        <v>15</v>
      </c>
      <c r="Q138" s="12">
        <f t="shared" si="408"/>
        <v>7</v>
      </c>
      <c r="R138" s="12">
        <f t="shared" si="408"/>
        <v>0</v>
      </c>
      <c r="T138" s="13">
        <f> 'Optimal Choice'!$B$5*'Optimal Choice'!$B$6^(N138+1)</f>
        <v>2474.678991</v>
      </c>
      <c r="U138" s="13">
        <f> 'Optimal Choice'!$B$10*'Optimal Choice'!$B$11^(O138+1)</f>
        <v>1298.684742</v>
      </c>
      <c r="V138" s="13">
        <f> 'Optimal Choice'!$B$15*'Optimal Choice'!$B$16^(P138+1)</f>
        <v>5858.819493</v>
      </c>
      <c r="W138" s="13">
        <f> 'Optimal Choice'!$B$20*'Optimal Choice'!$B$21^(Q138+1)</f>
        <v>22968.95783</v>
      </c>
      <c r="X138" s="13">
        <f> 'Optimal Choice'!$B$25*'Optimal Choice'!$B$26^(R138+1)</f>
        <v>116121.6</v>
      </c>
      <c r="AA138" s="12">
        <f t="shared" ref="AA138:AE138" si="409">if(isna(VLOOKUP(N138,$D$2:$E$10,2,false)),AA137, VLOOKUP(N138,$D$2:$E$10,2,false))</f>
        <v>25</v>
      </c>
      <c r="AB138" s="15">
        <f t="shared" si="409"/>
        <v>1</v>
      </c>
      <c r="AC138" s="15">
        <f t="shared" si="409"/>
        <v>1</v>
      </c>
      <c r="AD138" s="15">
        <f t="shared" si="409"/>
        <v>1</v>
      </c>
      <c r="AE138" s="15">
        <f t="shared" si="409"/>
        <v>1</v>
      </c>
      <c r="AH138" s="15">
        <f>N138*'Optimal Choice'!$B$4*AA138</f>
        <v>3924.5</v>
      </c>
      <c r="AI138" s="15">
        <f>O138*'Optimal Choice'!$B$9*AB138</f>
        <v>420</v>
      </c>
      <c r="AJ138" s="15">
        <f>P138*'Optimal Choice'!$B$14*AC138</f>
        <v>1350</v>
      </c>
      <c r="AK138" s="15">
        <f>Q138*'Optimal Choice'!$B$19*AD138</f>
        <v>2520</v>
      </c>
      <c r="AL138" s="15">
        <f>R138*'Optimal Choice'!$B$24*AE138</f>
        <v>0</v>
      </c>
      <c r="AO138" s="12">
        <f t="shared" ref="AO138:AS138" si="410">if(isna(VLOOKUP(N138+1,$D$2:$E$10,2,false)),AO137, VLOOKUP(N138+1,$D$2:$E$10,2,false))</f>
        <v>25</v>
      </c>
      <c r="AP138" s="15">
        <f t="shared" si="410"/>
        <v>1</v>
      </c>
      <c r="AQ138" s="15">
        <f t="shared" si="410"/>
        <v>1</v>
      </c>
      <c r="AR138" s="15">
        <f t="shared" si="410"/>
        <v>1</v>
      </c>
      <c r="AS138" s="15">
        <f t="shared" si="410"/>
        <v>1</v>
      </c>
      <c r="AU138" s="11">
        <f t="shared" si="8"/>
        <v>0.04313135008</v>
      </c>
    </row>
    <row r="139" ht="15.75" customHeight="1">
      <c r="A139" s="16">
        <f t="shared" si="4"/>
        <v>1.051527467</v>
      </c>
      <c r="B139" s="7">
        <f>(sum(AH139:AL139))*'Optimal Choice'!$B$28</f>
        <v>8256.25</v>
      </c>
      <c r="C139" s="11"/>
      <c r="D139" s="12"/>
      <c r="E139" s="12"/>
      <c r="F139" s="11"/>
      <c r="G139" s="11">
        <f>(T139/$B139)+(T139/('Optimal Choice'!$B$4*AO139))</f>
        <v>63.74362608</v>
      </c>
      <c r="H139" s="11">
        <f>(U139/$B139)+(U139/('Optimal Choice'!$B$9*AP139))</f>
        <v>65.09153427</v>
      </c>
      <c r="I139" s="11">
        <f>(V139/$B139)+(V139/('Optimal Choice'!$B$14*AQ139))</f>
        <v>65.80761671</v>
      </c>
      <c r="J139" s="11">
        <f>(W139/$B139)+(W139/('Optimal Choice'!$B$19*AR139))</f>
        <v>66.58466915</v>
      </c>
      <c r="K139" s="11">
        <f>(X139/$B139)+(X139/('Optimal Choice'!$B$24*AS139))</f>
        <v>67.82469039</v>
      </c>
      <c r="N139" s="12">
        <f t="shared" ref="N139:R139" si="411">if(min($G138:$K138)=G138,N138+1,N138)</f>
        <v>95</v>
      </c>
      <c r="O139" s="12">
        <f t="shared" si="411"/>
        <v>21</v>
      </c>
      <c r="P139" s="12">
        <f t="shared" si="411"/>
        <v>15</v>
      </c>
      <c r="Q139" s="12">
        <f t="shared" si="411"/>
        <v>7</v>
      </c>
      <c r="R139" s="12">
        <f t="shared" si="411"/>
        <v>0</v>
      </c>
      <c r="T139" s="13">
        <f> 'Optimal Choice'!$B$5*'Optimal Choice'!$B$6^(N139+1)</f>
        <v>2647.906521</v>
      </c>
      <c r="U139" s="13">
        <f> 'Optimal Choice'!$B$10*'Optimal Choice'!$B$11^(O139+1)</f>
        <v>1298.684742</v>
      </c>
      <c r="V139" s="13">
        <f> 'Optimal Choice'!$B$15*'Optimal Choice'!$B$16^(P139+1)</f>
        <v>5858.819493</v>
      </c>
      <c r="W139" s="13">
        <f> 'Optimal Choice'!$B$20*'Optimal Choice'!$B$21^(Q139+1)</f>
        <v>22968.95783</v>
      </c>
      <c r="X139" s="13">
        <f> 'Optimal Choice'!$B$25*'Optimal Choice'!$B$26^(R139+1)</f>
        <v>116121.6</v>
      </c>
      <c r="AA139" s="12">
        <f t="shared" ref="AA139:AE139" si="412">if(isna(VLOOKUP(N139,$D$2:$E$10,2,false)),AA138, VLOOKUP(N139,$D$2:$E$10,2,false))</f>
        <v>25</v>
      </c>
      <c r="AB139" s="15">
        <f t="shared" si="412"/>
        <v>1</v>
      </c>
      <c r="AC139" s="15">
        <f t="shared" si="412"/>
        <v>1</v>
      </c>
      <c r="AD139" s="15">
        <f t="shared" si="412"/>
        <v>1</v>
      </c>
      <c r="AE139" s="15">
        <f t="shared" si="412"/>
        <v>1</v>
      </c>
      <c r="AH139" s="15">
        <f>N139*'Optimal Choice'!$B$4*AA139</f>
        <v>3966.25</v>
      </c>
      <c r="AI139" s="15">
        <f>O139*'Optimal Choice'!$B$9*AB139</f>
        <v>420</v>
      </c>
      <c r="AJ139" s="15">
        <f>P139*'Optimal Choice'!$B$14*AC139</f>
        <v>1350</v>
      </c>
      <c r="AK139" s="15">
        <f>Q139*'Optimal Choice'!$B$19*AD139</f>
        <v>2520</v>
      </c>
      <c r="AL139" s="15">
        <f>R139*'Optimal Choice'!$B$24*AE139</f>
        <v>0</v>
      </c>
      <c r="AO139" s="12">
        <f t="shared" ref="AO139:AS139" si="413">if(isna(VLOOKUP(N139+1,$D$2:$E$10,2,false)),AO138, VLOOKUP(N139+1,$D$2:$E$10,2,false))</f>
        <v>25</v>
      </c>
      <c r="AP139" s="15">
        <f t="shared" si="413"/>
        <v>1</v>
      </c>
      <c r="AQ139" s="15">
        <f t="shared" si="413"/>
        <v>1</v>
      </c>
      <c r="AR139" s="15">
        <f t="shared" si="413"/>
        <v>1</v>
      </c>
      <c r="AS139" s="15">
        <f t="shared" si="413"/>
        <v>1</v>
      </c>
      <c r="AU139" s="11">
        <f t="shared" si="8"/>
        <v>0.005020956827</v>
      </c>
    </row>
    <row r="140" ht="15.75" customHeight="1">
      <c r="A140" s="16">
        <f t="shared" si="4"/>
        <v>1.056872723</v>
      </c>
      <c r="B140" s="7">
        <f>(sum(AH140:AL140))*'Optimal Choice'!$B$28</f>
        <v>8298</v>
      </c>
      <c r="C140" s="11"/>
      <c r="D140" s="12"/>
      <c r="E140" s="12"/>
      <c r="F140" s="11"/>
      <c r="G140" s="11">
        <f>(T140/$B140)+(T140/('Optimal Choice'!$B$4*AO140))</f>
        <v>68.20395332</v>
      </c>
      <c r="H140" s="11">
        <f>(U140/$B140)+(U140/('Optimal Choice'!$B$9*AP140))</f>
        <v>65.09074286</v>
      </c>
      <c r="I140" s="11">
        <f>(V140/$B140)+(V140/('Optimal Choice'!$B$14*AQ140))</f>
        <v>65.80404636</v>
      </c>
      <c r="J140" s="11">
        <f>(W140/$B140)+(W140/('Optimal Choice'!$B$19*AR140))</f>
        <v>66.57067194</v>
      </c>
      <c r="K140" s="11">
        <f>(X140/$B140)+(X140/('Optimal Choice'!$B$24*AS140))</f>
        <v>67.75392625</v>
      </c>
      <c r="N140" s="12">
        <f t="shared" ref="N140:R140" si="414">if(min($G139:$K139)=G139,N139+1,N139)</f>
        <v>96</v>
      </c>
      <c r="O140" s="12">
        <f t="shared" si="414"/>
        <v>21</v>
      </c>
      <c r="P140" s="12">
        <f t="shared" si="414"/>
        <v>15</v>
      </c>
      <c r="Q140" s="12">
        <f t="shared" si="414"/>
        <v>7</v>
      </c>
      <c r="R140" s="12">
        <f t="shared" si="414"/>
        <v>0</v>
      </c>
      <c r="T140" s="13">
        <f> 'Optimal Choice'!$B$5*'Optimal Choice'!$B$6^(N140+1)</f>
        <v>2833.259977</v>
      </c>
      <c r="U140" s="13">
        <f> 'Optimal Choice'!$B$10*'Optimal Choice'!$B$11^(O140+1)</f>
        <v>1298.684742</v>
      </c>
      <c r="V140" s="13">
        <f> 'Optimal Choice'!$B$15*'Optimal Choice'!$B$16^(P140+1)</f>
        <v>5858.819493</v>
      </c>
      <c r="W140" s="13">
        <f> 'Optimal Choice'!$B$20*'Optimal Choice'!$B$21^(Q140+1)</f>
        <v>22968.95783</v>
      </c>
      <c r="X140" s="13">
        <f> 'Optimal Choice'!$B$25*'Optimal Choice'!$B$26^(R140+1)</f>
        <v>116121.6</v>
      </c>
      <c r="AA140" s="12">
        <f t="shared" ref="AA140:AE140" si="415">if(isna(VLOOKUP(N140,$D$2:$E$10,2,false)),AA139, VLOOKUP(N140,$D$2:$E$10,2,false))</f>
        <v>25</v>
      </c>
      <c r="AB140" s="15">
        <f t="shared" si="415"/>
        <v>1</v>
      </c>
      <c r="AC140" s="15">
        <f t="shared" si="415"/>
        <v>1</v>
      </c>
      <c r="AD140" s="15">
        <f t="shared" si="415"/>
        <v>1</v>
      </c>
      <c r="AE140" s="15">
        <f t="shared" si="415"/>
        <v>1</v>
      </c>
      <c r="AH140" s="15">
        <f>N140*'Optimal Choice'!$B$4*AA140</f>
        <v>4008</v>
      </c>
      <c r="AI140" s="15">
        <f>O140*'Optimal Choice'!$B$9*AB140</f>
        <v>420</v>
      </c>
      <c r="AJ140" s="15">
        <f>P140*'Optimal Choice'!$B$14*AC140</f>
        <v>1350</v>
      </c>
      <c r="AK140" s="15">
        <f>Q140*'Optimal Choice'!$B$19*AD140</f>
        <v>2520</v>
      </c>
      <c r="AL140" s="15">
        <f>R140*'Optimal Choice'!$B$24*AE140</f>
        <v>0</v>
      </c>
      <c r="AO140" s="12">
        <f t="shared" ref="AO140:AS140" si="416">if(isna(VLOOKUP(N140+1,$D$2:$E$10,2,false)),AO139, VLOOKUP(N140+1,$D$2:$E$10,2,false))</f>
        <v>25</v>
      </c>
      <c r="AP140" s="15">
        <f t="shared" si="416"/>
        <v>1</v>
      </c>
      <c r="AQ140" s="15">
        <f t="shared" si="416"/>
        <v>1</v>
      </c>
      <c r="AR140" s="15">
        <f t="shared" si="416"/>
        <v>1</v>
      </c>
      <c r="AS140" s="15">
        <f t="shared" si="416"/>
        <v>1</v>
      </c>
      <c r="AU140" s="11">
        <f t="shared" si="8"/>
        <v>0.005345256666</v>
      </c>
    </row>
    <row r="141" ht="15.75" customHeight="1">
      <c r="A141" s="16">
        <f t="shared" si="4"/>
        <v>1.059481153</v>
      </c>
      <c r="B141" s="7">
        <f>(sum(AH141:AL141))*'Optimal Choice'!$B$28</f>
        <v>8318</v>
      </c>
      <c r="C141" s="11"/>
      <c r="D141" s="12"/>
      <c r="E141" s="12"/>
      <c r="F141" s="11"/>
      <c r="G141" s="11">
        <f>(T141/$B141)+(T141/('Optimal Choice'!$B$4*AO141))</f>
        <v>68.20313236</v>
      </c>
      <c r="H141" s="11">
        <f>(U141/$B141)+(U141/('Optimal Choice'!$B$9*AP141))</f>
        <v>74.85392154</v>
      </c>
      <c r="I141" s="11">
        <f>(V141/$B141)+(V141/('Optimal Choice'!$B$14*AQ141))</f>
        <v>65.80234871</v>
      </c>
      <c r="J141" s="11">
        <f>(W141/$B141)+(W141/('Optimal Choice'!$B$19*AR141))</f>
        <v>66.56401646</v>
      </c>
      <c r="K141" s="11">
        <f>(X141/$B141)+(X141/('Optimal Choice'!$B$24*AS141))</f>
        <v>67.72027891</v>
      </c>
      <c r="N141" s="12">
        <f t="shared" ref="N141:R141" si="417">if(min($G140:$K140)=G140,N140+1,N140)</f>
        <v>96</v>
      </c>
      <c r="O141" s="12">
        <f t="shared" si="417"/>
        <v>22</v>
      </c>
      <c r="P141" s="12">
        <f t="shared" si="417"/>
        <v>15</v>
      </c>
      <c r="Q141" s="12">
        <f t="shared" si="417"/>
        <v>7</v>
      </c>
      <c r="R141" s="12">
        <f t="shared" si="417"/>
        <v>0</v>
      </c>
      <c r="T141" s="13">
        <f> 'Optimal Choice'!$B$5*'Optimal Choice'!$B$6^(N141+1)</f>
        <v>2833.259977</v>
      </c>
      <c r="U141" s="13">
        <f> 'Optimal Choice'!$B$10*'Optimal Choice'!$B$11^(O141+1)</f>
        <v>1493.487453</v>
      </c>
      <c r="V141" s="13">
        <f> 'Optimal Choice'!$B$15*'Optimal Choice'!$B$16^(P141+1)</f>
        <v>5858.819493</v>
      </c>
      <c r="W141" s="13">
        <f> 'Optimal Choice'!$B$20*'Optimal Choice'!$B$21^(Q141+1)</f>
        <v>22968.95783</v>
      </c>
      <c r="X141" s="13">
        <f> 'Optimal Choice'!$B$25*'Optimal Choice'!$B$26^(R141+1)</f>
        <v>116121.6</v>
      </c>
      <c r="AA141" s="12">
        <f t="shared" ref="AA141:AE141" si="418">if(isna(VLOOKUP(N141,$D$2:$E$10,2,false)),AA140, VLOOKUP(N141,$D$2:$E$10,2,false))</f>
        <v>25</v>
      </c>
      <c r="AB141" s="15">
        <f t="shared" si="418"/>
        <v>1</v>
      </c>
      <c r="AC141" s="15">
        <f t="shared" si="418"/>
        <v>1</v>
      </c>
      <c r="AD141" s="15">
        <f t="shared" si="418"/>
        <v>1</v>
      </c>
      <c r="AE141" s="15">
        <f t="shared" si="418"/>
        <v>1</v>
      </c>
      <c r="AH141" s="15">
        <f>N141*'Optimal Choice'!$B$4*AA141</f>
        <v>4008</v>
      </c>
      <c r="AI141" s="15">
        <f>O141*'Optimal Choice'!$B$9*AB141</f>
        <v>440</v>
      </c>
      <c r="AJ141" s="15">
        <f>P141*'Optimal Choice'!$B$14*AC141</f>
        <v>1350</v>
      </c>
      <c r="AK141" s="15">
        <f>Q141*'Optimal Choice'!$B$19*AD141</f>
        <v>2520</v>
      </c>
      <c r="AL141" s="15">
        <f>R141*'Optimal Choice'!$B$24*AE141</f>
        <v>0</v>
      </c>
      <c r="AO141" s="12">
        <f t="shared" ref="AO141:AS141" si="419">if(isna(VLOOKUP(N141+1,$D$2:$E$10,2,false)),AO140, VLOOKUP(N141+1,$D$2:$E$10,2,false))</f>
        <v>25</v>
      </c>
      <c r="AP141" s="15">
        <f t="shared" si="419"/>
        <v>1</v>
      </c>
      <c r="AQ141" s="15">
        <f t="shared" si="419"/>
        <v>1</v>
      </c>
      <c r="AR141" s="15">
        <f t="shared" si="419"/>
        <v>1</v>
      </c>
      <c r="AS141" s="15">
        <f t="shared" si="419"/>
        <v>1</v>
      </c>
      <c r="AU141" s="11">
        <f t="shared" si="8"/>
        <v>0.002608429224</v>
      </c>
    </row>
    <row r="142" ht="15.75" customHeight="1">
      <c r="A142" s="16">
        <f t="shared" si="4"/>
        <v>1.071220392</v>
      </c>
      <c r="B142" s="7">
        <f>(sum(AH142:AL142))*'Optimal Choice'!$B$28</f>
        <v>8408</v>
      </c>
      <c r="C142" s="11"/>
      <c r="D142" s="12"/>
      <c r="E142" s="12"/>
      <c r="F142" s="11"/>
      <c r="G142" s="11">
        <f>(T142/$B142)+(T142/('Optimal Choice'!$B$4*AO142))</f>
        <v>68.19948635</v>
      </c>
      <c r="H142" s="11">
        <f>(U142/$B142)+(U142/('Optimal Choice'!$B$9*AP142))</f>
        <v>74.85199963</v>
      </c>
      <c r="I142" s="11">
        <f>(V142/$B142)+(V142/('Optimal Choice'!$B$14*AQ142))</f>
        <v>75.00608253</v>
      </c>
      <c r="J142" s="11">
        <f>(W142/$B142)+(W142/('Optimal Choice'!$B$19*AR142))</f>
        <v>66.53445866</v>
      </c>
      <c r="K142" s="11">
        <f>(X142/$B142)+(X142/('Optimal Choice'!$B$24*AS142))</f>
        <v>67.57084681</v>
      </c>
      <c r="N142" s="12">
        <f t="shared" ref="N142:R142" si="420">if(min($G141:$K141)=G141,N141+1,N141)</f>
        <v>96</v>
      </c>
      <c r="O142" s="12">
        <f t="shared" si="420"/>
        <v>22</v>
      </c>
      <c r="P142" s="12">
        <f t="shared" si="420"/>
        <v>16</v>
      </c>
      <c r="Q142" s="12">
        <f t="shared" si="420"/>
        <v>7</v>
      </c>
      <c r="R142" s="12">
        <f t="shared" si="420"/>
        <v>0</v>
      </c>
      <c r="T142" s="13">
        <f> 'Optimal Choice'!$B$5*'Optimal Choice'!$B$6^(N142+1)</f>
        <v>2833.259977</v>
      </c>
      <c r="U142" s="13">
        <f> 'Optimal Choice'!$B$10*'Optimal Choice'!$B$11^(O142+1)</f>
        <v>1493.487453</v>
      </c>
      <c r="V142" s="13">
        <f> 'Optimal Choice'!$B$15*'Optimal Choice'!$B$16^(P142+1)</f>
        <v>6679.054222</v>
      </c>
      <c r="W142" s="13">
        <f> 'Optimal Choice'!$B$20*'Optimal Choice'!$B$21^(Q142+1)</f>
        <v>22968.95783</v>
      </c>
      <c r="X142" s="13">
        <f> 'Optimal Choice'!$B$25*'Optimal Choice'!$B$26^(R142+1)</f>
        <v>116121.6</v>
      </c>
      <c r="AA142" s="12">
        <f t="shared" ref="AA142:AE142" si="421">if(isna(VLOOKUP(N142,$D$2:$E$10,2,false)),AA141, VLOOKUP(N142,$D$2:$E$10,2,false))</f>
        <v>25</v>
      </c>
      <c r="AB142" s="15">
        <f t="shared" si="421"/>
        <v>1</v>
      </c>
      <c r="AC142" s="15">
        <f t="shared" si="421"/>
        <v>1</v>
      </c>
      <c r="AD142" s="15">
        <f t="shared" si="421"/>
        <v>1</v>
      </c>
      <c r="AE142" s="15">
        <f t="shared" si="421"/>
        <v>1</v>
      </c>
      <c r="AH142" s="15">
        <f>N142*'Optimal Choice'!$B$4*AA142</f>
        <v>4008</v>
      </c>
      <c r="AI142" s="15">
        <f>O142*'Optimal Choice'!$B$9*AB142</f>
        <v>440</v>
      </c>
      <c r="AJ142" s="15">
        <f>P142*'Optimal Choice'!$B$14*AC142</f>
        <v>1440</v>
      </c>
      <c r="AK142" s="15">
        <f>Q142*'Optimal Choice'!$B$19*AD142</f>
        <v>2520</v>
      </c>
      <c r="AL142" s="15">
        <f>R142*'Optimal Choice'!$B$24*AE142</f>
        <v>0</v>
      </c>
      <c r="AO142" s="12">
        <f t="shared" ref="AO142:AS142" si="422">if(isna(VLOOKUP(N142+1,$D$2:$E$10,2,false)),AO141, VLOOKUP(N142+1,$D$2:$E$10,2,false))</f>
        <v>25</v>
      </c>
      <c r="AP142" s="15">
        <f t="shared" si="422"/>
        <v>1</v>
      </c>
      <c r="AQ142" s="15">
        <f t="shared" si="422"/>
        <v>1</v>
      </c>
      <c r="AR142" s="15">
        <f t="shared" si="422"/>
        <v>1</v>
      </c>
      <c r="AS142" s="15">
        <f t="shared" si="422"/>
        <v>1</v>
      </c>
      <c r="AU142" s="11">
        <f t="shared" si="8"/>
        <v>0.01173923919</v>
      </c>
    </row>
    <row r="143" ht="15.75" customHeight="1">
      <c r="A143" s="16">
        <f t="shared" si="4"/>
        <v>1.116750359</v>
      </c>
      <c r="B143" s="7">
        <f>(sum(AH143:AL143))*'Optimal Choice'!$B$28</f>
        <v>8768</v>
      </c>
      <c r="C143" s="11"/>
      <c r="D143" s="12"/>
      <c r="E143" s="12"/>
      <c r="F143" s="11"/>
      <c r="G143" s="11">
        <f>(T143/$B143)+(T143/('Optimal Choice'!$B$4*AO143))</f>
        <v>68.18565083</v>
      </c>
      <c r="H143" s="11">
        <f>(U143/$B143)+(U143/('Optimal Choice'!$B$9*AP143))</f>
        <v>74.84470655</v>
      </c>
      <c r="I143" s="11">
        <f>(V143/$B143)+(V143/('Optimal Choice'!$B$14*AQ143))</f>
        <v>74.97346702</v>
      </c>
      <c r="J143" s="11">
        <f>(W143/$B143)+(W143/('Optimal Choice'!$B$19*AR143))</f>
        <v>75.05719382</v>
      </c>
      <c r="K143" s="11">
        <f>(X143/$B143)+(X143/('Optimal Choice'!$B$24*AS143))</f>
        <v>67.00379562</v>
      </c>
      <c r="N143" s="12">
        <f t="shared" ref="N143:R143" si="423">if(min($G142:$K142)=G142,N142+1,N142)</f>
        <v>96</v>
      </c>
      <c r="O143" s="12">
        <f t="shared" si="423"/>
        <v>22</v>
      </c>
      <c r="P143" s="12">
        <f t="shared" si="423"/>
        <v>16</v>
      </c>
      <c r="Q143" s="12">
        <f t="shared" si="423"/>
        <v>8</v>
      </c>
      <c r="R143" s="12">
        <f t="shared" si="423"/>
        <v>0</v>
      </c>
      <c r="T143" s="13">
        <f> 'Optimal Choice'!$B$5*'Optimal Choice'!$B$6^(N143+1)</f>
        <v>2833.259977</v>
      </c>
      <c r="U143" s="13">
        <f> 'Optimal Choice'!$B$10*'Optimal Choice'!$B$11^(O143+1)</f>
        <v>1493.487453</v>
      </c>
      <c r="V143" s="13">
        <f> 'Optimal Choice'!$B$15*'Optimal Choice'!$B$16^(P143+1)</f>
        <v>6679.054222</v>
      </c>
      <c r="W143" s="13">
        <f> 'Optimal Choice'!$B$20*'Optimal Choice'!$B$21^(Q143+1)</f>
        <v>25954.92234</v>
      </c>
      <c r="X143" s="13">
        <f> 'Optimal Choice'!$B$25*'Optimal Choice'!$B$26^(R143+1)</f>
        <v>116121.6</v>
      </c>
      <c r="AA143" s="12">
        <f t="shared" ref="AA143:AE143" si="424">if(isna(VLOOKUP(N143,$D$2:$E$10,2,false)),AA142, VLOOKUP(N143,$D$2:$E$10,2,false))</f>
        <v>25</v>
      </c>
      <c r="AB143" s="15">
        <f t="shared" si="424"/>
        <v>1</v>
      </c>
      <c r="AC143" s="15">
        <f t="shared" si="424"/>
        <v>1</v>
      </c>
      <c r="AD143" s="15">
        <f t="shared" si="424"/>
        <v>1</v>
      </c>
      <c r="AE143" s="15">
        <f t="shared" si="424"/>
        <v>1</v>
      </c>
      <c r="AH143" s="15">
        <f>N143*'Optimal Choice'!$B$4*AA143</f>
        <v>4008</v>
      </c>
      <c r="AI143" s="15">
        <f>O143*'Optimal Choice'!$B$9*AB143</f>
        <v>440</v>
      </c>
      <c r="AJ143" s="15">
        <f>P143*'Optimal Choice'!$B$14*AC143</f>
        <v>1440</v>
      </c>
      <c r="AK143" s="15">
        <f>Q143*'Optimal Choice'!$B$19*AD143</f>
        <v>2880</v>
      </c>
      <c r="AL143" s="15">
        <f>R143*'Optimal Choice'!$B$24*AE143</f>
        <v>0</v>
      </c>
      <c r="AO143" s="12">
        <f t="shared" ref="AO143:AS143" si="425">if(isna(VLOOKUP(N143+1,$D$2:$E$10,2,false)),AO142, VLOOKUP(N143+1,$D$2:$E$10,2,false))</f>
        <v>25</v>
      </c>
      <c r="AP143" s="15">
        <f t="shared" si="425"/>
        <v>1</v>
      </c>
      <c r="AQ143" s="15">
        <f t="shared" si="425"/>
        <v>1</v>
      </c>
      <c r="AR143" s="15">
        <f t="shared" si="425"/>
        <v>1</v>
      </c>
      <c r="AS143" s="15">
        <f t="shared" si="425"/>
        <v>1</v>
      </c>
      <c r="AU143" s="11">
        <f t="shared" si="8"/>
        <v>0.04552996715</v>
      </c>
    </row>
    <row r="144" ht="15.75" customHeight="1">
      <c r="A144" s="16">
        <f t="shared" si="4"/>
        <v>1.337480286</v>
      </c>
      <c r="B144" s="7">
        <f>(sum(AH144:AL144))*'Optimal Choice'!$B$28</f>
        <v>10928</v>
      </c>
      <c r="C144" s="11"/>
      <c r="D144" s="12"/>
      <c r="E144" s="12"/>
      <c r="F144" s="11"/>
      <c r="G144" s="11">
        <f>(T144/$B144)+(T144/('Optimal Choice'!$B$4*AO144))</f>
        <v>68.12178053</v>
      </c>
      <c r="H144" s="11">
        <f>(U144/$B144)+(U144/('Optimal Choice'!$B$9*AP144))</f>
        <v>74.8110388</v>
      </c>
      <c r="I144" s="11">
        <f>(V144/$B144)+(V144/('Optimal Choice'!$B$14*AQ144))</f>
        <v>74.82290082</v>
      </c>
      <c r="J144" s="11">
        <f>(W144/$B144)+(W144/('Optimal Choice'!$B$19*AR144))</f>
        <v>74.47209091</v>
      </c>
      <c r="K144" s="11">
        <f>(X144/$B144)+(X144/('Optimal Choice'!$B$24*AS144))</f>
        <v>72.11238887</v>
      </c>
      <c r="N144" s="12">
        <f t="shared" ref="N144:R144" si="426">if(min($G143:$K143)=G143,N143+1,N143)</f>
        <v>96</v>
      </c>
      <c r="O144" s="12">
        <f t="shared" si="426"/>
        <v>22</v>
      </c>
      <c r="P144" s="12">
        <f t="shared" si="426"/>
        <v>16</v>
      </c>
      <c r="Q144" s="12">
        <f t="shared" si="426"/>
        <v>8</v>
      </c>
      <c r="R144" s="12">
        <f t="shared" si="426"/>
        <v>1</v>
      </c>
      <c r="T144" s="13">
        <f> 'Optimal Choice'!$B$5*'Optimal Choice'!$B$6^(N144+1)</f>
        <v>2833.259977</v>
      </c>
      <c r="U144" s="13">
        <f> 'Optimal Choice'!$B$10*'Optimal Choice'!$B$11^(O144+1)</f>
        <v>1493.487453</v>
      </c>
      <c r="V144" s="13">
        <f> 'Optimal Choice'!$B$15*'Optimal Choice'!$B$16^(P144+1)</f>
        <v>6679.054222</v>
      </c>
      <c r="W144" s="13">
        <f> 'Optimal Choice'!$B$20*'Optimal Choice'!$B$21^(Q144+1)</f>
        <v>25954.92234</v>
      </c>
      <c r="X144" s="13">
        <f> 'Optimal Choice'!$B$25*'Optimal Choice'!$B$26^(R144+1)</f>
        <v>130056.192</v>
      </c>
      <c r="AA144" s="12">
        <f t="shared" ref="AA144:AE144" si="427">if(isna(VLOOKUP(N144,$D$2:$E$10,2,false)),AA143, VLOOKUP(N144,$D$2:$E$10,2,false))</f>
        <v>25</v>
      </c>
      <c r="AB144" s="15">
        <f t="shared" si="427"/>
        <v>1</v>
      </c>
      <c r="AC144" s="15">
        <f t="shared" si="427"/>
        <v>1</v>
      </c>
      <c r="AD144" s="15">
        <f t="shared" si="427"/>
        <v>1</v>
      </c>
      <c r="AE144" s="15">
        <f t="shared" si="427"/>
        <v>1</v>
      </c>
      <c r="AH144" s="15">
        <f>N144*'Optimal Choice'!$B$4*AA144</f>
        <v>4008</v>
      </c>
      <c r="AI144" s="15">
        <f>O144*'Optimal Choice'!$B$9*AB144</f>
        <v>440</v>
      </c>
      <c r="AJ144" s="15">
        <f>P144*'Optimal Choice'!$B$14*AC144</f>
        <v>1440</v>
      </c>
      <c r="AK144" s="15">
        <f>Q144*'Optimal Choice'!$B$19*AD144</f>
        <v>2880</v>
      </c>
      <c r="AL144" s="15">
        <f>R144*'Optimal Choice'!$B$24*AE144</f>
        <v>2160</v>
      </c>
      <c r="AO144" s="12">
        <f t="shared" ref="AO144:AS144" si="428">if(isna(VLOOKUP(N144+1,$D$2:$E$10,2,false)),AO143, VLOOKUP(N144+1,$D$2:$E$10,2,false))</f>
        <v>25</v>
      </c>
      <c r="AP144" s="15">
        <f t="shared" si="428"/>
        <v>1</v>
      </c>
      <c r="AQ144" s="15">
        <f t="shared" si="428"/>
        <v>1</v>
      </c>
      <c r="AR144" s="15">
        <f t="shared" si="428"/>
        <v>1</v>
      </c>
      <c r="AS144" s="15">
        <f t="shared" si="428"/>
        <v>1</v>
      </c>
      <c r="AU144" s="11">
        <f t="shared" si="8"/>
        <v>0.220729927</v>
      </c>
    </row>
    <row r="145" ht="15.75" customHeight="1">
      <c r="A145" s="16">
        <f t="shared" si="4"/>
        <v>1.341801388</v>
      </c>
      <c r="B145" s="7">
        <f>(sum(AH145:AL145))*'Optimal Choice'!$B$28</f>
        <v>10969.75</v>
      </c>
      <c r="C145" s="11"/>
      <c r="D145" s="12"/>
      <c r="E145" s="12"/>
      <c r="F145" s="11"/>
      <c r="G145" s="11">
        <f>(T145/$B145)+(T145/('Optimal Choice'!$B$4*AO145))</f>
        <v>72.88924935</v>
      </c>
      <c r="H145" s="11">
        <f>(U145/$B145)+(U145/('Optimal Choice'!$B$9*AP145))</f>
        <v>74.81051866</v>
      </c>
      <c r="I145" s="11">
        <f>(V145/$B145)+(V145/('Optimal Choice'!$B$14*AQ145))</f>
        <v>74.82057469</v>
      </c>
      <c r="J145" s="11">
        <f>(W145/$B145)+(W145/('Optimal Choice'!$B$19*AR145))</f>
        <v>74.46305153</v>
      </c>
      <c r="K145" s="11">
        <f>(X145/$B145)+(X145/('Optimal Choice'!$B$24*AS145))</f>
        <v>72.06709389</v>
      </c>
      <c r="N145" s="12">
        <f t="shared" ref="N145:R145" si="429">if(min($G144:$K144)=G144,N144+1,N144)</f>
        <v>97</v>
      </c>
      <c r="O145" s="12">
        <f t="shared" si="429"/>
        <v>22</v>
      </c>
      <c r="P145" s="12">
        <f t="shared" si="429"/>
        <v>16</v>
      </c>
      <c r="Q145" s="12">
        <f t="shared" si="429"/>
        <v>8</v>
      </c>
      <c r="R145" s="12">
        <f t="shared" si="429"/>
        <v>1</v>
      </c>
      <c r="T145" s="13">
        <f> 'Optimal Choice'!$B$5*'Optimal Choice'!$B$6^(N145+1)</f>
        <v>3031.588176</v>
      </c>
      <c r="U145" s="13">
        <f> 'Optimal Choice'!$B$10*'Optimal Choice'!$B$11^(O145+1)</f>
        <v>1493.487453</v>
      </c>
      <c r="V145" s="13">
        <f> 'Optimal Choice'!$B$15*'Optimal Choice'!$B$16^(P145+1)</f>
        <v>6679.054222</v>
      </c>
      <c r="W145" s="13">
        <f> 'Optimal Choice'!$B$20*'Optimal Choice'!$B$21^(Q145+1)</f>
        <v>25954.92234</v>
      </c>
      <c r="X145" s="13">
        <f> 'Optimal Choice'!$B$25*'Optimal Choice'!$B$26^(R145+1)</f>
        <v>130056.192</v>
      </c>
      <c r="AA145" s="12">
        <f t="shared" ref="AA145:AE145" si="430">if(isna(VLOOKUP(N145,$D$2:$E$10,2,false)),AA144, VLOOKUP(N145,$D$2:$E$10,2,false))</f>
        <v>25</v>
      </c>
      <c r="AB145" s="15">
        <f t="shared" si="430"/>
        <v>1</v>
      </c>
      <c r="AC145" s="15">
        <f t="shared" si="430"/>
        <v>1</v>
      </c>
      <c r="AD145" s="15">
        <f t="shared" si="430"/>
        <v>1</v>
      </c>
      <c r="AE145" s="15">
        <f t="shared" si="430"/>
        <v>1</v>
      </c>
      <c r="AH145" s="15">
        <f>N145*'Optimal Choice'!$B$4*AA145</f>
        <v>4049.75</v>
      </c>
      <c r="AI145" s="15">
        <f>O145*'Optimal Choice'!$B$9*AB145</f>
        <v>440</v>
      </c>
      <c r="AJ145" s="15">
        <f>P145*'Optimal Choice'!$B$14*AC145</f>
        <v>1440</v>
      </c>
      <c r="AK145" s="15">
        <f>Q145*'Optimal Choice'!$B$19*AD145</f>
        <v>2880</v>
      </c>
      <c r="AL145" s="15">
        <f>R145*'Optimal Choice'!$B$24*AE145</f>
        <v>2160</v>
      </c>
      <c r="AO145" s="12">
        <f t="shared" ref="AO145:AS145" si="431">if(isna(VLOOKUP(N145+1,$D$2:$E$10,2,false)),AO144, VLOOKUP(N145+1,$D$2:$E$10,2,false))</f>
        <v>25</v>
      </c>
      <c r="AP145" s="15">
        <f t="shared" si="431"/>
        <v>1</v>
      </c>
      <c r="AQ145" s="15">
        <f t="shared" si="431"/>
        <v>1</v>
      </c>
      <c r="AR145" s="15">
        <f t="shared" si="431"/>
        <v>1</v>
      </c>
      <c r="AS145" s="15">
        <f t="shared" si="431"/>
        <v>1</v>
      </c>
      <c r="AU145" s="11">
        <f t="shared" si="8"/>
        <v>0.004321101722</v>
      </c>
    </row>
    <row r="146" ht="15.75" customHeight="1">
      <c r="A146" s="16">
        <f t="shared" si="4"/>
        <v>1.539399619</v>
      </c>
      <c r="B146" s="7">
        <f>(sum(AH146:AL146))*'Optimal Choice'!$B$28</f>
        <v>13129.75</v>
      </c>
      <c r="C146" s="11"/>
      <c r="D146" s="12"/>
      <c r="E146" s="12"/>
      <c r="F146" s="11"/>
      <c r="G146" s="11">
        <f>(T146/$B146)+(T146/('Optimal Choice'!$B$4*AO146))</f>
        <v>72.84378502</v>
      </c>
      <c r="H146" s="11">
        <f>(U146/$B146)+(U146/('Optimal Choice'!$B$9*AP146))</f>
        <v>74.78812103</v>
      </c>
      <c r="I146" s="11">
        <f>(V146/$B146)+(V146/('Optimal Choice'!$B$14*AQ146))</f>
        <v>74.7204098</v>
      </c>
      <c r="J146" s="11">
        <f>(W146/$B146)+(W146/('Optimal Choice'!$B$19*AR146))</f>
        <v>74.07380899</v>
      </c>
      <c r="K146" s="11">
        <f>(X146/$B146)+(X146/('Optimal Choice'!$B$24*AS146))</f>
        <v>78.53065737</v>
      </c>
      <c r="N146" s="12">
        <f t="shared" ref="N146:R146" si="432">if(min($G145:$K145)=G145,N145+1,N145)</f>
        <v>97</v>
      </c>
      <c r="O146" s="12">
        <f t="shared" si="432"/>
        <v>22</v>
      </c>
      <c r="P146" s="12">
        <f t="shared" si="432"/>
        <v>16</v>
      </c>
      <c r="Q146" s="12">
        <f t="shared" si="432"/>
        <v>8</v>
      </c>
      <c r="R146" s="12">
        <f t="shared" si="432"/>
        <v>2</v>
      </c>
      <c r="T146" s="13">
        <f> 'Optimal Choice'!$B$5*'Optimal Choice'!$B$6^(N146+1)</f>
        <v>3031.588176</v>
      </c>
      <c r="U146" s="13">
        <f> 'Optimal Choice'!$B$10*'Optimal Choice'!$B$11^(O146+1)</f>
        <v>1493.487453</v>
      </c>
      <c r="V146" s="13">
        <f> 'Optimal Choice'!$B$15*'Optimal Choice'!$B$16^(P146+1)</f>
        <v>6679.054222</v>
      </c>
      <c r="W146" s="13">
        <f> 'Optimal Choice'!$B$20*'Optimal Choice'!$B$21^(Q146+1)</f>
        <v>25954.92234</v>
      </c>
      <c r="X146" s="13">
        <f> 'Optimal Choice'!$B$25*'Optimal Choice'!$B$26^(R146+1)</f>
        <v>145662.935</v>
      </c>
      <c r="AA146" s="12">
        <f t="shared" ref="AA146:AE146" si="433">if(isna(VLOOKUP(N146,$D$2:$E$10,2,false)),AA145, VLOOKUP(N146,$D$2:$E$10,2,false))</f>
        <v>25</v>
      </c>
      <c r="AB146" s="15">
        <f t="shared" si="433"/>
        <v>1</v>
      </c>
      <c r="AC146" s="15">
        <f t="shared" si="433"/>
        <v>1</v>
      </c>
      <c r="AD146" s="15">
        <f t="shared" si="433"/>
        <v>1</v>
      </c>
      <c r="AE146" s="15">
        <f t="shared" si="433"/>
        <v>1</v>
      </c>
      <c r="AH146" s="15">
        <f>N146*'Optimal Choice'!$B$4*AA146</f>
        <v>4049.75</v>
      </c>
      <c r="AI146" s="15">
        <f>O146*'Optimal Choice'!$B$9*AB146</f>
        <v>440</v>
      </c>
      <c r="AJ146" s="15">
        <f>P146*'Optimal Choice'!$B$14*AC146</f>
        <v>1440</v>
      </c>
      <c r="AK146" s="15">
        <f>Q146*'Optimal Choice'!$B$19*AD146</f>
        <v>2880</v>
      </c>
      <c r="AL146" s="15">
        <f>R146*'Optimal Choice'!$B$24*AE146</f>
        <v>4320</v>
      </c>
      <c r="AO146" s="12">
        <f t="shared" ref="AO146:AS146" si="434">if(isna(VLOOKUP(N146+1,$D$2:$E$10,2,false)),AO145, VLOOKUP(N146+1,$D$2:$E$10,2,false))</f>
        <v>25</v>
      </c>
      <c r="AP146" s="15">
        <f t="shared" si="434"/>
        <v>1</v>
      </c>
      <c r="AQ146" s="15">
        <f t="shared" si="434"/>
        <v>1</v>
      </c>
      <c r="AR146" s="15">
        <f t="shared" si="434"/>
        <v>1</v>
      </c>
      <c r="AS146" s="15">
        <f t="shared" si="434"/>
        <v>1</v>
      </c>
      <c r="AU146" s="11">
        <f t="shared" si="8"/>
        <v>0.1975982315</v>
      </c>
    </row>
    <row r="147" ht="15.75" customHeight="1">
      <c r="A147" s="16">
        <f t="shared" si="4"/>
        <v>1.543247862</v>
      </c>
      <c r="B147" s="7">
        <f>(sum(AH147:AL147))*'Optimal Choice'!$B$28</f>
        <v>13171.5</v>
      </c>
      <c r="C147" s="11"/>
      <c r="D147" s="12"/>
      <c r="E147" s="12"/>
      <c r="F147" s="11"/>
      <c r="G147" s="11">
        <f>(T147/$B147)+(T147/('Optimal Choice'!$B$4*AO147))</f>
        <v>77.94206687</v>
      </c>
      <c r="H147" s="11">
        <f>(U147/$B147)+(U147/('Optimal Choice'!$B$9*AP147))</f>
        <v>74.78776048</v>
      </c>
      <c r="I147" s="11">
        <f>(V147/$B147)+(V147/('Optimal Choice'!$B$14*AQ147))</f>
        <v>74.71879737</v>
      </c>
      <c r="J147" s="11">
        <f>(W147/$B147)+(W147/('Optimal Choice'!$B$19*AR147))</f>
        <v>74.06754307</v>
      </c>
      <c r="K147" s="11">
        <f>(X147/$B147)+(X147/('Optimal Choice'!$B$24*AS147))</f>
        <v>78.49549211</v>
      </c>
      <c r="N147" s="12">
        <f t="shared" ref="N147:R147" si="435">if(min($G146:$K146)=G146,N146+1,N146)</f>
        <v>98</v>
      </c>
      <c r="O147" s="12">
        <f t="shared" si="435"/>
        <v>22</v>
      </c>
      <c r="P147" s="12">
        <f t="shared" si="435"/>
        <v>16</v>
      </c>
      <c r="Q147" s="12">
        <f t="shared" si="435"/>
        <v>8</v>
      </c>
      <c r="R147" s="12">
        <f t="shared" si="435"/>
        <v>2</v>
      </c>
      <c r="T147" s="13">
        <f> 'Optimal Choice'!$B$5*'Optimal Choice'!$B$6^(N147+1)</f>
        <v>3243.799348</v>
      </c>
      <c r="U147" s="13">
        <f> 'Optimal Choice'!$B$10*'Optimal Choice'!$B$11^(O147+1)</f>
        <v>1493.487453</v>
      </c>
      <c r="V147" s="13">
        <f> 'Optimal Choice'!$B$15*'Optimal Choice'!$B$16^(P147+1)</f>
        <v>6679.054222</v>
      </c>
      <c r="W147" s="13">
        <f> 'Optimal Choice'!$B$20*'Optimal Choice'!$B$21^(Q147+1)</f>
        <v>25954.92234</v>
      </c>
      <c r="X147" s="13">
        <f> 'Optimal Choice'!$B$25*'Optimal Choice'!$B$26^(R147+1)</f>
        <v>145662.935</v>
      </c>
      <c r="AA147" s="12">
        <f t="shared" ref="AA147:AE147" si="436">if(isna(VLOOKUP(N147,$D$2:$E$10,2,false)),AA146, VLOOKUP(N147,$D$2:$E$10,2,false))</f>
        <v>25</v>
      </c>
      <c r="AB147" s="15">
        <f t="shared" si="436"/>
        <v>1</v>
      </c>
      <c r="AC147" s="15">
        <f t="shared" si="436"/>
        <v>1</v>
      </c>
      <c r="AD147" s="15">
        <f t="shared" si="436"/>
        <v>1</v>
      </c>
      <c r="AE147" s="15">
        <f t="shared" si="436"/>
        <v>1</v>
      </c>
      <c r="AH147" s="15">
        <f>N147*'Optimal Choice'!$B$4*AA147</f>
        <v>4091.5</v>
      </c>
      <c r="AI147" s="15">
        <f>O147*'Optimal Choice'!$B$9*AB147</f>
        <v>440</v>
      </c>
      <c r="AJ147" s="15">
        <f>P147*'Optimal Choice'!$B$14*AC147</f>
        <v>1440</v>
      </c>
      <c r="AK147" s="15">
        <f>Q147*'Optimal Choice'!$B$19*AD147</f>
        <v>2880</v>
      </c>
      <c r="AL147" s="15">
        <f>R147*'Optimal Choice'!$B$24*AE147</f>
        <v>4320</v>
      </c>
      <c r="AO147" s="12">
        <f t="shared" ref="AO147:AS147" si="437">if(isna(VLOOKUP(N147+1,$D$2:$E$10,2,false)),AO146, VLOOKUP(N147+1,$D$2:$E$10,2,false))</f>
        <v>25</v>
      </c>
      <c r="AP147" s="15">
        <f t="shared" si="437"/>
        <v>1</v>
      </c>
      <c r="AQ147" s="15">
        <f t="shared" si="437"/>
        <v>1</v>
      </c>
      <c r="AR147" s="15">
        <f t="shared" si="437"/>
        <v>1</v>
      </c>
      <c r="AS147" s="15">
        <f t="shared" si="437"/>
        <v>1</v>
      </c>
      <c r="AU147" s="11">
        <f t="shared" si="8"/>
        <v>0.003848243081</v>
      </c>
    </row>
    <row r="148" ht="15.75" customHeight="1">
      <c r="A148" s="16">
        <f t="shared" si="4"/>
        <v>1.576090138</v>
      </c>
      <c r="B148" s="7">
        <f>(sum(AH148:AL148))*'Optimal Choice'!$B$28</f>
        <v>13531.5</v>
      </c>
      <c r="C148" s="11"/>
      <c r="D148" s="12"/>
      <c r="E148" s="12"/>
      <c r="F148" s="11"/>
      <c r="G148" s="11">
        <f>(T148/$B148)+(T148/('Optimal Choice'!$B$4*AO148))</f>
        <v>77.93551485</v>
      </c>
      <c r="H148" s="11">
        <f>(U148/$B148)+(U148/('Optimal Choice'!$B$9*AP148))</f>
        <v>74.78474384</v>
      </c>
      <c r="I148" s="11">
        <f>(V148/$B148)+(V148/('Optimal Choice'!$B$14*AQ148))</f>
        <v>74.70530661</v>
      </c>
      <c r="J148" s="11">
        <f>(W148/$B148)+(W148/('Optimal Choice'!$B$19*AR148))</f>
        <v>83.63708307</v>
      </c>
      <c r="K148" s="11">
        <f>(X148/$B148)+(X148/('Optimal Choice'!$B$24*AS148))</f>
        <v>78.20127334</v>
      </c>
      <c r="N148" s="12">
        <f t="shared" ref="N148:R148" si="438">if(min($G147:$K147)=G147,N147+1,N147)</f>
        <v>98</v>
      </c>
      <c r="O148" s="12">
        <f t="shared" si="438"/>
        <v>22</v>
      </c>
      <c r="P148" s="12">
        <f t="shared" si="438"/>
        <v>16</v>
      </c>
      <c r="Q148" s="12">
        <f t="shared" si="438"/>
        <v>9</v>
      </c>
      <c r="R148" s="12">
        <f t="shared" si="438"/>
        <v>2</v>
      </c>
      <c r="T148" s="13">
        <f> 'Optimal Choice'!$B$5*'Optimal Choice'!$B$6^(N148+1)</f>
        <v>3243.799348</v>
      </c>
      <c r="U148" s="13">
        <f> 'Optimal Choice'!$B$10*'Optimal Choice'!$B$11^(O148+1)</f>
        <v>1493.487453</v>
      </c>
      <c r="V148" s="13">
        <f> 'Optimal Choice'!$B$15*'Optimal Choice'!$B$16^(P148+1)</f>
        <v>6679.054222</v>
      </c>
      <c r="W148" s="13">
        <f> 'Optimal Choice'!$B$20*'Optimal Choice'!$B$21^(Q148+1)</f>
        <v>29329.06225</v>
      </c>
      <c r="X148" s="13">
        <f> 'Optimal Choice'!$B$25*'Optimal Choice'!$B$26^(R148+1)</f>
        <v>145662.935</v>
      </c>
      <c r="AA148" s="12">
        <f t="shared" ref="AA148:AE148" si="439">if(isna(VLOOKUP(N148,$D$2:$E$10,2,false)),AA147, VLOOKUP(N148,$D$2:$E$10,2,false))</f>
        <v>25</v>
      </c>
      <c r="AB148" s="15">
        <f t="shared" si="439"/>
        <v>1</v>
      </c>
      <c r="AC148" s="15">
        <f t="shared" si="439"/>
        <v>1</v>
      </c>
      <c r="AD148" s="15">
        <f t="shared" si="439"/>
        <v>1</v>
      </c>
      <c r="AE148" s="15">
        <f t="shared" si="439"/>
        <v>1</v>
      </c>
      <c r="AH148" s="15">
        <f>N148*'Optimal Choice'!$B$4*AA148</f>
        <v>4091.5</v>
      </c>
      <c r="AI148" s="15">
        <f>O148*'Optimal Choice'!$B$9*AB148</f>
        <v>440</v>
      </c>
      <c r="AJ148" s="15">
        <f>P148*'Optimal Choice'!$B$14*AC148</f>
        <v>1440</v>
      </c>
      <c r="AK148" s="15">
        <f>Q148*'Optimal Choice'!$B$19*AD148</f>
        <v>3240</v>
      </c>
      <c r="AL148" s="15">
        <f>R148*'Optimal Choice'!$B$24*AE148</f>
        <v>4320</v>
      </c>
      <c r="AO148" s="12">
        <f t="shared" ref="AO148:AS148" si="440">if(isna(VLOOKUP(N148+1,$D$2:$E$10,2,false)),AO147, VLOOKUP(N148+1,$D$2:$E$10,2,false))</f>
        <v>25</v>
      </c>
      <c r="AP148" s="15">
        <f t="shared" si="440"/>
        <v>1</v>
      </c>
      <c r="AQ148" s="15">
        <f t="shared" si="440"/>
        <v>1</v>
      </c>
      <c r="AR148" s="15">
        <f t="shared" si="440"/>
        <v>1</v>
      </c>
      <c r="AS148" s="15">
        <f t="shared" si="440"/>
        <v>1</v>
      </c>
      <c r="AU148" s="11">
        <f t="shared" si="8"/>
        <v>0.03284227606</v>
      </c>
    </row>
    <row r="149" ht="15.75" customHeight="1">
      <c r="A149" s="16">
        <f t="shared" si="4"/>
        <v>1.584316689</v>
      </c>
      <c r="B149" s="7">
        <f>(sum(AH149:AL149))*'Optimal Choice'!$B$28</f>
        <v>13621.5</v>
      </c>
      <c r="C149" s="11"/>
      <c r="D149" s="12"/>
      <c r="E149" s="12"/>
      <c r="F149" s="11"/>
      <c r="G149" s="11">
        <f>(T149/$B149)+(T149/('Optimal Choice'!$B$4*AO149))</f>
        <v>77.93393095</v>
      </c>
      <c r="H149" s="11">
        <f>(U149/$B149)+(U149/('Optimal Choice'!$B$9*AP149))</f>
        <v>74.7840146</v>
      </c>
      <c r="I149" s="11">
        <f>(V149/$B149)+(V149/('Optimal Choice'!$B$14*AQ149))</f>
        <v>85.16033169</v>
      </c>
      <c r="J149" s="11">
        <f>(W149/$B149)+(W149/('Optimal Choice'!$B$19*AR149))</f>
        <v>83.62276218</v>
      </c>
      <c r="K149" s="11">
        <f>(X149/$B149)+(X149/('Optimal Choice'!$B$24*AS149))</f>
        <v>78.1301486</v>
      </c>
      <c r="N149" s="12">
        <f t="shared" ref="N149:R149" si="441">if(min($G148:$K148)=G148,N148+1,N148)</f>
        <v>98</v>
      </c>
      <c r="O149" s="12">
        <f t="shared" si="441"/>
        <v>22</v>
      </c>
      <c r="P149" s="12">
        <f t="shared" si="441"/>
        <v>17</v>
      </c>
      <c r="Q149" s="12">
        <f t="shared" si="441"/>
        <v>9</v>
      </c>
      <c r="R149" s="12">
        <f t="shared" si="441"/>
        <v>2</v>
      </c>
      <c r="T149" s="13">
        <f> 'Optimal Choice'!$B$5*'Optimal Choice'!$B$6^(N149+1)</f>
        <v>3243.799348</v>
      </c>
      <c r="U149" s="13">
        <f> 'Optimal Choice'!$B$10*'Optimal Choice'!$B$11^(O149+1)</f>
        <v>1493.487453</v>
      </c>
      <c r="V149" s="13">
        <f> 'Optimal Choice'!$B$15*'Optimal Choice'!$B$16^(P149+1)</f>
        <v>7614.121813</v>
      </c>
      <c r="W149" s="13">
        <f> 'Optimal Choice'!$B$20*'Optimal Choice'!$B$21^(Q149+1)</f>
        <v>29329.06225</v>
      </c>
      <c r="X149" s="13">
        <f> 'Optimal Choice'!$B$25*'Optimal Choice'!$B$26^(R149+1)</f>
        <v>145662.935</v>
      </c>
      <c r="AA149" s="12">
        <f t="shared" ref="AA149:AE149" si="442">if(isna(VLOOKUP(N149,$D$2:$E$10,2,false)),AA148, VLOOKUP(N149,$D$2:$E$10,2,false))</f>
        <v>25</v>
      </c>
      <c r="AB149" s="15">
        <f t="shared" si="442"/>
        <v>1</v>
      </c>
      <c r="AC149" s="15">
        <f t="shared" si="442"/>
        <v>1</v>
      </c>
      <c r="AD149" s="15">
        <f t="shared" si="442"/>
        <v>1</v>
      </c>
      <c r="AE149" s="15">
        <f t="shared" si="442"/>
        <v>1</v>
      </c>
      <c r="AH149" s="15">
        <f>N149*'Optimal Choice'!$B$4*AA149</f>
        <v>4091.5</v>
      </c>
      <c r="AI149" s="15">
        <f>O149*'Optimal Choice'!$B$9*AB149</f>
        <v>440</v>
      </c>
      <c r="AJ149" s="15">
        <f>P149*'Optimal Choice'!$B$14*AC149</f>
        <v>1530</v>
      </c>
      <c r="AK149" s="15">
        <f>Q149*'Optimal Choice'!$B$19*AD149</f>
        <v>3240</v>
      </c>
      <c r="AL149" s="15">
        <f>R149*'Optimal Choice'!$B$24*AE149</f>
        <v>4320</v>
      </c>
      <c r="AO149" s="12">
        <f t="shared" ref="AO149:AS149" si="443">if(isna(VLOOKUP(N149+1,$D$2:$E$10,2,false)),AO148, VLOOKUP(N149+1,$D$2:$E$10,2,false))</f>
        <v>25</v>
      </c>
      <c r="AP149" s="15">
        <f t="shared" si="443"/>
        <v>1</v>
      </c>
      <c r="AQ149" s="15">
        <f t="shared" si="443"/>
        <v>1</v>
      </c>
      <c r="AR149" s="15">
        <f t="shared" si="443"/>
        <v>1</v>
      </c>
      <c r="AS149" s="15">
        <f t="shared" si="443"/>
        <v>1</v>
      </c>
      <c r="AU149" s="11">
        <f t="shared" si="8"/>
        <v>0.008226550668</v>
      </c>
    </row>
    <row r="150" ht="15.75" customHeight="1">
      <c r="A150" s="16">
        <f t="shared" si="4"/>
        <v>1.586144054</v>
      </c>
      <c r="B150" s="7">
        <f>(sum(AH150:AL150))*'Optimal Choice'!$B$28</f>
        <v>13641.5</v>
      </c>
      <c r="C150" s="11"/>
      <c r="D150" s="12"/>
      <c r="E150" s="12"/>
      <c r="F150" s="11"/>
      <c r="G150" s="11">
        <f>(T150/$B150)+(T150/('Optimal Choice'!$B$4*AO150))</f>
        <v>77.93358182</v>
      </c>
      <c r="H150" s="11">
        <f>(U150/$B150)+(U150/('Optimal Choice'!$B$9*AP150))</f>
        <v>86.00143193</v>
      </c>
      <c r="I150" s="11">
        <f>(V150/$B150)+(V150/('Optimal Choice'!$B$14*AQ150))</f>
        <v>85.15951217</v>
      </c>
      <c r="J150" s="11">
        <f>(W150/$B150)+(W150/('Optimal Choice'!$B$19*AR150))</f>
        <v>83.61960543</v>
      </c>
      <c r="K150" s="11">
        <f>(X150/$B150)+(X150/('Optimal Choice'!$B$24*AS150))</f>
        <v>78.11447055</v>
      </c>
      <c r="N150" s="12">
        <f t="shared" ref="N150:R150" si="444">if(min($G149:$K149)=G149,N149+1,N149)</f>
        <v>98</v>
      </c>
      <c r="O150" s="12">
        <f t="shared" si="444"/>
        <v>23</v>
      </c>
      <c r="P150" s="12">
        <f t="shared" si="444"/>
        <v>17</v>
      </c>
      <c r="Q150" s="12">
        <f t="shared" si="444"/>
        <v>9</v>
      </c>
      <c r="R150" s="12">
        <f t="shared" si="444"/>
        <v>2</v>
      </c>
      <c r="T150" s="13">
        <f> 'Optimal Choice'!$B$5*'Optimal Choice'!$B$6^(N150+1)</f>
        <v>3243.799348</v>
      </c>
      <c r="U150" s="13">
        <f> 'Optimal Choice'!$B$10*'Optimal Choice'!$B$11^(O150+1)</f>
        <v>1717.510571</v>
      </c>
      <c r="V150" s="13">
        <f> 'Optimal Choice'!$B$15*'Optimal Choice'!$B$16^(P150+1)</f>
        <v>7614.121813</v>
      </c>
      <c r="W150" s="13">
        <f> 'Optimal Choice'!$B$20*'Optimal Choice'!$B$21^(Q150+1)</f>
        <v>29329.06225</v>
      </c>
      <c r="X150" s="13">
        <f> 'Optimal Choice'!$B$25*'Optimal Choice'!$B$26^(R150+1)</f>
        <v>145662.935</v>
      </c>
      <c r="AA150" s="12">
        <f t="shared" ref="AA150:AE150" si="445">if(isna(VLOOKUP(N150,$D$2:$E$10,2,false)),AA149, VLOOKUP(N150,$D$2:$E$10,2,false))</f>
        <v>25</v>
      </c>
      <c r="AB150" s="15">
        <f t="shared" si="445"/>
        <v>1</v>
      </c>
      <c r="AC150" s="15">
        <f t="shared" si="445"/>
        <v>1</v>
      </c>
      <c r="AD150" s="15">
        <f t="shared" si="445"/>
        <v>1</v>
      </c>
      <c r="AE150" s="15">
        <f t="shared" si="445"/>
        <v>1</v>
      </c>
      <c r="AH150" s="15">
        <f>N150*'Optimal Choice'!$B$4*AA150</f>
        <v>4091.5</v>
      </c>
      <c r="AI150" s="15">
        <f>O150*'Optimal Choice'!$B$9*AB150</f>
        <v>460</v>
      </c>
      <c r="AJ150" s="15">
        <f>P150*'Optimal Choice'!$B$14*AC150</f>
        <v>1530</v>
      </c>
      <c r="AK150" s="15">
        <f>Q150*'Optimal Choice'!$B$19*AD150</f>
        <v>3240</v>
      </c>
      <c r="AL150" s="15">
        <f>R150*'Optimal Choice'!$B$24*AE150</f>
        <v>4320</v>
      </c>
      <c r="AO150" s="12">
        <f t="shared" ref="AO150:AS150" si="446">if(isna(VLOOKUP(N150+1,$D$2:$E$10,2,false)),AO149, VLOOKUP(N150+1,$D$2:$E$10,2,false))</f>
        <v>25</v>
      </c>
      <c r="AP150" s="15">
        <f t="shared" si="446"/>
        <v>1</v>
      </c>
      <c r="AQ150" s="15">
        <f t="shared" si="446"/>
        <v>1</v>
      </c>
      <c r="AR150" s="15">
        <f t="shared" si="446"/>
        <v>1</v>
      </c>
      <c r="AS150" s="15">
        <f t="shared" si="446"/>
        <v>1</v>
      </c>
      <c r="AU150" s="11">
        <f t="shared" si="8"/>
        <v>0.001827365382</v>
      </c>
    </row>
    <row r="151" ht="15.75" customHeight="1">
      <c r="A151" s="16">
        <f t="shared" si="4"/>
        <v>1.590107205</v>
      </c>
      <c r="B151" s="7">
        <f>(sum(AH151:AL151))*'Optimal Choice'!$B$28</f>
        <v>13683.25</v>
      </c>
      <c r="C151" s="11"/>
      <c r="D151" s="12"/>
      <c r="E151" s="12"/>
      <c r="F151" s="11"/>
      <c r="G151" s="11">
        <f>(T151/$B151)+(T151/('Optimal Choice'!$B$4*AO151))</f>
        <v>41.82090709</v>
      </c>
      <c r="H151" s="11">
        <f>(U151/$B151)+(U151/('Optimal Choice'!$B$9*AP151))</f>
        <v>86.00104777</v>
      </c>
      <c r="I151" s="11">
        <f>(V151/$B151)+(V151/('Optimal Choice'!$B$14*AQ151))</f>
        <v>85.15780913</v>
      </c>
      <c r="J151" s="11">
        <f>(W151/$B151)+(W151/('Optimal Choice'!$B$19*AR151))</f>
        <v>83.61304544</v>
      </c>
      <c r="K151" s="11">
        <f>(X151/$B151)+(X151/('Optimal Choice'!$B$24*AS151))</f>
        <v>78.08189032</v>
      </c>
      <c r="N151" s="12">
        <f t="shared" ref="N151:R151" si="447">if(min($G150:$K150)=G150,N150+1,N150)</f>
        <v>99</v>
      </c>
      <c r="O151" s="12">
        <f t="shared" si="447"/>
        <v>23</v>
      </c>
      <c r="P151" s="12">
        <f t="shared" si="447"/>
        <v>17</v>
      </c>
      <c r="Q151" s="12">
        <f t="shared" si="447"/>
        <v>9</v>
      </c>
      <c r="R151" s="12">
        <f t="shared" si="447"/>
        <v>2</v>
      </c>
      <c r="T151" s="13">
        <f> 'Optimal Choice'!$B$5*'Optimal Choice'!$B$6^(N151+1)</f>
        <v>3470.865302</v>
      </c>
      <c r="U151" s="13">
        <f> 'Optimal Choice'!$B$10*'Optimal Choice'!$B$11^(O151+1)</f>
        <v>1717.510571</v>
      </c>
      <c r="V151" s="13">
        <f> 'Optimal Choice'!$B$15*'Optimal Choice'!$B$16^(P151+1)</f>
        <v>7614.121813</v>
      </c>
      <c r="W151" s="13">
        <f> 'Optimal Choice'!$B$20*'Optimal Choice'!$B$21^(Q151+1)</f>
        <v>29329.06225</v>
      </c>
      <c r="X151" s="13">
        <f> 'Optimal Choice'!$B$25*'Optimal Choice'!$B$26^(R151+1)</f>
        <v>145662.935</v>
      </c>
      <c r="AA151" s="12">
        <f t="shared" ref="AA151:AE151" si="448">if(isna(VLOOKUP(N151,$D$2:$E$10,2,false)),AA150, VLOOKUP(N151,$D$2:$E$10,2,false))</f>
        <v>25</v>
      </c>
      <c r="AB151" s="15">
        <f t="shared" si="448"/>
        <v>1</v>
      </c>
      <c r="AC151" s="15">
        <f t="shared" si="448"/>
        <v>1</v>
      </c>
      <c r="AD151" s="15">
        <f t="shared" si="448"/>
        <v>1</v>
      </c>
      <c r="AE151" s="15">
        <f t="shared" si="448"/>
        <v>1</v>
      </c>
      <c r="AH151" s="15">
        <f>N151*'Optimal Choice'!$B$4*AA151</f>
        <v>4133.25</v>
      </c>
      <c r="AI151" s="15">
        <f>O151*'Optimal Choice'!$B$9*AB151</f>
        <v>460</v>
      </c>
      <c r="AJ151" s="15">
        <f>P151*'Optimal Choice'!$B$14*AC151</f>
        <v>1530</v>
      </c>
      <c r="AK151" s="15">
        <f>Q151*'Optimal Choice'!$B$19*AD151</f>
        <v>3240</v>
      </c>
      <c r="AL151" s="15">
        <f>R151*'Optimal Choice'!$B$24*AE151</f>
        <v>4320</v>
      </c>
      <c r="AO151" s="12">
        <f t="shared" ref="AO151:AS151" si="449">if(isna(VLOOKUP(N151+1,$D$2:$E$10,2,false)),AO150, VLOOKUP(N151+1,$D$2:$E$10,2,false))</f>
        <v>50</v>
      </c>
      <c r="AP151" s="15">
        <f t="shared" si="449"/>
        <v>1</v>
      </c>
      <c r="AQ151" s="15">
        <f t="shared" si="449"/>
        <v>1</v>
      </c>
      <c r="AR151" s="15">
        <f t="shared" si="449"/>
        <v>1</v>
      </c>
      <c r="AS151" s="15">
        <f t="shared" si="449"/>
        <v>1</v>
      </c>
      <c r="AU151" s="11">
        <f t="shared" si="8"/>
        <v>0.003963150861</v>
      </c>
    </row>
    <row r="152" ht="15.75" customHeight="1">
      <c r="A152" s="16">
        <f t="shared" si="4"/>
        <v>1.594334838</v>
      </c>
      <c r="B152" s="7">
        <f>(sum(AH152:AL152))*'Optimal Choice'!$B$28</f>
        <v>17900</v>
      </c>
      <c r="C152" s="11"/>
      <c r="D152" s="12"/>
      <c r="E152" s="12"/>
      <c r="F152" s="11"/>
      <c r="G152" s="11">
        <f>(T152/$B152)+(T152/('Optimal Choice'!$B$4*AO152))</f>
        <v>44.68443287</v>
      </c>
      <c r="H152" s="11">
        <f>(U152/$B152)+(U152/('Optimal Choice'!$B$9*AP152))</f>
        <v>85.97147888</v>
      </c>
      <c r="I152" s="11">
        <f>(V152/$B152)+(V152/('Optimal Choice'!$B$14*AQ152))</f>
        <v>85.02672341</v>
      </c>
      <c r="J152" s="11">
        <f>(W152/$B152)+(W152/('Optimal Choice'!$B$19*AR152))</f>
        <v>83.10811246</v>
      </c>
      <c r="K152" s="11">
        <f>(X152/$B152)+(X152/('Optimal Choice'!$B$24*AS152))</f>
        <v>75.57413814</v>
      </c>
      <c r="N152" s="12">
        <f t="shared" ref="N152:R152" si="450">if(min($G151:$K151)=G151,N151+1,N151)</f>
        <v>100</v>
      </c>
      <c r="O152" s="12">
        <f t="shared" si="450"/>
        <v>23</v>
      </c>
      <c r="P152" s="12">
        <f t="shared" si="450"/>
        <v>17</v>
      </c>
      <c r="Q152" s="12">
        <f t="shared" si="450"/>
        <v>9</v>
      </c>
      <c r="R152" s="12">
        <f t="shared" si="450"/>
        <v>2</v>
      </c>
      <c r="T152" s="13">
        <f> 'Optimal Choice'!$B$5*'Optimal Choice'!$B$6^(N152+1)</f>
        <v>3713.825873</v>
      </c>
      <c r="U152" s="13">
        <f> 'Optimal Choice'!$B$10*'Optimal Choice'!$B$11^(O152+1)</f>
        <v>1717.510571</v>
      </c>
      <c r="V152" s="13">
        <f> 'Optimal Choice'!$B$15*'Optimal Choice'!$B$16^(P152+1)</f>
        <v>7614.121813</v>
      </c>
      <c r="W152" s="13">
        <f> 'Optimal Choice'!$B$20*'Optimal Choice'!$B$21^(Q152+1)</f>
        <v>29329.06225</v>
      </c>
      <c r="X152" s="13">
        <f> 'Optimal Choice'!$B$25*'Optimal Choice'!$B$26^(R152+1)</f>
        <v>145662.935</v>
      </c>
      <c r="AA152" s="12">
        <f t="shared" ref="AA152:AE152" si="451">if(isna(VLOOKUP(N152,$D$2:$E$10,2,false)),AA151, VLOOKUP(N152,$D$2:$E$10,2,false))</f>
        <v>50</v>
      </c>
      <c r="AB152" s="15">
        <f t="shared" si="451"/>
        <v>1</v>
      </c>
      <c r="AC152" s="15">
        <f t="shared" si="451"/>
        <v>1</v>
      </c>
      <c r="AD152" s="15">
        <f t="shared" si="451"/>
        <v>1</v>
      </c>
      <c r="AE152" s="15">
        <f t="shared" si="451"/>
        <v>1</v>
      </c>
      <c r="AH152" s="15">
        <f>N152*'Optimal Choice'!$B$4*AA152</f>
        <v>8350</v>
      </c>
      <c r="AI152" s="15">
        <f>O152*'Optimal Choice'!$B$9*AB152</f>
        <v>460</v>
      </c>
      <c r="AJ152" s="15">
        <f>P152*'Optimal Choice'!$B$14*AC152</f>
        <v>1530</v>
      </c>
      <c r="AK152" s="15">
        <f>Q152*'Optimal Choice'!$B$19*AD152</f>
        <v>3240</v>
      </c>
      <c r="AL152" s="15">
        <f>R152*'Optimal Choice'!$B$24*AE152</f>
        <v>4320</v>
      </c>
      <c r="AO152" s="12">
        <f t="shared" ref="AO152:AS152" si="452">if(isna(VLOOKUP(N152+1,$D$2:$E$10,2,false)),AO151, VLOOKUP(N152+1,$D$2:$E$10,2,false))</f>
        <v>50</v>
      </c>
      <c r="AP152" s="15">
        <f t="shared" si="452"/>
        <v>1</v>
      </c>
      <c r="AQ152" s="15">
        <f t="shared" si="452"/>
        <v>1</v>
      </c>
      <c r="AR152" s="15">
        <f t="shared" si="452"/>
        <v>1</v>
      </c>
      <c r="AS152" s="15">
        <f t="shared" si="452"/>
        <v>1</v>
      </c>
      <c r="AU152" s="11">
        <f t="shared" si="8"/>
        <v>0.004227632692</v>
      </c>
    </row>
    <row r="153" ht="15.75" customHeight="1">
      <c r="A153" s="16">
        <f t="shared" si="4"/>
        <v>1.597792776</v>
      </c>
      <c r="B153" s="7">
        <f>(sum(AH153:AL153))*'Optimal Choice'!$B$28</f>
        <v>17983.5</v>
      </c>
      <c r="C153" s="11"/>
      <c r="D153" s="12"/>
      <c r="E153" s="12"/>
      <c r="F153" s="11"/>
      <c r="G153" s="11">
        <f>(T153/$B153)+(T153/('Optimal Choice'!$B$4*AO153))</f>
        <v>47.8113124</v>
      </c>
      <c r="H153" s="11">
        <f>(U153/$B153)+(U153/('Optimal Choice'!$B$9*AP153))</f>
        <v>85.97103337</v>
      </c>
      <c r="I153" s="11">
        <f>(V153/$B153)+(V153/('Optimal Choice'!$B$14*AQ153))</f>
        <v>85.02474835</v>
      </c>
      <c r="J153" s="11">
        <f>(W153/$B153)+(W153/('Optimal Choice'!$B$19*AR153))</f>
        <v>83.10050469</v>
      </c>
      <c r="K153" s="11">
        <f>(X153/$B153)+(X153/('Optimal Choice'!$B$24*AS153))</f>
        <v>75.53635411</v>
      </c>
      <c r="N153" s="12">
        <f t="shared" ref="N153:R153" si="453">if(min($G152:$K152)=G152,N152+1,N152)</f>
        <v>101</v>
      </c>
      <c r="O153" s="12">
        <f t="shared" si="453"/>
        <v>23</v>
      </c>
      <c r="P153" s="12">
        <f t="shared" si="453"/>
        <v>17</v>
      </c>
      <c r="Q153" s="12">
        <f t="shared" si="453"/>
        <v>9</v>
      </c>
      <c r="R153" s="12">
        <f t="shared" si="453"/>
        <v>2</v>
      </c>
      <c r="T153" s="13">
        <f> 'Optimal Choice'!$B$5*'Optimal Choice'!$B$6^(N153+1)</f>
        <v>3973.793685</v>
      </c>
      <c r="U153" s="13">
        <f> 'Optimal Choice'!$B$10*'Optimal Choice'!$B$11^(O153+1)</f>
        <v>1717.510571</v>
      </c>
      <c r="V153" s="13">
        <f> 'Optimal Choice'!$B$15*'Optimal Choice'!$B$16^(P153+1)</f>
        <v>7614.121813</v>
      </c>
      <c r="W153" s="13">
        <f> 'Optimal Choice'!$B$20*'Optimal Choice'!$B$21^(Q153+1)</f>
        <v>29329.06225</v>
      </c>
      <c r="X153" s="13">
        <f> 'Optimal Choice'!$B$25*'Optimal Choice'!$B$26^(R153+1)</f>
        <v>145662.935</v>
      </c>
      <c r="AA153" s="12">
        <f t="shared" ref="AA153:AE153" si="454">if(isna(VLOOKUP(N153,$D$2:$E$10,2,false)),AA152, VLOOKUP(N153,$D$2:$E$10,2,false))</f>
        <v>50</v>
      </c>
      <c r="AB153" s="15">
        <f t="shared" si="454"/>
        <v>1</v>
      </c>
      <c r="AC153" s="15">
        <f t="shared" si="454"/>
        <v>1</v>
      </c>
      <c r="AD153" s="15">
        <f t="shared" si="454"/>
        <v>1</v>
      </c>
      <c r="AE153" s="15">
        <f t="shared" si="454"/>
        <v>1</v>
      </c>
      <c r="AH153" s="15">
        <f>N153*'Optimal Choice'!$B$4*AA153</f>
        <v>8433.5</v>
      </c>
      <c r="AI153" s="15">
        <f>O153*'Optimal Choice'!$B$9*AB153</f>
        <v>460</v>
      </c>
      <c r="AJ153" s="15">
        <f>P153*'Optimal Choice'!$B$14*AC153</f>
        <v>1530</v>
      </c>
      <c r="AK153" s="15">
        <f>Q153*'Optimal Choice'!$B$19*AD153</f>
        <v>3240</v>
      </c>
      <c r="AL153" s="15">
        <f>R153*'Optimal Choice'!$B$24*AE153</f>
        <v>4320</v>
      </c>
      <c r="AO153" s="12">
        <f t="shared" ref="AO153:AS153" si="455">if(isna(VLOOKUP(N153+1,$D$2:$E$10,2,false)),AO152, VLOOKUP(N153+1,$D$2:$E$10,2,false))</f>
        <v>50</v>
      </c>
      <c r="AP153" s="15">
        <f t="shared" si="455"/>
        <v>1</v>
      </c>
      <c r="AQ153" s="15">
        <f t="shared" si="455"/>
        <v>1</v>
      </c>
      <c r="AR153" s="15">
        <f t="shared" si="455"/>
        <v>1</v>
      </c>
      <c r="AS153" s="15">
        <f t="shared" si="455"/>
        <v>1</v>
      </c>
      <c r="AU153" s="11">
        <f t="shared" si="8"/>
        <v>0.00345793843</v>
      </c>
    </row>
    <row r="154" ht="15.75" customHeight="1">
      <c r="A154" s="16">
        <f t="shared" si="4"/>
        <v>1.601475591</v>
      </c>
      <c r="B154" s="7">
        <f>(sum(AH154:AL154))*'Optimal Choice'!$B$28</f>
        <v>18067</v>
      </c>
      <c r="C154" s="11"/>
      <c r="D154" s="12"/>
      <c r="E154" s="12"/>
      <c r="F154" s="11"/>
      <c r="G154" s="11">
        <f>(T154/$B154)+(T154/('Optimal Choice'!$B$4*AO154))</f>
        <v>51.15701153</v>
      </c>
      <c r="H154" s="11">
        <f>(U154/$B154)+(U154/('Optimal Choice'!$B$9*AP154))</f>
        <v>85.97059198</v>
      </c>
      <c r="I154" s="11">
        <f>(V154/$B154)+(V154/('Optimal Choice'!$B$14*AQ154))</f>
        <v>85.02279156</v>
      </c>
      <c r="J154" s="11">
        <f>(W154/$B154)+(W154/('Optimal Choice'!$B$19*AR154))</f>
        <v>83.09296724</v>
      </c>
      <c r="K154" s="11">
        <f>(X154/$B154)+(X154/('Optimal Choice'!$B$24*AS154))</f>
        <v>75.49891933</v>
      </c>
      <c r="N154" s="12">
        <f t="shared" ref="N154:R154" si="456">if(min($G153:$K153)=G153,N153+1,N153)</f>
        <v>102</v>
      </c>
      <c r="O154" s="12">
        <f t="shared" si="456"/>
        <v>23</v>
      </c>
      <c r="P154" s="12">
        <f t="shared" si="456"/>
        <v>17</v>
      </c>
      <c r="Q154" s="12">
        <f t="shared" si="456"/>
        <v>9</v>
      </c>
      <c r="R154" s="12">
        <f t="shared" si="456"/>
        <v>2</v>
      </c>
      <c r="T154" s="13">
        <f> 'Optimal Choice'!$B$5*'Optimal Choice'!$B$6^(N154+1)</f>
        <v>4251.959242</v>
      </c>
      <c r="U154" s="13">
        <f> 'Optimal Choice'!$B$10*'Optimal Choice'!$B$11^(O154+1)</f>
        <v>1717.510571</v>
      </c>
      <c r="V154" s="13">
        <f> 'Optimal Choice'!$B$15*'Optimal Choice'!$B$16^(P154+1)</f>
        <v>7614.121813</v>
      </c>
      <c r="W154" s="13">
        <f> 'Optimal Choice'!$B$20*'Optimal Choice'!$B$21^(Q154+1)</f>
        <v>29329.06225</v>
      </c>
      <c r="X154" s="13">
        <f> 'Optimal Choice'!$B$25*'Optimal Choice'!$B$26^(R154+1)</f>
        <v>145662.935</v>
      </c>
      <c r="AA154" s="12">
        <f t="shared" ref="AA154:AE154" si="457">if(isna(VLOOKUP(N154,$D$2:$E$10,2,false)),AA153, VLOOKUP(N154,$D$2:$E$10,2,false))</f>
        <v>50</v>
      </c>
      <c r="AB154" s="15">
        <f t="shared" si="457"/>
        <v>1</v>
      </c>
      <c r="AC154" s="15">
        <f t="shared" si="457"/>
        <v>1</v>
      </c>
      <c r="AD154" s="15">
        <f t="shared" si="457"/>
        <v>1</v>
      </c>
      <c r="AE154" s="15">
        <f t="shared" si="457"/>
        <v>1</v>
      </c>
      <c r="AH154" s="15">
        <f>N154*'Optimal Choice'!$B$4*AA154</f>
        <v>8517</v>
      </c>
      <c r="AI154" s="15">
        <f>O154*'Optimal Choice'!$B$9*AB154</f>
        <v>460</v>
      </c>
      <c r="AJ154" s="15">
        <f>P154*'Optimal Choice'!$B$14*AC154</f>
        <v>1530</v>
      </c>
      <c r="AK154" s="15">
        <f>Q154*'Optimal Choice'!$B$19*AD154</f>
        <v>3240</v>
      </c>
      <c r="AL154" s="15">
        <f>R154*'Optimal Choice'!$B$24*AE154</f>
        <v>4320</v>
      </c>
      <c r="AO154" s="12">
        <f t="shared" ref="AO154:AS154" si="458">if(isna(VLOOKUP(N154+1,$D$2:$E$10,2,false)),AO153, VLOOKUP(N154+1,$D$2:$E$10,2,false))</f>
        <v>50</v>
      </c>
      <c r="AP154" s="15">
        <f t="shared" si="458"/>
        <v>1</v>
      </c>
      <c r="AQ154" s="15">
        <f t="shared" si="458"/>
        <v>1</v>
      </c>
      <c r="AR154" s="15">
        <f t="shared" si="458"/>
        <v>1</v>
      </c>
      <c r="AS154" s="15">
        <f t="shared" si="458"/>
        <v>1</v>
      </c>
      <c r="AU154" s="11">
        <f t="shared" si="8"/>
        <v>0.00368281451</v>
      </c>
    </row>
    <row r="155" ht="15.75" customHeight="1">
      <c r="A155" s="16">
        <f t="shared" si="4"/>
        <v>1.60539799</v>
      </c>
      <c r="B155" s="7">
        <f>(sum(AH155:AL155))*'Optimal Choice'!$B$28</f>
        <v>18150.5</v>
      </c>
      <c r="C155" s="11"/>
      <c r="D155" s="12"/>
      <c r="E155" s="12"/>
      <c r="F155" s="11"/>
      <c r="G155" s="11">
        <f>(T155/$B155)+(T155/('Optimal Choice'!$B$4*AO155))</f>
        <v>54.73684387</v>
      </c>
      <c r="H155" s="11">
        <f>(U155/$B155)+(U155/('Optimal Choice'!$B$9*AP155))</f>
        <v>85.97015465</v>
      </c>
      <c r="I155" s="11">
        <f>(V155/$B155)+(V155/('Optimal Choice'!$B$14*AQ155))</f>
        <v>85.02085276</v>
      </c>
      <c r="J155" s="11">
        <f>(W155/$B155)+(W155/('Optimal Choice'!$B$19*AR155))</f>
        <v>83.08549914</v>
      </c>
      <c r="K155" s="11">
        <f>(X155/$B155)+(X155/('Optimal Choice'!$B$24*AS155))</f>
        <v>75.46182898</v>
      </c>
      <c r="N155" s="12">
        <f t="shared" ref="N155:R155" si="459">if(min($G154:$K154)=G154,N154+1,N154)</f>
        <v>103</v>
      </c>
      <c r="O155" s="12">
        <f t="shared" si="459"/>
        <v>23</v>
      </c>
      <c r="P155" s="12">
        <f t="shared" si="459"/>
        <v>17</v>
      </c>
      <c r="Q155" s="12">
        <f t="shared" si="459"/>
        <v>9</v>
      </c>
      <c r="R155" s="12">
        <f t="shared" si="459"/>
        <v>2</v>
      </c>
      <c r="T155" s="13">
        <f> 'Optimal Choice'!$B$5*'Optimal Choice'!$B$6^(N155+1)</f>
        <v>4549.596389</v>
      </c>
      <c r="U155" s="13">
        <f> 'Optimal Choice'!$B$10*'Optimal Choice'!$B$11^(O155+1)</f>
        <v>1717.510571</v>
      </c>
      <c r="V155" s="13">
        <f> 'Optimal Choice'!$B$15*'Optimal Choice'!$B$16^(P155+1)</f>
        <v>7614.121813</v>
      </c>
      <c r="W155" s="13">
        <f> 'Optimal Choice'!$B$20*'Optimal Choice'!$B$21^(Q155+1)</f>
        <v>29329.06225</v>
      </c>
      <c r="X155" s="13">
        <f> 'Optimal Choice'!$B$25*'Optimal Choice'!$B$26^(R155+1)</f>
        <v>145662.935</v>
      </c>
      <c r="AA155" s="12">
        <f t="shared" ref="AA155:AE155" si="460">if(isna(VLOOKUP(N155,$D$2:$E$10,2,false)),AA154, VLOOKUP(N155,$D$2:$E$10,2,false))</f>
        <v>50</v>
      </c>
      <c r="AB155" s="15">
        <f t="shared" si="460"/>
        <v>1</v>
      </c>
      <c r="AC155" s="15">
        <f t="shared" si="460"/>
        <v>1</v>
      </c>
      <c r="AD155" s="15">
        <f t="shared" si="460"/>
        <v>1</v>
      </c>
      <c r="AE155" s="15">
        <f t="shared" si="460"/>
        <v>1</v>
      </c>
      <c r="AH155" s="15">
        <f>N155*'Optimal Choice'!$B$4*AA155</f>
        <v>8600.5</v>
      </c>
      <c r="AI155" s="15">
        <f>O155*'Optimal Choice'!$B$9*AB155</f>
        <v>460</v>
      </c>
      <c r="AJ155" s="15">
        <f>P155*'Optimal Choice'!$B$14*AC155</f>
        <v>1530</v>
      </c>
      <c r="AK155" s="15">
        <f>Q155*'Optimal Choice'!$B$19*AD155</f>
        <v>3240</v>
      </c>
      <c r="AL155" s="15">
        <f>R155*'Optimal Choice'!$B$24*AE155</f>
        <v>4320</v>
      </c>
      <c r="AO155" s="12">
        <f t="shared" ref="AO155:AS155" si="461">if(isna(VLOOKUP(N155+1,$D$2:$E$10,2,false)),AO154, VLOOKUP(N155+1,$D$2:$E$10,2,false))</f>
        <v>50</v>
      </c>
      <c r="AP155" s="15">
        <f t="shared" si="461"/>
        <v>1</v>
      </c>
      <c r="AQ155" s="15">
        <f t="shared" si="461"/>
        <v>1</v>
      </c>
      <c r="AR155" s="15">
        <f t="shared" si="461"/>
        <v>1</v>
      </c>
      <c r="AS155" s="15">
        <f t="shared" si="461"/>
        <v>1</v>
      </c>
      <c r="AU155" s="11">
        <f t="shared" si="8"/>
        <v>0.003922399257</v>
      </c>
    </row>
    <row r="156" ht="15.75" customHeight="1">
      <c r="A156" s="16">
        <f t="shared" si="4"/>
        <v>1.609575649</v>
      </c>
      <c r="B156" s="7">
        <f>(sum(AH156:AL156))*'Optimal Choice'!$B$28</f>
        <v>18234</v>
      </c>
      <c r="C156" s="11"/>
      <c r="D156" s="12"/>
      <c r="E156" s="12"/>
      <c r="F156" s="11"/>
      <c r="G156" s="11">
        <f>(T156/$B156)+(T156/('Optimal Choice'!$B$4*AO156))</f>
        <v>58.56719473</v>
      </c>
      <c r="H156" s="11">
        <f>(U156/$B156)+(U156/('Optimal Choice'!$B$9*AP156))</f>
        <v>85.96972132</v>
      </c>
      <c r="I156" s="11">
        <f>(V156/$B156)+(V156/('Optimal Choice'!$B$14*AQ156))</f>
        <v>85.01893172</v>
      </c>
      <c r="J156" s="11">
        <f>(W156/$B156)+(W156/('Optimal Choice'!$B$19*AR156))</f>
        <v>83.07809944</v>
      </c>
      <c r="K156" s="11">
        <f>(X156/$B156)+(X156/('Optimal Choice'!$B$24*AS156))</f>
        <v>75.42507833</v>
      </c>
      <c r="N156" s="12">
        <f t="shared" ref="N156:R156" si="462">if(min($G155:$K155)=G155,N155+1,N155)</f>
        <v>104</v>
      </c>
      <c r="O156" s="12">
        <f t="shared" si="462"/>
        <v>23</v>
      </c>
      <c r="P156" s="12">
        <f t="shared" si="462"/>
        <v>17</v>
      </c>
      <c r="Q156" s="12">
        <f t="shared" si="462"/>
        <v>9</v>
      </c>
      <c r="R156" s="12">
        <f t="shared" si="462"/>
        <v>2</v>
      </c>
      <c r="T156" s="13">
        <f> 'Optimal Choice'!$B$5*'Optimal Choice'!$B$6^(N156+1)</f>
        <v>4868.068137</v>
      </c>
      <c r="U156" s="13">
        <f> 'Optimal Choice'!$B$10*'Optimal Choice'!$B$11^(O156+1)</f>
        <v>1717.510571</v>
      </c>
      <c r="V156" s="13">
        <f> 'Optimal Choice'!$B$15*'Optimal Choice'!$B$16^(P156+1)</f>
        <v>7614.121813</v>
      </c>
      <c r="W156" s="13">
        <f> 'Optimal Choice'!$B$20*'Optimal Choice'!$B$21^(Q156+1)</f>
        <v>29329.06225</v>
      </c>
      <c r="X156" s="13">
        <f> 'Optimal Choice'!$B$25*'Optimal Choice'!$B$26^(R156+1)</f>
        <v>145662.935</v>
      </c>
      <c r="AA156" s="12">
        <f t="shared" ref="AA156:AE156" si="463">if(isna(VLOOKUP(N156,$D$2:$E$10,2,false)),AA155, VLOOKUP(N156,$D$2:$E$10,2,false))</f>
        <v>50</v>
      </c>
      <c r="AB156" s="15">
        <f t="shared" si="463"/>
        <v>1</v>
      </c>
      <c r="AC156" s="15">
        <f t="shared" si="463"/>
        <v>1</v>
      </c>
      <c r="AD156" s="15">
        <f t="shared" si="463"/>
        <v>1</v>
      </c>
      <c r="AE156" s="15">
        <f t="shared" si="463"/>
        <v>1</v>
      </c>
      <c r="AH156" s="15">
        <f>N156*'Optimal Choice'!$B$4*AA156</f>
        <v>8684</v>
      </c>
      <c r="AI156" s="15">
        <f>O156*'Optimal Choice'!$B$9*AB156</f>
        <v>460</v>
      </c>
      <c r="AJ156" s="15">
        <f>P156*'Optimal Choice'!$B$14*AC156</f>
        <v>1530</v>
      </c>
      <c r="AK156" s="15">
        <f>Q156*'Optimal Choice'!$B$19*AD156</f>
        <v>3240</v>
      </c>
      <c r="AL156" s="15">
        <f>R156*'Optimal Choice'!$B$24*AE156</f>
        <v>4320</v>
      </c>
      <c r="AO156" s="12">
        <f t="shared" ref="AO156:AS156" si="464">if(isna(VLOOKUP(N156+1,$D$2:$E$10,2,false)),AO155, VLOOKUP(N156+1,$D$2:$E$10,2,false))</f>
        <v>50</v>
      </c>
      <c r="AP156" s="15">
        <f t="shared" si="464"/>
        <v>1</v>
      </c>
      <c r="AQ156" s="15">
        <f t="shared" si="464"/>
        <v>1</v>
      </c>
      <c r="AR156" s="15">
        <f t="shared" si="464"/>
        <v>1</v>
      </c>
      <c r="AS156" s="15">
        <f t="shared" si="464"/>
        <v>1</v>
      </c>
      <c r="AU156" s="11">
        <f t="shared" si="8"/>
        <v>0.004177659375</v>
      </c>
    </row>
    <row r="157" ht="15.75" customHeight="1">
      <c r="A157" s="16">
        <f t="shared" si="4"/>
        <v>1.614025275</v>
      </c>
      <c r="B157" s="7">
        <f>(sum(AH157:AL157))*'Optimal Choice'!$B$28</f>
        <v>18317.5</v>
      </c>
      <c r="C157" s="11"/>
      <c r="D157" s="12"/>
      <c r="E157" s="12"/>
      <c r="F157" s="11"/>
      <c r="G157" s="11">
        <f>(T157/$B157)+(T157/('Optimal Choice'!$B$4*AO157))</f>
        <v>62.66559616</v>
      </c>
      <c r="H157" s="11">
        <f>(U157/$B157)+(U157/('Optimal Choice'!$B$9*AP157))</f>
        <v>85.96929195</v>
      </c>
      <c r="I157" s="11">
        <f>(V157/$B157)+(V157/('Optimal Choice'!$B$14*AQ157))</f>
        <v>85.0170282</v>
      </c>
      <c r="J157" s="11">
        <f>(W157/$B157)+(W157/('Optimal Choice'!$B$19*AR157))</f>
        <v>83.0707672</v>
      </c>
      <c r="K157" s="11">
        <f>(X157/$B157)+(X157/('Optimal Choice'!$B$24*AS157))</f>
        <v>75.38866274</v>
      </c>
      <c r="N157" s="12">
        <f t="shared" ref="N157:R157" si="465">if(min($G156:$K156)=G156,N156+1,N156)</f>
        <v>105</v>
      </c>
      <c r="O157" s="12">
        <f t="shared" si="465"/>
        <v>23</v>
      </c>
      <c r="P157" s="12">
        <f t="shared" si="465"/>
        <v>17</v>
      </c>
      <c r="Q157" s="12">
        <f t="shared" si="465"/>
        <v>9</v>
      </c>
      <c r="R157" s="12">
        <f t="shared" si="465"/>
        <v>2</v>
      </c>
      <c r="T157" s="13">
        <f> 'Optimal Choice'!$B$5*'Optimal Choice'!$B$6^(N157+1)</f>
        <v>5208.832906</v>
      </c>
      <c r="U157" s="13">
        <f> 'Optimal Choice'!$B$10*'Optimal Choice'!$B$11^(O157+1)</f>
        <v>1717.510571</v>
      </c>
      <c r="V157" s="13">
        <f> 'Optimal Choice'!$B$15*'Optimal Choice'!$B$16^(P157+1)</f>
        <v>7614.121813</v>
      </c>
      <c r="W157" s="13">
        <f> 'Optimal Choice'!$B$20*'Optimal Choice'!$B$21^(Q157+1)</f>
        <v>29329.06225</v>
      </c>
      <c r="X157" s="13">
        <f> 'Optimal Choice'!$B$25*'Optimal Choice'!$B$26^(R157+1)</f>
        <v>145662.935</v>
      </c>
      <c r="AA157" s="12">
        <f t="shared" ref="AA157:AE157" si="466">if(isna(VLOOKUP(N157,$D$2:$E$10,2,false)),AA156, VLOOKUP(N157,$D$2:$E$10,2,false))</f>
        <v>50</v>
      </c>
      <c r="AB157" s="15">
        <f t="shared" si="466"/>
        <v>1</v>
      </c>
      <c r="AC157" s="15">
        <f t="shared" si="466"/>
        <v>1</v>
      </c>
      <c r="AD157" s="15">
        <f t="shared" si="466"/>
        <v>1</v>
      </c>
      <c r="AE157" s="15">
        <f t="shared" si="466"/>
        <v>1</v>
      </c>
      <c r="AH157" s="15">
        <f>N157*'Optimal Choice'!$B$4*AA157</f>
        <v>8767.5</v>
      </c>
      <c r="AI157" s="15">
        <f>O157*'Optimal Choice'!$B$9*AB157</f>
        <v>460</v>
      </c>
      <c r="AJ157" s="15">
        <f>P157*'Optimal Choice'!$B$14*AC157</f>
        <v>1530</v>
      </c>
      <c r="AK157" s="15">
        <f>Q157*'Optimal Choice'!$B$19*AD157</f>
        <v>3240</v>
      </c>
      <c r="AL157" s="15">
        <f>R157*'Optimal Choice'!$B$24*AE157</f>
        <v>4320</v>
      </c>
      <c r="AO157" s="12">
        <f t="shared" ref="AO157:AS157" si="467">if(isna(VLOOKUP(N157+1,$D$2:$E$10,2,false)),AO156, VLOOKUP(N157+1,$D$2:$E$10,2,false))</f>
        <v>50</v>
      </c>
      <c r="AP157" s="15">
        <f t="shared" si="467"/>
        <v>1</v>
      </c>
      <c r="AQ157" s="15">
        <f t="shared" si="467"/>
        <v>1</v>
      </c>
      <c r="AR157" s="15">
        <f t="shared" si="467"/>
        <v>1</v>
      </c>
      <c r="AS157" s="15">
        <f t="shared" si="467"/>
        <v>1</v>
      </c>
      <c r="AU157" s="11">
        <f t="shared" si="8"/>
        <v>0.004449625367</v>
      </c>
    </row>
    <row r="158" ht="15.75" customHeight="1">
      <c r="A158" s="16">
        <f t="shared" si="4"/>
        <v>1.618764671</v>
      </c>
      <c r="B158" s="7">
        <f>(sum(AH158:AL158))*'Optimal Choice'!$B$28</f>
        <v>18401</v>
      </c>
      <c r="C158" s="11"/>
      <c r="D158" s="12"/>
      <c r="E158" s="12"/>
      <c r="F158" s="11"/>
      <c r="G158" s="11">
        <f>(T158/$B158)+(T158/('Optimal Choice'!$B$4*AO158))</f>
        <v>67.05080718</v>
      </c>
      <c r="H158" s="11">
        <f>(U158/$B158)+(U158/('Optimal Choice'!$B$9*AP158))</f>
        <v>85.96886647</v>
      </c>
      <c r="I158" s="11">
        <f>(V158/$B158)+(V158/('Optimal Choice'!$B$14*AQ158))</f>
        <v>85.01514195</v>
      </c>
      <c r="J158" s="11">
        <f>(W158/$B158)+(W158/('Optimal Choice'!$B$19*AR158))</f>
        <v>83.06350151</v>
      </c>
      <c r="K158" s="11">
        <f>(X158/$B158)+(X158/('Optimal Choice'!$B$24*AS158))</f>
        <v>75.35257764</v>
      </c>
      <c r="N158" s="12">
        <f t="shared" ref="N158:R158" si="468">if(min($G157:$K157)=G157,N157+1,N157)</f>
        <v>106</v>
      </c>
      <c r="O158" s="12">
        <f t="shared" si="468"/>
        <v>23</v>
      </c>
      <c r="P158" s="12">
        <f t="shared" si="468"/>
        <v>17</v>
      </c>
      <c r="Q158" s="12">
        <f t="shared" si="468"/>
        <v>9</v>
      </c>
      <c r="R158" s="12">
        <f t="shared" si="468"/>
        <v>2</v>
      </c>
      <c r="T158" s="13">
        <f> 'Optimal Choice'!$B$5*'Optimal Choice'!$B$6^(N158+1)</f>
        <v>5573.45121</v>
      </c>
      <c r="U158" s="13">
        <f> 'Optimal Choice'!$B$10*'Optimal Choice'!$B$11^(O158+1)</f>
        <v>1717.510571</v>
      </c>
      <c r="V158" s="13">
        <f> 'Optimal Choice'!$B$15*'Optimal Choice'!$B$16^(P158+1)</f>
        <v>7614.121813</v>
      </c>
      <c r="W158" s="13">
        <f> 'Optimal Choice'!$B$20*'Optimal Choice'!$B$21^(Q158+1)</f>
        <v>29329.06225</v>
      </c>
      <c r="X158" s="13">
        <f> 'Optimal Choice'!$B$25*'Optimal Choice'!$B$26^(R158+1)</f>
        <v>145662.935</v>
      </c>
      <c r="AA158" s="12">
        <f t="shared" ref="AA158:AE158" si="469">if(isna(VLOOKUP(N158,$D$2:$E$10,2,false)),AA157, VLOOKUP(N158,$D$2:$E$10,2,false))</f>
        <v>50</v>
      </c>
      <c r="AB158" s="15">
        <f t="shared" si="469"/>
        <v>1</v>
      </c>
      <c r="AC158" s="15">
        <f t="shared" si="469"/>
        <v>1</v>
      </c>
      <c r="AD158" s="15">
        <f t="shared" si="469"/>
        <v>1</v>
      </c>
      <c r="AE158" s="15">
        <f t="shared" si="469"/>
        <v>1</v>
      </c>
      <c r="AH158" s="15">
        <f>N158*'Optimal Choice'!$B$4*AA158</f>
        <v>8851</v>
      </c>
      <c r="AI158" s="15">
        <f>O158*'Optimal Choice'!$B$9*AB158</f>
        <v>460</v>
      </c>
      <c r="AJ158" s="15">
        <f>P158*'Optimal Choice'!$B$14*AC158</f>
        <v>1530</v>
      </c>
      <c r="AK158" s="15">
        <f>Q158*'Optimal Choice'!$B$19*AD158</f>
        <v>3240</v>
      </c>
      <c r="AL158" s="15">
        <f>R158*'Optimal Choice'!$B$24*AE158</f>
        <v>4320</v>
      </c>
      <c r="AO158" s="12">
        <f t="shared" ref="AO158:AS158" si="470">if(isna(VLOOKUP(N158+1,$D$2:$E$10,2,false)),AO157, VLOOKUP(N158+1,$D$2:$E$10,2,false))</f>
        <v>50</v>
      </c>
      <c r="AP158" s="15">
        <f t="shared" si="470"/>
        <v>1</v>
      </c>
      <c r="AQ158" s="15">
        <f t="shared" si="470"/>
        <v>1</v>
      </c>
      <c r="AR158" s="15">
        <f t="shared" si="470"/>
        <v>1</v>
      </c>
      <c r="AS158" s="15">
        <f t="shared" si="470"/>
        <v>1</v>
      </c>
      <c r="AU158" s="11">
        <f t="shared" si="8"/>
        <v>0.004739395757</v>
      </c>
    </row>
    <row r="159" ht="15.75" customHeight="1">
      <c r="A159" s="16">
        <f t="shared" si="4"/>
        <v>1.623812812</v>
      </c>
      <c r="B159" s="7">
        <f>(sum(AH159:AL159))*'Optimal Choice'!$B$28</f>
        <v>18484.5</v>
      </c>
      <c r="C159" s="11"/>
      <c r="D159" s="12"/>
      <c r="E159" s="12"/>
      <c r="F159" s="11"/>
      <c r="G159" s="11">
        <f>(T159/$B159)+(T159/('Optimal Choice'!$B$4*AO159))</f>
        <v>71.74289966</v>
      </c>
      <c r="H159" s="11">
        <f>(U159/$B159)+(U159/('Optimal Choice'!$B$9*AP159))</f>
        <v>85.96844483</v>
      </c>
      <c r="I159" s="11">
        <f>(V159/$B159)+(V159/('Optimal Choice'!$B$14*AQ159))</f>
        <v>85.01327275</v>
      </c>
      <c r="J159" s="11">
        <f>(W159/$B159)+(W159/('Optimal Choice'!$B$19*AR159))</f>
        <v>83.05630146</v>
      </c>
      <c r="K159" s="11">
        <f>(X159/$B159)+(X159/('Optimal Choice'!$B$24*AS159))</f>
        <v>75.31681856</v>
      </c>
      <c r="N159" s="12">
        <f t="shared" ref="N159:R159" si="471">if(min($G158:$K158)=G158,N158+1,N158)</f>
        <v>107</v>
      </c>
      <c r="O159" s="12">
        <f t="shared" si="471"/>
        <v>23</v>
      </c>
      <c r="P159" s="12">
        <f t="shared" si="471"/>
        <v>17</v>
      </c>
      <c r="Q159" s="12">
        <f t="shared" si="471"/>
        <v>9</v>
      </c>
      <c r="R159" s="12">
        <f t="shared" si="471"/>
        <v>2</v>
      </c>
      <c r="T159" s="13">
        <f> 'Optimal Choice'!$B$5*'Optimal Choice'!$B$6^(N159+1)</f>
        <v>5963.592794</v>
      </c>
      <c r="U159" s="13">
        <f> 'Optimal Choice'!$B$10*'Optimal Choice'!$B$11^(O159+1)</f>
        <v>1717.510571</v>
      </c>
      <c r="V159" s="13">
        <f> 'Optimal Choice'!$B$15*'Optimal Choice'!$B$16^(P159+1)</f>
        <v>7614.121813</v>
      </c>
      <c r="W159" s="13">
        <f> 'Optimal Choice'!$B$20*'Optimal Choice'!$B$21^(Q159+1)</f>
        <v>29329.06225</v>
      </c>
      <c r="X159" s="13">
        <f> 'Optimal Choice'!$B$25*'Optimal Choice'!$B$26^(R159+1)</f>
        <v>145662.935</v>
      </c>
      <c r="AA159" s="12">
        <f t="shared" ref="AA159:AE159" si="472">if(isna(VLOOKUP(N159,$D$2:$E$10,2,false)),AA158, VLOOKUP(N159,$D$2:$E$10,2,false))</f>
        <v>50</v>
      </c>
      <c r="AB159" s="15">
        <f t="shared" si="472"/>
        <v>1</v>
      </c>
      <c r="AC159" s="15">
        <f t="shared" si="472"/>
        <v>1</v>
      </c>
      <c r="AD159" s="15">
        <f t="shared" si="472"/>
        <v>1</v>
      </c>
      <c r="AE159" s="15">
        <f t="shared" si="472"/>
        <v>1</v>
      </c>
      <c r="AH159" s="15">
        <f>N159*'Optimal Choice'!$B$4*AA159</f>
        <v>8934.5</v>
      </c>
      <c r="AI159" s="15">
        <f>O159*'Optimal Choice'!$B$9*AB159</f>
        <v>460</v>
      </c>
      <c r="AJ159" s="15">
        <f>P159*'Optimal Choice'!$B$14*AC159</f>
        <v>1530</v>
      </c>
      <c r="AK159" s="15">
        <f>Q159*'Optimal Choice'!$B$19*AD159</f>
        <v>3240</v>
      </c>
      <c r="AL159" s="15">
        <f>R159*'Optimal Choice'!$B$24*AE159</f>
        <v>4320</v>
      </c>
      <c r="AO159" s="12">
        <f t="shared" ref="AO159:AS159" si="473">if(isna(VLOOKUP(N159+1,$D$2:$E$10,2,false)),AO158, VLOOKUP(N159+1,$D$2:$E$10,2,false))</f>
        <v>50</v>
      </c>
      <c r="AP159" s="15">
        <f t="shared" si="473"/>
        <v>1</v>
      </c>
      <c r="AQ159" s="15">
        <f t="shared" si="473"/>
        <v>1</v>
      </c>
      <c r="AR159" s="15">
        <f t="shared" si="473"/>
        <v>1</v>
      </c>
      <c r="AS159" s="15">
        <f t="shared" si="473"/>
        <v>1</v>
      </c>
      <c r="AU159" s="11">
        <f t="shared" si="8"/>
        <v>0.005048141595</v>
      </c>
    </row>
    <row r="160" ht="15.75" customHeight="1">
      <c r="A160" s="16">
        <f t="shared" si="4"/>
        <v>1.629189923</v>
      </c>
      <c r="B160" s="7">
        <f>(sum(AH160:AL160))*'Optimal Choice'!$B$28</f>
        <v>18568</v>
      </c>
      <c r="C160" s="11"/>
      <c r="D160" s="12"/>
      <c r="E160" s="12"/>
      <c r="F160" s="11"/>
      <c r="G160" s="11">
        <f>(T160/$B160)+(T160/('Optimal Choice'!$B$4*AO160))</f>
        <v>76.76335023</v>
      </c>
      <c r="H160" s="11">
        <f>(U160/$B160)+(U160/('Optimal Choice'!$B$9*AP160))</f>
        <v>85.96802699</v>
      </c>
      <c r="I160" s="11">
        <f>(V160/$B160)+(V160/('Optimal Choice'!$B$14*AQ160))</f>
        <v>85.01142035</v>
      </c>
      <c r="J160" s="11">
        <f>(W160/$B160)+(W160/('Optimal Choice'!$B$19*AR160))</f>
        <v>83.04916617</v>
      </c>
      <c r="K160" s="11">
        <f>(X160/$B160)+(X160/('Optimal Choice'!$B$24*AS160))</f>
        <v>75.28138109</v>
      </c>
      <c r="N160" s="12">
        <f t="shared" ref="N160:R160" si="474">if(min($G159:$K159)=G159,N159+1,N159)</f>
        <v>108</v>
      </c>
      <c r="O160" s="12">
        <f t="shared" si="474"/>
        <v>23</v>
      </c>
      <c r="P160" s="12">
        <f t="shared" si="474"/>
        <v>17</v>
      </c>
      <c r="Q160" s="12">
        <f t="shared" si="474"/>
        <v>9</v>
      </c>
      <c r="R160" s="12">
        <f t="shared" si="474"/>
        <v>2</v>
      </c>
      <c r="T160" s="13">
        <f> 'Optimal Choice'!$B$5*'Optimal Choice'!$B$6^(N160+1)</f>
        <v>6381.04429</v>
      </c>
      <c r="U160" s="13">
        <f> 'Optimal Choice'!$B$10*'Optimal Choice'!$B$11^(O160+1)</f>
        <v>1717.510571</v>
      </c>
      <c r="V160" s="13">
        <f> 'Optimal Choice'!$B$15*'Optimal Choice'!$B$16^(P160+1)</f>
        <v>7614.121813</v>
      </c>
      <c r="W160" s="13">
        <f> 'Optimal Choice'!$B$20*'Optimal Choice'!$B$21^(Q160+1)</f>
        <v>29329.06225</v>
      </c>
      <c r="X160" s="13">
        <f> 'Optimal Choice'!$B$25*'Optimal Choice'!$B$26^(R160+1)</f>
        <v>145662.935</v>
      </c>
      <c r="AA160" s="12">
        <f t="shared" ref="AA160:AE160" si="475">if(isna(VLOOKUP(N160,$D$2:$E$10,2,false)),AA159, VLOOKUP(N160,$D$2:$E$10,2,false))</f>
        <v>50</v>
      </c>
      <c r="AB160" s="15">
        <f t="shared" si="475"/>
        <v>1</v>
      </c>
      <c r="AC160" s="15">
        <f t="shared" si="475"/>
        <v>1</v>
      </c>
      <c r="AD160" s="15">
        <f t="shared" si="475"/>
        <v>1</v>
      </c>
      <c r="AE160" s="15">
        <f t="shared" si="475"/>
        <v>1</v>
      </c>
      <c r="AH160" s="15">
        <f>N160*'Optimal Choice'!$B$4*AA160</f>
        <v>9018</v>
      </c>
      <c r="AI160" s="15">
        <f>O160*'Optimal Choice'!$B$9*AB160</f>
        <v>460</v>
      </c>
      <c r="AJ160" s="15">
        <f>P160*'Optimal Choice'!$B$14*AC160</f>
        <v>1530</v>
      </c>
      <c r="AK160" s="15">
        <f>Q160*'Optimal Choice'!$B$19*AD160</f>
        <v>3240</v>
      </c>
      <c r="AL160" s="15">
        <f>R160*'Optimal Choice'!$B$24*AE160</f>
        <v>4320</v>
      </c>
      <c r="AO160" s="12">
        <f t="shared" ref="AO160:AS160" si="476">if(isna(VLOOKUP(N160+1,$D$2:$E$10,2,false)),AO159, VLOOKUP(N160+1,$D$2:$E$10,2,false))</f>
        <v>50</v>
      </c>
      <c r="AP160" s="15">
        <f t="shared" si="476"/>
        <v>1</v>
      </c>
      <c r="AQ160" s="15">
        <f t="shared" si="476"/>
        <v>1</v>
      </c>
      <c r="AR160" s="15">
        <f t="shared" si="476"/>
        <v>1</v>
      </c>
      <c r="AS160" s="15">
        <f t="shared" si="476"/>
        <v>1</v>
      </c>
      <c r="AU160" s="11">
        <f t="shared" si="8"/>
        <v>0.005377111268</v>
      </c>
    </row>
    <row r="161" ht="15.75" customHeight="1">
      <c r="A161" s="16">
        <f t="shared" si="4"/>
        <v>1.759937208</v>
      </c>
      <c r="B161" s="7">
        <f>(sum(AH161:AL161))*'Optimal Choice'!$B$28</f>
        <v>20728</v>
      </c>
      <c r="C161" s="11"/>
      <c r="D161" s="12"/>
      <c r="E161" s="12"/>
      <c r="F161" s="11"/>
      <c r="G161" s="11">
        <f>(T161/$B161)+(T161/('Optimal Choice'!$B$4*AO161))</f>
        <v>76.72753869</v>
      </c>
      <c r="H161" s="11">
        <f>(U161/$B161)+(U161/('Optimal Choice'!$B$9*AP161))</f>
        <v>85.95838802</v>
      </c>
      <c r="I161" s="11">
        <f>(V161/$B161)+(V161/('Optimal Choice'!$B$14*AQ161))</f>
        <v>84.96868857</v>
      </c>
      <c r="J161" s="11">
        <f>(W161/$B161)+(W161/('Optimal Choice'!$B$19*AR161))</f>
        <v>82.88456633</v>
      </c>
      <c r="K161" s="11">
        <f>(X161/$B161)+(X161/('Optimal Choice'!$B$24*AS161))</f>
        <v>83.39956259</v>
      </c>
      <c r="N161" s="12">
        <f t="shared" ref="N161:R161" si="477">if(min($G160:$K160)=G160,N160+1,N160)</f>
        <v>108</v>
      </c>
      <c r="O161" s="12">
        <f t="shared" si="477"/>
        <v>23</v>
      </c>
      <c r="P161" s="12">
        <f t="shared" si="477"/>
        <v>17</v>
      </c>
      <c r="Q161" s="12">
        <f t="shared" si="477"/>
        <v>9</v>
      </c>
      <c r="R161" s="12">
        <f t="shared" si="477"/>
        <v>3</v>
      </c>
      <c r="T161" s="13">
        <f> 'Optimal Choice'!$B$5*'Optimal Choice'!$B$6^(N161+1)</f>
        <v>6381.04429</v>
      </c>
      <c r="U161" s="13">
        <f> 'Optimal Choice'!$B$10*'Optimal Choice'!$B$11^(O161+1)</f>
        <v>1717.510571</v>
      </c>
      <c r="V161" s="13">
        <f> 'Optimal Choice'!$B$15*'Optimal Choice'!$B$16^(P161+1)</f>
        <v>7614.121813</v>
      </c>
      <c r="W161" s="13">
        <f> 'Optimal Choice'!$B$20*'Optimal Choice'!$B$21^(Q161+1)</f>
        <v>29329.06225</v>
      </c>
      <c r="X161" s="13">
        <f> 'Optimal Choice'!$B$25*'Optimal Choice'!$B$26^(R161+1)</f>
        <v>163142.4872</v>
      </c>
      <c r="AA161" s="12">
        <f t="shared" ref="AA161:AE161" si="478">if(isna(VLOOKUP(N161,$D$2:$E$10,2,false)),AA160, VLOOKUP(N161,$D$2:$E$10,2,false))</f>
        <v>50</v>
      </c>
      <c r="AB161" s="15">
        <f t="shared" si="478"/>
        <v>1</v>
      </c>
      <c r="AC161" s="15">
        <f t="shared" si="478"/>
        <v>1</v>
      </c>
      <c r="AD161" s="15">
        <f t="shared" si="478"/>
        <v>1</v>
      </c>
      <c r="AE161" s="15">
        <f t="shared" si="478"/>
        <v>1</v>
      </c>
      <c r="AH161" s="15">
        <f>N161*'Optimal Choice'!$B$4*AA161</f>
        <v>9018</v>
      </c>
      <c r="AI161" s="15">
        <f>O161*'Optimal Choice'!$B$9*AB161</f>
        <v>460</v>
      </c>
      <c r="AJ161" s="15">
        <f>P161*'Optimal Choice'!$B$14*AC161</f>
        <v>1530</v>
      </c>
      <c r="AK161" s="15">
        <f>Q161*'Optimal Choice'!$B$19*AD161</f>
        <v>3240</v>
      </c>
      <c r="AL161" s="15">
        <f>R161*'Optimal Choice'!$B$24*AE161</f>
        <v>6480</v>
      </c>
      <c r="AO161" s="12">
        <f t="shared" ref="AO161:AS161" si="479">if(isna(VLOOKUP(N161+1,$D$2:$E$10,2,false)),AO160, VLOOKUP(N161+1,$D$2:$E$10,2,false))</f>
        <v>50</v>
      </c>
      <c r="AP161" s="15">
        <f t="shared" si="479"/>
        <v>1</v>
      </c>
      <c r="AQ161" s="15">
        <f t="shared" si="479"/>
        <v>1</v>
      </c>
      <c r="AR161" s="15">
        <f t="shared" si="479"/>
        <v>1</v>
      </c>
      <c r="AS161" s="15">
        <f t="shared" si="479"/>
        <v>1</v>
      </c>
      <c r="AU161" s="11">
        <f t="shared" si="8"/>
        <v>0.1307472848</v>
      </c>
    </row>
    <row r="162" ht="15.75" customHeight="1">
      <c r="A162" s="16">
        <f t="shared" si="4"/>
        <v>1.765067985</v>
      </c>
      <c r="B162" s="7">
        <f>(sum(AH162:AL162))*'Optimal Choice'!$B$28</f>
        <v>20811.5</v>
      </c>
      <c r="C162" s="11"/>
      <c r="D162" s="12"/>
      <c r="E162" s="12"/>
      <c r="F162" s="11"/>
      <c r="G162" s="11">
        <f>(T162/$B162)+(T162/('Optimal Choice'!$B$4*AO162))</f>
        <v>82.0971448</v>
      </c>
      <c r="H162" s="11">
        <f>(U162/$B162)+(U162/('Optimal Choice'!$B$9*AP162))</f>
        <v>85.95805557</v>
      </c>
      <c r="I162" s="11">
        <f>(V162/$B162)+(V162/('Optimal Choice'!$B$14*AQ162))</f>
        <v>84.96721474</v>
      </c>
      <c r="J162" s="11">
        <f>(W162/$B162)+(W162/('Optimal Choice'!$B$19*AR162))</f>
        <v>82.87888926</v>
      </c>
      <c r="K162" s="11">
        <f>(X162/$B162)+(X162/('Optimal Choice'!$B$24*AS162))</f>
        <v>83.367984</v>
      </c>
      <c r="N162" s="12">
        <f t="shared" ref="N162:R162" si="480">if(min($G161:$K161)=G161,N161+1,N161)</f>
        <v>109</v>
      </c>
      <c r="O162" s="12">
        <f t="shared" si="480"/>
        <v>23</v>
      </c>
      <c r="P162" s="12">
        <f t="shared" si="480"/>
        <v>17</v>
      </c>
      <c r="Q162" s="12">
        <f t="shared" si="480"/>
        <v>9</v>
      </c>
      <c r="R162" s="12">
        <f t="shared" si="480"/>
        <v>3</v>
      </c>
      <c r="T162" s="13">
        <f> 'Optimal Choice'!$B$5*'Optimal Choice'!$B$6^(N162+1)</f>
        <v>6827.71739</v>
      </c>
      <c r="U162" s="13">
        <f> 'Optimal Choice'!$B$10*'Optimal Choice'!$B$11^(O162+1)</f>
        <v>1717.510571</v>
      </c>
      <c r="V162" s="13">
        <f> 'Optimal Choice'!$B$15*'Optimal Choice'!$B$16^(P162+1)</f>
        <v>7614.121813</v>
      </c>
      <c r="W162" s="13">
        <f> 'Optimal Choice'!$B$20*'Optimal Choice'!$B$21^(Q162+1)</f>
        <v>29329.06225</v>
      </c>
      <c r="X162" s="13">
        <f> 'Optimal Choice'!$B$25*'Optimal Choice'!$B$26^(R162+1)</f>
        <v>163142.4872</v>
      </c>
      <c r="AA162" s="12">
        <f t="shared" ref="AA162:AE162" si="481">if(isna(VLOOKUP(N162,$D$2:$E$10,2,false)),AA161, VLOOKUP(N162,$D$2:$E$10,2,false))</f>
        <v>50</v>
      </c>
      <c r="AB162" s="15">
        <f t="shared" si="481"/>
        <v>1</v>
      </c>
      <c r="AC162" s="15">
        <f t="shared" si="481"/>
        <v>1</v>
      </c>
      <c r="AD162" s="15">
        <f t="shared" si="481"/>
        <v>1</v>
      </c>
      <c r="AE162" s="15">
        <f t="shared" si="481"/>
        <v>1</v>
      </c>
      <c r="AH162" s="15">
        <f>N162*'Optimal Choice'!$B$4*AA162</f>
        <v>9101.5</v>
      </c>
      <c r="AI162" s="15">
        <f>O162*'Optimal Choice'!$B$9*AB162</f>
        <v>460</v>
      </c>
      <c r="AJ162" s="15">
        <f>P162*'Optimal Choice'!$B$14*AC162</f>
        <v>1530</v>
      </c>
      <c r="AK162" s="15">
        <f>Q162*'Optimal Choice'!$B$19*AD162</f>
        <v>3240</v>
      </c>
      <c r="AL162" s="15">
        <f>R162*'Optimal Choice'!$B$24*AE162</f>
        <v>6480</v>
      </c>
      <c r="AO162" s="12">
        <f t="shared" ref="AO162:AS162" si="482">if(isna(VLOOKUP(N162+1,$D$2:$E$10,2,false)),AO161, VLOOKUP(N162+1,$D$2:$E$10,2,false))</f>
        <v>50</v>
      </c>
      <c r="AP162" s="15">
        <f t="shared" si="482"/>
        <v>1</v>
      </c>
      <c r="AQ162" s="15">
        <f t="shared" si="482"/>
        <v>1</v>
      </c>
      <c r="AR162" s="15">
        <f t="shared" si="482"/>
        <v>1</v>
      </c>
      <c r="AS162" s="15">
        <f t="shared" si="482"/>
        <v>1</v>
      </c>
      <c r="AU162" s="11">
        <f t="shared" si="8"/>
        <v>0.005130776639</v>
      </c>
    </row>
    <row r="163" ht="15.75" customHeight="1">
      <c r="A163" s="16">
        <f t="shared" si="4"/>
        <v>1.770535889</v>
      </c>
      <c r="B163" s="7">
        <f>(sum(AH163:AL163))*'Optimal Choice'!$B$28</f>
        <v>20895</v>
      </c>
      <c r="C163" s="11"/>
      <c r="D163" s="12"/>
      <c r="E163" s="12"/>
      <c r="F163" s="11"/>
      <c r="G163" s="11">
        <f>(T163/$B163)+(T163/('Optimal Choice'!$B$4*AO163))</f>
        <v>87.84254212</v>
      </c>
      <c r="H163" s="11">
        <f>(U163/$B163)+(U163/('Optimal Choice'!$B$9*AP163))</f>
        <v>85.95772578</v>
      </c>
      <c r="I163" s="11">
        <f>(V163/$B163)+(V163/('Optimal Choice'!$B$14*AQ163))</f>
        <v>84.9657527</v>
      </c>
      <c r="J163" s="11">
        <f>(W163/$B163)+(W163/('Optimal Choice'!$B$19*AR163))</f>
        <v>82.87325757</v>
      </c>
      <c r="K163" s="11">
        <f>(X163/$B163)+(X163/('Optimal Choice'!$B$24*AS163))</f>
        <v>83.33665779</v>
      </c>
      <c r="N163" s="12">
        <f t="shared" ref="N163:R163" si="483">if(min($G162:$K162)=G162,N162+1,N162)</f>
        <v>110</v>
      </c>
      <c r="O163" s="12">
        <f t="shared" si="483"/>
        <v>23</v>
      </c>
      <c r="P163" s="12">
        <f t="shared" si="483"/>
        <v>17</v>
      </c>
      <c r="Q163" s="12">
        <f t="shared" si="483"/>
        <v>9</v>
      </c>
      <c r="R163" s="12">
        <f t="shared" si="483"/>
        <v>3</v>
      </c>
      <c r="T163" s="13">
        <f> 'Optimal Choice'!$B$5*'Optimal Choice'!$B$6^(N163+1)</f>
        <v>7305.657608</v>
      </c>
      <c r="U163" s="13">
        <f> 'Optimal Choice'!$B$10*'Optimal Choice'!$B$11^(O163+1)</f>
        <v>1717.510571</v>
      </c>
      <c r="V163" s="13">
        <f> 'Optimal Choice'!$B$15*'Optimal Choice'!$B$16^(P163+1)</f>
        <v>7614.121813</v>
      </c>
      <c r="W163" s="13">
        <f> 'Optimal Choice'!$B$20*'Optimal Choice'!$B$21^(Q163+1)</f>
        <v>29329.06225</v>
      </c>
      <c r="X163" s="13">
        <f> 'Optimal Choice'!$B$25*'Optimal Choice'!$B$26^(R163+1)</f>
        <v>163142.4872</v>
      </c>
      <c r="AA163" s="12">
        <f t="shared" ref="AA163:AE163" si="484">if(isna(VLOOKUP(N163,$D$2:$E$10,2,false)),AA162, VLOOKUP(N163,$D$2:$E$10,2,false))</f>
        <v>50</v>
      </c>
      <c r="AB163" s="15">
        <f t="shared" si="484"/>
        <v>1</v>
      </c>
      <c r="AC163" s="15">
        <f t="shared" si="484"/>
        <v>1</v>
      </c>
      <c r="AD163" s="15">
        <f t="shared" si="484"/>
        <v>1</v>
      </c>
      <c r="AE163" s="15">
        <f t="shared" si="484"/>
        <v>1</v>
      </c>
      <c r="AH163" s="15">
        <f>N163*'Optimal Choice'!$B$4*AA163</f>
        <v>9185</v>
      </c>
      <c r="AI163" s="15">
        <f>O163*'Optimal Choice'!$B$9*AB163</f>
        <v>460</v>
      </c>
      <c r="AJ163" s="15">
        <f>P163*'Optimal Choice'!$B$14*AC163</f>
        <v>1530</v>
      </c>
      <c r="AK163" s="15">
        <f>Q163*'Optimal Choice'!$B$19*AD163</f>
        <v>3240</v>
      </c>
      <c r="AL163" s="15">
        <f>R163*'Optimal Choice'!$B$24*AE163</f>
        <v>6480</v>
      </c>
      <c r="AO163" s="12">
        <f t="shared" ref="AO163:AS163" si="485">if(isna(VLOOKUP(N163+1,$D$2:$E$10,2,false)),AO162, VLOOKUP(N163+1,$D$2:$E$10,2,false))</f>
        <v>50</v>
      </c>
      <c r="AP163" s="15">
        <f t="shared" si="485"/>
        <v>1</v>
      </c>
      <c r="AQ163" s="15">
        <f t="shared" si="485"/>
        <v>1</v>
      </c>
      <c r="AR163" s="15">
        <f t="shared" si="485"/>
        <v>1</v>
      </c>
      <c r="AS163" s="15">
        <f t="shared" si="485"/>
        <v>1</v>
      </c>
      <c r="AU163" s="11">
        <f t="shared" si="8"/>
        <v>0.005467904276</v>
      </c>
    </row>
    <row r="164" ht="15.75" customHeight="1">
      <c r="A164" s="16">
        <f t="shared" si="4"/>
        <v>1.793929893</v>
      </c>
      <c r="B164" s="7">
        <f>(sum(AH164:AL164))*'Optimal Choice'!$B$28</f>
        <v>21255</v>
      </c>
      <c r="C164" s="11"/>
      <c r="D164" s="12"/>
      <c r="E164" s="12"/>
      <c r="F164" s="11"/>
      <c r="G164" s="11">
        <f>(T164/$B164)+(T164/('Optimal Choice'!$B$4*AO164))</f>
        <v>87.83662026</v>
      </c>
      <c r="H164" s="11">
        <f>(U164/$B164)+(U164/('Optimal Choice'!$B$9*AP164))</f>
        <v>85.95633359</v>
      </c>
      <c r="I164" s="11">
        <f>(V164/$B164)+(V164/('Optimal Choice'!$B$14*AQ164))</f>
        <v>84.9595808</v>
      </c>
      <c r="J164" s="11">
        <f>(W164/$B164)+(W164/('Optimal Choice'!$B$19*AR164))</f>
        <v>93.61991675</v>
      </c>
      <c r="K164" s="11">
        <f>(X164/$B164)+(X164/('Optimal Choice'!$B$24*AS164))</f>
        <v>83.2044168</v>
      </c>
      <c r="N164" s="12">
        <f t="shared" ref="N164:R164" si="486">if(min($G163:$K163)=G163,N163+1,N163)</f>
        <v>110</v>
      </c>
      <c r="O164" s="12">
        <f t="shared" si="486"/>
        <v>23</v>
      </c>
      <c r="P164" s="12">
        <f t="shared" si="486"/>
        <v>17</v>
      </c>
      <c r="Q164" s="12">
        <f t="shared" si="486"/>
        <v>10</v>
      </c>
      <c r="R164" s="12">
        <f t="shared" si="486"/>
        <v>3</v>
      </c>
      <c r="T164" s="13">
        <f> 'Optimal Choice'!$B$5*'Optimal Choice'!$B$6^(N164+1)</f>
        <v>7305.657608</v>
      </c>
      <c r="U164" s="13">
        <f> 'Optimal Choice'!$B$10*'Optimal Choice'!$B$11^(O164+1)</f>
        <v>1717.510571</v>
      </c>
      <c r="V164" s="13">
        <f> 'Optimal Choice'!$B$15*'Optimal Choice'!$B$16^(P164+1)</f>
        <v>7614.121813</v>
      </c>
      <c r="W164" s="13">
        <f> 'Optimal Choice'!$B$20*'Optimal Choice'!$B$21^(Q164+1)</f>
        <v>33141.84034</v>
      </c>
      <c r="X164" s="13">
        <f> 'Optimal Choice'!$B$25*'Optimal Choice'!$B$26^(R164+1)</f>
        <v>163142.4872</v>
      </c>
      <c r="AA164" s="12">
        <f t="shared" ref="AA164:AE164" si="487">if(isna(VLOOKUP(N164,$D$2:$E$10,2,false)),AA163, VLOOKUP(N164,$D$2:$E$10,2,false))</f>
        <v>50</v>
      </c>
      <c r="AB164" s="15">
        <f t="shared" si="487"/>
        <v>1</v>
      </c>
      <c r="AC164" s="15">
        <f t="shared" si="487"/>
        <v>1</v>
      </c>
      <c r="AD164" s="15">
        <f t="shared" si="487"/>
        <v>1</v>
      </c>
      <c r="AE164" s="15">
        <f t="shared" si="487"/>
        <v>1</v>
      </c>
      <c r="AH164" s="15">
        <f>N164*'Optimal Choice'!$B$4*AA164</f>
        <v>9185</v>
      </c>
      <c r="AI164" s="15">
        <f>O164*'Optimal Choice'!$B$9*AB164</f>
        <v>460</v>
      </c>
      <c r="AJ164" s="15">
        <f>P164*'Optimal Choice'!$B$14*AC164</f>
        <v>1530</v>
      </c>
      <c r="AK164" s="15">
        <f>Q164*'Optimal Choice'!$B$19*AD164</f>
        <v>3600</v>
      </c>
      <c r="AL164" s="15">
        <f>R164*'Optimal Choice'!$B$24*AE164</f>
        <v>6480</v>
      </c>
      <c r="AO164" s="12">
        <f t="shared" ref="AO164:AS164" si="488">if(isna(VLOOKUP(N164+1,$D$2:$E$10,2,false)),AO163, VLOOKUP(N164+1,$D$2:$E$10,2,false))</f>
        <v>50</v>
      </c>
      <c r="AP164" s="15">
        <f t="shared" si="488"/>
        <v>1</v>
      </c>
      <c r="AQ164" s="15">
        <f t="shared" si="488"/>
        <v>1</v>
      </c>
      <c r="AR164" s="15">
        <f t="shared" si="488"/>
        <v>1</v>
      </c>
      <c r="AS164" s="15">
        <f t="shared" si="488"/>
        <v>1</v>
      </c>
      <c r="AU164" s="11">
        <f t="shared" si="8"/>
        <v>0.02339400355</v>
      </c>
    </row>
    <row r="165" ht="15.75" customHeight="1">
      <c r="A165" s="16">
        <f t="shared" si="4"/>
        <v>1.921854685</v>
      </c>
      <c r="B165" s="7">
        <f>(sum(AH165:AL165))*'Optimal Choice'!$B$28</f>
        <v>23415</v>
      </c>
      <c r="C165" s="11"/>
      <c r="D165" s="12"/>
      <c r="E165" s="12"/>
      <c r="F165" s="11"/>
      <c r="G165" s="11">
        <f>(T165/$B165)+(T165/('Optimal Choice'!$B$4*AO165))</f>
        <v>87.80491307</v>
      </c>
      <c r="H165" s="11">
        <f>(U165/$B165)+(U165/('Optimal Choice'!$B$9*AP165))</f>
        <v>85.94887944</v>
      </c>
      <c r="I165" s="11">
        <f>(V165/$B165)+(V165/('Optimal Choice'!$B$14*AQ165))</f>
        <v>84.92653485</v>
      </c>
      <c r="J165" s="11">
        <f>(W165/$B165)+(W165/('Optimal Choice'!$B$19*AR165))</f>
        <v>93.47607826</v>
      </c>
      <c r="K165" s="11">
        <f>(X165/$B165)+(X165/('Optimal Choice'!$B$24*AS165))</f>
        <v>92.39592784</v>
      </c>
      <c r="N165" s="12">
        <f t="shared" ref="N165:R165" si="489">if(min($G164:$K164)=G164,N164+1,N164)</f>
        <v>110</v>
      </c>
      <c r="O165" s="12">
        <f t="shared" si="489"/>
        <v>23</v>
      </c>
      <c r="P165" s="12">
        <f t="shared" si="489"/>
        <v>17</v>
      </c>
      <c r="Q165" s="12">
        <f t="shared" si="489"/>
        <v>10</v>
      </c>
      <c r="R165" s="12">
        <f t="shared" si="489"/>
        <v>4</v>
      </c>
      <c r="T165" s="13">
        <f> 'Optimal Choice'!$B$5*'Optimal Choice'!$B$6^(N165+1)</f>
        <v>7305.657608</v>
      </c>
      <c r="U165" s="13">
        <f> 'Optimal Choice'!$B$10*'Optimal Choice'!$B$11^(O165+1)</f>
        <v>1717.510571</v>
      </c>
      <c r="V165" s="13">
        <f> 'Optimal Choice'!$B$15*'Optimal Choice'!$B$16^(P165+1)</f>
        <v>7614.121813</v>
      </c>
      <c r="W165" s="13">
        <f> 'Optimal Choice'!$B$20*'Optimal Choice'!$B$21^(Q165+1)</f>
        <v>33141.84034</v>
      </c>
      <c r="X165" s="13">
        <f> 'Optimal Choice'!$B$25*'Optimal Choice'!$B$26^(R165+1)</f>
        <v>182719.5857</v>
      </c>
      <c r="AA165" s="12">
        <f t="shared" ref="AA165:AE165" si="490">if(isna(VLOOKUP(N165,$D$2:$E$10,2,false)),AA164, VLOOKUP(N165,$D$2:$E$10,2,false))</f>
        <v>50</v>
      </c>
      <c r="AB165" s="15">
        <f t="shared" si="490"/>
        <v>1</v>
      </c>
      <c r="AC165" s="15">
        <f t="shared" si="490"/>
        <v>1</v>
      </c>
      <c r="AD165" s="15">
        <f t="shared" si="490"/>
        <v>1</v>
      </c>
      <c r="AE165" s="15">
        <f t="shared" si="490"/>
        <v>1</v>
      </c>
      <c r="AH165" s="15">
        <f>N165*'Optimal Choice'!$B$4*AA165</f>
        <v>9185</v>
      </c>
      <c r="AI165" s="15">
        <f>O165*'Optimal Choice'!$B$9*AB165</f>
        <v>460</v>
      </c>
      <c r="AJ165" s="15">
        <f>P165*'Optimal Choice'!$B$14*AC165</f>
        <v>1530</v>
      </c>
      <c r="AK165" s="15">
        <f>Q165*'Optimal Choice'!$B$19*AD165</f>
        <v>3600</v>
      </c>
      <c r="AL165" s="15">
        <f>R165*'Optimal Choice'!$B$24*AE165</f>
        <v>8640</v>
      </c>
      <c r="AO165" s="12">
        <f t="shared" ref="AO165:AS165" si="491">if(isna(VLOOKUP(N165+1,$D$2:$E$10,2,false)),AO164, VLOOKUP(N165+1,$D$2:$E$10,2,false))</f>
        <v>50</v>
      </c>
      <c r="AP165" s="15">
        <f t="shared" si="491"/>
        <v>1</v>
      </c>
      <c r="AQ165" s="15">
        <f t="shared" si="491"/>
        <v>1</v>
      </c>
      <c r="AR165" s="15">
        <f t="shared" si="491"/>
        <v>1</v>
      </c>
      <c r="AS165" s="15">
        <f t="shared" si="491"/>
        <v>1</v>
      </c>
      <c r="AU165" s="11">
        <f t="shared" si="8"/>
        <v>0.127924792</v>
      </c>
    </row>
    <row r="166" ht="15.75" customHeight="1">
      <c r="A166" s="16">
        <f t="shared" si="4"/>
        <v>1.927274374</v>
      </c>
      <c r="B166" s="7">
        <f>(sum(AH166:AL166))*'Optimal Choice'!$B$28</f>
        <v>23505</v>
      </c>
      <c r="C166" s="11"/>
      <c r="D166" s="12"/>
      <c r="E166" s="12"/>
      <c r="F166" s="11"/>
      <c r="G166" s="11">
        <f>(T166/$B166)+(T166/('Optimal Choice'!$B$4*AO166))</f>
        <v>87.8037184</v>
      </c>
      <c r="H166" s="11">
        <f>(U166/$B166)+(U166/('Optimal Choice'!$B$9*AP166))</f>
        <v>85.94859858</v>
      </c>
      <c r="I166" s="11">
        <f>(V166/$B166)+(V166/('Optimal Choice'!$B$14*AQ166))</f>
        <v>96.8148303</v>
      </c>
      <c r="J166" s="11">
        <f>(W166/$B166)+(W166/('Optimal Choice'!$B$19*AR166))</f>
        <v>93.47065869</v>
      </c>
      <c r="K166" s="11">
        <f>(X166/$B166)+(X166/('Optimal Choice'!$B$24*AS166))</f>
        <v>92.36604835</v>
      </c>
      <c r="N166" s="12">
        <f t="shared" ref="N166:R166" si="492">if(min($G165:$K165)=G165,N165+1,N165)</f>
        <v>110</v>
      </c>
      <c r="O166" s="12">
        <f t="shared" si="492"/>
        <v>23</v>
      </c>
      <c r="P166" s="12">
        <f t="shared" si="492"/>
        <v>18</v>
      </c>
      <c r="Q166" s="12">
        <f t="shared" si="492"/>
        <v>10</v>
      </c>
      <c r="R166" s="12">
        <f t="shared" si="492"/>
        <v>4</v>
      </c>
      <c r="T166" s="13">
        <f> 'Optimal Choice'!$B$5*'Optimal Choice'!$B$6^(N166+1)</f>
        <v>7305.657608</v>
      </c>
      <c r="U166" s="13">
        <f> 'Optimal Choice'!$B$10*'Optimal Choice'!$B$11^(O166+1)</f>
        <v>1717.510571</v>
      </c>
      <c r="V166" s="13">
        <f> 'Optimal Choice'!$B$15*'Optimal Choice'!$B$16^(P166+1)</f>
        <v>8680.098866</v>
      </c>
      <c r="W166" s="13">
        <f> 'Optimal Choice'!$B$20*'Optimal Choice'!$B$21^(Q166+1)</f>
        <v>33141.84034</v>
      </c>
      <c r="X166" s="13">
        <f> 'Optimal Choice'!$B$25*'Optimal Choice'!$B$26^(R166+1)</f>
        <v>182719.5857</v>
      </c>
      <c r="AA166" s="12">
        <f t="shared" ref="AA166:AE166" si="493">if(isna(VLOOKUP(N166,$D$2:$E$10,2,false)),AA165, VLOOKUP(N166,$D$2:$E$10,2,false))</f>
        <v>50</v>
      </c>
      <c r="AB166" s="15">
        <f t="shared" si="493"/>
        <v>1</v>
      </c>
      <c r="AC166" s="15">
        <f t="shared" si="493"/>
        <v>1</v>
      </c>
      <c r="AD166" s="15">
        <f t="shared" si="493"/>
        <v>1</v>
      </c>
      <c r="AE166" s="15">
        <f t="shared" si="493"/>
        <v>1</v>
      </c>
      <c r="AH166" s="15">
        <f>N166*'Optimal Choice'!$B$4*AA166</f>
        <v>9185</v>
      </c>
      <c r="AI166" s="15">
        <f>O166*'Optimal Choice'!$B$9*AB166</f>
        <v>460</v>
      </c>
      <c r="AJ166" s="15">
        <f>P166*'Optimal Choice'!$B$14*AC166</f>
        <v>1620</v>
      </c>
      <c r="AK166" s="15">
        <f>Q166*'Optimal Choice'!$B$19*AD166</f>
        <v>3600</v>
      </c>
      <c r="AL166" s="15">
        <f>R166*'Optimal Choice'!$B$24*AE166</f>
        <v>8640</v>
      </c>
      <c r="AO166" s="12">
        <f t="shared" ref="AO166:AS166" si="494">if(isna(VLOOKUP(N166+1,$D$2:$E$10,2,false)),AO165, VLOOKUP(N166+1,$D$2:$E$10,2,false))</f>
        <v>50</v>
      </c>
      <c r="AP166" s="15">
        <f t="shared" si="494"/>
        <v>1</v>
      </c>
      <c r="AQ166" s="15">
        <f t="shared" si="494"/>
        <v>1</v>
      </c>
      <c r="AR166" s="15">
        <f t="shared" si="494"/>
        <v>1</v>
      </c>
      <c r="AS166" s="15">
        <f t="shared" si="494"/>
        <v>1</v>
      </c>
      <c r="AU166" s="11">
        <f t="shared" si="8"/>
        <v>0.005419689524</v>
      </c>
    </row>
    <row r="167" ht="15.75" customHeight="1">
      <c r="A167" s="16">
        <f t="shared" si="4"/>
        <v>1.928492208</v>
      </c>
      <c r="B167" s="7">
        <f>(sum(AH167:AL167))*'Optimal Choice'!$B$28</f>
        <v>23525</v>
      </c>
      <c r="C167" s="11"/>
      <c r="D167" s="12"/>
      <c r="E167" s="12"/>
      <c r="F167" s="11"/>
      <c r="G167" s="11">
        <f>(T167/$B167)+(T167/('Optimal Choice'!$B$4*AO167))</f>
        <v>87.80345416</v>
      </c>
      <c r="H167" s="11">
        <f>(U167/$B167)+(U167/('Optimal Choice'!$B$9*AP167))</f>
        <v>19.83533064</v>
      </c>
      <c r="I167" s="11">
        <f>(V167/$B167)+(V167/('Optimal Choice'!$B$14*AQ167))</f>
        <v>96.81451634</v>
      </c>
      <c r="J167" s="11">
        <f>(W167/$B167)+(W167/('Optimal Choice'!$B$19*AR167))</f>
        <v>93.46945998</v>
      </c>
      <c r="K167" s="11">
        <f>(X167/$B167)+(X167/('Optimal Choice'!$B$24*AS167))</f>
        <v>92.35943951</v>
      </c>
      <c r="N167" s="12">
        <f t="shared" ref="N167:R167" si="495">if(min($G166:$K166)=G166,N166+1,N166)</f>
        <v>110</v>
      </c>
      <c r="O167" s="12">
        <f t="shared" si="495"/>
        <v>24</v>
      </c>
      <c r="P167" s="12">
        <f t="shared" si="495"/>
        <v>18</v>
      </c>
      <c r="Q167" s="12">
        <f t="shared" si="495"/>
        <v>10</v>
      </c>
      <c r="R167" s="12">
        <f t="shared" si="495"/>
        <v>4</v>
      </c>
      <c r="T167" s="13">
        <f> 'Optimal Choice'!$B$5*'Optimal Choice'!$B$6^(N167+1)</f>
        <v>7305.657608</v>
      </c>
      <c r="U167" s="13">
        <f> 'Optimal Choice'!$B$10*'Optimal Choice'!$B$11^(O167+1)</f>
        <v>1975.137157</v>
      </c>
      <c r="V167" s="13">
        <f> 'Optimal Choice'!$B$15*'Optimal Choice'!$B$16^(P167+1)</f>
        <v>8680.098866</v>
      </c>
      <c r="W167" s="13">
        <f> 'Optimal Choice'!$B$20*'Optimal Choice'!$B$21^(Q167+1)</f>
        <v>33141.84034</v>
      </c>
      <c r="X167" s="13">
        <f> 'Optimal Choice'!$B$25*'Optimal Choice'!$B$26^(R167+1)</f>
        <v>182719.5857</v>
      </c>
      <c r="AA167" s="12">
        <f t="shared" ref="AA167:AE167" si="496">if(isna(VLOOKUP(N167,$D$2:$E$10,2,false)),AA166, VLOOKUP(N167,$D$2:$E$10,2,false))</f>
        <v>50</v>
      </c>
      <c r="AB167" s="15">
        <f t="shared" si="496"/>
        <v>1</v>
      </c>
      <c r="AC167" s="15">
        <f t="shared" si="496"/>
        <v>1</v>
      </c>
      <c r="AD167" s="15">
        <f t="shared" si="496"/>
        <v>1</v>
      </c>
      <c r="AE167" s="15">
        <f t="shared" si="496"/>
        <v>1</v>
      </c>
      <c r="AH167" s="15">
        <f>N167*'Optimal Choice'!$B$4*AA167</f>
        <v>9185</v>
      </c>
      <c r="AI167" s="15">
        <f>O167*'Optimal Choice'!$B$9*AB167</f>
        <v>480</v>
      </c>
      <c r="AJ167" s="15">
        <f>P167*'Optimal Choice'!$B$14*AC167</f>
        <v>1620</v>
      </c>
      <c r="AK167" s="15">
        <f>Q167*'Optimal Choice'!$B$19*AD167</f>
        <v>3600</v>
      </c>
      <c r="AL167" s="15">
        <f>R167*'Optimal Choice'!$B$24*AE167</f>
        <v>8640</v>
      </c>
      <c r="AO167" s="12">
        <f t="shared" ref="AO167:AS167" si="497">if(isna(VLOOKUP(N167+1,$D$2:$E$10,2,false)),AO166, VLOOKUP(N167+1,$D$2:$E$10,2,false))</f>
        <v>50</v>
      </c>
      <c r="AP167" s="12">
        <f t="shared" si="497"/>
        <v>5</v>
      </c>
      <c r="AQ167" s="15">
        <f t="shared" si="497"/>
        <v>1</v>
      </c>
      <c r="AR167" s="15">
        <f t="shared" si="497"/>
        <v>1</v>
      </c>
      <c r="AS167" s="15">
        <f t="shared" si="497"/>
        <v>1</v>
      </c>
      <c r="AU167" s="11">
        <f t="shared" si="8"/>
        <v>0.00121783349</v>
      </c>
    </row>
    <row r="168" ht="15.75" customHeight="1">
      <c r="A168" s="16">
        <f t="shared" si="4"/>
        <v>1.929891526</v>
      </c>
      <c r="B168" s="7">
        <f>(sum(AH168:AL168))*'Optimal Choice'!$B$28</f>
        <v>25545</v>
      </c>
      <c r="C168" s="11"/>
      <c r="D168" s="12"/>
      <c r="E168" s="12"/>
      <c r="F168" s="11"/>
      <c r="G168" s="11">
        <f>(T168/$B168)+(T168/('Optimal Choice'!$B$4*AO168))</f>
        <v>87.77889717</v>
      </c>
      <c r="H168" s="11">
        <f>(U168/$B168)+(U168/('Optimal Choice'!$B$9*AP168))</f>
        <v>22.80299521</v>
      </c>
      <c r="I168" s="11">
        <f>(V168/$B168)+(V168/('Optimal Choice'!$B$14*AQ168))</f>
        <v>96.78533935</v>
      </c>
      <c r="J168" s="11">
        <f>(W168/$B168)+(W168/('Optimal Choice'!$B$19*AR168))</f>
        <v>93.35805812</v>
      </c>
      <c r="K168" s="11">
        <f>(X168/$B168)+(X168/('Optimal Choice'!$B$24*AS168))</f>
        <v>91.74525206</v>
      </c>
      <c r="N168" s="12">
        <f t="shared" ref="N168:R168" si="498">if(min($G167:$K167)=G167,N167+1,N167)</f>
        <v>110</v>
      </c>
      <c r="O168" s="12">
        <f t="shared" si="498"/>
        <v>25</v>
      </c>
      <c r="P168" s="12">
        <f t="shared" si="498"/>
        <v>18</v>
      </c>
      <c r="Q168" s="12">
        <f t="shared" si="498"/>
        <v>10</v>
      </c>
      <c r="R168" s="12">
        <f t="shared" si="498"/>
        <v>4</v>
      </c>
      <c r="T168" s="13">
        <f> 'Optimal Choice'!$B$5*'Optimal Choice'!$B$6^(N168+1)</f>
        <v>7305.657608</v>
      </c>
      <c r="U168" s="13">
        <f> 'Optimal Choice'!$B$10*'Optimal Choice'!$B$11^(O168+1)</f>
        <v>2271.407731</v>
      </c>
      <c r="V168" s="13">
        <f> 'Optimal Choice'!$B$15*'Optimal Choice'!$B$16^(P168+1)</f>
        <v>8680.098866</v>
      </c>
      <c r="W168" s="13">
        <f> 'Optimal Choice'!$B$20*'Optimal Choice'!$B$21^(Q168+1)</f>
        <v>33141.84034</v>
      </c>
      <c r="X168" s="13">
        <f> 'Optimal Choice'!$B$25*'Optimal Choice'!$B$26^(R168+1)</f>
        <v>182719.5857</v>
      </c>
      <c r="AA168" s="12">
        <f t="shared" ref="AA168:AE168" si="499">if(isna(VLOOKUP(N168,$D$2:$E$10,2,false)),AA167, VLOOKUP(N168,$D$2:$E$10,2,false))</f>
        <v>50</v>
      </c>
      <c r="AB168" s="12">
        <f t="shared" si="499"/>
        <v>5</v>
      </c>
      <c r="AC168" s="15">
        <f t="shared" si="499"/>
        <v>1</v>
      </c>
      <c r="AD168" s="15">
        <f t="shared" si="499"/>
        <v>1</v>
      </c>
      <c r="AE168" s="15">
        <f t="shared" si="499"/>
        <v>1</v>
      </c>
      <c r="AH168" s="15">
        <f>N168*'Optimal Choice'!$B$4*AA168</f>
        <v>9185</v>
      </c>
      <c r="AI168" s="15">
        <f>O168*'Optimal Choice'!$B$9*AB168</f>
        <v>2500</v>
      </c>
      <c r="AJ168" s="15">
        <f>P168*'Optimal Choice'!$B$14*AC168</f>
        <v>1620</v>
      </c>
      <c r="AK168" s="15">
        <f>Q168*'Optimal Choice'!$B$19*AD168</f>
        <v>3600</v>
      </c>
      <c r="AL168" s="15">
        <f>R168*'Optimal Choice'!$B$24*AE168</f>
        <v>8640</v>
      </c>
      <c r="AO168" s="12">
        <f t="shared" ref="AO168:AS168" si="500">if(isna(VLOOKUP(N168+1,$D$2:$E$10,2,false)),AO167, VLOOKUP(N168+1,$D$2:$E$10,2,false))</f>
        <v>50</v>
      </c>
      <c r="AP168" s="12">
        <f t="shared" si="500"/>
        <v>5</v>
      </c>
      <c r="AQ168" s="15">
        <f t="shared" si="500"/>
        <v>1</v>
      </c>
      <c r="AR168" s="15">
        <f t="shared" si="500"/>
        <v>1</v>
      </c>
      <c r="AS168" s="15">
        <f t="shared" si="500"/>
        <v>1</v>
      </c>
      <c r="AU168" s="11">
        <f t="shared" si="8"/>
        <v>0.001399317858</v>
      </c>
    </row>
    <row r="169" ht="15.75" customHeight="1">
      <c r="A169" s="16">
        <f t="shared" si="4"/>
        <v>1.931373491</v>
      </c>
      <c r="B169" s="7">
        <f>(sum(AH169:AL169))*'Optimal Choice'!$B$28</f>
        <v>25645</v>
      </c>
      <c r="C169" s="11"/>
      <c r="D169" s="12"/>
      <c r="E169" s="12"/>
      <c r="F169" s="11"/>
      <c r="G169" s="11">
        <f>(T169/$B169)+(T169/('Optimal Choice'!$B$4*AO169))</f>
        <v>87.77778197</v>
      </c>
      <c r="H169" s="11">
        <f>(U169/$B169)+(U169/('Optimal Choice'!$B$9*AP169))</f>
        <v>26.22304575</v>
      </c>
      <c r="I169" s="11">
        <f>(V169/$B169)+(V169/('Optimal Choice'!$B$14*AQ169))</f>
        <v>96.78401435</v>
      </c>
      <c r="J169" s="11">
        <f>(W169/$B169)+(W169/('Optimal Choice'!$B$19*AR169))</f>
        <v>93.35299908</v>
      </c>
      <c r="K169" s="11">
        <f>(X169/$B169)+(X169/('Optimal Choice'!$B$24*AS169))</f>
        <v>91.71736027</v>
      </c>
      <c r="N169" s="12">
        <f t="shared" ref="N169:R169" si="501">if(min($G168:$K168)=G168,N168+1,N168)</f>
        <v>110</v>
      </c>
      <c r="O169" s="12">
        <f t="shared" si="501"/>
        <v>26</v>
      </c>
      <c r="P169" s="12">
        <f t="shared" si="501"/>
        <v>18</v>
      </c>
      <c r="Q169" s="12">
        <f t="shared" si="501"/>
        <v>10</v>
      </c>
      <c r="R169" s="12">
        <f t="shared" si="501"/>
        <v>4</v>
      </c>
      <c r="T169" s="13">
        <f> 'Optimal Choice'!$B$5*'Optimal Choice'!$B$6^(N169+1)</f>
        <v>7305.657608</v>
      </c>
      <c r="U169" s="13">
        <f> 'Optimal Choice'!$B$10*'Optimal Choice'!$B$11^(O169+1)</f>
        <v>2612.11889</v>
      </c>
      <c r="V169" s="13">
        <f> 'Optimal Choice'!$B$15*'Optimal Choice'!$B$16^(P169+1)</f>
        <v>8680.098866</v>
      </c>
      <c r="W169" s="13">
        <f> 'Optimal Choice'!$B$20*'Optimal Choice'!$B$21^(Q169+1)</f>
        <v>33141.84034</v>
      </c>
      <c r="X169" s="13">
        <f> 'Optimal Choice'!$B$25*'Optimal Choice'!$B$26^(R169+1)</f>
        <v>182719.5857</v>
      </c>
      <c r="AA169" s="12">
        <f t="shared" ref="AA169:AE169" si="502">if(isna(VLOOKUP(N169,$D$2:$E$10,2,false)),AA168, VLOOKUP(N169,$D$2:$E$10,2,false))</f>
        <v>50</v>
      </c>
      <c r="AB169" s="12">
        <f t="shared" si="502"/>
        <v>5</v>
      </c>
      <c r="AC169" s="15">
        <f t="shared" si="502"/>
        <v>1</v>
      </c>
      <c r="AD169" s="15">
        <f t="shared" si="502"/>
        <v>1</v>
      </c>
      <c r="AE169" s="15">
        <f t="shared" si="502"/>
        <v>1</v>
      </c>
      <c r="AH169" s="15">
        <f>N169*'Optimal Choice'!$B$4*AA169</f>
        <v>9185</v>
      </c>
      <c r="AI169" s="15">
        <f>O169*'Optimal Choice'!$B$9*AB169</f>
        <v>2600</v>
      </c>
      <c r="AJ169" s="15">
        <f>P169*'Optimal Choice'!$B$14*AC169</f>
        <v>1620</v>
      </c>
      <c r="AK169" s="15">
        <f>Q169*'Optimal Choice'!$B$19*AD169</f>
        <v>3600</v>
      </c>
      <c r="AL169" s="15">
        <f>R169*'Optimal Choice'!$B$24*AE169</f>
        <v>8640</v>
      </c>
      <c r="AO169" s="12">
        <f t="shared" ref="AO169:AS169" si="503">if(isna(VLOOKUP(N169+1,$D$2:$E$10,2,false)),AO168, VLOOKUP(N169+1,$D$2:$E$10,2,false))</f>
        <v>50</v>
      </c>
      <c r="AP169" s="12">
        <f t="shared" si="503"/>
        <v>5</v>
      </c>
      <c r="AQ169" s="15">
        <f t="shared" si="503"/>
        <v>1</v>
      </c>
      <c r="AR169" s="15">
        <f t="shared" si="503"/>
        <v>1</v>
      </c>
      <c r="AS169" s="15">
        <f t="shared" si="503"/>
        <v>1</v>
      </c>
      <c r="AU169" s="11">
        <f t="shared" si="8"/>
        <v>0.001481964984</v>
      </c>
    </row>
    <row r="170" ht="15.75" customHeight="1">
      <c r="A170" s="16">
        <f t="shared" si="4"/>
        <v>1.933071105</v>
      </c>
      <c r="B170" s="7">
        <f>(sum(AH170:AL170))*'Optimal Choice'!$B$28</f>
        <v>25745</v>
      </c>
      <c r="C170" s="11"/>
      <c r="D170" s="12"/>
      <c r="E170" s="12"/>
      <c r="F170" s="11"/>
      <c r="G170" s="11">
        <f>(T170/$B170)+(T170/('Optimal Choice'!$B$4*AO170))</f>
        <v>87.77667544</v>
      </c>
      <c r="H170" s="11">
        <f>(U170/$B170)+(U170/('Optimal Choice'!$B$9*AP170))</f>
        <v>30.15604763</v>
      </c>
      <c r="I170" s="11">
        <f>(V170/$B170)+(V170/('Optimal Choice'!$B$14*AQ170))</f>
        <v>96.78269965</v>
      </c>
      <c r="J170" s="11">
        <f>(W170/$B170)+(W170/('Optimal Choice'!$B$19*AR170))</f>
        <v>93.34797934</v>
      </c>
      <c r="K170" s="11">
        <f>(X170/$B170)+(X170/('Optimal Choice'!$B$24*AS170))</f>
        <v>91.68968515</v>
      </c>
      <c r="N170" s="12">
        <f t="shared" ref="N170:R170" si="504">if(min($G169:$K169)=G169,N169+1,N169)</f>
        <v>110</v>
      </c>
      <c r="O170" s="12">
        <f t="shared" si="504"/>
        <v>27</v>
      </c>
      <c r="P170" s="12">
        <f t="shared" si="504"/>
        <v>18</v>
      </c>
      <c r="Q170" s="12">
        <f t="shared" si="504"/>
        <v>10</v>
      </c>
      <c r="R170" s="12">
        <f t="shared" si="504"/>
        <v>4</v>
      </c>
      <c r="T170" s="13">
        <f> 'Optimal Choice'!$B$5*'Optimal Choice'!$B$6^(N170+1)</f>
        <v>7305.657608</v>
      </c>
      <c r="U170" s="13">
        <f> 'Optimal Choice'!$B$10*'Optimal Choice'!$B$11^(O170+1)</f>
        <v>3003.936724</v>
      </c>
      <c r="V170" s="13">
        <f> 'Optimal Choice'!$B$15*'Optimal Choice'!$B$16^(P170+1)</f>
        <v>8680.098866</v>
      </c>
      <c r="W170" s="13">
        <f> 'Optimal Choice'!$B$20*'Optimal Choice'!$B$21^(Q170+1)</f>
        <v>33141.84034</v>
      </c>
      <c r="X170" s="13">
        <f> 'Optimal Choice'!$B$25*'Optimal Choice'!$B$26^(R170+1)</f>
        <v>182719.5857</v>
      </c>
      <c r="AA170" s="12">
        <f t="shared" ref="AA170:AE170" si="505">if(isna(VLOOKUP(N170,$D$2:$E$10,2,false)),AA169, VLOOKUP(N170,$D$2:$E$10,2,false))</f>
        <v>50</v>
      </c>
      <c r="AB170" s="12">
        <f t="shared" si="505"/>
        <v>5</v>
      </c>
      <c r="AC170" s="15">
        <f t="shared" si="505"/>
        <v>1</v>
      </c>
      <c r="AD170" s="15">
        <f t="shared" si="505"/>
        <v>1</v>
      </c>
      <c r="AE170" s="15">
        <f t="shared" si="505"/>
        <v>1</v>
      </c>
      <c r="AH170" s="15">
        <f>N170*'Optimal Choice'!$B$4*AA170</f>
        <v>9185</v>
      </c>
      <c r="AI170" s="15">
        <f>O170*'Optimal Choice'!$B$9*AB170</f>
        <v>2700</v>
      </c>
      <c r="AJ170" s="15">
        <f>P170*'Optimal Choice'!$B$14*AC170</f>
        <v>1620</v>
      </c>
      <c r="AK170" s="15">
        <f>Q170*'Optimal Choice'!$B$19*AD170</f>
        <v>3600</v>
      </c>
      <c r="AL170" s="15">
        <f>R170*'Optimal Choice'!$B$24*AE170</f>
        <v>8640</v>
      </c>
      <c r="AO170" s="12">
        <f t="shared" ref="AO170:AS170" si="506">if(isna(VLOOKUP(N170+1,$D$2:$E$10,2,false)),AO169, VLOOKUP(N170+1,$D$2:$E$10,2,false))</f>
        <v>50</v>
      </c>
      <c r="AP170" s="12">
        <f t="shared" si="506"/>
        <v>5</v>
      </c>
      <c r="AQ170" s="15">
        <f t="shared" si="506"/>
        <v>1</v>
      </c>
      <c r="AR170" s="15">
        <f t="shared" si="506"/>
        <v>1</v>
      </c>
      <c r="AS170" s="15">
        <f t="shared" si="506"/>
        <v>1</v>
      </c>
      <c r="AU170" s="11">
        <f t="shared" si="8"/>
        <v>0.001697614149</v>
      </c>
    </row>
    <row r="171" ht="15.75" customHeight="1">
      <c r="A171" s="16">
        <f t="shared" si="4"/>
        <v>1.935015778</v>
      </c>
      <c r="B171" s="7">
        <f>(sum(AH171:AL171))*'Optimal Choice'!$B$28</f>
        <v>25845</v>
      </c>
      <c r="C171" s="11"/>
      <c r="D171" s="12"/>
      <c r="E171" s="12"/>
      <c r="F171" s="11"/>
      <c r="G171" s="11">
        <f>(T171/$B171)+(T171/('Optimal Choice'!$B$4*AO171))</f>
        <v>87.77557747</v>
      </c>
      <c r="H171" s="11">
        <f>(U171/$B171)+(U171/('Optimal Choice'!$B$9*AP171))</f>
        <v>34.6789356</v>
      </c>
      <c r="I171" s="11">
        <f>(V171/$B171)+(V171/('Optimal Choice'!$B$14*AQ171))</f>
        <v>96.78139511</v>
      </c>
      <c r="J171" s="11">
        <f>(W171/$B171)+(W171/('Optimal Choice'!$B$19*AR171))</f>
        <v>93.34299845</v>
      </c>
      <c r="K171" s="11">
        <f>(X171/$B171)+(X171/('Optimal Choice'!$B$24*AS171))</f>
        <v>91.66222419</v>
      </c>
      <c r="N171" s="12">
        <f t="shared" ref="N171:R171" si="507">if(min($G170:$K170)=G170,N170+1,N170)</f>
        <v>110</v>
      </c>
      <c r="O171" s="12">
        <f t="shared" si="507"/>
        <v>28</v>
      </c>
      <c r="P171" s="12">
        <f t="shared" si="507"/>
        <v>18</v>
      </c>
      <c r="Q171" s="12">
        <f t="shared" si="507"/>
        <v>10</v>
      </c>
      <c r="R171" s="12">
        <f t="shared" si="507"/>
        <v>4</v>
      </c>
      <c r="T171" s="13">
        <f> 'Optimal Choice'!$B$5*'Optimal Choice'!$B$6^(N171+1)</f>
        <v>7305.657608</v>
      </c>
      <c r="U171" s="13">
        <f> 'Optimal Choice'!$B$10*'Optimal Choice'!$B$11^(O171+1)</f>
        <v>3454.527233</v>
      </c>
      <c r="V171" s="13">
        <f> 'Optimal Choice'!$B$15*'Optimal Choice'!$B$16^(P171+1)</f>
        <v>8680.098866</v>
      </c>
      <c r="W171" s="13">
        <f> 'Optimal Choice'!$B$20*'Optimal Choice'!$B$21^(Q171+1)</f>
        <v>33141.84034</v>
      </c>
      <c r="X171" s="13">
        <f> 'Optimal Choice'!$B$25*'Optimal Choice'!$B$26^(R171+1)</f>
        <v>182719.5857</v>
      </c>
      <c r="AA171" s="12">
        <f t="shared" ref="AA171:AE171" si="508">if(isna(VLOOKUP(N171,$D$2:$E$10,2,false)),AA170, VLOOKUP(N171,$D$2:$E$10,2,false))</f>
        <v>50</v>
      </c>
      <c r="AB171" s="12">
        <f t="shared" si="508"/>
        <v>5</v>
      </c>
      <c r="AC171" s="15">
        <f t="shared" si="508"/>
        <v>1</v>
      </c>
      <c r="AD171" s="15">
        <f t="shared" si="508"/>
        <v>1</v>
      </c>
      <c r="AE171" s="15">
        <f t="shared" si="508"/>
        <v>1</v>
      </c>
      <c r="AH171" s="15">
        <f>N171*'Optimal Choice'!$B$4*AA171</f>
        <v>9185</v>
      </c>
      <c r="AI171" s="15">
        <f>O171*'Optimal Choice'!$B$9*AB171</f>
        <v>2800</v>
      </c>
      <c r="AJ171" s="15">
        <f>P171*'Optimal Choice'!$B$14*AC171</f>
        <v>1620</v>
      </c>
      <c r="AK171" s="15">
        <f>Q171*'Optimal Choice'!$B$19*AD171</f>
        <v>3600</v>
      </c>
      <c r="AL171" s="15">
        <f>R171*'Optimal Choice'!$B$24*AE171</f>
        <v>8640</v>
      </c>
      <c r="AO171" s="12">
        <f t="shared" ref="AO171:AS171" si="509">if(isna(VLOOKUP(N171+1,$D$2:$E$10,2,false)),AO170, VLOOKUP(N171+1,$D$2:$E$10,2,false))</f>
        <v>50</v>
      </c>
      <c r="AP171" s="12">
        <f t="shared" si="509"/>
        <v>5</v>
      </c>
      <c r="AQ171" s="15">
        <f t="shared" si="509"/>
        <v>1</v>
      </c>
      <c r="AR171" s="15">
        <f t="shared" si="509"/>
        <v>1</v>
      </c>
      <c r="AS171" s="15">
        <f t="shared" si="509"/>
        <v>1</v>
      </c>
      <c r="AU171" s="11">
        <f t="shared" si="8"/>
        <v>0.001944673221</v>
      </c>
    </row>
    <row r="172" ht="15.75" customHeight="1">
      <c r="A172" s="16">
        <f t="shared" si="4"/>
        <v>1.937243499</v>
      </c>
      <c r="B172" s="7">
        <f>(sum(AH172:AL172))*'Optimal Choice'!$B$28</f>
        <v>25945</v>
      </c>
      <c r="C172" s="11"/>
      <c r="D172" s="12"/>
      <c r="E172" s="12"/>
      <c r="F172" s="11"/>
      <c r="G172" s="11">
        <f>(T172/$B172)+(T172/('Optimal Choice'!$B$4*AO172))</f>
        <v>87.77448797</v>
      </c>
      <c r="H172" s="11">
        <f>(U172/$B172)+(U172/('Optimal Choice'!$B$9*AP172))</f>
        <v>39.88018348</v>
      </c>
      <c r="I172" s="11">
        <f>(V172/$B172)+(V172/('Optimal Choice'!$B$14*AQ172))</f>
        <v>96.78010063</v>
      </c>
      <c r="J172" s="11">
        <f>(W172/$B172)+(W172/('Optimal Choice'!$B$19*AR172))</f>
        <v>93.33805595</v>
      </c>
      <c r="K172" s="11">
        <f>(X172/$B172)+(X172/('Optimal Choice'!$B$24*AS172))</f>
        <v>91.63497492</v>
      </c>
      <c r="N172" s="12">
        <f t="shared" ref="N172:R172" si="510">if(min($G171:$K171)=G171,N171+1,N171)</f>
        <v>110</v>
      </c>
      <c r="O172" s="12">
        <f t="shared" si="510"/>
        <v>29</v>
      </c>
      <c r="P172" s="12">
        <f t="shared" si="510"/>
        <v>18</v>
      </c>
      <c r="Q172" s="12">
        <f t="shared" si="510"/>
        <v>10</v>
      </c>
      <c r="R172" s="12">
        <f t="shared" si="510"/>
        <v>4</v>
      </c>
      <c r="T172" s="13">
        <f> 'Optimal Choice'!$B$5*'Optimal Choice'!$B$6^(N172+1)</f>
        <v>7305.657608</v>
      </c>
      <c r="U172" s="13">
        <f> 'Optimal Choice'!$B$10*'Optimal Choice'!$B$11^(O172+1)</f>
        <v>3972.706317</v>
      </c>
      <c r="V172" s="13">
        <f> 'Optimal Choice'!$B$15*'Optimal Choice'!$B$16^(P172+1)</f>
        <v>8680.098866</v>
      </c>
      <c r="W172" s="13">
        <f> 'Optimal Choice'!$B$20*'Optimal Choice'!$B$21^(Q172+1)</f>
        <v>33141.84034</v>
      </c>
      <c r="X172" s="13">
        <f> 'Optimal Choice'!$B$25*'Optimal Choice'!$B$26^(R172+1)</f>
        <v>182719.5857</v>
      </c>
      <c r="AA172" s="12">
        <f t="shared" ref="AA172:AE172" si="511">if(isna(VLOOKUP(N172,$D$2:$E$10,2,false)),AA171, VLOOKUP(N172,$D$2:$E$10,2,false))</f>
        <v>50</v>
      </c>
      <c r="AB172" s="12">
        <f t="shared" si="511"/>
        <v>5</v>
      </c>
      <c r="AC172" s="15">
        <f t="shared" si="511"/>
        <v>1</v>
      </c>
      <c r="AD172" s="15">
        <f t="shared" si="511"/>
        <v>1</v>
      </c>
      <c r="AE172" s="15">
        <f t="shared" si="511"/>
        <v>1</v>
      </c>
      <c r="AH172" s="15">
        <f>N172*'Optimal Choice'!$B$4*AA172</f>
        <v>9185</v>
      </c>
      <c r="AI172" s="15">
        <f>O172*'Optimal Choice'!$B$9*AB172</f>
        <v>2900</v>
      </c>
      <c r="AJ172" s="15">
        <f>P172*'Optimal Choice'!$B$14*AC172</f>
        <v>1620</v>
      </c>
      <c r="AK172" s="15">
        <f>Q172*'Optimal Choice'!$B$19*AD172</f>
        <v>3600</v>
      </c>
      <c r="AL172" s="15">
        <f>R172*'Optimal Choice'!$B$24*AE172</f>
        <v>8640</v>
      </c>
      <c r="AO172" s="12">
        <f t="shared" ref="AO172:AS172" si="512">if(isna(VLOOKUP(N172+1,$D$2:$E$10,2,false)),AO171, VLOOKUP(N172+1,$D$2:$E$10,2,false))</f>
        <v>50</v>
      </c>
      <c r="AP172" s="12">
        <f t="shared" si="512"/>
        <v>5</v>
      </c>
      <c r="AQ172" s="15">
        <f t="shared" si="512"/>
        <v>1</v>
      </c>
      <c r="AR172" s="15">
        <f t="shared" si="512"/>
        <v>1</v>
      </c>
      <c r="AS172" s="15">
        <f t="shared" si="512"/>
        <v>1</v>
      </c>
      <c r="AU172" s="11">
        <f t="shared" si="8"/>
        <v>0.002227721179</v>
      </c>
    </row>
    <row r="173" ht="15.75" customHeight="1">
      <c r="A173" s="16">
        <f t="shared" si="4"/>
        <v>1.939795504</v>
      </c>
      <c r="B173" s="7">
        <f>(sum(AH173:AL173))*'Optimal Choice'!$B$28</f>
        <v>26045</v>
      </c>
      <c r="C173" s="11"/>
      <c r="D173" s="12"/>
      <c r="E173" s="12"/>
      <c r="F173" s="11"/>
      <c r="G173" s="11">
        <f>(T173/$B173)+(T173/('Optimal Choice'!$B$4*AO173))</f>
        <v>87.77340683</v>
      </c>
      <c r="H173" s="11">
        <f>(U173/$B173)+(U173/('Optimal Choice'!$B$9*AP173))</f>
        <v>45.86153491</v>
      </c>
      <c r="I173" s="11">
        <f>(V173/$B173)+(V173/('Optimal Choice'!$B$14*AQ173))</f>
        <v>96.7788161</v>
      </c>
      <c r="J173" s="11">
        <f>(W173/$B173)+(W173/('Optimal Choice'!$B$19*AR173))</f>
        <v>93.33315141</v>
      </c>
      <c r="K173" s="11">
        <f>(X173/$B173)+(X173/('Optimal Choice'!$B$24*AS173))</f>
        <v>91.6079349</v>
      </c>
      <c r="N173" s="12">
        <f t="shared" ref="N173:R173" si="513">if(min($G172:$K172)=G172,N172+1,N172)</f>
        <v>110</v>
      </c>
      <c r="O173" s="12">
        <f t="shared" si="513"/>
        <v>30</v>
      </c>
      <c r="P173" s="12">
        <f t="shared" si="513"/>
        <v>18</v>
      </c>
      <c r="Q173" s="12">
        <f t="shared" si="513"/>
        <v>10</v>
      </c>
      <c r="R173" s="12">
        <f t="shared" si="513"/>
        <v>4</v>
      </c>
      <c r="T173" s="13">
        <f> 'Optimal Choice'!$B$5*'Optimal Choice'!$B$6^(N173+1)</f>
        <v>7305.657608</v>
      </c>
      <c r="U173" s="13">
        <f> 'Optimal Choice'!$B$10*'Optimal Choice'!$B$11^(O173+1)</f>
        <v>4568.612265</v>
      </c>
      <c r="V173" s="13">
        <f> 'Optimal Choice'!$B$15*'Optimal Choice'!$B$16^(P173+1)</f>
        <v>8680.098866</v>
      </c>
      <c r="W173" s="13">
        <f> 'Optimal Choice'!$B$20*'Optimal Choice'!$B$21^(Q173+1)</f>
        <v>33141.84034</v>
      </c>
      <c r="X173" s="13">
        <f> 'Optimal Choice'!$B$25*'Optimal Choice'!$B$26^(R173+1)</f>
        <v>182719.5857</v>
      </c>
      <c r="AA173" s="12">
        <f t="shared" ref="AA173:AE173" si="514">if(isna(VLOOKUP(N173,$D$2:$E$10,2,false)),AA172, VLOOKUP(N173,$D$2:$E$10,2,false))</f>
        <v>50</v>
      </c>
      <c r="AB173" s="12">
        <f t="shared" si="514"/>
        <v>5</v>
      </c>
      <c r="AC173" s="15">
        <f t="shared" si="514"/>
        <v>1</v>
      </c>
      <c r="AD173" s="15">
        <f t="shared" si="514"/>
        <v>1</v>
      </c>
      <c r="AE173" s="15">
        <f t="shared" si="514"/>
        <v>1</v>
      </c>
      <c r="AH173" s="15">
        <f>N173*'Optimal Choice'!$B$4*AA173</f>
        <v>9185</v>
      </c>
      <c r="AI173" s="15">
        <f>O173*'Optimal Choice'!$B$9*AB173</f>
        <v>3000</v>
      </c>
      <c r="AJ173" s="15">
        <f>P173*'Optimal Choice'!$B$14*AC173</f>
        <v>1620</v>
      </c>
      <c r="AK173" s="15">
        <f>Q173*'Optimal Choice'!$B$19*AD173</f>
        <v>3600</v>
      </c>
      <c r="AL173" s="15">
        <f>R173*'Optimal Choice'!$B$24*AE173</f>
        <v>8640</v>
      </c>
      <c r="AO173" s="12">
        <f t="shared" ref="AO173:AS173" si="515">if(isna(VLOOKUP(N173+1,$D$2:$E$10,2,false)),AO172, VLOOKUP(N173+1,$D$2:$E$10,2,false))</f>
        <v>50</v>
      </c>
      <c r="AP173" s="12">
        <f t="shared" si="515"/>
        <v>5</v>
      </c>
      <c r="AQ173" s="15">
        <f t="shared" si="515"/>
        <v>1</v>
      </c>
      <c r="AR173" s="15">
        <f t="shared" si="515"/>
        <v>1</v>
      </c>
      <c r="AS173" s="15">
        <f t="shared" si="515"/>
        <v>1</v>
      </c>
      <c r="AU173" s="11">
        <f t="shared" si="8"/>
        <v>0.002552005086</v>
      </c>
    </row>
    <row r="174" ht="15.75" customHeight="1">
      <c r="A174" s="16">
        <f t="shared" si="4"/>
        <v>1.942719042</v>
      </c>
      <c r="B174" s="7">
        <f>(sum(AH174:AL174))*'Optimal Choice'!$B$28</f>
        <v>26145</v>
      </c>
      <c r="C174" s="11"/>
      <c r="D174" s="12"/>
      <c r="E174" s="12"/>
      <c r="F174" s="11"/>
      <c r="G174" s="11">
        <f>(T174/$B174)+(T174/('Optimal Choice'!$B$4*AO174))</f>
        <v>87.77233396</v>
      </c>
      <c r="H174" s="11">
        <f>(U174/$B174)+(U174/('Optimal Choice'!$B$9*AP174))</f>
        <v>52.73999359</v>
      </c>
      <c r="I174" s="11">
        <f>(V174/$B174)+(V174/('Optimal Choice'!$B$14*AQ174))</f>
        <v>96.77754139</v>
      </c>
      <c r="J174" s="11">
        <f>(W174/$B174)+(W174/('Optimal Choice'!$B$19*AR174))</f>
        <v>93.32828438</v>
      </c>
      <c r="K174" s="11">
        <f>(X174/$B174)+(X174/('Optimal Choice'!$B$24*AS174))</f>
        <v>91.58110172</v>
      </c>
      <c r="N174" s="12">
        <f t="shared" ref="N174:R174" si="516">if(min($G173:$K173)=G173,N173+1,N173)</f>
        <v>110</v>
      </c>
      <c r="O174" s="12">
        <f t="shared" si="516"/>
        <v>31</v>
      </c>
      <c r="P174" s="12">
        <f t="shared" si="516"/>
        <v>18</v>
      </c>
      <c r="Q174" s="12">
        <f t="shared" si="516"/>
        <v>10</v>
      </c>
      <c r="R174" s="12">
        <f t="shared" si="516"/>
        <v>4</v>
      </c>
      <c r="T174" s="13">
        <f> 'Optimal Choice'!$B$5*'Optimal Choice'!$B$6^(N174+1)</f>
        <v>7305.657608</v>
      </c>
      <c r="U174" s="13">
        <f> 'Optimal Choice'!$B$10*'Optimal Choice'!$B$11^(O174+1)</f>
        <v>5253.904105</v>
      </c>
      <c r="V174" s="13">
        <f> 'Optimal Choice'!$B$15*'Optimal Choice'!$B$16^(P174+1)</f>
        <v>8680.098866</v>
      </c>
      <c r="W174" s="13">
        <f> 'Optimal Choice'!$B$20*'Optimal Choice'!$B$21^(Q174+1)</f>
        <v>33141.84034</v>
      </c>
      <c r="X174" s="13">
        <f> 'Optimal Choice'!$B$25*'Optimal Choice'!$B$26^(R174+1)</f>
        <v>182719.5857</v>
      </c>
      <c r="AA174" s="12">
        <f t="shared" ref="AA174:AE174" si="517">if(isna(VLOOKUP(N174,$D$2:$E$10,2,false)),AA173, VLOOKUP(N174,$D$2:$E$10,2,false))</f>
        <v>50</v>
      </c>
      <c r="AB174" s="12">
        <f t="shared" si="517"/>
        <v>5</v>
      </c>
      <c r="AC174" s="15">
        <f t="shared" si="517"/>
        <v>1</v>
      </c>
      <c r="AD174" s="15">
        <f t="shared" si="517"/>
        <v>1</v>
      </c>
      <c r="AE174" s="15">
        <f t="shared" si="517"/>
        <v>1</v>
      </c>
      <c r="AH174" s="15">
        <f>N174*'Optimal Choice'!$B$4*AA174</f>
        <v>9185</v>
      </c>
      <c r="AI174" s="15">
        <f>O174*'Optimal Choice'!$B$9*AB174</f>
        <v>3100</v>
      </c>
      <c r="AJ174" s="15">
        <f>P174*'Optimal Choice'!$B$14*AC174</f>
        <v>1620</v>
      </c>
      <c r="AK174" s="15">
        <f>Q174*'Optimal Choice'!$B$19*AD174</f>
        <v>3600</v>
      </c>
      <c r="AL174" s="15">
        <f>R174*'Optimal Choice'!$B$24*AE174</f>
        <v>8640</v>
      </c>
      <c r="AO174" s="12">
        <f t="shared" ref="AO174:AS174" si="518">if(isna(VLOOKUP(N174+1,$D$2:$E$10,2,false)),AO173, VLOOKUP(N174+1,$D$2:$E$10,2,false))</f>
        <v>50</v>
      </c>
      <c r="AP174" s="12">
        <f t="shared" si="518"/>
        <v>5</v>
      </c>
      <c r="AQ174" s="15">
        <f t="shared" si="518"/>
        <v>1</v>
      </c>
      <c r="AR174" s="15">
        <f t="shared" si="518"/>
        <v>1</v>
      </c>
      <c r="AS174" s="15">
        <f t="shared" si="518"/>
        <v>1</v>
      </c>
      <c r="AU174" s="11">
        <f t="shared" si="8"/>
        <v>0.002923537637</v>
      </c>
    </row>
    <row r="175" ht="15.75" customHeight="1">
      <c r="A175" s="16">
        <f t="shared" si="4"/>
        <v>1.946068251</v>
      </c>
      <c r="B175" s="7">
        <f>(sum(AH175:AL175))*'Optimal Choice'!$B$28</f>
        <v>26245</v>
      </c>
      <c r="C175" s="11"/>
      <c r="D175" s="12"/>
      <c r="E175" s="12"/>
      <c r="F175" s="11"/>
      <c r="G175" s="11">
        <f>(T175/$B175)+(T175/('Optimal Choice'!$B$4*AO175))</f>
        <v>87.77126927</v>
      </c>
      <c r="H175" s="11">
        <f>(U175/$B175)+(U175/('Optimal Choice'!$B$9*AP175))</f>
        <v>60.65011209</v>
      </c>
      <c r="I175" s="11">
        <f>(V175/$B175)+(V175/('Optimal Choice'!$B$14*AQ175))</f>
        <v>96.77627639</v>
      </c>
      <c r="J175" s="11">
        <f>(W175/$B175)+(W175/('Optimal Choice'!$B$19*AR175))</f>
        <v>93.32345444</v>
      </c>
      <c r="K175" s="11">
        <f>(X175/$B175)+(X175/('Optimal Choice'!$B$24*AS175))</f>
        <v>91.55447303</v>
      </c>
      <c r="N175" s="12">
        <f t="shared" ref="N175:R175" si="519">if(min($G174:$K174)=G174,N174+1,N174)</f>
        <v>110</v>
      </c>
      <c r="O175" s="12">
        <f t="shared" si="519"/>
        <v>32</v>
      </c>
      <c r="P175" s="12">
        <f t="shared" si="519"/>
        <v>18</v>
      </c>
      <c r="Q175" s="12">
        <f t="shared" si="519"/>
        <v>10</v>
      </c>
      <c r="R175" s="12">
        <f t="shared" si="519"/>
        <v>4</v>
      </c>
      <c r="T175" s="13">
        <f> 'Optimal Choice'!$B$5*'Optimal Choice'!$B$6^(N175+1)</f>
        <v>7305.657608</v>
      </c>
      <c r="U175" s="13">
        <f> 'Optimal Choice'!$B$10*'Optimal Choice'!$B$11^(O175+1)</f>
        <v>6041.98972</v>
      </c>
      <c r="V175" s="13">
        <f> 'Optimal Choice'!$B$15*'Optimal Choice'!$B$16^(P175+1)</f>
        <v>8680.098866</v>
      </c>
      <c r="W175" s="13">
        <f> 'Optimal Choice'!$B$20*'Optimal Choice'!$B$21^(Q175+1)</f>
        <v>33141.84034</v>
      </c>
      <c r="X175" s="13">
        <f> 'Optimal Choice'!$B$25*'Optimal Choice'!$B$26^(R175+1)</f>
        <v>182719.5857</v>
      </c>
      <c r="AA175" s="12">
        <f t="shared" ref="AA175:AE175" si="520">if(isna(VLOOKUP(N175,$D$2:$E$10,2,false)),AA174, VLOOKUP(N175,$D$2:$E$10,2,false))</f>
        <v>50</v>
      </c>
      <c r="AB175" s="12">
        <f t="shared" si="520"/>
        <v>5</v>
      </c>
      <c r="AC175" s="15">
        <f t="shared" si="520"/>
        <v>1</v>
      </c>
      <c r="AD175" s="15">
        <f t="shared" si="520"/>
        <v>1</v>
      </c>
      <c r="AE175" s="15">
        <f t="shared" si="520"/>
        <v>1</v>
      </c>
      <c r="AH175" s="15">
        <f>N175*'Optimal Choice'!$B$4*AA175</f>
        <v>9185</v>
      </c>
      <c r="AI175" s="15">
        <f>O175*'Optimal Choice'!$B$9*AB175</f>
        <v>3200</v>
      </c>
      <c r="AJ175" s="15">
        <f>P175*'Optimal Choice'!$B$14*AC175</f>
        <v>1620</v>
      </c>
      <c r="AK175" s="15">
        <f>Q175*'Optimal Choice'!$B$19*AD175</f>
        <v>3600</v>
      </c>
      <c r="AL175" s="15">
        <f>R175*'Optimal Choice'!$B$24*AE175</f>
        <v>8640</v>
      </c>
      <c r="AO175" s="12">
        <f t="shared" ref="AO175:AS175" si="521">if(isna(VLOOKUP(N175+1,$D$2:$E$10,2,false)),AO174, VLOOKUP(N175+1,$D$2:$E$10,2,false))</f>
        <v>50</v>
      </c>
      <c r="AP175" s="12">
        <f t="shared" si="521"/>
        <v>5</v>
      </c>
      <c r="AQ175" s="15">
        <f t="shared" si="521"/>
        <v>1</v>
      </c>
      <c r="AR175" s="15">
        <f t="shared" si="521"/>
        <v>1</v>
      </c>
      <c r="AS175" s="15">
        <f t="shared" si="521"/>
        <v>1</v>
      </c>
      <c r="AU175" s="11">
        <f t="shared" si="8"/>
        <v>0.003349208966</v>
      </c>
    </row>
    <row r="176" ht="15.75" customHeight="1">
      <c r="A176" s="16">
        <f t="shared" si="4"/>
        <v>1.949905166</v>
      </c>
      <c r="B176" s="7">
        <f>(sum(AH176:AL176))*'Optimal Choice'!$B$28</f>
        <v>26345</v>
      </c>
      <c r="C176" s="11"/>
      <c r="D176" s="12"/>
      <c r="E176" s="12"/>
      <c r="F176" s="11"/>
      <c r="G176" s="11">
        <f>(T176/$B176)+(T176/('Optimal Choice'!$B$4*AO176))</f>
        <v>87.77021266</v>
      </c>
      <c r="H176" s="11">
        <f>(U176/$B176)+(U176/('Optimal Choice'!$B$9*AP176))</f>
        <v>69.74662398</v>
      </c>
      <c r="I176" s="11">
        <f>(V176/$B176)+(V176/('Optimal Choice'!$B$14*AQ176))</f>
        <v>96.775021</v>
      </c>
      <c r="J176" s="11">
        <f>(W176/$B176)+(W176/('Optimal Choice'!$B$19*AR176))</f>
        <v>93.31866117</v>
      </c>
      <c r="K176" s="11">
        <f>(X176/$B176)+(X176/('Optimal Choice'!$B$24*AS176))</f>
        <v>91.52804648</v>
      </c>
      <c r="N176" s="12">
        <f t="shared" ref="N176:R176" si="522">if(min($G175:$K175)=G175,N175+1,N175)</f>
        <v>110</v>
      </c>
      <c r="O176" s="12">
        <f t="shared" si="522"/>
        <v>33</v>
      </c>
      <c r="P176" s="12">
        <f t="shared" si="522"/>
        <v>18</v>
      </c>
      <c r="Q176" s="12">
        <f t="shared" si="522"/>
        <v>10</v>
      </c>
      <c r="R176" s="12">
        <f t="shared" si="522"/>
        <v>4</v>
      </c>
      <c r="T176" s="13">
        <f> 'Optimal Choice'!$B$5*'Optimal Choice'!$B$6^(N176+1)</f>
        <v>7305.657608</v>
      </c>
      <c r="U176" s="13">
        <f> 'Optimal Choice'!$B$10*'Optimal Choice'!$B$11^(O176+1)</f>
        <v>6948.288179</v>
      </c>
      <c r="V176" s="13">
        <f> 'Optimal Choice'!$B$15*'Optimal Choice'!$B$16^(P176+1)</f>
        <v>8680.098866</v>
      </c>
      <c r="W176" s="13">
        <f> 'Optimal Choice'!$B$20*'Optimal Choice'!$B$21^(Q176+1)</f>
        <v>33141.84034</v>
      </c>
      <c r="X176" s="13">
        <f> 'Optimal Choice'!$B$25*'Optimal Choice'!$B$26^(R176+1)</f>
        <v>182719.5857</v>
      </c>
      <c r="AA176" s="12">
        <f t="shared" ref="AA176:AE176" si="523">if(isna(VLOOKUP(N176,$D$2:$E$10,2,false)),AA175, VLOOKUP(N176,$D$2:$E$10,2,false))</f>
        <v>50</v>
      </c>
      <c r="AB176" s="12">
        <f t="shared" si="523"/>
        <v>5</v>
      </c>
      <c r="AC176" s="15">
        <f t="shared" si="523"/>
        <v>1</v>
      </c>
      <c r="AD176" s="15">
        <f t="shared" si="523"/>
        <v>1</v>
      </c>
      <c r="AE176" s="15">
        <f t="shared" si="523"/>
        <v>1</v>
      </c>
      <c r="AH176" s="15">
        <f>N176*'Optimal Choice'!$B$4*AA176</f>
        <v>9185</v>
      </c>
      <c r="AI176" s="15">
        <f>O176*'Optimal Choice'!$B$9*AB176</f>
        <v>3300</v>
      </c>
      <c r="AJ176" s="15">
        <f>P176*'Optimal Choice'!$B$14*AC176</f>
        <v>1620</v>
      </c>
      <c r="AK176" s="15">
        <f>Q176*'Optimal Choice'!$B$19*AD176</f>
        <v>3600</v>
      </c>
      <c r="AL176" s="15">
        <f>R176*'Optimal Choice'!$B$24*AE176</f>
        <v>8640</v>
      </c>
      <c r="AO176" s="12">
        <f t="shared" ref="AO176:AS176" si="524">if(isna(VLOOKUP(N176+1,$D$2:$E$10,2,false)),AO175, VLOOKUP(N176+1,$D$2:$E$10,2,false))</f>
        <v>50</v>
      </c>
      <c r="AP176" s="12">
        <f t="shared" si="524"/>
        <v>5</v>
      </c>
      <c r="AQ176" s="15">
        <f t="shared" si="524"/>
        <v>1</v>
      </c>
      <c r="AR176" s="15">
        <f t="shared" si="524"/>
        <v>1</v>
      </c>
      <c r="AS176" s="15">
        <f t="shared" si="524"/>
        <v>1</v>
      </c>
      <c r="AU176" s="11">
        <f t="shared" si="8"/>
        <v>0.00383691479</v>
      </c>
    </row>
    <row r="177" ht="15.75" customHeight="1">
      <c r="A177" s="16">
        <f t="shared" si="4"/>
        <v>1.954300869</v>
      </c>
      <c r="B177" s="7">
        <f>(sum(AH177:AL177))*'Optimal Choice'!$B$28</f>
        <v>26445</v>
      </c>
      <c r="C177" s="11"/>
      <c r="D177" s="12"/>
      <c r="E177" s="12"/>
      <c r="F177" s="11"/>
      <c r="G177" s="11">
        <f>(T177/$B177)+(T177/('Optimal Choice'!$B$4*AO177))</f>
        <v>87.76916404</v>
      </c>
      <c r="H177" s="11">
        <f>(U177/$B177)+(U177/('Optimal Choice'!$B$9*AP177))</f>
        <v>80.20747066</v>
      </c>
      <c r="I177" s="11">
        <f>(V177/$B177)+(V177/('Optimal Choice'!$B$14*AQ177))</f>
        <v>96.7737751</v>
      </c>
      <c r="J177" s="11">
        <f>(W177/$B177)+(W177/('Optimal Choice'!$B$19*AR177))</f>
        <v>93.31390416</v>
      </c>
      <c r="K177" s="11">
        <f>(X177/$B177)+(X177/('Optimal Choice'!$B$24*AS177))</f>
        <v>91.5018198</v>
      </c>
      <c r="N177" s="12">
        <f t="shared" ref="N177:R177" si="525">if(min($G176:$K176)=G176,N176+1,N176)</f>
        <v>110</v>
      </c>
      <c r="O177" s="12">
        <f t="shared" si="525"/>
        <v>34</v>
      </c>
      <c r="P177" s="12">
        <f t="shared" si="525"/>
        <v>18</v>
      </c>
      <c r="Q177" s="12">
        <f t="shared" si="525"/>
        <v>10</v>
      </c>
      <c r="R177" s="12">
        <f t="shared" si="525"/>
        <v>4</v>
      </c>
      <c r="T177" s="13">
        <f> 'Optimal Choice'!$B$5*'Optimal Choice'!$B$6^(N177+1)</f>
        <v>7305.657608</v>
      </c>
      <c r="U177" s="13">
        <f> 'Optimal Choice'!$B$10*'Optimal Choice'!$B$11^(O177+1)</f>
        <v>7990.531405</v>
      </c>
      <c r="V177" s="13">
        <f> 'Optimal Choice'!$B$15*'Optimal Choice'!$B$16^(P177+1)</f>
        <v>8680.098866</v>
      </c>
      <c r="W177" s="13">
        <f> 'Optimal Choice'!$B$20*'Optimal Choice'!$B$21^(Q177+1)</f>
        <v>33141.84034</v>
      </c>
      <c r="X177" s="13">
        <f> 'Optimal Choice'!$B$25*'Optimal Choice'!$B$26^(R177+1)</f>
        <v>182719.5857</v>
      </c>
      <c r="AA177" s="12">
        <f t="shared" ref="AA177:AE177" si="526">if(isna(VLOOKUP(N177,$D$2:$E$10,2,false)),AA176, VLOOKUP(N177,$D$2:$E$10,2,false))</f>
        <v>50</v>
      </c>
      <c r="AB177" s="12">
        <f t="shared" si="526"/>
        <v>5</v>
      </c>
      <c r="AC177" s="15">
        <f t="shared" si="526"/>
        <v>1</v>
      </c>
      <c r="AD177" s="15">
        <f t="shared" si="526"/>
        <v>1</v>
      </c>
      <c r="AE177" s="15">
        <f t="shared" si="526"/>
        <v>1</v>
      </c>
      <c r="AH177" s="15">
        <f>N177*'Optimal Choice'!$B$4*AA177</f>
        <v>9185</v>
      </c>
      <c r="AI177" s="15">
        <f>O177*'Optimal Choice'!$B$9*AB177</f>
        <v>3400</v>
      </c>
      <c r="AJ177" s="15">
        <f>P177*'Optimal Choice'!$B$14*AC177</f>
        <v>1620</v>
      </c>
      <c r="AK177" s="15">
        <f>Q177*'Optimal Choice'!$B$19*AD177</f>
        <v>3600</v>
      </c>
      <c r="AL177" s="15">
        <f>R177*'Optimal Choice'!$B$24*AE177</f>
        <v>8640</v>
      </c>
      <c r="AO177" s="12">
        <f t="shared" ref="AO177:AS177" si="527">if(isna(VLOOKUP(N177+1,$D$2:$E$10,2,false)),AO176, VLOOKUP(N177+1,$D$2:$E$10,2,false))</f>
        <v>50</v>
      </c>
      <c r="AP177" s="12">
        <f t="shared" si="527"/>
        <v>5</v>
      </c>
      <c r="AQ177" s="15">
        <f t="shared" si="527"/>
        <v>1</v>
      </c>
      <c r="AR177" s="15">
        <f t="shared" si="527"/>
        <v>1</v>
      </c>
      <c r="AS177" s="15">
        <f t="shared" si="527"/>
        <v>1</v>
      </c>
      <c r="AU177" s="11">
        <f t="shared" si="8"/>
        <v>0.004395703282</v>
      </c>
    </row>
    <row r="178" ht="15.75" customHeight="1">
      <c r="A178" s="16">
        <f t="shared" si="4"/>
        <v>1.959336812</v>
      </c>
      <c r="B178" s="7">
        <f>(sum(AH178:AL178))*'Optimal Choice'!$B$28</f>
        <v>26545</v>
      </c>
      <c r="C178" s="11"/>
      <c r="D178" s="12"/>
      <c r="E178" s="12"/>
      <c r="F178" s="11"/>
      <c r="G178" s="11">
        <f>(T178/$B178)+(T178/('Optimal Choice'!$B$4*AO178))</f>
        <v>87.76812332</v>
      </c>
      <c r="H178" s="11">
        <f>(U178/$B178)+(U178/('Optimal Choice'!$B$9*AP178))</f>
        <v>92.23728223</v>
      </c>
      <c r="I178" s="11">
        <f>(V178/$B178)+(V178/('Optimal Choice'!$B$14*AQ178))</f>
        <v>96.77253859</v>
      </c>
      <c r="J178" s="11">
        <f>(W178/$B178)+(W178/('Optimal Choice'!$B$19*AR178))</f>
        <v>93.30918298</v>
      </c>
      <c r="K178" s="11">
        <f>(X178/$B178)+(X178/('Optimal Choice'!$B$24*AS178))</f>
        <v>91.47579072</v>
      </c>
      <c r="N178" s="12">
        <f t="shared" ref="N178:R178" si="528">if(min($G177:$K177)=G177,N177+1,N177)</f>
        <v>110</v>
      </c>
      <c r="O178" s="12">
        <f t="shared" si="528"/>
        <v>35</v>
      </c>
      <c r="P178" s="12">
        <f t="shared" si="528"/>
        <v>18</v>
      </c>
      <c r="Q178" s="12">
        <f t="shared" si="528"/>
        <v>10</v>
      </c>
      <c r="R178" s="12">
        <f t="shared" si="528"/>
        <v>4</v>
      </c>
      <c r="T178" s="13">
        <f> 'Optimal Choice'!$B$5*'Optimal Choice'!$B$6^(N178+1)</f>
        <v>7305.657608</v>
      </c>
      <c r="U178" s="13">
        <f> 'Optimal Choice'!$B$10*'Optimal Choice'!$B$11^(O178+1)</f>
        <v>9189.111116</v>
      </c>
      <c r="V178" s="13">
        <f> 'Optimal Choice'!$B$15*'Optimal Choice'!$B$16^(P178+1)</f>
        <v>8680.098866</v>
      </c>
      <c r="W178" s="13">
        <f> 'Optimal Choice'!$B$20*'Optimal Choice'!$B$21^(Q178+1)</f>
        <v>33141.84034</v>
      </c>
      <c r="X178" s="13">
        <f> 'Optimal Choice'!$B$25*'Optimal Choice'!$B$26^(R178+1)</f>
        <v>182719.5857</v>
      </c>
      <c r="AA178" s="12">
        <f t="shared" ref="AA178:AE178" si="529">if(isna(VLOOKUP(N178,$D$2:$E$10,2,false)),AA177, VLOOKUP(N178,$D$2:$E$10,2,false))</f>
        <v>50</v>
      </c>
      <c r="AB178" s="12">
        <f t="shared" si="529"/>
        <v>5</v>
      </c>
      <c r="AC178" s="15">
        <f t="shared" si="529"/>
        <v>1</v>
      </c>
      <c r="AD178" s="15">
        <f t="shared" si="529"/>
        <v>1</v>
      </c>
      <c r="AE178" s="15">
        <f t="shared" si="529"/>
        <v>1</v>
      </c>
      <c r="AH178" s="15">
        <f>N178*'Optimal Choice'!$B$4*AA178</f>
        <v>9185</v>
      </c>
      <c r="AI178" s="15">
        <f>O178*'Optimal Choice'!$B$9*AB178</f>
        <v>3500</v>
      </c>
      <c r="AJ178" s="15">
        <f>P178*'Optimal Choice'!$B$14*AC178</f>
        <v>1620</v>
      </c>
      <c r="AK178" s="15">
        <f>Q178*'Optimal Choice'!$B$19*AD178</f>
        <v>3600</v>
      </c>
      <c r="AL178" s="15">
        <f>R178*'Optimal Choice'!$B$24*AE178</f>
        <v>8640</v>
      </c>
      <c r="AO178" s="12">
        <f t="shared" ref="AO178:AS178" si="530">if(isna(VLOOKUP(N178+1,$D$2:$E$10,2,false)),AO177, VLOOKUP(N178+1,$D$2:$E$10,2,false))</f>
        <v>50</v>
      </c>
      <c r="AP178" s="12">
        <f t="shared" si="530"/>
        <v>5</v>
      </c>
      <c r="AQ178" s="15">
        <f t="shared" si="530"/>
        <v>1</v>
      </c>
      <c r="AR178" s="15">
        <f t="shared" si="530"/>
        <v>1</v>
      </c>
      <c r="AS178" s="15">
        <f t="shared" si="530"/>
        <v>1</v>
      </c>
      <c r="AU178" s="11">
        <f t="shared" si="8"/>
        <v>0.005035943408</v>
      </c>
    </row>
    <row r="179" ht="15.75" customHeight="1">
      <c r="A179" s="16">
        <f t="shared" si="4"/>
        <v>1.963923776</v>
      </c>
      <c r="B179" s="7">
        <f>(sum(AH179:AL179))*'Optimal Choice'!$B$28</f>
        <v>26628.5</v>
      </c>
      <c r="C179" s="11"/>
      <c r="D179" s="12"/>
      <c r="E179" s="12"/>
      <c r="F179" s="11"/>
      <c r="G179" s="11">
        <f>(T179/$B179)+(T179/('Optimal Choice'!$B$4*AO179))</f>
        <v>93.91096853</v>
      </c>
      <c r="H179" s="11">
        <f>(U179/$B179)+(U179/('Optimal Choice'!$B$9*AP179))</f>
        <v>92.23619673</v>
      </c>
      <c r="I179" s="11">
        <f>(V179/$B179)+(V179/('Optimal Choice'!$B$14*AQ179))</f>
        <v>96.77151321</v>
      </c>
      <c r="J179" s="11">
        <f>(W179/$B179)+(W179/('Optimal Choice'!$B$19*AR179))</f>
        <v>93.30526796</v>
      </c>
      <c r="K179" s="11">
        <f>(X179/$B179)+(X179/('Optimal Choice'!$B$24*AS179))</f>
        <v>91.45420622</v>
      </c>
      <c r="N179" s="12">
        <f t="shared" ref="N179:R179" si="531">if(min($G178:$K178)=G178,N178+1,N178)</f>
        <v>111</v>
      </c>
      <c r="O179" s="12">
        <f t="shared" si="531"/>
        <v>35</v>
      </c>
      <c r="P179" s="12">
        <f t="shared" si="531"/>
        <v>18</v>
      </c>
      <c r="Q179" s="12">
        <f t="shared" si="531"/>
        <v>10</v>
      </c>
      <c r="R179" s="12">
        <f t="shared" si="531"/>
        <v>4</v>
      </c>
      <c r="T179" s="13">
        <f> 'Optimal Choice'!$B$5*'Optimal Choice'!$B$6^(N179+1)</f>
        <v>7817.05364</v>
      </c>
      <c r="U179" s="13">
        <f> 'Optimal Choice'!$B$10*'Optimal Choice'!$B$11^(O179+1)</f>
        <v>9189.111116</v>
      </c>
      <c r="V179" s="13">
        <f> 'Optimal Choice'!$B$15*'Optimal Choice'!$B$16^(P179+1)</f>
        <v>8680.098866</v>
      </c>
      <c r="W179" s="13">
        <f> 'Optimal Choice'!$B$20*'Optimal Choice'!$B$21^(Q179+1)</f>
        <v>33141.84034</v>
      </c>
      <c r="X179" s="13">
        <f> 'Optimal Choice'!$B$25*'Optimal Choice'!$B$26^(R179+1)</f>
        <v>182719.5857</v>
      </c>
      <c r="AA179" s="12">
        <f t="shared" ref="AA179:AE179" si="532">if(isna(VLOOKUP(N179,$D$2:$E$10,2,false)),AA178, VLOOKUP(N179,$D$2:$E$10,2,false))</f>
        <v>50</v>
      </c>
      <c r="AB179" s="12">
        <f t="shared" si="532"/>
        <v>5</v>
      </c>
      <c r="AC179" s="15">
        <f t="shared" si="532"/>
        <v>1</v>
      </c>
      <c r="AD179" s="15">
        <f t="shared" si="532"/>
        <v>1</v>
      </c>
      <c r="AE179" s="15">
        <f t="shared" si="532"/>
        <v>1</v>
      </c>
      <c r="AH179" s="15">
        <f>N179*'Optimal Choice'!$B$4*AA179</f>
        <v>9268.5</v>
      </c>
      <c r="AI179" s="15">
        <f>O179*'Optimal Choice'!$B$9*AB179</f>
        <v>3500</v>
      </c>
      <c r="AJ179" s="15">
        <f>P179*'Optimal Choice'!$B$14*AC179</f>
        <v>1620</v>
      </c>
      <c r="AK179" s="15">
        <f>Q179*'Optimal Choice'!$B$19*AD179</f>
        <v>3600</v>
      </c>
      <c r="AL179" s="15">
        <f>R179*'Optimal Choice'!$B$24*AE179</f>
        <v>8640</v>
      </c>
      <c r="AO179" s="12">
        <f t="shared" ref="AO179:AS179" si="533">if(isna(VLOOKUP(N179+1,$D$2:$E$10,2,false)),AO178, VLOOKUP(N179+1,$D$2:$E$10,2,false))</f>
        <v>50</v>
      </c>
      <c r="AP179" s="12">
        <f t="shared" si="533"/>
        <v>5</v>
      </c>
      <c r="AQ179" s="15">
        <f t="shared" si="533"/>
        <v>1</v>
      </c>
      <c r="AR179" s="15">
        <f t="shared" si="533"/>
        <v>1</v>
      </c>
      <c r="AS179" s="15">
        <f t="shared" si="533"/>
        <v>1</v>
      </c>
      <c r="AU179" s="11">
        <f t="shared" si="8"/>
        <v>0.004586964028</v>
      </c>
    </row>
    <row r="180" ht="15.75" customHeight="1">
      <c r="A180" s="16">
        <f t="shared" si="4"/>
        <v>2.0782872</v>
      </c>
      <c r="B180" s="7">
        <f>(sum(AH180:AL180))*'Optimal Choice'!$B$28</f>
        <v>28788.5</v>
      </c>
      <c r="C180" s="11"/>
      <c r="D180" s="12"/>
      <c r="E180" s="12"/>
      <c r="F180" s="11"/>
      <c r="G180" s="11">
        <f>(T180/$B180)+(T180/('Optimal Choice'!$B$4*AO180))</f>
        <v>93.88894276</v>
      </c>
      <c r="H180" s="11">
        <f>(U180/$B180)+(U180/('Optimal Choice'!$B$9*AP180))</f>
        <v>92.21030498</v>
      </c>
      <c r="I180" s="11">
        <f>(V180/$B180)+(V180/('Optimal Choice'!$B$14*AQ180))</f>
        <v>96.74705568</v>
      </c>
      <c r="J180" s="11">
        <f>(W180/$B180)+(W180/('Optimal Choice'!$B$19*AR180))</f>
        <v>93.21188565</v>
      </c>
      <c r="K180" s="11">
        <f>(X180/$B180)+(X180/('Optimal Choice'!$B$24*AS180))</f>
        <v>101.8520891</v>
      </c>
      <c r="N180" s="12">
        <f t="shared" ref="N180:R180" si="534">if(min($G179:$K179)=G179,N179+1,N179)</f>
        <v>111</v>
      </c>
      <c r="O180" s="12">
        <f t="shared" si="534"/>
        <v>35</v>
      </c>
      <c r="P180" s="12">
        <f t="shared" si="534"/>
        <v>18</v>
      </c>
      <c r="Q180" s="12">
        <f t="shared" si="534"/>
        <v>10</v>
      </c>
      <c r="R180" s="12">
        <f t="shared" si="534"/>
        <v>5</v>
      </c>
      <c r="T180" s="13">
        <f> 'Optimal Choice'!$B$5*'Optimal Choice'!$B$6^(N180+1)</f>
        <v>7817.05364</v>
      </c>
      <c r="U180" s="13">
        <f> 'Optimal Choice'!$B$10*'Optimal Choice'!$B$11^(O180+1)</f>
        <v>9189.111116</v>
      </c>
      <c r="V180" s="13">
        <f> 'Optimal Choice'!$B$15*'Optimal Choice'!$B$16^(P180+1)</f>
        <v>8680.098866</v>
      </c>
      <c r="W180" s="13">
        <f> 'Optimal Choice'!$B$20*'Optimal Choice'!$B$21^(Q180+1)</f>
        <v>33141.84034</v>
      </c>
      <c r="X180" s="13">
        <f> 'Optimal Choice'!$B$25*'Optimal Choice'!$B$26^(R180+1)</f>
        <v>204645.936</v>
      </c>
      <c r="AA180" s="12">
        <f t="shared" ref="AA180:AE180" si="535">if(isna(VLOOKUP(N180,$D$2:$E$10,2,false)),AA179, VLOOKUP(N180,$D$2:$E$10,2,false))</f>
        <v>50</v>
      </c>
      <c r="AB180" s="12">
        <f t="shared" si="535"/>
        <v>5</v>
      </c>
      <c r="AC180" s="15">
        <f t="shared" si="535"/>
        <v>1</v>
      </c>
      <c r="AD180" s="15">
        <f t="shared" si="535"/>
        <v>1</v>
      </c>
      <c r="AE180" s="15">
        <f t="shared" si="535"/>
        <v>1</v>
      </c>
      <c r="AH180" s="15">
        <f>N180*'Optimal Choice'!$B$4*AA180</f>
        <v>9268.5</v>
      </c>
      <c r="AI180" s="15">
        <f>O180*'Optimal Choice'!$B$9*AB180</f>
        <v>3500</v>
      </c>
      <c r="AJ180" s="15">
        <f>P180*'Optimal Choice'!$B$14*AC180</f>
        <v>1620</v>
      </c>
      <c r="AK180" s="15">
        <f>Q180*'Optimal Choice'!$B$19*AD180</f>
        <v>3600</v>
      </c>
      <c r="AL180" s="15">
        <f>R180*'Optimal Choice'!$B$24*AE180</f>
        <v>10800</v>
      </c>
      <c r="AO180" s="12">
        <f t="shared" ref="AO180:AS180" si="536">if(isna(VLOOKUP(N180+1,$D$2:$E$10,2,false)),AO179, VLOOKUP(N180+1,$D$2:$E$10,2,false))</f>
        <v>50</v>
      </c>
      <c r="AP180" s="12">
        <f t="shared" si="536"/>
        <v>5</v>
      </c>
      <c r="AQ180" s="15">
        <f t="shared" si="536"/>
        <v>1</v>
      </c>
      <c r="AR180" s="15">
        <f t="shared" si="536"/>
        <v>1</v>
      </c>
      <c r="AS180" s="15">
        <f t="shared" si="536"/>
        <v>1</v>
      </c>
      <c r="AU180" s="11">
        <f t="shared" si="8"/>
        <v>0.1143634237</v>
      </c>
    </row>
    <row r="181" ht="15.75" customHeight="1">
      <c r="A181" s="16">
        <f t="shared" si="4"/>
        <v>2.083607097</v>
      </c>
      <c r="B181" s="7">
        <f>(sum(AH181:AL181))*'Optimal Choice'!$B$28</f>
        <v>28888.5</v>
      </c>
      <c r="C181" s="11"/>
      <c r="D181" s="12"/>
      <c r="E181" s="12"/>
      <c r="F181" s="11"/>
      <c r="G181" s="11">
        <f>(T181/$B181)+(T181/('Optimal Choice'!$B$4*AO181))</f>
        <v>93.88800283</v>
      </c>
      <c r="H181" s="11">
        <f>(U181/$B181)+(U181/('Optimal Choice'!$B$9*AP181))</f>
        <v>106.0405801</v>
      </c>
      <c r="I181" s="11">
        <f>(V181/$B181)+(V181/('Optimal Choice'!$B$14*AQ181))</f>
        <v>96.74601197</v>
      </c>
      <c r="J181" s="11">
        <f>(W181/$B181)+(W181/('Optimal Choice'!$B$19*AR181))</f>
        <v>93.20790061</v>
      </c>
      <c r="K181" s="11">
        <f>(X181/$B181)+(X181/('Optimal Choice'!$B$24*AS181))</f>
        <v>101.827482</v>
      </c>
      <c r="N181" s="12">
        <f t="shared" ref="N181:R181" si="537">if(min($G180:$K180)=G180,N180+1,N180)</f>
        <v>111</v>
      </c>
      <c r="O181" s="12">
        <f t="shared" si="537"/>
        <v>36</v>
      </c>
      <c r="P181" s="12">
        <f t="shared" si="537"/>
        <v>18</v>
      </c>
      <c r="Q181" s="12">
        <f t="shared" si="537"/>
        <v>10</v>
      </c>
      <c r="R181" s="12">
        <f t="shared" si="537"/>
        <v>5</v>
      </c>
      <c r="T181" s="13">
        <f> 'Optimal Choice'!$B$5*'Optimal Choice'!$B$6^(N181+1)</f>
        <v>7817.05364</v>
      </c>
      <c r="U181" s="13">
        <f> 'Optimal Choice'!$B$10*'Optimal Choice'!$B$11^(O181+1)</f>
        <v>10567.47778</v>
      </c>
      <c r="V181" s="13">
        <f> 'Optimal Choice'!$B$15*'Optimal Choice'!$B$16^(P181+1)</f>
        <v>8680.098866</v>
      </c>
      <c r="W181" s="13">
        <f> 'Optimal Choice'!$B$20*'Optimal Choice'!$B$21^(Q181+1)</f>
        <v>33141.84034</v>
      </c>
      <c r="X181" s="13">
        <f> 'Optimal Choice'!$B$25*'Optimal Choice'!$B$26^(R181+1)</f>
        <v>204645.936</v>
      </c>
      <c r="AA181" s="12">
        <f t="shared" ref="AA181:AE181" si="538">if(isna(VLOOKUP(N181,$D$2:$E$10,2,false)),AA180, VLOOKUP(N181,$D$2:$E$10,2,false))</f>
        <v>50</v>
      </c>
      <c r="AB181" s="12">
        <f t="shared" si="538"/>
        <v>5</v>
      </c>
      <c r="AC181" s="15">
        <f t="shared" si="538"/>
        <v>1</v>
      </c>
      <c r="AD181" s="15">
        <f t="shared" si="538"/>
        <v>1</v>
      </c>
      <c r="AE181" s="15">
        <f t="shared" si="538"/>
        <v>1</v>
      </c>
      <c r="AH181" s="15">
        <f>N181*'Optimal Choice'!$B$4*AA181</f>
        <v>9268.5</v>
      </c>
      <c r="AI181" s="15">
        <f>O181*'Optimal Choice'!$B$9*AB181</f>
        <v>3600</v>
      </c>
      <c r="AJ181" s="15">
        <f>P181*'Optimal Choice'!$B$14*AC181</f>
        <v>1620</v>
      </c>
      <c r="AK181" s="15">
        <f>Q181*'Optimal Choice'!$B$19*AD181</f>
        <v>3600</v>
      </c>
      <c r="AL181" s="15">
        <f>R181*'Optimal Choice'!$B$24*AE181</f>
        <v>10800</v>
      </c>
      <c r="AO181" s="12">
        <f t="shared" ref="AO181:AS181" si="539">if(isna(VLOOKUP(N181+1,$D$2:$E$10,2,false)),AO180, VLOOKUP(N181+1,$D$2:$E$10,2,false))</f>
        <v>50</v>
      </c>
      <c r="AP181" s="12">
        <f t="shared" si="539"/>
        <v>5</v>
      </c>
      <c r="AQ181" s="15">
        <f t="shared" si="539"/>
        <v>1</v>
      </c>
      <c r="AR181" s="15">
        <f t="shared" si="539"/>
        <v>1</v>
      </c>
      <c r="AS181" s="15">
        <f t="shared" si="539"/>
        <v>1</v>
      </c>
      <c r="AU181" s="11">
        <f t="shared" si="8"/>
        <v>0.005319896901</v>
      </c>
    </row>
    <row r="182" ht="15.75" customHeight="1">
      <c r="A182" s="16">
        <f t="shared" si="4"/>
        <v>2.102727647</v>
      </c>
      <c r="B182" s="7">
        <f>(sum(AH182:AL182))*'Optimal Choice'!$B$28</f>
        <v>29248.5</v>
      </c>
      <c r="C182" s="11"/>
      <c r="D182" s="12"/>
      <c r="E182" s="12"/>
      <c r="F182" s="11"/>
      <c r="G182" s="11">
        <f>(T182/$B182)+(T182/('Optimal Choice'!$B$4*AO182))</f>
        <v>93.88467227</v>
      </c>
      <c r="H182" s="11">
        <f>(U182/$B182)+(U182/('Optimal Choice'!$B$9*AP182))</f>
        <v>106.0360777</v>
      </c>
      <c r="I182" s="11">
        <f>(V182/$B182)+(V182/('Optimal Choice'!$B$14*AQ182))</f>
        <v>96.7423137</v>
      </c>
      <c r="J182" s="11">
        <f>(W182/$B182)+(W182/('Optimal Choice'!$B$19*AR182))</f>
        <v>105.3089715</v>
      </c>
      <c r="K182" s="11">
        <f>(X182/$B182)+(X182/('Optimal Choice'!$B$24*AS182))</f>
        <v>101.74029</v>
      </c>
      <c r="N182" s="12">
        <f t="shared" ref="N182:R182" si="540">if(min($G181:$K181)=G181,N181+1,N181)</f>
        <v>111</v>
      </c>
      <c r="O182" s="12">
        <f t="shared" si="540"/>
        <v>36</v>
      </c>
      <c r="P182" s="12">
        <f t="shared" si="540"/>
        <v>18</v>
      </c>
      <c r="Q182" s="12">
        <f t="shared" si="540"/>
        <v>11</v>
      </c>
      <c r="R182" s="12">
        <f t="shared" si="540"/>
        <v>5</v>
      </c>
      <c r="T182" s="13">
        <f> 'Optimal Choice'!$B$5*'Optimal Choice'!$B$6^(N182+1)</f>
        <v>7817.05364</v>
      </c>
      <c r="U182" s="13">
        <f> 'Optimal Choice'!$B$10*'Optimal Choice'!$B$11^(O182+1)</f>
        <v>10567.47778</v>
      </c>
      <c r="V182" s="13">
        <f> 'Optimal Choice'!$B$15*'Optimal Choice'!$B$16^(P182+1)</f>
        <v>8680.098866</v>
      </c>
      <c r="W182" s="13">
        <f> 'Optimal Choice'!$B$20*'Optimal Choice'!$B$21^(Q182+1)</f>
        <v>37450.27959</v>
      </c>
      <c r="X182" s="13">
        <f> 'Optimal Choice'!$B$25*'Optimal Choice'!$B$26^(R182+1)</f>
        <v>204645.936</v>
      </c>
      <c r="AA182" s="12">
        <f t="shared" ref="AA182:AE182" si="541">if(isna(VLOOKUP(N182,$D$2:$E$10,2,false)),AA181, VLOOKUP(N182,$D$2:$E$10,2,false))</f>
        <v>50</v>
      </c>
      <c r="AB182" s="12">
        <f t="shared" si="541"/>
        <v>5</v>
      </c>
      <c r="AC182" s="15">
        <f t="shared" si="541"/>
        <v>1</v>
      </c>
      <c r="AD182" s="15">
        <f t="shared" si="541"/>
        <v>1</v>
      </c>
      <c r="AE182" s="15">
        <f t="shared" si="541"/>
        <v>1</v>
      </c>
      <c r="AH182" s="15">
        <f>N182*'Optimal Choice'!$B$4*AA182</f>
        <v>9268.5</v>
      </c>
      <c r="AI182" s="15">
        <f>O182*'Optimal Choice'!$B$9*AB182</f>
        <v>3600</v>
      </c>
      <c r="AJ182" s="15">
        <f>P182*'Optimal Choice'!$B$14*AC182</f>
        <v>1620</v>
      </c>
      <c r="AK182" s="15">
        <f>Q182*'Optimal Choice'!$B$19*AD182</f>
        <v>3960</v>
      </c>
      <c r="AL182" s="15">
        <f>R182*'Optimal Choice'!$B$24*AE182</f>
        <v>10800</v>
      </c>
      <c r="AO182" s="12">
        <f t="shared" ref="AO182:AS182" si="542">if(isna(VLOOKUP(N182+1,$D$2:$E$10,2,false)),AO181, VLOOKUP(N182+1,$D$2:$E$10,2,false))</f>
        <v>50</v>
      </c>
      <c r="AP182" s="12">
        <f t="shared" si="542"/>
        <v>5</v>
      </c>
      <c r="AQ182" s="15">
        <f t="shared" si="542"/>
        <v>1</v>
      </c>
      <c r="AR182" s="15">
        <f t="shared" si="542"/>
        <v>1</v>
      </c>
      <c r="AS182" s="15">
        <f t="shared" si="542"/>
        <v>1</v>
      </c>
      <c r="AU182" s="11">
        <f t="shared" si="8"/>
        <v>0.0191205499</v>
      </c>
    </row>
    <row r="183" ht="15.75" customHeight="1">
      <c r="A183" s="16">
        <f t="shared" si="4"/>
        <v>2.107182037</v>
      </c>
      <c r="B183" s="7">
        <f>(sum(AH183:AL183))*'Optimal Choice'!$B$28</f>
        <v>29332</v>
      </c>
      <c r="C183" s="11"/>
      <c r="D183" s="12"/>
      <c r="E183" s="12"/>
      <c r="F183" s="11"/>
      <c r="G183" s="11">
        <f>(T183/$B183)+(T183/('Optimal Choice'!$B$4*AO183))</f>
        <v>100.4557852</v>
      </c>
      <c r="H183" s="11">
        <f>(U183/$B183)+(U183/('Optimal Choice'!$B$9*AP183))</f>
        <v>106.0350491</v>
      </c>
      <c r="I183" s="11">
        <f>(V183/$B183)+(V183/('Optimal Choice'!$B$14*AQ183))</f>
        <v>96.74146887</v>
      </c>
      <c r="J183" s="11">
        <f>(W183/$B183)+(W183/('Optimal Choice'!$B$19*AR183))</f>
        <v>105.3053265</v>
      </c>
      <c r="K183" s="11">
        <f>(X183/$B183)+(X183/('Optimal Choice'!$B$24*AS183))</f>
        <v>101.720372</v>
      </c>
      <c r="N183" s="12">
        <f t="shared" ref="N183:R183" si="543">if(min($G182:$K182)=G182,N182+1,N182)</f>
        <v>112</v>
      </c>
      <c r="O183" s="12">
        <f t="shared" si="543"/>
        <v>36</v>
      </c>
      <c r="P183" s="12">
        <f t="shared" si="543"/>
        <v>18</v>
      </c>
      <c r="Q183" s="12">
        <f t="shared" si="543"/>
        <v>11</v>
      </c>
      <c r="R183" s="12">
        <f t="shared" si="543"/>
        <v>5</v>
      </c>
      <c r="T183" s="13">
        <f> 'Optimal Choice'!$B$5*'Optimal Choice'!$B$6^(N183+1)</f>
        <v>8364.247395</v>
      </c>
      <c r="U183" s="13">
        <f> 'Optimal Choice'!$B$10*'Optimal Choice'!$B$11^(O183+1)</f>
        <v>10567.47778</v>
      </c>
      <c r="V183" s="13">
        <f> 'Optimal Choice'!$B$15*'Optimal Choice'!$B$16^(P183+1)</f>
        <v>8680.098866</v>
      </c>
      <c r="W183" s="13">
        <f> 'Optimal Choice'!$B$20*'Optimal Choice'!$B$21^(Q183+1)</f>
        <v>37450.27959</v>
      </c>
      <c r="X183" s="13">
        <f> 'Optimal Choice'!$B$25*'Optimal Choice'!$B$26^(R183+1)</f>
        <v>204645.936</v>
      </c>
      <c r="AA183" s="12">
        <f t="shared" ref="AA183:AE183" si="544">if(isna(VLOOKUP(N183,$D$2:$E$10,2,false)),AA182, VLOOKUP(N183,$D$2:$E$10,2,false))</f>
        <v>50</v>
      </c>
      <c r="AB183" s="12">
        <f t="shared" si="544"/>
        <v>5</v>
      </c>
      <c r="AC183" s="15">
        <f t="shared" si="544"/>
        <v>1</v>
      </c>
      <c r="AD183" s="15">
        <f t="shared" si="544"/>
        <v>1</v>
      </c>
      <c r="AE183" s="15">
        <f t="shared" si="544"/>
        <v>1</v>
      </c>
      <c r="AH183" s="15">
        <f>N183*'Optimal Choice'!$B$4*AA183</f>
        <v>9352</v>
      </c>
      <c r="AI183" s="15">
        <f>O183*'Optimal Choice'!$B$9*AB183</f>
        <v>3600</v>
      </c>
      <c r="AJ183" s="15">
        <f>P183*'Optimal Choice'!$B$14*AC183</f>
        <v>1620</v>
      </c>
      <c r="AK183" s="15">
        <f>Q183*'Optimal Choice'!$B$19*AD183</f>
        <v>3960</v>
      </c>
      <c r="AL183" s="15">
        <f>R183*'Optimal Choice'!$B$24*AE183</f>
        <v>10800</v>
      </c>
      <c r="AO183" s="12">
        <f t="shared" ref="AO183:AS183" si="545">if(isna(VLOOKUP(N183+1,$D$2:$E$10,2,false)),AO182, VLOOKUP(N183+1,$D$2:$E$10,2,false))</f>
        <v>50</v>
      </c>
      <c r="AP183" s="12">
        <f t="shared" si="545"/>
        <v>5</v>
      </c>
      <c r="AQ183" s="15">
        <f t="shared" si="545"/>
        <v>1</v>
      </c>
      <c r="AR183" s="15">
        <f t="shared" si="545"/>
        <v>1</v>
      </c>
      <c r="AS183" s="15">
        <f t="shared" si="545"/>
        <v>1</v>
      </c>
      <c r="AU183" s="11">
        <f t="shared" si="8"/>
        <v>0.004454390049</v>
      </c>
    </row>
    <row r="184" ht="15.75" customHeight="1">
      <c r="A184" s="16">
        <f t="shared" si="4"/>
        <v>2.112114135</v>
      </c>
      <c r="B184" s="7">
        <f>(sum(AH184:AL184))*'Optimal Choice'!$B$28</f>
        <v>29422</v>
      </c>
      <c r="C184" s="11"/>
      <c r="D184" s="12"/>
      <c r="E184" s="12"/>
      <c r="F184" s="11"/>
      <c r="G184" s="11">
        <f>(T184/$B184)+(T184/('Optimal Choice'!$B$4*AO184))</f>
        <v>100.454913</v>
      </c>
      <c r="H184" s="11">
        <f>(U184/$B184)+(U184/('Optimal Choice'!$B$9*AP184))</f>
        <v>106.0339471</v>
      </c>
      <c r="I184" s="11">
        <f>(V184/$B184)+(V184/('Optimal Choice'!$B$14*AQ184))</f>
        <v>110.2842426</v>
      </c>
      <c r="J184" s="11">
        <f>(W184/$B184)+(W184/('Optimal Choice'!$B$19*AR184))</f>
        <v>105.301421</v>
      </c>
      <c r="K184" s="11">
        <f>(X184/$B184)+(X184/('Optimal Choice'!$B$24*AS184))</f>
        <v>101.6990302</v>
      </c>
      <c r="N184" s="12">
        <f t="shared" ref="N184:R184" si="546">if(min($G183:$K183)=G183,N183+1,N183)</f>
        <v>112</v>
      </c>
      <c r="O184" s="12">
        <f t="shared" si="546"/>
        <v>36</v>
      </c>
      <c r="P184" s="12">
        <f t="shared" si="546"/>
        <v>19</v>
      </c>
      <c r="Q184" s="12">
        <f t="shared" si="546"/>
        <v>11</v>
      </c>
      <c r="R184" s="12">
        <f t="shared" si="546"/>
        <v>5</v>
      </c>
      <c r="T184" s="13">
        <f> 'Optimal Choice'!$B$5*'Optimal Choice'!$B$6^(N184+1)</f>
        <v>8364.247395</v>
      </c>
      <c r="U184" s="13">
        <f> 'Optimal Choice'!$B$10*'Optimal Choice'!$B$11^(O184+1)</f>
        <v>10567.47778</v>
      </c>
      <c r="V184" s="13">
        <f> 'Optimal Choice'!$B$15*'Optimal Choice'!$B$16^(P184+1)</f>
        <v>9895.312708</v>
      </c>
      <c r="W184" s="13">
        <f> 'Optimal Choice'!$B$20*'Optimal Choice'!$B$21^(Q184+1)</f>
        <v>37450.27959</v>
      </c>
      <c r="X184" s="13">
        <f> 'Optimal Choice'!$B$25*'Optimal Choice'!$B$26^(R184+1)</f>
        <v>204645.936</v>
      </c>
      <c r="AA184" s="12">
        <f t="shared" ref="AA184:AE184" si="547">if(isna(VLOOKUP(N184,$D$2:$E$10,2,false)),AA183, VLOOKUP(N184,$D$2:$E$10,2,false))</f>
        <v>50</v>
      </c>
      <c r="AB184" s="12">
        <f t="shared" si="547"/>
        <v>5</v>
      </c>
      <c r="AC184" s="15">
        <f t="shared" si="547"/>
        <v>1</v>
      </c>
      <c r="AD184" s="15">
        <f t="shared" si="547"/>
        <v>1</v>
      </c>
      <c r="AE184" s="15">
        <f t="shared" si="547"/>
        <v>1</v>
      </c>
      <c r="AH184" s="15">
        <f>N184*'Optimal Choice'!$B$4*AA184</f>
        <v>9352</v>
      </c>
      <c r="AI184" s="15">
        <f>O184*'Optimal Choice'!$B$9*AB184</f>
        <v>3600</v>
      </c>
      <c r="AJ184" s="15">
        <f>P184*'Optimal Choice'!$B$14*AC184</f>
        <v>1710</v>
      </c>
      <c r="AK184" s="15">
        <f>Q184*'Optimal Choice'!$B$19*AD184</f>
        <v>3960</v>
      </c>
      <c r="AL184" s="15">
        <f>R184*'Optimal Choice'!$B$24*AE184</f>
        <v>10800</v>
      </c>
      <c r="AO184" s="12">
        <f t="shared" ref="AO184:AS184" si="548">if(isna(VLOOKUP(N184+1,$D$2:$E$10,2,false)),AO183, VLOOKUP(N184+1,$D$2:$E$10,2,false))</f>
        <v>50</v>
      </c>
      <c r="AP184" s="12">
        <f t="shared" si="548"/>
        <v>5</v>
      </c>
      <c r="AQ184" s="15">
        <f t="shared" si="548"/>
        <v>1</v>
      </c>
      <c r="AR184" s="15">
        <f t="shared" si="548"/>
        <v>1</v>
      </c>
      <c r="AS184" s="15">
        <f t="shared" si="548"/>
        <v>1</v>
      </c>
      <c r="AU184" s="11">
        <f t="shared" si="8"/>
        <v>0.004932098542</v>
      </c>
    </row>
    <row r="185" ht="15.75" customHeight="1">
      <c r="A185" s="16">
        <f t="shared" si="4"/>
        <v>2.116852227</v>
      </c>
      <c r="B185" s="7">
        <f>(sum(AH185:AL185))*'Optimal Choice'!$B$28</f>
        <v>29505.5</v>
      </c>
      <c r="C185" s="11"/>
      <c r="D185" s="12"/>
      <c r="E185" s="12"/>
      <c r="F185" s="11"/>
      <c r="G185" s="11">
        <f>(T185/$B185)+(T185/('Optimal Choice'!$B$4*AO185))</f>
        <v>107.485896</v>
      </c>
      <c r="H185" s="11">
        <f>(U185/$B185)+(U185/('Optimal Choice'!$B$9*AP185))</f>
        <v>106.0329306</v>
      </c>
      <c r="I185" s="11">
        <f>(V185/$B185)+(V185/('Optimal Choice'!$B$14*AQ185))</f>
        <v>110.2832908</v>
      </c>
      <c r="J185" s="11">
        <f>(W185/$B185)+(W185/('Optimal Choice'!$B$19*AR185))</f>
        <v>105.2978188</v>
      </c>
      <c r="K185" s="11">
        <f>(X185/$B185)+(X185/('Optimal Choice'!$B$24*AS185))</f>
        <v>101.6793461</v>
      </c>
      <c r="N185" s="12">
        <f t="shared" ref="N185:R185" si="549">if(min($G184:$K184)=G184,N184+1,N184)</f>
        <v>113</v>
      </c>
      <c r="O185" s="12">
        <f t="shared" si="549"/>
        <v>36</v>
      </c>
      <c r="P185" s="12">
        <f t="shared" si="549"/>
        <v>19</v>
      </c>
      <c r="Q185" s="12">
        <f t="shared" si="549"/>
        <v>11</v>
      </c>
      <c r="R185" s="12">
        <f t="shared" si="549"/>
        <v>5</v>
      </c>
      <c r="T185" s="13">
        <f> 'Optimal Choice'!$B$5*'Optimal Choice'!$B$6^(N185+1)</f>
        <v>8949.744713</v>
      </c>
      <c r="U185" s="13">
        <f> 'Optimal Choice'!$B$10*'Optimal Choice'!$B$11^(O185+1)</f>
        <v>10567.47778</v>
      </c>
      <c r="V185" s="13">
        <f> 'Optimal Choice'!$B$15*'Optimal Choice'!$B$16^(P185+1)</f>
        <v>9895.312708</v>
      </c>
      <c r="W185" s="13">
        <f> 'Optimal Choice'!$B$20*'Optimal Choice'!$B$21^(Q185+1)</f>
        <v>37450.27959</v>
      </c>
      <c r="X185" s="13">
        <f> 'Optimal Choice'!$B$25*'Optimal Choice'!$B$26^(R185+1)</f>
        <v>204645.936</v>
      </c>
      <c r="AA185" s="12">
        <f t="shared" ref="AA185:AE185" si="550">if(isna(VLOOKUP(N185,$D$2:$E$10,2,false)),AA184, VLOOKUP(N185,$D$2:$E$10,2,false))</f>
        <v>50</v>
      </c>
      <c r="AB185" s="12">
        <f t="shared" si="550"/>
        <v>5</v>
      </c>
      <c r="AC185" s="15">
        <f t="shared" si="550"/>
        <v>1</v>
      </c>
      <c r="AD185" s="15">
        <f t="shared" si="550"/>
        <v>1</v>
      </c>
      <c r="AE185" s="15">
        <f t="shared" si="550"/>
        <v>1</v>
      </c>
      <c r="AH185" s="15">
        <f>N185*'Optimal Choice'!$B$4*AA185</f>
        <v>9435.5</v>
      </c>
      <c r="AI185" s="15">
        <f>O185*'Optimal Choice'!$B$9*AB185</f>
        <v>3600</v>
      </c>
      <c r="AJ185" s="15">
        <f>P185*'Optimal Choice'!$B$14*AC185</f>
        <v>1710</v>
      </c>
      <c r="AK185" s="15">
        <f>Q185*'Optimal Choice'!$B$19*AD185</f>
        <v>3960</v>
      </c>
      <c r="AL185" s="15">
        <f>R185*'Optimal Choice'!$B$24*AE185</f>
        <v>10800</v>
      </c>
      <c r="AO185" s="12">
        <f t="shared" ref="AO185:AS185" si="551">if(isna(VLOOKUP(N185+1,$D$2:$E$10,2,false)),AO184, VLOOKUP(N185+1,$D$2:$E$10,2,false))</f>
        <v>50</v>
      </c>
      <c r="AP185" s="12">
        <f t="shared" si="551"/>
        <v>5</v>
      </c>
      <c r="AQ185" s="15">
        <f t="shared" si="551"/>
        <v>1</v>
      </c>
      <c r="AR185" s="15">
        <f t="shared" si="551"/>
        <v>1</v>
      </c>
      <c r="AS185" s="15">
        <f t="shared" si="551"/>
        <v>1</v>
      </c>
      <c r="AU185" s="11">
        <f t="shared" si="8"/>
        <v>0.004738091335</v>
      </c>
    </row>
    <row r="186" ht="15.75" customHeight="1">
      <c r="A186" s="16">
        <f t="shared" si="4"/>
        <v>2.232449848</v>
      </c>
      <c r="B186" s="7">
        <f>(sum(AH186:AL186))*'Optimal Choice'!$B$28</f>
        <v>31665.5</v>
      </c>
      <c r="C186" s="11"/>
      <c r="D186" s="12"/>
      <c r="E186" s="12"/>
      <c r="F186" s="11"/>
      <c r="G186" s="11">
        <f>(T186/$B186)+(T186/('Optimal Choice'!$B$4*AO186))</f>
        <v>107.4652053</v>
      </c>
      <c r="H186" s="11">
        <f>(U186/$B186)+(U186/('Optimal Choice'!$B$9*AP186))</f>
        <v>106.0085</v>
      </c>
      <c r="I186" s="11">
        <f>(V186/$B186)+(V186/('Optimal Choice'!$B$14*AQ186))</f>
        <v>110.260414</v>
      </c>
      <c r="J186" s="11">
        <f>(W186/$B186)+(W186/('Optimal Choice'!$B$19*AR186))</f>
        <v>105.2112384</v>
      </c>
      <c r="K186" s="11">
        <f>(X186/$B186)+(X186/('Optimal Choice'!$B$24*AS186))</f>
        <v>113.3509779</v>
      </c>
      <c r="N186" s="12">
        <f t="shared" ref="N186:R186" si="552">if(min($G185:$K185)=G185,N185+1,N185)</f>
        <v>113</v>
      </c>
      <c r="O186" s="12">
        <f t="shared" si="552"/>
        <v>36</v>
      </c>
      <c r="P186" s="12">
        <f t="shared" si="552"/>
        <v>19</v>
      </c>
      <c r="Q186" s="12">
        <f t="shared" si="552"/>
        <v>11</v>
      </c>
      <c r="R186" s="12">
        <f t="shared" si="552"/>
        <v>6</v>
      </c>
      <c r="T186" s="13">
        <f> 'Optimal Choice'!$B$5*'Optimal Choice'!$B$6^(N186+1)</f>
        <v>8949.744713</v>
      </c>
      <c r="U186" s="13">
        <f> 'Optimal Choice'!$B$10*'Optimal Choice'!$B$11^(O186+1)</f>
        <v>10567.47778</v>
      </c>
      <c r="V186" s="13">
        <f> 'Optimal Choice'!$B$15*'Optimal Choice'!$B$16^(P186+1)</f>
        <v>9895.312708</v>
      </c>
      <c r="W186" s="13">
        <f> 'Optimal Choice'!$B$20*'Optimal Choice'!$B$21^(Q186+1)</f>
        <v>37450.27959</v>
      </c>
      <c r="X186" s="13">
        <f> 'Optimal Choice'!$B$25*'Optimal Choice'!$B$26^(R186+1)</f>
        <v>229203.4483</v>
      </c>
      <c r="AA186" s="12">
        <f t="shared" ref="AA186:AE186" si="553">if(isna(VLOOKUP(N186,$D$2:$E$10,2,false)),AA185, VLOOKUP(N186,$D$2:$E$10,2,false))</f>
        <v>50</v>
      </c>
      <c r="AB186" s="12">
        <f t="shared" si="553"/>
        <v>5</v>
      </c>
      <c r="AC186" s="15">
        <f t="shared" si="553"/>
        <v>1</v>
      </c>
      <c r="AD186" s="15">
        <f t="shared" si="553"/>
        <v>1</v>
      </c>
      <c r="AE186" s="15">
        <f t="shared" si="553"/>
        <v>1</v>
      </c>
      <c r="AH186" s="15">
        <f>N186*'Optimal Choice'!$B$4*AA186</f>
        <v>9435.5</v>
      </c>
      <c r="AI186" s="15">
        <f>O186*'Optimal Choice'!$B$9*AB186</f>
        <v>3600</v>
      </c>
      <c r="AJ186" s="15">
        <f>P186*'Optimal Choice'!$B$14*AC186</f>
        <v>1710</v>
      </c>
      <c r="AK186" s="15">
        <f>Q186*'Optimal Choice'!$B$19*AD186</f>
        <v>3960</v>
      </c>
      <c r="AL186" s="15">
        <f>R186*'Optimal Choice'!$B$24*AE186</f>
        <v>12960</v>
      </c>
      <c r="AO186" s="12">
        <f t="shared" ref="AO186:AS186" si="554">if(isna(VLOOKUP(N186+1,$D$2:$E$10,2,false)),AO185, VLOOKUP(N186+1,$D$2:$E$10,2,false))</f>
        <v>50</v>
      </c>
      <c r="AP186" s="12">
        <f t="shared" si="554"/>
        <v>5</v>
      </c>
      <c r="AQ186" s="15">
        <f t="shared" si="554"/>
        <v>1</v>
      </c>
      <c r="AR186" s="15">
        <f t="shared" si="554"/>
        <v>1</v>
      </c>
      <c r="AS186" s="15">
        <f t="shared" si="554"/>
        <v>1</v>
      </c>
      <c r="AU186" s="11">
        <f t="shared" si="8"/>
        <v>0.1155976208</v>
      </c>
    </row>
    <row r="187" ht="15.75" customHeight="1">
      <c r="A187" s="16">
        <f t="shared" si="4"/>
        <v>2.252161247</v>
      </c>
      <c r="B187" s="7">
        <f>(sum(AH187:AL187))*'Optimal Choice'!$B$28</f>
        <v>32025.5</v>
      </c>
      <c r="C187" s="11"/>
      <c r="D187" s="12"/>
      <c r="E187" s="12"/>
      <c r="F187" s="11"/>
      <c r="G187" s="11">
        <f>(T187/$B187)+(T187/('Optimal Choice'!$B$4*AO187))</f>
        <v>107.4620282</v>
      </c>
      <c r="H187" s="11">
        <f>(U187/$B187)+(U187/('Optimal Choice'!$B$9*AP187))</f>
        <v>106.0047486</v>
      </c>
      <c r="I187" s="11">
        <f>(V187/$B187)+(V187/('Optimal Choice'!$B$14*AQ187))</f>
        <v>110.2569013</v>
      </c>
      <c r="J187" s="11">
        <f>(W187/$B187)+(W187/('Optimal Choice'!$B$19*AR187))</f>
        <v>118.8736765</v>
      </c>
      <c r="K187" s="11">
        <f>(X187/$B187)+(X187/('Optimal Choice'!$B$24*AS187))</f>
        <v>113.2696122</v>
      </c>
      <c r="N187" s="12">
        <f t="shared" ref="N187:R187" si="555">if(min($G186:$K186)=G186,N186+1,N186)</f>
        <v>113</v>
      </c>
      <c r="O187" s="12">
        <f t="shared" si="555"/>
        <v>36</v>
      </c>
      <c r="P187" s="12">
        <f t="shared" si="555"/>
        <v>19</v>
      </c>
      <c r="Q187" s="12">
        <f t="shared" si="555"/>
        <v>12</v>
      </c>
      <c r="R187" s="12">
        <f t="shared" si="555"/>
        <v>6</v>
      </c>
      <c r="T187" s="13">
        <f> 'Optimal Choice'!$B$5*'Optimal Choice'!$B$6^(N187+1)</f>
        <v>8949.744713</v>
      </c>
      <c r="U187" s="13">
        <f> 'Optimal Choice'!$B$10*'Optimal Choice'!$B$11^(O187+1)</f>
        <v>10567.47778</v>
      </c>
      <c r="V187" s="13">
        <f> 'Optimal Choice'!$B$15*'Optimal Choice'!$B$16^(P187+1)</f>
        <v>9895.312708</v>
      </c>
      <c r="W187" s="13">
        <f> 'Optimal Choice'!$B$20*'Optimal Choice'!$B$21^(Q187+1)</f>
        <v>42318.81593</v>
      </c>
      <c r="X187" s="13">
        <f> 'Optimal Choice'!$B$25*'Optimal Choice'!$B$26^(R187+1)</f>
        <v>229203.4483</v>
      </c>
      <c r="AA187" s="12">
        <f t="shared" ref="AA187:AE187" si="556">if(isna(VLOOKUP(N187,$D$2:$E$10,2,false)),AA186, VLOOKUP(N187,$D$2:$E$10,2,false))</f>
        <v>50</v>
      </c>
      <c r="AB187" s="12">
        <f t="shared" si="556"/>
        <v>5</v>
      </c>
      <c r="AC187" s="15">
        <f t="shared" si="556"/>
        <v>1</v>
      </c>
      <c r="AD187" s="15">
        <f t="shared" si="556"/>
        <v>1</v>
      </c>
      <c r="AE187" s="15">
        <f t="shared" si="556"/>
        <v>1</v>
      </c>
      <c r="AH187" s="15">
        <f>N187*'Optimal Choice'!$B$4*AA187</f>
        <v>9435.5</v>
      </c>
      <c r="AI187" s="15">
        <f>O187*'Optimal Choice'!$B$9*AB187</f>
        <v>3600</v>
      </c>
      <c r="AJ187" s="15">
        <f>P187*'Optimal Choice'!$B$14*AC187</f>
        <v>1710</v>
      </c>
      <c r="AK187" s="15">
        <f>Q187*'Optimal Choice'!$B$19*AD187</f>
        <v>4320</v>
      </c>
      <c r="AL187" s="15">
        <f>R187*'Optimal Choice'!$B$24*AE187</f>
        <v>12960</v>
      </c>
      <c r="AO187" s="12">
        <f t="shared" ref="AO187:AS187" si="557">if(isna(VLOOKUP(N187+1,$D$2:$E$10,2,false)),AO186, VLOOKUP(N187+1,$D$2:$E$10,2,false))</f>
        <v>50</v>
      </c>
      <c r="AP187" s="12">
        <f t="shared" si="557"/>
        <v>5</v>
      </c>
      <c r="AQ187" s="15">
        <f t="shared" si="557"/>
        <v>1</v>
      </c>
      <c r="AR187" s="15">
        <f t="shared" si="557"/>
        <v>1</v>
      </c>
      <c r="AS187" s="15">
        <f t="shared" si="557"/>
        <v>1</v>
      </c>
      <c r="AU187" s="11">
        <f t="shared" si="8"/>
        <v>0.01971139968</v>
      </c>
    </row>
    <row r="188" ht="15.75" customHeight="1">
      <c r="A188" s="16">
        <f t="shared" si="4"/>
        <v>2.257660759</v>
      </c>
      <c r="B188" s="7">
        <f>(sum(AH188:AL188))*'Optimal Choice'!$B$28</f>
        <v>32125.5</v>
      </c>
      <c r="C188" s="11"/>
      <c r="D188" s="12"/>
      <c r="E188" s="12"/>
      <c r="F188" s="11"/>
      <c r="G188" s="11">
        <f>(T188/$B188)+(T188/('Optimal Choice'!$B$4*AO188))</f>
        <v>107.4611583</v>
      </c>
      <c r="H188" s="11">
        <f>(U188/$B188)+(U188/('Optimal Choice'!$B$9*AP188))</f>
        <v>121.9042797</v>
      </c>
      <c r="I188" s="11">
        <f>(V188/$B188)+(V188/('Optimal Choice'!$B$14*AQ188))</f>
        <v>110.2559395</v>
      </c>
      <c r="J188" s="11">
        <f>(W188/$B188)+(W188/('Optimal Choice'!$B$19*AR188))</f>
        <v>118.8695632</v>
      </c>
      <c r="K188" s="11">
        <f>(X188/$B188)+(X188/('Optimal Choice'!$B$24*AS188))</f>
        <v>113.2473342</v>
      </c>
      <c r="N188" s="12">
        <f t="shared" ref="N188:R188" si="558">if(min($G187:$K187)=G187,N187+1,N187)</f>
        <v>113</v>
      </c>
      <c r="O188" s="12">
        <f t="shared" si="558"/>
        <v>37</v>
      </c>
      <c r="P188" s="12">
        <f t="shared" si="558"/>
        <v>19</v>
      </c>
      <c r="Q188" s="12">
        <f t="shared" si="558"/>
        <v>12</v>
      </c>
      <c r="R188" s="12">
        <f t="shared" si="558"/>
        <v>6</v>
      </c>
      <c r="T188" s="13">
        <f> 'Optimal Choice'!$B$5*'Optimal Choice'!$B$6^(N188+1)</f>
        <v>8949.744713</v>
      </c>
      <c r="U188" s="13">
        <f> 'Optimal Choice'!$B$10*'Optimal Choice'!$B$11^(O188+1)</f>
        <v>12152.59945</v>
      </c>
      <c r="V188" s="13">
        <f> 'Optimal Choice'!$B$15*'Optimal Choice'!$B$16^(P188+1)</f>
        <v>9895.312708</v>
      </c>
      <c r="W188" s="13">
        <f> 'Optimal Choice'!$B$20*'Optimal Choice'!$B$21^(Q188+1)</f>
        <v>42318.81593</v>
      </c>
      <c r="X188" s="13">
        <f> 'Optimal Choice'!$B$25*'Optimal Choice'!$B$26^(R188+1)</f>
        <v>229203.4483</v>
      </c>
      <c r="AA188" s="12">
        <f t="shared" ref="AA188:AE188" si="559">if(isna(VLOOKUP(N188,$D$2:$E$10,2,false)),AA187, VLOOKUP(N188,$D$2:$E$10,2,false))</f>
        <v>50</v>
      </c>
      <c r="AB188" s="12">
        <f t="shared" si="559"/>
        <v>5</v>
      </c>
      <c r="AC188" s="15">
        <f t="shared" si="559"/>
        <v>1</v>
      </c>
      <c r="AD188" s="15">
        <f t="shared" si="559"/>
        <v>1</v>
      </c>
      <c r="AE188" s="15">
        <f t="shared" si="559"/>
        <v>1</v>
      </c>
      <c r="AH188" s="15">
        <f>N188*'Optimal Choice'!$B$4*AA188</f>
        <v>9435.5</v>
      </c>
      <c r="AI188" s="15">
        <f>O188*'Optimal Choice'!$B$9*AB188</f>
        <v>3700</v>
      </c>
      <c r="AJ188" s="15">
        <f>P188*'Optimal Choice'!$B$14*AC188</f>
        <v>1710</v>
      </c>
      <c r="AK188" s="15">
        <f>Q188*'Optimal Choice'!$B$19*AD188</f>
        <v>4320</v>
      </c>
      <c r="AL188" s="15">
        <f>R188*'Optimal Choice'!$B$24*AE188</f>
        <v>12960</v>
      </c>
      <c r="AO188" s="12">
        <f t="shared" ref="AO188:AS188" si="560">if(isna(VLOOKUP(N188+1,$D$2:$E$10,2,false)),AO187, VLOOKUP(N188+1,$D$2:$E$10,2,false))</f>
        <v>50</v>
      </c>
      <c r="AP188" s="12">
        <f t="shared" si="560"/>
        <v>5</v>
      </c>
      <c r="AQ188" s="15">
        <f t="shared" si="560"/>
        <v>1</v>
      </c>
      <c r="AR188" s="15">
        <f t="shared" si="560"/>
        <v>1</v>
      </c>
      <c r="AS188" s="15">
        <f t="shared" si="560"/>
        <v>1</v>
      </c>
      <c r="AU188" s="11">
        <f t="shared" si="8"/>
        <v>0.005499512255</v>
      </c>
    </row>
    <row r="189" ht="15.75" customHeight="1">
      <c r="A189" s="16">
        <f t="shared" si="4"/>
        <v>2.262303875</v>
      </c>
      <c r="B189" s="7">
        <f>(sum(AH189:AL189))*'Optimal Choice'!$B$28</f>
        <v>32209</v>
      </c>
      <c r="C189" s="11"/>
      <c r="D189" s="12"/>
      <c r="E189" s="12"/>
      <c r="F189" s="11"/>
      <c r="G189" s="11">
        <f>(T189/$B189)+(T189/('Optimal Choice'!$B$4*AO189))</f>
        <v>114.9826667</v>
      </c>
      <c r="H189" s="11">
        <f>(U189/$B189)+(U189/('Optimal Choice'!$B$9*AP189))</f>
        <v>121.903299</v>
      </c>
      <c r="I189" s="11">
        <f>(V189/$B189)+(V189/('Optimal Choice'!$B$14*AQ189))</f>
        <v>110.255141</v>
      </c>
      <c r="J189" s="11">
        <f>(W189/$B189)+(W189/('Optimal Choice'!$B$19*AR189))</f>
        <v>118.8661482</v>
      </c>
      <c r="K189" s="11">
        <f>(X189/$B189)+(X189/('Optimal Choice'!$B$24*AS189))</f>
        <v>113.2288381</v>
      </c>
      <c r="N189" s="12">
        <f t="shared" ref="N189:R189" si="561">if(min($G188:$K188)=G188,N188+1,N188)</f>
        <v>114</v>
      </c>
      <c r="O189" s="12">
        <f t="shared" si="561"/>
        <v>37</v>
      </c>
      <c r="P189" s="12">
        <f t="shared" si="561"/>
        <v>19</v>
      </c>
      <c r="Q189" s="12">
        <f t="shared" si="561"/>
        <v>12</v>
      </c>
      <c r="R189" s="12">
        <f t="shared" si="561"/>
        <v>6</v>
      </c>
      <c r="T189" s="13">
        <f> 'Optimal Choice'!$B$5*'Optimal Choice'!$B$6^(N189+1)</f>
        <v>9576.226843</v>
      </c>
      <c r="U189" s="13">
        <f> 'Optimal Choice'!$B$10*'Optimal Choice'!$B$11^(O189+1)</f>
        <v>12152.59945</v>
      </c>
      <c r="V189" s="13">
        <f> 'Optimal Choice'!$B$15*'Optimal Choice'!$B$16^(P189+1)</f>
        <v>9895.312708</v>
      </c>
      <c r="W189" s="13">
        <f> 'Optimal Choice'!$B$20*'Optimal Choice'!$B$21^(Q189+1)</f>
        <v>42318.81593</v>
      </c>
      <c r="X189" s="13">
        <f> 'Optimal Choice'!$B$25*'Optimal Choice'!$B$26^(R189+1)</f>
        <v>229203.4483</v>
      </c>
      <c r="AA189" s="12">
        <f t="shared" ref="AA189:AE189" si="562">if(isna(VLOOKUP(N189,$D$2:$E$10,2,false)),AA188, VLOOKUP(N189,$D$2:$E$10,2,false))</f>
        <v>50</v>
      </c>
      <c r="AB189" s="12">
        <f t="shared" si="562"/>
        <v>5</v>
      </c>
      <c r="AC189" s="15">
        <f t="shared" si="562"/>
        <v>1</v>
      </c>
      <c r="AD189" s="15">
        <f t="shared" si="562"/>
        <v>1</v>
      </c>
      <c r="AE189" s="15">
        <f t="shared" si="562"/>
        <v>1</v>
      </c>
      <c r="AH189" s="15">
        <f>N189*'Optimal Choice'!$B$4*AA189</f>
        <v>9519</v>
      </c>
      <c r="AI189" s="15">
        <f>O189*'Optimal Choice'!$B$9*AB189</f>
        <v>3700</v>
      </c>
      <c r="AJ189" s="15">
        <f>P189*'Optimal Choice'!$B$14*AC189</f>
        <v>1710</v>
      </c>
      <c r="AK189" s="15">
        <f>Q189*'Optimal Choice'!$B$19*AD189</f>
        <v>4320</v>
      </c>
      <c r="AL189" s="15">
        <f>R189*'Optimal Choice'!$B$24*AE189</f>
        <v>12960</v>
      </c>
      <c r="AO189" s="12">
        <f t="shared" ref="AO189:AS189" si="563">if(isna(VLOOKUP(N189+1,$D$2:$E$10,2,false)),AO188, VLOOKUP(N189+1,$D$2:$E$10,2,false))</f>
        <v>50</v>
      </c>
      <c r="AP189" s="12">
        <f t="shared" si="563"/>
        <v>5</v>
      </c>
      <c r="AQ189" s="15">
        <f t="shared" si="563"/>
        <v>1</v>
      </c>
      <c r="AR189" s="15">
        <f t="shared" si="563"/>
        <v>1</v>
      </c>
      <c r="AS189" s="15">
        <f t="shared" si="563"/>
        <v>1</v>
      </c>
      <c r="AU189" s="11">
        <f t="shared" si="8"/>
        <v>0.004643115652</v>
      </c>
    </row>
    <row r="190" ht="15.75" customHeight="1">
      <c r="A190" s="16">
        <f t="shared" si="4"/>
        <v>2.267424241</v>
      </c>
      <c r="B190" s="7">
        <f>(sum(AH190:AL190))*'Optimal Choice'!$B$28</f>
        <v>32299</v>
      </c>
      <c r="C190" s="11"/>
      <c r="D190" s="12"/>
      <c r="E190" s="12"/>
      <c r="F190" s="11"/>
      <c r="G190" s="11">
        <f>(T190/$B190)+(T190/('Optimal Choice'!$B$4*AO190))</f>
        <v>114.9818382</v>
      </c>
      <c r="H190" s="11">
        <f>(U190/$B190)+(U190/('Optimal Choice'!$B$9*AP190))</f>
        <v>121.9022476</v>
      </c>
      <c r="I190" s="11">
        <f>(V190/$B190)+(V190/('Optimal Choice'!$B$14*AQ190))</f>
        <v>125.6898848</v>
      </c>
      <c r="J190" s="11">
        <f>(W190/$B190)+(W190/('Optimal Choice'!$B$19*AR190))</f>
        <v>118.8624871</v>
      </c>
      <c r="K190" s="11">
        <f>(X190/$B190)+(X190/('Optimal Choice'!$B$24*AS190))</f>
        <v>113.2090092</v>
      </c>
      <c r="N190" s="12">
        <f t="shared" ref="N190:R190" si="564">if(min($G189:$K189)=G189,N189+1,N189)</f>
        <v>114</v>
      </c>
      <c r="O190" s="12">
        <f t="shared" si="564"/>
        <v>37</v>
      </c>
      <c r="P190" s="12">
        <f t="shared" si="564"/>
        <v>20</v>
      </c>
      <c r="Q190" s="12">
        <f t="shared" si="564"/>
        <v>12</v>
      </c>
      <c r="R190" s="12">
        <f t="shared" si="564"/>
        <v>6</v>
      </c>
      <c r="T190" s="13">
        <f> 'Optimal Choice'!$B$5*'Optimal Choice'!$B$6^(N190+1)</f>
        <v>9576.226843</v>
      </c>
      <c r="U190" s="13">
        <f> 'Optimal Choice'!$B$10*'Optimal Choice'!$B$11^(O190+1)</f>
        <v>12152.59945</v>
      </c>
      <c r="V190" s="13">
        <f> 'Optimal Choice'!$B$15*'Optimal Choice'!$B$16^(P190+1)</f>
        <v>11280.65649</v>
      </c>
      <c r="W190" s="13">
        <f> 'Optimal Choice'!$B$20*'Optimal Choice'!$B$21^(Q190+1)</f>
        <v>42318.81593</v>
      </c>
      <c r="X190" s="13">
        <f> 'Optimal Choice'!$B$25*'Optimal Choice'!$B$26^(R190+1)</f>
        <v>229203.4483</v>
      </c>
      <c r="AA190" s="12">
        <f t="shared" ref="AA190:AE190" si="565">if(isna(VLOOKUP(N190,$D$2:$E$10,2,false)),AA189, VLOOKUP(N190,$D$2:$E$10,2,false))</f>
        <v>50</v>
      </c>
      <c r="AB190" s="12">
        <f t="shared" si="565"/>
        <v>5</v>
      </c>
      <c r="AC190" s="15">
        <f t="shared" si="565"/>
        <v>1</v>
      </c>
      <c r="AD190" s="15">
        <f t="shared" si="565"/>
        <v>1</v>
      </c>
      <c r="AE190" s="15">
        <f t="shared" si="565"/>
        <v>1</v>
      </c>
      <c r="AH190" s="15">
        <f>N190*'Optimal Choice'!$B$4*AA190</f>
        <v>9519</v>
      </c>
      <c r="AI190" s="15">
        <f>O190*'Optimal Choice'!$B$9*AB190</f>
        <v>3700</v>
      </c>
      <c r="AJ190" s="15">
        <f>P190*'Optimal Choice'!$B$14*AC190</f>
        <v>1800</v>
      </c>
      <c r="AK190" s="15">
        <f>Q190*'Optimal Choice'!$B$19*AD190</f>
        <v>4320</v>
      </c>
      <c r="AL190" s="15">
        <f>R190*'Optimal Choice'!$B$24*AE190</f>
        <v>12960</v>
      </c>
      <c r="AO190" s="12">
        <f t="shared" ref="AO190:AS190" si="566">if(isna(VLOOKUP(N190+1,$D$2:$E$10,2,false)),AO189, VLOOKUP(N190+1,$D$2:$E$10,2,false))</f>
        <v>50</v>
      </c>
      <c r="AP190" s="12">
        <f t="shared" si="566"/>
        <v>5</v>
      </c>
      <c r="AQ190" s="15">
        <f t="shared" si="566"/>
        <v>1</v>
      </c>
      <c r="AR190" s="15">
        <f t="shared" si="566"/>
        <v>1</v>
      </c>
      <c r="AS190" s="15">
        <f t="shared" si="566"/>
        <v>1</v>
      </c>
      <c r="AU190" s="11">
        <f t="shared" si="8"/>
        <v>0.005120366309</v>
      </c>
    </row>
    <row r="191" ht="15.75" customHeight="1">
      <c r="A191" s="16">
        <f t="shared" si="4"/>
        <v>2.385695936</v>
      </c>
      <c r="B191" s="7">
        <f>(sum(AH191:AL191))*'Optimal Choice'!$B$28</f>
        <v>34459</v>
      </c>
      <c r="C191" s="11"/>
      <c r="D191" s="12"/>
      <c r="E191" s="12"/>
      <c r="F191" s="11"/>
      <c r="G191" s="11">
        <f>(T191/$B191)+(T191/('Optimal Choice'!$B$4*AO191))</f>
        <v>114.9632535</v>
      </c>
      <c r="H191" s="11">
        <f>(U191/$B191)+(U191/('Optimal Choice'!$B$9*AP191))</f>
        <v>121.8786629</v>
      </c>
      <c r="I191" s="11">
        <f>(V191/$B191)+(V191/('Optimal Choice'!$B$14*AQ191))</f>
        <v>125.6679922</v>
      </c>
      <c r="J191" s="11">
        <f>(W191/$B191)+(W191/('Optimal Choice'!$B$19*AR191))</f>
        <v>118.7803583</v>
      </c>
      <c r="K191" s="11">
        <f>(X191/$B191)+(X191/('Optimal Choice'!$B$24*AS191))</f>
        <v>126.2958933</v>
      </c>
      <c r="N191" s="12">
        <f t="shared" ref="N191:R191" si="567">if(min($G190:$K190)=G190,N190+1,N190)</f>
        <v>114</v>
      </c>
      <c r="O191" s="12">
        <f t="shared" si="567"/>
        <v>37</v>
      </c>
      <c r="P191" s="12">
        <f t="shared" si="567"/>
        <v>20</v>
      </c>
      <c r="Q191" s="12">
        <f t="shared" si="567"/>
        <v>12</v>
      </c>
      <c r="R191" s="12">
        <f t="shared" si="567"/>
        <v>7</v>
      </c>
      <c r="T191" s="13">
        <f> 'Optimal Choice'!$B$5*'Optimal Choice'!$B$6^(N191+1)</f>
        <v>9576.226843</v>
      </c>
      <c r="U191" s="13">
        <f> 'Optimal Choice'!$B$10*'Optimal Choice'!$B$11^(O191+1)</f>
        <v>12152.59945</v>
      </c>
      <c r="V191" s="13">
        <f> 'Optimal Choice'!$B$15*'Optimal Choice'!$B$16^(P191+1)</f>
        <v>11280.65649</v>
      </c>
      <c r="W191" s="13">
        <f> 'Optimal Choice'!$B$20*'Optimal Choice'!$B$21^(Q191+1)</f>
        <v>42318.81593</v>
      </c>
      <c r="X191" s="13">
        <f> 'Optimal Choice'!$B$25*'Optimal Choice'!$B$26^(R191+1)</f>
        <v>256707.8621</v>
      </c>
      <c r="AA191" s="12">
        <f t="shared" ref="AA191:AE191" si="568">if(isna(VLOOKUP(N191,$D$2:$E$10,2,false)),AA190, VLOOKUP(N191,$D$2:$E$10,2,false))</f>
        <v>50</v>
      </c>
      <c r="AB191" s="12">
        <f t="shared" si="568"/>
        <v>5</v>
      </c>
      <c r="AC191" s="15">
        <f t="shared" si="568"/>
        <v>1</v>
      </c>
      <c r="AD191" s="15">
        <f t="shared" si="568"/>
        <v>1</v>
      </c>
      <c r="AE191" s="15">
        <f t="shared" si="568"/>
        <v>1</v>
      </c>
      <c r="AH191" s="15">
        <f>N191*'Optimal Choice'!$B$4*AA191</f>
        <v>9519</v>
      </c>
      <c r="AI191" s="15">
        <f>O191*'Optimal Choice'!$B$9*AB191</f>
        <v>3700</v>
      </c>
      <c r="AJ191" s="15">
        <f>P191*'Optimal Choice'!$B$14*AC191</f>
        <v>1800</v>
      </c>
      <c r="AK191" s="15">
        <f>Q191*'Optimal Choice'!$B$19*AD191</f>
        <v>4320</v>
      </c>
      <c r="AL191" s="15">
        <f>R191*'Optimal Choice'!$B$24*AE191</f>
        <v>15120</v>
      </c>
      <c r="AO191" s="12">
        <f t="shared" ref="AO191:AS191" si="569">if(isna(VLOOKUP(N191+1,$D$2:$E$10,2,false)),AO190, VLOOKUP(N191+1,$D$2:$E$10,2,false))</f>
        <v>50</v>
      </c>
      <c r="AP191" s="12">
        <f t="shared" si="569"/>
        <v>5</v>
      </c>
      <c r="AQ191" s="15">
        <f t="shared" si="569"/>
        <v>1</v>
      </c>
      <c r="AR191" s="15">
        <f t="shared" si="569"/>
        <v>1</v>
      </c>
      <c r="AS191" s="15">
        <f t="shared" si="569"/>
        <v>1</v>
      </c>
      <c r="AU191" s="11">
        <f t="shared" si="8"/>
        <v>0.1182716949</v>
      </c>
    </row>
    <row r="192" ht="15.75" customHeight="1">
      <c r="A192" s="16">
        <f t="shared" si="4"/>
        <v>2.390327637</v>
      </c>
      <c r="B192" s="7">
        <f>(sum(AH192:AL192))*'Optimal Choice'!$B$28</f>
        <v>34542.5</v>
      </c>
      <c r="C192" s="11"/>
      <c r="D192" s="12"/>
      <c r="E192" s="12"/>
      <c r="F192" s="11"/>
      <c r="G192" s="11">
        <f>(T192/$B192)+(T192/('Optimal Choice'!$B$4*AO192))</f>
        <v>123.0099624</v>
      </c>
      <c r="H192" s="11">
        <f>(U192/$B192)+(U192/('Optimal Choice'!$B$9*AP192))</f>
        <v>121.8778104</v>
      </c>
      <c r="I192" s="11">
        <f>(V192/$B192)+(V192/('Optimal Choice'!$B$14*AQ192))</f>
        <v>125.6672009</v>
      </c>
      <c r="J192" s="11">
        <f>(W192/$B192)+(W192/('Optimal Choice'!$B$19*AR192))</f>
        <v>118.7773896</v>
      </c>
      <c r="K192" s="11">
        <f>(X192/$B192)+(X192/('Optimal Choice'!$B$24*AS192))</f>
        <v>126.2778851</v>
      </c>
      <c r="N192" s="12">
        <f t="shared" ref="N192:R192" si="570">if(min($G191:$K191)=G191,N191+1,N191)</f>
        <v>115</v>
      </c>
      <c r="O192" s="12">
        <f t="shared" si="570"/>
        <v>37</v>
      </c>
      <c r="P192" s="12">
        <f t="shared" si="570"/>
        <v>20</v>
      </c>
      <c r="Q192" s="12">
        <f t="shared" si="570"/>
        <v>12</v>
      </c>
      <c r="R192" s="12">
        <f t="shared" si="570"/>
        <v>7</v>
      </c>
      <c r="T192" s="13">
        <f> 'Optimal Choice'!$B$5*'Optimal Choice'!$B$6^(N192+1)</f>
        <v>10246.56272</v>
      </c>
      <c r="U192" s="13">
        <f> 'Optimal Choice'!$B$10*'Optimal Choice'!$B$11^(O192+1)</f>
        <v>12152.59945</v>
      </c>
      <c r="V192" s="13">
        <f> 'Optimal Choice'!$B$15*'Optimal Choice'!$B$16^(P192+1)</f>
        <v>11280.65649</v>
      </c>
      <c r="W192" s="13">
        <f> 'Optimal Choice'!$B$20*'Optimal Choice'!$B$21^(Q192+1)</f>
        <v>42318.81593</v>
      </c>
      <c r="X192" s="13">
        <f> 'Optimal Choice'!$B$25*'Optimal Choice'!$B$26^(R192+1)</f>
        <v>256707.8621</v>
      </c>
      <c r="AA192" s="12">
        <f t="shared" ref="AA192:AE192" si="571">if(isna(VLOOKUP(N192,$D$2:$E$10,2,false)),AA191, VLOOKUP(N192,$D$2:$E$10,2,false))</f>
        <v>50</v>
      </c>
      <c r="AB192" s="12">
        <f t="shared" si="571"/>
        <v>5</v>
      </c>
      <c r="AC192" s="15">
        <f t="shared" si="571"/>
        <v>1</v>
      </c>
      <c r="AD192" s="15">
        <f t="shared" si="571"/>
        <v>1</v>
      </c>
      <c r="AE192" s="15">
        <f t="shared" si="571"/>
        <v>1</v>
      </c>
      <c r="AH192" s="15">
        <f>N192*'Optimal Choice'!$B$4*AA192</f>
        <v>9602.5</v>
      </c>
      <c r="AI192" s="15">
        <f>O192*'Optimal Choice'!$B$9*AB192</f>
        <v>3700</v>
      </c>
      <c r="AJ192" s="15">
        <f>P192*'Optimal Choice'!$B$14*AC192</f>
        <v>1800</v>
      </c>
      <c r="AK192" s="15">
        <f>Q192*'Optimal Choice'!$B$19*AD192</f>
        <v>4320</v>
      </c>
      <c r="AL192" s="15">
        <f>R192*'Optimal Choice'!$B$24*AE192</f>
        <v>15120</v>
      </c>
      <c r="AO192" s="12">
        <f t="shared" ref="AO192:AS192" si="572">if(isna(VLOOKUP(N192+1,$D$2:$E$10,2,false)),AO191, VLOOKUP(N192+1,$D$2:$E$10,2,false))</f>
        <v>50</v>
      </c>
      <c r="AP192" s="12">
        <f t="shared" si="572"/>
        <v>5</v>
      </c>
      <c r="AQ192" s="15">
        <f t="shared" si="572"/>
        <v>1</v>
      </c>
      <c r="AR192" s="15">
        <f t="shared" si="572"/>
        <v>1</v>
      </c>
      <c r="AS192" s="15">
        <f t="shared" si="572"/>
        <v>1</v>
      </c>
      <c r="AU192" s="11">
        <f t="shared" si="8"/>
        <v>0.004631700882</v>
      </c>
    </row>
    <row r="193" ht="15.75" customHeight="1">
      <c r="A193" s="16">
        <f t="shared" si="4"/>
        <v>2.410746356</v>
      </c>
      <c r="B193" s="7">
        <f>(sum(AH193:AL193))*'Optimal Choice'!$B$28</f>
        <v>34902.5</v>
      </c>
      <c r="C193" s="11"/>
      <c r="D193" s="12"/>
      <c r="E193" s="12"/>
      <c r="F193" s="11"/>
      <c r="G193" s="11">
        <f>(T193/$B193)+(T193/('Optimal Choice'!$B$4*AO193))</f>
        <v>123.0069028</v>
      </c>
      <c r="H193" s="11">
        <f>(U193/$B193)+(U193/('Optimal Choice'!$B$9*AP193))</f>
        <v>121.8741816</v>
      </c>
      <c r="I193" s="11">
        <f>(V193/$B193)+(V193/('Optimal Choice'!$B$14*AQ193))</f>
        <v>125.6638325</v>
      </c>
      <c r="J193" s="11">
        <f>(W193/$B193)+(W193/('Optimal Choice'!$B$19*AR193))</f>
        <v>134.2041711</v>
      </c>
      <c r="K193" s="11">
        <f>(X193/$B193)+(X193/('Optimal Choice'!$B$24*AS193))</f>
        <v>126.2012317</v>
      </c>
      <c r="N193" s="12">
        <f t="shared" ref="N193:R193" si="573">if(min($G192:$K192)=G192,N192+1,N192)</f>
        <v>115</v>
      </c>
      <c r="O193" s="12">
        <f t="shared" si="573"/>
        <v>37</v>
      </c>
      <c r="P193" s="12">
        <f t="shared" si="573"/>
        <v>20</v>
      </c>
      <c r="Q193" s="12">
        <f t="shared" si="573"/>
        <v>13</v>
      </c>
      <c r="R193" s="12">
        <f t="shared" si="573"/>
        <v>7</v>
      </c>
      <c r="T193" s="13">
        <f> 'Optimal Choice'!$B$5*'Optimal Choice'!$B$6^(N193+1)</f>
        <v>10246.56272</v>
      </c>
      <c r="U193" s="13">
        <f> 'Optimal Choice'!$B$10*'Optimal Choice'!$B$11^(O193+1)</f>
        <v>12152.59945</v>
      </c>
      <c r="V193" s="13">
        <f> 'Optimal Choice'!$B$15*'Optimal Choice'!$B$16^(P193+1)</f>
        <v>11280.65649</v>
      </c>
      <c r="W193" s="13">
        <f> 'Optimal Choice'!$B$20*'Optimal Choice'!$B$21^(Q193+1)</f>
        <v>47820.262</v>
      </c>
      <c r="X193" s="13">
        <f> 'Optimal Choice'!$B$25*'Optimal Choice'!$B$26^(R193+1)</f>
        <v>256707.8621</v>
      </c>
      <c r="AA193" s="12">
        <f t="shared" ref="AA193:AE193" si="574">if(isna(VLOOKUP(N193,$D$2:$E$10,2,false)),AA192, VLOOKUP(N193,$D$2:$E$10,2,false))</f>
        <v>50</v>
      </c>
      <c r="AB193" s="12">
        <f t="shared" si="574"/>
        <v>5</v>
      </c>
      <c r="AC193" s="15">
        <f t="shared" si="574"/>
        <v>1</v>
      </c>
      <c r="AD193" s="15">
        <f t="shared" si="574"/>
        <v>1</v>
      </c>
      <c r="AE193" s="15">
        <f t="shared" si="574"/>
        <v>1</v>
      </c>
      <c r="AH193" s="15">
        <f>N193*'Optimal Choice'!$B$4*AA193</f>
        <v>9602.5</v>
      </c>
      <c r="AI193" s="15">
        <f>O193*'Optimal Choice'!$B$9*AB193</f>
        <v>3700</v>
      </c>
      <c r="AJ193" s="15">
        <f>P193*'Optimal Choice'!$B$14*AC193</f>
        <v>1800</v>
      </c>
      <c r="AK193" s="15">
        <f>Q193*'Optimal Choice'!$B$19*AD193</f>
        <v>4680</v>
      </c>
      <c r="AL193" s="15">
        <f>R193*'Optimal Choice'!$B$24*AE193</f>
        <v>15120</v>
      </c>
      <c r="AO193" s="12">
        <f t="shared" ref="AO193:AS193" si="575">if(isna(VLOOKUP(N193+1,$D$2:$E$10,2,false)),AO192, VLOOKUP(N193+1,$D$2:$E$10,2,false))</f>
        <v>50</v>
      </c>
      <c r="AP193" s="12">
        <f t="shared" si="575"/>
        <v>5</v>
      </c>
      <c r="AQ193" s="15">
        <f t="shared" si="575"/>
        <v>1</v>
      </c>
      <c r="AR193" s="15">
        <f t="shared" si="575"/>
        <v>1</v>
      </c>
      <c r="AS193" s="15">
        <f t="shared" si="575"/>
        <v>1</v>
      </c>
      <c r="AU193" s="11">
        <f t="shared" si="8"/>
        <v>0.02041871894</v>
      </c>
    </row>
    <row r="194" ht="15.75" customHeight="1">
      <c r="A194" s="16">
        <f t="shared" si="4"/>
        <v>2.416549474</v>
      </c>
      <c r="B194" s="7">
        <f>(sum(AH194:AL194))*'Optimal Choice'!$B$28</f>
        <v>35002.5</v>
      </c>
      <c r="C194" s="11"/>
      <c r="D194" s="12"/>
      <c r="E194" s="12"/>
      <c r="F194" s="11"/>
      <c r="G194" s="11">
        <f>(T194/$B194)+(T194/('Optimal Choice'!$B$4*AO194))</f>
        <v>123.006064</v>
      </c>
      <c r="H194" s="11">
        <f>(U194/$B194)+(U194/('Optimal Choice'!$B$9*AP194))</f>
        <v>140.1541649</v>
      </c>
      <c r="I194" s="11">
        <f>(V194/$B194)+(V194/('Optimal Choice'!$B$14*AQ194))</f>
        <v>125.6629091</v>
      </c>
      <c r="J194" s="11">
        <f>(W194/$B194)+(W194/('Optimal Choice'!$B$19*AR194))</f>
        <v>134.2002567</v>
      </c>
      <c r="K194" s="11">
        <f>(X194/$B194)+(X194/('Optimal Choice'!$B$24*AS194))</f>
        <v>126.180219</v>
      </c>
      <c r="N194" s="12">
        <f t="shared" ref="N194:R194" si="576">if(min($G193:$K193)=G193,N193+1,N193)</f>
        <v>115</v>
      </c>
      <c r="O194" s="12">
        <f t="shared" si="576"/>
        <v>38</v>
      </c>
      <c r="P194" s="12">
        <f t="shared" si="576"/>
        <v>20</v>
      </c>
      <c r="Q194" s="12">
        <f t="shared" si="576"/>
        <v>13</v>
      </c>
      <c r="R194" s="12">
        <f t="shared" si="576"/>
        <v>7</v>
      </c>
      <c r="T194" s="13">
        <f> 'Optimal Choice'!$B$5*'Optimal Choice'!$B$6^(N194+1)</f>
        <v>10246.56272</v>
      </c>
      <c r="U194" s="13">
        <f> 'Optimal Choice'!$B$10*'Optimal Choice'!$B$11^(O194+1)</f>
        <v>13975.48937</v>
      </c>
      <c r="V194" s="13">
        <f> 'Optimal Choice'!$B$15*'Optimal Choice'!$B$16^(P194+1)</f>
        <v>11280.65649</v>
      </c>
      <c r="W194" s="13">
        <f> 'Optimal Choice'!$B$20*'Optimal Choice'!$B$21^(Q194+1)</f>
        <v>47820.262</v>
      </c>
      <c r="X194" s="13">
        <f> 'Optimal Choice'!$B$25*'Optimal Choice'!$B$26^(R194+1)</f>
        <v>256707.8621</v>
      </c>
      <c r="AA194" s="12">
        <f t="shared" ref="AA194:AE194" si="577">if(isna(VLOOKUP(N194,$D$2:$E$10,2,false)),AA193, VLOOKUP(N194,$D$2:$E$10,2,false))</f>
        <v>50</v>
      </c>
      <c r="AB194" s="12">
        <f t="shared" si="577"/>
        <v>5</v>
      </c>
      <c r="AC194" s="15">
        <f t="shared" si="577"/>
        <v>1</v>
      </c>
      <c r="AD194" s="15">
        <f t="shared" si="577"/>
        <v>1</v>
      </c>
      <c r="AE194" s="15">
        <f t="shared" si="577"/>
        <v>1</v>
      </c>
      <c r="AH194" s="15">
        <f>N194*'Optimal Choice'!$B$4*AA194</f>
        <v>9602.5</v>
      </c>
      <c r="AI194" s="15">
        <f>O194*'Optimal Choice'!$B$9*AB194</f>
        <v>3800</v>
      </c>
      <c r="AJ194" s="15">
        <f>P194*'Optimal Choice'!$B$14*AC194</f>
        <v>1800</v>
      </c>
      <c r="AK194" s="15">
        <f>Q194*'Optimal Choice'!$B$19*AD194</f>
        <v>4680</v>
      </c>
      <c r="AL194" s="15">
        <f>R194*'Optimal Choice'!$B$24*AE194</f>
        <v>15120</v>
      </c>
      <c r="AO194" s="12">
        <f t="shared" ref="AO194:AS194" si="578">if(isna(VLOOKUP(N194+1,$D$2:$E$10,2,false)),AO193, VLOOKUP(N194+1,$D$2:$E$10,2,false))</f>
        <v>50</v>
      </c>
      <c r="AP194" s="12">
        <f t="shared" si="578"/>
        <v>5</v>
      </c>
      <c r="AQ194" s="15">
        <f t="shared" si="578"/>
        <v>1</v>
      </c>
      <c r="AR194" s="15">
        <f t="shared" si="578"/>
        <v>1</v>
      </c>
      <c r="AS194" s="15">
        <f t="shared" si="578"/>
        <v>1</v>
      </c>
      <c r="AU194" s="11">
        <f t="shared" si="8"/>
        <v>0.005803117948</v>
      </c>
    </row>
    <row r="195" ht="15.75" customHeight="1">
      <c r="A195" s="16">
        <f t="shared" si="4"/>
        <v>2.421428441</v>
      </c>
      <c r="B195" s="7">
        <f>(sum(AH195:AL195))*'Optimal Choice'!$B$28</f>
        <v>35086</v>
      </c>
      <c r="C195" s="11"/>
      <c r="D195" s="12"/>
      <c r="E195" s="12"/>
      <c r="F195" s="11"/>
      <c r="G195" s="11">
        <f>(T195/$B195)+(T195/('Optimal Choice'!$B$4*AO195))</f>
        <v>131.6157431</v>
      </c>
      <c r="H195" s="11">
        <f>(U195/$B195)+(U195/('Optimal Choice'!$B$9*AP195))</f>
        <v>140.1532147</v>
      </c>
      <c r="I195" s="11">
        <f>(V195/$B195)+(V195/('Optimal Choice'!$B$14*AQ195))</f>
        <v>125.6621421</v>
      </c>
      <c r="J195" s="11">
        <f>(W195/$B195)+(W195/('Optimal Choice'!$B$19*AR195))</f>
        <v>134.1970054</v>
      </c>
      <c r="K195" s="11">
        <f>(X195/$B195)+(X195/('Optimal Choice'!$B$24*AS195))</f>
        <v>126.162765</v>
      </c>
      <c r="N195" s="12">
        <f t="shared" ref="N195:R195" si="579">if(min($G194:$K194)=G194,N194+1,N194)</f>
        <v>116</v>
      </c>
      <c r="O195" s="12">
        <f t="shared" si="579"/>
        <v>38</v>
      </c>
      <c r="P195" s="12">
        <f t="shared" si="579"/>
        <v>20</v>
      </c>
      <c r="Q195" s="12">
        <f t="shared" si="579"/>
        <v>13</v>
      </c>
      <c r="R195" s="12">
        <f t="shared" si="579"/>
        <v>7</v>
      </c>
      <c r="T195" s="13">
        <f> 'Optimal Choice'!$B$5*'Optimal Choice'!$B$6^(N195+1)</f>
        <v>10963.82211</v>
      </c>
      <c r="U195" s="13">
        <f> 'Optimal Choice'!$B$10*'Optimal Choice'!$B$11^(O195+1)</f>
        <v>13975.48937</v>
      </c>
      <c r="V195" s="13">
        <f> 'Optimal Choice'!$B$15*'Optimal Choice'!$B$16^(P195+1)</f>
        <v>11280.65649</v>
      </c>
      <c r="W195" s="13">
        <f> 'Optimal Choice'!$B$20*'Optimal Choice'!$B$21^(Q195+1)</f>
        <v>47820.262</v>
      </c>
      <c r="X195" s="13">
        <f> 'Optimal Choice'!$B$25*'Optimal Choice'!$B$26^(R195+1)</f>
        <v>256707.8621</v>
      </c>
      <c r="AA195" s="12">
        <f t="shared" ref="AA195:AE195" si="580">if(isna(VLOOKUP(N195,$D$2:$E$10,2,false)),AA194, VLOOKUP(N195,$D$2:$E$10,2,false))</f>
        <v>50</v>
      </c>
      <c r="AB195" s="12">
        <f t="shared" si="580"/>
        <v>5</v>
      </c>
      <c r="AC195" s="15">
        <f t="shared" si="580"/>
        <v>1</v>
      </c>
      <c r="AD195" s="15">
        <f t="shared" si="580"/>
        <v>1</v>
      </c>
      <c r="AE195" s="15">
        <f t="shared" si="580"/>
        <v>1</v>
      </c>
      <c r="AH195" s="15">
        <f>N195*'Optimal Choice'!$B$4*AA195</f>
        <v>9686</v>
      </c>
      <c r="AI195" s="15">
        <f>O195*'Optimal Choice'!$B$9*AB195</f>
        <v>3800</v>
      </c>
      <c r="AJ195" s="15">
        <f>P195*'Optimal Choice'!$B$14*AC195</f>
        <v>1800</v>
      </c>
      <c r="AK195" s="15">
        <f>Q195*'Optimal Choice'!$B$19*AD195</f>
        <v>4680</v>
      </c>
      <c r="AL195" s="15">
        <f>R195*'Optimal Choice'!$B$24*AE195</f>
        <v>15120</v>
      </c>
      <c r="AO195" s="12">
        <f t="shared" ref="AO195:AS195" si="581">if(isna(VLOOKUP(N195+1,$D$2:$E$10,2,false)),AO194, VLOOKUP(N195+1,$D$2:$E$10,2,false))</f>
        <v>50</v>
      </c>
      <c r="AP195" s="12">
        <f t="shared" si="581"/>
        <v>5</v>
      </c>
      <c r="AQ195" s="15">
        <f t="shared" si="581"/>
        <v>1</v>
      </c>
      <c r="AR195" s="15">
        <f t="shared" si="581"/>
        <v>1</v>
      </c>
      <c r="AS195" s="15">
        <f t="shared" si="581"/>
        <v>1</v>
      </c>
      <c r="AU195" s="11">
        <f t="shared" si="8"/>
        <v>0.004878967084</v>
      </c>
    </row>
    <row r="196" ht="15.75" customHeight="1">
      <c r="A196" s="16">
        <f t="shared" si="4"/>
        <v>2.426787016</v>
      </c>
      <c r="B196" s="7">
        <f>(sum(AH196:AL196))*'Optimal Choice'!$B$28</f>
        <v>35176</v>
      </c>
      <c r="C196" s="11"/>
      <c r="D196" s="12"/>
      <c r="E196" s="12"/>
      <c r="F196" s="11"/>
      <c r="G196" s="11">
        <f>(T196/$B196)+(T196/('Optimal Choice'!$B$4*AO196))</f>
        <v>131.6149436</v>
      </c>
      <c r="H196" s="11">
        <f>(U196/$B196)+(U196/('Optimal Choice'!$B$9*AP196))</f>
        <v>140.1521955</v>
      </c>
      <c r="I196" s="11">
        <f>(V196/$B196)+(V196/('Optimal Choice'!$B$14*AQ196))</f>
        <v>143.2539042</v>
      </c>
      <c r="J196" s="11">
        <f>(W196/$B196)+(W196/('Optimal Choice'!$B$19*AR196))</f>
        <v>134.1935182</v>
      </c>
      <c r="K196" s="11">
        <f>(X196/$B196)+(X196/('Optimal Choice'!$B$24*AS196))</f>
        <v>126.1440452</v>
      </c>
      <c r="N196" s="12">
        <f t="shared" ref="N196:R196" si="582">if(min($G195:$K195)=G195,N195+1,N195)</f>
        <v>116</v>
      </c>
      <c r="O196" s="12">
        <f t="shared" si="582"/>
        <v>38</v>
      </c>
      <c r="P196" s="12">
        <f t="shared" si="582"/>
        <v>21</v>
      </c>
      <c r="Q196" s="12">
        <f t="shared" si="582"/>
        <v>13</v>
      </c>
      <c r="R196" s="12">
        <f t="shared" si="582"/>
        <v>7</v>
      </c>
      <c r="T196" s="13">
        <f> 'Optimal Choice'!$B$5*'Optimal Choice'!$B$6^(N196+1)</f>
        <v>10963.82211</v>
      </c>
      <c r="U196" s="13">
        <f> 'Optimal Choice'!$B$10*'Optimal Choice'!$B$11^(O196+1)</f>
        <v>13975.48937</v>
      </c>
      <c r="V196" s="13">
        <f> 'Optimal Choice'!$B$15*'Optimal Choice'!$B$16^(P196+1)</f>
        <v>12859.94839</v>
      </c>
      <c r="W196" s="13">
        <f> 'Optimal Choice'!$B$20*'Optimal Choice'!$B$21^(Q196+1)</f>
        <v>47820.262</v>
      </c>
      <c r="X196" s="13">
        <f> 'Optimal Choice'!$B$25*'Optimal Choice'!$B$26^(R196+1)</f>
        <v>256707.8621</v>
      </c>
      <c r="AA196" s="12">
        <f t="shared" ref="AA196:AE196" si="583">if(isna(VLOOKUP(N196,$D$2:$E$10,2,false)),AA195, VLOOKUP(N196,$D$2:$E$10,2,false))</f>
        <v>50</v>
      </c>
      <c r="AB196" s="12">
        <f t="shared" si="583"/>
        <v>5</v>
      </c>
      <c r="AC196" s="15">
        <f t="shared" si="583"/>
        <v>1</v>
      </c>
      <c r="AD196" s="15">
        <f t="shared" si="583"/>
        <v>1</v>
      </c>
      <c r="AE196" s="15">
        <f t="shared" si="583"/>
        <v>1</v>
      </c>
      <c r="AH196" s="15">
        <f>N196*'Optimal Choice'!$B$4*AA196</f>
        <v>9686</v>
      </c>
      <c r="AI196" s="15">
        <f>O196*'Optimal Choice'!$B$9*AB196</f>
        <v>3800</v>
      </c>
      <c r="AJ196" s="15">
        <f>P196*'Optimal Choice'!$B$14*AC196</f>
        <v>1890</v>
      </c>
      <c r="AK196" s="15">
        <f>Q196*'Optimal Choice'!$B$19*AD196</f>
        <v>4680</v>
      </c>
      <c r="AL196" s="15">
        <f>R196*'Optimal Choice'!$B$24*AE196</f>
        <v>15120</v>
      </c>
      <c r="AO196" s="12">
        <f t="shared" ref="AO196:AS196" si="584">if(isna(VLOOKUP(N196+1,$D$2:$E$10,2,false)),AO195, VLOOKUP(N196+1,$D$2:$E$10,2,false))</f>
        <v>50</v>
      </c>
      <c r="AP196" s="12">
        <f t="shared" si="584"/>
        <v>5</v>
      </c>
      <c r="AQ196" s="15">
        <f t="shared" si="584"/>
        <v>1</v>
      </c>
      <c r="AR196" s="15">
        <f t="shared" si="584"/>
        <v>1</v>
      </c>
      <c r="AS196" s="15">
        <f t="shared" si="584"/>
        <v>1</v>
      </c>
      <c r="AU196" s="11">
        <f t="shared" si="8"/>
        <v>0.005358574401</v>
      </c>
    </row>
    <row r="197" ht="15.75" customHeight="1">
      <c r="A197" s="16">
        <f t="shared" si="4"/>
        <v>2.548417228</v>
      </c>
      <c r="B197" s="7">
        <f>(sum(AH197:AL197))*'Optimal Choice'!$B$28</f>
        <v>37336</v>
      </c>
      <c r="C197" s="11"/>
      <c r="D197" s="12"/>
      <c r="E197" s="12"/>
      <c r="F197" s="11"/>
      <c r="G197" s="11">
        <f>(T197/$B197)+(T197/('Optimal Choice'!$B$4*AO197))</f>
        <v>131.5969117</v>
      </c>
      <c r="H197" s="11">
        <f>(U197/$B197)+(U197/('Optimal Choice'!$B$9*AP197))</f>
        <v>140.1292104</v>
      </c>
      <c r="I197" s="11">
        <f>(V197/$B197)+(V197/('Optimal Choice'!$B$14*AQ197))</f>
        <v>143.2327538</v>
      </c>
      <c r="J197" s="11">
        <f>(W197/$B197)+(W197/('Optimal Choice'!$B$19*AR197))</f>
        <v>134.1148695</v>
      </c>
      <c r="K197" s="11">
        <f>(X197/$B197)+(X197/('Optimal Choice'!$B$24*AS197))</f>
        <v>140.8084662</v>
      </c>
      <c r="N197" s="12">
        <f t="shared" ref="N197:R197" si="585">if(min($G196:$K196)=G196,N196+1,N196)</f>
        <v>116</v>
      </c>
      <c r="O197" s="12">
        <f t="shared" si="585"/>
        <v>38</v>
      </c>
      <c r="P197" s="12">
        <f t="shared" si="585"/>
        <v>21</v>
      </c>
      <c r="Q197" s="12">
        <f t="shared" si="585"/>
        <v>13</v>
      </c>
      <c r="R197" s="12">
        <f t="shared" si="585"/>
        <v>8</v>
      </c>
      <c r="T197" s="13">
        <f> 'Optimal Choice'!$B$5*'Optimal Choice'!$B$6^(N197+1)</f>
        <v>10963.82211</v>
      </c>
      <c r="U197" s="13">
        <f> 'Optimal Choice'!$B$10*'Optimal Choice'!$B$11^(O197+1)</f>
        <v>13975.48937</v>
      </c>
      <c r="V197" s="13">
        <f> 'Optimal Choice'!$B$15*'Optimal Choice'!$B$16^(P197+1)</f>
        <v>12859.94839</v>
      </c>
      <c r="W197" s="13">
        <f> 'Optimal Choice'!$B$20*'Optimal Choice'!$B$21^(Q197+1)</f>
        <v>47820.262</v>
      </c>
      <c r="X197" s="13">
        <f> 'Optimal Choice'!$B$25*'Optimal Choice'!$B$26^(R197+1)</f>
        <v>287512.8056</v>
      </c>
      <c r="AA197" s="12">
        <f t="shared" ref="AA197:AE197" si="586">if(isna(VLOOKUP(N197,$D$2:$E$10,2,false)),AA196, VLOOKUP(N197,$D$2:$E$10,2,false))</f>
        <v>50</v>
      </c>
      <c r="AB197" s="12">
        <f t="shared" si="586"/>
        <v>5</v>
      </c>
      <c r="AC197" s="15">
        <f t="shared" si="586"/>
        <v>1</v>
      </c>
      <c r="AD197" s="15">
        <f t="shared" si="586"/>
        <v>1</v>
      </c>
      <c r="AE197" s="15">
        <f t="shared" si="586"/>
        <v>1</v>
      </c>
      <c r="AH197" s="15">
        <f>N197*'Optimal Choice'!$B$4*AA197</f>
        <v>9686</v>
      </c>
      <c r="AI197" s="15">
        <f>O197*'Optimal Choice'!$B$9*AB197</f>
        <v>3800</v>
      </c>
      <c r="AJ197" s="15">
        <f>P197*'Optimal Choice'!$B$14*AC197</f>
        <v>1890</v>
      </c>
      <c r="AK197" s="15">
        <f>Q197*'Optimal Choice'!$B$19*AD197</f>
        <v>4680</v>
      </c>
      <c r="AL197" s="15">
        <f>R197*'Optimal Choice'!$B$24*AE197</f>
        <v>17280</v>
      </c>
      <c r="AO197" s="12">
        <f t="shared" ref="AO197:AS197" si="587">if(isna(VLOOKUP(N197+1,$D$2:$E$10,2,false)),AO196, VLOOKUP(N197+1,$D$2:$E$10,2,false))</f>
        <v>50</v>
      </c>
      <c r="AP197" s="12">
        <f t="shared" si="587"/>
        <v>5</v>
      </c>
      <c r="AQ197" s="15">
        <f t="shared" si="587"/>
        <v>1</v>
      </c>
      <c r="AR197" s="15">
        <f t="shared" si="587"/>
        <v>1</v>
      </c>
      <c r="AS197" s="15">
        <f t="shared" si="587"/>
        <v>1</v>
      </c>
      <c r="AU197" s="11">
        <f t="shared" si="8"/>
        <v>0.1216302129</v>
      </c>
    </row>
    <row r="198" ht="15.75" customHeight="1">
      <c r="A198" s="16">
        <f t="shared" si="4"/>
        <v>2.553311442</v>
      </c>
      <c r="B198" s="7">
        <f>(sum(AH198:AL198))*'Optimal Choice'!$B$28</f>
        <v>37419.5</v>
      </c>
      <c r="C198" s="11"/>
      <c r="D198" s="12"/>
      <c r="E198" s="12"/>
      <c r="F198" s="11"/>
      <c r="G198" s="11">
        <f>(T198/$B198)+(T198/('Optimal Choice'!$B$4*AO198))</f>
        <v>140.8079943</v>
      </c>
      <c r="H198" s="11">
        <f>(U198/$B198)+(U198/('Optimal Choice'!$B$9*AP198))</f>
        <v>140.1283751</v>
      </c>
      <c r="I198" s="11">
        <f>(V198/$B198)+(V198/('Optimal Choice'!$B$14*AQ198))</f>
        <v>143.2319852</v>
      </c>
      <c r="J198" s="11">
        <f>(W198/$B198)+(W198/('Optimal Choice'!$B$19*AR198))</f>
        <v>134.1120114</v>
      </c>
      <c r="K198" s="11">
        <f>(X198/$B198)+(X198/('Optimal Choice'!$B$24*AS198))</f>
        <v>140.7912824</v>
      </c>
      <c r="N198" s="12">
        <f t="shared" ref="N198:R198" si="588">if(min($G197:$K197)=G197,N197+1,N197)</f>
        <v>117</v>
      </c>
      <c r="O198" s="12">
        <f t="shared" si="588"/>
        <v>38</v>
      </c>
      <c r="P198" s="12">
        <f t="shared" si="588"/>
        <v>21</v>
      </c>
      <c r="Q198" s="12">
        <f t="shared" si="588"/>
        <v>13</v>
      </c>
      <c r="R198" s="12">
        <f t="shared" si="588"/>
        <v>8</v>
      </c>
      <c r="T198" s="13">
        <f> 'Optimal Choice'!$B$5*'Optimal Choice'!$B$6^(N198+1)</f>
        <v>11731.28966</v>
      </c>
      <c r="U198" s="13">
        <f> 'Optimal Choice'!$B$10*'Optimal Choice'!$B$11^(O198+1)</f>
        <v>13975.48937</v>
      </c>
      <c r="V198" s="13">
        <f> 'Optimal Choice'!$B$15*'Optimal Choice'!$B$16^(P198+1)</f>
        <v>12859.94839</v>
      </c>
      <c r="W198" s="13">
        <f> 'Optimal Choice'!$B$20*'Optimal Choice'!$B$21^(Q198+1)</f>
        <v>47820.262</v>
      </c>
      <c r="X198" s="13">
        <f> 'Optimal Choice'!$B$25*'Optimal Choice'!$B$26^(R198+1)</f>
        <v>287512.8056</v>
      </c>
      <c r="AA198" s="12">
        <f t="shared" ref="AA198:AE198" si="589">if(isna(VLOOKUP(N198,$D$2:$E$10,2,false)),AA197, VLOOKUP(N198,$D$2:$E$10,2,false))</f>
        <v>50</v>
      </c>
      <c r="AB198" s="12">
        <f t="shared" si="589"/>
        <v>5</v>
      </c>
      <c r="AC198" s="15">
        <f t="shared" si="589"/>
        <v>1</v>
      </c>
      <c r="AD198" s="15">
        <f t="shared" si="589"/>
        <v>1</v>
      </c>
      <c r="AE198" s="15">
        <f t="shared" si="589"/>
        <v>1</v>
      </c>
      <c r="AH198" s="15">
        <f>N198*'Optimal Choice'!$B$4*AA198</f>
        <v>9769.5</v>
      </c>
      <c r="AI198" s="15">
        <f>O198*'Optimal Choice'!$B$9*AB198</f>
        <v>3800</v>
      </c>
      <c r="AJ198" s="15">
        <f>P198*'Optimal Choice'!$B$14*AC198</f>
        <v>1890</v>
      </c>
      <c r="AK198" s="15">
        <f>Q198*'Optimal Choice'!$B$19*AD198</f>
        <v>4680</v>
      </c>
      <c r="AL198" s="15">
        <f>R198*'Optimal Choice'!$B$24*AE198</f>
        <v>17280</v>
      </c>
      <c r="AO198" s="12">
        <f t="shared" ref="AO198:AS198" si="590">if(isna(VLOOKUP(N198+1,$D$2:$E$10,2,false)),AO197, VLOOKUP(N198+1,$D$2:$E$10,2,false))</f>
        <v>50</v>
      </c>
      <c r="AP198" s="12">
        <f t="shared" si="590"/>
        <v>5</v>
      </c>
      <c r="AQ198" s="15">
        <f t="shared" si="590"/>
        <v>1</v>
      </c>
      <c r="AR198" s="15">
        <f t="shared" si="590"/>
        <v>1</v>
      </c>
      <c r="AS198" s="15">
        <f t="shared" si="590"/>
        <v>1</v>
      </c>
      <c r="AU198" s="11">
        <f t="shared" si="8"/>
        <v>0.004894213856</v>
      </c>
    </row>
    <row r="199" ht="15.75" customHeight="1">
      <c r="A199" s="16">
        <f t="shared" si="4"/>
        <v>2.574610614</v>
      </c>
      <c r="B199" s="7">
        <f>(sum(AH199:AL199))*'Optimal Choice'!$B$28</f>
        <v>37779.5</v>
      </c>
      <c r="C199" s="11"/>
      <c r="D199" s="12"/>
      <c r="E199" s="12"/>
      <c r="F199" s="11"/>
      <c r="G199" s="11">
        <f>(T199/$B199)+(T199/('Optimal Choice'!$B$4*AO199))</f>
        <v>140.8050069</v>
      </c>
      <c r="H199" s="11">
        <f>(U199/$B199)+(U199/('Optimal Choice'!$B$9*AP199))</f>
        <v>140.1248162</v>
      </c>
      <c r="I199" s="11">
        <f>(V199/$B199)+(V199/('Optimal Choice'!$B$14*AQ199))</f>
        <v>143.2287104</v>
      </c>
      <c r="J199" s="11">
        <f>(W199/$B199)+(W199/('Optimal Choice'!$B$19*AR199))</f>
        <v>151.5328123</v>
      </c>
      <c r="K199" s="11">
        <f>(X199/$B199)+(X199/('Optimal Choice'!$B$24*AS199))</f>
        <v>140.7180665</v>
      </c>
      <c r="N199" s="12">
        <f t="shared" ref="N199:R199" si="591">if(min($G198:$K198)=G198,N198+1,N198)</f>
        <v>117</v>
      </c>
      <c r="O199" s="12">
        <f t="shared" si="591"/>
        <v>38</v>
      </c>
      <c r="P199" s="12">
        <f t="shared" si="591"/>
        <v>21</v>
      </c>
      <c r="Q199" s="12">
        <f t="shared" si="591"/>
        <v>14</v>
      </c>
      <c r="R199" s="12">
        <f t="shared" si="591"/>
        <v>8</v>
      </c>
      <c r="T199" s="13">
        <f> 'Optimal Choice'!$B$5*'Optimal Choice'!$B$6^(N199+1)</f>
        <v>11731.28966</v>
      </c>
      <c r="U199" s="13">
        <f> 'Optimal Choice'!$B$10*'Optimal Choice'!$B$11^(O199+1)</f>
        <v>13975.48937</v>
      </c>
      <c r="V199" s="13">
        <f> 'Optimal Choice'!$B$15*'Optimal Choice'!$B$16^(P199+1)</f>
        <v>12859.94839</v>
      </c>
      <c r="W199" s="13">
        <f> 'Optimal Choice'!$B$20*'Optimal Choice'!$B$21^(Q199+1)</f>
        <v>54036.89606</v>
      </c>
      <c r="X199" s="13">
        <f> 'Optimal Choice'!$B$25*'Optimal Choice'!$B$26^(R199+1)</f>
        <v>287512.8056</v>
      </c>
      <c r="AA199" s="12">
        <f t="shared" ref="AA199:AE199" si="592">if(isna(VLOOKUP(N199,$D$2:$E$10,2,false)),AA198, VLOOKUP(N199,$D$2:$E$10,2,false))</f>
        <v>50</v>
      </c>
      <c r="AB199" s="12">
        <f t="shared" si="592"/>
        <v>5</v>
      </c>
      <c r="AC199" s="15">
        <f t="shared" si="592"/>
        <v>1</v>
      </c>
      <c r="AD199" s="15">
        <f t="shared" si="592"/>
        <v>1</v>
      </c>
      <c r="AE199" s="15">
        <f t="shared" si="592"/>
        <v>1</v>
      </c>
      <c r="AH199" s="15">
        <f>N199*'Optimal Choice'!$B$4*AA199</f>
        <v>9769.5</v>
      </c>
      <c r="AI199" s="15">
        <f>O199*'Optimal Choice'!$B$9*AB199</f>
        <v>3800</v>
      </c>
      <c r="AJ199" s="15">
        <f>P199*'Optimal Choice'!$B$14*AC199</f>
        <v>1890</v>
      </c>
      <c r="AK199" s="15">
        <f>Q199*'Optimal Choice'!$B$19*AD199</f>
        <v>5040</v>
      </c>
      <c r="AL199" s="15">
        <f>R199*'Optimal Choice'!$B$24*AE199</f>
        <v>17280</v>
      </c>
      <c r="AO199" s="12">
        <f t="shared" ref="AO199:AS199" si="593">if(isna(VLOOKUP(N199+1,$D$2:$E$10,2,false)),AO198, VLOOKUP(N199+1,$D$2:$E$10,2,false))</f>
        <v>50</v>
      </c>
      <c r="AP199" s="12">
        <f t="shared" si="593"/>
        <v>5</v>
      </c>
      <c r="AQ199" s="15">
        <f t="shared" si="593"/>
        <v>1</v>
      </c>
      <c r="AR199" s="15">
        <f t="shared" si="593"/>
        <v>1</v>
      </c>
      <c r="AS199" s="15">
        <f t="shared" si="593"/>
        <v>1</v>
      </c>
      <c r="AU199" s="11">
        <f t="shared" si="8"/>
        <v>0.021299172</v>
      </c>
    </row>
    <row r="200" ht="15.75" customHeight="1">
      <c r="A200" s="16">
        <f t="shared" si="4"/>
        <v>2.58077599</v>
      </c>
      <c r="B200" s="7">
        <f>(sum(AH200:AL200))*'Optimal Choice'!$B$28</f>
        <v>37879.5</v>
      </c>
      <c r="C200" s="11"/>
      <c r="D200" s="12"/>
      <c r="E200" s="12"/>
      <c r="F200" s="11"/>
      <c r="G200" s="11">
        <f>(T200/$B200)+(T200/('Optimal Choice'!$B$4*AO200))</f>
        <v>140.8041872</v>
      </c>
      <c r="H200" s="11">
        <f>(U200/$B200)+(U200/('Optimal Choice'!$B$9*AP200))</f>
        <v>161.1424156</v>
      </c>
      <c r="I200" s="11">
        <f>(V200/$B200)+(V200/('Optimal Choice'!$B$14*AQ200))</f>
        <v>143.2278118</v>
      </c>
      <c r="J200" s="11">
        <f>(W200/$B200)+(W200/('Optimal Choice'!$B$19*AR200))</f>
        <v>151.5290363</v>
      </c>
      <c r="K200" s="11">
        <f>(X200/$B200)+(X200/('Optimal Choice'!$B$24*AS200))</f>
        <v>140.6979757</v>
      </c>
      <c r="N200" s="12">
        <f t="shared" ref="N200:R200" si="594">if(min($G199:$K199)=G199,N199+1,N199)</f>
        <v>117</v>
      </c>
      <c r="O200" s="12">
        <f t="shared" si="594"/>
        <v>39</v>
      </c>
      <c r="P200" s="12">
        <f t="shared" si="594"/>
        <v>21</v>
      </c>
      <c r="Q200" s="12">
        <f t="shared" si="594"/>
        <v>14</v>
      </c>
      <c r="R200" s="12">
        <f t="shared" si="594"/>
        <v>8</v>
      </c>
      <c r="T200" s="13">
        <f> 'Optimal Choice'!$B$5*'Optimal Choice'!$B$6^(N200+1)</f>
        <v>11731.28966</v>
      </c>
      <c r="U200" s="13">
        <f> 'Optimal Choice'!$B$10*'Optimal Choice'!$B$11^(O200+1)</f>
        <v>16071.81277</v>
      </c>
      <c r="V200" s="13">
        <f> 'Optimal Choice'!$B$15*'Optimal Choice'!$B$16^(P200+1)</f>
        <v>12859.94839</v>
      </c>
      <c r="W200" s="13">
        <f> 'Optimal Choice'!$B$20*'Optimal Choice'!$B$21^(Q200+1)</f>
        <v>54036.89606</v>
      </c>
      <c r="X200" s="13">
        <f> 'Optimal Choice'!$B$25*'Optimal Choice'!$B$26^(R200+1)</f>
        <v>287512.8056</v>
      </c>
      <c r="AA200" s="12">
        <f t="shared" ref="AA200:AE200" si="595">if(isna(VLOOKUP(N200,$D$2:$E$10,2,false)),AA199, VLOOKUP(N200,$D$2:$E$10,2,false))</f>
        <v>50</v>
      </c>
      <c r="AB200" s="12">
        <f t="shared" si="595"/>
        <v>5</v>
      </c>
      <c r="AC200" s="15">
        <f t="shared" si="595"/>
        <v>1</v>
      </c>
      <c r="AD200" s="15">
        <f t="shared" si="595"/>
        <v>1</v>
      </c>
      <c r="AE200" s="15">
        <f t="shared" si="595"/>
        <v>1</v>
      </c>
      <c r="AH200" s="15">
        <f>N200*'Optimal Choice'!$B$4*AA200</f>
        <v>9769.5</v>
      </c>
      <c r="AI200" s="15">
        <f>O200*'Optimal Choice'!$B$9*AB200</f>
        <v>3900</v>
      </c>
      <c r="AJ200" s="15">
        <f>P200*'Optimal Choice'!$B$14*AC200</f>
        <v>1890</v>
      </c>
      <c r="AK200" s="15">
        <f>Q200*'Optimal Choice'!$B$19*AD200</f>
        <v>5040</v>
      </c>
      <c r="AL200" s="15">
        <f>R200*'Optimal Choice'!$B$24*AE200</f>
        <v>17280</v>
      </c>
      <c r="AO200" s="12">
        <f t="shared" ref="AO200:AS200" si="596">if(isna(VLOOKUP(N200+1,$D$2:$E$10,2,false)),AO199, VLOOKUP(N200+1,$D$2:$E$10,2,false))</f>
        <v>50</v>
      </c>
      <c r="AP200" s="12">
        <f t="shared" si="596"/>
        <v>5</v>
      </c>
      <c r="AQ200" s="15">
        <f t="shared" si="596"/>
        <v>1</v>
      </c>
      <c r="AR200" s="15">
        <f t="shared" si="596"/>
        <v>1</v>
      </c>
      <c r="AS200" s="15">
        <f t="shared" si="596"/>
        <v>1</v>
      </c>
      <c r="AU200" s="11">
        <f t="shared" si="8"/>
        <v>0.006165376006</v>
      </c>
    </row>
    <row r="201" ht="15.75" customHeight="1">
      <c r="A201" s="16">
        <f t="shared" si="4"/>
        <v>2.707279247</v>
      </c>
      <c r="B201" s="7">
        <f>(sum(AH201:AL201))*'Optimal Choice'!$B$28</f>
        <v>40039.5</v>
      </c>
      <c r="C201" s="11"/>
      <c r="D201" s="12"/>
      <c r="E201" s="12"/>
      <c r="F201" s="11"/>
      <c r="G201" s="11">
        <f>(T201/$B201)+(T201/('Optimal Choice'!$B$4*AO201))</f>
        <v>140.7874799</v>
      </c>
      <c r="H201" s="11">
        <f>(U201/$B201)+(U201/('Optimal Choice'!$B$9*AP201))</f>
        <v>161.1195267</v>
      </c>
      <c r="I201" s="11">
        <f>(V201/$B201)+(V201/('Optimal Choice'!$B$14*AQ201))</f>
        <v>143.209497</v>
      </c>
      <c r="J201" s="11">
        <f>(W201/$B201)+(W201/('Optimal Choice'!$B$19*AR201))</f>
        <v>151.4520787</v>
      </c>
      <c r="K201" s="11">
        <f>(X201/$B201)+(X201/('Optimal Choice'!$B$24*AS201))</f>
        <v>157.1231307</v>
      </c>
      <c r="N201" s="12">
        <f t="shared" ref="N201:R201" si="597">if(min($G200:$K200)=G200,N200+1,N200)</f>
        <v>117</v>
      </c>
      <c r="O201" s="12">
        <f t="shared" si="597"/>
        <v>39</v>
      </c>
      <c r="P201" s="12">
        <f t="shared" si="597"/>
        <v>21</v>
      </c>
      <c r="Q201" s="12">
        <f t="shared" si="597"/>
        <v>14</v>
      </c>
      <c r="R201" s="12">
        <f t="shared" si="597"/>
        <v>9</v>
      </c>
      <c r="T201" s="13">
        <f> 'Optimal Choice'!$B$5*'Optimal Choice'!$B$6^(N201+1)</f>
        <v>11731.28966</v>
      </c>
      <c r="U201" s="13">
        <f> 'Optimal Choice'!$B$10*'Optimal Choice'!$B$11^(O201+1)</f>
        <v>16071.81277</v>
      </c>
      <c r="V201" s="13">
        <f> 'Optimal Choice'!$B$15*'Optimal Choice'!$B$16^(P201+1)</f>
        <v>12859.94839</v>
      </c>
      <c r="W201" s="13">
        <f> 'Optimal Choice'!$B$20*'Optimal Choice'!$B$21^(Q201+1)</f>
        <v>54036.89606</v>
      </c>
      <c r="X201" s="13">
        <f> 'Optimal Choice'!$B$25*'Optimal Choice'!$B$26^(R201+1)</f>
        <v>322014.3422</v>
      </c>
      <c r="AA201" s="12">
        <f t="shared" ref="AA201:AE201" si="598">if(isna(VLOOKUP(N201,$D$2:$E$10,2,false)),AA200, VLOOKUP(N201,$D$2:$E$10,2,false))</f>
        <v>50</v>
      </c>
      <c r="AB201" s="12">
        <f t="shared" si="598"/>
        <v>5</v>
      </c>
      <c r="AC201" s="15">
        <f t="shared" si="598"/>
        <v>1</v>
      </c>
      <c r="AD201" s="15">
        <f t="shared" si="598"/>
        <v>1</v>
      </c>
      <c r="AE201" s="15">
        <f t="shared" si="598"/>
        <v>1</v>
      </c>
      <c r="AH201" s="15">
        <f>N201*'Optimal Choice'!$B$4*AA201</f>
        <v>9769.5</v>
      </c>
      <c r="AI201" s="15">
        <f>O201*'Optimal Choice'!$B$9*AB201</f>
        <v>3900</v>
      </c>
      <c r="AJ201" s="15">
        <f>P201*'Optimal Choice'!$B$14*AC201</f>
        <v>1890</v>
      </c>
      <c r="AK201" s="15">
        <f>Q201*'Optimal Choice'!$B$19*AD201</f>
        <v>5040</v>
      </c>
      <c r="AL201" s="15">
        <f>R201*'Optimal Choice'!$B$24*AE201</f>
        <v>19440</v>
      </c>
      <c r="AO201" s="12">
        <f t="shared" ref="AO201:AS201" si="599">if(isna(VLOOKUP(N201+1,$D$2:$E$10,2,false)),AO200, VLOOKUP(N201+1,$D$2:$E$10,2,false))</f>
        <v>50</v>
      </c>
      <c r="AP201" s="12">
        <f t="shared" si="599"/>
        <v>5</v>
      </c>
      <c r="AQ201" s="15">
        <f t="shared" si="599"/>
        <v>1</v>
      </c>
      <c r="AR201" s="15">
        <f t="shared" si="599"/>
        <v>1</v>
      </c>
      <c r="AS201" s="15">
        <f t="shared" si="599"/>
        <v>1</v>
      </c>
      <c r="AU201" s="11">
        <f t="shared" si="8"/>
        <v>0.1265032562</v>
      </c>
    </row>
    <row r="202" ht="15.75" customHeight="1">
      <c r="A202" s="16">
        <f t="shared" si="4"/>
        <v>2.712162462</v>
      </c>
      <c r="B202" s="7">
        <f>(sum(AH202:AL202))*'Optimal Choice'!$B$28</f>
        <v>40123</v>
      </c>
      <c r="C202" s="11"/>
      <c r="D202" s="12"/>
      <c r="E202" s="12"/>
      <c r="F202" s="11"/>
      <c r="G202" s="11">
        <f>(T202/$B202)+(T202/('Optimal Choice'!$B$4*AO202))</f>
        <v>150.641951</v>
      </c>
      <c r="H202" s="11">
        <f>(U202/$B202)+(U202/('Optimal Choice'!$B$9*AP202))</f>
        <v>161.1186913</v>
      </c>
      <c r="I202" s="11">
        <f>(V202/$B202)+(V202/('Optimal Choice'!$B$14*AQ202))</f>
        <v>143.2088286</v>
      </c>
      <c r="J202" s="11">
        <f>(W202/$B202)+(W202/('Optimal Choice'!$B$19*AR202))</f>
        <v>151.4492701</v>
      </c>
      <c r="K202" s="11">
        <f>(X202/$B202)+(X202/('Optimal Choice'!$B$24*AS202))</f>
        <v>157.1063936</v>
      </c>
      <c r="N202" s="12">
        <f t="shared" ref="N202:R202" si="600">if(min($G201:$K201)=G201,N201+1,N201)</f>
        <v>118</v>
      </c>
      <c r="O202" s="12">
        <f t="shared" si="600"/>
        <v>39</v>
      </c>
      <c r="P202" s="12">
        <f t="shared" si="600"/>
        <v>21</v>
      </c>
      <c r="Q202" s="12">
        <f t="shared" si="600"/>
        <v>14</v>
      </c>
      <c r="R202" s="12">
        <f t="shared" si="600"/>
        <v>9</v>
      </c>
      <c r="T202" s="13">
        <f> 'Optimal Choice'!$B$5*'Optimal Choice'!$B$6^(N202+1)</f>
        <v>12552.47994</v>
      </c>
      <c r="U202" s="13">
        <f> 'Optimal Choice'!$B$10*'Optimal Choice'!$B$11^(O202+1)</f>
        <v>16071.81277</v>
      </c>
      <c r="V202" s="13">
        <f> 'Optimal Choice'!$B$15*'Optimal Choice'!$B$16^(P202+1)</f>
        <v>12859.94839</v>
      </c>
      <c r="W202" s="13">
        <f> 'Optimal Choice'!$B$20*'Optimal Choice'!$B$21^(Q202+1)</f>
        <v>54036.89606</v>
      </c>
      <c r="X202" s="13">
        <f> 'Optimal Choice'!$B$25*'Optimal Choice'!$B$26^(R202+1)</f>
        <v>322014.3422</v>
      </c>
      <c r="AA202" s="12">
        <f t="shared" ref="AA202:AE202" si="601">if(isna(VLOOKUP(N202,$D$2:$E$10,2,false)),AA201, VLOOKUP(N202,$D$2:$E$10,2,false))</f>
        <v>50</v>
      </c>
      <c r="AB202" s="12">
        <f t="shared" si="601"/>
        <v>5</v>
      </c>
      <c r="AC202" s="15">
        <f t="shared" si="601"/>
        <v>1</v>
      </c>
      <c r="AD202" s="15">
        <f t="shared" si="601"/>
        <v>1</v>
      </c>
      <c r="AE202" s="15">
        <f t="shared" si="601"/>
        <v>1</v>
      </c>
      <c r="AH202" s="15">
        <f>N202*'Optimal Choice'!$B$4*AA202</f>
        <v>9853</v>
      </c>
      <c r="AI202" s="15">
        <f>O202*'Optimal Choice'!$B$9*AB202</f>
        <v>3900</v>
      </c>
      <c r="AJ202" s="15">
        <f>P202*'Optimal Choice'!$B$14*AC202</f>
        <v>1890</v>
      </c>
      <c r="AK202" s="15">
        <f>Q202*'Optimal Choice'!$B$19*AD202</f>
        <v>5040</v>
      </c>
      <c r="AL202" s="15">
        <f>R202*'Optimal Choice'!$B$24*AE202</f>
        <v>19440</v>
      </c>
      <c r="AO202" s="12">
        <f t="shared" ref="AO202:AS202" si="602">if(isna(VLOOKUP(N202+1,$D$2:$E$10,2,false)),AO201, VLOOKUP(N202+1,$D$2:$E$10,2,false))</f>
        <v>50</v>
      </c>
      <c r="AP202" s="12">
        <f t="shared" si="602"/>
        <v>5</v>
      </c>
      <c r="AQ202" s="15">
        <f t="shared" si="602"/>
        <v>1</v>
      </c>
      <c r="AR202" s="15">
        <f t="shared" si="602"/>
        <v>1</v>
      </c>
      <c r="AS202" s="15">
        <f t="shared" si="602"/>
        <v>1</v>
      </c>
      <c r="AU202" s="11">
        <f t="shared" si="8"/>
        <v>0.004883215183</v>
      </c>
    </row>
    <row r="203" ht="15.75" customHeight="1">
      <c r="A203" s="16">
        <f t="shared" si="4"/>
        <v>2.717504347</v>
      </c>
      <c r="B203" s="7">
        <f>(sum(AH203:AL203))*'Optimal Choice'!$B$28</f>
        <v>40213</v>
      </c>
      <c r="C203" s="11"/>
      <c r="D203" s="12"/>
      <c r="E203" s="12"/>
      <c r="F203" s="11"/>
      <c r="G203" s="11">
        <f>(T203/$B203)+(T203/('Optimal Choice'!$B$4*AO203))</f>
        <v>150.6412508</v>
      </c>
      <c r="H203" s="11">
        <f>(U203/$B203)+(U203/('Optimal Choice'!$B$9*AP203))</f>
        <v>161.1177948</v>
      </c>
      <c r="I203" s="11">
        <f>(V203/$B203)+(V203/('Optimal Choice'!$B$14*AQ203))</f>
        <v>163.2572469</v>
      </c>
      <c r="J203" s="11">
        <f>(W203/$B203)+(W203/('Optimal Choice'!$B$19*AR203))</f>
        <v>151.4462559</v>
      </c>
      <c r="K203" s="11">
        <f>(X203/$B203)+(X203/('Optimal Choice'!$B$24*AS203))</f>
        <v>157.0884315</v>
      </c>
      <c r="N203" s="12">
        <f t="shared" ref="N203:R203" si="603">if(min($G202:$K202)=G202,N202+1,N202)</f>
        <v>118</v>
      </c>
      <c r="O203" s="12">
        <f t="shared" si="603"/>
        <v>39</v>
      </c>
      <c r="P203" s="12">
        <f t="shared" si="603"/>
        <v>22</v>
      </c>
      <c r="Q203" s="12">
        <f t="shared" si="603"/>
        <v>14</v>
      </c>
      <c r="R203" s="12">
        <f t="shared" si="603"/>
        <v>9</v>
      </c>
      <c r="T203" s="13">
        <f> 'Optimal Choice'!$B$5*'Optimal Choice'!$B$6^(N203+1)</f>
        <v>12552.47994</v>
      </c>
      <c r="U203" s="13">
        <f> 'Optimal Choice'!$B$10*'Optimal Choice'!$B$11^(O203+1)</f>
        <v>16071.81277</v>
      </c>
      <c r="V203" s="13">
        <f> 'Optimal Choice'!$B$15*'Optimal Choice'!$B$16^(P203+1)</f>
        <v>14660.34117</v>
      </c>
      <c r="W203" s="13">
        <f> 'Optimal Choice'!$B$20*'Optimal Choice'!$B$21^(Q203+1)</f>
        <v>54036.89606</v>
      </c>
      <c r="X203" s="13">
        <f> 'Optimal Choice'!$B$25*'Optimal Choice'!$B$26^(R203+1)</f>
        <v>322014.3422</v>
      </c>
      <c r="AA203" s="12">
        <f t="shared" ref="AA203:AE203" si="604">if(isna(VLOOKUP(N203,$D$2:$E$10,2,false)),AA202, VLOOKUP(N203,$D$2:$E$10,2,false))</f>
        <v>50</v>
      </c>
      <c r="AB203" s="12">
        <f t="shared" si="604"/>
        <v>5</v>
      </c>
      <c r="AC203" s="15">
        <f t="shared" si="604"/>
        <v>1</v>
      </c>
      <c r="AD203" s="15">
        <f t="shared" si="604"/>
        <v>1</v>
      </c>
      <c r="AE203" s="15">
        <f t="shared" si="604"/>
        <v>1</v>
      </c>
      <c r="AH203" s="15">
        <f>N203*'Optimal Choice'!$B$4*AA203</f>
        <v>9853</v>
      </c>
      <c r="AI203" s="15">
        <f>O203*'Optimal Choice'!$B$9*AB203</f>
        <v>3900</v>
      </c>
      <c r="AJ203" s="15">
        <f>P203*'Optimal Choice'!$B$14*AC203</f>
        <v>1980</v>
      </c>
      <c r="AK203" s="15">
        <f>Q203*'Optimal Choice'!$B$19*AD203</f>
        <v>5040</v>
      </c>
      <c r="AL203" s="15">
        <f>R203*'Optimal Choice'!$B$24*AE203</f>
        <v>19440</v>
      </c>
      <c r="AO203" s="12">
        <f t="shared" ref="AO203:AS203" si="605">if(isna(VLOOKUP(N203+1,$D$2:$E$10,2,false)),AO202, VLOOKUP(N203+1,$D$2:$E$10,2,false))</f>
        <v>50</v>
      </c>
      <c r="AP203" s="12">
        <f t="shared" si="605"/>
        <v>5</v>
      </c>
      <c r="AQ203" s="15">
        <f t="shared" si="605"/>
        <v>1</v>
      </c>
      <c r="AR203" s="15">
        <f t="shared" si="605"/>
        <v>1</v>
      </c>
      <c r="AS203" s="15">
        <f t="shared" si="605"/>
        <v>1</v>
      </c>
      <c r="AU203" s="11">
        <f t="shared" si="8"/>
        <v>0.005341885533</v>
      </c>
    </row>
    <row r="204" ht="15.75" customHeight="1">
      <c r="A204" s="16">
        <f t="shared" si="4"/>
        <v>2.722706844</v>
      </c>
      <c r="B204" s="7">
        <f>(sum(AH204:AL204))*'Optimal Choice'!$B$28</f>
        <v>40296.5</v>
      </c>
      <c r="C204" s="11"/>
      <c r="D204" s="12"/>
      <c r="E204" s="12"/>
      <c r="F204" s="11"/>
      <c r="G204" s="11">
        <f>(T204/$B204)+(T204/('Optimal Choice'!$B$4*AO204))</f>
        <v>161.1854463</v>
      </c>
      <c r="H204" s="11">
        <f>(U204/$B204)+(U204/('Optimal Choice'!$B$9*AP204))</f>
        <v>161.1169667</v>
      </c>
      <c r="I204" s="11">
        <f>(V204/$B204)+(V204/('Optimal Choice'!$B$14*AQ204))</f>
        <v>163.2564914</v>
      </c>
      <c r="J204" s="11">
        <f>(W204/$B204)+(W204/('Optimal Choice'!$B$19*AR204))</f>
        <v>151.4434714</v>
      </c>
      <c r="K204" s="11">
        <f>(X204/$B204)+(X204/('Optimal Choice'!$B$24*AS204))</f>
        <v>157.0718383</v>
      </c>
      <c r="N204" s="12">
        <f t="shared" ref="N204:R204" si="606">if(min($G203:$K203)=G203,N203+1,N203)</f>
        <v>119</v>
      </c>
      <c r="O204" s="12">
        <f t="shared" si="606"/>
        <v>39</v>
      </c>
      <c r="P204" s="12">
        <f t="shared" si="606"/>
        <v>22</v>
      </c>
      <c r="Q204" s="12">
        <f t="shared" si="606"/>
        <v>14</v>
      </c>
      <c r="R204" s="12">
        <f t="shared" si="606"/>
        <v>9</v>
      </c>
      <c r="T204" s="13">
        <f> 'Optimal Choice'!$B$5*'Optimal Choice'!$B$6^(N204+1)</f>
        <v>13431.15353</v>
      </c>
      <c r="U204" s="13">
        <f> 'Optimal Choice'!$B$10*'Optimal Choice'!$B$11^(O204+1)</f>
        <v>16071.81277</v>
      </c>
      <c r="V204" s="13">
        <f> 'Optimal Choice'!$B$15*'Optimal Choice'!$B$16^(P204+1)</f>
        <v>14660.34117</v>
      </c>
      <c r="W204" s="13">
        <f> 'Optimal Choice'!$B$20*'Optimal Choice'!$B$21^(Q204+1)</f>
        <v>54036.89606</v>
      </c>
      <c r="X204" s="13">
        <f> 'Optimal Choice'!$B$25*'Optimal Choice'!$B$26^(R204+1)</f>
        <v>322014.3422</v>
      </c>
      <c r="AA204" s="12">
        <f t="shared" ref="AA204:AE204" si="607">if(isna(VLOOKUP(N204,$D$2:$E$10,2,false)),AA203, VLOOKUP(N204,$D$2:$E$10,2,false))</f>
        <v>50</v>
      </c>
      <c r="AB204" s="12">
        <f t="shared" si="607"/>
        <v>5</v>
      </c>
      <c r="AC204" s="15">
        <f t="shared" si="607"/>
        <v>1</v>
      </c>
      <c r="AD204" s="15">
        <f t="shared" si="607"/>
        <v>1</v>
      </c>
      <c r="AE204" s="15">
        <f t="shared" si="607"/>
        <v>1</v>
      </c>
      <c r="AH204" s="15">
        <f>N204*'Optimal Choice'!$B$4*AA204</f>
        <v>9936.5</v>
      </c>
      <c r="AI204" s="15">
        <f>O204*'Optimal Choice'!$B$9*AB204</f>
        <v>3900</v>
      </c>
      <c r="AJ204" s="15">
        <f>P204*'Optimal Choice'!$B$14*AC204</f>
        <v>1980</v>
      </c>
      <c r="AK204" s="15">
        <f>Q204*'Optimal Choice'!$B$19*AD204</f>
        <v>5040</v>
      </c>
      <c r="AL204" s="15">
        <f>R204*'Optimal Choice'!$B$24*AE204</f>
        <v>19440</v>
      </c>
      <c r="AO204" s="12">
        <f t="shared" ref="AO204:AS204" si="608">if(isna(VLOOKUP(N204+1,$D$2:$E$10,2,false)),AO203, VLOOKUP(N204+1,$D$2:$E$10,2,false))</f>
        <v>50</v>
      </c>
      <c r="AP204" s="12">
        <f t="shared" si="608"/>
        <v>5</v>
      </c>
      <c r="AQ204" s="15">
        <f t="shared" si="608"/>
        <v>1</v>
      </c>
      <c r="AR204" s="15">
        <f t="shared" si="608"/>
        <v>1</v>
      </c>
      <c r="AS204" s="15">
        <f t="shared" si="608"/>
        <v>1</v>
      </c>
      <c r="AU204" s="11">
        <f t="shared" si="8"/>
        <v>0.005202496679</v>
      </c>
    </row>
    <row r="205" ht="15.75" customHeight="1">
      <c r="A205" s="16">
        <f t="shared" si="4"/>
        <v>2.74505655</v>
      </c>
      <c r="B205" s="7">
        <f>(sum(AH205:AL205))*'Optimal Choice'!$B$28</f>
        <v>40656.5</v>
      </c>
      <c r="C205" s="11"/>
      <c r="D205" s="12"/>
      <c r="E205" s="12"/>
      <c r="F205" s="11"/>
      <c r="G205" s="11">
        <f>(T205/$B205)+(T205/('Optimal Choice'!$B$4*AO205))</f>
        <v>161.182495</v>
      </c>
      <c r="H205" s="11">
        <f>(U205/$B205)+(U205/('Optimal Choice'!$B$9*AP205))</f>
        <v>161.1134351</v>
      </c>
      <c r="I205" s="11">
        <f>(V205/$B205)+(V205/('Optimal Choice'!$B$14*AQ205))</f>
        <v>163.25327</v>
      </c>
      <c r="J205" s="11">
        <f>(W205/$B205)+(W205/('Optimal Choice'!$B$19*AR205))</f>
        <v>171.1177051</v>
      </c>
      <c r="K205" s="11">
        <f>(X205/$B205)+(X205/('Optimal Choice'!$B$24*AS205))</f>
        <v>157.0010796</v>
      </c>
      <c r="N205" s="12">
        <f t="shared" ref="N205:R205" si="609">if(min($G204:$K204)=G204,N204+1,N204)</f>
        <v>119</v>
      </c>
      <c r="O205" s="12">
        <f t="shared" si="609"/>
        <v>39</v>
      </c>
      <c r="P205" s="12">
        <f t="shared" si="609"/>
        <v>22</v>
      </c>
      <c r="Q205" s="12">
        <f t="shared" si="609"/>
        <v>15</v>
      </c>
      <c r="R205" s="12">
        <f t="shared" si="609"/>
        <v>9</v>
      </c>
      <c r="T205" s="13">
        <f> 'Optimal Choice'!$B$5*'Optimal Choice'!$B$6^(N205+1)</f>
        <v>13431.15353</v>
      </c>
      <c r="U205" s="13">
        <f> 'Optimal Choice'!$B$10*'Optimal Choice'!$B$11^(O205+1)</f>
        <v>16071.81277</v>
      </c>
      <c r="V205" s="13">
        <f> 'Optimal Choice'!$B$15*'Optimal Choice'!$B$16^(P205+1)</f>
        <v>14660.34117</v>
      </c>
      <c r="W205" s="13">
        <f> 'Optimal Choice'!$B$20*'Optimal Choice'!$B$21^(Q205+1)</f>
        <v>61061.69255</v>
      </c>
      <c r="X205" s="13">
        <f> 'Optimal Choice'!$B$25*'Optimal Choice'!$B$26^(R205+1)</f>
        <v>322014.3422</v>
      </c>
      <c r="AA205" s="12">
        <f t="shared" ref="AA205:AE205" si="610">if(isna(VLOOKUP(N205,$D$2:$E$10,2,false)),AA204, VLOOKUP(N205,$D$2:$E$10,2,false))</f>
        <v>50</v>
      </c>
      <c r="AB205" s="12">
        <f t="shared" si="610"/>
        <v>5</v>
      </c>
      <c r="AC205" s="15">
        <f t="shared" si="610"/>
        <v>1</v>
      </c>
      <c r="AD205" s="15">
        <f t="shared" si="610"/>
        <v>1</v>
      </c>
      <c r="AE205" s="15">
        <f t="shared" si="610"/>
        <v>1</v>
      </c>
      <c r="AH205" s="15">
        <f>N205*'Optimal Choice'!$B$4*AA205</f>
        <v>9936.5</v>
      </c>
      <c r="AI205" s="15">
        <f>O205*'Optimal Choice'!$B$9*AB205</f>
        <v>3900</v>
      </c>
      <c r="AJ205" s="15">
        <f>P205*'Optimal Choice'!$B$14*AC205</f>
        <v>1980</v>
      </c>
      <c r="AK205" s="15">
        <f>Q205*'Optimal Choice'!$B$19*AD205</f>
        <v>5400</v>
      </c>
      <c r="AL205" s="15">
        <f>R205*'Optimal Choice'!$B$24*AE205</f>
        <v>19440</v>
      </c>
      <c r="AO205" s="12">
        <f t="shared" ref="AO205:AS205" si="611">if(isna(VLOOKUP(N205+1,$D$2:$E$10,2,false)),AO204, VLOOKUP(N205+1,$D$2:$E$10,2,false))</f>
        <v>50</v>
      </c>
      <c r="AP205" s="12">
        <f t="shared" si="611"/>
        <v>5</v>
      </c>
      <c r="AQ205" s="15">
        <f t="shared" si="611"/>
        <v>1</v>
      </c>
      <c r="AR205" s="15">
        <f t="shared" si="611"/>
        <v>1</v>
      </c>
      <c r="AS205" s="15">
        <f t="shared" si="611"/>
        <v>1</v>
      </c>
      <c r="AU205" s="11">
        <f t="shared" si="8"/>
        <v>0.02234970616</v>
      </c>
    </row>
    <row r="206" ht="15.75" customHeight="1">
      <c r="A206" s="16">
        <f t="shared" si="4"/>
        <v>2.877062643</v>
      </c>
      <c r="B206" s="7">
        <f>(sum(AH206:AL206))*'Optimal Choice'!$B$28</f>
        <v>42816.5</v>
      </c>
      <c r="C206" s="11"/>
      <c r="D206" s="12"/>
      <c r="E206" s="12"/>
      <c r="F206" s="11"/>
      <c r="G206" s="11">
        <f>(T206/$B206)+(T206/('Optimal Choice'!$B$4*AO206))</f>
        <v>161.1658292</v>
      </c>
      <c r="H206" s="11">
        <f>(U206/$B206)+(U206/('Optimal Choice'!$B$9*AP206))</f>
        <v>161.0934927</v>
      </c>
      <c r="I206" s="11">
        <f>(V206/$B206)+(V206/('Optimal Choice'!$B$14*AQ206))</f>
        <v>163.235079</v>
      </c>
      <c r="J206" s="11">
        <f>(W206/$B206)+(W206/('Optimal Choice'!$B$19*AR206))</f>
        <v>171.0419379</v>
      </c>
      <c r="K206" s="11">
        <f>(X206/$B206)+(X206/('Optimal Choice'!$B$24*AS206))</f>
        <v>175.3936959</v>
      </c>
      <c r="N206" s="12">
        <f t="shared" ref="N206:R206" si="612">if(min($G205:$K205)=G205,N205+1,N205)</f>
        <v>119</v>
      </c>
      <c r="O206" s="12">
        <f t="shared" si="612"/>
        <v>39</v>
      </c>
      <c r="P206" s="12">
        <f t="shared" si="612"/>
        <v>22</v>
      </c>
      <c r="Q206" s="12">
        <f t="shared" si="612"/>
        <v>15</v>
      </c>
      <c r="R206" s="12">
        <f t="shared" si="612"/>
        <v>10</v>
      </c>
      <c r="T206" s="13">
        <f> 'Optimal Choice'!$B$5*'Optimal Choice'!$B$6^(N206+1)</f>
        <v>13431.15353</v>
      </c>
      <c r="U206" s="13">
        <f> 'Optimal Choice'!$B$10*'Optimal Choice'!$B$11^(O206+1)</f>
        <v>16071.81277</v>
      </c>
      <c r="V206" s="13">
        <f> 'Optimal Choice'!$B$15*'Optimal Choice'!$B$16^(P206+1)</f>
        <v>14660.34117</v>
      </c>
      <c r="W206" s="13">
        <f> 'Optimal Choice'!$B$20*'Optimal Choice'!$B$21^(Q206+1)</f>
        <v>61061.69255</v>
      </c>
      <c r="X206" s="13">
        <f> 'Optimal Choice'!$B$25*'Optimal Choice'!$B$26^(R206+1)</f>
        <v>360656.0633</v>
      </c>
      <c r="AA206" s="12">
        <f t="shared" ref="AA206:AE206" si="613">if(isna(VLOOKUP(N206,$D$2:$E$10,2,false)),AA205, VLOOKUP(N206,$D$2:$E$10,2,false))</f>
        <v>50</v>
      </c>
      <c r="AB206" s="12">
        <f t="shared" si="613"/>
        <v>5</v>
      </c>
      <c r="AC206" s="15">
        <f t="shared" si="613"/>
        <v>1</v>
      </c>
      <c r="AD206" s="15">
        <f t="shared" si="613"/>
        <v>1</v>
      </c>
      <c r="AE206" s="15">
        <f t="shared" si="613"/>
        <v>1</v>
      </c>
      <c r="AH206" s="15">
        <f>N206*'Optimal Choice'!$B$4*AA206</f>
        <v>9936.5</v>
      </c>
      <c r="AI206" s="15">
        <f>O206*'Optimal Choice'!$B$9*AB206</f>
        <v>3900</v>
      </c>
      <c r="AJ206" s="15">
        <f>P206*'Optimal Choice'!$B$14*AC206</f>
        <v>1980</v>
      </c>
      <c r="AK206" s="15">
        <f>Q206*'Optimal Choice'!$B$19*AD206</f>
        <v>5400</v>
      </c>
      <c r="AL206" s="15">
        <f>R206*'Optimal Choice'!$B$24*AE206</f>
        <v>21600</v>
      </c>
      <c r="AO206" s="12">
        <f t="shared" ref="AO206:AS206" si="614">if(isna(VLOOKUP(N206+1,$D$2:$E$10,2,false)),AO205, VLOOKUP(N206+1,$D$2:$E$10,2,false))</f>
        <v>50</v>
      </c>
      <c r="AP206" s="12">
        <f t="shared" si="614"/>
        <v>5</v>
      </c>
      <c r="AQ206" s="15">
        <f t="shared" si="614"/>
        <v>1</v>
      </c>
      <c r="AR206" s="15">
        <f t="shared" si="614"/>
        <v>1</v>
      </c>
      <c r="AS206" s="15">
        <f t="shared" si="614"/>
        <v>1</v>
      </c>
      <c r="AU206" s="11">
        <f t="shared" si="8"/>
        <v>0.1320060926</v>
      </c>
    </row>
    <row r="207" ht="15.75" customHeight="1">
      <c r="A207" s="16">
        <f t="shared" si="4"/>
        <v>2.883318725</v>
      </c>
      <c r="B207" s="7">
        <f>(sum(AH207:AL207))*'Optimal Choice'!$B$28</f>
        <v>42916.5</v>
      </c>
      <c r="C207" s="11"/>
      <c r="D207" s="12"/>
      <c r="E207" s="12"/>
      <c r="F207" s="11"/>
      <c r="G207" s="11">
        <f>(T207/$B207)+(T207/('Optimal Choice'!$B$4*AO207))</f>
        <v>161.1650982</v>
      </c>
      <c r="H207" s="11">
        <f>(U207/$B207)+(U207/('Optimal Choice'!$B$9*AP207))</f>
        <v>185.2565107</v>
      </c>
      <c r="I207" s="11">
        <f>(V207/$B207)+(V207/('Optimal Choice'!$B$14*AQ207))</f>
        <v>163.2342812</v>
      </c>
      <c r="J207" s="11">
        <f>(W207/$B207)+(W207/('Optimal Choice'!$B$19*AR207))</f>
        <v>171.0386149</v>
      </c>
      <c r="K207" s="11">
        <f>(X207/$B207)+(X207/('Optimal Choice'!$B$24*AS207))</f>
        <v>175.3740687</v>
      </c>
      <c r="N207" s="12">
        <f t="shared" ref="N207:R207" si="615">if(min($G206:$K206)=G206,N206+1,N206)</f>
        <v>119</v>
      </c>
      <c r="O207" s="12">
        <f t="shared" si="615"/>
        <v>40</v>
      </c>
      <c r="P207" s="12">
        <f t="shared" si="615"/>
        <v>22</v>
      </c>
      <c r="Q207" s="12">
        <f t="shared" si="615"/>
        <v>15</v>
      </c>
      <c r="R207" s="12">
        <f t="shared" si="615"/>
        <v>10</v>
      </c>
      <c r="T207" s="13">
        <f> 'Optimal Choice'!$B$5*'Optimal Choice'!$B$6^(N207+1)</f>
        <v>13431.15353</v>
      </c>
      <c r="U207" s="13">
        <f> 'Optimal Choice'!$B$10*'Optimal Choice'!$B$11^(O207+1)</f>
        <v>18482.58469</v>
      </c>
      <c r="V207" s="13">
        <f> 'Optimal Choice'!$B$15*'Optimal Choice'!$B$16^(P207+1)</f>
        <v>14660.34117</v>
      </c>
      <c r="W207" s="13">
        <f> 'Optimal Choice'!$B$20*'Optimal Choice'!$B$21^(Q207+1)</f>
        <v>61061.69255</v>
      </c>
      <c r="X207" s="13">
        <f> 'Optimal Choice'!$B$25*'Optimal Choice'!$B$26^(R207+1)</f>
        <v>360656.0633</v>
      </c>
      <c r="AA207" s="12">
        <f t="shared" ref="AA207:AE207" si="616">if(isna(VLOOKUP(N207,$D$2:$E$10,2,false)),AA206, VLOOKUP(N207,$D$2:$E$10,2,false))</f>
        <v>50</v>
      </c>
      <c r="AB207" s="12">
        <f t="shared" si="616"/>
        <v>5</v>
      </c>
      <c r="AC207" s="15">
        <f t="shared" si="616"/>
        <v>1</v>
      </c>
      <c r="AD207" s="15">
        <f t="shared" si="616"/>
        <v>1</v>
      </c>
      <c r="AE207" s="15">
        <f t="shared" si="616"/>
        <v>1</v>
      </c>
      <c r="AH207" s="15">
        <f>N207*'Optimal Choice'!$B$4*AA207</f>
        <v>9936.5</v>
      </c>
      <c r="AI207" s="15">
        <f>O207*'Optimal Choice'!$B$9*AB207</f>
        <v>4000</v>
      </c>
      <c r="AJ207" s="15">
        <f>P207*'Optimal Choice'!$B$14*AC207</f>
        <v>1980</v>
      </c>
      <c r="AK207" s="15">
        <f>Q207*'Optimal Choice'!$B$19*AD207</f>
        <v>5400</v>
      </c>
      <c r="AL207" s="15">
        <f>R207*'Optimal Choice'!$B$24*AE207</f>
        <v>21600</v>
      </c>
      <c r="AO207" s="12">
        <f t="shared" ref="AO207:AS207" si="617">if(isna(VLOOKUP(N207+1,$D$2:$E$10,2,false)),AO206, VLOOKUP(N207+1,$D$2:$E$10,2,false))</f>
        <v>50</v>
      </c>
      <c r="AP207" s="12">
        <f t="shared" si="617"/>
        <v>5</v>
      </c>
      <c r="AQ207" s="15">
        <f t="shared" si="617"/>
        <v>1</v>
      </c>
      <c r="AR207" s="15">
        <f t="shared" si="617"/>
        <v>1</v>
      </c>
      <c r="AS207" s="15">
        <f t="shared" si="617"/>
        <v>1</v>
      </c>
      <c r="AU207" s="11">
        <f t="shared" si="8"/>
        <v>0.006256082263</v>
      </c>
    </row>
    <row r="208" ht="15.75" customHeight="1">
      <c r="A208" s="16">
        <f t="shared" si="4"/>
        <v>2.888534727</v>
      </c>
      <c r="B208" s="7">
        <f>(sum(AH208:AL208))*'Optimal Choice'!$B$28</f>
        <v>43000</v>
      </c>
      <c r="C208" s="11"/>
      <c r="D208" s="12"/>
      <c r="E208" s="12"/>
      <c r="F208" s="11"/>
      <c r="G208" s="11">
        <f>(T208/$B208)+(T208/('Optimal Choice'!$B$4*AO208))</f>
        <v>172.4460048</v>
      </c>
      <c r="H208" s="11">
        <f>(U208/$B208)+(U208/('Optimal Choice'!$B$9*AP208))</f>
        <v>185.2556745</v>
      </c>
      <c r="I208" s="11">
        <f>(V208/$B208)+(V208/('Optimal Choice'!$B$14*AQ208))</f>
        <v>163.2336178</v>
      </c>
      <c r="J208" s="11">
        <f>(W208/$B208)+(W208/('Optimal Choice'!$B$19*AR208))</f>
        <v>171.035852</v>
      </c>
      <c r="K208" s="11">
        <f>(X208/$B208)+(X208/('Optimal Choice'!$B$24*AS208))</f>
        <v>175.35775</v>
      </c>
      <c r="N208" s="12">
        <f t="shared" ref="N208:R208" si="618">if(min($G207:$K207)=G207,N207+1,N207)</f>
        <v>120</v>
      </c>
      <c r="O208" s="12">
        <f t="shared" si="618"/>
        <v>40</v>
      </c>
      <c r="P208" s="12">
        <f t="shared" si="618"/>
        <v>22</v>
      </c>
      <c r="Q208" s="12">
        <f t="shared" si="618"/>
        <v>15</v>
      </c>
      <c r="R208" s="12">
        <f t="shared" si="618"/>
        <v>10</v>
      </c>
      <c r="T208" s="13">
        <f> 'Optimal Choice'!$B$5*'Optimal Choice'!$B$6^(N208+1)</f>
        <v>14371.33428</v>
      </c>
      <c r="U208" s="13">
        <f> 'Optimal Choice'!$B$10*'Optimal Choice'!$B$11^(O208+1)</f>
        <v>18482.58469</v>
      </c>
      <c r="V208" s="13">
        <f> 'Optimal Choice'!$B$15*'Optimal Choice'!$B$16^(P208+1)</f>
        <v>14660.34117</v>
      </c>
      <c r="W208" s="13">
        <f> 'Optimal Choice'!$B$20*'Optimal Choice'!$B$21^(Q208+1)</f>
        <v>61061.69255</v>
      </c>
      <c r="X208" s="13">
        <f> 'Optimal Choice'!$B$25*'Optimal Choice'!$B$26^(R208+1)</f>
        <v>360656.0633</v>
      </c>
      <c r="AA208" s="12">
        <f t="shared" ref="AA208:AE208" si="619">if(isna(VLOOKUP(N208,$D$2:$E$10,2,false)),AA207, VLOOKUP(N208,$D$2:$E$10,2,false))</f>
        <v>50</v>
      </c>
      <c r="AB208" s="12">
        <f t="shared" si="619"/>
        <v>5</v>
      </c>
      <c r="AC208" s="15">
        <f t="shared" si="619"/>
        <v>1</v>
      </c>
      <c r="AD208" s="15">
        <f t="shared" si="619"/>
        <v>1</v>
      </c>
      <c r="AE208" s="15">
        <f t="shared" si="619"/>
        <v>1</v>
      </c>
      <c r="AH208" s="15">
        <f>N208*'Optimal Choice'!$B$4*AA208</f>
        <v>10020</v>
      </c>
      <c r="AI208" s="15">
        <f>O208*'Optimal Choice'!$B$9*AB208</f>
        <v>4000</v>
      </c>
      <c r="AJ208" s="15">
        <f>P208*'Optimal Choice'!$B$14*AC208</f>
        <v>1980</v>
      </c>
      <c r="AK208" s="15">
        <f>Q208*'Optimal Choice'!$B$19*AD208</f>
        <v>5400</v>
      </c>
      <c r="AL208" s="15">
        <f>R208*'Optimal Choice'!$B$24*AE208</f>
        <v>21600</v>
      </c>
      <c r="AO208" s="12">
        <f t="shared" ref="AO208:AS208" si="620">if(isna(VLOOKUP(N208+1,$D$2:$E$10,2,false)),AO207, VLOOKUP(N208+1,$D$2:$E$10,2,false))</f>
        <v>50</v>
      </c>
      <c r="AP208" s="12">
        <f t="shared" si="620"/>
        <v>5</v>
      </c>
      <c r="AQ208" s="15">
        <f t="shared" si="620"/>
        <v>1</v>
      </c>
      <c r="AR208" s="15">
        <f t="shared" si="620"/>
        <v>1</v>
      </c>
      <c r="AS208" s="15">
        <f t="shared" si="620"/>
        <v>1</v>
      </c>
      <c r="AU208" s="11">
        <f t="shared" si="8"/>
        <v>0.00521600221</v>
      </c>
    </row>
    <row r="209" ht="15.75" customHeight="1">
      <c r="A209" s="16">
        <f t="shared" si="4"/>
        <v>2.89421703</v>
      </c>
      <c r="B209" s="7">
        <f>(sum(AH209:AL209))*'Optimal Choice'!$B$28</f>
        <v>43090</v>
      </c>
      <c r="C209" s="11"/>
      <c r="D209" s="12"/>
      <c r="E209" s="12"/>
      <c r="F209" s="11"/>
      <c r="G209" s="11">
        <f>(T209/$B209)+(T209/('Optimal Choice'!$B$4*AO209))</f>
        <v>172.4453068</v>
      </c>
      <c r="H209" s="11">
        <f>(U209/$B209)+(U209/('Optimal Choice'!$B$9*AP209))</f>
        <v>185.2547767</v>
      </c>
      <c r="I209" s="11">
        <f>(V209/$B209)+(V209/('Optimal Choice'!$B$14*AQ209))</f>
        <v>186.0855125</v>
      </c>
      <c r="J209" s="11">
        <f>(W209/$B209)+(W209/('Optimal Choice'!$B$19*AR209))</f>
        <v>171.032886</v>
      </c>
      <c r="K209" s="11">
        <f>(X209/$B209)+(X209/('Optimal Choice'!$B$24*AS209))</f>
        <v>175.3402317</v>
      </c>
      <c r="N209" s="12">
        <f t="shared" ref="N209:R209" si="621">if(min($G208:$K208)=G208,N208+1,N208)</f>
        <v>120</v>
      </c>
      <c r="O209" s="12">
        <f t="shared" si="621"/>
        <v>40</v>
      </c>
      <c r="P209" s="12">
        <f t="shared" si="621"/>
        <v>23</v>
      </c>
      <c r="Q209" s="12">
        <f t="shared" si="621"/>
        <v>15</v>
      </c>
      <c r="R209" s="12">
        <f t="shared" si="621"/>
        <v>10</v>
      </c>
      <c r="T209" s="13">
        <f> 'Optimal Choice'!$B$5*'Optimal Choice'!$B$6^(N209+1)</f>
        <v>14371.33428</v>
      </c>
      <c r="U209" s="13">
        <f> 'Optimal Choice'!$B$10*'Optimal Choice'!$B$11^(O209+1)</f>
        <v>18482.58469</v>
      </c>
      <c r="V209" s="13">
        <f> 'Optimal Choice'!$B$15*'Optimal Choice'!$B$16^(P209+1)</f>
        <v>16712.78893</v>
      </c>
      <c r="W209" s="13">
        <f> 'Optimal Choice'!$B$20*'Optimal Choice'!$B$21^(Q209+1)</f>
        <v>61061.69255</v>
      </c>
      <c r="X209" s="13">
        <f> 'Optimal Choice'!$B$25*'Optimal Choice'!$B$26^(R209+1)</f>
        <v>360656.0633</v>
      </c>
      <c r="AA209" s="12">
        <f t="shared" ref="AA209:AE209" si="622">if(isna(VLOOKUP(N209,$D$2:$E$10,2,false)),AA208, VLOOKUP(N209,$D$2:$E$10,2,false))</f>
        <v>50</v>
      </c>
      <c r="AB209" s="12">
        <f t="shared" si="622"/>
        <v>5</v>
      </c>
      <c r="AC209" s="15">
        <f t="shared" si="622"/>
        <v>1</v>
      </c>
      <c r="AD209" s="15">
        <f t="shared" si="622"/>
        <v>1</v>
      </c>
      <c r="AE209" s="15">
        <f t="shared" si="622"/>
        <v>1</v>
      </c>
      <c r="AH209" s="15">
        <f>N209*'Optimal Choice'!$B$4*AA209</f>
        <v>10020</v>
      </c>
      <c r="AI209" s="15">
        <f>O209*'Optimal Choice'!$B$9*AB209</f>
        <v>4000</v>
      </c>
      <c r="AJ209" s="15">
        <f>P209*'Optimal Choice'!$B$14*AC209</f>
        <v>2070</v>
      </c>
      <c r="AK209" s="15">
        <f>Q209*'Optimal Choice'!$B$19*AD209</f>
        <v>5400</v>
      </c>
      <c r="AL209" s="15">
        <f>R209*'Optimal Choice'!$B$24*AE209</f>
        <v>21600</v>
      </c>
      <c r="AO209" s="12">
        <f t="shared" ref="AO209:AS209" si="623">if(isna(VLOOKUP(N209+1,$D$2:$E$10,2,false)),AO208, VLOOKUP(N209+1,$D$2:$E$10,2,false))</f>
        <v>50</v>
      </c>
      <c r="AP209" s="12">
        <f t="shared" si="623"/>
        <v>5</v>
      </c>
      <c r="AQ209" s="15">
        <f t="shared" si="623"/>
        <v>1</v>
      </c>
      <c r="AR209" s="15">
        <f t="shared" si="623"/>
        <v>1</v>
      </c>
      <c r="AS209" s="15">
        <f t="shared" si="623"/>
        <v>1</v>
      </c>
      <c r="AU209" s="11">
        <f t="shared" si="8"/>
        <v>0.005682302779</v>
      </c>
    </row>
    <row r="210" ht="15.75" customHeight="1">
      <c r="A210" s="16">
        <f t="shared" si="4"/>
        <v>2.91783492</v>
      </c>
      <c r="B210" s="7">
        <f>(sum(AH210:AL210))*'Optimal Choice'!$B$28</f>
        <v>43450</v>
      </c>
      <c r="C210" s="11"/>
      <c r="D210" s="12"/>
      <c r="E210" s="12"/>
      <c r="F210" s="11"/>
      <c r="G210" s="11">
        <f>(T210/$B210)+(T210/('Optimal Choice'!$B$4*AO210))</f>
        <v>172.4425434</v>
      </c>
      <c r="H210" s="11">
        <f>(U210/$B210)+(U210/('Optimal Choice'!$B$9*AP210))</f>
        <v>185.2512228</v>
      </c>
      <c r="I210" s="11">
        <f>(V210/$B210)+(V210/('Optimal Choice'!$B$14*AQ210))</f>
        <v>186.082299</v>
      </c>
      <c r="J210" s="11">
        <f>(W210/$B210)+(W210/('Optimal Choice'!$B$19*AR210))</f>
        <v>193.2538939</v>
      </c>
      <c r="K210" s="11">
        <f>(X210/$B210)+(X210/('Optimal Choice'!$B$24*AS210))</f>
        <v>175.2708845</v>
      </c>
      <c r="N210" s="12">
        <f t="shared" ref="N210:R210" si="624">if(min($G209:$K209)=G209,N209+1,N209)</f>
        <v>120</v>
      </c>
      <c r="O210" s="12">
        <f t="shared" si="624"/>
        <v>40</v>
      </c>
      <c r="P210" s="12">
        <f t="shared" si="624"/>
        <v>23</v>
      </c>
      <c r="Q210" s="12">
        <f t="shared" si="624"/>
        <v>16</v>
      </c>
      <c r="R210" s="12">
        <f t="shared" si="624"/>
        <v>10</v>
      </c>
      <c r="T210" s="13">
        <f> 'Optimal Choice'!$B$5*'Optimal Choice'!$B$6^(N210+1)</f>
        <v>14371.33428</v>
      </c>
      <c r="U210" s="13">
        <f> 'Optimal Choice'!$B$10*'Optimal Choice'!$B$11^(O210+1)</f>
        <v>18482.58469</v>
      </c>
      <c r="V210" s="13">
        <f> 'Optimal Choice'!$B$15*'Optimal Choice'!$B$16^(P210+1)</f>
        <v>16712.78893</v>
      </c>
      <c r="W210" s="13">
        <f> 'Optimal Choice'!$B$20*'Optimal Choice'!$B$21^(Q210+1)</f>
        <v>68999.71258</v>
      </c>
      <c r="X210" s="13">
        <f> 'Optimal Choice'!$B$25*'Optimal Choice'!$B$26^(R210+1)</f>
        <v>360656.0633</v>
      </c>
      <c r="AA210" s="12">
        <f t="shared" ref="AA210:AE210" si="625">if(isna(VLOOKUP(N210,$D$2:$E$10,2,false)),AA209, VLOOKUP(N210,$D$2:$E$10,2,false))</f>
        <v>50</v>
      </c>
      <c r="AB210" s="12">
        <f t="shared" si="625"/>
        <v>5</v>
      </c>
      <c r="AC210" s="15">
        <f t="shared" si="625"/>
        <v>1</v>
      </c>
      <c r="AD210" s="15">
        <f t="shared" si="625"/>
        <v>1</v>
      </c>
      <c r="AE210" s="15">
        <f t="shared" si="625"/>
        <v>1</v>
      </c>
      <c r="AH210" s="15">
        <f>N210*'Optimal Choice'!$B$4*AA210</f>
        <v>10020</v>
      </c>
      <c r="AI210" s="15">
        <f>O210*'Optimal Choice'!$B$9*AB210</f>
        <v>4000</v>
      </c>
      <c r="AJ210" s="15">
        <f>P210*'Optimal Choice'!$B$14*AC210</f>
        <v>2070</v>
      </c>
      <c r="AK210" s="15">
        <f>Q210*'Optimal Choice'!$B$19*AD210</f>
        <v>5760</v>
      </c>
      <c r="AL210" s="15">
        <f>R210*'Optimal Choice'!$B$24*AE210</f>
        <v>21600</v>
      </c>
      <c r="AO210" s="12">
        <f t="shared" ref="AO210:AS210" si="626">if(isna(VLOOKUP(N210+1,$D$2:$E$10,2,false)),AO209, VLOOKUP(N210+1,$D$2:$E$10,2,false))</f>
        <v>50</v>
      </c>
      <c r="AP210" s="12">
        <f t="shared" si="626"/>
        <v>5</v>
      </c>
      <c r="AQ210" s="15">
        <f t="shared" si="626"/>
        <v>1</v>
      </c>
      <c r="AR210" s="15">
        <f t="shared" si="626"/>
        <v>1</v>
      </c>
      <c r="AS210" s="15">
        <f t="shared" si="626"/>
        <v>1</v>
      </c>
      <c r="AU210" s="11">
        <f t="shared" si="8"/>
        <v>0.0236178899</v>
      </c>
    </row>
    <row r="211" ht="15.75" customHeight="1">
      <c r="A211" s="16">
        <f t="shared" si="4"/>
        <v>2.923347514</v>
      </c>
      <c r="B211" s="7">
        <f>(sum(AH211:AL211))*'Optimal Choice'!$B$28</f>
        <v>43533.5</v>
      </c>
      <c r="C211" s="11"/>
      <c r="D211" s="12"/>
      <c r="E211" s="12"/>
      <c r="F211" s="11"/>
      <c r="G211" s="11">
        <f>(T211/$B211)+(T211/('Optimal Choice'!$B$4*AO211))</f>
        <v>184.5128427</v>
      </c>
      <c r="H211" s="11">
        <f>(U211/$B211)+(U211/('Optimal Choice'!$B$9*AP211))</f>
        <v>185.2504069</v>
      </c>
      <c r="I211" s="11">
        <f>(V211/$B211)+(V211/('Optimal Choice'!$B$14*AQ211))</f>
        <v>186.0815612</v>
      </c>
      <c r="J211" s="11">
        <f>(W211/$B211)+(W211/('Optimal Choice'!$B$19*AR211))</f>
        <v>193.250848</v>
      </c>
      <c r="K211" s="11">
        <f>(X211/$B211)+(X211/('Optimal Choice'!$B$24*AS211))</f>
        <v>175.2549636</v>
      </c>
      <c r="N211" s="12">
        <f t="shared" ref="N211:R211" si="627">if(min($G210:$K210)=G210,N210+1,N210)</f>
        <v>121</v>
      </c>
      <c r="O211" s="12">
        <f t="shared" si="627"/>
        <v>40</v>
      </c>
      <c r="P211" s="12">
        <f t="shared" si="627"/>
        <v>23</v>
      </c>
      <c r="Q211" s="12">
        <f t="shared" si="627"/>
        <v>16</v>
      </c>
      <c r="R211" s="12">
        <f t="shared" si="627"/>
        <v>10</v>
      </c>
      <c r="T211" s="13">
        <f> 'Optimal Choice'!$B$5*'Optimal Choice'!$B$6^(N211+1)</f>
        <v>15377.32768</v>
      </c>
      <c r="U211" s="13">
        <f> 'Optimal Choice'!$B$10*'Optimal Choice'!$B$11^(O211+1)</f>
        <v>18482.58469</v>
      </c>
      <c r="V211" s="13">
        <f> 'Optimal Choice'!$B$15*'Optimal Choice'!$B$16^(P211+1)</f>
        <v>16712.78893</v>
      </c>
      <c r="W211" s="13">
        <f> 'Optimal Choice'!$B$20*'Optimal Choice'!$B$21^(Q211+1)</f>
        <v>68999.71258</v>
      </c>
      <c r="X211" s="13">
        <f> 'Optimal Choice'!$B$25*'Optimal Choice'!$B$26^(R211+1)</f>
        <v>360656.0633</v>
      </c>
      <c r="AA211" s="12">
        <f t="shared" ref="AA211:AE211" si="628">if(isna(VLOOKUP(N211,$D$2:$E$10,2,false)),AA210, VLOOKUP(N211,$D$2:$E$10,2,false))</f>
        <v>50</v>
      </c>
      <c r="AB211" s="12">
        <f t="shared" si="628"/>
        <v>5</v>
      </c>
      <c r="AC211" s="15">
        <f t="shared" si="628"/>
        <v>1</v>
      </c>
      <c r="AD211" s="15">
        <f t="shared" si="628"/>
        <v>1</v>
      </c>
      <c r="AE211" s="15">
        <f t="shared" si="628"/>
        <v>1</v>
      </c>
      <c r="AH211" s="15">
        <f>N211*'Optimal Choice'!$B$4*AA211</f>
        <v>10103.5</v>
      </c>
      <c r="AI211" s="15">
        <f>O211*'Optimal Choice'!$B$9*AB211</f>
        <v>4000</v>
      </c>
      <c r="AJ211" s="15">
        <f>P211*'Optimal Choice'!$B$14*AC211</f>
        <v>2070</v>
      </c>
      <c r="AK211" s="15">
        <f>Q211*'Optimal Choice'!$B$19*AD211</f>
        <v>5760</v>
      </c>
      <c r="AL211" s="15">
        <f>R211*'Optimal Choice'!$B$24*AE211</f>
        <v>21600</v>
      </c>
      <c r="AO211" s="12">
        <f t="shared" ref="AO211:AS211" si="629">if(isna(VLOOKUP(N211+1,$D$2:$E$10,2,false)),AO210, VLOOKUP(N211+1,$D$2:$E$10,2,false))</f>
        <v>50</v>
      </c>
      <c r="AP211" s="12">
        <f t="shared" si="629"/>
        <v>5</v>
      </c>
      <c r="AQ211" s="15">
        <f t="shared" si="629"/>
        <v>1</v>
      </c>
      <c r="AR211" s="15">
        <f t="shared" si="629"/>
        <v>1</v>
      </c>
      <c r="AS211" s="15">
        <f t="shared" si="629"/>
        <v>1</v>
      </c>
      <c r="AU211" s="11">
        <f t="shared" si="8"/>
        <v>0.00551259466</v>
      </c>
    </row>
    <row r="212" ht="15.75" customHeight="1">
      <c r="A212" s="16">
        <f t="shared" si="4"/>
        <v>3.06142358</v>
      </c>
      <c r="B212" s="7">
        <f>(sum(AH212:AL212))*'Optimal Choice'!$B$28</f>
        <v>45693.5</v>
      </c>
      <c r="C212" s="11"/>
      <c r="D212" s="12"/>
      <c r="E212" s="12"/>
      <c r="F212" s="11"/>
      <c r="G212" s="11">
        <f>(T212/$B212)+(T212/('Optimal Choice'!$B$4*AO212))</f>
        <v>184.496145</v>
      </c>
      <c r="H212" s="11">
        <f>(U212/$B212)+(U212/('Optimal Choice'!$B$9*AP212))</f>
        <v>185.2303374</v>
      </c>
      <c r="I212" s="11">
        <f>(V212/$B212)+(V212/('Optimal Choice'!$B$14*AQ212))</f>
        <v>186.0634134</v>
      </c>
      <c r="J212" s="11">
        <f>(W212/$B212)+(W212/('Optimal Choice'!$B$19*AR212))</f>
        <v>193.1759236</v>
      </c>
      <c r="K212" s="11">
        <f>(X212/$B212)+(X212/('Optimal Choice'!$B$24*AS212))</f>
        <v>195.8469407</v>
      </c>
      <c r="N212" s="12">
        <f t="shared" ref="N212:R212" si="630">if(min($G211:$K211)=G211,N211+1,N211)</f>
        <v>121</v>
      </c>
      <c r="O212" s="12">
        <f t="shared" si="630"/>
        <v>40</v>
      </c>
      <c r="P212" s="12">
        <f t="shared" si="630"/>
        <v>23</v>
      </c>
      <c r="Q212" s="12">
        <f t="shared" si="630"/>
        <v>16</v>
      </c>
      <c r="R212" s="12">
        <f t="shared" si="630"/>
        <v>11</v>
      </c>
      <c r="T212" s="13">
        <f> 'Optimal Choice'!$B$5*'Optimal Choice'!$B$6^(N212+1)</f>
        <v>15377.32768</v>
      </c>
      <c r="U212" s="13">
        <f> 'Optimal Choice'!$B$10*'Optimal Choice'!$B$11^(O212+1)</f>
        <v>18482.58469</v>
      </c>
      <c r="V212" s="13">
        <f> 'Optimal Choice'!$B$15*'Optimal Choice'!$B$16^(P212+1)</f>
        <v>16712.78893</v>
      </c>
      <c r="W212" s="13">
        <f> 'Optimal Choice'!$B$20*'Optimal Choice'!$B$21^(Q212+1)</f>
        <v>68999.71258</v>
      </c>
      <c r="X212" s="13">
        <f> 'Optimal Choice'!$B$25*'Optimal Choice'!$B$26^(R212+1)</f>
        <v>403934.7909</v>
      </c>
      <c r="AA212" s="12">
        <f t="shared" ref="AA212:AE212" si="631">if(isna(VLOOKUP(N212,$D$2:$E$10,2,false)),AA211, VLOOKUP(N212,$D$2:$E$10,2,false))</f>
        <v>50</v>
      </c>
      <c r="AB212" s="12">
        <f t="shared" si="631"/>
        <v>5</v>
      </c>
      <c r="AC212" s="15">
        <f t="shared" si="631"/>
        <v>1</v>
      </c>
      <c r="AD212" s="15">
        <f t="shared" si="631"/>
        <v>1</v>
      </c>
      <c r="AE212" s="15">
        <f t="shared" si="631"/>
        <v>1</v>
      </c>
      <c r="AH212" s="15">
        <f>N212*'Optimal Choice'!$B$4*AA212</f>
        <v>10103.5</v>
      </c>
      <c r="AI212" s="15">
        <f>O212*'Optimal Choice'!$B$9*AB212</f>
        <v>4000</v>
      </c>
      <c r="AJ212" s="15">
        <f>P212*'Optimal Choice'!$B$14*AC212</f>
        <v>2070</v>
      </c>
      <c r="AK212" s="15">
        <f>Q212*'Optimal Choice'!$B$19*AD212</f>
        <v>5760</v>
      </c>
      <c r="AL212" s="15">
        <f>R212*'Optimal Choice'!$B$24*AE212</f>
        <v>23760</v>
      </c>
      <c r="AO212" s="12">
        <f t="shared" ref="AO212:AS212" si="632">if(isna(VLOOKUP(N212+1,$D$2:$E$10,2,false)),AO211, VLOOKUP(N212+1,$D$2:$E$10,2,false))</f>
        <v>50</v>
      </c>
      <c r="AP212" s="12">
        <f t="shared" si="632"/>
        <v>5</v>
      </c>
      <c r="AQ212" s="15">
        <f t="shared" si="632"/>
        <v>1</v>
      </c>
      <c r="AR212" s="15">
        <f t="shared" si="632"/>
        <v>1</v>
      </c>
      <c r="AS212" s="15">
        <f t="shared" si="632"/>
        <v>1</v>
      </c>
      <c r="AU212" s="11">
        <f t="shared" si="8"/>
        <v>0.1380760653</v>
      </c>
    </row>
    <row r="213" ht="15.75" customHeight="1">
      <c r="A213" s="16">
        <f t="shared" si="4"/>
        <v>3.067032447</v>
      </c>
      <c r="B213" s="7">
        <f>(sum(AH213:AL213))*'Optimal Choice'!$B$28</f>
        <v>45777</v>
      </c>
      <c r="C213" s="11"/>
      <c r="D213" s="12"/>
      <c r="E213" s="12"/>
      <c r="F213" s="11"/>
      <c r="G213" s="11">
        <f>(T213/$B213)+(T213/('Optimal Choice'!$B$4*AO213))</f>
        <v>197.4102183</v>
      </c>
      <c r="H213" s="11">
        <f>(U213/$B213)+(U213/('Optimal Choice'!$B$9*AP213))</f>
        <v>185.2295995</v>
      </c>
      <c r="I213" s="11">
        <f>(V213/$B213)+(V213/('Optimal Choice'!$B$14*AQ213))</f>
        <v>186.0627462</v>
      </c>
      <c r="J213" s="11">
        <f>(W213/$B213)+(W213/('Optimal Choice'!$B$19*AR213))</f>
        <v>193.1731692</v>
      </c>
      <c r="K213" s="11">
        <f>(X213/$B213)+(X213/('Optimal Choice'!$B$24*AS213))</f>
        <v>195.8308158</v>
      </c>
      <c r="N213" s="12">
        <f t="shared" ref="N213:R213" si="633">if(min($G212:$K212)=G212,N212+1,N212)</f>
        <v>122</v>
      </c>
      <c r="O213" s="12">
        <f t="shared" si="633"/>
        <v>40</v>
      </c>
      <c r="P213" s="12">
        <f t="shared" si="633"/>
        <v>23</v>
      </c>
      <c r="Q213" s="12">
        <f t="shared" si="633"/>
        <v>16</v>
      </c>
      <c r="R213" s="12">
        <f t="shared" si="633"/>
        <v>11</v>
      </c>
      <c r="T213" s="13">
        <f> 'Optimal Choice'!$B$5*'Optimal Choice'!$B$6^(N213+1)</f>
        <v>16453.74062</v>
      </c>
      <c r="U213" s="13">
        <f> 'Optimal Choice'!$B$10*'Optimal Choice'!$B$11^(O213+1)</f>
        <v>18482.58469</v>
      </c>
      <c r="V213" s="13">
        <f> 'Optimal Choice'!$B$15*'Optimal Choice'!$B$16^(P213+1)</f>
        <v>16712.78893</v>
      </c>
      <c r="W213" s="13">
        <f> 'Optimal Choice'!$B$20*'Optimal Choice'!$B$21^(Q213+1)</f>
        <v>68999.71258</v>
      </c>
      <c r="X213" s="13">
        <f> 'Optimal Choice'!$B$25*'Optimal Choice'!$B$26^(R213+1)</f>
        <v>403934.7909</v>
      </c>
      <c r="AA213" s="12">
        <f t="shared" ref="AA213:AE213" si="634">if(isna(VLOOKUP(N213,$D$2:$E$10,2,false)),AA212, VLOOKUP(N213,$D$2:$E$10,2,false))</f>
        <v>50</v>
      </c>
      <c r="AB213" s="12">
        <f t="shared" si="634"/>
        <v>5</v>
      </c>
      <c r="AC213" s="15">
        <f t="shared" si="634"/>
        <v>1</v>
      </c>
      <c r="AD213" s="15">
        <f t="shared" si="634"/>
        <v>1</v>
      </c>
      <c r="AE213" s="15">
        <f t="shared" si="634"/>
        <v>1</v>
      </c>
      <c r="AH213" s="15">
        <f>N213*'Optimal Choice'!$B$4*AA213</f>
        <v>10187</v>
      </c>
      <c r="AI213" s="15">
        <f>O213*'Optimal Choice'!$B$9*AB213</f>
        <v>4000</v>
      </c>
      <c r="AJ213" s="15">
        <f>P213*'Optimal Choice'!$B$14*AC213</f>
        <v>2070</v>
      </c>
      <c r="AK213" s="15">
        <f>Q213*'Optimal Choice'!$B$19*AD213</f>
        <v>5760</v>
      </c>
      <c r="AL213" s="15">
        <f>R213*'Optimal Choice'!$B$24*AE213</f>
        <v>23760</v>
      </c>
      <c r="AO213" s="12">
        <f t="shared" ref="AO213:AS213" si="635">if(isna(VLOOKUP(N213+1,$D$2:$E$10,2,false)),AO212, VLOOKUP(N213+1,$D$2:$E$10,2,false))</f>
        <v>50</v>
      </c>
      <c r="AP213" s="12">
        <f t="shared" si="635"/>
        <v>5</v>
      </c>
      <c r="AQ213" s="15">
        <f t="shared" si="635"/>
        <v>1</v>
      </c>
      <c r="AR213" s="15">
        <f t="shared" si="635"/>
        <v>1</v>
      </c>
      <c r="AS213" s="15">
        <f t="shared" si="635"/>
        <v>1</v>
      </c>
      <c r="AU213" s="11">
        <f t="shared" si="8"/>
        <v>0.005608867665</v>
      </c>
    </row>
    <row r="214" ht="15.75" customHeight="1">
      <c r="A214" s="16">
        <f t="shared" si="4"/>
        <v>3.073761658</v>
      </c>
      <c r="B214" s="7">
        <f>(sum(AH214:AL214))*'Optimal Choice'!$B$28</f>
        <v>45877</v>
      </c>
      <c r="C214" s="11"/>
      <c r="D214" s="12"/>
      <c r="E214" s="12"/>
      <c r="F214" s="11"/>
      <c r="G214" s="11">
        <f>(T214/$B214)+(T214/('Optimal Choice'!$B$4*AO214))</f>
        <v>197.4094348</v>
      </c>
      <c r="H214" s="11">
        <f>(U214/$B214)+(U214/('Optimal Choice'!$B$9*AP214))</f>
        <v>213.0130274</v>
      </c>
      <c r="I214" s="11">
        <f>(V214/$B214)+(V214/('Optimal Choice'!$B$14*AQ214))</f>
        <v>186.0619504</v>
      </c>
      <c r="J214" s="11">
        <f>(W214/$B214)+(W214/('Optimal Choice'!$B$19*AR214))</f>
        <v>193.1698836</v>
      </c>
      <c r="K214" s="11">
        <f>(X214/$B214)+(X214/('Optimal Choice'!$B$24*AS214))</f>
        <v>195.8115818</v>
      </c>
      <c r="N214" s="12">
        <f t="shared" ref="N214:R214" si="636">if(min($G213:$K213)=G213,N213+1,N213)</f>
        <v>122</v>
      </c>
      <c r="O214" s="12">
        <f t="shared" si="636"/>
        <v>41</v>
      </c>
      <c r="P214" s="12">
        <f t="shared" si="636"/>
        <v>23</v>
      </c>
      <c r="Q214" s="12">
        <f t="shared" si="636"/>
        <v>16</v>
      </c>
      <c r="R214" s="12">
        <f t="shared" si="636"/>
        <v>11</v>
      </c>
      <c r="T214" s="13">
        <f> 'Optimal Choice'!$B$5*'Optimal Choice'!$B$6^(N214+1)</f>
        <v>16453.74062</v>
      </c>
      <c r="U214" s="13">
        <f> 'Optimal Choice'!$B$10*'Optimal Choice'!$B$11^(O214+1)</f>
        <v>21254.97239</v>
      </c>
      <c r="V214" s="13">
        <f> 'Optimal Choice'!$B$15*'Optimal Choice'!$B$16^(P214+1)</f>
        <v>16712.78893</v>
      </c>
      <c r="W214" s="13">
        <f> 'Optimal Choice'!$B$20*'Optimal Choice'!$B$21^(Q214+1)</f>
        <v>68999.71258</v>
      </c>
      <c r="X214" s="13">
        <f> 'Optimal Choice'!$B$25*'Optimal Choice'!$B$26^(R214+1)</f>
        <v>403934.7909</v>
      </c>
      <c r="AA214" s="12">
        <f t="shared" ref="AA214:AE214" si="637">if(isna(VLOOKUP(N214,$D$2:$E$10,2,false)),AA213, VLOOKUP(N214,$D$2:$E$10,2,false))</f>
        <v>50</v>
      </c>
      <c r="AB214" s="12">
        <f t="shared" si="637"/>
        <v>5</v>
      </c>
      <c r="AC214" s="15">
        <f t="shared" si="637"/>
        <v>1</v>
      </c>
      <c r="AD214" s="15">
        <f t="shared" si="637"/>
        <v>1</v>
      </c>
      <c r="AE214" s="15">
        <f t="shared" si="637"/>
        <v>1</v>
      </c>
      <c r="AH214" s="15">
        <f>N214*'Optimal Choice'!$B$4*AA214</f>
        <v>10187</v>
      </c>
      <c r="AI214" s="15">
        <f>O214*'Optimal Choice'!$B$9*AB214</f>
        <v>4100</v>
      </c>
      <c r="AJ214" s="15">
        <f>P214*'Optimal Choice'!$B$14*AC214</f>
        <v>2070</v>
      </c>
      <c r="AK214" s="15">
        <f>Q214*'Optimal Choice'!$B$19*AD214</f>
        <v>5760</v>
      </c>
      <c r="AL214" s="15">
        <f>R214*'Optimal Choice'!$B$24*AE214</f>
        <v>23760</v>
      </c>
      <c r="AO214" s="12">
        <f t="shared" ref="AO214:AS214" si="638">if(isna(VLOOKUP(N214+1,$D$2:$E$10,2,false)),AO213, VLOOKUP(N214+1,$D$2:$E$10,2,false))</f>
        <v>50</v>
      </c>
      <c r="AP214" s="12">
        <f t="shared" si="638"/>
        <v>5</v>
      </c>
      <c r="AQ214" s="15">
        <f t="shared" si="638"/>
        <v>1</v>
      </c>
      <c r="AR214" s="15">
        <f t="shared" si="638"/>
        <v>1</v>
      </c>
      <c r="AS214" s="15">
        <f t="shared" si="638"/>
        <v>1</v>
      </c>
      <c r="AU214" s="11">
        <f t="shared" si="8"/>
        <v>0.006729210699</v>
      </c>
    </row>
    <row r="215" ht="15.75" customHeight="1">
      <c r="A215" s="16">
        <f t="shared" si="4"/>
        <v>3.079833251</v>
      </c>
      <c r="B215" s="7">
        <f>(sum(AH215:AL215))*'Optimal Choice'!$B$28</f>
        <v>45967</v>
      </c>
      <c r="C215" s="11"/>
      <c r="D215" s="12"/>
      <c r="E215" s="12"/>
      <c r="F215" s="11"/>
      <c r="G215" s="11">
        <f>(T215/$B215)+(T215/('Optimal Choice'!$B$4*AO215))</f>
        <v>197.4087326</v>
      </c>
      <c r="H215" s="11">
        <f>(U215/$B215)+(U215/('Optimal Choice'!$B$9*AP215))</f>
        <v>213.0121203</v>
      </c>
      <c r="I215" s="11">
        <f>(V215/$B215)+(V215/('Optimal Choice'!$B$14*AQ215))</f>
        <v>42.75354916</v>
      </c>
      <c r="J215" s="11">
        <f>(W215/$B215)+(W215/('Optimal Choice'!$B$19*AR215))</f>
        <v>193.1669389</v>
      </c>
      <c r="K215" s="11">
        <f>(X215/$B215)+(X215/('Optimal Choice'!$B$24*AS215))</f>
        <v>195.7943428</v>
      </c>
      <c r="N215" s="12">
        <f t="shared" ref="N215:R215" si="639">if(min($G214:$K214)=G214,N214+1,N214)</f>
        <v>122</v>
      </c>
      <c r="O215" s="12">
        <f t="shared" si="639"/>
        <v>41</v>
      </c>
      <c r="P215" s="12">
        <f t="shared" si="639"/>
        <v>24</v>
      </c>
      <c r="Q215" s="12">
        <f t="shared" si="639"/>
        <v>16</v>
      </c>
      <c r="R215" s="12">
        <f t="shared" si="639"/>
        <v>11</v>
      </c>
      <c r="T215" s="13">
        <f> 'Optimal Choice'!$B$5*'Optimal Choice'!$B$6^(N215+1)</f>
        <v>16453.74062</v>
      </c>
      <c r="U215" s="13">
        <f> 'Optimal Choice'!$B$10*'Optimal Choice'!$B$11^(O215+1)</f>
        <v>21254.97239</v>
      </c>
      <c r="V215" s="13">
        <f> 'Optimal Choice'!$B$15*'Optimal Choice'!$B$16^(P215+1)</f>
        <v>19052.57938</v>
      </c>
      <c r="W215" s="13">
        <f> 'Optimal Choice'!$B$20*'Optimal Choice'!$B$21^(Q215+1)</f>
        <v>68999.71258</v>
      </c>
      <c r="X215" s="13">
        <f> 'Optimal Choice'!$B$25*'Optimal Choice'!$B$26^(R215+1)</f>
        <v>403934.7909</v>
      </c>
      <c r="AA215" s="12">
        <f t="shared" ref="AA215:AE215" si="640">if(isna(VLOOKUP(N215,$D$2:$E$10,2,false)),AA214, VLOOKUP(N215,$D$2:$E$10,2,false))</f>
        <v>50</v>
      </c>
      <c r="AB215" s="12">
        <f t="shared" si="640"/>
        <v>5</v>
      </c>
      <c r="AC215" s="15">
        <f t="shared" si="640"/>
        <v>1</v>
      </c>
      <c r="AD215" s="15">
        <f t="shared" si="640"/>
        <v>1</v>
      </c>
      <c r="AE215" s="15">
        <f t="shared" si="640"/>
        <v>1</v>
      </c>
      <c r="AH215" s="15">
        <f>N215*'Optimal Choice'!$B$4*AA215</f>
        <v>10187</v>
      </c>
      <c r="AI215" s="15">
        <f>O215*'Optimal Choice'!$B$9*AB215</f>
        <v>4100</v>
      </c>
      <c r="AJ215" s="15">
        <f>P215*'Optimal Choice'!$B$14*AC215</f>
        <v>2160</v>
      </c>
      <c r="AK215" s="15">
        <f>Q215*'Optimal Choice'!$B$19*AD215</f>
        <v>5760</v>
      </c>
      <c r="AL215" s="15">
        <f>R215*'Optimal Choice'!$B$24*AE215</f>
        <v>23760</v>
      </c>
      <c r="AO215" s="12">
        <f t="shared" ref="AO215:AS215" si="641">if(isna(VLOOKUP(N215+1,$D$2:$E$10,2,false)),AO214, VLOOKUP(N215+1,$D$2:$E$10,2,false))</f>
        <v>50</v>
      </c>
      <c r="AP215" s="12">
        <f t="shared" si="641"/>
        <v>5</v>
      </c>
      <c r="AQ215" s="12">
        <f t="shared" si="641"/>
        <v>5</v>
      </c>
      <c r="AR215" s="15">
        <f t="shared" si="641"/>
        <v>1</v>
      </c>
      <c r="AS215" s="15">
        <f t="shared" si="641"/>
        <v>1</v>
      </c>
      <c r="AU215" s="11">
        <f t="shared" si="8"/>
        <v>0.006071593222</v>
      </c>
    </row>
    <row r="216" ht="15.75" customHeight="1">
      <c r="A216" s="16">
        <f t="shared" si="4"/>
        <v>3.086741316</v>
      </c>
      <c r="B216" s="7">
        <f>(sum(AH216:AL216))*'Optimal Choice'!$B$28</f>
        <v>55057</v>
      </c>
      <c r="C216" s="11"/>
      <c r="D216" s="12"/>
      <c r="E216" s="12"/>
      <c r="F216" s="11"/>
      <c r="G216" s="11">
        <f>(T216/$B216)+(T216/('Optimal Choice'!$B$4*AO216))</f>
        <v>197.349635</v>
      </c>
      <c r="H216" s="11">
        <f>(U216/$B216)+(U216/('Optimal Choice'!$B$9*AP216))</f>
        <v>212.9357779</v>
      </c>
      <c r="I216" s="11">
        <f>(V216/$B216)+(V216/('Optimal Choice'!$B$14*AQ216))</f>
        <v>48.66103361</v>
      </c>
      <c r="J216" s="11">
        <f>(W216/$B216)+(W216/('Optimal Choice'!$B$19*AR216))</f>
        <v>192.9191097</v>
      </c>
      <c r="K216" s="11">
        <f>(X216/$B216)+(X216/('Optimal Choice'!$B$24*AS216))</f>
        <v>194.3435131</v>
      </c>
      <c r="N216" s="12">
        <f t="shared" ref="N216:R216" si="642">if(min($G215:$K215)=G215,N215+1,N215)</f>
        <v>122</v>
      </c>
      <c r="O216" s="12">
        <f t="shared" si="642"/>
        <v>41</v>
      </c>
      <c r="P216" s="12">
        <f t="shared" si="642"/>
        <v>25</v>
      </c>
      <c r="Q216" s="12">
        <f t="shared" si="642"/>
        <v>16</v>
      </c>
      <c r="R216" s="12">
        <f t="shared" si="642"/>
        <v>11</v>
      </c>
      <c r="T216" s="13">
        <f> 'Optimal Choice'!$B$5*'Optimal Choice'!$B$6^(N216+1)</f>
        <v>16453.74062</v>
      </c>
      <c r="U216" s="13">
        <f> 'Optimal Choice'!$B$10*'Optimal Choice'!$B$11^(O216+1)</f>
        <v>21254.97239</v>
      </c>
      <c r="V216" s="13">
        <f> 'Optimal Choice'!$B$15*'Optimal Choice'!$B$16^(P216+1)</f>
        <v>21719.9405</v>
      </c>
      <c r="W216" s="13">
        <f> 'Optimal Choice'!$B$20*'Optimal Choice'!$B$21^(Q216+1)</f>
        <v>68999.71258</v>
      </c>
      <c r="X216" s="13">
        <f> 'Optimal Choice'!$B$25*'Optimal Choice'!$B$26^(R216+1)</f>
        <v>403934.7909</v>
      </c>
      <c r="AA216" s="12">
        <f t="shared" ref="AA216:AE216" si="643">if(isna(VLOOKUP(N216,$D$2:$E$10,2,false)),AA215, VLOOKUP(N216,$D$2:$E$10,2,false))</f>
        <v>50</v>
      </c>
      <c r="AB216" s="12">
        <f t="shared" si="643"/>
        <v>5</v>
      </c>
      <c r="AC216" s="12">
        <f t="shared" si="643"/>
        <v>5</v>
      </c>
      <c r="AD216" s="15">
        <f t="shared" si="643"/>
        <v>1</v>
      </c>
      <c r="AE216" s="15">
        <f t="shared" si="643"/>
        <v>1</v>
      </c>
      <c r="AH216" s="15">
        <f>N216*'Optimal Choice'!$B$4*AA216</f>
        <v>10187</v>
      </c>
      <c r="AI216" s="15">
        <f>O216*'Optimal Choice'!$B$9*AB216</f>
        <v>4100</v>
      </c>
      <c r="AJ216" s="15">
        <f>P216*'Optimal Choice'!$B$14*AC216</f>
        <v>11250</v>
      </c>
      <c r="AK216" s="15">
        <f>Q216*'Optimal Choice'!$B$19*AD216</f>
        <v>5760</v>
      </c>
      <c r="AL216" s="15">
        <f>R216*'Optimal Choice'!$B$24*AE216</f>
        <v>23760</v>
      </c>
      <c r="AO216" s="12">
        <f t="shared" ref="AO216:AS216" si="644">if(isna(VLOOKUP(N216+1,$D$2:$E$10,2,false)),AO215, VLOOKUP(N216+1,$D$2:$E$10,2,false))</f>
        <v>50</v>
      </c>
      <c r="AP216" s="12">
        <f t="shared" si="644"/>
        <v>5</v>
      </c>
      <c r="AQ216" s="12">
        <f t="shared" si="644"/>
        <v>5</v>
      </c>
      <c r="AR216" s="15">
        <f t="shared" si="644"/>
        <v>1</v>
      </c>
      <c r="AS216" s="15">
        <f t="shared" si="644"/>
        <v>1</v>
      </c>
      <c r="AU216" s="11">
        <f t="shared" si="8"/>
        <v>0.006908064258</v>
      </c>
    </row>
    <row r="217" ht="15.75" customHeight="1">
      <c r="A217" s="16">
        <f t="shared" si="4"/>
        <v>3.093316302</v>
      </c>
      <c r="B217" s="7">
        <f>(sum(AH217:AL217))*'Optimal Choice'!$B$28</f>
        <v>55507</v>
      </c>
      <c r="C217" s="11"/>
      <c r="D217" s="12"/>
      <c r="E217" s="12"/>
      <c r="F217" s="11"/>
      <c r="G217" s="11">
        <f>(T217/$B217)+(T217/('Optimal Choice'!$B$4*AO217))</f>
        <v>197.3472122</v>
      </c>
      <c r="H217" s="11">
        <f>(U217/$B217)+(U217/('Optimal Choice'!$B$9*AP217))</f>
        <v>212.9326481</v>
      </c>
      <c r="I217" s="11">
        <f>(V217/$B217)+(V217/('Optimal Choice'!$B$14*AQ217))</f>
        <v>55.46993232</v>
      </c>
      <c r="J217" s="11">
        <f>(W217/$B217)+(W217/('Optimal Choice'!$B$19*AR217))</f>
        <v>192.9089496</v>
      </c>
      <c r="K217" s="11">
        <f>(X217/$B217)+(X217/('Optimal Choice'!$B$24*AS217))</f>
        <v>194.2840341</v>
      </c>
      <c r="N217" s="12">
        <f t="shared" ref="N217:R217" si="645">if(min($G216:$K216)=G216,N216+1,N216)</f>
        <v>122</v>
      </c>
      <c r="O217" s="12">
        <f t="shared" si="645"/>
        <v>41</v>
      </c>
      <c r="P217" s="12">
        <f t="shared" si="645"/>
        <v>26</v>
      </c>
      <c r="Q217" s="12">
        <f t="shared" si="645"/>
        <v>16</v>
      </c>
      <c r="R217" s="12">
        <f t="shared" si="645"/>
        <v>11</v>
      </c>
      <c r="T217" s="13">
        <f> 'Optimal Choice'!$B$5*'Optimal Choice'!$B$6^(N217+1)</f>
        <v>16453.74062</v>
      </c>
      <c r="U217" s="13">
        <f> 'Optimal Choice'!$B$10*'Optimal Choice'!$B$11^(O217+1)</f>
        <v>21254.97239</v>
      </c>
      <c r="V217" s="13">
        <f> 'Optimal Choice'!$B$15*'Optimal Choice'!$B$16^(P217+1)</f>
        <v>24760.73217</v>
      </c>
      <c r="W217" s="13">
        <f> 'Optimal Choice'!$B$20*'Optimal Choice'!$B$21^(Q217+1)</f>
        <v>68999.71258</v>
      </c>
      <c r="X217" s="13">
        <f> 'Optimal Choice'!$B$25*'Optimal Choice'!$B$26^(R217+1)</f>
        <v>403934.7909</v>
      </c>
      <c r="AA217" s="12">
        <f t="shared" ref="AA217:AE217" si="646">if(isna(VLOOKUP(N217,$D$2:$E$10,2,false)),AA216, VLOOKUP(N217,$D$2:$E$10,2,false))</f>
        <v>50</v>
      </c>
      <c r="AB217" s="12">
        <f t="shared" si="646"/>
        <v>5</v>
      </c>
      <c r="AC217" s="12">
        <f t="shared" si="646"/>
        <v>5</v>
      </c>
      <c r="AD217" s="15">
        <f t="shared" si="646"/>
        <v>1</v>
      </c>
      <c r="AE217" s="15">
        <f t="shared" si="646"/>
        <v>1</v>
      </c>
      <c r="AH217" s="15">
        <f>N217*'Optimal Choice'!$B$4*AA217</f>
        <v>10187</v>
      </c>
      <c r="AI217" s="15">
        <f>O217*'Optimal Choice'!$B$9*AB217</f>
        <v>4100</v>
      </c>
      <c r="AJ217" s="15">
        <f>P217*'Optimal Choice'!$B$14*AC217</f>
        <v>11700</v>
      </c>
      <c r="AK217" s="15">
        <f>Q217*'Optimal Choice'!$B$19*AD217</f>
        <v>5760</v>
      </c>
      <c r="AL217" s="15">
        <f>R217*'Optimal Choice'!$B$24*AE217</f>
        <v>23760</v>
      </c>
      <c r="AO217" s="12">
        <f t="shared" ref="AO217:AS217" si="647">if(isna(VLOOKUP(N217+1,$D$2:$E$10,2,false)),AO216, VLOOKUP(N217+1,$D$2:$E$10,2,false))</f>
        <v>50</v>
      </c>
      <c r="AP217" s="12">
        <f t="shared" si="647"/>
        <v>5</v>
      </c>
      <c r="AQ217" s="12">
        <f t="shared" si="647"/>
        <v>5</v>
      </c>
      <c r="AR217" s="15">
        <f t="shared" si="647"/>
        <v>1</v>
      </c>
      <c r="AS217" s="15">
        <f t="shared" si="647"/>
        <v>1</v>
      </c>
      <c r="AU217" s="11">
        <f t="shared" si="8"/>
        <v>0.006574986075</v>
      </c>
    </row>
    <row r="218" ht="15.75" customHeight="1">
      <c r="A218" s="16">
        <f t="shared" si="4"/>
        <v>3.100751019</v>
      </c>
      <c r="B218" s="7">
        <f>(sum(AH218:AL218))*'Optimal Choice'!$B$28</f>
        <v>55957</v>
      </c>
      <c r="C218" s="11"/>
      <c r="D218" s="12"/>
      <c r="E218" s="12"/>
      <c r="F218" s="11"/>
      <c r="G218" s="11">
        <f>(T218/$B218)+(T218/('Optimal Choice'!$B$4*AO218))</f>
        <v>197.3448284</v>
      </c>
      <c r="H218" s="11">
        <f>(U218/$B218)+(U218/('Optimal Choice'!$B$9*AP218))</f>
        <v>212.9295687</v>
      </c>
      <c r="I218" s="11">
        <f>(V218/$B218)+(V218/('Optimal Choice'!$B$14*AQ218))</f>
        <v>63.23163326</v>
      </c>
      <c r="J218" s="11">
        <f>(W218/$B218)+(W218/('Optimal Choice'!$B$19*AR218))</f>
        <v>192.8989528</v>
      </c>
      <c r="K218" s="11">
        <f>(X218/$B218)+(X218/('Optimal Choice'!$B$24*AS218))</f>
        <v>194.2255118</v>
      </c>
      <c r="N218" s="12">
        <f t="shared" ref="N218:R218" si="648">if(min($G217:$K217)=G217,N217+1,N217)</f>
        <v>122</v>
      </c>
      <c r="O218" s="12">
        <f t="shared" si="648"/>
        <v>41</v>
      </c>
      <c r="P218" s="12">
        <f t="shared" si="648"/>
        <v>27</v>
      </c>
      <c r="Q218" s="12">
        <f t="shared" si="648"/>
        <v>16</v>
      </c>
      <c r="R218" s="12">
        <f t="shared" si="648"/>
        <v>11</v>
      </c>
      <c r="T218" s="13">
        <f> 'Optimal Choice'!$B$5*'Optimal Choice'!$B$6^(N218+1)</f>
        <v>16453.74062</v>
      </c>
      <c r="U218" s="13">
        <f> 'Optimal Choice'!$B$10*'Optimal Choice'!$B$11^(O218+1)</f>
        <v>21254.97239</v>
      </c>
      <c r="V218" s="13">
        <f> 'Optimal Choice'!$B$15*'Optimal Choice'!$B$16^(P218+1)</f>
        <v>28227.23467</v>
      </c>
      <c r="W218" s="13">
        <f> 'Optimal Choice'!$B$20*'Optimal Choice'!$B$21^(Q218+1)</f>
        <v>68999.71258</v>
      </c>
      <c r="X218" s="13">
        <f> 'Optimal Choice'!$B$25*'Optimal Choice'!$B$26^(R218+1)</f>
        <v>403934.7909</v>
      </c>
      <c r="AA218" s="12">
        <f t="shared" ref="AA218:AE218" si="649">if(isna(VLOOKUP(N218,$D$2:$E$10,2,false)),AA217, VLOOKUP(N218,$D$2:$E$10,2,false))</f>
        <v>50</v>
      </c>
      <c r="AB218" s="12">
        <f t="shared" si="649"/>
        <v>5</v>
      </c>
      <c r="AC218" s="12">
        <f t="shared" si="649"/>
        <v>5</v>
      </c>
      <c r="AD218" s="15">
        <f t="shared" si="649"/>
        <v>1</v>
      </c>
      <c r="AE218" s="15">
        <f t="shared" si="649"/>
        <v>1</v>
      </c>
      <c r="AH218" s="15">
        <f>N218*'Optimal Choice'!$B$4*AA218</f>
        <v>10187</v>
      </c>
      <c r="AI218" s="15">
        <f>O218*'Optimal Choice'!$B$9*AB218</f>
        <v>4100</v>
      </c>
      <c r="AJ218" s="15">
        <f>P218*'Optimal Choice'!$B$14*AC218</f>
        <v>12150</v>
      </c>
      <c r="AK218" s="15">
        <f>Q218*'Optimal Choice'!$B$19*AD218</f>
        <v>5760</v>
      </c>
      <c r="AL218" s="15">
        <f>R218*'Optimal Choice'!$B$24*AE218</f>
        <v>23760</v>
      </c>
      <c r="AO218" s="12">
        <f t="shared" ref="AO218:AS218" si="650">if(isna(VLOOKUP(N218+1,$D$2:$E$10,2,false)),AO217, VLOOKUP(N218+1,$D$2:$E$10,2,false))</f>
        <v>50</v>
      </c>
      <c r="AP218" s="12">
        <f t="shared" si="650"/>
        <v>5</v>
      </c>
      <c r="AQ218" s="12">
        <f t="shared" si="650"/>
        <v>5</v>
      </c>
      <c r="AR218" s="15">
        <f t="shared" si="650"/>
        <v>1</v>
      </c>
      <c r="AS218" s="15">
        <f t="shared" si="650"/>
        <v>1</v>
      </c>
      <c r="AU218" s="11">
        <f t="shared" si="8"/>
        <v>0.007434717594</v>
      </c>
    </row>
    <row r="219" ht="15.75" customHeight="1">
      <c r="A219" s="16">
        <f t="shared" si="4"/>
        <v>3.109158438</v>
      </c>
      <c r="B219" s="7">
        <f>(sum(AH219:AL219))*'Optimal Choice'!$B$28</f>
        <v>56407</v>
      </c>
      <c r="C219" s="11"/>
      <c r="D219" s="12"/>
      <c r="E219" s="12"/>
      <c r="F219" s="11"/>
      <c r="G219" s="11">
        <f>(T219/$B219)+(T219/('Optimal Choice'!$B$4*AO219))</f>
        <v>197.3424826</v>
      </c>
      <c r="H219" s="11">
        <f>(U219/$B219)+(U219/('Optimal Choice'!$B$9*AP219))</f>
        <v>212.9265384</v>
      </c>
      <c r="I219" s="11">
        <f>(V219/$B219)+(V219/('Optimal Choice'!$B$14*AQ219))</f>
        <v>72.07947419</v>
      </c>
      <c r="J219" s="11">
        <f>(W219/$B219)+(W219/('Optimal Choice'!$B$19*AR219))</f>
        <v>192.8891156</v>
      </c>
      <c r="K219" s="11">
        <f>(X219/$B219)+(X219/('Optimal Choice'!$B$24*AS219))</f>
        <v>194.1679232</v>
      </c>
      <c r="N219" s="12">
        <f t="shared" ref="N219:R219" si="651">if(min($G218:$K218)=G218,N218+1,N218)</f>
        <v>122</v>
      </c>
      <c r="O219" s="12">
        <f t="shared" si="651"/>
        <v>41</v>
      </c>
      <c r="P219" s="12">
        <f t="shared" si="651"/>
        <v>28</v>
      </c>
      <c r="Q219" s="12">
        <f t="shared" si="651"/>
        <v>16</v>
      </c>
      <c r="R219" s="12">
        <f t="shared" si="651"/>
        <v>11</v>
      </c>
      <c r="T219" s="13">
        <f> 'Optimal Choice'!$B$5*'Optimal Choice'!$B$6^(N219+1)</f>
        <v>16453.74062</v>
      </c>
      <c r="U219" s="13">
        <f> 'Optimal Choice'!$B$10*'Optimal Choice'!$B$11^(O219+1)</f>
        <v>21254.97239</v>
      </c>
      <c r="V219" s="13">
        <f> 'Optimal Choice'!$B$15*'Optimal Choice'!$B$16^(P219+1)</f>
        <v>32179.04753</v>
      </c>
      <c r="W219" s="13">
        <f> 'Optimal Choice'!$B$20*'Optimal Choice'!$B$21^(Q219+1)</f>
        <v>68999.71258</v>
      </c>
      <c r="X219" s="13">
        <f> 'Optimal Choice'!$B$25*'Optimal Choice'!$B$26^(R219+1)</f>
        <v>403934.7909</v>
      </c>
      <c r="AA219" s="12">
        <f t="shared" ref="AA219:AE219" si="652">if(isna(VLOOKUP(N219,$D$2:$E$10,2,false)),AA218, VLOOKUP(N219,$D$2:$E$10,2,false))</f>
        <v>50</v>
      </c>
      <c r="AB219" s="12">
        <f t="shared" si="652"/>
        <v>5</v>
      </c>
      <c r="AC219" s="12">
        <f t="shared" si="652"/>
        <v>5</v>
      </c>
      <c r="AD219" s="15">
        <f t="shared" si="652"/>
        <v>1</v>
      </c>
      <c r="AE219" s="15">
        <f t="shared" si="652"/>
        <v>1</v>
      </c>
      <c r="AH219" s="15">
        <f>N219*'Optimal Choice'!$B$4*AA219</f>
        <v>10187</v>
      </c>
      <c r="AI219" s="15">
        <f>O219*'Optimal Choice'!$B$9*AB219</f>
        <v>4100</v>
      </c>
      <c r="AJ219" s="15">
        <f>P219*'Optimal Choice'!$B$14*AC219</f>
        <v>12600</v>
      </c>
      <c r="AK219" s="15">
        <f>Q219*'Optimal Choice'!$B$19*AD219</f>
        <v>5760</v>
      </c>
      <c r="AL219" s="15">
        <f>R219*'Optimal Choice'!$B$24*AE219</f>
        <v>23760</v>
      </c>
      <c r="AO219" s="12">
        <f t="shared" ref="AO219:AS219" si="653">if(isna(VLOOKUP(N219+1,$D$2:$E$10,2,false)),AO218, VLOOKUP(N219+1,$D$2:$E$10,2,false))</f>
        <v>50</v>
      </c>
      <c r="AP219" s="12">
        <f t="shared" si="653"/>
        <v>5</v>
      </c>
      <c r="AQ219" s="12">
        <f t="shared" si="653"/>
        <v>5</v>
      </c>
      <c r="AR219" s="15">
        <f t="shared" si="653"/>
        <v>1</v>
      </c>
      <c r="AS219" s="15">
        <f t="shared" si="653"/>
        <v>1</v>
      </c>
      <c r="AU219" s="11">
        <f t="shared" si="8"/>
        <v>0.008407418396</v>
      </c>
    </row>
    <row r="220" ht="15.75" customHeight="1">
      <c r="A220" s="16">
        <f t="shared" si="4"/>
        <v>3.118666432</v>
      </c>
      <c r="B220" s="7">
        <f>(sum(AH220:AL220))*'Optimal Choice'!$B$28</f>
        <v>56857</v>
      </c>
      <c r="C220" s="11"/>
      <c r="D220" s="12"/>
      <c r="E220" s="12"/>
      <c r="F220" s="11"/>
      <c r="G220" s="11">
        <f>(T220/$B220)+(T220/('Optimal Choice'!$B$4*AO220))</f>
        <v>197.3401739</v>
      </c>
      <c r="H220" s="11">
        <f>(U220/$B220)+(U220/('Optimal Choice'!$B$9*AP220))</f>
        <v>212.923556</v>
      </c>
      <c r="I220" s="11">
        <f>(V220/$B220)+(V220/('Optimal Choice'!$B$14*AQ220))</f>
        <v>82.16545334</v>
      </c>
      <c r="J220" s="11">
        <f>(W220/$B220)+(W220/('Optimal Choice'!$B$19*AR220))</f>
        <v>192.8794341</v>
      </c>
      <c r="K220" s="11">
        <f>(X220/$B220)+(X220/('Optimal Choice'!$B$24*AS220))</f>
        <v>194.1112462</v>
      </c>
      <c r="N220" s="12">
        <f t="shared" ref="N220:R220" si="654">if(min($G219:$K219)=G219,N219+1,N219)</f>
        <v>122</v>
      </c>
      <c r="O220" s="12">
        <f t="shared" si="654"/>
        <v>41</v>
      </c>
      <c r="P220" s="12">
        <f t="shared" si="654"/>
        <v>29</v>
      </c>
      <c r="Q220" s="12">
        <f t="shared" si="654"/>
        <v>16</v>
      </c>
      <c r="R220" s="12">
        <f t="shared" si="654"/>
        <v>11</v>
      </c>
      <c r="T220" s="13">
        <f> 'Optimal Choice'!$B$5*'Optimal Choice'!$B$6^(N220+1)</f>
        <v>16453.74062</v>
      </c>
      <c r="U220" s="13">
        <f> 'Optimal Choice'!$B$10*'Optimal Choice'!$B$11^(O220+1)</f>
        <v>21254.97239</v>
      </c>
      <c r="V220" s="13">
        <f> 'Optimal Choice'!$B$15*'Optimal Choice'!$B$16^(P220+1)</f>
        <v>36684.11418</v>
      </c>
      <c r="W220" s="13">
        <f> 'Optimal Choice'!$B$20*'Optimal Choice'!$B$21^(Q220+1)</f>
        <v>68999.71258</v>
      </c>
      <c r="X220" s="13">
        <f> 'Optimal Choice'!$B$25*'Optimal Choice'!$B$26^(R220+1)</f>
        <v>403934.7909</v>
      </c>
      <c r="AA220" s="12">
        <f t="shared" ref="AA220:AE220" si="655">if(isna(VLOOKUP(N220,$D$2:$E$10,2,false)),AA219, VLOOKUP(N220,$D$2:$E$10,2,false))</f>
        <v>50</v>
      </c>
      <c r="AB220" s="12">
        <f t="shared" si="655"/>
        <v>5</v>
      </c>
      <c r="AC220" s="12">
        <f t="shared" si="655"/>
        <v>5</v>
      </c>
      <c r="AD220" s="15">
        <f t="shared" si="655"/>
        <v>1</v>
      </c>
      <c r="AE220" s="15">
        <f t="shared" si="655"/>
        <v>1</v>
      </c>
      <c r="AH220" s="15">
        <f>N220*'Optimal Choice'!$B$4*AA220</f>
        <v>10187</v>
      </c>
      <c r="AI220" s="15">
        <f>O220*'Optimal Choice'!$B$9*AB220</f>
        <v>4100</v>
      </c>
      <c r="AJ220" s="15">
        <f>P220*'Optimal Choice'!$B$14*AC220</f>
        <v>13050</v>
      </c>
      <c r="AK220" s="15">
        <f>Q220*'Optimal Choice'!$B$19*AD220</f>
        <v>5760</v>
      </c>
      <c r="AL220" s="15">
        <f>R220*'Optimal Choice'!$B$24*AE220</f>
        <v>23760</v>
      </c>
      <c r="AO220" s="12">
        <f t="shared" ref="AO220:AS220" si="656">if(isna(VLOOKUP(N220+1,$D$2:$E$10,2,false)),AO219, VLOOKUP(N220+1,$D$2:$E$10,2,false))</f>
        <v>50</v>
      </c>
      <c r="AP220" s="12">
        <f t="shared" si="656"/>
        <v>5</v>
      </c>
      <c r="AQ220" s="12">
        <f t="shared" si="656"/>
        <v>5</v>
      </c>
      <c r="AR220" s="15">
        <f t="shared" si="656"/>
        <v>1</v>
      </c>
      <c r="AS220" s="15">
        <f t="shared" si="656"/>
        <v>1</v>
      </c>
      <c r="AU220" s="11">
        <f t="shared" si="8"/>
        <v>0.009507994731</v>
      </c>
    </row>
    <row r="221" ht="15.75" customHeight="1">
      <c r="A221" s="16">
        <f t="shared" si="4"/>
        <v>3.129419759</v>
      </c>
      <c r="B221" s="7">
        <f>(sum(AH221:AL221))*'Optimal Choice'!$B$28</f>
        <v>57307</v>
      </c>
      <c r="C221" s="11"/>
      <c r="D221" s="12"/>
      <c r="E221" s="12"/>
      <c r="F221" s="11"/>
      <c r="G221" s="11">
        <f>(T221/$B221)+(T221/('Optimal Choice'!$B$4*AO221))</f>
        <v>197.3379015</v>
      </c>
      <c r="H221" s="11">
        <f>(U221/$B221)+(U221/('Optimal Choice'!$B$9*AP221))</f>
        <v>212.9206206</v>
      </c>
      <c r="I221" s="11">
        <f>(V221/$B221)+(V221/('Optimal Choice'!$B$14*AQ221))</f>
        <v>93.66284112</v>
      </c>
      <c r="J221" s="11">
        <f>(W221/$B221)+(W221/('Optimal Choice'!$B$19*AR221))</f>
        <v>192.8699047</v>
      </c>
      <c r="K221" s="11">
        <f>(X221/$B221)+(X221/('Optimal Choice'!$B$24*AS221))</f>
        <v>194.0554593</v>
      </c>
      <c r="N221" s="12">
        <f t="shared" ref="N221:R221" si="657">if(min($G220:$K220)=G220,N220+1,N220)</f>
        <v>122</v>
      </c>
      <c r="O221" s="12">
        <f t="shared" si="657"/>
        <v>41</v>
      </c>
      <c r="P221" s="12">
        <f t="shared" si="657"/>
        <v>30</v>
      </c>
      <c r="Q221" s="12">
        <f t="shared" si="657"/>
        <v>16</v>
      </c>
      <c r="R221" s="12">
        <f t="shared" si="657"/>
        <v>11</v>
      </c>
      <c r="T221" s="13">
        <f> 'Optimal Choice'!$B$5*'Optimal Choice'!$B$6^(N221+1)</f>
        <v>16453.74062</v>
      </c>
      <c r="U221" s="13">
        <f> 'Optimal Choice'!$B$10*'Optimal Choice'!$B$11^(O221+1)</f>
        <v>21254.97239</v>
      </c>
      <c r="V221" s="13">
        <f> 'Optimal Choice'!$B$15*'Optimal Choice'!$B$16^(P221+1)</f>
        <v>41819.89017</v>
      </c>
      <c r="W221" s="13">
        <f> 'Optimal Choice'!$B$20*'Optimal Choice'!$B$21^(Q221+1)</f>
        <v>68999.71258</v>
      </c>
      <c r="X221" s="13">
        <f> 'Optimal Choice'!$B$25*'Optimal Choice'!$B$26^(R221+1)</f>
        <v>403934.7909</v>
      </c>
      <c r="AA221" s="12">
        <f t="shared" ref="AA221:AE221" si="658">if(isna(VLOOKUP(N221,$D$2:$E$10,2,false)),AA220, VLOOKUP(N221,$D$2:$E$10,2,false))</f>
        <v>50</v>
      </c>
      <c r="AB221" s="12">
        <f t="shared" si="658"/>
        <v>5</v>
      </c>
      <c r="AC221" s="12">
        <f t="shared" si="658"/>
        <v>5</v>
      </c>
      <c r="AD221" s="15">
        <f t="shared" si="658"/>
        <v>1</v>
      </c>
      <c r="AE221" s="15">
        <f t="shared" si="658"/>
        <v>1</v>
      </c>
      <c r="AH221" s="15">
        <f>N221*'Optimal Choice'!$B$4*AA221</f>
        <v>10187</v>
      </c>
      <c r="AI221" s="15">
        <f>O221*'Optimal Choice'!$B$9*AB221</f>
        <v>4100</v>
      </c>
      <c r="AJ221" s="15">
        <f>P221*'Optimal Choice'!$B$14*AC221</f>
        <v>13500</v>
      </c>
      <c r="AK221" s="15">
        <f>Q221*'Optimal Choice'!$B$19*AD221</f>
        <v>5760</v>
      </c>
      <c r="AL221" s="15">
        <f>R221*'Optimal Choice'!$B$24*AE221</f>
        <v>23760</v>
      </c>
      <c r="AO221" s="12">
        <f t="shared" ref="AO221:AS221" si="659">if(isna(VLOOKUP(N221+1,$D$2:$E$10,2,false)),AO220, VLOOKUP(N221+1,$D$2:$E$10,2,false))</f>
        <v>50</v>
      </c>
      <c r="AP221" s="12">
        <f t="shared" si="659"/>
        <v>5</v>
      </c>
      <c r="AQ221" s="12">
        <f t="shared" si="659"/>
        <v>5</v>
      </c>
      <c r="AR221" s="15">
        <f t="shared" si="659"/>
        <v>1</v>
      </c>
      <c r="AS221" s="15">
        <f t="shared" si="659"/>
        <v>1</v>
      </c>
      <c r="AU221" s="11">
        <f t="shared" si="8"/>
        <v>0.01075332682</v>
      </c>
    </row>
    <row r="222" ht="15.75" customHeight="1">
      <c r="A222" s="16">
        <f t="shared" si="4"/>
        <v>3.14158229</v>
      </c>
      <c r="B222" s="7">
        <f>(sum(AH222:AL222))*'Optimal Choice'!$B$28</f>
        <v>57757</v>
      </c>
      <c r="C222" s="11"/>
      <c r="D222" s="12"/>
      <c r="E222" s="12"/>
      <c r="F222" s="11"/>
      <c r="G222" s="11">
        <f>(T222/$B222)+(T222/('Optimal Choice'!$B$4*AO222))</f>
        <v>197.3356645</v>
      </c>
      <c r="H222" s="11">
        <f>(U222/$B222)+(U222/('Optimal Choice'!$B$9*AP222))</f>
        <v>212.9177308</v>
      </c>
      <c r="I222" s="11">
        <f>(V222/$B222)+(V222/('Optimal Choice'!$B$14*AQ222))</f>
        <v>106.7691572</v>
      </c>
      <c r="J222" s="11">
        <f>(W222/$B222)+(W222/('Optimal Choice'!$B$19*AR222))</f>
        <v>192.8605237</v>
      </c>
      <c r="K222" s="11">
        <f>(X222/$B222)+(X222/('Optimal Choice'!$B$24*AS222))</f>
        <v>194.0005418</v>
      </c>
      <c r="N222" s="12">
        <f t="shared" ref="N222:R222" si="660">if(min($G221:$K221)=G221,N221+1,N221)</f>
        <v>122</v>
      </c>
      <c r="O222" s="12">
        <f t="shared" si="660"/>
        <v>41</v>
      </c>
      <c r="P222" s="12">
        <f t="shared" si="660"/>
        <v>31</v>
      </c>
      <c r="Q222" s="12">
        <f t="shared" si="660"/>
        <v>16</v>
      </c>
      <c r="R222" s="12">
        <f t="shared" si="660"/>
        <v>11</v>
      </c>
      <c r="T222" s="13">
        <f> 'Optimal Choice'!$B$5*'Optimal Choice'!$B$6^(N222+1)</f>
        <v>16453.74062</v>
      </c>
      <c r="U222" s="13">
        <f> 'Optimal Choice'!$B$10*'Optimal Choice'!$B$11^(O222+1)</f>
        <v>21254.97239</v>
      </c>
      <c r="V222" s="13">
        <f> 'Optimal Choice'!$B$15*'Optimal Choice'!$B$16^(P222+1)</f>
        <v>47674.67479</v>
      </c>
      <c r="W222" s="13">
        <f> 'Optimal Choice'!$B$20*'Optimal Choice'!$B$21^(Q222+1)</f>
        <v>68999.71258</v>
      </c>
      <c r="X222" s="13">
        <f> 'Optimal Choice'!$B$25*'Optimal Choice'!$B$26^(R222+1)</f>
        <v>403934.7909</v>
      </c>
      <c r="AA222" s="12">
        <f t="shared" ref="AA222:AE222" si="661">if(isna(VLOOKUP(N222,$D$2:$E$10,2,false)),AA221, VLOOKUP(N222,$D$2:$E$10,2,false))</f>
        <v>50</v>
      </c>
      <c r="AB222" s="12">
        <f t="shared" si="661"/>
        <v>5</v>
      </c>
      <c r="AC222" s="12">
        <f t="shared" si="661"/>
        <v>5</v>
      </c>
      <c r="AD222" s="15">
        <f t="shared" si="661"/>
        <v>1</v>
      </c>
      <c r="AE222" s="15">
        <f t="shared" si="661"/>
        <v>1</v>
      </c>
      <c r="AH222" s="15">
        <f>N222*'Optimal Choice'!$B$4*AA222</f>
        <v>10187</v>
      </c>
      <c r="AI222" s="15">
        <f>O222*'Optimal Choice'!$B$9*AB222</f>
        <v>4100</v>
      </c>
      <c r="AJ222" s="15">
        <f>P222*'Optimal Choice'!$B$14*AC222</f>
        <v>13950</v>
      </c>
      <c r="AK222" s="15">
        <f>Q222*'Optimal Choice'!$B$19*AD222</f>
        <v>5760</v>
      </c>
      <c r="AL222" s="15">
        <f>R222*'Optimal Choice'!$B$24*AE222</f>
        <v>23760</v>
      </c>
      <c r="AO222" s="12">
        <f t="shared" ref="AO222:AS222" si="662">if(isna(VLOOKUP(N222+1,$D$2:$E$10,2,false)),AO221, VLOOKUP(N222+1,$D$2:$E$10,2,false))</f>
        <v>50</v>
      </c>
      <c r="AP222" s="12">
        <f t="shared" si="662"/>
        <v>5</v>
      </c>
      <c r="AQ222" s="12">
        <f t="shared" si="662"/>
        <v>5</v>
      </c>
      <c r="AR222" s="15">
        <f t="shared" si="662"/>
        <v>1</v>
      </c>
      <c r="AS222" s="15">
        <f t="shared" si="662"/>
        <v>1</v>
      </c>
      <c r="AU222" s="11">
        <f t="shared" si="8"/>
        <v>0.01216253109</v>
      </c>
    </row>
    <row r="223" ht="15.75" customHeight="1">
      <c r="A223" s="16">
        <f t="shared" si="4"/>
        <v>3.155339548</v>
      </c>
      <c r="B223" s="7">
        <f>(sum(AH223:AL223))*'Optimal Choice'!$B$28</f>
        <v>58207</v>
      </c>
      <c r="C223" s="11"/>
      <c r="D223" s="12"/>
      <c r="E223" s="12"/>
      <c r="F223" s="11"/>
      <c r="G223" s="11">
        <f>(T223/$B223)+(T223/('Optimal Choice'!$B$4*AO223))</f>
        <v>197.3334621</v>
      </c>
      <c r="H223" s="11">
        <f>(U223/$B223)+(U223/('Optimal Choice'!$B$9*AP223))</f>
        <v>212.9148857</v>
      </c>
      <c r="I223" s="11">
        <f>(V223/$B223)+(V223/('Optimal Choice'!$B$14*AQ223))</f>
        <v>121.7095643</v>
      </c>
      <c r="J223" s="11">
        <f>(W223/$B223)+(W223/('Optimal Choice'!$B$19*AR223))</f>
        <v>192.8512878</v>
      </c>
      <c r="K223" s="11">
        <f>(X223/$B223)+(X223/('Optimal Choice'!$B$24*AS223))</f>
        <v>193.9464733</v>
      </c>
      <c r="N223" s="12">
        <f t="shared" ref="N223:R223" si="663">if(min($G222:$K222)=G222,N222+1,N222)</f>
        <v>122</v>
      </c>
      <c r="O223" s="12">
        <f t="shared" si="663"/>
        <v>41</v>
      </c>
      <c r="P223" s="12">
        <f t="shared" si="663"/>
        <v>32</v>
      </c>
      <c r="Q223" s="12">
        <f t="shared" si="663"/>
        <v>16</v>
      </c>
      <c r="R223" s="12">
        <f t="shared" si="663"/>
        <v>11</v>
      </c>
      <c r="T223" s="13">
        <f> 'Optimal Choice'!$B$5*'Optimal Choice'!$B$6^(N223+1)</f>
        <v>16453.74062</v>
      </c>
      <c r="U223" s="13">
        <f> 'Optimal Choice'!$B$10*'Optimal Choice'!$B$11^(O223+1)</f>
        <v>21254.97239</v>
      </c>
      <c r="V223" s="13">
        <f> 'Optimal Choice'!$B$15*'Optimal Choice'!$B$16^(P223+1)</f>
        <v>54349.12926</v>
      </c>
      <c r="W223" s="13">
        <f> 'Optimal Choice'!$B$20*'Optimal Choice'!$B$21^(Q223+1)</f>
        <v>68999.71258</v>
      </c>
      <c r="X223" s="13">
        <f> 'Optimal Choice'!$B$25*'Optimal Choice'!$B$26^(R223+1)</f>
        <v>403934.7909</v>
      </c>
      <c r="AA223" s="12">
        <f t="shared" ref="AA223:AE223" si="664">if(isna(VLOOKUP(N223,$D$2:$E$10,2,false)),AA222, VLOOKUP(N223,$D$2:$E$10,2,false))</f>
        <v>50</v>
      </c>
      <c r="AB223" s="12">
        <f t="shared" si="664"/>
        <v>5</v>
      </c>
      <c r="AC223" s="12">
        <f t="shared" si="664"/>
        <v>5</v>
      </c>
      <c r="AD223" s="15">
        <f t="shared" si="664"/>
        <v>1</v>
      </c>
      <c r="AE223" s="15">
        <f t="shared" si="664"/>
        <v>1</v>
      </c>
      <c r="AH223" s="15">
        <f>N223*'Optimal Choice'!$B$4*AA223</f>
        <v>10187</v>
      </c>
      <c r="AI223" s="15">
        <f>O223*'Optimal Choice'!$B$9*AB223</f>
        <v>4100</v>
      </c>
      <c r="AJ223" s="15">
        <f>P223*'Optimal Choice'!$B$14*AC223</f>
        <v>14400</v>
      </c>
      <c r="AK223" s="15">
        <f>Q223*'Optimal Choice'!$B$19*AD223</f>
        <v>5760</v>
      </c>
      <c r="AL223" s="15">
        <f>R223*'Optimal Choice'!$B$24*AE223</f>
        <v>23760</v>
      </c>
      <c r="AO223" s="12">
        <f t="shared" ref="AO223:AS223" si="665">if(isna(VLOOKUP(N223+1,$D$2:$E$10,2,false)),AO222, VLOOKUP(N223+1,$D$2:$E$10,2,false))</f>
        <v>50</v>
      </c>
      <c r="AP223" s="12">
        <f t="shared" si="665"/>
        <v>5</v>
      </c>
      <c r="AQ223" s="12">
        <f t="shared" si="665"/>
        <v>5</v>
      </c>
      <c r="AR223" s="15">
        <f t="shared" si="665"/>
        <v>1</v>
      </c>
      <c r="AS223" s="15">
        <f t="shared" si="665"/>
        <v>1</v>
      </c>
      <c r="AU223" s="11">
        <f t="shared" si="8"/>
        <v>0.01375725736</v>
      </c>
    </row>
    <row r="224" ht="15.75" customHeight="1">
      <c r="A224" s="16">
        <f t="shared" si="4"/>
        <v>3.170901573</v>
      </c>
      <c r="B224" s="7">
        <f>(sum(AH224:AL224))*'Optimal Choice'!$B$28</f>
        <v>58657</v>
      </c>
      <c r="C224" s="11"/>
      <c r="D224" s="12"/>
      <c r="E224" s="12"/>
      <c r="F224" s="11"/>
      <c r="G224" s="11">
        <f>(T224/$B224)+(T224/('Optimal Choice'!$B$4*AO224))</f>
        <v>197.3312935</v>
      </c>
      <c r="H224" s="11">
        <f>(U224/$B224)+(U224/('Optimal Choice'!$B$9*AP224))</f>
        <v>212.9120843</v>
      </c>
      <c r="I224" s="11">
        <f>(V224/$B224)+(V224/('Optimal Choice'!$B$14*AQ224))</f>
        <v>138.7407372</v>
      </c>
      <c r="J224" s="11">
        <f>(W224/$B224)+(W224/('Optimal Choice'!$B$19*AR224))</f>
        <v>192.8421936</v>
      </c>
      <c r="K224" s="11">
        <f>(X224/$B224)+(X224/('Optimal Choice'!$B$24*AS224))</f>
        <v>193.8932344</v>
      </c>
      <c r="N224" s="12">
        <f t="shared" ref="N224:R224" si="666">if(min($G223:$K223)=G223,N223+1,N223)</f>
        <v>122</v>
      </c>
      <c r="O224" s="12">
        <f t="shared" si="666"/>
        <v>41</v>
      </c>
      <c r="P224" s="12">
        <f t="shared" si="666"/>
        <v>33</v>
      </c>
      <c r="Q224" s="12">
        <f t="shared" si="666"/>
        <v>16</v>
      </c>
      <c r="R224" s="12">
        <f t="shared" si="666"/>
        <v>11</v>
      </c>
      <c r="T224" s="13">
        <f> 'Optimal Choice'!$B$5*'Optimal Choice'!$B$6^(N224+1)</f>
        <v>16453.74062</v>
      </c>
      <c r="U224" s="13">
        <f> 'Optimal Choice'!$B$10*'Optimal Choice'!$B$11^(O224+1)</f>
        <v>21254.97239</v>
      </c>
      <c r="V224" s="13">
        <f> 'Optimal Choice'!$B$15*'Optimal Choice'!$B$16^(P224+1)</f>
        <v>61958.00735</v>
      </c>
      <c r="W224" s="13">
        <f> 'Optimal Choice'!$B$20*'Optimal Choice'!$B$21^(Q224+1)</f>
        <v>68999.71258</v>
      </c>
      <c r="X224" s="13">
        <f> 'Optimal Choice'!$B$25*'Optimal Choice'!$B$26^(R224+1)</f>
        <v>403934.7909</v>
      </c>
      <c r="AA224" s="12">
        <f t="shared" ref="AA224:AE224" si="667">if(isna(VLOOKUP(N224,$D$2:$E$10,2,false)),AA223, VLOOKUP(N224,$D$2:$E$10,2,false))</f>
        <v>50</v>
      </c>
      <c r="AB224" s="12">
        <f t="shared" si="667"/>
        <v>5</v>
      </c>
      <c r="AC224" s="12">
        <f t="shared" si="667"/>
        <v>5</v>
      </c>
      <c r="AD224" s="15">
        <f t="shared" si="667"/>
        <v>1</v>
      </c>
      <c r="AE224" s="15">
        <f t="shared" si="667"/>
        <v>1</v>
      </c>
      <c r="AH224" s="15">
        <f>N224*'Optimal Choice'!$B$4*AA224</f>
        <v>10187</v>
      </c>
      <c r="AI224" s="15">
        <f>O224*'Optimal Choice'!$B$9*AB224</f>
        <v>4100</v>
      </c>
      <c r="AJ224" s="15">
        <f>P224*'Optimal Choice'!$B$14*AC224</f>
        <v>14850</v>
      </c>
      <c r="AK224" s="15">
        <f>Q224*'Optimal Choice'!$B$19*AD224</f>
        <v>5760</v>
      </c>
      <c r="AL224" s="15">
        <f>R224*'Optimal Choice'!$B$24*AE224</f>
        <v>23760</v>
      </c>
      <c r="AO224" s="12">
        <f t="shared" ref="AO224:AS224" si="668">if(isna(VLOOKUP(N224+1,$D$2:$E$10,2,false)),AO223, VLOOKUP(N224+1,$D$2:$E$10,2,false))</f>
        <v>50</v>
      </c>
      <c r="AP224" s="12">
        <f t="shared" si="668"/>
        <v>5</v>
      </c>
      <c r="AQ224" s="12">
        <f t="shared" si="668"/>
        <v>5</v>
      </c>
      <c r="AR224" s="15">
        <f t="shared" si="668"/>
        <v>1</v>
      </c>
      <c r="AS224" s="15">
        <f t="shared" si="668"/>
        <v>1</v>
      </c>
      <c r="AU224" s="11">
        <f t="shared" si="8"/>
        <v>0.01556202555</v>
      </c>
    </row>
    <row r="225" ht="15.75" customHeight="1">
      <c r="A225" s="16">
        <f t="shared" si="4"/>
        <v>3.188506181</v>
      </c>
      <c r="B225" s="7">
        <f>(sum(AH225:AL225))*'Optimal Choice'!$B$28</f>
        <v>59107</v>
      </c>
      <c r="C225" s="11"/>
      <c r="D225" s="12"/>
      <c r="E225" s="12"/>
      <c r="F225" s="11"/>
      <c r="G225" s="11">
        <f>(T225/$B225)+(T225/('Optimal Choice'!$B$4*AO225))</f>
        <v>197.3291579</v>
      </c>
      <c r="H225" s="11">
        <f>(U225/$B225)+(U225/('Optimal Choice'!$B$9*AP225))</f>
        <v>212.9093255</v>
      </c>
      <c r="I225" s="11">
        <f>(V225/$B225)+(V225/('Optimal Choice'!$B$14*AQ225))</f>
        <v>158.1552728</v>
      </c>
      <c r="J225" s="11">
        <f>(W225/$B225)+(W225/('Optimal Choice'!$B$19*AR225))</f>
        <v>192.8332378</v>
      </c>
      <c r="K225" s="11">
        <f>(X225/$B225)+(X225/('Optimal Choice'!$B$24*AS225))</f>
        <v>193.8408062</v>
      </c>
      <c r="N225" s="12">
        <f t="shared" ref="N225:R225" si="669">if(min($G224:$K224)=G224,N224+1,N224)</f>
        <v>122</v>
      </c>
      <c r="O225" s="12">
        <f t="shared" si="669"/>
        <v>41</v>
      </c>
      <c r="P225" s="12">
        <f t="shared" si="669"/>
        <v>34</v>
      </c>
      <c r="Q225" s="12">
        <f t="shared" si="669"/>
        <v>16</v>
      </c>
      <c r="R225" s="12">
        <f t="shared" si="669"/>
        <v>11</v>
      </c>
      <c r="T225" s="13">
        <f> 'Optimal Choice'!$B$5*'Optimal Choice'!$B$6^(N225+1)</f>
        <v>16453.74062</v>
      </c>
      <c r="U225" s="13">
        <f> 'Optimal Choice'!$B$10*'Optimal Choice'!$B$11^(O225+1)</f>
        <v>21254.97239</v>
      </c>
      <c r="V225" s="13">
        <f> 'Optimal Choice'!$B$15*'Optimal Choice'!$B$16^(P225+1)</f>
        <v>70632.12838</v>
      </c>
      <c r="W225" s="13">
        <f> 'Optimal Choice'!$B$20*'Optimal Choice'!$B$21^(Q225+1)</f>
        <v>68999.71258</v>
      </c>
      <c r="X225" s="13">
        <f> 'Optimal Choice'!$B$25*'Optimal Choice'!$B$26^(R225+1)</f>
        <v>403934.7909</v>
      </c>
      <c r="AA225" s="12">
        <f t="shared" ref="AA225:AE225" si="670">if(isna(VLOOKUP(N225,$D$2:$E$10,2,false)),AA224, VLOOKUP(N225,$D$2:$E$10,2,false))</f>
        <v>50</v>
      </c>
      <c r="AB225" s="12">
        <f t="shared" si="670"/>
        <v>5</v>
      </c>
      <c r="AC225" s="12">
        <f t="shared" si="670"/>
        <v>5</v>
      </c>
      <c r="AD225" s="15">
        <f t="shared" si="670"/>
        <v>1</v>
      </c>
      <c r="AE225" s="15">
        <f t="shared" si="670"/>
        <v>1</v>
      </c>
      <c r="AH225" s="15">
        <f>N225*'Optimal Choice'!$B$4*AA225</f>
        <v>10187</v>
      </c>
      <c r="AI225" s="15">
        <f>O225*'Optimal Choice'!$B$9*AB225</f>
        <v>4100</v>
      </c>
      <c r="AJ225" s="15">
        <f>P225*'Optimal Choice'!$B$14*AC225</f>
        <v>15300</v>
      </c>
      <c r="AK225" s="15">
        <f>Q225*'Optimal Choice'!$B$19*AD225</f>
        <v>5760</v>
      </c>
      <c r="AL225" s="15">
        <f>R225*'Optimal Choice'!$B$24*AE225</f>
        <v>23760</v>
      </c>
      <c r="AO225" s="12">
        <f t="shared" ref="AO225:AS225" si="671">if(isna(VLOOKUP(N225+1,$D$2:$E$10,2,false)),AO224, VLOOKUP(N225+1,$D$2:$E$10,2,false))</f>
        <v>50</v>
      </c>
      <c r="AP225" s="12">
        <f t="shared" si="671"/>
        <v>5</v>
      </c>
      <c r="AQ225" s="12">
        <f t="shared" si="671"/>
        <v>5</v>
      </c>
      <c r="AR225" s="15">
        <f t="shared" si="671"/>
        <v>1</v>
      </c>
      <c r="AS225" s="15">
        <f t="shared" si="671"/>
        <v>1</v>
      </c>
      <c r="AU225" s="11">
        <f t="shared" si="8"/>
        <v>0.01760460739</v>
      </c>
    </row>
    <row r="226" ht="15.75" customHeight="1">
      <c r="A226" s="16">
        <f t="shared" si="4"/>
        <v>3.20842264</v>
      </c>
      <c r="B226" s="7">
        <f>(sum(AH226:AL226))*'Optimal Choice'!$B$28</f>
        <v>59557</v>
      </c>
      <c r="C226" s="11"/>
      <c r="D226" s="12"/>
      <c r="E226" s="12"/>
      <c r="F226" s="11"/>
      <c r="G226" s="11">
        <f>(T226/$B226)+(T226/('Optimal Choice'!$B$4*AO226))</f>
        <v>197.3270546</v>
      </c>
      <c r="H226" s="11">
        <f>(U226/$B226)+(U226/('Optimal Choice'!$B$9*AP226))</f>
        <v>212.9066085</v>
      </c>
      <c r="I226" s="11">
        <f>(V226/$B226)+(V226/('Optimal Choice'!$B$14*AQ226))</f>
        <v>180.2867179</v>
      </c>
      <c r="J226" s="11">
        <f>(W226/$B226)+(W226/('Optimal Choice'!$B$19*AR226))</f>
        <v>192.8244175</v>
      </c>
      <c r="K226" s="11">
        <f>(X226/$B226)+(X226/('Optimal Choice'!$B$24*AS226))</f>
        <v>193.7891703</v>
      </c>
      <c r="N226" s="12">
        <f t="shared" ref="N226:R226" si="672">if(min($G225:$K225)=G225,N225+1,N225)</f>
        <v>122</v>
      </c>
      <c r="O226" s="12">
        <f t="shared" si="672"/>
        <v>41</v>
      </c>
      <c r="P226" s="12">
        <f t="shared" si="672"/>
        <v>35</v>
      </c>
      <c r="Q226" s="12">
        <f t="shared" si="672"/>
        <v>16</v>
      </c>
      <c r="R226" s="12">
        <f t="shared" si="672"/>
        <v>11</v>
      </c>
      <c r="T226" s="13">
        <f> 'Optimal Choice'!$B$5*'Optimal Choice'!$B$6^(N226+1)</f>
        <v>16453.74062</v>
      </c>
      <c r="U226" s="13">
        <f> 'Optimal Choice'!$B$10*'Optimal Choice'!$B$11^(O226+1)</f>
        <v>21254.97239</v>
      </c>
      <c r="V226" s="13">
        <f> 'Optimal Choice'!$B$15*'Optimal Choice'!$B$16^(P226+1)</f>
        <v>80520.62636</v>
      </c>
      <c r="W226" s="13">
        <f> 'Optimal Choice'!$B$20*'Optimal Choice'!$B$21^(Q226+1)</f>
        <v>68999.71258</v>
      </c>
      <c r="X226" s="13">
        <f> 'Optimal Choice'!$B$25*'Optimal Choice'!$B$26^(R226+1)</f>
        <v>403934.7909</v>
      </c>
      <c r="AA226" s="12">
        <f t="shared" ref="AA226:AE226" si="673">if(isna(VLOOKUP(N226,$D$2:$E$10,2,false)),AA225, VLOOKUP(N226,$D$2:$E$10,2,false))</f>
        <v>50</v>
      </c>
      <c r="AB226" s="12">
        <f t="shared" si="673"/>
        <v>5</v>
      </c>
      <c r="AC226" s="12">
        <f t="shared" si="673"/>
        <v>5</v>
      </c>
      <c r="AD226" s="15">
        <f t="shared" si="673"/>
        <v>1</v>
      </c>
      <c r="AE226" s="15">
        <f t="shared" si="673"/>
        <v>1</v>
      </c>
      <c r="AH226" s="15">
        <f>N226*'Optimal Choice'!$B$4*AA226</f>
        <v>10187</v>
      </c>
      <c r="AI226" s="15">
        <f>O226*'Optimal Choice'!$B$9*AB226</f>
        <v>4100</v>
      </c>
      <c r="AJ226" s="15">
        <f>P226*'Optimal Choice'!$B$14*AC226</f>
        <v>15750</v>
      </c>
      <c r="AK226" s="15">
        <f>Q226*'Optimal Choice'!$B$19*AD226</f>
        <v>5760</v>
      </c>
      <c r="AL226" s="15">
        <f>R226*'Optimal Choice'!$B$24*AE226</f>
        <v>23760</v>
      </c>
      <c r="AO226" s="12">
        <f t="shared" ref="AO226:AS226" si="674">if(isna(VLOOKUP(N226+1,$D$2:$E$10,2,false)),AO225, VLOOKUP(N226+1,$D$2:$E$10,2,false))</f>
        <v>50</v>
      </c>
      <c r="AP226" s="12">
        <f t="shared" si="674"/>
        <v>5</v>
      </c>
      <c r="AQ226" s="12">
        <f t="shared" si="674"/>
        <v>5</v>
      </c>
      <c r="AR226" s="15">
        <f t="shared" si="674"/>
        <v>1</v>
      </c>
      <c r="AS226" s="15">
        <f t="shared" si="674"/>
        <v>1</v>
      </c>
      <c r="AU226" s="11">
        <f t="shared" si="8"/>
        <v>0.01991645896</v>
      </c>
    </row>
    <row r="227" ht="15.75" customHeight="1">
      <c r="A227" s="16">
        <f t="shared" si="4"/>
        <v>3.23095585</v>
      </c>
      <c r="B227" s="7">
        <f>(sum(AH227:AL227))*'Optimal Choice'!$B$28</f>
        <v>60007</v>
      </c>
      <c r="C227" s="11"/>
      <c r="D227" s="12"/>
      <c r="E227" s="12"/>
      <c r="F227" s="11"/>
      <c r="G227" s="11">
        <f>(T227/$B227)+(T227/('Optimal Choice'!$B$4*AO227))</f>
        <v>197.3249828</v>
      </c>
      <c r="H227" s="11">
        <f>(U227/$B227)+(U227/('Optimal Choice'!$B$9*AP227))</f>
        <v>212.9039322</v>
      </c>
      <c r="I227" s="11">
        <f>(V227/$B227)+(V227/('Optimal Choice'!$B$14*AQ227))</f>
        <v>205.5153002</v>
      </c>
      <c r="J227" s="11">
        <f>(W227/$B227)+(W227/('Optimal Choice'!$B$19*AR227))</f>
        <v>192.8157293</v>
      </c>
      <c r="K227" s="11">
        <f>(X227/$B227)+(X227/('Optimal Choice'!$B$24*AS227))</f>
        <v>193.7383088</v>
      </c>
      <c r="N227" s="12">
        <f t="shared" ref="N227:R227" si="675">if(min($G226:$K226)=G226,N226+1,N226)</f>
        <v>122</v>
      </c>
      <c r="O227" s="12">
        <f t="shared" si="675"/>
        <v>41</v>
      </c>
      <c r="P227" s="12">
        <f t="shared" si="675"/>
        <v>36</v>
      </c>
      <c r="Q227" s="12">
        <f t="shared" si="675"/>
        <v>16</v>
      </c>
      <c r="R227" s="12">
        <f t="shared" si="675"/>
        <v>11</v>
      </c>
      <c r="T227" s="13">
        <f> 'Optimal Choice'!$B$5*'Optimal Choice'!$B$6^(N227+1)</f>
        <v>16453.74062</v>
      </c>
      <c r="U227" s="13">
        <f> 'Optimal Choice'!$B$10*'Optimal Choice'!$B$11^(O227+1)</f>
        <v>21254.97239</v>
      </c>
      <c r="V227" s="13">
        <f> 'Optimal Choice'!$B$15*'Optimal Choice'!$B$16^(P227+1)</f>
        <v>91793.51405</v>
      </c>
      <c r="W227" s="13">
        <f> 'Optimal Choice'!$B$20*'Optimal Choice'!$B$21^(Q227+1)</f>
        <v>68999.71258</v>
      </c>
      <c r="X227" s="13">
        <f> 'Optimal Choice'!$B$25*'Optimal Choice'!$B$26^(R227+1)</f>
        <v>403934.7909</v>
      </c>
      <c r="AA227" s="12">
        <f t="shared" ref="AA227:AE227" si="676">if(isna(VLOOKUP(N227,$D$2:$E$10,2,false)),AA226, VLOOKUP(N227,$D$2:$E$10,2,false))</f>
        <v>50</v>
      </c>
      <c r="AB227" s="12">
        <f t="shared" si="676"/>
        <v>5</v>
      </c>
      <c r="AC227" s="12">
        <f t="shared" si="676"/>
        <v>5</v>
      </c>
      <c r="AD227" s="15">
        <f t="shared" si="676"/>
        <v>1</v>
      </c>
      <c r="AE227" s="15">
        <f t="shared" si="676"/>
        <v>1</v>
      </c>
      <c r="AH227" s="15">
        <f>N227*'Optimal Choice'!$B$4*AA227</f>
        <v>10187</v>
      </c>
      <c r="AI227" s="15">
        <f>O227*'Optimal Choice'!$B$9*AB227</f>
        <v>4100</v>
      </c>
      <c r="AJ227" s="15">
        <f>P227*'Optimal Choice'!$B$14*AC227</f>
        <v>16200</v>
      </c>
      <c r="AK227" s="15">
        <f>Q227*'Optimal Choice'!$B$19*AD227</f>
        <v>5760</v>
      </c>
      <c r="AL227" s="15">
        <f>R227*'Optimal Choice'!$B$24*AE227</f>
        <v>23760</v>
      </c>
      <c r="AO227" s="12">
        <f t="shared" ref="AO227:AS227" si="677">if(isna(VLOOKUP(N227+1,$D$2:$E$10,2,false)),AO226, VLOOKUP(N227+1,$D$2:$E$10,2,false))</f>
        <v>50</v>
      </c>
      <c r="AP227" s="12">
        <f t="shared" si="677"/>
        <v>5</v>
      </c>
      <c r="AQ227" s="12">
        <f t="shared" si="677"/>
        <v>5</v>
      </c>
      <c r="AR227" s="15">
        <f t="shared" si="677"/>
        <v>1</v>
      </c>
      <c r="AS227" s="15">
        <f t="shared" si="677"/>
        <v>1</v>
      </c>
      <c r="AU227" s="11">
        <f t="shared" si="8"/>
        <v>0.02253321086</v>
      </c>
    </row>
    <row r="228" ht="15.75" customHeight="1">
      <c r="A228" s="16">
        <f t="shared" si="4"/>
        <v>3.250120201</v>
      </c>
      <c r="B228" s="7">
        <f>(sum(AH228:AL228))*'Optimal Choice'!$B$28</f>
        <v>60367</v>
      </c>
      <c r="C228" s="11"/>
      <c r="D228" s="12"/>
      <c r="E228" s="12"/>
      <c r="F228" s="11"/>
      <c r="G228" s="11">
        <f>(T228/$B228)+(T228/('Optimal Choice'!$B$4*AO228))</f>
        <v>197.3233477</v>
      </c>
      <c r="H228" s="11">
        <f>(U228/$B228)+(U228/('Optimal Choice'!$B$9*AP228))</f>
        <v>212.9018198</v>
      </c>
      <c r="I228" s="11">
        <f>(V228/$B228)+(V228/('Optimal Choice'!$B$14*AQ228))</f>
        <v>205.5061777</v>
      </c>
      <c r="J228" s="11">
        <f>(W228/$B228)+(W228/('Optimal Choice'!$B$19*AR228))</f>
        <v>217.8740255</v>
      </c>
      <c r="K228" s="11">
        <f>(X228/$B228)+(X228/('Optimal Choice'!$B$24*AS228))</f>
        <v>193.6981656</v>
      </c>
      <c r="N228" s="12">
        <f t="shared" ref="N228:R228" si="678">if(min($G227:$K227)=G227,N227+1,N227)</f>
        <v>122</v>
      </c>
      <c r="O228" s="12">
        <f t="shared" si="678"/>
        <v>41</v>
      </c>
      <c r="P228" s="12">
        <f t="shared" si="678"/>
        <v>36</v>
      </c>
      <c r="Q228" s="12">
        <f t="shared" si="678"/>
        <v>17</v>
      </c>
      <c r="R228" s="12">
        <f t="shared" si="678"/>
        <v>11</v>
      </c>
      <c r="T228" s="13">
        <f> 'Optimal Choice'!$B$5*'Optimal Choice'!$B$6^(N228+1)</f>
        <v>16453.74062</v>
      </c>
      <c r="U228" s="13">
        <f> 'Optimal Choice'!$B$10*'Optimal Choice'!$B$11^(O228+1)</f>
        <v>21254.97239</v>
      </c>
      <c r="V228" s="13">
        <f> 'Optimal Choice'!$B$15*'Optimal Choice'!$B$16^(P228+1)</f>
        <v>91793.51405</v>
      </c>
      <c r="W228" s="13">
        <f> 'Optimal Choice'!$B$20*'Optimal Choice'!$B$21^(Q228+1)</f>
        <v>77969.67522</v>
      </c>
      <c r="X228" s="13">
        <f> 'Optimal Choice'!$B$25*'Optimal Choice'!$B$26^(R228+1)</f>
        <v>403934.7909</v>
      </c>
      <c r="AA228" s="12">
        <f t="shared" ref="AA228:AE228" si="679">if(isna(VLOOKUP(N228,$D$2:$E$10,2,false)),AA227, VLOOKUP(N228,$D$2:$E$10,2,false))</f>
        <v>50</v>
      </c>
      <c r="AB228" s="12">
        <f t="shared" si="679"/>
        <v>5</v>
      </c>
      <c r="AC228" s="12">
        <f t="shared" si="679"/>
        <v>5</v>
      </c>
      <c r="AD228" s="15">
        <f t="shared" si="679"/>
        <v>1</v>
      </c>
      <c r="AE228" s="15">
        <f t="shared" si="679"/>
        <v>1</v>
      </c>
      <c r="AH228" s="15">
        <f>N228*'Optimal Choice'!$B$4*AA228</f>
        <v>10187</v>
      </c>
      <c r="AI228" s="15">
        <f>O228*'Optimal Choice'!$B$9*AB228</f>
        <v>4100</v>
      </c>
      <c r="AJ228" s="15">
        <f>P228*'Optimal Choice'!$B$14*AC228</f>
        <v>16200</v>
      </c>
      <c r="AK228" s="15">
        <f>Q228*'Optimal Choice'!$B$19*AD228</f>
        <v>6120</v>
      </c>
      <c r="AL228" s="15">
        <f>R228*'Optimal Choice'!$B$24*AE228</f>
        <v>23760</v>
      </c>
      <c r="AO228" s="12">
        <f t="shared" ref="AO228:AS228" si="680">if(isna(VLOOKUP(N228+1,$D$2:$E$10,2,false)),AO227, VLOOKUP(N228+1,$D$2:$E$10,2,false))</f>
        <v>50</v>
      </c>
      <c r="AP228" s="12">
        <f t="shared" si="680"/>
        <v>5</v>
      </c>
      <c r="AQ228" s="12">
        <f t="shared" si="680"/>
        <v>5</v>
      </c>
      <c r="AR228" s="15">
        <f t="shared" si="680"/>
        <v>1</v>
      </c>
      <c r="AS228" s="15">
        <f t="shared" si="680"/>
        <v>1</v>
      </c>
      <c r="AU228" s="11">
        <f t="shared" si="8"/>
        <v>0.01916435099</v>
      </c>
    </row>
    <row r="229" ht="15.75" customHeight="1">
      <c r="A229" s="16">
        <f t="shared" si="4"/>
        <v>3.361642167</v>
      </c>
      <c r="B229" s="7">
        <f>(sum(AH229:AL229))*'Optimal Choice'!$B$28</f>
        <v>62527</v>
      </c>
      <c r="C229" s="11"/>
      <c r="D229" s="12"/>
      <c r="E229" s="12"/>
      <c r="F229" s="11"/>
      <c r="G229" s="11">
        <f>(T229/$B229)+(T229/('Optimal Choice'!$B$4*AO229))</f>
        <v>197.313932</v>
      </c>
      <c r="H229" s="11">
        <f>(U229/$B229)+(U229/('Optimal Choice'!$B$9*AP229))</f>
        <v>212.8896566</v>
      </c>
      <c r="I229" s="11">
        <f>(V229/$B229)+(V229/('Optimal Choice'!$B$14*AQ229))</f>
        <v>205.4536488</v>
      </c>
      <c r="J229" s="11">
        <f>(W229/$B229)+(W229/('Optimal Choice'!$B$19*AR229))</f>
        <v>217.8294073</v>
      </c>
      <c r="K229" s="11">
        <f>(X229/$B229)+(X229/('Optimal Choice'!$B$24*AS229))</f>
        <v>216.6830551</v>
      </c>
      <c r="N229" s="12">
        <f t="shared" ref="N229:R229" si="681">if(min($G228:$K228)=G228,N228+1,N228)</f>
        <v>122</v>
      </c>
      <c r="O229" s="12">
        <f t="shared" si="681"/>
        <v>41</v>
      </c>
      <c r="P229" s="12">
        <f t="shared" si="681"/>
        <v>36</v>
      </c>
      <c r="Q229" s="12">
        <f t="shared" si="681"/>
        <v>17</v>
      </c>
      <c r="R229" s="12">
        <f t="shared" si="681"/>
        <v>12</v>
      </c>
      <c r="T229" s="13">
        <f> 'Optimal Choice'!$B$5*'Optimal Choice'!$B$6^(N229+1)</f>
        <v>16453.74062</v>
      </c>
      <c r="U229" s="13">
        <f> 'Optimal Choice'!$B$10*'Optimal Choice'!$B$11^(O229+1)</f>
        <v>21254.97239</v>
      </c>
      <c r="V229" s="13">
        <f> 'Optimal Choice'!$B$15*'Optimal Choice'!$B$16^(P229+1)</f>
        <v>91793.51405</v>
      </c>
      <c r="W229" s="13">
        <f> 'Optimal Choice'!$B$20*'Optimal Choice'!$B$21^(Q229+1)</f>
        <v>77969.67522</v>
      </c>
      <c r="X229" s="13">
        <f> 'Optimal Choice'!$B$25*'Optimal Choice'!$B$26^(R229+1)</f>
        <v>452406.9658</v>
      </c>
      <c r="AA229" s="12">
        <f t="shared" ref="AA229:AE229" si="682">if(isna(VLOOKUP(N229,$D$2:$E$10,2,false)),AA228, VLOOKUP(N229,$D$2:$E$10,2,false))</f>
        <v>50</v>
      </c>
      <c r="AB229" s="12">
        <f t="shared" si="682"/>
        <v>5</v>
      </c>
      <c r="AC229" s="12">
        <f t="shared" si="682"/>
        <v>5</v>
      </c>
      <c r="AD229" s="15">
        <f t="shared" si="682"/>
        <v>1</v>
      </c>
      <c r="AE229" s="15">
        <f t="shared" si="682"/>
        <v>1</v>
      </c>
      <c r="AH229" s="15">
        <f>N229*'Optimal Choice'!$B$4*AA229</f>
        <v>10187</v>
      </c>
      <c r="AI229" s="15">
        <f>O229*'Optimal Choice'!$B$9*AB229</f>
        <v>4100</v>
      </c>
      <c r="AJ229" s="15">
        <f>P229*'Optimal Choice'!$B$14*AC229</f>
        <v>16200</v>
      </c>
      <c r="AK229" s="15">
        <f>Q229*'Optimal Choice'!$B$19*AD229</f>
        <v>6120</v>
      </c>
      <c r="AL229" s="15">
        <f>R229*'Optimal Choice'!$B$24*AE229</f>
        <v>25920</v>
      </c>
      <c r="AO229" s="12">
        <f t="shared" ref="AO229:AS229" si="683">if(isna(VLOOKUP(N229+1,$D$2:$E$10,2,false)),AO228, VLOOKUP(N229+1,$D$2:$E$10,2,false))</f>
        <v>50</v>
      </c>
      <c r="AP229" s="12">
        <f t="shared" si="683"/>
        <v>5</v>
      </c>
      <c r="AQ229" s="12">
        <f t="shared" si="683"/>
        <v>5</v>
      </c>
      <c r="AR229" s="15">
        <f t="shared" si="683"/>
        <v>1</v>
      </c>
      <c r="AS229" s="15">
        <f t="shared" si="683"/>
        <v>1</v>
      </c>
      <c r="AU229" s="11">
        <f t="shared" si="8"/>
        <v>0.1115219659</v>
      </c>
    </row>
    <row r="230" ht="15.75" customHeight="1">
      <c r="A230" s="16">
        <f t="shared" si="4"/>
        <v>3.366027937</v>
      </c>
      <c r="B230" s="7">
        <f>(sum(AH230:AL230))*'Optimal Choice'!$B$28</f>
        <v>62610.5</v>
      </c>
      <c r="C230" s="11"/>
      <c r="D230" s="12"/>
      <c r="E230" s="12"/>
      <c r="F230" s="11"/>
      <c r="G230" s="11">
        <f>(T230/$B230)+(T230/('Optimal Choice'!$B$4*AO230))</f>
        <v>211.1255317</v>
      </c>
      <c r="H230" s="11">
        <f>(U230/$B230)+(U230/('Optimal Choice'!$B$9*AP230))</f>
        <v>212.8892033</v>
      </c>
      <c r="I230" s="11">
        <f>(V230/$B230)+(V230/('Optimal Choice'!$B$14*AQ230))</f>
        <v>205.4516909</v>
      </c>
      <c r="J230" s="11">
        <f>(W230/$B230)+(W230/('Optimal Choice'!$B$19*AR230))</f>
        <v>217.8277443</v>
      </c>
      <c r="K230" s="11">
        <f>(X230/$B230)+(X230/('Optimal Choice'!$B$24*AS230))</f>
        <v>216.6734057</v>
      </c>
      <c r="N230" s="12">
        <f t="shared" ref="N230:R230" si="684">if(min($G229:$K229)=G229,N229+1,N229)</f>
        <v>123</v>
      </c>
      <c r="O230" s="12">
        <f t="shared" si="684"/>
        <v>41</v>
      </c>
      <c r="P230" s="12">
        <f t="shared" si="684"/>
        <v>36</v>
      </c>
      <c r="Q230" s="12">
        <f t="shared" si="684"/>
        <v>17</v>
      </c>
      <c r="R230" s="12">
        <f t="shared" si="684"/>
        <v>12</v>
      </c>
      <c r="T230" s="13">
        <f> 'Optimal Choice'!$B$5*'Optimal Choice'!$B$6^(N230+1)</f>
        <v>17605.50246</v>
      </c>
      <c r="U230" s="13">
        <f> 'Optimal Choice'!$B$10*'Optimal Choice'!$B$11^(O230+1)</f>
        <v>21254.97239</v>
      </c>
      <c r="V230" s="13">
        <f> 'Optimal Choice'!$B$15*'Optimal Choice'!$B$16^(P230+1)</f>
        <v>91793.51405</v>
      </c>
      <c r="W230" s="13">
        <f> 'Optimal Choice'!$B$20*'Optimal Choice'!$B$21^(Q230+1)</f>
        <v>77969.67522</v>
      </c>
      <c r="X230" s="13">
        <f> 'Optimal Choice'!$B$25*'Optimal Choice'!$B$26^(R230+1)</f>
        <v>452406.9658</v>
      </c>
      <c r="AA230" s="12">
        <f t="shared" ref="AA230:AE230" si="685">if(isna(VLOOKUP(N230,$D$2:$E$10,2,false)),AA229, VLOOKUP(N230,$D$2:$E$10,2,false))</f>
        <v>50</v>
      </c>
      <c r="AB230" s="12">
        <f t="shared" si="685"/>
        <v>5</v>
      </c>
      <c r="AC230" s="12">
        <f t="shared" si="685"/>
        <v>5</v>
      </c>
      <c r="AD230" s="15">
        <f t="shared" si="685"/>
        <v>1</v>
      </c>
      <c r="AE230" s="15">
        <f t="shared" si="685"/>
        <v>1</v>
      </c>
      <c r="AH230" s="15">
        <f>N230*'Optimal Choice'!$B$4*AA230</f>
        <v>10270.5</v>
      </c>
      <c r="AI230" s="15">
        <f>O230*'Optimal Choice'!$B$9*AB230</f>
        <v>4100</v>
      </c>
      <c r="AJ230" s="15">
        <f>P230*'Optimal Choice'!$B$14*AC230</f>
        <v>16200</v>
      </c>
      <c r="AK230" s="15">
        <f>Q230*'Optimal Choice'!$B$19*AD230</f>
        <v>6120</v>
      </c>
      <c r="AL230" s="15">
        <f>R230*'Optimal Choice'!$B$24*AE230</f>
        <v>25920</v>
      </c>
      <c r="AO230" s="12">
        <f t="shared" ref="AO230:AS230" si="686">if(isna(VLOOKUP(N230+1,$D$2:$E$10,2,false)),AO229, VLOOKUP(N230+1,$D$2:$E$10,2,false))</f>
        <v>50</v>
      </c>
      <c r="AP230" s="12">
        <f t="shared" si="686"/>
        <v>5</v>
      </c>
      <c r="AQ230" s="12">
        <f t="shared" si="686"/>
        <v>5</v>
      </c>
      <c r="AR230" s="15">
        <f t="shared" si="686"/>
        <v>1</v>
      </c>
      <c r="AS230" s="15">
        <f t="shared" si="686"/>
        <v>1</v>
      </c>
      <c r="AU230" s="11">
        <f t="shared" si="8"/>
        <v>0.004385769512</v>
      </c>
    </row>
    <row r="231" ht="15.75" customHeight="1">
      <c r="A231" s="16">
        <f t="shared" si="4"/>
        <v>3.390463006</v>
      </c>
      <c r="B231" s="7">
        <f>(sum(AH231:AL231))*'Optimal Choice'!$B$28</f>
        <v>63060.5</v>
      </c>
      <c r="C231" s="11"/>
      <c r="D231" s="12"/>
      <c r="E231" s="12"/>
      <c r="F231" s="11"/>
      <c r="G231" s="11">
        <f>(T231/$B231)+(T231/('Optimal Choice'!$B$4*AO231))</f>
        <v>211.1235251</v>
      </c>
      <c r="H231" s="11">
        <f>(U231/$B231)+(U231/('Optimal Choice'!$B$9*AP231))</f>
        <v>212.8867808</v>
      </c>
      <c r="I231" s="11">
        <f>(V231/$B231)+(V231/('Optimal Choice'!$B$14*AQ231))</f>
        <v>234.2030008</v>
      </c>
      <c r="J231" s="11">
        <f>(W231/$B231)+(W231/('Optimal Choice'!$B$19*AR231))</f>
        <v>217.8188577</v>
      </c>
      <c r="K231" s="11">
        <f>(X231/$B231)+(X231/('Optimal Choice'!$B$24*AS231))</f>
        <v>216.6218428</v>
      </c>
      <c r="N231" s="12">
        <f t="shared" ref="N231:R231" si="687">if(min($G230:$K230)=G230,N230+1,N230)</f>
        <v>123</v>
      </c>
      <c r="O231" s="12">
        <f t="shared" si="687"/>
        <v>41</v>
      </c>
      <c r="P231" s="12">
        <f t="shared" si="687"/>
        <v>37</v>
      </c>
      <c r="Q231" s="12">
        <f t="shared" si="687"/>
        <v>17</v>
      </c>
      <c r="R231" s="12">
        <f t="shared" si="687"/>
        <v>12</v>
      </c>
      <c r="T231" s="13">
        <f> 'Optimal Choice'!$B$5*'Optimal Choice'!$B$6^(N231+1)</f>
        <v>17605.50246</v>
      </c>
      <c r="U231" s="13">
        <f> 'Optimal Choice'!$B$10*'Optimal Choice'!$B$11^(O231+1)</f>
        <v>21254.97239</v>
      </c>
      <c r="V231" s="13">
        <f> 'Optimal Choice'!$B$15*'Optimal Choice'!$B$16^(P231+1)</f>
        <v>104644.606</v>
      </c>
      <c r="W231" s="13">
        <f> 'Optimal Choice'!$B$20*'Optimal Choice'!$B$21^(Q231+1)</f>
        <v>77969.67522</v>
      </c>
      <c r="X231" s="13">
        <f> 'Optimal Choice'!$B$25*'Optimal Choice'!$B$26^(R231+1)</f>
        <v>452406.9658</v>
      </c>
      <c r="AA231" s="12">
        <f t="shared" ref="AA231:AE231" si="688">if(isna(VLOOKUP(N231,$D$2:$E$10,2,false)),AA230, VLOOKUP(N231,$D$2:$E$10,2,false))</f>
        <v>50</v>
      </c>
      <c r="AB231" s="12">
        <f t="shared" si="688"/>
        <v>5</v>
      </c>
      <c r="AC231" s="12">
        <f t="shared" si="688"/>
        <v>5</v>
      </c>
      <c r="AD231" s="15">
        <f t="shared" si="688"/>
        <v>1</v>
      </c>
      <c r="AE231" s="15">
        <f t="shared" si="688"/>
        <v>1</v>
      </c>
      <c r="AH231" s="15">
        <f>N231*'Optimal Choice'!$B$4*AA231</f>
        <v>10270.5</v>
      </c>
      <c r="AI231" s="15">
        <f>O231*'Optimal Choice'!$B$9*AB231</f>
        <v>4100</v>
      </c>
      <c r="AJ231" s="15">
        <f>P231*'Optimal Choice'!$B$14*AC231</f>
        <v>16650</v>
      </c>
      <c r="AK231" s="15">
        <f>Q231*'Optimal Choice'!$B$19*AD231</f>
        <v>6120</v>
      </c>
      <c r="AL231" s="15">
        <f>R231*'Optimal Choice'!$B$24*AE231</f>
        <v>25920</v>
      </c>
      <c r="AO231" s="12">
        <f t="shared" ref="AO231:AS231" si="689">if(isna(VLOOKUP(N231+1,$D$2:$E$10,2,false)),AO230, VLOOKUP(N231+1,$D$2:$E$10,2,false))</f>
        <v>50</v>
      </c>
      <c r="AP231" s="12">
        <f t="shared" si="689"/>
        <v>5</v>
      </c>
      <c r="AQ231" s="12">
        <f t="shared" si="689"/>
        <v>5</v>
      </c>
      <c r="AR231" s="15">
        <f t="shared" si="689"/>
        <v>1</v>
      </c>
      <c r="AS231" s="15">
        <f t="shared" si="689"/>
        <v>1</v>
      </c>
      <c r="AU231" s="11">
        <f t="shared" si="8"/>
        <v>0.02443506921</v>
      </c>
    </row>
    <row r="232" ht="15.75" customHeight="1">
      <c r="A232" s="16">
        <f t="shared" si="4"/>
        <v>3.395116078</v>
      </c>
      <c r="B232" s="7">
        <f>(sum(AH232:AL232))*'Optimal Choice'!$B$28</f>
        <v>63144</v>
      </c>
      <c r="C232" s="11"/>
      <c r="D232" s="12"/>
      <c r="E232" s="12"/>
      <c r="F232" s="11"/>
      <c r="G232" s="11">
        <f>(T232/$B232)+(T232/('Optimal Choice'!$B$4*AO232))</f>
        <v>225.9017769</v>
      </c>
      <c r="H232" s="11">
        <f>(U232/$B232)+(U232/('Optimal Choice'!$B$9*AP232))</f>
        <v>212.8863351</v>
      </c>
      <c r="I232" s="11">
        <f>(V232/$B232)+(V232/('Optimal Choice'!$B$14*AQ232))</f>
        <v>234.2008064</v>
      </c>
      <c r="J232" s="11">
        <f>(W232/$B232)+(W232/('Optimal Choice'!$B$19*AR232))</f>
        <v>217.8172227</v>
      </c>
      <c r="K232" s="11">
        <f>(X232/$B232)+(X232/('Optimal Choice'!$B$24*AS232))</f>
        <v>216.6123559</v>
      </c>
      <c r="N232" s="12">
        <f t="shared" ref="N232:R232" si="690">if(min($G231:$K231)=G231,N231+1,N231)</f>
        <v>124</v>
      </c>
      <c r="O232" s="12">
        <f t="shared" si="690"/>
        <v>41</v>
      </c>
      <c r="P232" s="12">
        <f t="shared" si="690"/>
        <v>37</v>
      </c>
      <c r="Q232" s="12">
        <f t="shared" si="690"/>
        <v>17</v>
      </c>
      <c r="R232" s="12">
        <f t="shared" si="690"/>
        <v>12</v>
      </c>
      <c r="T232" s="13">
        <f> 'Optimal Choice'!$B$5*'Optimal Choice'!$B$6^(N232+1)</f>
        <v>18837.88763</v>
      </c>
      <c r="U232" s="13">
        <f> 'Optimal Choice'!$B$10*'Optimal Choice'!$B$11^(O232+1)</f>
        <v>21254.97239</v>
      </c>
      <c r="V232" s="13">
        <f> 'Optimal Choice'!$B$15*'Optimal Choice'!$B$16^(P232+1)</f>
        <v>104644.606</v>
      </c>
      <c r="W232" s="13">
        <f> 'Optimal Choice'!$B$20*'Optimal Choice'!$B$21^(Q232+1)</f>
        <v>77969.67522</v>
      </c>
      <c r="X232" s="13">
        <f> 'Optimal Choice'!$B$25*'Optimal Choice'!$B$26^(R232+1)</f>
        <v>452406.9658</v>
      </c>
      <c r="AA232" s="12">
        <f t="shared" ref="AA232:AE232" si="691">if(isna(VLOOKUP(N232,$D$2:$E$10,2,false)),AA231, VLOOKUP(N232,$D$2:$E$10,2,false))</f>
        <v>50</v>
      </c>
      <c r="AB232" s="12">
        <f t="shared" si="691"/>
        <v>5</v>
      </c>
      <c r="AC232" s="12">
        <f t="shared" si="691"/>
        <v>5</v>
      </c>
      <c r="AD232" s="15">
        <f t="shared" si="691"/>
        <v>1</v>
      </c>
      <c r="AE232" s="15">
        <f t="shared" si="691"/>
        <v>1</v>
      </c>
      <c r="AH232" s="15">
        <f>N232*'Optimal Choice'!$B$4*AA232</f>
        <v>10354</v>
      </c>
      <c r="AI232" s="15">
        <f>O232*'Optimal Choice'!$B$9*AB232</f>
        <v>4100</v>
      </c>
      <c r="AJ232" s="15">
        <f>P232*'Optimal Choice'!$B$14*AC232</f>
        <v>16650</v>
      </c>
      <c r="AK232" s="15">
        <f>Q232*'Optimal Choice'!$B$19*AD232</f>
        <v>6120</v>
      </c>
      <c r="AL232" s="15">
        <f>R232*'Optimal Choice'!$B$24*AE232</f>
        <v>25920</v>
      </c>
      <c r="AO232" s="12">
        <f t="shared" ref="AO232:AS232" si="692">if(isna(VLOOKUP(N232+1,$D$2:$E$10,2,false)),AO231, VLOOKUP(N232+1,$D$2:$E$10,2,false))</f>
        <v>50</v>
      </c>
      <c r="AP232" s="12">
        <f t="shared" si="692"/>
        <v>5</v>
      </c>
      <c r="AQ232" s="12">
        <f t="shared" si="692"/>
        <v>5</v>
      </c>
      <c r="AR232" s="15">
        <f t="shared" si="692"/>
        <v>1</v>
      </c>
      <c r="AS232" s="15">
        <f t="shared" si="692"/>
        <v>1</v>
      </c>
      <c r="AU232" s="11">
        <f t="shared" si="8"/>
        <v>0.004653071907</v>
      </c>
    </row>
    <row r="233" ht="15.75" customHeight="1">
      <c r="A233" s="16">
        <f t="shared" si="4"/>
        <v>3.400726263</v>
      </c>
      <c r="B233" s="7">
        <f>(sum(AH233:AL233))*'Optimal Choice'!$B$28</f>
        <v>63244</v>
      </c>
      <c r="C233" s="11"/>
      <c r="D233" s="12"/>
      <c r="E233" s="12"/>
      <c r="F233" s="11"/>
      <c r="G233" s="11">
        <f>(T233/$B233)+(T233/('Optimal Choice'!$B$4*AO233))</f>
        <v>225.9013052</v>
      </c>
      <c r="H233" s="11">
        <f>(U233/$B233)+(U233/('Optimal Choice'!$B$9*AP233))</f>
        <v>244.8186732</v>
      </c>
      <c r="I233" s="11">
        <f>(V233/$B233)+(V233/('Optimal Choice'!$B$14*AQ233))</f>
        <v>234.1981861</v>
      </c>
      <c r="J233" s="11">
        <f>(W233/$B233)+(W233/('Optimal Choice'!$B$19*AR233))</f>
        <v>217.8152703</v>
      </c>
      <c r="K233" s="11">
        <f>(X233/$B233)+(X233/('Optimal Choice'!$B$24*AS233))</f>
        <v>216.6010272</v>
      </c>
      <c r="N233" s="12">
        <f t="shared" ref="N233:R233" si="693">if(min($G232:$K232)=G232,N232+1,N232)</f>
        <v>124</v>
      </c>
      <c r="O233" s="12">
        <f t="shared" si="693"/>
        <v>42</v>
      </c>
      <c r="P233" s="12">
        <f t="shared" si="693"/>
        <v>37</v>
      </c>
      <c r="Q233" s="12">
        <f t="shared" si="693"/>
        <v>17</v>
      </c>
      <c r="R233" s="12">
        <f t="shared" si="693"/>
        <v>12</v>
      </c>
      <c r="T233" s="13">
        <f> 'Optimal Choice'!$B$5*'Optimal Choice'!$B$6^(N233+1)</f>
        <v>18837.88763</v>
      </c>
      <c r="U233" s="13">
        <f> 'Optimal Choice'!$B$10*'Optimal Choice'!$B$11^(O233+1)</f>
        <v>24443.21825</v>
      </c>
      <c r="V233" s="13">
        <f> 'Optimal Choice'!$B$15*'Optimal Choice'!$B$16^(P233+1)</f>
        <v>104644.606</v>
      </c>
      <c r="W233" s="13">
        <f> 'Optimal Choice'!$B$20*'Optimal Choice'!$B$21^(Q233+1)</f>
        <v>77969.67522</v>
      </c>
      <c r="X233" s="13">
        <f> 'Optimal Choice'!$B$25*'Optimal Choice'!$B$26^(R233+1)</f>
        <v>452406.9658</v>
      </c>
      <c r="AA233" s="12">
        <f t="shared" ref="AA233:AE233" si="694">if(isna(VLOOKUP(N233,$D$2:$E$10,2,false)),AA232, VLOOKUP(N233,$D$2:$E$10,2,false))</f>
        <v>50</v>
      </c>
      <c r="AB233" s="12">
        <f t="shared" si="694"/>
        <v>5</v>
      </c>
      <c r="AC233" s="12">
        <f t="shared" si="694"/>
        <v>5</v>
      </c>
      <c r="AD233" s="15">
        <f t="shared" si="694"/>
        <v>1</v>
      </c>
      <c r="AE233" s="15">
        <f t="shared" si="694"/>
        <v>1</v>
      </c>
      <c r="AH233" s="15">
        <f>N233*'Optimal Choice'!$B$4*AA233</f>
        <v>10354</v>
      </c>
      <c r="AI233" s="15">
        <f>O233*'Optimal Choice'!$B$9*AB233</f>
        <v>4200</v>
      </c>
      <c r="AJ233" s="15">
        <f>P233*'Optimal Choice'!$B$14*AC233</f>
        <v>16650</v>
      </c>
      <c r="AK233" s="15">
        <f>Q233*'Optimal Choice'!$B$19*AD233</f>
        <v>6120</v>
      </c>
      <c r="AL233" s="15">
        <f>R233*'Optimal Choice'!$B$24*AE233</f>
        <v>25920</v>
      </c>
      <c r="AO233" s="12">
        <f t="shared" ref="AO233:AS233" si="695">if(isna(VLOOKUP(N233+1,$D$2:$E$10,2,false)),AO232, VLOOKUP(N233+1,$D$2:$E$10,2,false))</f>
        <v>50</v>
      </c>
      <c r="AP233" s="12">
        <f t="shared" si="695"/>
        <v>5</v>
      </c>
      <c r="AQ233" s="12">
        <f t="shared" si="695"/>
        <v>5</v>
      </c>
      <c r="AR233" s="15">
        <f t="shared" si="695"/>
        <v>1</v>
      </c>
      <c r="AS233" s="15">
        <f t="shared" si="695"/>
        <v>1</v>
      </c>
      <c r="AU233" s="11">
        <f t="shared" si="8"/>
        <v>0.005610185289</v>
      </c>
    </row>
    <row r="234" ht="15.75" customHeight="1">
      <c r="A234" s="16">
        <f t="shared" si="4"/>
        <v>3.519948895</v>
      </c>
      <c r="B234" s="7">
        <f>(sum(AH234:AL234))*'Optimal Choice'!$B$28</f>
        <v>65404</v>
      </c>
      <c r="C234" s="11"/>
      <c r="D234" s="12"/>
      <c r="E234" s="12"/>
      <c r="F234" s="11"/>
      <c r="G234" s="11">
        <f>(T234/$B234)+(T234/('Optimal Choice'!$B$4*AO234))</f>
        <v>225.8914682</v>
      </c>
      <c r="H234" s="11">
        <f>(U234/$B234)+(U234/('Optimal Choice'!$B$9*AP234))</f>
        <v>244.8059092</v>
      </c>
      <c r="I234" s="11">
        <f>(V234/$B234)+(V234/('Optimal Choice'!$B$14*AQ234))</f>
        <v>234.1435415</v>
      </c>
      <c r="J234" s="11">
        <f>(W234/$B234)+(W234/('Optimal Choice'!$B$19*AR234))</f>
        <v>217.7745551</v>
      </c>
      <c r="K234" s="11">
        <f>(X234/$B234)+(X234/('Optimal Choice'!$B$24*AS234))</f>
        <v>242.3285581</v>
      </c>
      <c r="N234" s="12">
        <f t="shared" ref="N234:R234" si="696">if(min($G233:$K233)=G233,N233+1,N233)</f>
        <v>124</v>
      </c>
      <c r="O234" s="12">
        <f t="shared" si="696"/>
        <v>42</v>
      </c>
      <c r="P234" s="12">
        <f t="shared" si="696"/>
        <v>37</v>
      </c>
      <c r="Q234" s="12">
        <f t="shared" si="696"/>
        <v>17</v>
      </c>
      <c r="R234" s="12">
        <f t="shared" si="696"/>
        <v>13</v>
      </c>
      <c r="T234" s="13">
        <f> 'Optimal Choice'!$B$5*'Optimal Choice'!$B$6^(N234+1)</f>
        <v>18837.88763</v>
      </c>
      <c r="U234" s="13">
        <f> 'Optimal Choice'!$B$10*'Optimal Choice'!$B$11^(O234+1)</f>
        <v>24443.21825</v>
      </c>
      <c r="V234" s="13">
        <f> 'Optimal Choice'!$B$15*'Optimal Choice'!$B$16^(P234+1)</f>
        <v>104644.606</v>
      </c>
      <c r="W234" s="13">
        <f> 'Optimal Choice'!$B$20*'Optimal Choice'!$B$21^(Q234+1)</f>
        <v>77969.67522</v>
      </c>
      <c r="X234" s="13">
        <f> 'Optimal Choice'!$B$25*'Optimal Choice'!$B$26^(R234+1)</f>
        <v>506695.8017</v>
      </c>
      <c r="AA234" s="12">
        <f t="shared" ref="AA234:AE234" si="697">if(isna(VLOOKUP(N234,$D$2:$E$10,2,false)),AA233, VLOOKUP(N234,$D$2:$E$10,2,false))</f>
        <v>50</v>
      </c>
      <c r="AB234" s="12">
        <f t="shared" si="697"/>
        <v>5</v>
      </c>
      <c r="AC234" s="12">
        <f t="shared" si="697"/>
        <v>5</v>
      </c>
      <c r="AD234" s="15">
        <f t="shared" si="697"/>
        <v>1</v>
      </c>
      <c r="AE234" s="15">
        <f t="shared" si="697"/>
        <v>1</v>
      </c>
      <c r="AH234" s="15">
        <f>N234*'Optimal Choice'!$B$4*AA234</f>
        <v>10354</v>
      </c>
      <c r="AI234" s="15">
        <f>O234*'Optimal Choice'!$B$9*AB234</f>
        <v>4200</v>
      </c>
      <c r="AJ234" s="15">
        <f>P234*'Optimal Choice'!$B$14*AC234</f>
        <v>16650</v>
      </c>
      <c r="AK234" s="15">
        <f>Q234*'Optimal Choice'!$B$19*AD234</f>
        <v>6120</v>
      </c>
      <c r="AL234" s="15">
        <f>R234*'Optimal Choice'!$B$24*AE234</f>
        <v>28080</v>
      </c>
      <c r="AO234" s="12">
        <f t="shared" ref="AO234:AS234" si="698">if(isna(VLOOKUP(N234+1,$D$2:$E$10,2,false)),AO233, VLOOKUP(N234+1,$D$2:$E$10,2,false))</f>
        <v>50</v>
      </c>
      <c r="AP234" s="12">
        <f t="shared" si="698"/>
        <v>5</v>
      </c>
      <c r="AQ234" s="12">
        <f t="shared" si="698"/>
        <v>5</v>
      </c>
      <c r="AR234" s="15">
        <f t="shared" si="698"/>
        <v>1</v>
      </c>
      <c r="AS234" s="15">
        <f t="shared" si="698"/>
        <v>1</v>
      </c>
      <c r="AU234" s="11">
        <f t="shared" si="8"/>
        <v>0.1192226313</v>
      </c>
    </row>
    <row r="235" ht="15.75" customHeight="1">
      <c r="A235" s="16">
        <f t="shared" si="4"/>
        <v>3.539817627</v>
      </c>
      <c r="B235" s="7">
        <f>(sum(AH235:AL235))*'Optimal Choice'!$B$28</f>
        <v>65764</v>
      </c>
      <c r="C235" s="11"/>
      <c r="D235" s="12"/>
      <c r="E235" s="12"/>
      <c r="F235" s="11"/>
      <c r="G235" s="11">
        <f>(T235/$B235)+(T235/('Optimal Choice'!$B$4*AO235))</f>
        <v>225.8898915</v>
      </c>
      <c r="H235" s="11">
        <f>(U235/$B235)+(U235/('Optimal Choice'!$B$9*AP235))</f>
        <v>244.8038634</v>
      </c>
      <c r="I235" s="11">
        <f>(V235/$B235)+(V235/('Optimal Choice'!$B$14*AQ235))</f>
        <v>234.1347831</v>
      </c>
      <c r="J235" s="11">
        <f>(W235/$B235)+(W235/('Optimal Choice'!$B$19*AR235))</f>
        <v>246.0778731</v>
      </c>
      <c r="K235" s="11">
        <f>(X235/$B235)+(X235/('Optimal Choice'!$B$24*AS235))</f>
        <v>242.2861492</v>
      </c>
      <c r="N235" s="12">
        <f t="shared" ref="N235:R235" si="699">if(min($G234:$K234)=G234,N234+1,N234)</f>
        <v>124</v>
      </c>
      <c r="O235" s="12">
        <f t="shared" si="699"/>
        <v>42</v>
      </c>
      <c r="P235" s="12">
        <f t="shared" si="699"/>
        <v>37</v>
      </c>
      <c r="Q235" s="12">
        <f t="shared" si="699"/>
        <v>18</v>
      </c>
      <c r="R235" s="12">
        <f t="shared" si="699"/>
        <v>13</v>
      </c>
      <c r="T235" s="13">
        <f> 'Optimal Choice'!$B$5*'Optimal Choice'!$B$6^(N235+1)</f>
        <v>18837.88763</v>
      </c>
      <c r="U235" s="13">
        <f> 'Optimal Choice'!$B$10*'Optimal Choice'!$B$11^(O235+1)</f>
        <v>24443.21825</v>
      </c>
      <c r="V235" s="13">
        <f> 'Optimal Choice'!$B$15*'Optimal Choice'!$B$16^(P235+1)</f>
        <v>104644.606</v>
      </c>
      <c r="W235" s="13">
        <f> 'Optimal Choice'!$B$20*'Optimal Choice'!$B$21^(Q235+1)</f>
        <v>88105.733</v>
      </c>
      <c r="X235" s="13">
        <f> 'Optimal Choice'!$B$25*'Optimal Choice'!$B$26^(R235+1)</f>
        <v>506695.8017</v>
      </c>
      <c r="AA235" s="12">
        <f t="shared" ref="AA235:AE235" si="700">if(isna(VLOOKUP(N235,$D$2:$E$10,2,false)),AA234, VLOOKUP(N235,$D$2:$E$10,2,false))</f>
        <v>50</v>
      </c>
      <c r="AB235" s="12">
        <f t="shared" si="700"/>
        <v>5</v>
      </c>
      <c r="AC235" s="12">
        <f t="shared" si="700"/>
        <v>5</v>
      </c>
      <c r="AD235" s="15">
        <f t="shared" si="700"/>
        <v>1</v>
      </c>
      <c r="AE235" s="15">
        <f t="shared" si="700"/>
        <v>1</v>
      </c>
      <c r="AH235" s="15">
        <f>N235*'Optimal Choice'!$B$4*AA235</f>
        <v>10354</v>
      </c>
      <c r="AI235" s="15">
        <f>O235*'Optimal Choice'!$B$9*AB235</f>
        <v>4200</v>
      </c>
      <c r="AJ235" s="15">
        <f>P235*'Optimal Choice'!$B$14*AC235</f>
        <v>16650</v>
      </c>
      <c r="AK235" s="15">
        <f>Q235*'Optimal Choice'!$B$19*AD235</f>
        <v>6480</v>
      </c>
      <c r="AL235" s="15">
        <f>R235*'Optimal Choice'!$B$24*AE235</f>
        <v>28080</v>
      </c>
      <c r="AO235" s="12">
        <f t="shared" ref="AO235:AS235" si="701">if(isna(VLOOKUP(N235+1,$D$2:$E$10,2,false)),AO234, VLOOKUP(N235+1,$D$2:$E$10,2,false))</f>
        <v>50</v>
      </c>
      <c r="AP235" s="12">
        <f t="shared" si="701"/>
        <v>5</v>
      </c>
      <c r="AQ235" s="12">
        <f t="shared" si="701"/>
        <v>5</v>
      </c>
      <c r="AR235" s="15">
        <f t="shared" si="701"/>
        <v>1</v>
      </c>
      <c r="AS235" s="15">
        <f t="shared" si="701"/>
        <v>1</v>
      </c>
      <c r="AU235" s="11">
        <f t="shared" si="8"/>
        <v>0.0198687326</v>
      </c>
    </row>
    <row r="236" ht="15.75" customHeight="1">
      <c r="A236" s="16">
        <f t="shared" si="4"/>
        <v>3.544591741</v>
      </c>
      <c r="B236" s="7">
        <f>(sum(AH236:AL236))*'Optimal Choice'!$B$28</f>
        <v>65847.5</v>
      </c>
      <c r="C236" s="11"/>
      <c r="D236" s="12"/>
      <c r="E236" s="12"/>
      <c r="F236" s="11"/>
      <c r="G236" s="11">
        <f>(T236/$B236)+(T236/('Optimal Choice'!$B$4*AO236))</f>
        <v>241.7017952</v>
      </c>
      <c r="H236" s="11">
        <f>(U236/$B236)+(U236/('Optimal Choice'!$B$9*AP236))</f>
        <v>244.803392</v>
      </c>
      <c r="I236" s="11">
        <f>(V236/$B236)+(V236/('Optimal Choice'!$B$14*AQ236))</f>
        <v>234.1327653</v>
      </c>
      <c r="J236" s="11">
        <f>(W236/$B236)+(W236/('Optimal Choice'!$B$19*AR236))</f>
        <v>246.0761742</v>
      </c>
      <c r="K236" s="11">
        <f>(X236/$B236)+(X236/('Optimal Choice'!$B$24*AS236))</f>
        <v>242.2763789</v>
      </c>
      <c r="N236" s="12">
        <f t="shared" ref="N236:R236" si="702">if(min($G235:$K235)=G235,N235+1,N235)</f>
        <v>125</v>
      </c>
      <c r="O236" s="12">
        <f t="shared" si="702"/>
        <v>42</v>
      </c>
      <c r="P236" s="12">
        <f t="shared" si="702"/>
        <v>37</v>
      </c>
      <c r="Q236" s="12">
        <f t="shared" si="702"/>
        <v>18</v>
      </c>
      <c r="R236" s="12">
        <f t="shared" si="702"/>
        <v>13</v>
      </c>
      <c r="T236" s="13">
        <f> 'Optimal Choice'!$B$5*'Optimal Choice'!$B$6^(N236+1)</f>
        <v>20156.53977</v>
      </c>
      <c r="U236" s="13">
        <f> 'Optimal Choice'!$B$10*'Optimal Choice'!$B$11^(O236+1)</f>
        <v>24443.21825</v>
      </c>
      <c r="V236" s="13">
        <f> 'Optimal Choice'!$B$15*'Optimal Choice'!$B$16^(P236+1)</f>
        <v>104644.606</v>
      </c>
      <c r="W236" s="13">
        <f> 'Optimal Choice'!$B$20*'Optimal Choice'!$B$21^(Q236+1)</f>
        <v>88105.733</v>
      </c>
      <c r="X236" s="13">
        <f> 'Optimal Choice'!$B$25*'Optimal Choice'!$B$26^(R236+1)</f>
        <v>506695.8017</v>
      </c>
      <c r="AA236" s="12">
        <f t="shared" ref="AA236:AE236" si="703">if(isna(VLOOKUP(N236,$D$2:$E$10,2,false)),AA235, VLOOKUP(N236,$D$2:$E$10,2,false))</f>
        <v>50</v>
      </c>
      <c r="AB236" s="12">
        <f t="shared" si="703"/>
        <v>5</v>
      </c>
      <c r="AC236" s="12">
        <f t="shared" si="703"/>
        <v>5</v>
      </c>
      <c r="AD236" s="15">
        <f t="shared" si="703"/>
        <v>1</v>
      </c>
      <c r="AE236" s="15">
        <f t="shared" si="703"/>
        <v>1</v>
      </c>
      <c r="AH236" s="15">
        <f>N236*'Optimal Choice'!$B$4*AA236</f>
        <v>10437.5</v>
      </c>
      <c r="AI236" s="15">
        <f>O236*'Optimal Choice'!$B$9*AB236</f>
        <v>4200</v>
      </c>
      <c r="AJ236" s="15">
        <f>P236*'Optimal Choice'!$B$14*AC236</f>
        <v>16650</v>
      </c>
      <c r="AK236" s="15">
        <f>Q236*'Optimal Choice'!$B$19*AD236</f>
        <v>6480</v>
      </c>
      <c r="AL236" s="15">
        <f>R236*'Optimal Choice'!$B$24*AE236</f>
        <v>28080</v>
      </c>
      <c r="AO236" s="12">
        <f t="shared" ref="AO236:AS236" si="704">if(isna(VLOOKUP(N236+1,$D$2:$E$10,2,false)),AO235, VLOOKUP(N236+1,$D$2:$E$10,2,false))</f>
        <v>50</v>
      </c>
      <c r="AP236" s="12">
        <f t="shared" si="704"/>
        <v>5</v>
      </c>
      <c r="AQ236" s="12">
        <f t="shared" si="704"/>
        <v>5</v>
      </c>
      <c r="AR236" s="15">
        <f t="shared" si="704"/>
        <v>1</v>
      </c>
      <c r="AS236" s="15">
        <f t="shared" si="704"/>
        <v>1</v>
      </c>
      <c r="AU236" s="11">
        <f t="shared" si="8"/>
        <v>0.004774113403</v>
      </c>
    </row>
    <row r="237" ht="15.75" customHeight="1">
      <c r="A237" s="16">
        <f t="shared" si="4"/>
        <v>3.571078346</v>
      </c>
      <c r="B237" s="7">
        <f>(sum(AH237:AL237))*'Optimal Choice'!$B$28</f>
        <v>66297.5</v>
      </c>
      <c r="C237" s="11"/>
      <c r="D237" s="12"/>
      <c r="E237" s="12"/>
      <c r="F237" s="11"/>
      <c r="G237" s="11">
        <f>(T237/$B237)+(T237/('Optimal Choice'!$B$4*AO237))</f>
        <v>241.6997175</v>
      </c>
      <c r="H237" s="11">
        <f>(U237/$B237)+(U237/('Optimal Choice'!$B$9*AP237))</f>
        <v>244.8008724</v>
      </c>
      <c r="I237" s="11">
        <f>(V237/$B237)+(V237/('Optimal Choice'!$B$14*AQ237))</f>
        <v>266.8990554</v>
      </c>
      <c r="J237" s="11">
        <f>(W237/$B237)+(W237/('Optimal Choice'!$B$19*AR237))</f>
        <v>246.0670922</v>
      </c>
      <c r="K237" s="11">
        <f>(X237/$B237)+(X237/('Optimal Choice'!$B$24*AS237))</f>
        <v>242.2241485</v>
      </c>
      <c r="N237" s="12">
        <f t="shared" ref="N237:R237" si="705">if(min($G236:$K236)=G236,N236+1,N236)</f>
        <v>125</v>
      </c>
      <c r="O237" s="12">
        <f t="shared" si="705"/>
        <v>42</v>
      </c>
      <c r="P237" s="12">
        <f t="shared" si="705"/>
        <v>38</v>
      </c>
      <c r="Q237" s="12">
        <f t="shared" si="705"/>
        <v>18</v>
      </c>
      <c r="R237" s="12">
        <f t="shared" si="705"/>
        <v>13</v>
      </c>
      <c r="T237" s="13">
        <f> 'Optimal Choice'!$B$5*'Optimal Choice'!$B$6^(N237+1)</f>
        <v>20156.53977</v>
      </c>
      <c r="U237" s="13">
        <f> 'Optimal Choice'!$B$10*'Optimal Choice'!$B$11^(O237+1)</f>
        <v>24443.21825</v>
      </c>
      <c r="V237" s="13">
        <f> 'Optimal Choice'!$B$15*'Optimal Choice'!$B$16^(P237+1)</f>
        <v>119294.8509</v>
      </c>
      <c r="W237" s="13">
        <f> 'Optimal Choice'!$B$20*'Optimal Choice'!$B$21^(Q237+1)</f>
        <v>88105.733</v>
      </c>
      <c r="X237" s="13">
        <f> 'Optimal Choice'!$B$25*'Optimal Choice'!$B$26^(R237+1)</f>
        <v>506695.8017</v>
      </c>
      <c r="AA237" s="12">
        <f t="shared" ref="AA237:AE237" si="706">if(isna(VLOOKUP(N237,$D$2:$E$10,2,false)),AA236, VLOOKUP(N237,$D$2:$E$10,2,false))</f>
        <v>50</v>
      </c>
      <c r="AB237" s="12">
        <f t="shared" si="706"/>
        <v>5</v>
      </c>
      <c r="AC237" s="12">
        <f t="shared" si="706"/>
        <v>5</v>
      </c>
      <c r="AD237" s="15">
        <f t="shared" si="706"/>
        <v>1</v>
      </c>
      <c r="AE237" s="15">
        <f t="shared" si="706"/>
        <v>1</v>
      </c>
      <c r="AH237" s="15">
        <f>N237*'Optimal Choice'!$B$4*AA237</f>
        <v>10437.5</v>
      </c>
      <c r="AI237" s="15">
        <f>O237*'Optimal Choice'!$B$9*AB237</f>
        <v>4200</v>
      </c>
      <c r="AJ237" s="15">
        <f>P237*'Optimal Choice'!$B$14*AC237</f>
        <v>17100</v>
      </c>
      <c r="AK237" s="15">
        <f>Q237*'Optimal Choice'!$B$19*AD237</f>
        <v>6480</v>
      </c>
      <c r="AL237" s="15">
        <f>R237*'Optimal Choice'!$B$24*AE237</f>
        <v>28080</v>
      </c>
      <c r="AO237" s="12">
        <f t="shared" ref="AO237:AS237" si="707">if(isna(VLOOKUP(N237+1,$D$2:$E$10,2,false)),AO236, VLOOKUP(N237+1,$D$2:$E$10,2,false))</f>
        <v>50</v>
      </c>
      <c r="AP237" s="12">
        <f t="shared" si="707"/>
        <v>5</v>
      </c>
      <c r="AQ237" s="12">
        <f t="shared" si="707"/>
        <v>5</v>
      </c>
      <c r="AR237" s="15">
        <f t="shared" si="707"/>
        <v>1</v>
      </c>
      <c r="AS237" s="15">
        <f t="shared" si="707"/>
        <v>1</v>
      </c>
      <c r="AU237" s="11">
        <f t="shared" si="8"/>
        <v>0.02648660567</v>
      </c>
    </row>
    <row r="238" ht="15.75" customHeight="1">
      <c r="A238" s="16">
        <f t="shared" si="4"/>
        <v>3.576145541</v>
      </c>
      <c r="B238" s="7">
        <f>(sum(AH238:AL238))*'Optimal Choice'!$B$28</f>
        <v>66381</v>
      </c>
      <c r="C238" s="11"/>
      <c r="D238" s="12"/>
      <c r="E238" s="12"/>
      <c r="F238" s="11"/>
      <c r="G238" s="11">
        <f>(T238/$B238)+(T238/('Optimal Choice'!$B$4*AO238))</f>
        <v>258.6182885</v>
      </c>
      <c r="H238" s="11">
        <f>(U238/$B238)+(U238/('Optimal Choice'!$B$9*AP238))</f>
        <v>244.8004087</v>
      </c>
      <c r="I238" s="11">
        <f>(V238/$B238)+(V238/('Optimal Choice'!$B$14*AQ238))</f>
        <v>266.896792</v>
      </c>
      <c r="J238" s="11">
        <f>(W238/$B238)+(W238/('Optimal Choice'!$B$19*AR238))</f>
        <v>246.0654206</v>
      </c>
      <c r="K238" s="11">
        <f>(X238/$B238)+(X238/('Optimal Choice'!$B$24*AS238))</f>
        <v>242.2145347</v>
      </c>
      <c r="N238" s="12">
        <f t="shared" ref="N238:R238" si="708">if(min($G237:$K237)=G237,N237+1,N237)</f>
        <v>126</v>
      </c>
      <c r="O238" s="12">
        <f t="shared" si="708"/>
        <v>42</v>
      </c>
      <c r="P238" s="12">
        <f t="shared" si="708"/>
        <v>38</v>
      </c>
      <c r="Q238" s="12">
        <f t="shared" si="708"/>
        <v>18</v>
      </c>
      <c r="R238" s="12">
        <f t="shared" si="708"/>
        <v>13</v>
      </c>
      <c r="T238" s="13">
        <f> 'Optimal Choice'!$B$5*'Optimal Choice'!$B$6^(N238+1)</f>
        <v>21567.49755</v>
      </c>
      <c r="U238" s="13">
        <f> 'Optimal Choice'!$B$10*'Optimal Choice'!$B$11^(O238+1)</f>
        <v>24443.21825</v>
      </c>
      <c r="V238" s="13">
        <f> 'Optimal Choice'!$B$15*'Optimal Choice'!$B$16^(P238+1)</f>
        <v>119294.8509</v>
      </c>
      <c r="W238" s="13">
        <f> 'Optimal Choice'!$B$20*'Optimal Choice'!$B$21^(Q238+1)</f>
        <v>88105.733</v>
      </c>
      <c r="X238" s="13">
        <f> 'Optimal Choice'!$B$25*'Optimal Choice'!$B$26^(R238+1)</f>
        <v>506695.8017</v>
      </c>
      <c r="AA238" s="12">
        <f t="shared" ref="AA238:AE238" si="709">if(isna(VLOOKUP(N238,$D$2:$E$10,2,false)),AA237, VLOOKUP(N238,$D$2:$E$10,2,false))</f>
        <v>50</v>
      </c>
      <c r="AB238" s="12">
        <f t="shared" si="709"/>
        <v>5</v>
      </c>
      <c r="AC238" s="12">
        <f t="shared" si="709"/>
        <v>5</v>
      </c>
      <c r="AD238" s="15">
        <f t="shared" si="709"/>
        <v>1</v>
      </c>
      <c r="AE238" s="15">
        <f t="shared" si="709"/>
        <v>1</v>
      </c>
      <c r="AH238" s="15">
        <f>N238*'Optimal Choice'!$B$4*AA238</f>
        <v>10521</v>
      </c>
      <c r="AI238" s="15">
        <f>O238*'Optimal Choice'!$B$9*AB238</f>
        <v>4200</v>
      </c>
      <c r="AJ238" s="15">
        <f>P238*'Optimal Choice'!$B$14*AC238</f>
        <v>17100</v>
      </c>
      <c r="AK238" s="15">
        <f>Q238*'Optimal Choice'!$B$19*AD238</f>
        <v>6480</v>
      </c>
      <c r="AL238" s="15">
        <f>R238*'Optimal Choice'!$B$24*AE238</f>
        <v>28080</v>
      </c>
      <c r="AO238" s="12">
        <f t="shared" ref="AO238:AS238" si="710">if(isna(VLOOKUP(N238+1,$D$2:$E$10,2,false)),AO237, VLOOKUP(N238+1,$D$2:$E$10,2,false))</f>
        <v>50</v>
      </c>
      <c r="AP238" s="12">
        <f t="shared" si="710"/>
        <v>5</v>
      </c>
      <c r="AQ238" s="12">
        <f t="shared" si="710"/>
        <v>5</v>
      </c>
      <c r="AR238" s="15">
        <f t="shared" si="710"/>
        <v>1</v>
      </c>
      <c r="AS238" s="15">
        <f t="shared" si="710"/>
        <v>1</v>
      </c>
      <c r="AU238" s="11">
        <f t="shared" si="8"/>
        <v>0.005067194531</v>
      </c>
    </row>
    <row r="239" ht="15.75" customHeight="1">
      <c r="A239" s="16">
        <f t="shared" si="4"/>
        <v>3.703364625</v>
      </c>
      <c r="B239" s="7">
        <f>(sum(AH239:AL239))*'Optimal Choice'!$B$28</f>
        <v>68541</v>
      </c>
      <c r="C239" s="11"/>
      <c r="D239" s="12"/>
      <c r="E239" s="12"/>
      <c r="F239" s="11"/>
      <c r="G239" s="11">
        <f>(T239/$B239)+(T239/('Optimal Choice'!$B$4*AO239))</f>
        <v>258.6080495</v>
      </c>
      <c r="H239" s="11">
        <f>(U239/$B239)+(U239/('Optimal Choice'!$B$9*AP239))</f>
        <v>244.7888044</v>
      </c>
      <c r="I239" s="11">
        <f>(V239/$B239)+(V239/('Optimal Choice'!$B$14*AQ239))</f>
        <v>266.8401575</v>
      </c>
      <c r="J239" s="11">
        <f>(W239/$B239)+(W239/('Optimal Choice'!$B$19*AR239))</f>
        <v>246.0235929</v>
      </c>
      <c r="K239" s="11">
        <f>(X239/$B239)+(X239/('Optimal Choice'!$B$24*AS239))</f>
        <v>271.010862</v>
      </c>
      <c r="N239" s="12">
        <f t="shared" ref="N239:R239" si="711">if(min($G238:$K238)=G238,N238+1,N238)</f>
        <v>126</v>
      </c>
      <c r="O239" s="12">
        <f t="shared" si="711"/>
        <v>42</v>
      </c>
      <c r="P239" s="12">
        <f t="shared" si="711"/>
        <v>38</v>
      </c>
      <c r="Q239" s="12">
        <f t="shared" si="711"/>
        <v>18</v>
      </c>
      <c r="R239" s="12">
        <f t="shared" si="711"/>
        <v>14</v>
      </c>
      <c r="T239" s="13">
        <f> 'Optimal Choice'!$B$5*'Optimal Choice'!$B$6^(N239+1)</f>
        <v>21567.49755</v>
      </c>
      <c r="U239" s="13">
        <f> 'Optimal Choice'!$B$10*'Optimal Choice'!$B$11^(O239+1)</f>
        <v>24443.21825</v>
      </c>
      <c r="V239" s="13">
        <f> 'Optimal Choice'!$B$15*'Optimal Choice'!$B$16^(P239+1)</f>
        <v>119294.8509</v>
      </c>
      <c r="W239" s="13">
        <f> 'Optimal Choice'!$B$20*'Optimal Choice'!$B$21^(Q239+1)</f>
        <v>88105.733</v>
      </c>
      <c r="X239" s="13">
        <f> 'Optimal Choice'!$B$25*'Optimal Choice'!$B$26^(R239+1)</f>
        <v>567499.2979</v>
      </c>
      <c r="AA239" s="12">
        <f t="shared" ref="AA239:AE239" si="712">if(isna(VLOOKUP(N239,$D$2:$E$10,2,false)),AA238, VLOOKUP(N239,$D$2:$E$10,2,false))</f>
        <v>50</v>
      </c>
      <c r="AB239" s="12">
        <f t="shared" si="712"/>
        <v>5</v>
      </c>
      <c r="AC239" s="12">
        <f t="shared" si="712"/>
        <v>5</v>
      </c>
      <c r="AD239" s="15">
        <f t="shared" si="712"/>
        <v>1</v>
      </c>
      <c r="AE239" s="15">
        <f t="shared" si="712"/>
        <v>1</v>
      </c>
      <c r="AH239" s="15">
        <f>N239*'Optimal Choice'!$B$4*AA239</f>
        <v>10521</v>
      </c>
      <c r="AI239" s="15">
        <f>O239*'Optimal Choice'!$B$9*AB239</f>
        <v>4200</v>
      </c>
      <c r="AJ239" s="15">
        <f>P239*'Optimal Choice'!$B$14*AC239</f>
        <v>17100</v>
      </c>
      <c r="AK239" s="15">
        <f>Q239*'Optimal Choice'!$B$19*AD239</f>
        <v>6480</v>
      </c>
      <c r="AL239" s="15">
        <f>R239*'Optimal Choice'!$B$24*AE239</f>
        <v>30240</v>
      </c>
      <c r="AO239" s="12">
        <f t="shared" ref="AO239:AS239" si="713">if(isna(VLOOKUP(N239+1,$D$2:$E$10,2,false)),AO238, VLOOKUP(N239+1,$D$2:$E$10,2,false))</f>
        <v>50</v>
      </c>
      <c r="AP239" s="12">
        <f t="shared" si="713"/>
        <v>5</v>
      </c>
      <c r="AQ239" s="12">
        <f t="shared" si="713"/>
        <v>5</v>
      </c>
      <c r="AR239" s="15">
        <f t="shared" si="713"/>
        <v>1</v>
      </c>
      <c r="AS239" s="15">
        <f t="shared" si="713"/>
        <v>1</v>
      </c>
      <c r="AU239" s="11">
        <f t="shared" si="8"/>
        <v>0.1272190842</v>
      </c>
    </row>
    <row r="240" ht="15.75" customHeight="1">
      <c r="A240" s="16">
        <f t="shared" si="4"/>
        <v>3.709308323</v>
      </c>
      <c r="B240" s="7">
        <f>(sum(AH240:AL240))*'Optimal Choice'!$B$28</f>
        <v>68641</v>
      </c>
      <c r="C240" s="11"/>
      <c r="D240" s="12"/>
      <c r="E240" s="12"/>
      <c r="F240" s="11"/>
      <c r="G240" s="11">
        <f>(T240/$B240)+(T240/('Optimal Choice'!$B$4*AO240))</f>
        <v>258.607591</v>
      </c>
      <c r="H240" s="11">
        <f>(U240/$B240)+(U240/('Optimal Choice'!$B$9*AP240))</f>
        <v>281.5065276</v>
      </c>
      <c r="I240" s="11">
        <f>(V240/$B240)+(V240/('Optimal Choice'!$B$14*AQ240))</f>
        <v>266.8376218</v>
      </c>
      <c r="J240" s="11">
        <f>(W240/$B240)+(W240/('Optimal Choice'!$B$19*AR240))</f>
        <v>246.0217202</v>
      </c>
      <c r="K240" s="11">
        <f>(X240/$B240)+(X240/('Optimal Choice'!$B$24*AS240))</f>
        <v>270.9987997</v>
      </c>
      <c r="N240" s="12">
        <f t="shared" ref="N240:R240" si="714">if(min($G239:$K239)=G239,N239+1,N239)</f>
        <v>126</v>
      </c>
      <c r="O240" s="12">
        <f t="shared" si="714"/>
        <v>43</v>
      </c>
      <c r="P240" s="12">
        <f t="shared" si="714"/>
        <v>38</v>
      </c>
      <c r="Q240" s="12">
        <f t="shared" si="714"/>
        <v>18</v>
      </c>
      <c r="R240" s="12">
        <f t="shared" si="714"/>
        <v>14</v>
      </c>
      <c r="T240" s="13">
        <f> 'Optimal Choice'!$B$5*'Optimal Choice'!$B$6^(N240+1)</f>
        <v>21567.49755</v>
      </c>
      <c r="U240" s="13">
        <f> 'Optimal Choice'!$B$10*'Optimal Choice'!$B$11^(O240+1)</f>
        <v>28109.70099</v>
      </c>
      <c r="V240" s="13">
        <f> 'Optimal Choice'!$B$15*'Optimal Choice'!$B$16^(P240+1)</f>
        <v>119294.8509</v>
      </c>
      <c r="W240" s="13">
        <f> 'Optimal Choice'!$B$20*'Optimal Choice'!$B$21^(Q240+1)</f>
        <v>88105.733</v>
      </c>
      <c r="X240" s="13">
        <f> 'Optimal Choice'!$B$25*'Optimal Choice'!$B$26^(R240+1)</f>
        <v>567499.2979</v>
      </c>
      <c r="AA240" s="12">
        <f t="shared" ref="AA240:AE240" si="715">if(isna(VLOOKUP(N240,$D$2:$E$10,2,false)),AA239, VLOOKUP(N240,$D$2:$E$10,2,false))</f>
        <v>50</v>
      </c>
      <c r="AB240" s="12">
        <f t="shared" si="715"/>
        <v>5</v>
      </c>
      <c r="AC240" s="12">
        <f t="shared" si="715"/>
        <v>5</v>
      </c>
      <c r="AD240" s="15">
        <f t="shared" si="715"/>
        <v>1</v>
      </c>
      <c r="AE240" s="15">
        <f t="shared" si="715"/>
        <v>1</v>
      </c>
      <c r="AH240" s="15">
        <f>N240*'Optimal Choice'!$B$4*AA240</f>
        <v>10521</v>
      </c>
      <c r="AI240" s="15">
        <f>O240*'Optimal Choice'!$B$9*AB240</f>
        <v>4300</v>
      </c>
      <c r="AJ240" s="15">
        <f>P240*'Optimal Choice'!$B$14*AC240</f>
        <v>17100</v>
      </c>
      <c r="AK240" s="15">
        <f>Q240*'Optimal Choice'!$B$19*AD240</f>
        <v>6480</v>
      </c>
      <c r="AL240" s="15">
        <f>R240*'Optimal Choice'!$B$24*AE240</f>
        <v>30240</v>
      </c>
      <c r="AO240" s="12">
        <f t="shared" ref="AO240:AS240" si="716">if(isna(VLOOKUP(N240+1,$D$2:$E$10,2,false)),AO239, VLOOKUP(N240+1,$D$2:$E$10,2,false))</f>
        <v>50</v>
      </c>
      <c r="AP240" s="12">
        <f t="shared" si="716"/>
        <v>5</v>
      </c>
      <c r="AQ240" s="12">
        <f t="shared" si="716"/>
        <v>5</v>
      </c>
      <c r="AR240" s="15">
        <f t="shared" si="716"/>
        <v>1</v>
      </c>
      <c r="AS240" s="15">
        <f t="shared" si="716"/>
        <v>1</v>
      </c>
      <c r="AU240" s="11">
        <f t="shared" si="8"/>
        <v>0.005943697508</v>
      </c>
    </row>
    <row r="241" ht="15.75" customHeight="1">
      <c r="A241" s="16">
        <f t="shared" si="4"/>
        <v>3.730701206</v>
      </c>
      <c r="B241" s="7">
        <f>(sum(AH241:AL241))*'Optimal Choice'!$B$28</f>
        <v>69001</v>
      </c>
      <c r="C241" s="11"/>
      <c r="D241" s="12"/>
      <c r="E241" s="12"/>
      <c r="F241" s="11"/>
      <c r="G241" s="11">
        <f>(T241/$B241)+(T241/('Optimal Choice'!$B$4*AO241))</f>
        <v>258.6059517</v>
      </c>
      <c r="H241" s="11">
        <f>(U241/$B241)+(U241/('Optimal Choice'!$B$9*AP241))</f>
        <v>281.504391</v>
      </c>
      <c r="I241" s="11">
        <f>(V241/$B241)+(V241/('Optimal Choice'!$B$14*AQ241))</f>
        <v>266.8285544</v>
      </c>
      <c r="J241" s="11">
        <f>(W241/$B241)+(W241/('Optimal Choice'!$B$19*AR241))</f>
        <v>277.9969764</v>
      </c>
      <c r="K241" s="11">
        <f>(X241/$B241)+(X241/('Optimal Choice'!$B$24*AS241))</f>
        <v>270.9556648</v>
      </c>
      <c r="N241" s="12">
        <f t="shared" ref="N241:R241" si="717">if(min($G240:$K240)=G240,N240+1,N240)</f>
        <v>126</v>
      </c>
      <c r="O241" s="12">
        <f t="shared" si="717"/>
        <v>43</v>
      </c>
      <c r="P241" s="12">
        <f t="shared" si="717"/>
        <v>38</v>
      </c>
      <c r="Q241" s="12">
        <f t="shared" si="717"/>
        <v>19</v>
      </c>
      <c r="R241" s="12">
        <f t="shared" si="717"/>
        <v>14</v>
      </c>
      <c r="T241" s="13">
        <f> 'Optimal Choice'!$B$5*'Optimal Choice'!$B$6^(N241+1)</f>
        <v>21567.49755</v>
      </c>
      <c r="U241" s="13">
        <f> 'Optimal Choice'!$B$10*'Optimal Choice'!$B$11^(O241+1)</f>
        <v>28109.70099</v>
      </c>
      <c r="V241" s="13">
        <f> 'Optimal Choice'!$B$15*'Optimal Choice'!$B$16^(P241+1)</f>
        <v>119294.8509</v>
      </c>
      <c r="W241" s="13">
        <f> 'Optimal Choice'!$B$20*'Optimal Choice'!$B$21^(Q241+1)</f>
        <v>99559.47829</v>
      </c>
      <c r="X241" s="13">
        <f> 'Optimal Choice'!$B$25*'Optimal Choice'!$B$26^(R241+1)</f>
        <v>567499.2979</v>
      </c>
      <c r="AA241" s="12">
        <f t="shared" ref="AA241:AE241" si="718">if(isna(VLOOKUP(N241,$D$2:$E$10,2,false)),AA240, VLOOKUP(N241,$D$2:$E$10,2,false))</f>
        <v>50</v>
      </c>
      <c r="AB241" s="12">
        <f t="shared" si="718"/>
        <v>5</v>
      </c>
      <c r="AC241" s="12">
        <f t="shared" si="718"/>
        <v>5</v>
      </c>
      <c r="AD241" s="15">
        <f t="shared" si="718"/>
        <v>1</v>
      </c>
      <c r="AE241" s="15">
        <f t="shared" si="718"/>
        <v>1</v>
      </c>
      <c r="AH241" s="15">
        <f>N241*'Optimal Choice'!$B$4*AA241</f>
        <v>10521</v>
      </c>
      <c r="AI241" s="15">
        <f>O241*'Optimal Choice'!$B$9*AB241</f>
        <v>4300</v>
      </c>
      <c r="AJ241" s="15">
        <f>P241*'Optimal Choice'!$B$14*AC241</f>
        <v>17100</v>
      </c>
      <c r="AK241" s="15">
        <f>Q241*'Optimal Choice'!$B$19*AD241</f>
        <v>6840</v>
      </c>
      <c r="AL241" s="15">
        <f>R241*'Optimal Choice'!$B$24*AE241</f>
        <v>30240</v>
      </c>
      <c r="AO241" s="12">
        <f t="shared" ref="AO241:AS241" si="719">if(isna(VLOOKUP(N241+1,$D$2:$E$10,2,false)),AO240, VLOOKUP(N241+1,$D$2:$E$10,2,false))</f>
        <v>50</v>
      </c>
      <c r="AP241" s="12">
        <f t="shared" si="719"/>
        <v>5</v>
      </c>
      <c r="AQ241" s="12">
        <f t="shared" si="719"/>
        <v>5</v>
      </c>
      <c r="AR241" s="15">
        <f t="shared" si="719"/>
        <v>1</v>
      </c>
      <c r="AS241" s="15">
        <f t="shared" si="719"/>
        <v>1</v>
      </c>
      <c r="AU241" s="11">
        <f t="shared" si="8"/>
        <v>0.02139288302</v>
      </c>
    </row>
    <row r="242" ht="15.75" customHeight="1">
      <c r="A242" s="16">
        <f t="shared" si="4"/>
        <v>3.735910671</v>
      </c>
      <c r="B242" s="7">
        <f>(sum(AH242:AL242))*'Optimal Choice'!$B$28</f>
        <v>69084.5</v>
      </c>
      <c r="C242" s="11"/>
      <c r="D242" s="12"/>
      <c r="E242" s="12"/>
      <c r="F242" s="11"/>
      <c r="G242" s="11">
        <f>(T242/$B242)+(T242/('Optimal Choice'!$B$4*AO242))</f>
        <v>276.7079641</v>
      </c>
      <c r="H242" s="11">
        <f>(U242/$B242)+(U242/('Optimal Choice'!$B$9*AP242))</f>
        <v>281.5038986</v>
      </c>
      <c r="I242" s="11">
        <f>(V242/$B242)+(V242/('Optimal Choice'!$B$14*AQ242))</f>
        <v>266.8264648</v>
      </c>
      <c r="J242" s="11">
        <f>(W242/$B242)+(W242/('Optimal Choice'!$B$19*AR242))</f>
        <v>277.9952325</v>
      </c>
      <c r="K242" s="11">
        <f>(X242/$B242)+(X242/('Optimal Choice'!$B$24*AS242))</f>
        <v>270.9457241</v>
      </c>
      <c r="N242" s="12">
        <f t="shared" ref="N242:R242" si="720">if(min($G241:$K241)=G241,N241+1,N241)</f>
        <v>127</v>
      </c>
      <c r="O242" s="12">
        <f t="shared" si="720"/>
        <v>43</v>
      </c>
      <c r="P242" s="12">
        <f t="shared" si="720"/>
        <v>38</v>
      </c>
      <c r="Q242" s="12">
        <f t="shared" si="720"/>
        <v>19</v>
      </c>
      <c r="R242" s="12">
        <f t="shared" si="720"/>
        <v>14</v>
      </c>
      <c r="T242" s="13">
        <f> 'Optimal Choice'!$B$5*'Optimal Choice'!$B$6^(N242+1)</f>
        <v>23077.22238</v>
      </c>
      <c r="U242" s="13">
        <f> 'Optimal Choice'!$B$10*'Optimal Choice'!$B$11^(O242+1)</f>
        <v>28109.70099</v>
      </c>
      <c r="V242" s="13">
        <f> 'Optimal Choice'!$B$15*'Optimal Choice'!$B$16^(P242+1)</f>
        <v>119294.8509</v>
      </c>
      <c r="W242" s="13">
        <f> 'Optimal Choice'!$B$20*'Optimal Choice'!$B$21^(Q242+1)</f>
        <v>99559.47829</v>
      </c>
      <c r="X242" s="13">
        <f> 'Optimal Choice'!$B$25*'Optimal Choice'!$B$26^(R242+1)</f>
        <v>567499.2979</v>
      </c>
      <c r="AA242" s="12">
        <f t="shared" ref="AA242:AE242" si="721">if(isna(VLOOKUP(N242,$D$2:$E$10,2,false)),AA241, VLOOKUP(N242,$D$2:$E$10,2,false))</f>
        <v>50</v>
      </c>
      <c r="AB242" s="12">
        <f t="shared" si="721"/>
        <v>5</v>
      </c>
      <c r="AC242" s="12">
        <f t="shared" si="721"/>
        <v>5</v>
      </c>
      <c r="AD242" s="15">
        <f t="shared" si="721"/>
        <v>1</v>
      </c>
      <c r="AE242" s="15">
        <f t="shared" si="721"/>
        <v>1</v>
      </c>
      <c r="AH242" s="15">
        <f>N242*'Optimal Choice'!$B$4*AA242</f>
        <v>10604.5</v>
      </c>
      <c r="AI242" s="15">
        <f>O242*'Optimal Choice'!$B$9*AB242</f>
        <v>4300</v>
      </c>
      <c r="AJ242" s="15">
        <f>P242*'Optimal Choice'!$B$14*AC242</f>
        <v>17100</v>
      </c>
      <c r="AK242" s="15">
        <f>Q242*'Optimal Choice'!$B$19*AD242</f>
        <v>6840</v>
      </c>
      <c r="AL242" s="15">
        <f>R242*'Optimal Choice'!$B$24*AE242</f>
        <v>30240</v>
      </c>
      <c r="AO242" s="12">
        <f t="shared" ref="AO242:AS242" si="722">if(isna(VLOOKUP(N242+1,$D$2:$E$10,2,false)),AO241, VLOOKUP(N242+1,$D$2:$E$10,2,false))</f>
        <v>50</v>
      </c>
      <c r="AP242" s="12">
        <f t="shared" si="722"/>
        <v>5</v>
      </c>
      <c r="AQ242" s="12">
        <f t="shared" si="722"/>
        <v>5</v>
      </c>
      <c r="AR242" s="15">
        <f t="shared" si="722"/>
        <v>1</v>
      </c>
      <c r="AS242" s="15">
        <f t="shared" si="722"/>
        <v>1</v>
      </c>
      <c r="AU242" s="11">
        <f t="shared" si="8"/>
        <v>0.005209464971</v>
      </c>
    </row>
    <row r="243" ht="15.75" customHeight="1">
      <c r="A243" s="16">
        <f t="shared" si="4"/>
        <v>3.764690607</v>
      </c>
      <c r="B243" s="7">
        <f>(sum(AH243:AL243))*'Optimal Choice'!$B$28</f>
        <v>69534.5</v>
      </c>
      <c r="C243" s="11"/>
      <c r="D243" s="12"/>
      <c r="E243" s="12"/>
      <c r="F243" s="11"/>
      <c r="G243" s="11">
        <f>(T243/$B243)+(T243/('Optimal Choice'!$B$4*AO243))</f>
        <v>276.7058023</v>
      </c>
      <c r="H243" s="11">
        <f>(U243/$B243)+(U243/('Optimal Choice'!$B$9*AP243))</f>
        <v>281.5012654</v>
      </c>
      <c r="I243" s="11">
        <f>(V243/$B243)+(V243/('Optimal Choice'!$B$14*AQ243))</f>
        <v>304.1694302</v>
      </c>
      <c r="J243" s="11">
        <f>(W243/$B243)+(W243/('Optimal Choice'!$B$19*AR243))</f>
        <v>277.9859061</v>
      </c>
      <c r="K243" s="11">
        <f>(X243/$B243)+(X243/('Optimal Choice'!$B$24*AS243))</f>
        <v>270.8925626</v>
      </c>
      <c r="N243" s="12">
        <f t="shared" ref="N243:R243" si="723">if(min($G242:$K242)=G242,N242+1,N242)</f>
        <v>127</v>
      </c>
      <c r="O243" s="12">
        <f t="shared" si="723"/>
        <v>43</v>
      </c>
      <c r="P243" s="12">
        <f t="shared" si="723"/>
        <v>39</v>
      </c>
      <c r="Q243" s="12">
        <f t="shared" si="723"/>
        <v>19</v>
      </c>
      <c r="R243" s="12">
        <f t="shared" si="723"/>
        <v>14</v>
      </c>
      <c r="T243" s="13">
        <f> 'Optimal Choice'!$B$5*'Optimal Choice'!$B$6^(N243+1)</f>
        <v>23077.22238</v>
      </c>
      <c r="U243" s="13">
        <f> 'Optimal Choice'!$B$10*'Optimal Choice'!$B$11^(O243+1)</f>
        <v>28109.70099</v>
      </c>
      <c r="V243" s="13">
        <f> 'Optimal Choice'!$B$15*'Optimal Choice'!$B$16^(P243+1)</f>
        <v>135996.13</v>
      </c>
      <c r="W243" s="13">
        <f> 'Optimal Choice'!$B$20*'Optimal Choice'!$B$21^(Q243+1)</f>
        <v>99559.47829</v>
      </c>
      <c r="X243" s="13">
        <f> 'Optimal Choice'!$B$25*'Optimal Choice'!$B$26^(R243+1)</f>
        <v>567499.2979</v>
      </c>
      <c r="AA243" s="12">
        <f t="shared" ref="AA243:AE243" si="724">if(isna(VLOOKUP(N243,$D$2:$E$10,2,false)),AA242, VLOOKUP(N243,$D$2:$E$10,2,false))</f>
        <v>50</v>
      </c>
      <c r="AB243" s="12">
        <f t="shared" si="724"/>
        <v>5</v>
      </c>
      <c r="AC243" s="12">
        <f t="shared" si="724"/>
        <v>5</v>
      </c>
      <c r="AD243" s="15">
        <f t="shared" si="724"/>
        <v>1</v>
      </c>
      <c r="AE243" s="15">
        <f t="shared" si="724"/>
        <v>1</v>
      </c>
      <c r="AH243" s="15">
        <f>N243*'Optimal Choice'!$B$4*AA243</f>
        <v>10604.5</v>
      </c>
      <c r="AI243" s="15">
        <f>O243*'Optimal Choice'!$B$9*AB243</f>
        <v>4300</v>
      </c>
      <c r="AJ243" s="15">
        <f>P243*'Optimal Choice'!$B$14*AC243</f>
        <v>17550</v>
      </c>
      <c r="AK243" s="15">
        <f>Q243*'Optimal Choice'!$B$19*AD243</f>
        <v>6840</v>
      </c>
      <c r="AL243" s="15">
        <f>R243*'Optimal Choice'!$B$24*AE243</f>
        <v>30240</v>
      </c>
      <c r="AO243" s="12">
        <f t="shared" ref="AO243:AS243" si="725">if(isna(VLOOKUP(N243+1,$D$2:$E$10,2,false)),AO242, VLOOKUP(N243+1,$D$2:$E$10,2,false))</f>
        <v>50</v>
      </c>
      <c r="AP243" s="12">
        <f t="shared" si="725"/>
        <v>5</v>
      </c>
      <c r="AQ243" s="12">
        <f t="shared" si="725"/>
        <v>5</v>
      </c>
      <c r="AR243" s="15">
        <f t="shared" si="725"/>
        <v>1</v>
      </c>
      <c r="AS243" s="15">
        <f t="shared" si="725"/>
        <v>1</v>
      </c>
      <c r="AU243" s="11">
        <f t="shared" si="8"/>
        <v>0.02877993637</v>
      </c>
    </row>
    <row r="244" ht="15.75" customHeight="1">
      <c r="A244" s="16">
        <f t="shared" si="4"/>
        <v>3.900714043</v>
      </c>
      <c r="B244" s="7">
        <f>(sum(AH244:AL244))*'Optimal Choice'!$B$28</f>
        <v>71694.5</v>
      </c>
      <c r="C244" s="11"/>
      <c r="D244" s="12"/>
      <c r="E244" s="12"/>
      <c r="F244" s="11"/>
      <c r="G244" s="11">
        <f>(T244/$B244)+(T244/('Optimal Choice'!$B$4*AO244))</f>
        <v>276.6958034</v>
      </c>
      <c r="H244" s="11">
        <f>(U244/$B244)+(U244/('Optimal Choice'!$B$9*AP244))</f>
        <v>281.489086</v>
      </c>
      <c r="I244" s="11">
        <f>(V244/$B244)+(V244/('Optimal Choice'!$B$14*AQ244))</f>
        <v>304.1105059</v>
      </c>
      <c r="J244" s="11">
        <f>(W244/$B244)+(W244/('Optimal Choice'!$B$19*AR244))</f>
        <v>277.9427691</v>
      </c>
      <c r="K244" s="11">
        <f>(X244/$B244)+(X244/('Optimal Choice'!$B$24*AS244))</f>
        <v>303.1242784</v>
      </c>
      <c r="N244" s="12">
        <f t="shared" ref="N244:R244" si="726">if(min($G243:$K243)=G243,N243+1,N243)</f>
        <v>127</v>
      </c>
      <c r="O244" s="12">
        <f t="shared" si="726"/>
        <v>43</v>
      </c>
      <c r="P244" s="12">
        <f t="shared" si="726"/>
        <v>39</v>
      </c>
      <c r="Q244" s="12">
        <f t="shared" si="726"/>
        <v>19</v>
      </c>
      <c r="R244" s="12">
        <f t="shared" si="726"/>
        <v>15</v>
      </c>
      <c r="T244" s="13">
        <f> 'Optimal Choice'!$B$5*'Optimal Choice'!$B$6^(N244+1)</f>
        <v>23077.22238</v>
      </c>
      <c r="U244" s="13">
        <f> 'Optimal Choice'!$B$10*'Optimal Choice'!$B$11^(O244+1)</f>
        <v>28109.70099</v>
      </c>
      <c r="V244" s="13">
        <f> 'Optimal Choice'!$B$15*'Optimal Choice'!$B$16^(P244+1)</f>
        <v>135996.13</v>
      </c>
      <c r="W244" s="13">
        <f> 'Optimal Choice'!$B$20*'Optimal Choice'!$B$21^(Q244+1)</f>
        <v>99559.47829</v>
      </c>
      <c r="X244" s="13">
        <f> 'Optimal Choice'!$B$25*'Optimal Choice'!$B$26^(R244+1)</f>
        <v>635599.2137</v>
      </c>
      <c r="AA244" s="12">
        <f t="shared" ref="AA244:AE244" si="727">if(isna(VLOOKUP(N244,$D$2:$E$10,2,false)),AA243, VLOOKUP(N244,$D$2:$E$10,2,false))</f>
        <v>50</v>
      </c>
      <c r="AB244" s="12">
        <f t="shared" si="727"/>
        <v>5</v>
      </c>
      <c r="AC244" s="12">
        <f t="shared" si="727"/>
        <v>5</v>
      </c>
      <c r="AD244" s="15">
        <f t="shared" si="727"/>
        <v>1</v>
      </c>
      <c r="AE244" s="15">
        <f t="shared" si="727"/>
        <v>1</v>
      </c>
      <c r="AH244" s="15">
        <f>N244*'Optimal Choice'!$B$4*AA244</f>
        <v>10604.5</v>
      </c>
      <c r="AI244" s="15">
        <f>O244*'Optimal Choice'!$B$9*AB244</f>
        <v>4300</v>
      </c>
      <c r="AJ244" s="15">
        <f>P244*'Optimal Choice'!$B$14*AC244</f>
        <v>17550</v>
      </c>
      <c r="AK244" s="15">
        <f>Q244*'Optimal Choice'!$B$19*AD244</f>
        <v>6840</v>
      </c>
      <c r="AL244" s="15">
        <f>R244*'Optimal Choice'!$B$24*AE244</f>
        <v>32400</v>
      </c>
      <c r="AO244" s="12">
        <f t="shared" ref="AO244:AS244" si="728">if(isna(VLOOKUP(N244+1,$D$2:$E$10,2,false)),AO243, VLOOKUP(N244+1,$D$2:$E$10,2,false))</f>
        <v>50</v>
      </c>
      <c r="AP244" s="12">
        <f t="shared" si="728"/>
        <v>5</v>
      </c>
      <c r="AQ244" s="12">
        <f t="shared" si="728"/>
        <v>5</v>
      </c>
      <c r="AR244" s="15">
        <f t="shared" si="728"/>
        <v>1</v>
      </c>
      <c r="AS244" s="15">
        <f t="shared" si="728"/>
        <v>1</v>
      </c>
      <c r="AU244" s="11">
        <f t="shared" si="8"/>
        <v>0.1360234363</v>
      </c>
    </row>
    <row r="245" ht="15.75" customHeight="1">
      <c r="A245" s="16">
        <f t="shared" si="4"/>
        <v>3.906078756</v>
      </c>
      <c r="B245" s="7">
        <f>(sum(AH245:AL245))*'Optimal Choice'!$B$28</f>
        <v>71778</v>
      </c>
      <c r="C245" s="11"/>
      <c r="D245" s="12"/>
      <c r="E245" s="12"/>
      <c r="F245" s="11"/>
      <c r="G245" s="11">
        <f>(T245/$B245)+(T245/('Optimal Choice'!$B$4*AO245))</f>
        <v>296.064109</v>
      </c>
      <c r="H245" s="11">
        <f>(U245/$B245)+(U245/('Optimal Choice'!$B$9*AP245))</f>
        <v>281.4886299</v>
      </c>
      <c r="I245" s="11">
        <f>(V245/$B245)+(V245/('Optimal Choice'!$B$14*AQ245))</f>
        <v>304.1082992</v>
      </c>
      <c r="J245" s="11">
        <f>(W245/$B245)+(W245/('Optimal Choice'!$B$19*AR245))</f>
        <v>277.9411536</v>
      </c>
      <c r="K245" s="11">
        <f>(X245/$B245)+(X245/('Optimal Choice'!$B$24*AS245))</f>
        <v>303.1139652</v>
      </c>
      <c r="N245" s="12">
        <f t="shared" ref="N245:R245" si="729">if(min($G244:$K244)=G244,N244+1,N244)</f>
        <v>128</v>
      </c>
      <c r="O245" s="12">
        <f t="shared" si="729"/>
        <v>43</v>
      </c>
      <c r="P245" s="12">
        <f t="shared" si="729"/>
        <v>39</v>
      </c>
      <c r="Q245" s="12">
        <f t="shared" si="729"/>
        <v>19</v>
      </c>
      <c r="R245" s="12">
        <f t="shared" si="729"/>
        <v>15</v>
      </c>
      <c r="T245" s="13">
        <f> 'Optimal Choice'!$B$5*'Optimal Choice'!$B$6^(N245+1)</f>
        <v>24692.62794</v>
      </c>
      <c r="U245" s="13">
        <f> 'Optimal Choice'!$B$10*'Optimal Choice'!$B$11^(O245+1)</f>
        <v>28109.70099</v>
      </c>
      <c r="V245" s="13">
        <f> 'Optimal Choice'!$B$15*'Optimal Choice'!$B$16^(P245+1)</f>
        <v>135996.13</v>
      </c>
      <c r="W245" s="13">
        <f> 'Optimal Choice'!$B$20*'Optimal Choice'!$B$21^(Q245+1)</f>
        <v>99559.47829</v>
      </c>
      <c r="X245" s="13">
        <f> 'Optimal Choice'!$B$25*'Optimal Choice'!$B$26^(R245+1)</f>
        <v>635599.2137</v>
      </c>
      <c r="AA245" s="12">
        <f t="shared" ref="AA245:AE245" si="730">if(isna(VLOOKUP(N245,$D$2:$E$10,2,false)),AA244, VLOOKUP(N245,$D$2:$E$10,2,false))</f>
        <v>50</v>
      </c>
      <c r="AB245" s="12">
        <f t="shared" si="730"/>
        <v>5</v>
      </c>
      <c r="AC245" s="12">
        <f t="shared" si="730"/>
        <v>5</v>
      </c>
      <c r="AD245" s="15">
        <f t="shared" si="730"/>
        <v>1</v>
      </c>
      <c r="AE245" s="15">
        <f t="shared" si="730"/>
        <v>1</v>
      </c>
      <c r="AH245" s="15">
        <f>N245*'Optimal Choice'!$B$4*AA245</f>
        <v>10688</v>
      </c>
      <c r="AI245" s="15">
        <f>O245*'Optimal Choice'!$B$9*AB245</f>
        <v>4300</v>
      </c>
      <c r="AJ245" s="15">
        <f>P245*'Optimal Choice'!$B$14*AC245</f>
        <v>17550</v>
      </c>
      <c r="AK245" s="15">
        <f>Q245*'Optimal Choice'!$B$19*AD245</f>
        <v>6840</v>
      </c>
      <c r="AL245" s="15">
        <f>R245*'Optimal Choice'!$B$24*AE245</f>
        <v>32400</v>
      </c>
      <c r="AO245" s="12">
        <f t="shared" ref="AO245:AS245" si="731">if(isna(VLOOKUP(N245+1,$D$2:$E$10,2,false)),AO244, VLOOKUP(N245+1,$D$2:$E$10,2,false))</f>
        <v>50</v>
      </c>
      <c r="AP245" s="12">
        <f t="shared" si="731"/>
        <v>5</v>
      </c>
      <c r="AQ245" s="12">
        <f t="shared" si="731"/>
        <v>5</v>
      </c>
      <c r="AR245" s="15">
        <f t="shared" si="731"/>
        <v>1</v>
      </c>
      <c r="AS245" s="15">
        <f t="shared" si="731"/>
        <v>1</v>
      </c>
      <c r="AU245" s="11">
        <f t="shared" si="8"/>
        <v>0.005364712397</v>
      </c>
    </row>
    <row r="246" ht="15.75" customHeight="1">
      <c r="A246" s="16">
        <f t="shared" si="4"/>
        <v>3.92919621</v>
      </c>
      <c r="B246" s="7">
        <f>(sum(AH246:AL246))*'Optimal Choice'!$B$28</f>
        <v>72138</v>
      </c>
      <c r="C246" s="11"/>
      <c r="D246" s="12"/>
      <c r="E246" s="12"/>
      <c r="F246" s="11"/>
      <c r="G246" s="11">
        <f>(T246/$B246)+(T246/('Optimal Choice'!$B$4*AO246))</f>
        <v>296.0623922</v>
      </c>
      <c r="H246" s="11">
        <f>(U246/$B246)+(U246/('Optimal Choice'!$B$9*AP246))</f>
        <v>281.4866756</v>
      </c>
      <c r="I246" s="11">
        <f>(V246/$B246)+(V246/('Optimal Choice'!$B$14*AQ246))</f>
        <v>304.098844</v>
      </c>
      <c r="J246" s="11">
        <f>(W246/$B246)+(W246/('Optimal Choice'!$B$19*AR246))</f>
        <v>314.0656818</v>
      </c>
      <c r="K246" s="11">
        <f>(X246/$B246)+(X246/('Optimal Choice'!$B$24*AS246))</f>
        <v>303.0697746</v>
      </c>
      <c r="N246" s="12">
        <f t="shared" ref="N246:R246" si="732">if(min($G245:$K245)=G245,N245+1,N245)</f>
        <v>128</v>
      </c>
      <c r="O246" s="12">
        <f t="shared" si="732"/>
        <v>43</v>
      </c>
      <c r="P246" s="12">
        <f t="shared" si="732"/>
        <v>39</v>
      </c>
      <c r="Q246" s="12">
        <f t="shared" si="732"/>
        <v>20</v>
      </c>
      <c r="R246" s="12">
        <f t="shared" si="732"/>
        <v>15</v>
      </c>
      <c r="T246" s="13">
        <f> 'Optimal Choice'!$B$5*'Optimal Choice'!$B$6^(N246+1)</f>
        <v>24692.62794</v>
      </c>
      <c r="U246" s="13">
        <f> 'Optimal Choice'!$B$10*'Optimal Choice'!$B$11^(O246+1)</f>
        <v>28109.70099</v>
      </c>
      <c r="V246" s="13">
        <f> 'Optimal Choice'!$B$15*'Optimal Choice'!$B$16^(P246+1)</f>
        <v>135996.13</v>
      </c>
      <c r="W246" s="13">
        <f> 'Optimal Choice'!$B$20*'Optimal Choice'!$B$21^(Q246+1)</f>
        <v>112502.2105</v>
      </c>
      <c r="X246" s="13">
        <f> 'Optimal Choice'!$B$25*'Optimal Choice'!$B$26^(R246+1)</f>
        <v>635599.2137</v>
      </c>
      <c r="AA246" s="12">
        <f t="shared" ref="AA246:AE246" si="733">if(isna(VLOOKUP(N246,$D$2:$E$10,2,false)),AA245, VLOOKUP(N246,$D$2:$E$10,2,false))</f>
        <v>50</v>
      </c>
      <c r="AB246" s="12">
        <f t="shared" si="733"/>
        <v>5</v>
      </c>
      <c r="AC246" s="12">
        <f t="shared" si="733"/>
        <v>5</v>
      </c>
      <c r="AD246" s="15">
        <f t="shared" si="733"/>
        <v>1</v>
      </c>
      <c r="AE246" s="15">
        <f t="shared" si="733"/>
        <v>1</v>
      </c>
      <c r="AH246" s="15">
        <f>N246*'Optimal Choice'!$B$4*AA246</f>
        <v>10688</v>
      </c>
      <c r="AI246" s="15">
        <f>O246*'Optimal Choice'!$B$9*AB246</f>
        <v>4300</v>
      </c>
      <c r="AJ246" s="15">
        <f>P246*'Optimal Choice'!$B$14*AC246</f>
        <v>17550</v>
      </c>
      <c r="AK246" s="15">
        <f>Q246*'Optimal Choice'!$B$19*AD246</f>
        <v>7200</v>
      </c>
      <c r="AL246" s="15">
        <f>R246*'Optimal Choice'!$B$24*AE246</f>
        <v>32400</v>
      </c>
      <c r="AO246" s="12">
        <f t="shared" ref="AO246:AS246" si="734">if(isna(VLOOKUP(N246+1,$D$2:$E$10,2,false)),AO245, VLOOKUP(N246+1,$D$2:$E$10,2,false))</f>
        <v>50</v>
      </c>
      <c r="AP246" s="12">
        <f t="shared" si="734"/>
        <v>5</v>
      </c>
      <c r="AQ246" s="12">
        <f t="shared" si="734"/>
        <v>5</v>
      </c>
      <c r="AR246" s="15">
        <f t="shared" si="734"/>
        <v>1</v>
      </c>
      <c r="AS246" s="15">
        <f t="shared" si="734"/>
        <v>1</v>
      </c>
      <c r="AU246" s="11">
        <f t="shared" si="8"/>
        <v>0.02311745435</v>
      </c>
    </row>
    <row r="247" ht="15.75" customHeight="1">
      <c r="A247" s="16">
        <f t="shared" si="4"/>
        <v>3.935690638</v>
      </c>
      <c r="B247" s="7">
        <f>(sum(AH247:AL247))*'Optimal Choice'!$B$28</f>
        <v>72238</v>
      </c>
      <c r="C247" s="11"/>
      <c r="D247" s="12"/>
      <c r="E247" s="12"/>
      <c r="F247" s="11"/>
      <c r="G247" s="11">
        <f>(T247/$B247)+(T247/('Optimal Choice'!$B$4*AO247))</f>
        <v>296.0619184</v>
      </c>
      <c r="H247" s="11">
        <f>(U247/$B247)+(U247/('Optimal Choice'!$B$9*AP247))</f>
        <v>323.7090566</v>
      </c>
      <c r="I247" s="11">
        <f>(V247/$B247)+(V247/('Optimal Choice'!$B$14*AQ247))</f>
        <v>304.0962342</v>
      </c>
      <c r="J247" s="11">
        <f>(W247/$B247)+(W247/('Optimal Choice'!$B$19*AR247))</f>
        <v>314.0635229</v>
      </c>
      <c r="K247" s="11">
        <f>(X247/$B247)+(X247/('Optimal Choice'!$B$24*AS247))</f>
        <v>303.0575775</v>
      </c>
      <c r="N247" s="12">
        <f t="shared" ref="N247:R247" si="735">if(min($G246:$K246)=G246,N246+1,N246)</f>
        <v>128</v>
      </c>
      <c r="O247" s="12">
        <f t="shared" si="735"/>
        <v>44</v>
      </c>
      <c r="P247" s="12">
        <f t="shared" si="735"/>
        <v>39</v>
      </c>
      <c r="Q247" s="12">
        <f t="shared" si="735"/>
        <v>20</v>
      </c>
      <c r="R247" s="12">
        <f t="shared" si="735"/>
        <v>15</v>
      </c>
      <c r="T247" s="13">
        <f> 'Optimal Choice'!$B$5*'Optimal Choice'!$B$6^(N247+1)</f>
        <v>24692.62794</v>
      </c>
      <c r="U247" s="13">
        <f> 'Optimal Choice'!$B$10*'Optimal Choice'!$B$11^(O247+1)</f>
        <v>32326.15614</v>
      </c>
      <c r="V247" s="13">
        <f> 'Optimal Choice'!$B$15*'Optimal Choice'!$B$16^(P247+1)</f>
        <v>135996.13</v>
      </c>
      <c r="W247" s="13">
        <f> 'Optimal Choice'!$B$20*'Optimal Choice'!$B$21^(Q247+1)</f>
        <v>112502.2105</v>
      </c>
      <c r="X247" s="13">
        <f> 'Optimal Choice'!$B$25*'Optimal Choice'!$B$26^(R247+1)</f>
        <v>635599.2137</v>
      </c>
      <c r="AA247" s="12">
        <f t="shared" ref="AA247:AE247" si="736">if(isna(VLOOKUP(N247,$D$2:$E$10,2,false)),AA246, VLOOKUP(N247,$D$2:$E$10,2,false))</f>
        <v>50</v>
      </c>
      <c r="AB247" s="12">
        <f t="shared" si="736"/>
        <v>5</v>
      </c>
      <c r="AC247" s="12">
        <f t="shared" si="736"/>
        <v>5</v>
      </c>
      <c r="AD247" s="15">
        <f t="shared" si="736"/>
        <v>1</v>
      </c>
      <c r="AE247" s="15">
        <f t="shared" si="736"/>
        <v>1</v>
      </c>
      <c r="AH247" s="15">
        <f>N247*'Optimal Choice'!$B$4*AA247</f>
        <v>10688</v>
      </c>
      <c r="AI247" s="15">
        <f>O247*'Optimal Choice'!$B$9*AB247</f>
        <v>4400</v>
      </c>
      <c r="AJ247" s="15">
        <f>P247*'Optimal Choice'!$B$14*AC247</f>
        <v>17550</v>
      </c>
      <c r="AK247" s="15">
        <f>Q247*'Optimal Choice'!$B$19*AD247</f>
        <v>7200</v>
      </c>
      <c r="AL247" s="15">
        <f>R247*'Optimal Choice'!$B$24*AE247</f>
        <v>32400</v>
      </c>
      <c r="AO247" s="12">
        <f t="shared" ref="AO247:AS247" si="737">if(isna(VLOOKUP(N247+1,$D$2:$E$10,2,false)),AO246, VLOOKUP(N247+1,$D$2:$E$10,2,false))</f>
        <v>50</v>
      </c>
      <c r="AP247" s="12">
        <f t="shared" si="737"/>
        <v>5</v>
      </c>
      <c r="AQ247" s="12">
        <f t="shared" si="737"/>
        <v>5</v>
      </c>
      <c r="AR247" s="15">
        <f t="shared" si="737"/>
        <v>1</v>
      </c>
      <c r="AS247" s="15">
        <f t="shared" si="737"/>
        <v>1</v>
      </c>
      <c r="AU247" s="11">
        <f t="shared" si="8"/>
        <v>0.006494427576</v>
      </c>
    </row>
    <row r="248" ht="15.75" customHeight="1">
      <c r="A248" s="16">
        <f t="shared" si="4"/>
        <v>3.941387692</v>
      </c>
      <c r="B248" s="7">
        <f>(sum(AH248:AL248))*'Optimal Choice'!$B$28</f>
        <v>72321.5</v>
      </c>
      <c r="C248" s="11"/>
      <c r="D248" s="12"/>
      <c r="E248" s="12"/>
      <c r="F248" s="11"/>
      <c r="G248" s="11">
        <f>(T248/$B248)+(T248/('Optimal Choice'!$B$4*AO248))</f>
        <v>316.7858304</v>
      </c>
      <c r="H248" s="11">
        <f>(U248/$B248)+(U248/('Optimal Choice'!$B$9*AP248))</f>
        <v>323.7085399</v>
      </c>
      <c r="I248" s="11">
        <f>(V248/$B248)+(V248/('Optimal Choice'!$B$14*AQ248))</f>
        <v>304.0940606</v>
      </c>
      <c r="J248" s="11">
        <f>(W248/$B248)+(W248/('Optimal Choice'!$B$19*AR248))</f>
        <v>314.0617248</v>
      </c>
      <c r="K248" s="11">
        <f>(X248/$B248)+(X248/('Optimal Choice'!$B$24*AS248))</f>
        <v>303.0474189</v>
      </c>
      <c r="N248" s="12">
        <f t="shared" ref="N248:R248" si="738">if(min($G247:$K247)=G247,N247+1,N247)</f>
        <v>129</v>
      </c>
      <c r="O248" s="12">
        <f t="shared" si="738"/>
        <v>44</v>
      </c>
      <c r="P248" s="12">
        <f t="shared" si="738"/>
        <v>39</v>
      </c>
      <c r="Q248" s="12">
        <f t="shared" si="738"/>
        <v>20</v>
      </c>
      <c r="R248" s="12">
        <f t="shared" si="738"/>
        <v>15</v>
      </c>
      <c r="T248" s="13">
        <f> 'Optimal Choice'!$B$5*'Optimal Choice'!$B$6^(N248+1)</f>
        <v>26421.1119</v>
      </c>
      <c r="U248" s="13">
        <f> 'Optimal Choice'!$B$10*'Optimal Choice'!$B$11^(O248+1)</f>
        <v>32326.15614</v>
      </c>
      <c r="V248" s="13">
        <f> 'Optimal Choice'!$B$15*'Optimal Choice'!$B$16^(P248+1)</f>
        <v>135996.13</v>
      </c>
      <c r="W248" s="13">
        <f> 'Optimal Choice'!$B$20*'Optimal Choice'!$B$21^(Q248+1)</f>
        <v>112502.2105</v>
      </c>
      <c r="X248" s="13">
        <f> 'Optimal Choice'!$B$25*'Optimal Choice'!$B$26^(R248+1)</f>
        <v>635599.2137</v>
      </c>
      <c r="AA248" s="12">
        <f t="shared" ref="AA248:AE248" si="739">if(isna(VLOOKUP(N248,$D$2:$E$10,2,false)),AA247, VLOOKUP(N248,$D$2:$E$10,2,false))</f>
        <v>50</v>
      </c>
      <c r="AB248" s="12">
        <f t="shared" si="739"/>
        <v>5</v>
      </c>
      <c r="AC248" s="12">
        <f t="shared" si="739"/>
        <v>5</v>
      </c>
      <c r="AD248" s="15">
        <f t="shared" si="739"/>
        <v>1</v>
      </c>
      <c r="AE248" s="15">
        <f t="shared" si="739"/>
        <v>1</v>
      </c>
      <c r="AH248" s="15">
        <f>N248*'Optimal Choice'!$B$4*AA248</f>
        <v>10771.5</v>
      </c>
      <c r="AI248" s="15">
        <f>O248*'Optimal Choice'!$B$9*AB248</f>
        <v>4400</v>
      </c>
      <c r="AJ248" s="15">
        <f>P248*'Optimal Choice'!$B$14*AC248</f>
        <v>17550</v>
      </c>
      <c r="AK248" s="15">
        <f>Q248*'Optimal Choice'!$B$19*AD248</f>
        <v>7200</v>
      </c>
      <c r="AL248" s="15">
        <f>R248*'Optimal Choice'!$B$24*AE248</f>
        <v>32400</v>
      </c>
      <c r="AO248" s="12">
        <f t="shared" ref="AO248:AS248" si="740">if(isna(VLOOKUP(N248+1,$D$2:$E$10,2,false)),AO247, VLOOKUP(N248+1,$D$2:$E$10,2,false))</f>
        <v>50</v>
      </c>
      <c r="AP248" s="12">
        <f t="shared" si="740"/>
        <v>5</v>
      </c>
      <c r="AQ248" s="12">
        <f t="shared" si="740"/>
        <v>5</v>
      </c>
      <c r="AR248" s="15">
        <f t="shared" si="740"/>
        <v>1</v>
      </c>
      <c r="AS248" s="15">
        <f t="shared" si="740"/>
        <v>1</v>
      </c>
      <c r="AU248" s="11">
        <f t="shared" si="8"/>
        <v>0.005697054169</v>
      </c>
    </row>
    <row r="249" ht="15.75" customHeight="1">
      <c r="A249" s="16">
        <f t="shared" si="4"/>
        <v>4.087863086</v>
      </c>
      <c r="B249" s="7">
        <f>(sum(AH249:AL249))*'Optimal Choice'!$B$28</f>
        <v>74481.5</v>
      </c>
      <c r="C249" s="11"/>
      <c r="D249" s="12"/>
      <c r="E249" s="12"/>
      <c r="F249" s="11"/>
      <c r="G249" s="11">
        <f>(T249/$B249)+(T249/('Optimal Choice'!$B$4*AO249))</f>
        <v>316.7752357</v>
      </c>
      <c r="H249" s="11">
        <f>(U249/$B249)+(U249/('Optimal Choice'!$B$9*AP249))</f>
        <v>323.6955773</v>
      </c>
      <c r="I249" s="11">
        <f>(V249/$B249)+(V249/('Optimal Choice'!$B$14*AQ249))</f>
        <v>304.039527</v>
      </c>
      <c r="J249" s="11">
        <f>(W249/$B249)+(W249/('Optimal Choice'!$B$19*AR249))</f>
        <v>314.016612</v>
      </c>
      <c r="K249" s="11">
        <f>(X249/$B249)+(X249/('Optimal Choice'!$B$24*AS249))</f>
        <v>339.1276531</v>
      </c>
      <c r="N249" s="12">
        <f t="shared" ref="N249:R249" si="741">if(min($G248:$K248)=G248,N248+1,N248)</f>
        <v>129</v>
      </c>
      <c r="O249" s="12">
        <f t="shared" si="741"/>
        <v>44</v>
      </c>
      <c r="P249" s="12">
        <f t="shared" si="741"/>
        <v>39</v>
      </c>
      <c r="Q249" s="12">
        <f t="shared" si="741"/>
        <v>20</v>
      </c>
      <c r="R249" s="12">
        <f t="shared" si="741"/>
        <v>16</v>
      </c>
      <c r="T249" s="13">
        <f> 'Optimal Choice'!$B$5*'Optimal Choice'!$B$6^(N249+1)</f>
        <v>26421.1119</v>
      </c>
      <c r="U249" s="13">
        <f> 'Optimal Choice'!$B$10*'Optimal Choice'!$B$11^(O249+1)</f>
        <v>32326.15614</v>
      </c>
      <c r="V249" s="13">
        <f> 'Optimal Choice'!$B$15*'Optimal Choice'!$B$16^(P249+1)</f>
        <v>135996.13</v>
      </c>
      <c r="W249" s="13">
        <f> 'Optimal Choice'!$B$20*'Optimal Choice'!$B$21^(Q249+1)</f>
        <v>112502.2105</v>
      </c>
      <c r="X249" s="13">
        <f> 'Optimal Choice'!$B$25*'Optimal Choice'!$B$26^(R249+1)</f>
        <v>711871.1193</v>
      </c>
      <c r="AA249" s="12">
        <f t="shared" ref="AA249:AE249" si="742">if(isna(VLOOKUP(N249,$D$2:$E$10,2,false)),AA248, VLOOKUP(N249,$D$2:$E$10,2,false))</f>
        <v>50</v>
      </c>
      <c r="AB249" s="12">
        <f t="shared" si="742"/>
        <v>5</v>
      </c>
      <c r="AC249" s="12">
        <f t="shared" si="742"/>
        <v>5</v>
      </c>
      <c r="AD249" s="15">
        <f t="shared" si="742"/>
        <v>1</v>
      </c>
      <c r="AE249" s="15">
        <f t="shared" si="742"/>
        <v>1</v>
      </c>
      <c r="AH249" s="15">
        <f>N249*'Optimal Choice'!$B$4*AA249</f>
        <v>10771.5</v>
      </c>
      <c r="AI249" s="15">
        <f>O249*'Optimal Choice'!$B$9*AB249</f>
        <v>4400</v>
      </c>
      <c r="AJ249" s="15">
        <f>P249*'Optimal Choice'!$B$14*AC249</f>
        <v>17550</v>
      </c>
      <c r="AK249" s="15">
        <f>Q249*'Optimal Choice'!$B$19*AD249</f>
        <v>7200</v>
      </c>
      <c r="AL249" s="15">
        <f>R249*'Optimal Choice'!$B$24*AE249</f>
        <v>34560</v>
      </c>
      <c r="AO249" s="12">
        <f t="shared" ref="AO249:AS249" si="743">if(isna(VLOOKUP(N249+1,$D$2:$E$10,2,false)),AO248, VLOOKUP(N249+1,$D$2:$E$10,2,false))</f>
        <v>50</v>
      </c>
      <c r="AP249" s="12">
        <f t="shared" si="743"/>
        <v>5</v>
      </c>
      <c r="AQ249" s="12">
        <f t="shared" si="743"/>
        <v>5</v>
      </c>
      <c r="AR249" s="15">
        <f t="shared" si="743"/>
        <v>1</v>
      </c>
      <c r="AS249" s="15">
        <f t="shared" si="743"/>
        <v>1</v>
      </c>
      <c r="AU249" s="11">
        <f t="shared" si="8"/>
        <v>0.1464753943</v>
      </c>
    </row>
    <row r="250" ht="15.75" customHeight="1">
      <c r="A250" s="16">
        <f t="shared" si="4"/>
        <v>4.118294833</v>
      </c>
      <c r="B250" s="7">
        <f>(sum(AH250:AL250))*'Optimal Choice'!$B$28</f>
        <v>74931.5</v>
      </c>
      <c r="C250" s="11"/>
      <c r="D250" s="12"/>
      <c r="E250" s="12"/>
      <c r="F250" s="11"/>
      <c r="G250" s="11">
        <f>(T250/$B250)+(T250/('Optimal Choice'!$B$4*AO250))</f>
        <v>316.7731053</v>
      </c>
      <c r="H250" s="11">
        <f>(U250/$B250)+(U250/('Optimal Choice'!$B$9*AP250))</f>
        <v>323.6929708</v>
      </c>
      <c r="I250" s="11">
        <f>(V250/$B250)+(V250/('Optimal Choice'!$B$14*AQ250))</f>
        <v>346.5925602</v>
      </c>
      <c r="J250" s="11">
        <f>(W250/$B250)+(W250/('Optimal Choice'!$B$19*AR250))</f>
        <v>314.0075409</v>
      </c>
      <c r="K250" s="11">
        <f>(X250/$B250)+(X250/('Optimal Choice'!$B$24*AS250))</f>
        <v>339.0702545</v>
      </c>
      <c r="N250" s="12">
        <f t="shared" ref="N250:R250" si="744">if(min($G249:$K249)=G249,N249+1,N249)</f>
        <v>129</v>
      </c>
      <c r="O250" s="12">
        <f t="shared" si="744"/>
        <v>44</v>
      </c>
      <c r="P250" s="12">
        <f t="shared" si="744"/>
        <v>40</v>
      </c>
      <c r="Q250" s="12">
        <f t="shared" si="744"/>
        <v>20</v>
      </c>
      <c r="R250" s="12">
        <f t="shared" si="744"/>
        <v>16</v>
      </c>
      <c r="T250" s="13">
        <f> 'Optimal Choice'!$B$5*'Optimal Choice'!$B$6^(N250+1)</f>
        <v>26421.1119</v>
      </c>
      <c r="U250" s="13">
        <f> 'Optimal Choice'!$B$10*'Optimal Choice'!$B$11^(O250+1)</f>
        <v>32326.15614</v>
      </c>
      <c r="V250" s="13">
        <f> 'Optimal Choice'!$B$15*'Optimal Choice'!$B$16^(P250+1)</f>
        <v>155035.5882</v>
      </c>
      <c r="W250" s="13">
        <f> 'Optimal Choice'!$B$20*'Optimal Choice'!$B$21^(Q250+1)</f>
        <v>112502.2105</v>
      </c>
      <c r="X250" s="13">
        <f> 'Optimal Choice'!$B$25*'Optimal Choice'!$B$26^(R250+1)</f>
        <v>711871.1193</v>
      </c>
      <c r="AA250" s="12">
        <f t="shared" ref="AA250:AE250" si="745">if(isna(VLOOKUP(N250,$D$2:$E$10,2,false)),AA249, VLOOKUP(N250,$D$2:$E$10,2,false))</f>
        <v>50</v>
      </c>
      <c r="AB250" s="12">
        <f t="shared" si="745"/>
        <v>5</v>
      </c>
      <c r="AC250" s="12">
        <f t="shared" si="745"/>
        <v>5</v>
      </c>
      <c r="AD250" s="15">
        <f t="shared" si="745"/>
        <v>1</v>
      </c>
      <c r="AE250" s="15">
        <f t="shared" si="745"/>
        <v>1</v>
      </c>
      <c r="AH250" s="15">
        <f>N250*'Optimal Choice'!$B$4*AA250</f>
        <v>10771.5</v>
      </c>
      <c r="AI250" s="15">
        <f>O250*'Optimal Choice'!$B$9*AB250</f>
        <v>4400</v>
      </c>
      <c r="AJ250" s="15">
        <f>P250*'Optimal Choice'!$B$14*AC250</f>
        <v>18000</v>
      </c>
      <c r="AK250" s="15">
        <f>Q250*'Optimal Choice'!$B$19*AD250</f>
        <v>7200</v>
      </c>
      <c r="AL250" s="15">
        <f>R250*'Optimal Choice'!$B$24*AE250</f>
        <v>34560</v>
      </c>
      <c r="AO250" s="12">
        <f t="shared" ref="AO250:AS250" si="746">if(isna(VLOOKUP(N250+1,$D$2:$E$10,2,false)),AO249, VLOOKUP(N250+1,$D$2:$E$10,2,false))</f>
        <v>50</v>
      </c>
      <c r="AP250" s="12">
        <f t="shared" si="746"/>
        <v>5</v>
      </c>
      <c r="AQ250" s="12">
        <f t="shared" si="746"/>
        <v>5</v>
      </c>
      <c r="AR250" s="15">
        <f t="shared" si="746"/>
        <v>1</v>
      </c>
      <c r="AS250" s="15">
        <f t="shared" si="746"/>
        <v>1</v>
      </c>
      <c r="AU250" s="11">
        <f t="shared" si="8"/>
        <v>0.03043174703</v>
      </c>
    </row>
    <row r="251" ht="15.75" customHeight="1">
      <c r="A251" s="16">
        <f t="shared" si="4"/>
        <v>4.143318179</v>
      </c>
      <c r="B251" s="7">
        <f>(sum(AH251:AL251))*'Optimal Choice'!$B$28</f>
        <v>75291.5</v>
      </c>
      <c r="C251" s="11"/>
      <c r="D251" s="12"/>
      <c r="E251" s="12"/>
      <c r="F251" s="11"/>
      <c r="G251" s="11">
        <f>(T251/$B251)+(T251/('Optimal Choice'!$B$4*AO251))</f>
        <v>316.7714194</v>
      </c>
      <c r="H251" s="11">
        <f>(U251/$B251)+(U251/('Optimal Choice'!$B$9*AP251))</f>
        <v>323.6909081</v>
      </c>
      <c r="I251" s="11">
        <f>(V251/$B251)+(V251/('Optimal Choice'!$B$14*AQ251))</f>
        <v>346.5826673</v>
      </c>
      <c r="J251" s="11">
        <f>(W251/$B251)+(W251/('Optimal Choice'!$B$19*AR251))</f>
        <v>354.8204092</v>
      </c>
      <c r="K251" s="11">
        <f>(X251/$B251)+(X251/('Optimal Choice'!$B$24*AS251))</f>
        <v>339.0248297</v>
      </c>
      <c r="N251" s="12">
        <f t="shared" ref="N251:R251" si="747">if(min($G250:$K250)=G250,N250+1,N250)</f>
        <v>129</v>
      </c>
      <c r="O251" s="12">
        <f t="shared" si="747"/>
        <v>44</v>
      </c>
      <c r="P251" s="12">
        <f t="shared" si="747"/>
        <v>40</v>
      </c>
      <c r="Q251" s="12">
        <f t="shared" si="747"/>
        <v>21</v>
      </c>
      <c r="R251" s="12">
        <f t="shared" si="747"/>
        <v>16</v>
      </c>
      <c r="T251" s="13">
        <f> 'Optimal Choice'!$B$5*'Optimal Choice'!$B$6^(N251+1)</f>
        <v>26421.1119</v>
      </c>
      <c r="U251" s="13">
        <f> 'Optimal Choice'!$B$10*'Optimal Choice'!$B$11^(O251+1)</f>
        <v>32326.15614</v>
      </c>
      <c r="V251" s="13">
        <f> 'Optimal Choice'!$B$15*'Optimal Choice'!$B$16^(P251+1)</f>
        <v>155035.5882</v>
      </c>
      <c r="W251" s="13">
        <f> 'Optimal Choice'!$B$20*'Optimal Choice'!$B$21^(Q251+1)</f>
        <v>127127.4978</v>
      </c>
      <c r="X251" s="13">
        <f> 'Optimal Choice'!$B$25*'Optimal Choice'!$B$26^(R251+1)</f>
        <v>711871.1193</v>
      </c>
      <c r="AA251" s="12">
        <f t="shared" ref="AA251:AE251" si="748">if(isna(VLOOKUP(N251,$D$2:$E$10,2,false)),AA250, VLOOKUP(N251,$D$2:$E$10,2,false))</f>
        <v>50</v>
      </c>
      <c r="AB251" s="12">
        <f t="shared" si="748"/>
        <v>5</v>
      </c>
      <c r="AC251" s="12">
        <f t="shared" si="748"/>
        <v>5</v>
      </c>
      <c r="AD251" s="15">
        <f t="shared" si="748"/>
        <v>1</v>
      </c>
      <c r="AE251" s="15">
        <f t="shared" si="748"/>
        <v>1</v>
      </c>
      <c r="AH251" s="15">
        <f>N251*'Optimal Choice'!$B$4*AA251</f>
        <v>10771.5</v>
      </c>
      <c r="AI251" s="15">
        <f>O251*'Optimal Choice'!$B$9*AB251</f>
        <v>4400</v>
      </c>
      <c r="AJ251" s="15">
        <f>P251*'Optimal Choice'!$B$14*AC251</f>
        <v>18000</v>
      </c>
      <c r="AK251" s="15">
        <f>Q251*'Optimal Choice'!$B$19*AD251</f>
        <v>7560</v>
      </c>
      <c r="AL251" s="15">
        <f>R251*'Optimal Choice'!$B$24*AE251</f>
        <v>34560</v>
      </c>
      <c r="AO251" s="12">
        <f t="shared" ref="AO251:AS251" si="749">if(isna(VLOOKUP(N251+1,$D$2:$E$10,2,false)),AO250, VLOOKUP(N251+1,$D$2:$E$10,2,false))</f>
        <v>50</v>
      </c>
      <c r="AP251" s="12">
        <f t="shared" si="749"/>
        <v>5</v>
      </c>
      <c r="AQ251" s="12">
        <f t="shared" si="749"/>
        <v>5</v>
      </c>
      <c r="AR251" s="15">
        <f t="shared" si="749"/>
        <v>1</v>
      </c>
      <c r="AS251" s="15">
        <f t="shared" si="749"/>
        <v>1</v>
      </c>
      <c r="AU251" s="11">
        <f t="shared" si="8"/>
        <v>0.02502334587</v>
      </c>
    </row>
    <row r="252" ht="15.75" customHeight="1">
      <c r="A252" s="16">
        <f t="shared" si="4"/>
        <v>4.149166805</v>
      </c>
      <c r="B252" s="7">
        <f>(sum(AH252:AL252))*'Optimal Choice'!$B$28</f>
        <v>75375</v>
      </c>
      <c r="C252" s="11"/>
      <c r="D252" s="12"/>
      <c r="E252" s="12"/>
      <c r="F252" s="11"/>
      <c r="G252" s="11">
        <f>(T252/$B252)+(T252/('Optimal Choice'!$B$4*AO252))</f>
        <v>338.9450028</v>
      </c>
      <c r="H252" s="11">
        <f>(U252/$B252)+(U252/('Optimal Choice'!$B$9*AP252))</f>
        <v>323.6904325</v>
      </c>
      <c r="I252" s="11">
        <f>(V252/$B252)+(V252/('Optimal Choice'!$B$14*AQ252))</f>
        <v>346.5803862</v>
      </c>
      <c r="J252" s="11">
        <f>(W252/$B252)+(W252/('Optimal Choice'!$B$19*AR252))</f>
        <v>354.8185387</v>
      </c>
      <c r="K252" s="11">
        <f>(X252/$B252)+(X252/('Optimal Choice'!$B$24*AS252))</f>
        <v>339.0143556</v>
      </c>
      <c r="N252" s="12">
        <f t="shared" ref="N252:R252" si="750">if(min($G251:$K251)=G251,N251+1,N251)</f>
        <v>130</v>
      </c>
      <c r="O252" s="12">
        <f t="shared" si="750"/>
        <v>44</v>
      </c>
      <c r="P252" s="12">
        <f t="shared" si="750"/>
        <v>40</v>
      </c>
      <c r="Q252" s="12">
        <f t="shared" si="750"/>
        <v>21</v>
      </c>
      <c r="R252" s="12">
        <f t="shared" si="750"/>
        <v>16</v>
      </c>
      <c r="T252" s="13">
        <f> 'Optimal Choice'!$B$5*'Optimal Choice'!$B$6^(N252+1)</f>
        <v>28270.58973</v>
      </c>
      <c r="U252" s="13">
        <f> 'Optimal Choice'!$B$10*'Optimal Choice'!$B$11^(O252+1)</f>
        <v>32326.15614</v>
      </c>
      <c r="V252" s="13">
        <f> 'Optimal Choice'!$B$15*'Optimal Choice'!$B$16^(P252+1)</f>
        <v>155035.5882</v>
      </c>
      <c r="W252" s="13">
        <f> 'Optimal Choice'!$B$20*'Optimal Choice'!$B$21^(Q252+1)</f>
        <v>127127.4978</v>
      </c>
      <c r="X252" s="13">
        <f> 'Optimal Choice'!$B$25*'Optimal Choice'!$B$26^(R252+1)</f>
        <v>711871.1193</v>
      </c>
      <c r="AA252" s="12">
        <f t="shared" ref="AA252:AE252" si="751">if(isna(VLOOKUP(N252,$D$2:$E$10,2,false)),AA251, VLOOKUP(N252,$D$2:$E$10,2,false))</f>
        <v>50</v>
      </c>
      <c r="AB252" s="12">
        <f t="shared" si="751"/>
        <v>5</v>
      </c>
      <c r="AC252" s="12">
        <f t="shared" si="751"/>
        <v>5</v>
      </c>
      <c r="AD252" s="15">
        <f t="shared" si="751"/>
        <v>1</v>
      </c>
      <c r="AE252" s="15">
        <f t="shared" si="751"/>
        <v>1</v>
      </c>
      <c r="AH252" s="15">
        <f>N252*'Optimal Choice'!$B$4*AA252</f>
        <v>10855</v>
      </c>
      <c r="AI252" s="15">
        <f>O252*'Optimal Choice'!$B$9*AB252</f>
        <v>4400</v>
      </c>
      <c r="AJ252" s="15">
        <f>P252*'Optimal Choice'!$B$14*AC252</f>
        <v>18000</v>
      </c>
      <c r="AK252" s="15">
        <f>Q252*'Optimal Choice'!$B$19*AD252</f>
        <v>7560</v>
      </c>
      <c r="AL252" s="15">
        <f>R252*'Optimal Choice'!$B$24*AE252</f>
        <v>34560</v>
      </c>
      <c r="AO252" s="12">
        <f t="shared" ref="AO252:AS252" si="752">if(isna(VLOOKUP(N252+1,$D$2:$E$10,2,false)),AO251, VLOOKUP(N252+1,$D$2:$E$10,2,false))</f>
        <v>50</v>
      </c>
      <c r="AP252" s="12">
        <f t="shared" si="752"/>
        <v>5</v>
      </c>
      <c r="AQ252" s="12">
        <f t="shared" si="752"/>
        <v>5</v>
      </c>
      <c r="AR252" s="15">
        <f t="shared" si="752"/>
        <v>1</v>
      </c>
      <c r="AS252" s="15">
        <f t="shared" si="752"/>
        <v>1</v>
      </c>
      <c r="AU252" s="11">
        <f t="shared" si="8"/>
        <v>0.005848626538</v>
      </c>
    </row>
    <row r="253" ht="15.75" customHeight="1">
      <c r="A253" s="16">
        <f t="shared" si="4"/>
        <v>4.156314656</v>
      </c>
      <c r="B253" s="7">
        <f>(sum(AH253:AL253))*'Optimal Choice'!$B$28</f>
        <v>75475</v>
      </c>
      <c r="C253" s="11"/>
      <c r="D253" s="12"/>
      <c r="E253" s="12"/>
      <c r="F253" s="11"/>
      <c r="G253" s="11">
        <f>(T253/$B253)+(T253/('Optimal Choice'!$B$4*AO253))</f>
        <v>338.9445058</v>
      </c>
      <c r="H253" s="11">
        <f>(U253/$B253)+(U253/('Optimal Choice'!$B$9*AP253))</f>
        <v>372.2433439</v>
      </c>
      <c r="I253" s="11">
        <f>(V253/$B253)+(V253/('Optimal Choice'!$B$14*AQ253))</f>
        <v>346.577661</v>
      </c>
      <c r="J253" s="11">
        <f>(W253/$B253)+(W253/('Optimal Choice'!$B$19*AR253))</f>
        <v>354.8163041</v>
      </c>
      <c r="K253" s="11">
        <f>(X253/$B253)+(X253/('Optimal Choice'!$B$24*AS253))</f>
        <v>339.0018423</v>
      </c>
      <c r="N253" s="12">
        <f t="shared" ref="N253:R253" si="753">if(min($G252:$K252)=G252,N252+1,N252)</f>
        <v>130</v>
      </c>
      <c r="O253" s="12">
        <f t="shared" si="753"/>
        <v>45</v>
      </c>
      <c r="P253" s="12">
        <f t="shared" si="753"/>
        <v>40</v>
      </c>
      <c r="Q253" s="12">
        <f t="shared" si="753"/>
        <v>21</v>
      </c>
      <c r="R253" s="12">
        <f t="shared" si="753"/>
        <v>16</v>
      </c>
      <c r="T253" s="13">
        <f> 'Optimal Choice'!$B$5*'Optimal Choice'!$B$6^(N253+1)</f>
        <v>28270.58973</v>
      </c>
      <c r="U253" s="13">
        <f> 'Optimal Choice'!$B$10*'Optimal Choice'!$B$11^(O253+1)</f>
        <v>37175.07956</v>
      </c>
      <c r="V253" s="13">
        <f> 'Optimal Choice'!$B$15*'Optimal Choice'!$B$16^(P253+1)</f>
        <v>155035.5882</v>
      </c>
      <c r="W253" s="13">
        <f> 'Optimal Choice'!$B$20*'Optimal Choice'!$B$21^(Q253+1)</f>
        <v>127127.4978</v>
      </c>
      <c r="X253" s="13">
        <f> 'Optimal Choice'!$B$25*'Optimal Choice'!$B$26^(R253+1)</f>
        <v>711871.1193</v>
      </c>
      <c r="AA253" s="12">
        <f t="shared" ref="AA253:AE253" si="754">if(isna(VLOOKUP(N253,$D$2:$E$10,2,false)),AA252, VLOOKUP(N253,$D$2:$E$10,2,false))</f>
        <v>50</v>
      </c>
      <c r="AB253" s="12">
        <f t="shared" si="754"/>
        <v>5</v>
      </c>
      <c r="AC253" s="12">
        <f t="shared" si="754"/>
        <v>5</v>
      </c>
      <c r="AD253" s="15">
        <f t="shared" si="754"/>
        <v>1</v>
      </c>
      <c r="AE253" s="15">
        <f t="shared" si="754"/>
        <v>1</v>
      </c>
      <c r="AH253" s="15">
        <f>N253*'Optimal Choice'!$B$4*AA253</f>
        <v>10855</v>
      </c>
      <c r="AI253" s="15">
        <f>O253*'Optimal Choice'!$B$9*AB253</f>
        <v>4500</v>
      </c>
      <c r="AJ253" s="15">
        <f>P253*'Optimal Choice'!$B$14*AC253</f>
        <v>18000</v>
      </c>
      <c r="AK253" s="15">
        <f>Q253*'Optimal Choice'!$B$19*AD253</f>
        <v>7560</v>
      </c>
      <c r="AL253" s="15">
        <f>R253*'Optimal Choice'!$B$24*AE253</f>
        <v>34560</v>
      </c>
      <c r="AO253" s="12">
        <f t="shared" ref="AO253:AS253" si="755">if(isna(VLOOKUP(N253+1,$D$2:$E$10,2,false)),AO252, VLOOKUP(N253+1,$D$2:$E$10,2,false))</f>
        <v>50</v>
      </c>
      <c r="AP253" s="12">
        <f t="shared" si="755"/>
        <v>5</v>
      </c>
      <c r="AQ253" s="12">
        <f t="shared" si="755"/>
        <v>5</v>
      </c>
      <c r="AR253" s="15">
        <f t="shared" si="755"/>
        <v>1</v>
      </c>
      <c r="AS253" s="15">
        <f t="shared" si="755"/>
        <v>1</v>
      </c>
      <c r="AU253" s="11">
        <f t="shared" si="8"/>
        <v>0.007147850998</v>
      </c>
    </row>
    <row r="254" ht="15.75" customHeight="1">
      <c r="A254" s="16">
        <f t="shared" si="4"/>
        <v>4.162557472</v>
      </c>
      <c r="B254" s="7">
        <f>(sum(AH254:AL254))*'Optimal Choice'!$B$28</f>
        <v>75558.5</v>
      </c>
      <c r="C254" s="11"/>
      <c r="D254" s="12"/>
      <c r="E254" s="12"/>
      <c r="F254" s="11"/>
      <c r="G254" s="11">
        <f>(T254/$B254)+(T254/('Optimal Choice'!$B$4*AO254))</f>
        <v>362.6701783</v>
      </c>
      <c r="H254" s="11">
        <f>(U254/$B254)+(U254/('Optimal Choice'!$B$9*AP254))</f>
        <v>372.2427995</v>
      </c>
      <c r="I254" s="11">
        <f>(V254/$B254)+(V254/('Optimal Choice'!$B$14*AQ254))</f>
        <v>346.5753909</v>
      </c>
      <c r="J254" s="11">
        <f>(W254/$B254)+(W254/('Optimal Choice'!$B$19*AR254))</f>
        <v>354.8144427</v>
      </c>
      <c r="K254" s="11">
        <f>(X254/$B254)+(X254/('Optimal Choice'!$B$24*AS254))</f>
        <v>338.9914191</v>
      </c>
      <c r="N254" s="12">
        <f t="shared" ref="N254:R254" si="756">if(min($G253:$K253)=G253,N253+1,N253)</f>
        <v>131</v>
      </c>
      <c r="O254" s="12">
        <f t="shared" si="756"/>
        <v>45</v>
      </c>
      <c r="P254" s="12">
        <f t="shared" si="756"/>
        <v>40</v>
      </c>
      <c r="Q254" s="12">
        <f t="shared" si="756"/>
        <v>21</v>
      </c>
      <c r="R254" s="12">
        <f t="shared" si="756"/>
        <v>16</v>
      </c>
      <c r="T254" s="13">
        <f> 'Optimal Choice'!$B$5*'Optimal Choice'!$B$6^(N254+1)</f>
        <v>30249.53101</v>
      </c>
      <c r="U254" s="13">
        <f> 'Optimal Choice'!$B$10*'Optimal Choice'!$B$11^(O254+1)</f>
        <v>37175.07956</v>
      </c>
      <c r="V254" s="13">
        <f> 'Optimal Choice'!$B$15*'Optimal Choice'!$B$16^(P254+1)</f>
        <v>155035.5882</v>
      </c>
      <c r="W254" s="13">
        <f> 'Optimal Choice'!$B$20*'Optimal Choice'!$B$21^(Q254+1)</f>
        <v>127127.4978</v>
      </c>
      <c r="X254" s="13">
        <f> 'Optimal Choice'!$B$25*'Optimal Choice'!$B$26^(R254+1)</f>
        <v>711871.1193</v>
      </c>
      <c r="AA254" s="12">
        <f t="shared" ref="AA254:AE254" si="757">if(isna(VLOOKUP(N254,$D$2:$E$10,2,false)),AA253, VLOOKUP(N254,$D$2:$E$10,2,false))</f>
        <v>50</v>
      </c>
      <c r="AB254" s="12">
        <f t="shared" si="757"/>
        <v>5</v>
      </c>
      <c r="AC254" s="12">
        <f t="shared" si="757"/>
        <v>5</v>
      </c>
      <c r="AD254" s="15">
        <f t="shared" si="757"/>
        <v>1</v>
      </c>
      <c r="AE254" s="15">
        <f t="shared" si="757"/>
        <v>1</v>
      </c>
      <c r="AH254" s="15">
        <f>N254*'Optimal Choice'!$B$4*AA254</f>
        <v>10938.5</v>
      </c>
      <c r="AI254" s="15">
        <f>O254*'Optimal Choice'!$B$9*AB254</f>
        <v>4500</v>
      </c>
      <c r="AJ254" s="15">
        <f>P254*'Optimal Choice'!$B$14*AC254</f>
        <v>18000</v>
      </c>
      <c r="AK254" s="15">
        <f>Q254*'Optimal Choice'!$B$19*AD254</f>
        <v>7560</v>
      </c>
      <c r="AL254" s="15">
        <f>R254*'Optimal Choice'!$B$24*AE254</f>
        <v>34560</v>
      </c>
      <c r="AO254" s="12">
        <f t="shared" ref="AO254:AS254" si="758">if(isna(VLOOKUP(N254+1,$D$2:$E$10,2,false)),AO253, VLOOKUP(N254+1,$D$2:$E$10,2,false))</f>
        <v>50</v>
      </c>
      <c r="AP254" s="12">
        <f t="shared" si="758"/>
        <v>5</v>
      </c>
      <c r="AQ254" s="12">
        <f t="shared" si="758"/>
        <v>5</v>
      </c>
      <c r="AR254" s="15">
        <f t="shared" si="758"/>
        <v>1</v>
      </c>
      <c r="AS254" s="15">
        <f t="shared" si="758"/>
        <v>1</v>
      </c>
      <c r="AU254" s="11">
        <f t="shared" si="8"/>
        <v>0.006242815443</v>
      </c>
    </row>
    <row r="255" ht="15.75" customHeight="1">
      <c r="A255" s="16">
        <f t="shared" si="4"/>
        <v>4.319581746</v>
      </c>
      <c r="B255" s="7">
        <f>(sum(AH255:AL255))*'Optimal Choice'!$B$28</f>
        <v>77718.5</v>
      </c>
      <c r="C255" s="11"/>
      <c r="D255" s="12"/>
      <c r="E255" s="12"/>
      <c r="F255" s="11"/>
      <c r="G255" s="11">
        <f>(T255/$B255)+(T255/('Optimal Choice'!$B$4*AO255))</f>
        <v>362.6590517</v>
      </c>
      <c r="H255" s="11">
        <f>(U255/$B255)+(U255/('Optimal Choice'!$B$9*AP255))</f>
        <v>372.2291255</v>
      </c>
      <c r="I255" s="11">
        <f>(V255/$B255)+(V255/('Optimal Choice'!$B$14*AQ255))</f>
        <v>346.5183643</v>
      </c>
      <c r="J255" s="11">
        <f>(W255/$B255)+(W255/('Optimal Choice'!$B$19*AR255))</f>
        <v>354.7676815</v>
      </c>
      <c r="K255" s="11">
        <f>(X255/$B255)+(X255/('Optimal Choice'!$B$24*AS255))</f>
        <v>379.3771209</v>
      </c>
      <c r="N255" s="12">
        <f t="shared" ref="N255:R255" si="759">if(min($G254:$K254)=G254,N254+1,N254)</f>
        <v>131</v>
      </c>
      <c r="O255" s="12">
        <f t="shared" si="759"/>
        <v>45</v>
      </c>
      <c r="P255" s="12">
        <f t="shared" si="759"/>
        <v>40</v>
      </c>
      <c r="Q255" s="12">
        <f t="shared" si="759"/>
        <v>21</v>
      </c>
      <c r="R255" s="12">
        <f t="shared" si="759"/>
        <v>17</v>
      </c>
      <c r="T255" s="13">
        <f> 'Optimal Choice'!$B$5*'Optimal Choice'!$B$6^(N255+1)</f>
        <v>30249.53101</v>
      </c>
      <c r="U255" s="13">
        <f> 'Optimal Choice'!$B$10*'Optimal Choice'!$B$11^(O255+1)</f>
        <v>37175.07956</v>
      </c>
      <c r="V255" s="13">
        <f> 'Optimal Choice'!$B$15*'Optimal Choice'!$B$16^(P255+1)</f>
        <v>155035.5882</v>
      </c>
      <c r="W255" s="13">
        <f> 'Optimal Choice'!$B$20*'Optimal Choice'!$B$21^(Q255+1)</f>
        <v>127127.4978</v>
      </c>
      <c r="X255" s="13">
        <f> 'Optimal Choice'!$B$25*'Optimal Choice'!$B$26^(R255+1)</f>
        <v>797295.6536</v>
      </c>
      <c r="AA255" s="12">
        <f t="shared" ref="AA255:AE255" si="760">if(isna(VLOOKUP(N255,$D$2:$E$10,2,false)),AA254, VLOOKUP(N255,$D$2:$E$10,2,false))</f>
        <v>50</v>
      </c>
      <c r="AB255" s="12">
        <f t="shared" si="760"/>
        <v>5</v>
      </c>
      <c r="AC255" s="12">
        <f t="shared" si="760"/>
        <v>5</v>
      </c>
      <c r="AD255" s="15">
        <f t="shared" si="760"/>
        <v>1</v>
      </c>
      <c r="AE255" s="15">
        <f t="shared" si="760"/>
        <v>1</v>
      </c>
      <c r="AH255" s="15">
        <f>N255*'Optimal Choice'!$B$4*AA255</f>
        <v>10938.5</v>
      </c>
      <c r="AI255" s="15">
        <f>O255*'Optimal Choice'!$B$9*AB255</f>
        <v>4500</v>
      </c>
      <c r="AJ255" s="15">
        <f>P255*'Optimal Choice'!$B$14*AC255</f>
        <v>18000</v>
      </c>
      <c r="AK255" s="15">
        <f>Q255*'Optimal Choice'!$B$19*AD255</f>
        <v>7560</v>
      </c>
      <c r="AL255" s="15">
        <f>R255*'Optimal Choice'!$B$24*AE255</f>
        <v>36720</v>
      </c>
      <c r="AO255" s="12">
        <f t="shared" ref="AO255:AS255" si="761">if(isna(VLOOKUP(N255+1,$D$2:$E$10,2,false)),AO254, VLOOKUP(N255+1,$D$2:$E$10,2,false))</f>
        <v>50</v>
      </c>
      <c r="AP255" s="12">
        <f t="shared" si="761"/>
        <v>5</v>
      </c>
      <c r="AQ255" s="12">
        <f t="shared" si="761"/>
        <v>5</v>
      </c>
      <c r="AR255" s="15">
        <f t="shared" si="761"/>
        <v>1</v>
      </c>
      <c r="AS255" s="15">
        <f t="shared" si="761"/>
        <v>1</v>
      </c>
      <c r="AU255" s="11">
        <f t="shared" si="8"/>
        <v>0.1570242746</v>
      </c>
    </row>
    <row r="256" ht="15.75" customHeight="1">
      <c r="A256" s="16">
        <f t="shared" si="4"/>
        <v>4.352828997</v>
      </c>
      <c r="B256" s="7">
        <f>(sum(AH256:AL256))*'Optimal Choice'!$B$28</f>
        <v>78168.5</v>
      </c>
      <c r="C256" s="11"/>
      <c r="D256" s="12"/>
      <c r="E256" s="12"/>
      <c r="F256" s="11"/>
      <c r="G256" s="11">
        <f>(T256/$B256)+(T256/('Optimal Choice'!$B$4*AO256))</f>
        <v>362.656811</v>
      </c>
      <c r="H256" s="11">
        <f>(U256/$B256)+(U256/('Optimal Choice'!$B$9*AP256))</f>
        <v>372.2263718</v>
      </c>
      <c r="I256" s="11">
        <f>(V256/$B256)+(V256/('Optimal Choice'!$B$14*AQ256))</f>
        <v>395.0178437</v>
      </c>
      <c r="J256" s="11">
        <f>(W256/$B256)+(W256/('Optimal Choice'!$B$19*AR256))</f>
        <v>354.7582648</v>
      </c>
      <c r="K256" s="11">
        <f>(X256/$B256)+(X256/('Optimal Choice'!$B$24*AS256))</f>
        <v>379.3180633</v>
      </c>
      <c r="N256" s="12">
        <f t="shared" ref="N256:R256" si="762">if(min($G255:$K255)=G255,N255+1,N255)</f>
        <v>131</v>
      </c>
      <c r="O256" s="12">
        <f t="shared" si="762"/>
        <v>45</v>
      </c>
      <c r="P256" s="12">
        <f t="shared" si="762"/>
        <v>41</v>
      </c>
      <c r="Q256" s="12">
        <f t="shared" si="762"/>
        <v>21</v>
      </c>
      <c r="R256" s="12">
        <f t="shared" si="762"/>
        <v>17</v>
      </c>
      <c r="T256" s="13">
        <f> 'Optimal Choice'!$B$5*'Optimal Choice'!$B$6^(N256+1)</f>
        <v>30249.53101</v>
      </c>
      <c r="U256" s="13">
        <f> 'Optimal Choice'!$B$10*'Optimal Choice'!$B$11^(O256+1)</f>
        <v>37175.07956</v>
      </c>
      <c r="V256" s="13">
        <f> 'Optimal Choice'!$B$15*'Optimal Choice'!$B$16^(P256+1)</f>
        <v>176740.5705</v>
      </c>
      <c r="W256" s="13">
        <f> 'Optimal Choice'!$B$20*'Optimal Choice'!$B$21^(Q256+1)</f>
        <v>127127.4978</v>
      </c>
      <c r="X256" s="13">
        <f> 'Optimal Choice'!$B$25*'Optimal Choice'!$B$26^(R256+1)</f>
        <v>797295.6536</v>
      </c>
      <c r="AA256" s="12">
        <f t="shared" ref="AA256:AE256" si="763">if(isna(VLOOKUP(N256,$D$2:$E$10,2,false)),AA255, VLOOKUP(N256,$D$2:$E$10,2,false))</f>
        <v>50</v>
      </c>
      <c r="AB256" s="12">
        <f t="shared" si="763"/>
        <v>5</v>
      </c>
      <c r="AC256" s="12">
        <f t="shared" si="763"/>
        <v>5</v>
      </c>
      <c r="AD256" s="15">
        <f t="shared" si="763"/>
        <v>1</v>
      </c>
      <c r="AE256" s="15">
        <f t="shared" si="763"/>
        <v>1</v>
      </c>
      <c r="AH256" s="15">
        <f>N256*'Optimal Choice'!$B$4*AA256</f>
        <v>10938.5</v>
      </c>
      <c r="AI256" s="15">
        <f>O256*'Optimal Choice'!$B$9*AB256</f>
        <v>4500</v>
      </c>
      <c r="AJ256" s="15">
        <f>P256*'Optimal Choice'!$B$14*AC256</f>
        <v>18450</v>
      </c>
      <c r="AK256" s="15">
        <f>Q256*'Optimal Choice'!$B$19*AD256</f>
        <v>7560</v>
      </c>
      <c r="AL256" s="15">
        <f>R256*'Optimal Choice'!$B$24*AE256</f>
        <v>36720</v>
      </c>
      <c r="AO256" s="12">
        <f t="shared" ref="AO256:AS256" si="764">if(isna(VLOOKUP(N256+1,$D$2:$E$10,2,false)),AO255, VLOOKUP(N256+1,$D$2:$E$10,2,false))</f>
        <v>50</v>
      </c>
      <c r="AP256" s="12">
        <f t="shared" si="764"/>
        <v>5</v>
      </c>
      <c r="AQ256" s="12">
        <f t="shared" si="764"/>
        <v>5</v>
      </c>
      <c r="AR256" s="15">
        <f t="shared" si="764"/>
        <v>1</v>
      </c>
      <c r="AS256" s="15">
        <f t="shared" si="764"/>
        <v>1</v>
      </c>
      <c r="AU256" s="11">
        <f t="shared" si="8"/>
        <v>0.03324725091</v>
      </c>
    </row>
    <row r="257" ht="15.75" customHeight="1">
      <c r="A257" s="16">
        <f t="shared" si="4"/>
        <v>4.379934438</v>
      </c>
      <c r="B257" s="7">
        <f>(sum(AH257:AL257))*'Optimal Choice'!$B$28</f>
        <v>78528.5</v>
      </c>
      <c r="C257" s="11"/>
      <c r="D257" s="12"/>
      <c r="E257" s="12"/>
      <c r="F257" s="11"/>
      <c r="G257" s="11">
        <f>(T257/$B257)+(T257/('Optimal Choice'!$B$4*AO257))</f>
        <v>362.655037</v>
      </c>
      <c r="H257" s="11">
        <f>(U257/$B257)+(U257/('Optimal Choice'!$B$9*AP257))</f>
        <v>372.2241916</v>
      </c>
      <c r="I257" s="11">
        <f>(V257/$B257)+(V257/('Optimal Choice'!$B$14*AQ257))</f>
        <v>395.0074785</v>
      </c>
      <c r="J257" s="11">
        <f>(W257/$B257)+(W257/('Optimal Choice'!$B$19*AR257))</f>
        <v>400.8684144</v>
      </c>
      <c r="K257" s="11">
        <f>(X257/$B257)+(X257/('Optimal Choice'!$B$24*AS257))</f>
        <v>379.2713046</v>
      </c>
      <c r="N257" s="12">
        <f t="shared" ref="N257:R257" si="765">if(min($G256:$K256)=G256,N256+1,N256)</f>
        <v>131</v>
      </c>
      <c r="O257" s="12">
        <f t="shared" si="765"/>
        <v>45</v>
      </c>
      <c r="P257" s="12">
        <f t="shared" si="765"/>
        <v>41</v>
      </c>
      <c r="Q257" s="12">
        <f t="shared" si="765"/>
        <v>22</v>
      </c>
      <c r="R257" s="12">
        <f t="shared" si="765"/>
        <v>17</v>
      </c>
      <c r="T257" s="13">
        <f> 'Optimal Choice'!$B$5*'Optimal Choice'!$B$6^(N257+1)</f>
        <v>30249.53101</v>
      </c>
      <c r="U257" s="13">
        <f> 'Optimal Choice'!$B$10*'Optimal Choice'!$B$11^(O257+1)</f>
        <v>37175.07956</v>
      </c>
      <c r="V257" s="13">
        <f> 'Optimal Choice'!$B$15*'Optimal Choice'!$B$16^(P257+1)</f>
        <v>176740.5705</v>
      </c>
      <c r="W257" s="13">
        <f> 'Optimal Choice'!$B$20*'Optimal Choice'!$B$21^(Q257+1)</f>
        <v>143654.0725</v>
      </c>
      <c r="X257" s="13">
        <f> 'Optimal Choice'!$B$25*'Optimal Choice'!$B$26^(R257+1)</f>
        <v>797295.6536</v>
      </c>
      <c r="AA257" s="12">
        <f t="shared" ref="AA257:AE257" si="766">if(isna(VLOOKUP(N257,$D$2:$E$10,2,false)),AA256, VLOOKUP(N257,$D$2:$E$10,2,false))</f>
        <v>50</v>
      </c>
      <c r="AB257" s="12">
        <f t="shared" si="766"/>
        <v>5</v>
      </c>
      <c r="AC257" s="12">
        <f t="shared" si="766"/>
        <v>5</v>
      </c>
      <c r="AD257" s="15">
        <f t="shared" si="766"/>
        <v>1</v>
      </c>
      <c r="AE257" s="15">
        <f t="shared" si="766"/>
        <v>1</v>
      </c>
      <c r="AH257" s="15">
        <f>N257*'Optimal Choice'!$B$4*AA257</f>
        <v>10938.5</v>
      </c>
      <c r="AI257" s="15">
        <f>O257*'Optimal Choice'!$B$9*AB257</f>
        <v>4500</v>
      </c>
      <c r="AJ257" s="15">
        <f>P257*'Optimal Choice'!$B$14*AC257</f>
        <v>18450</v>
      </c>
      <c r="AK257" s="15">
        <f>Q257*'Optimal Choice'!$B$19*AD257</f>
        <v>7920</v>
      </c>
      <c r="AL257" s="15">
        <f>R257*'Optimal Choice'!$B$24*AE257</f>
        <v>36720</v>
      </c>
      <c r="AO257" s="12">
        <f t="shared" ref="AO257:AS257" si="767">if(isna(VLOOKUP(N257+1,$D$2:$E$10,2,false)),AO256, VLOOKUP(N257+1,$D$2:$E$10,2,false))</f>
        <v>50</v>
      </c>
      <c r="AP257" s="12">
        <f t="shared" si="767"/>
        <v>5</v>
      </c>
      <c r="AQ257" s="12">
        <f t="shared" si="767"/>
        <v>5</v>
      </c>
      <c r="AR257" s="15">
        <f t="shared" si="767"/>
        <v>1</v>
      </c>
      <c r="AS257" s="15">
        <f t="shared" si="767"/>
        <v>1</v>
      </c>
      <c r="AU257" s="11">
        <f t="shared" si="8"/>
        <v>0.02710544056</v>
      </c>
    </row>
    <row r="258" ht="15.75" customHeight="1">
      <c r="A258" s="16">
        <f t="shared" si="4"/>
        <v>4.386354513</v>
      </c>
      <c r="B258" s="7">
        <f>(sum(AH258:AL258))*'Optimal Choice'!$B$28</f>
        <v>78612</v>
      </c>
      <c r="C258" s="11"/>
      <c r="D258" s="12"/>
      <c r="E258" s="12"/>
      <c r="F258" s="11"/>
      <c r="G258" s="11">
        <f>(T258/$B258)+(T258/('Optimal Choice'!$B$4*AO258))</f>
        <v>388.0404518</v>
      </c>
      <c r="H258" s="11">
        <f>(U258/$B258)+(U258/('Optimal Choice'!$B$9*AP258))</f>
        <v>372.2236888</v>
      </c>
      <c r="I258" s="11">
        <f>(V258/$B258)+(V258/('Optimal Choice'!$B$14*AQ258))</f>
        <v>395.0050879</v>
      </c>
      <c r="J258" s="11">
        <f>(W258/$B258)+(W258/('Optimal Choice'!$B$19*AR258))</f>
        <v>400.8664714</v>
      </c>
      <c r="K258" s="11">
        <f>(X258/$B258)+(X258/('Optimal Choice'!$B$24*AS258))</f>
        <v>379.2605203</v>
      </c>
      <c r="N258" s="12">
        <f t="shared" ref="N258:R258" si="768">if(min($G257:$K257)=G257,N257+1,N257)</f>
        <v>132</v>
      </c>
      <c r="O258" s="12">
        <f t="shared" si="768"/>
        <v>45</v>
      </c>
      <c r="P258" s="12">
        <f t="shared" si="768"/>
        <v>41</v>
      </c>
      <c r="Q258" s="12">
        <f t="shared" si="768"/>
        <v>22</v>
      </c>
      <c r="R258" s="12">
        <f t="shared" si="768"/>
        <v>17</v>
      </c>
      <c r="T258" s="13">
        <f> 'Optimal Choice'!$B$5*'Optimal Choice'!$B$6^(N258+1)</f>
        <v>32366.99818</v>
      </c>
      <c r="U258" s="13">
        <f> 'Optimal Choice'!$B$10*'Optimal Choice'!$B$11^(O258+1)</f>
        <v>37175.07956</v>
      </c>
      <c r="V258" s="13">
        <f> 'Optimal Choice'!$B$15*'Optimal Choice'!$B$16^(P258+1)</f>
        <v>176740.5705</v>
      </c>
      <c r="W258" s="13">
        <f> 'Optimal Choice'!$B$20*'Optimal Choice'!$B$21^(Q258+1)</f>
        <v>143654.0725</v>
      </c>
      <c r="X258" s="13">
        <f> 'Optimal Choice'!$B$25*'Optimal Choice'!$B$26^(R258+1)</f>
        <v>797295.6536</v>
      </c>
      <c r="AA258" s="12">
        <f t="shared" ref="AA258:AE258" si="769">if(isna(VLOOKUP(N258,$D$2:$E$10,2,false)),AA257, VLOOKUP(N258,$D$2:$E$10,2,false))</f>
        <v>50</v>
      </c>
      <c r="AB258" s="12">
        <f t="shared" si="769"/>
        <v>5</v>
      </c>
      <c r="AC258" s="12">
        <f t="shared" si="769"/>
        <v>5</v>
      </c>
      <c r="AD258" s="15">
        <f t="shared" si="769"/>
        <v>1</v>
      </c>
      <c r="AE258" s="15">
        <f t="shared" si="769"/>
        <v>1</v>
      </c>
      <c r="AH258" s="15">
        <f>N258*'Optimal Choice'!$B$4*AA258</f>
        <v>11022</v>
      </c>
      <c r="AI258" s="15">
        <f>O258*'Optimal Choice'!$B$9*AB258</f>
        <v>4500</v>
      </c>
      <c r="AJ258" s="15">
        <f>P258*'Optimal Choice'!$B$14*AC258</f>
        <v>18450</v>
      </c>
      <c r="AK258" s="15">
        <f>Q258*'Optimal Choice'!$B$19*AD258</f>
        <v>7920</v>
      </c>
      <c r="AL258" s="15">
        <f>R258*'Optimal Choice'!$B$24*AE258</f>
        <v>36720</v>
      </c>
      <c r="AO258" s="12">
        <f t="shared" ref="AO258:AS258" si="770">if(isna(VLOOKUP(N258+1,$D$2:$E$10,2,false)),AO257, VLOOKUP(N258+1,$D$2:$E$10,2,false))</f>
        <v>50</v>
      </c>
      <c r="AP258" s="12">
        <f t="shared" si="770"/>
        <v>5</v>
      </c>
      <c r="AQ258" s="12">
        <f t="shared" si="770"/>
        <v>5</v>
      </c>
      <c r="AR258" s="15">
        <f t="shared" si="770"/>
        <v>1</v>
      </c>
      <c r="AS258" s="15">
        <f t="shared" si="770"/>
        <v>1</v>
      </c>
      <c r="AU258" s="11">
        <f t="shared" si="8"/>
        <v>0.00642007488</v>
      </c>
    </row>
    <row r="259" ht="15.75" customHeight="1">
      <c r="A259" s="16">
        <f t="shared" si="4"/>
        <v>4.394236066</v>
      </c>
      <c r="B259" s="7">
        <f>(sum(AH259:AL259))*'Optimal Choice'!$B$28</f>
        <v>78712</v>
      </c>
      <c r="C259" s="11"/>
      <c r="D259" s="12"/>
      <c r="E259" s="12"/>
      <c r="F259" s="11"/>
      <c r="G259" s="11">
        <f>(T259/$B259)+(T259/('Optimal Choice'!$B$4*AO259))</f>
        <v>388.0399287</v>
      </c>
      <c r="H259" s="11">
        <f>(U259/$B259)+(U259/('Optimal Choice'!$B$9*AP259))</f>
        <v>428.0565512</v>
      </c>
      <c r="I259" s="11">
        <f>(V259/$B259)+(V259/('Optimal Choice'!$B$14*AQ259))</f>
        <v>395.0022316</v>
      </c>
      <c r="J259" s="11">
        <f>(W259/$B259)+(W259/('Optimal Choice'!$B$19*AR259))</f>
        <v>400.8641498</v>
      </c>
      <c r="K259" s="11">
        <f>(X259/$B259)+(X259/('Optimal Choice'!$B$24*AS259))</f>
        <v>379.2476352</v>
      </c>
      <c r="N259" s="12">
        <f t="shared" ref="N259:R259" si="771">if(min($G258:$K258)=G258,N258+1,N258)</f>
        <v>132</v>
      </c>
      <c r="O259" s="12">
        <f t="shared" si="771"/>
        <v>46</v>
      </c>
      <c r="P259" s="12">
        <f t="shared" si="771"/>
        <v>41</v>
      </c>
      <c r="Q259" s="12">
        <f t="shared" si="771"/>
        <v>22</v>
      </c>
      <c r="R259" s="12">
        <f t="shared" si="771"/>
        <v>17</v>
      </c>
      <c r="T259" s="13">
        <f> 'Optimal Choice'!$B$5*'Optimal Choice'!$B$6^(N259+1)</f>
        <v>32366.99818</v>
      </c>
      <c r="U259" s="13">
        <f> 'Optimal Choice'!$B$10*'Optimal Choice'!$B$11^(O259+1)</f>
        <v>42751.34149</v>
      </c>
      <c r="V259" s="13">
        <f> 'Optimal Choice'!$B$15*'Optimal Choice'!$B$16^(P259+1)</f>
        <v>176740.5705</v>
      </c>
      <c r="W259" s="13">
        <f> 'Optimal Choice'!$B$20*'Optimal Choice'!$B$21^(Q259+1)</f>
        <v>143654.0725</v>
      </c>
      <c r="X259" s="13">
        <f> 'Optimal Choice'!$B$25*'Optimal Choice'!$B$26^(R259+1)</f>
        <v>797295.6536</v>
      </c>
      <c r="AA259" s="12">
        <f t="shared" ref="AA259:AE259" si="772">if(isna(VLOOKUP(N259,$D$2:$E$10,2,false)),AA258, VLOOKUP(N259,$D$2:$E$10,2,false))</f>
        <v>50</v>
      </c>
      <c r="AB259" s="12">
        <f t="shared" si="772"/>
        <v>5</v>
      </c>
      <c r="AC259" s="12">
        <f t="shared" si="772"/>
        <v>5</v>
      </c>
      <c r="AD259" s="15">
        <f t="shared" si="772"/>
        <v>1</v>
      </c>
      <c r="AE259" s="15">
        <f t="shared" si="772"/>
        <v>1</v>
      </c>
      <c r="AH259" s="15">
        <f>N259*'Optimal Choice'!$B$4*AA259</f>
        <v>11022</v>
      </c>
      <c r="AI259" s="15">
        <f>O259*'Optimal Choice'!$B$9*AB259</f>
        <v>4600</v>
      </c>
      <c r="AJ259" s="15">
        <f>P259*'Optimal Choice'!$B$14*AC259</f>
        <v>18450</v>
      </c>
      <c r="AK259" s="15">
        <f>Q259*'Optimal Choice'!$B$19*AD259</f>
        <v>7920</v>
      </c>
      <c r="AL259" s="15">
        <f>R259*'Optimal Choice'!$B$24*AE259</f>
        <v>36720</v>
      </c>
      <c r="AO259" s="12">
        <f t="shared" ref="AO259:AS259" si="773">if(isna(VLOOKUP(N259+1,$D$2:$E$10,2,false)),AO258, VLOOKUP(N259+1,$D$2:$E$10,2,false))</f>
        <v>50</v>
      </c>
      <c r="AP259" s="12">
        <f t="shared" si="773"/>
        <v>5</v>
      </c>
      <c r="AQ259" s="12">
        <f t="shared" si="773"/>
        <v>5</v>
      </c>
      <c r="AR259" s="15">
        <f t="shared" si="773"/>
        <v>1</v>
      </c>
      <c r="AS259" s="15">
        <f t="shared" si="773"/>
        <v>1</v>
      </c>
      <c r="AU259" s="11">
        <f t="shared" si="8"/>
        <v>0.00788155319</v>
      </c>
    </row>
    <row r="260" ht="15.75" customHeight="1">
      <c r="A260" s="16">
        <f t="shared" si="4"/>
        <v>4.56305735</v>
      </c>
      <c r="B260" s="7">
        <f>(sum(AH260:AL260))*'Optimal Choice'!$B$28</f>
        <v>80872</v>
      </c>
      <c r="C260" s="11"/>
      <c r="D260" s="12"/>
      <c r="E260" s="12"/>
      <c r="F260" s="11"/>
      <c r="G260" s="11">
        <f>(T260/$B260)+(T260/('Optimal Choice'!$B$4*AO260))</f>
        <v>388.0289458</v>
      </c>
      <c r="H260" s="11">
        <f>(U260/$B260)+(U260/('Optimal Choice'!$B$9*AP260))</f>
        <v>428.0420446</v>
      </c>
      <c r="I260" s="11">
        <f>(V260/$B260)+(V260/('Optimal Choice'!$B$14*AQ260))</f>
        <v>394.9422593</v>
      </c>
      <c r="J260" s="11">
        <f>(W260/$B260)+(W260/('Optimal Choice'!$B$19*AR260))</f>
        <v>400.8154045</v>
      </c>
      <c r="K260" s="11">
        <f>(X260/$B260)+(X260/('Optimal Choice'!$B$24*AS260))</f>
        <v>424.4543448</v>
      </c>
      <c r="N260" s="12">
        <f t="shared" ref="N260:R260" si="774">if(min($G259:$K259)=G259,N259+1,N259)</f>
        <v>132</v>
      </c>
      <c r="O260" s="12">
        <f t="shared" si="774"/>
        <v>46</v>
      </c>
      <c r="P260" s="12">
        <f t="shared" si="774"/>
        <v>41</v>
      </c>
      <c r="Q260" s="12">
        <f t="shared" si="774"/>
        <v>22</v>
      </c>
      <c r="R260" s="12">
        <f t="shared" si="774"/>
        <v>18</v>
      </c>
      <c r="T260" s="13">
        <f> 'Optimal Choice'!$B$5*'Optimal Choice'!$B$6^(N260+1)</f>
        <v>32366.99818</v>
      </c>
      <c r="U260" s="13">
        <f> 'Optimal Choice'!$B$10*'Optimal Choice'!$B$11^(O260+1)</f>
        <v>42751.34149</v>
      </c>
      <c r="V260" s="13">
        <f> 'Optimal Choice'!$B$15*'Optimal Choice'!$B$16^(P260+1)</f>
        <v>176740.5705</v>
      </c>
      <c r="W260" s="13">
        <f> 'Optimal Choice'!$B$20*'Optimal Choice'!$B$21^(Q260+1)</f>
        <v>143654.0725</v>
      </c>
      <c r="X260" s="13">
        <f> 'Optimal Choice'!$B$25*'Optimal Choice'!$B$26^(R260+1)</f>
        <v>892971.1321</v>
      </c>
      <c r="AA260" s="12">
        <f t="shared" ref="AA260:AE260" si="775">if(isna(VLOOKUP(N260,$D$2:$E$10,2,false)),AA259, VLOOKUP(N260,$D$2:$E$10,2,false))</f>
        <v>50</v>
      </c>
      <c r="AB260" s="12">
        <f t="shared" si="775"/>
        <v>5</v>
      </c>
      <c r="AC260" s="12">
        <f t="shared" si="775"/>
        <v>5</v>
      </c>
      <c r="AD260" s="15">
        <f t="shared" si="775"/>
        <v>1</v>
      </c>
      <c r="AE260" s="15">
        <f t="shared" si="775"/>
        <v>1</v>
      </c>
      <c r="AH260" s="15">
        <f>N260*'Optimal Choice'!$B$4*AA260</f>
        <v>11022</v>
      </c>
      <c r="AI260" s="15">
        <f>O260*'Optimal Choice'!$B$9*AB260</f>
        <v>4600</v>
      </c>
      <c r="AJ260" s="15">
        <f>P260*'Optimal Choice'!$B$14*AC260</f>
        <v>18450</v>
      </c>
      <c r="AK260" s="15">
        <f>Q260*'Optimal Choice'!$B$19*AD260</f>
        <v>7920</v>
      </c>
      <c r="AL260" s="15">
        <f>R260*'Optimal Choice'!$B$24*AE260</f>
        <v>38880</v>
      </c>
      <c r="AO260" s="12">
        <f t="shared" ref="AO260:AS260" si="776">if(isna(VLOOKUP(N260+1,$D$2:$E$10,2,false)),AO259, VLOOKUP(N260+1,$D$2:$E$10,2,false))</f>
        <v>50</v>
      </c>
      <c r="AP260" s="12">
        <f t="shared" si="776"/>
        <v>5</v>
      </c>
      <c r="AQ260" s="12">
        <f t="shared" si="776"/>
        <v>5</v>
      </c>
      <c r="AR260" s="15">
        <f t="shared" si="776"/>
        <v>1</v>
      </c>
      <c r="AS260" s="15">
        <f t="shared" si="776"/>
        <v>1</v>
      </c>
      <c r="AU260" s="11">
        <f t="shared" si="8"/>
        <v>0.1688212838</v>
      </c>
    </row>
    <row r="261" ht="15.75" customHeight="1">
      <c r="A261" s="16">
        <f t="shared" si="4"/>
        <v>4.569727767</v>
      </c>
      <c r="B261" s="7">
        <f>(sum(AH261:AL261))*'Optimal Choice'!$B$28</f>
        <v>80955.5</v>
      </c>
      <c r="C261" s="11"/>
      <c r="D261" s="12"/>
      <c r="E261" s="12"/>
      <c r="F261" s="11"/>
      <c r="G261" s="11">
        <f>(T261/$B261)+(T261/('Optimal Choice'!$B$4*AO261))</f>
        <v>415.1905303</v>
      </c>
      <c r="H261" s="11">
        <f>(U261/$B261)+(U261/('Optimal Choice'!$B$9*AP261))</f>
        <v>428.0414994</v>
      </c>
      <c r="I261" s="11">
        <f>(V261/$B261)+(V261/('Optimal Choice'!$B$14*AQ261))</f>
        <v>394.9400051</v>
      </c>
      <c r="J261" s="11">
        <f>(W261/$B261)+(W261/('Optimal Choice'!$B$19*AR261))</f>
        <v>400.8135723</v>
      </c>
      <c r="K261" s="11">
        <f>(X261/$B261)+(X261/('Optimal Choice'!$B$24*AS261))</f>
        <v>424.442956</v>
      </c>
      <c r="N261" s="12">
        <f t="shared" ref="N261:R261" si="777">if(min($G260:$K260)=G260,N260+1,N260)</f>
        <v>133</v>
      </c>
      <c r="O261" s="12">
        <f t="shared" si="777"/>
        <v>46</v>
      </c>
      <c r="P261" s="12">
        <f t="shared" si="777"/>
        <v>41</v>
      </c>
      <c r="Q261" s="12">
        <f t="shared" si="777"/>
        <v>22</v>
      </c>
      <c r="R261" s="12">
        <f t="shared" si="777"/>
        <v>18</v>
      </c>
      <c r="T261" s="13">
        <f> 'Optimal Choice'!$B$5*'Optimal Choice'!$B$6^(N261+1)</f>
        <v>34632.68806</v>
      </c>
      <c r="U261" s="13">
        <f> 'Optimal Choice'!$B$10*'Optimal Choice'!$B$11^(O261+1)</f>
        <v>42751.34149</v>
      </c>
      <c r="V261" s="13">
        <f> 'Optimal Choice'!$B$15*'Optimal Choice'!$B$16^(P261+1)</f>
        <v>176740.5705</v>
      </c>
      <c r="W261" s="13">
        <f> 'Optimal Choice'!$B$20*'Optimal Choice'!$B$21^(Q261+1)</f>
        <v>143654.0725</v>
      </c>
      <c r="X261" s="13">
        <f> 'Optimal Choice'!$B$25*'Optimal Choice'!$B$26^(R261+1)</f>
        <v>892971.1321</v>
      </c>
      <c r="AA261" s="12">
        <f t="shared" ref="AA261:AE261" si="778">if(isna(VLOOKUP(N261,$D$2:$E$10,2,false)),AA260, VLOOKUP(N261,$D$2:$E$10,2,false))</f>
        <v>50</v>
      </c>
      <c r="AB261" s="12">
        <f t="shared" si="778"/>
        <v>5</v>
      </c>
      <c r="AC261" s="12">
        <f t="shared" si="778"/>
        <v>5</v>
      </c>
      <c r="AD261" s="15">
        <f t="shared" si="778"/>
        <v>1</v>
      </c>
      <c r="AE261" s="15">
        <f t="shared" si="778"/>
        <v>1</v>
      </c>
      <c r="AH261" s="15">
        <f>N261*'Optimal Choice'!$B$4*AA261</f>
        <v>11105.5</v>
      </c>
      <c r="AI261" s="15">
        <f>O261*'Optimal Choice'!$B$9*AB261</f>
        <v>4600</v>
      </c>
      <c r="AJ261" s="15">
        <f>P261*'Optimal Choice'!$B$14*AC261</f>
        <v>18450</v>
      </c>
      <c r="AK261" s="15">
        <f>Q261*'Optimal Choice'!$B$19*AD261</f>
        <v>7920</v>
      </c>
      <c r="AL261" s="15">
        <f>R261*'Optimal Choice'!$B$24*AE261</f>
        <v>38880</v>
      </c>
      <c r="AO261" s="12">
        <f t="shared" ref="AO261:AS261" si="779">if(isna(VLOOKUP(N261+1,$D$2:$E$10,2,false)),AO260, VLOOKUP(N261+1,$D$2:$E$10,2,false))</f>
        <v>50</v>
      </c>
      <c r="AP261" s="12">
        <f t="shared" si="779"/>
        <v>5</v>
      </c>
      <c r="AQ261" s="12">
        <f t="shared" si="779"/>
        <v>5</v>
      </c>
      <c r="AR261" s="15">
        <f t="shared" si="779"/>
        <v>1</v>
      </c>
      <c r="AS261" s="15">
        <f t="shared" si="779"/>
        <v>1</v>
      </c>
      <c r="AU261" s="11">
        <f t="shared" si="8"/>
        <v>0.006670417076</v>
      </c>
    </row>
    <row r="262" ht="15.75" customHeight="1">
      <c r="A262" s="16">
        <f t="shared" si="4"/>
        <v>4.60611413</v>
      </c>
      <c r="B262" s="7">
        <f>(sum(AH262:AL262))*'Optimal Choice'!$B$28</f>
        <v>81405.5</v>
      </c>
      <c r="C262" s="11"/>
      <c r="D262" s="12"/>
      <c r="E262" s="12"/>
      <c r="F262" s="11"/>
      <c r="G262" s="11">
        <f>(T262/$B262)+(T262/('Optimal Choice'!$B$4*AO262))</f>
        <v>415.1881655</v>
      </c>
      <c r="H262" s="11">
        <f>(U262/$B262)+(U262/('Optimal Choice'!$B$9*AP262))</f>
        <v>428.0385802</v>
      </c>
      <c r="I262" s="11">
        <f>(V262/$B262)+(V262/('Optimal Choice'!$B$14*AQ262))</f>
        <v>450.2178479</v>
      </c>
      <c r="J262" s="11">
        <f>(W262/$B262)+(W262/('Optimal Choice'!$B$19*AR262))</f>
        <v>400.8037632</v>
      </c>
      <c r="K262" s="11">
        <f>(X262/$B262)+(X262/('Optimal Choice'!$B$24*AS262))</f>
        <v>424.3819813</v>
      </c>
      <c r="N262" s="12">
        <f t="shared" ref="N262:R262" si="780">if(min($G261:$K261)=G261,N261+1,N261)</f>
        <v>133</v>
      </c>
      <c r="O262" s="12">
        <f t="shared" si="780"/>
        <v>46</v>
      </c>
      <c r="P262" s="12">
        <f t="shared" si="780"/>
        <v>42</v>
      </c>
      <c r="Q262" s="12">
        <f t="shared" si="780"/>
        <v>22</v>
      </c>
      <c r="R262" s="12">
        <f t="shared" si="780"/>
        <v>18</v>
      </c>
      <c r="T262" s="13">
        <f> 'Optimal Choice'!$B$5*'Optimal Choice'!$B$6^(N262+1)</f>
        <v>34632.68806</v>
      </c>
      <c r="U262" s="13">
        <f> 'Optimal Choice'!$B$10*'Optimal Choice'!$B$11^(O262+1)</f>
        <v>42751.34149</v>
      </c>
      <c r="V262" s="13">
        <f> 'Optimal Choice'!$B$15*'Optimal Choice'!$B$16^(P262+1)</f>
        <v>201484.2504</v>
      </c>
      <c r="W262" s="13">
        <f> 'Optimal Choice'!$B$20*'Optimal Choice'!$B$21^(Q262+1)</f>
        <v>143654.0725</v>
      </c>
      <c r="X262" s="13">
        <f> 'Optimal Choice'!$B$25*'Optimal Choice'!$B$26^(R262+1)</f>
        <v>892971.1321</v>
      </c>
      <c r="AA262" s="12">
        <f t="shared" ref="AA262:AE262" si="781">if(isna(VLOOKUP(N262,$D$2:$E$10,2,false)),AA261, VLOOKUP(N262,$D$2:$E$10,2,false))</f>
        <v>50</v>
      </c>
      <c r="AB262" s="12">
        <f t="shared" si="781"/>
        <v>5</v>
      </c>
      <c r="AC262" s="12">
        <f t="shared" si="781"/>
        <v>5</v>
      </c>
      <c r="AD262" s="15">
        <f t="shared" si="781"/>
        <v>1</v>
      </c>
      <c r="AE262" s="15">
        <f t="shared" si="781"/>
        <v>1</v>
      </c>
      <c r="AH262" s="15">
        <f>N262*'Optimal Choice'!$B$4*AA262</f>
        <v>11105.5</v>
      </c>
      <c r="AI262" s="15">
        <f>O262*'Optimal Choice'!$B$9*AB262</f>
        <v>4600</v>
      </c>
      <c r="AJ262" s="15">
        <f>P262*'Optimal Choice'!$B$14*AC262</f>
        <v>18900</v>
      </c>
      <c r="AK262" s="15">
        <f>Q262*'Optimal Choice'!$B$19*AD262</f>
        <v>7920</v>
      </c>
      <c r="AL262" s="15">
        <f>R262*'Optimal Choice'!$B$24*AE262</f>
        <v>38880</v>
      </c>
      <c r="AO262" s="12">
        <f t="shared" ref="AO262:AS262" si="782">if(isna(VLOOKUP(N262+1,$D$2:$E$10,2,false)),AO261, VLOOKUP(N262+1,$D$2:$E$10,2,false))</f>
        <v>50</v>
      </c>
      <c r="AP262" s="12">
        <f t="shared" si="782"/>
        <v>5</v>
      </c>
      <c r="AQ262" s="12">
        <f t="shared" si="782"/>
        <v>5</v>
      </c>
      <c r="AR262" s="15">
        <f t="shared" si="782"/>
        <v>1</v>
      </c>
      <c r="AS262" s="15">
        <f t="shared" si="782"/>
        <v>1</v>
      </c>
      <c r="AU262" s="11">
        <f t="shared" si="8"/>
        <v>0.03638636257</v>
      </c>
    </row>
    <row r="263" ht="15.75" customHeight="1">
      <c r="A263" s="16">
        <f t="shared" si="4"/>
        <v>4.635525343</v>
      </c>
      <c r="B263" s="7">
        <f>(sum(AH263:AL263))*'Optimal Choice'!$B$28</f>
        <v>81765.5</v>
      </c>
      <c r="C263" s="11"/>
      <c r="D263" s="12"/>
      <c r="E263" s="12"/>
      <c r="F263" s="11"/>
      <c r="G263" s="11">
        <f>(T263/$B263)+(T263/('Optimal Choice'!$B$4*AO263))</f>
        <v>415.1862924</v>
      </c>
      <c r="H263" s="11">
        <f>(U263/$B263)+(U263/('Optimal Choice'!$B$9*AP263))</f>
        <v>428.036268</v>
      </c>
      <c r="I263" s="11">
        <f>(V263/$B263)+(V263/('Optimal Choice'!$B$14*AQ263))</f>
        <v>450.2069506</v>
      </c>
      <c r="J263" s="11">
        <f>(W263/$B263)+(W263/('Optimal Choice'!$B$19*AR263))</f>
        <v>452.8994728</v>
      </c>
      <c r="K263" s="11">
        <f>(X263/$B263)+(X263/('Optimal Choice'!$B$24*AS263))</f>
        <v>424.3336847</v>
      </c>
      <c r="N263" s="12">
        <f t="shared" ref="N263:R263" si="783">if(min($G262:$K262)=G262,N262+1,N262)</f>
        <v>133</v>
      </c>
      <c r="O263" s="12">
        <f t="shared" si="783"/>
        <v>46</v>
      </c>
      <c r="P263" s="12">
        <f t="shared" si="783"/>
        <v>42</v>
      </c>
      <c r="Q263" s="12">
        <f t="shared" si="783"/>
        <v>23</v>
      </c>
      <c r="R263" s="12">
        <f t="shared" si="783"/>
        <v>18</v>
      </c>
      <c r="T263" s="13">
        <f> 'Optimal Choice'!$B$5*'Optimal Choice'!$B$6^(N263+1)</f>
        <v>34632.68806</v>
      </c>
      <c r="U263" s="13">
        <f> 'Optimal Choice'!$B$10*'Optimal Choice'!$B$11^(O263+1)</f>
        <v>42751.34149</v>
      </c>
      <c r="V263" s="13">
        <f> 'Optimal Choice'!$B$15*'Optimal Choice'!$B$16^(P263+1)</f>
        <v>201484.2504</v>
      </c>
      <c r="W263" s="13">
        <f> 'Optimal Choice'!$B$20*'Optimal Choice'!$B$21^(Q263+1)</f>
        <v>162329.102</v>
      </c>
      <c r="X263" s="13">
        <f> 'Optimal Choice'!$B$25*'Optimal Choice'!$B$26^(R263+1)</f>
        <v>892971.1321</v>
      </c>
      <c r="AA263" s="12">
        <f t="shared" ref="AA263:AE263" si="784">if(isna(VLOOKUP(N263,$D$2:$E$10,2,false)),AA262, VLOOKUP(N263,$D$2:$E$10,2,false))</f>
        <v>50</v>
      </c>
      <c r="AB263" s="12">
        <f t="shared" si="784"/>
        <v>5</v>
      </c>
      <c r="AC263" s="12">
        <f t="shared" si="784"/>
        <v>5</v>
      </c>
      <c r="AD263" s="15">
        <f t="shared" si="784"/>
        <v>1</v>
      </c>
      <c r="AE263" s="15">
        <f t="shared" si="784"/>
        <v>1</v>
      </c>
      <c r="AH263" s="15">
        <f>N263*'Optimal Choice'!$B$4*AA263</f>
        <v>11105.5</v>
      </c>
      <c r="AI263" s="15">
        <f>O263*'Optimal Choice'!$B$9*AB263</f>
        <v>4600</v>
      </c>
      <c r="AJ263" s="15">
        <f>P263*'Optimal Choice'!$B$14*AC263</f>
        <v>18900</v>
      </c>
      <c r="AK263" s="15">
        <f>Q263*'Optimal Choice'!$B$19*AD263</f>
        <v>8280</v>
      </c>
      <c r="AL263" s="15">
        <f>R263*'Optimal Choice'!$B$24*AE263</f>
        <v>38880</v>
      </c>
      <c r="AO263" s="12">
        <f t="shared" ref="AO263:AS263" si="785">if(isna(VLOOKUP(N263+1,$D$2:$E$10,2,false)),AO262, VLOOKUP(N263+1,$D$2:$E$10,2,false))</f>
        <v>50</v>
      </c>
      <c r="AP263" s="12">
        <f t="shared" si="785"/>
        <v>5</v>
      </c>
      <c r="AQ263" s="12">
        <f t="shared" si="785"/>
        <v>5</v>
      </c>
      <c r="AR263" s="15">
        <f t="shared" si="785"/>
        <v>1</v>
      </c>
      <c r="AS263" s="15">
        <f t="shared" si="785"/>
        <v>1</v>
      </c>
      <c r="AU263" s="11">
        <f t="shared" si="8"/>
        <v>0.02941121352</v>
      </c>
    </row>
    <row r="264" ht="15.75" customHeight="1">
      <c r="A264" s="16">
        <f t="shared" si="4"/>
        <v>4.642584695</v>
      </c>
      <c r="B264" s="7">
        <f>(sum(AH264:AL264))*'Optimal Choice'!$B$28</f>
        <v>81849</v>
      </c>
      <c r="C264" s="11"/>
      <c r="D264" s="12"/>
      <c r="E264" s="12"/>
      <c r="F264" s="11"/>
      <c r="G264" s="11">
        <f>(T264/$B264)+(T264/('Optimal Choice'!$B$4*AO264))</f>
        <v>444.2488705</v>
      </c>
      <c r="H264" s="11">
        <f>(U264/$B264)+(U264/('Optimal Choice'!$B$9*AP264))</f>
        <v>428.0357346</v>
      </c>
      <c r="I264" s="11">
        <f>(V264/$B264)+(V264/('Optimal Choice'!$B$14*AQ264))</f>
        <v>450.2044367</v>
      </c>
      <c r="J264" s="11">
        <f>(W264/$B264)+(W264/('Optimal Choice'!$B$19*AR264))</f>
        <v>452.8974475</v>
      </c>
      <c r="K264" s="11">
        <f>(X264/$B264)+(X264/('Optimal Choice'!$B$24*AS264))</f>
        <v>424.3225433</v>
      </c>
      <c r="N264" s="12">
        <f t="shared" ref="N264:R264" si="786">if(min($G263:$K263)=G263,N263+1,N263)</f>
        <v>134</v>
      </c>
      <c r="O264" s="12">
        <f t="shared" si="786"/>
        <v>46</v>
      </c>
      <c r="P264" s="12">
        <f t="shared" si="786"/>
        <v>42</v>
      </c>
      <c r="Q264" s="12">
        <f t="shared" si="786"/>
        <v>23</v>
      </c>
      <c r="R264" s="12">
        <f t="shared" si="786"/>
        <v>18</v>
      </c>
      <c r="T264" s="13">
        <f> 'Optimal Choice'!$B$5*'Optimal Choice'!$B$6^(N264+1)</f>
        <v>37056.97622</v>
      </c>
      <c r="U264" s="13">
        <f> 'Optimal Choice'!$B$10*'Optimal Choice'!$B$11^(O264+1)</f>
        <v>42751.34149</v>
      </c>
      <c r="V264" s="13">
        <f> 'Optimal Choice'!$B$15*'Optimal Choice'!$B$16^(P264+1)</f>
        <v>201484.2504</v>
      </c>
      <c r="W264" s="13">
        <f> 'Optimal Choice'!$B$20*'Optimal Choice'!$B$21^(Q264+1)</f>
        <v>162329.102</v>
      </c>
      <c r="X264" s="13">
        <f> 'Optimal Choice'!$B$25*'Optimal Choice'!$B$26^(R264+1)</f>
        <v>892971.1321</v>
      </c>
      <c r="AA264" s="12">
        <f t="shared" ref="AA264:AE264" si="787">if(isna(VLOOKUP(N264,$D$2:$E$10,2,false)),AA263, VLOOKUP(N264,$D$2:$E$10,2,false))</f>
        <v>50</v>
      </c>
      <c r="AB264" s="12">
        <f t="shared" si="787"/>
        <v>5</v>
      </c>
      <c r="AC264" s="12">
        <f t="shared" si="787"/>
        <v>5</v>
      </c>
      <c r="AD264" s="15">
        <f t="shared" si="787"/>
        <v>1</v>
      </c>
      <c r="AE264" s="15">
        <f t="shared" si="787"/>
        <v>1</v>
      </c>
      <c r="AH264" s="15">
        <f>N264*'Optimal Choice'!$B$4*AA264</f>
        <v>11189</v>
      </c>
      <c r="AI264" s="15">
        <f>O264*'Optimal Choice'!$B$9*AB264</f>
        <v>4600</v>
      </c>
      <c r="AJ264" s="15">
        <f>P264*'Optimal Choice'!$B$14*AC264</f>
        <v>18900</v>
      </c>
      <c r="AK264" s="15">
        <f>Q264*'Optimal Choice'!$B$19*AD264</f>
        <v>8280</v>
      </c>
      <c r="AL264" s="15">
        <f>R264*'Optimal Choice'!$B$24*AE264</f>
        <v>38880</v>
      </c>
      <c r="AO264" s="12">
        <f t="shared" ref="AO264:AS264" si="788">if(isna(VLOOKUP(N264+1,$D$2:$E$10,2,false)),AO263, VLOOKUP(N264+1,$D$2:$E$10,2,false))</f>
        <v>50</v>
      </c>
      <c r="AP264" s="12">
        <f t="shared" si="788"/>
        <v>5</v>
      </c>
      <c r="AQ264" s="12">
        <f t="shared" si="788"/>
        <v>5</v>
      </c>
      <c r="AR264" s="15">
        <f t="shared" si="788"/>
        <v>1</v>
      </c>
      <c r="AS264" s="15">
        <f t="shared" si="788"/>
        <v>1</v>
      </c>
      <c r="AU264" s="11">
        <f t="shared" si="8"/>
        <v>0.007059352265</v>
      </c>
    </row>
    <row r="265" ht="15.75" customHeight="1">
      <c r="A265" s="16">
        <f t="shared" si="4"/>
        <v>4.824417732</v>
      </c>
      <c r="B265" s="7">
        <f>(sum(AH265:AL265))*'Optimal Choice'!$B$28</f>
        <v>84009</v>
      </c>
      <c r="C265" s="11"/>
      <c r="D265" s="12"/>
      <c r="E265" s="12"/>
      <c r="F265" s="11"/>
      <c r="G265" s="11">
        <f>(T265/$B265)+(T265/('Optimal Choice'!$B$4*AO265))</f>
        <v>444.2372296</v>
      </c>
      <c r="H265" s="11">
        <f>(U265/$B265)+(U265/('Optimal Choice'!$B$9*AP265))</f>
        <v>428.022305</v>
      </c>
      <c r="I265" s="11">
        <f>(V265/$B265)+(V265/('Optimal Choice'!$B$14*AQ265))</f>
        <v>450.1411437</v>
      </c>
      <c r="J265" s="11">
        <f>(W265/$B265)+(W265/('Optimal Choice'!$B$19*AR265))</f>
        <v>452.8464544</v>
      </c>
      <c r="K265" s="11">
        <f>(X265/$B265)+(X265/('Optimal Choice'!$B$24*AS265))</f>
        <v>474.9270747</v>
      </c>
      <c r="N265" s="12">
        <f t="shared" ref="N265:R265" si="789">if(min($G264:$K264)=G264,N264+1,N264)</f>
        <v>134</v>
      </c>
      <c r="O265" s="12">
        <f t="shared" si="789"/>
        <v>46</v>
      </c>
      <c r="P265" s="12">
        <f t="shared" si="789"/>
        <v>42</v>
      </c>
      <c r="Q265" s="12">
        <f t="shared" si="789"/>
        <v>23</v>
      </c>
      <c r="R265" s="12">
        <f t="shared" si="789"/>
        <v>19</v>
      </c>
      <c r="T265" s="13">
        <f> 'Optimal Choice'!$B$5*'Optimal Choice'!$B$6^(N265+1)</f>
        <v>37056.97622</v>
      </c>
      <c r="U265" s="13">
        <f> 'Optimal Choice'!$B$10*'Optimal Choice'!$B$11^(O265+1)</f>
        <v>42751.34149</v>
      </c>
      <c r="V265" s="13">
        <f> 'Optimal Choice'!$B$15*'Optimal Choice'!$B$16^(P265+1)</f>
        <v>201484.2504</v>
      </c>
      <c r="W265" s="13">
        <f> 'Optimal Choice'!$B$20*'Optimal Choice'!$B$21^(Q265+1)</f>
        <v>162329.102</v>
      </c>
      <c r="X265" s="13">
        <f> 'Optimal Choice'!$B$25*'Optimal Choice'!$B$26^(R265+1)</f>
        <v>1000127.668</v>
      </c>
      <c r="AA265" s="12">
        <f t="shared" ref="AA265:AE265" si="790">if(isna(VLOOKUP(N265,$D$2:$E$10,2,false)),AA264, VLOOKUP(N265,$D$2:$E$10,2,false))</f>
        <v>50</v>
      </c>
      <c r="AB265" s="12">
        <f t="shared" si="790"/>
        <v>5</v>
      </c>
      <c r="AC265" s="12">
        <f t="shared" si="790"/>
        <v>5</v>
      </c>
      <c r="AD265" s="15">
        <f t="shared" si="790"/>
        <v>1</v>
      </c>
      <c r="AE265" s="15">
        <f t="shared" si="790"/>
        <v>1</v>
      </c>
      <c r="AH265" s="15">
        <f>N265*'Optimal Choice'!$B$4*AA265</f>
        <v>11189</v>
      </c>
      <c r="AI265" s="15">
        <f>O265*'Optimal Choice'!$B$9*AB265</f>
        <v>4600</v>
      </c>
      <c r="AJ265" s="15">
        <f>P265*'Optimal Choice'!$B$14*AC265</f>
        <v>18900</v>
      </c>
      <c r="AK265" s="15">
        <f>Q265*'Optimal Choice'!$B$19*AD265</f>
        <v>8280</v>
      </c>
      <c r="AL265" s="15">
        <f>R265*'Optimal Choice'!$B$24*AE265</f>
        <v>41040</v>
      </c>
      <c r="AO265" s="12">
        <f t="shared" ref="AO265:AS265" si="791">if(isna(VLOOKUP(N265+1,$D$2:$E$10,2,false)),AO264, VLOOKUP(N265+1,$D$2:$E$10,2,false))</f>
        <v>50</v>
      </c>
      <c r="AP265" s="12">
        <f t="shared" si="791"/>
        <v>5</v>
      </c>
      <c r="AQ265" s="12">
        <f t="shared" si="791"/>
        <v>5</v>
      </c>
      <c r="AR265" s="15">
        <f t="shared" si="791"/>
        <v>1</v>
      </c>
      <c r="AS265" s="15">
        <f t="shared" si="791"/>
        <v>1</v>
      </c>
      <c r="AU265" s="11">
        <f t="shared" si="8"/>
        <v>0.1818330365</v>
      </c>
    </row>
    <row r="266" ht="15.75" customHeight="1">
      <c r="A266" s="16">
        <f t="shared" si="4"/>
        <v>4.832899232</v>
      </c>
      <c r="B266" s="7">
        <f>(sum(AH266:AL266))*'Optimal Choice'!$B$28</f>
        <v>84109</v>
      </c>
      <c r="C266" s="11"/>
      <c r="D266" s="12"/>
      <c r="E266" s="12"/>
      <c r="F266" s="11"/>
      <c r="G266" s="11">
        <f>(T266/$B266)+(T266/('Optimal Choice'!$B$4*AO266))</f>
        <v>444.2367052</v>
      </c>
      <c r="H266" s="11">
        <f>(U266/$B266)+(U266/('Optimal Choice'!$B$9*AP266))</f>
        <v>492.2249549</v>
      </c>
      <c r="I266" s="11">
        <f>(V266/$B266)+(V266/('Optimal Choice'!$B$14*AQ266))</f>
        <v>450.1382922</v>
      </c>
      <c r="J266" s="11">
        <f>(W266/$B266)+(W266/('Optimal Choice'!$B$19*AR266))</f>
        <v>452.8441571</v>
      </c>
      <c r="K266" s="11">
        <f>(X266/$B266)+(X266/('Optimal Choice'!$B$24*AS266))</f>
        <v>474.9129204</v>
      </c>
      <c r="N266" s="12">
        <f t="shared" ref="N266:R266" si="792">if(min($G265:$K265)=G265,N265+1,N265)</f>
        <v>134</v>
      </c>
      <c r="O266" s="12">
        <f t="shared" si="792"/>
        <v>47</v>
      </c>
      <c r="P266" s="12">
        <f t="shared" si="792"/>
        <v>42</v>
      </c>
      <c r="Q266" s="12">
        <f t="shared" si="792"/>
        <v>23</v>
      </c>
      <c r="R266" s="12">
        <f t="shared" si="792"/>
        <v>19</v>
      </c>
      <c r="T266" s="13">
        <f> 'Optimal Choice'!$B$5*'Optimal Choice'!$B$6^(N266+1)</f>
        <v>37056.97622</v>
      </c>
      <c r="U266" s="13">
        <f> 'Optimal Choice'!$B$10*'Optimal Choice'!$B$11^(O266+1)</f>
        <v>49164.04272</v>
      </c>
      <c r="V266" s="13">
        <f> 'Optimal Choice'!$B$15*'Optimal Choice'!$B$16^(P266+1)</f>
        <v>201484.2504</v>
      </c>
      <c r="W266" s="13">
        <f> 'Optimal Choice'!$B$20*'Optimal Choice'!$B$21^(Q266+1)</f>
        <v>162329.102</v>
      </c>
      <c r="X266" s="13">
        <f> 'Optimal Choice'!$B$25*'Optimal Choice'!$B$26^(R266+1)</f>
        <v>1000127.668</v>
      </c>
      <c r="AA266" s="12">
        <f t="shared" ref="AA266:AE266" si="793">if(isna(VLOOKUP(N266,$D$2:$E$10,2,false)),AA265, VLOOKUP(N266,$D$2:$E$10,2,false))</f>
        <v>50</v>
      </c>
      <c r="AB266" s="12">
        <f t="shared" si="793"/>
        <v>5</v>
      </c>
      <c r="AC266" s="12">
        <f t="shared" si="793"/>
        <v>5</v>
      </c>
      <c r="AD266" s="15">
        <f t="shared" si="793"/>
        <v>1</v>
      </c>
      <c r="AE266" s="15">
        <f t="shared" si="793"/>
        <v>1</v>
      </c>
      <c r="AH266" s="15">
        <f>N266*'Optimal Choice'!$B$4*AA266</f>
        <v>11189</v>
      </c>
      <c r="AI266" s="15">
        <f>O266*'Optimal Choice'!$B$9*AB266</f>
        <v>4700</v>
      </c>
      <c r="AJ266" s="15">
        <f>P266*'Optimal Choice'!$B$14*AC266</f>
        <v>18900</v>
      </c>
      <c r="AK266" s="15">
        <f>Q266*'Optimal Choice'!$B$19*AD266</f>
        <v>8280</v>
      </c>
      <c r="AL266" s="15">
        <f>R266*'Optimal Choice'!$B$24*AE266</f>
        <v>41040</v>
      </c>
      <c r="AO266" s="12">
        <f t="shared" ref="AO266:AS266" si="794">if(isna(VLOOKUP(N266+1,$D$2:$E$10,2,false)),AO265, VLOOKUP(N266+1,$D$2:$E$10,2,false))</f>
        <v>50</v>
      </c>
      <c r="AP266" s="12">
        <f t="shared" si="794"/>
        <v>5</v>
      </c>
      <c r="AQ266" s="12">
        <f t="shared" si="794"/>
        <v>5</v>
      </c>
      <c r="AR266" s="15">
        <f t="shared" si="794"/>
        <v>1</v>
      </c>
      <c r="AS266" s="15">
        <f t="shared" si="794"/>
        <v>1</v>
      </c>
      <c r="AU266" s="11">
        <f t="shared" si="8"/>
        <v>0.008481500294</v>
      </c>
    </row>
    <row r="267" ht="15.75" customHeight="1">
      <c r="A267" s="16">
        <f t="shared" si="4"/>
        <v>4.840242278</v>
      </c>
      <c r="B267" s="7">
        <f>(sum(AH267:AL267))*'Optimal Choice'!$B$28</f>
        <v>84192.5</v>
      </c>
      <c r="C267" s="11"/>
      <c r="D267" s="12"/>
      <c r="E267" s="12"/>
      <c r="F267" s="11"/>
      <c r="G267" s="11">
        <f>(T267/$B267)+(T267/('Optimal Choice'!$B$4*AO267))</f>
        <v>475.332807</v>
      </c>
      <c r="H267" s="11">
        <f>(U267/$B267)+(U267/('Optimal Choice'!$B$9*AP267))</f>
        <v>492.2243752</v>
      </c>
      <c r="I267" s="11">
        <f>(V267/$B267)+(V267/('Optimal Choice'!$B$14*AQ267))</f>
        <v>450.1359164</v>
      </c>
      <c r="J267" s="11">
        <f>(W267/$B267)+(W267/('Optimal Choice'!$B$19*AR267))</f>
        <v>452.842243</v>
      </c>
      <c r="K267" s="11">
        <f>(X267/$B267)+(X267/('Optimal Choice'!$B$24*AS267))</f>
        <v>474.9011274</v>
      </c>
      <c r="N267" s="12">
        <f t="shared" ref="N267:R267" si="795">if(min($G266:$K266)=G266,N266+1,N266)</f>
        <v>135</v>
      </c>
      <c r="O267" s="12">
        <f t="shared" si="795"/>
        <v>47</v>
      </c>
      <c r="P267" s="12">
        <f t="shared" si="795"/>
        <v>42</v>
      </c>
      <c r="Q267" s="12">
        <f t="shared" si="795"/>
        <v>23</v>
      </c>
      <c r="R267" s="12">
        <f t="shared" si="795"/>
        <v>19</v>
      </c>
      <c r="T267" s="13">
        <f> 'Optimal Choice'!$B$5*'Optimal Choice'!$B$6^(N267+1)</f>
        <v>39650.96456</v>
      </c>
      <c r="U267" s="13">
        <f> 'Optimal Choice'!$B$10*'Optimal Choice'!$B$11^(O267+1)</f>
        <v>49164.04272</v>
      </c>
      <c r="V267" s="13">
        <f> 'Optimal Choice'!$B$15*'Optimal Choice'!$B$16^(P267+1)</f>
        <v>201484.2504</v>
      </c>
      <c r="W267" s="13">
        <f> 'Optimal Choice'!$B$20*'Optimal Choice'!$B$21^(Q267+1)</f>
        <v>162329.102</v>
      </c>
      <c r="X267" s="13">
        <f> 'Optimal Choice'!$B$25*'Optimal Choice'!$B$26^(R267+1)</f>
        <v>1000127.668</v>
      </c>
      <c r="AA267" s="12">
        <f t="shared" ref="AA267:AE267" si="796">if(isna(VLOOKUP(N267,$D$2:$E$10,2,false)),AA266, VLOOKUP(N267,$D$2:$E$10,2,false))</f>
        <v>50</v>
      </c>
      <c r="AB267" s="12">
        <f t="shared" si="796"/>
        <v>5</v>
      </c>
      <c r="AC267" s="12">
        <f t="shared" si="796"/>
        <v>5</v>
      </c>
      <c r="AD267" s="15">
        <f t="shared" si="796"/>
        <v>1</v>
      </c>
      <c r="AE267" s="15">
        <f t="shared" si="796"/>
        <v>1</v>
      </c>
      <c r="AH267" s="15">
        <f>N267*'Optimal Choice'!$B$4*AA267</f>
        <v>11272.5</v>
      </c>
      <c r="AI267" s="15">
        <f>O267*'Optimal Choice'!$B$9*AB267</f>
        <v>4700</v>
      </c>
      <c r="AJ267" s="15">
        <f>P267*'Optimal Choice'!$B$14*AC267</f>
        <v>18900</v>
      </c>
      <c r="AK267" s="15">
        <f>Q267*'Optimal Choice'!$B$19*AD267</f>
        <v>8280</v>
      </c>
      <c r="AL267" s="15">
        <f>R267*'Optimal Choice'!$B$24*AE267</f>
        <v>41040</v>
      </c>
      <c r="AO267" s="12">
        <f t="shared" ref="AO267:AS267" si="797">if(isna(VLOOKUP(N267+1,$D$2:$E$10,2,false)),AO266, VLOOKUP(N267+1,$D$2:$E$10,2,false))</f>
        <v>50</v>
      </c>
      <c r="AP267" s="12">
        <f t="shared" si="797"/>
        <v>5</v>
      </c>
      <c r="AQ267" s="12">
        <f t="shared" si="797"/>
        <v>5</v>
      </c>
      <c r="AR267" s="15">
        <f t="shared" si="797"/>
        <v>1</v>
      </c>
      <c r="AS267" s="15">
        <f t="shared" si="797"/>
        <v>1</v>
      </c>
      <c r="AU267" s="11">
        <f t="shared" si="8"/>
        <v>0.007343046171</v>
      </c>
    </row>
    <row r="268" ht="15.75" customHeight="1">
      <c r="A268" s="16">
        <f t="shared" si="4"/>
        <v>4.880127907</v>
      </c>
      <c r="B268" s="7">
        <f>(sum(AH268:AL268))*'Optimal Choice'!$B$28</f>
        <v>84642.5</v>
      </c>
      <c r="C268" s="11"/>
      <c r="D268" s="12"/>
      <c r="E268" s="12"/>
      <c r="F268" s="11"/>
      <c r="G268" s="11">
        <f>(T268/$B268)+(T268/('Optimal Choice'!$B$4*AO268))</f>
        <v>475.3303032</v>
      </c>
      <c r="H268" s="11">
        <f>(U268/$B268)+(U268/('Optimal Choice'!$B$9*AP268))</f>
        <v>492.2212706</v>
      </c>
      <c r="I268" s="11">
        <f>(V268/$B268)+(V268/('Optimal Choice'!$B$14*AQ268))</f>
        <v>513.1404404</v>
      </c>
      <c r="J268" s="11">
        <f>(W268/$B268)+(W268/('Optimal Choice'!$B$19*AR268))</f>
        <v>452.8319924</v>
      </c>
      <c r="K268" s="11">
        <f>(X268/$B268)+(X268/('Optimal Choice'!$B$24*AS268))</f>
        <v>474.8379726</v>
      </c>
      <c r="N268" s="12">
        <f t="shared" ref="N268:R268" si="798">if(min($G267:$K267)=G267,N267+1,N267)</f>
        <v>135</v>
      </c>
      <c r="O268" s="12">
        <f t="shared" si="798"/>
        <v>47</v>
      </c>
      <c r="P268" s="12">
        <f t="shared" si="798"/>
        <v>43</v>
      </c>
      <c r="Q268" s="12">
        <f t="shared" si="798"/>
        <v>23</v>
      </c>
      <c r="R268" s="12">
        <f t="shared" si="798"/>
        <v>19</v>
      </c>
      <c r="T268" s="13">
        <f> 'Optimal Choice'!$B$5*'Optimal Choice'!$B$6^(N268+1)</f>
        <v>39650.96456</v>
      </c>
      <c r="U268" s="13">
        <f> 'Optimal Choice'!$B$10*'Optimal Choice'!$B$11^(O268+1)</f>
        <v>49164.04272</v>
      </c>
      <c r="V268" s="13">
        <f> 'Optimal Choice'!$B$15*'Optimal Choice'!$B$16^(P268+1)</f>
        <v>229692.0454</v>
      </c>
      <c r="W268" s="13">
        <f> 'Optimal Choice'!$B$20*'Optimal Choice'!$B$21^(Q268+1)</f>
        <v>162329.102</v>
      </c>
      <c r="X268" s="13">
        <f> 'Optimal Choice'!$B$25*'Optimal Choice'!$B$26^(R268+1)</f>
        <v>1000127.668</v>
      </c>
      <c r="AA268" s="12">
        <f t="shared" ref="AA268:AE268" si="799">if(isna(VLOOKUP(N268,$D$2:$E$10,2,false)),AA267, VLOOKUP(N268,$D$2:$E$10,2,false))</f>
        <v>50</v>
      </c>
      <c r="AB268" s="12">
        <f t="shared" si="799"/>
        <v>5</v>
      </c>
      <c r="AC268" s="12">
        <f t="shared" si="799"/>
        <v>5</v>
      </c>
      <c r="AD268" s="15">
        <f t="shared" si="799"/>
        <v>1</v>
      </c>
      <c r="AE268" s="15">
        <f t="shared" si="799"/>
        <v>1</v>
      </c>
      <c r="AH268" s="15">
        <f>N268*'Optimal Choice'!$B$4*AA268</f>
        <v>11272.5</v>
      </c>
      <c r="AI268" s="15">
        <f>O268*'Optimal Choice'!$B$9*AB268</f>
        <v>4700</v>
      </c>
      <c r="AJ268" s="15">
        <f>P268*'Optimal Choice'!$B$14*AC268</f>
        <v>19350</v>
      </c>
      <c r="AK268" s="15">
        <f>Q268*'Optimal Choice'!$B$19*AD268</f>
        <v>8280</v>
      </c>
      <c r="AL268" s="15">
        <f>R268*'Optimal Choice'!$B$24*AE268</f>
        <v>41040</v>
      </c>
      <c r="AO268" s="12">
        <f t="shared" ref="AO268:AS268" si="800">if(isna(VLOOKUP(N268+1,$D$2:$E$10,2,false)),AO267, VLOOKUP(N268+1,$D$2:$E$10,2,false))</f>
        <v>50</v>
      </c>
      <c r="AP268" s="12">
        <f t="shared" si="800"/>
        <v>5</v>
      </c>
      <c r="AQ268" s="12">
        <f t="shared" si="800"/>
        <v>5</v>
      </c>
      <c r="AR268" s="15">
        <f t="shared" si="800"/>
        <v>1</v>
      </c>
      <c r="AS268" s="15">
        <f t="shared" si="800"/>
        <v>1</v>
      </c>
      <c r="AU268" s="11">
        <f t="shared" si="8"/>
        <v>0.03988562924</v>
      </c>
    </row>
    <row r="269" ht="15.75" customHeight="1">
      <c r="A269" s="16">
        <f t="shared" si="4"/>
        <v>4.912091579</v>
      </c>
      <c r="B269" s="7">
        <f>(sum(AH269:AL269))*'Optimal Choice'!$B$28</f>
        <v>85002.5</v>
      </c>
      <c r="C269" s="11"/>
      <c r="D269" s="12"/>
      <c r="E269" s="12"/>
      <c r="F269" s="11"/>
      <c r="G269" s="11">
        <f>(T269/$B269)+(T269/('Optimal Choice'!$B$4*AO269))</f>
        <v>475.3283192</v>
      </c>
      <c r="H269" s="11">
        <f>(U269/$B269)+(U269/('Optimal Choice'!$B$9*AP269))</f>
        <v>492.2188107</v>
      </c>
      <c r="I269" s="11">
        <f>(V269/$B269)+(V269/('Optimal Choice'!$B$14*AQ269))</f>
        <v>513.1289475</v>
      </c>
      <c r="J269" s="11">
        <f>(W269/$B269)+(W269/('Optimal Choice'!$B$19*AR269))</f>
        <v>104.0645616</v>
      </c>
      <c r="K269" s="11">
        <f>(X269/$B269)+(X269/('Optimal Choice'!$B$24*AS269))</f>
        <v>474.7879303</v>
      </c>
      <c r="N269" s="12">
        <f t="shared" ref="N269:R269" si="801">if(min($G268:$K268)=G268,N268+1,N268)</f>
        <v>135</v>
      </c>
      <c r="O269" s="12">
        <f t="shared" si="801"/>
        <v>47</v>
      </c>
      <c r="P269" s="12">
        <f t="shared" si="801"/>
        <v>43</v>
      </c>
      <c r="Q269" s="12">
        <f t="shared" si="801"/>
        <v>24</v>
      </c>
      <c r="R269" s="12">
        <f t="shared" si="801"/>
        <v>19</v>
      </c>
      <c r="T269" s="13">
        <f> 'Optimal Choice'!$B$5*'Optimal Choice'!$B$6^(N269+1)</f>
        <v>39650.96456</v>
      </c>
      <c r="U269" s="13">
        <f> 'Optimal Choice'!$B$10*'Optimal Choice'!$B$11^(O269+1)</f>
        <v>49164.04272</v>
      </c>
      <c r="V269" s="13">
        <f> 'Optimal Choice'!$B$15*'Optimal Choice'!$B$16^(P269+1)</f>
        <v>229692.0454</v>
      </c>
      <c r="W269" s="13">
        <f> 'Optimal Choice'!$B$20*'Optimal Choice'!$B$21^(Q269+1)</f>
        <v>183431.8852</v>
      </c>
      <c r="X269" s="13">
        <f> 'Optimal Choice'!$B$25*'Optimal Choice'!$B$26^(R269+1)</f>
        <v>1000127.668</v>
      </c>
      <c r="AA269" s="12">
        <f t="shared" ref="AA269:AE269" si="802">if(isna(VLOOKUP(N269,$D$2:$E$10,2,false)),AA268, VLOOKUP(N269,$D$2:$E$10,2,false))</f>
        <v>50</v>
      </c>
      <c r="AB269" s="12">
        <f t="shared" si="802"/>
        <v>5</v>
      </c>
      <c r="AC269" s="12">
        <f t="shared" si="802"/>
        <v>5</v>
      </c>
      <c r="AD269" s="15">
        <f t="shared" si="802"/>
        <v>1</v>
      </c>
      <c r="AE269" s="15">
        <f t="shared" si="802"/>
        <v>1</v>
      </c>
      <c r="AH269" s="15">
        <f>N269*'Optimal Choice'!$B$4*AA269</f>
        <v>11272.5</v>
      </c>
      <c r="AI269" s="15">
        <f>O269*'Optimal Choice'!$B$9*AB269</f>
        <v>4700</v>
      </c>
      <c r="AJ269" s="15">
        <f>P269*'Optimal Choice'!$B$14*AC269</f>
        <v>19350</v>
      </c>
      <c r="AK269" s="15">
        <f>Q269*'Optimal Choice'!$B$19*AD269</f>
        <v>8640</v>
      </c>
      <c r="AL269" s="15">
        <f>R269*'Optimal Choice'!$B$24*AE269</f>
        <v>41040</v>
      </c>
      <c r="AO269" s="12">
        <f t="shared" ref="AO269:AS269" si="803">if(isna(VLOOKUP(N269+1,$D$2:$E$10,2,false)),AO268, VLOOKUP(N269+1,$D$2:$E$10,2,false))</f>
        <v>50</v>
      </c>
      <c r="AP269" s="12">
        <f t="shared" si="803"/>
        <v>5</v>
      </c>
      <c r="AQ269" s="12">
        <f t="shared" si="803"/>
        <v>5</v>
      </c>
      <c r="AR269" s="12">
        <f t="shared" si="803"/>
        <v>5</v>
      </c>
      <c r="AS269" s="15">
        <f t="shared" si="803"/>
        <v>1</v>
      </c>
      <c r="AU269" s="11">
        <f t="shared" si="8"/>
        <v>0.03196367112</v>
      </c>
    </row>
    <row r="270" ht="15.75" customHeight="1">
      <c r="A270" s="16">
        <f t="shared" si="4"/>
        <v>4.948057557</v>
      </c>
      <c r="B270" s="7">
        <f>(sum(AH270:AL270))*'Optimal Choice'!$B$28</f>
        <v>121362.5</v>
      </c>
      <c r="C270" s="11"/>
      <c r="D270" s="12"/>
      <c r="E270" s="12"/>
      <c r="F270" s="11"/>
      <c r="G270" s="11">
        <f>(T270/$B270)+(T270/('Optimal Choice'!$B$4*AO270))</f>
        <v>475.1885661</v>
      </c>
      <c r="H270" s="11">
        <f>(U270/$B270)+(U270/('Optimal Choice'!$B$9*AP270))</f>
        <v>492.045528</v>
      </c>
      <c r="I270" s="11">
        <f>(V270/$B270)+(V270/('Optimal Choice'!$B$14*AQ270))</f>
        <v>512.319379</v>
      </c>
      <c r="J270" s="11">
        <f>(W270/$B270)+(W270/('Optimal Choice'!$B$19*AR270))</f>
        <v>116.8623861</v>
      </c>
      <c r="K270" s="11">
        <f>(X270/$B270)+(X270/('Optimal Choice'!$B$24*AS270))</f>
        <v>471.262898</v>
      </c>
      <c r="N270" s="12">
        <f t="shared" ref="N270:R270" si="804">if(min($G269:$K269)=G269,N269+1,N269)</f>
        <v>135</v>
      </c>
      <c r="O270" s="12">
        <f t="shared" si="804"/>
        <v>47</v>
      </c>
      <c r="P270" s="12">
        <f t="shared" si="804"/>
        <v>43</v>
      </c>
      <c r="Q270" s="12">
        <f t="shared" si="804"/>
        <v>25</v>
      </c>
      <c r="R270" s="12">
        <f t="shared" si="804"/>
        <v>19</v>
      </c>
      <c r="T270" s="13">
        <f> 'Optimal Choice'!$B$5*'Optimal Choice'!$B$6^(N270+1)</f>
        <v>39650.96456</v>
      </c>
      <c r="U270" s="13">
        <f> 'Optimal Choice'!$B$10*'Optimal Choice'!$B$11^(O270+1)</f>
        <v>49164.04272</v>
      </c>
      <c r="V270" s="13">
        <f> 'Optimal Choice'!$B$15*'Optimal Choice'!$B$16^(P270+1)</f>
        <v>229692.0454</v>
      </c>
      <c r="W270" s="13">
        <f> 'Optimal Choice'!$B$20*'Optimal Choice'!$B$21^(Q270+1)</f>
        <v>207278.0303</v>
      </c>
      <c r="X270" s="13">
        <f> 'Optimal Choice'!$B$25*'Optimal Choice'!$B$26^(R270+1)</f>
        <v>1000127.668</v>
      </c>
      <c r="AA270" s="12">
        <f t="shared" ref="AA270:AE270" si="805">if(isna(VLOOKUP(N270,$D$2:$E$10,2,false)),AA269, VLOOKUP(N270,$D$2:$E$10,2,false))</f>
        <v>50</v>
      </c>
      <c r="AB270" s="12">
        <f t="shared" si="805"/>
        <v>5</v>
      </c>
      <c r="AC270" s="12">
        <f t="shared" si="805"/>
        <v>5</v>
      </c>
      <c r="AD270" s="12">
        <f t="shared" si="805"/>
        <v>5</v>
      </c>
      <c r="AE270" s="15">
        <f t="shared" si="805"/>
        <v>1</v>
      </c>
      <c r="AH270" s="15">
        <f>N270*'Optimal Choice'!$B$4*AA270</f>
        <v>11272.5</v>
      </c>
      <c r="AI270" s="15">
        <f>O270*'Optimal Choice'!$B$9*AB270</f>
        <v>4700</v>
      </c>
      <c r="AJ270" s="15">
        <f>P270*'Optimal Choice'!$B$14*AC270</f>
        <v>19350</v>
      </c>
      <c r="AK270" s="15">
        <f>Q270*'Optimal Choice'!$B$19*AD270</f>
        <v>45000</v>
      </c>
      <c r="AL270" s="15">
        <f>R270*'Optimal Choice'!$B$24*AE270</f>
        <v>41040</v>
      </c>
      <c r="AO270" s="12">
        <f t="shared" ref="AO270:AS270" si="806">if(isna(VLOOKUP(N270+1,$D$2:$E$10,2,false)),AO269, VLOOKUP(N270+1,$D$2:$E$10,2,false))</f>
        <v>50</v>
      </c>
      <c r="AP270" s="12">
        <f t="shared" si="806"/>
        <v>5</v>
      </c>
      <c r="AQ270" s="12">
        <f t="shared" si="806"/>
        <v>5</v>
      </c>
      <c r="AR270" s="12">
        <f t="shared" si="806"/>
        <v>5</v>
      </c>
      <c r="AS270" s="15">
        <f t="shared" si="806"/>
        <v>1</v>
      </c>
      <c r="AU270" s="11">
        <f t="shared" si="8"/>
        <v>0.0359659785</v>
      </c>
    </row>
    <row r="271" ht="15.75" customHeight="1">
      <c r="A271" s="16">
        <f t="shared" si="4"/>
        <v>4.976522971</v>
      </c>
      <c r="B271" s="7">
        <f>(sum(AH271:AL271))*'Optimal Choice'!$B$28</f>
        <v>123162.5</v>
      </c>
      <c r="C271" s="11"/>
      <c r="D271" s="12"/>
      <c r="E271" s="12"/>
      <c r="F271" s="11"/>
      <c r="G271" s="11">
        <f>(T271/$B271)+(T271/('Optimal Choice'!$B$4*AO271))</f>
        <v>475.1837912</v>
      </c>
      <c r="H271" s="11">
        <f>(U271/$B271)+(U271/('Optimal Choice'!$B$9*AP271))</f>
        <v>492.0396075</v>
      </c>
      <c r="I271" s="11">
        <f>(V271/$B271)+(V271/('Optimal Choice'!$B$14*AQ271))</f>
        <v>512.2917188</v>
      </c>
      <c r="J271" s="11">
        <f>(W271/$B271)+(W271/('Optimal Choice'!$B$19*AR271))</f>
        <v>132.0262904</v>
      </c>
      <c r="K271" s="11">
        <f>(X271/$B271)+(X271/('Optimal Choice'!$B$24*AS271))</f>
        <v>471.1424596</v>
      </c>
      <c r="N271" s="12">
        <f t="shared" ref="N271:R271" si="807">if(min($G270:$K270)=G270,N270+1,N270)</f>
        <v>135</v>
      </c>
      <c r="O271" s="12">
        <f t="shared" si="807"/>
        <v>47</v>
      </c>
      <c r="P271" s="12">
        <f t="shared" si="807"/>
        <v>43</v>
      </c>
      <c r="Q271" s="12">
        <f t="shared" si="807"/>
        <v>26</v>
      </c>
      <c r="R271" s="12">
        <f t="shared" si="807"/>
        <v>19</v>
      </c>
      <c r="T271" s="13">
        <f> 'Optimal Choice'!$B$5*'Optimal Choice'!$B$6^(N271+1)</f>
        <v>39650.96456</v>
      </c>
      <c r="U271" s="13">
        <f> 'Optimal Choice'!$B$10*'Optimal Choice'!$B$11^(O271+1)</f>
        <v>49164.04272</v>
      </c>
      <c r="V271" s="13">
        <f> 'Optimal Choice'!$B$15*'Optimal Choice'!$B$16^(P271+1)</f>
        <v>229692.0454</v>
      </c>
      <c r="W271" s="13">
        <f> 'Optimal Choice'!$B$20*'Optimal Choice'!$B$21^(Q271+1)</f>
        <v>234224.1742</v>
      </c>
      <c r="X271" s="13">
        <f> 'Optimal Choice'!$B$25*'Optimal Choice'!$B$26^(R271+1)</f>
        <v>1000127.668</v>
      </c>
      <c r="AA271" s="12">
        <f t="shared" ref="AA271:AE271" si="808">if(isna(VLOOKUP(N271,$D$2:$E$10,2,false)),AA270, VLOOKUP(N271,$D$2:$E$10,2,false))</f>
        <v>50</v>
      </c>
      <c r="AB271" s="12">
        <f t="shared" si="808"/>
        <v>5</v>
      </c>
      <c r="AC271" s="12">
        <f t="shared" si="808"/>
        <v>5</v>
      </c>
      <c r="AD271" s="12">
        <f t="shared" si="808"/>
        <v>5</v>
      </c>
      <c r="AE271" s="15">
        <f t="shared" si="808"/>
        <v>1</v>
      </c>
      <c r="AH271" s="15">
        <f>N271*'Optimal Choice'!$B$4*AA271</f>
        <v>11272.5</v>
      </c>
      <c r="AI271" s="15">
        <f>O271*'Optimal Choice'!$B$9*AB271</f>
        <v>4700</v>
      </c>
      <c r="AJ271" s="15">
        <f>P271*'Optimal Choice'!$B$14*AC271</f>
        <v>19350</v>
      </c>
      <c r="AK271" s="15">
        <f>Q271*'Optimal Choice'!$B$19*AD271</f>
        <v>46800</v>
      </c>
      <c r="AL271" s="15">
        <f>R271*'Optimal Choice'!$B$24*AE271</f>
        <v>41040</v>
      </c>
      <c r="AO271" s="12">
        <f t="shared" ref="AO271:AS271" si="809">if(isna(VLOOKUP(N271+1,$D$2:$E$10,2,false)),AO270, VLOOKUP(N271+1,$D$2:$E$10,2,false))</f>
        <v>50</v>
      </c>
      <c r="AP271" s="12">
        <f t="shared" si="809"/>
        <v>5</v>
      </c>
      <c r="AQ271" s="12">
        <f t="shared" si="809"/>
        <v>5</v>
      </c>
      <c r="AR271" s="12">
        <f t="shared" si="809"/>
        <v>5</v>
      </c>
      <c r="AS271" s="15">
        <f t="shared" si="809"/>
        <v>1</v>
      </c>
      <c r="AU271" s="11">
        <f t="shared" si="8"/>
        <v>0.02846541426</v>
      </c>
    </row>
    <row r="272" ht="15.75" customHeight="1">
      <c r="A272" s="16">
        <f t="shared" si="4"/>
        <v>5.00821879</v>
      </c>
      <c r="B272" s="7">
        <f>(sum(AH272:AL272))*'Optimal Choice'!$B$28</f>
        <v>124962.5</v>
      </c>
      <c r="C272" s="11"/>
      <c r="D272" s="12"/>
      <c r="E272" s="12"/>
      <c r="F272" s="11"/>
      <c r="G272" s="11">
        <f>(T272/$B272)+(T272/('Optimal Choice'!$B$4*AO272))</f>
        <v>475.1791539</v>
      </c>
      <c r="H272" s="11">
        <f>(U272/$B272)+(U272/('Optimal Choice'!$B$9*AP272))</f>
        <v>492.0338576</v>
      </c>
      <c r="I272" s="11">
        <f>(V272/$B272)+(V272/('Optimal Choice'!$B$14*AQ272))</f>
        <v>512.2648554</v>
      </c>
      <c r="J272" s="11">
        <f>(W272/$B272)+(W272/('Optimal Choice'!$B$19*AR272))</f>
        <v>149.1587536</v>
      </c>
      <c r="K272" s="11">
        <f>(X272/$B272)+(X272/('Optimal Choice'!$B$24*AS272))</f>
        <v>471.0254908</v>
      </c>
      <c r="N272" s="12">
        <f t="shared" ref="N272:R272" si="810">if(min($G271:$K271)=G271,N271+1,N271)</f>
        <v>135</v>
      </c>
      <c r="O272" s="12">
        <f t="shared" si="810"/>
        <v>47</v>
      </c>
      <c r="P272" s="12">
        <f t="shared" si="810"/>
        <v>43</v>
      </c>
      <c r="Q272" s="12">
        <f t="shared" si="810"/>
        <v>27</v>
      </c>
      <c r="R272" s="12">
        <f t="shared" si="810"/>
        <v>19</v>
      </c>
      <c r="T272" s="13">
        <f> 'Optimal Choice'!$B$5*'Optimal Choice'!$B$6^(N272+1)</f>
        <v>39650.96456</v>
      </c>
      <c r="U272" s="13">
        <f> 'Optimal Choice'!$B$10*'Optimal Choice'!$B$11^(O272+1)</f>
        <v>49164.04272</v>
      </c>
      <c r="V272" s="13">
        <f> 'Optimal Choice'!$B$15*'Optimal Choice'!$B$16^(P272+1)</f>
        <v>229692.0454</v>
      </c>
      <c r="W272" s="13">
        <f> 'Optimal Choice'!$B$20*'Optimal Choice'!$B$21^(Q272+1)</f>
        <v>264673.3169</v>
      </c>
      <c r="X272" s="13">
        <f> 'Optimal Choice'!$B$25*'Optimal Choice'!$B$26^(R272+1)</f>
        <v>1000127.668</v>
      </c>
      <c r="AA272" s="12">
        <f t="shared" ref="AA272:AE272" si="811">if(isna(VLOOKUP(N272,$D$2:$E$10,2,false)),AA271, VLOOKUP(N272,$D$2:$E$10,2,false))</f>
        <v>50</v>
      </c>
      <c r="AB272" s="12">
        <f t="shared" si="811"/>
        <v>5</v>
      </c>
      <c r="AC272" s="12">
        <f t="shared" si="811"/>
        <v>5</v>
      </c>
      <c r="AD272" s="12">
        <f t="shared" si="811"/>
        <v>5</v>
      </c>
      <c r="AE272" s="15">
        <f t="shared" si="811"/>
        <v>1</v>
      </c>
      <c r="AH272" s="15">
        <f>N272*'Optimal Choice'!$B$4*AA272</f>
        <v>11272.5</v>
      </c>
      <c r="AI272" s="15">
        <f>O272*'Optimal Choice'!$B$9*AB272</f>
        <v>4700</v>
      </c>
      <c r="AJ272" s="15">
        <f>P272*'Optimal Choice'!$B$14*AC272</f>
        <v>19350</v>
      </c>
      <c r="AK272" s="15">
        <f>Q272*'Optimal Choice'!$B$19*AD272</f>
        <v>48600</v>
      </c>
      <c r="AL272" s="15">
        <f>R272*'Optimal Choice'!$B$24*AE272</f>
        <v>41040</v>
      </c>
      <c r="AO272" s="12">
        <f t="shared" ref="AO272:AS272" si="812">if(isna(VLOOKUP(N272+1,$D$2:$E$10,2,false)),AO271, VLOOKUP(N272+1,$D$2:$E$10,2,false))</f>
        <v>50</v>
      </c>
      <c r="AP272" s="12">
        <f t="shared" si="812"/>
        <v>5</v>
      </c>
      <c r="AQ272" s="12">
        <f t="shared" si="812"/>
        <v>5</v>
      </c>
      <c r="AR272" s="12">
        <f t="shared" si="812"/>
        <v>5</v>
      </c>
      <c r="AS272" s="15">
        <f t="shared" si="812"/>
        <v>1</v>
      </c>
      <c r="AU272" s="11">
        <f t="shared" si="8"/>
        <v>0.03169581843</v>
      </c>
    </row>
    <row r="273" ht="15.75" customHeight="1">
      <c r="A273" s="16">
        <f t="shared" si="4"/>
        <v>5.043519155</v>
      </c>
      <c r="B273" s="7">
        <f>(sum(AH273:AL273))*'Optimal Choice'!$B$28</f>
        <v>126762.5</v>
      </c>
      <c r="C273" s="11"/>
      <c r="D273" s="12"/>
      <c r="E273" s="12"/>
      <c r="F273" s="11"/>
      <c r="G273" s="11">
        <f>(T273/$B273)+(T273/('Optimal Choice'!$B$4*AO273))</f>
        <v>475.1746483</v>
      </c>
      <c r="H273" s="11">
        <f>(U273/$B273)+(U273/('Optimal Choice'!$B$9*AP273))</f>
        <v>492.0282709</v>
      </c>
      <c r="I273" s="11">
        <f>(V273/$B273)+(V273/('Optimal Choice'!$B$14*AQ273))</f>
        <v>512.238755</v>
      </c>
      <c r="J273" s="11">
        <f>(W273/$B273)+(W273/('Optimal Choice'!$B$19*AR273))</f>
        <v>168.5154063</v>
      </c>
      <c r="K273" s="11">
        <f>(X273/$B273)+(X273/('Optimal Choice'!$B$24*AS273))</f>
        <v>470.911844</v>
      </c>
      <c r="N273" s="12">
        <f t="shared" ref="N273:R273" si="813">if(min($G272:$K272)=G272,N272+1,N272)</f>
        <v>135</v>
      </c>
      <c r="O273" s="12">
        <f t="shared" si="813"/>
        <v>47</v>
      </c>
      <c r="P273" s="12">
        <f t="shared" si="813"/>
        <v>43</v>
      </c>
      <c r="Q273" s="12">
        <f t="shared" si="813"/>
        <v>28</v>
      </c>
      <c r="R273" s="12">
        <f t="shared" si="813"/>
        <v>19</v>
      </c>
      <c r="T273" s="13">
        <f> 'Optimal Choice'!$B$5*'Optimal Choice'!$B$6^(N273+1)</f>
        <v>39650.96456</v>
      </c>
      <c r="U273" s="13">
        <f> 'Optimal Choice'!$B$10*'Optimal Choice'!$B$11^(O273+1)</f>
        <v>49164.04272</v>
      </c>
      <c r="V273" s="13">
        <f> 'Optimal Choice'!$B$15*'Optimal Choice'!$B$16^(P273+1)</f>
        <v>229692.0454</v>
      </c>
      <c r="W273" s="13">
        <f> 'Optimal Choice'!$B$20*'Optimal Choice'!$B$21^(Q273+1)</f>
        <v>299080.8481</v>
      </c>
      <c r="X273" s="13">
        <f> 'Optimal Choice'!$B$25*'Optimal Choice'!$B$26^(R273+1)</f>
        <v>1000127.668</v>
      </c>
      <c r="AA273" s="12">
        <f t="shared" ref="AA273:AE273" si="814">if(isna(VLOOKUP(N273,$D$2:$E$10,2,false)),AA272, VLOOKUP(N273,$D$2:$E$10,2,false))</f>
        <v>50</v>
      </c>
      <c r="AB273" s="12">
        <f t="shared" si="814"/>
        <v>5</v>
      </c>
      <c r="AC273" s="12">
        <f t="shared" si="814"/>
        <v>5</v>
      </c>
      <c r="AD273" s="12">
        <f t="shared" si="814"/>
        <v>5</v>
      </c>
      <c r="AE273" s="15">
        <f t="shared" si="814"/>
        <v>1</v>
      </c>
      <c r="AH273" s="15">
        <f>N273*'Optimal Choice'!$B$4*AA273</f>
        <v>11272.5</v>
      </c>
      <c r="AI273" s="15">
        <f>O273*'Optimal Choice'!$B$9*AB273</f>
        <v>4700</v>
      </c>
      <c r="AJ273" s="15">
        <f>P273*'Optimal Choice'!$B$14*AC273</f>
        <v>19350</v>
      </c>
      <c r="AK273" s="15">
        <f>Q273*'Optimal Choice'!$B$19*AD273</f>
        <v>50400</v>
      </c>
      <c r="AL273" s="15">
        <f>R273*'Optimal Choice'!$B$24*AE273</f>
        <v>41040</v>
      </c>
      <c r="AO273" s="12">
        <f t="shared" ref="AO273:AS273" si="815">if(isna(VLOOKUP(N273+1,$D$2:$E$10,2,false)),AO272, VLOOKUP(N273+1,$D$2:$E$10,2,false))</f>
        <v>50</v>
      </c>
      <c r="AP273" s="12">
        <f t="shared" si="815"/>
        <v>5</v>
      </c>
      <c r="AQ273" s="12">
        <f t="shared" si="815"/>
        <v>5</v>
      </c>
      <c r="AR273" s="12">
        <f t="shared" si="815"/>
        <v>5</v>
      </c>
      <c r="AS273" s="15">
        <f t="shared" si="815"/>
        <v>1</v>
      </c>
      <c r="AU273" s="11">
        <f t="shared" si="8"/>
        <v>0.0353003657</v>
      </c>
    </row>
    <row r="274" ht="15.75" customHeight="1">
      <c r="A274" s="16">
        <f t="shared" si="4"/>
        <v>5.082842148</v>
      </c>
      <c r="B274" s="7">
        <f>(sum(AH274:AL274))*'Optimal Choice'!$B$28</f>
        <v>128562.5</v>
      </c>
      <c r="C274" s="11"/>
      <c r="D274" s="12"/>
      <c r="E274" s="12"/>
      <c r="F274" s="11"/>
      <c r="G274" s="11">
        <f>(T274/$B274)+(T274/('Optimal Choice'!$B$4*AO274))</f>
        <v>475.1702688</v>
      </c>
      <c r="H274" s="11">
        <f>(U274/$B274)+(U274/('Optimal Choice'!$B$9*AP274))</f>
        <v>492.0228407</v>
      </c>
      <c r="I274" s="11">
        <f>(V274/$B274)+(V274/('Optimal Choice'!$B$14*AQ274))</f>
        <v>512.2133854</v>
      </c>
      <c r="J274" s="11">
        <f>(W274/$B274)+(W274/('Optimal Choice'!$B$19*AR274))</f>
        <v>190.3850811</v>
      </c>
      <c r="K274" s="11">
        <f>(X274/$B274)+(X274/('Optimal Choice'!$B$24*AS274))</f>
        <v>470.8013795</v>
      </c>
      <c r="N274" s="12">
        <f t="shared" ref="N274:R274" si="816">if(min($G273:$K273)=G273,N273+1,N273)</f>
        <v>135</v>
      </c>
      <c r="O274" s="12">
        <f t="shared" si="816"/>
        <v>47</v>
      </c>
      <c r="P274" s="12">
        <f t="shared" si="816"/>
        <v>43</v>
      </c>
      <c r="Q274" s="12">
        <f t="shared" si="816"/>
        <v>29</v>
      </c>
      <c r="R274" s="12">
        <f t="shared" si="816"/>
        <v>19</v>
      </c>
      <c r="T274" s="13">
        <f> 'Optimal Choice'!$B$5*'Optimal Choice'!$B$6^(N274+1)</f>
        <v>39650.96456</v>
      </c>
      <c r="U274" s="13">
        <f> 'Optimal Choice'!$B$10*'Optimal Choice'!$B$11^(O274+1)</f>
        <v>49164.04272</v>
      </c>
      <c r="V274" s="13">
        <f> 'Optimal Choice'!$B$15*'Optimal Choice'!$B$16^(P274+1)</f>
        <v>229692.0454</v>
      </c>
      <c r="W274" s="13">
        <f> 'Optimal Choice'!$B$20*'Optimal Choice'!$B$21^(Q274+1)</f>
        <v>337961.3584</v>
      </c>
      <c r="X274" s="13">
        <f> 'Optimal Choice'!$B$25*'Optimal Choice'!$B$26^(R274+1)</f>
        <v>1000127.668</v>
      </c>
      <c r="AA274" s="12">
        <f t="shared" ref="AA274:AE274" si="817">if(isna(VLOOKUP(N274,$D$2:$E$10,2,false)),AA273, VLOOKUP(N274,$D$2:$E$10,2,false))</f>
        <v>50</v>
      </c>
      <c r="AB274" s="12">
        <f t="shared" si="817"/>
        <v>5</v>
      </c>
      <c r="AC274" s="12">
        <f t="shared" si="817"/>
        <v>5</v>
      </c>
      <c r="AD274" s="12">
        <f t="shared" si="817"/>
        <v>5</v>
      </c>
      <c r="AE274" s="15">
        <f t="shared" si="817"/>
        <v>1</v>
      </c>
      <c r="AH274" s="15">
        <f>N274*'Optimal Choice'!$B$4*AA274</f>
        <v>11272.5</v>
      </c>
      <c r="AI274" s="15">
        <f>O274*'Optimal Choice'!$B$9*AB274</f>
        <v>4700</v>
      </c>
      <c r="AJ274" s="15">
        <f>P274*'Optimal Choice'!$B$14*AC274</f>
        <v>19350</v>
      </c>
      <c r="AK274" s="15">
        <f>Q274*'Optimal Choice'!$B$19*AD274</f>
        <v>52200</v>
      </c>
      <c r="AL274" s="15">
        <f>R274*'Optimal Choice'!$B$24*AE274</f>
        <v>41040</v>
      </c>
      <c r="AO274" s="12">
        <f t="shared" ref="AO274:AS274" si="818">if(isna(VLOOKUP(N274+1,$D$2:$E$10,2,false)),AO273, VLOOKUP(N274+1,$D$2:$E$10,2,false))</f>
        <v>50</v>
      </c>
      <c r="AP274" s="12">
        <f t="shared" si="818"/>
        <v>5</v>
      </c>
      <c r="AQ274" s="12">
        <f t="shared" si="818"/>
        <v>5</v>
      </c>
      <c r="AR274" s="12">
        <f t="shared" si="818"/>
        <v>5</v>
      </c>
      <c r="AS274" s="15">
        <f t="shared" si="818"/>
        <v>1</v>
      </c>
      <c r="AU274" s="11">
        <f t="shared" si="8"/>
        <v>0.03932299222</v>
      </c>
    </row>
    <row r="275" ht="15.75" customHeight="1">
      <c r="A275" s="16">
        <f t="shared" si="4"/>
        <v>5.126654996</v>
      </c>
      <c r="B275" s="7">
        <f>(sum(AH275:AL275))*'Optimal Choice'!$B$28</f>
        <v>130362.5</v>
      </c>
      <c r="C275" s="11"/>
      <c r="D275" s="12"/>
      <c r="E275" s="12"/>
      <c r="F275" s="11"/>
      <c r="G275" s="11">
        <f>(T275/$B275)+(T275/('Optimal Choice'!$B$4*AO275))</f>
        <v>475.1660103</v>
      </c>
      <c r="H275" s="11">
        <f>(U275/$B275)+(U275/('Optimal Choice'!$B$9*AP275))</f>
        <v>492.0175605</v>
      </c>
      <c r="I275" s="11">
        <f>(V275/$B275)+(V275/('Optimal Choice'!$B$14*AQ275))</f>
        <v>512.1887164</v>
      </c>
      <c r="J275" s="11">
        <f>(W275/$B275)+(W275/('Optimal Choice'!$B$19*AR275))</f>
        <v>215.0941259</v>
      </c>
      <c r="K275" s="11">
        <f>(X275/$B275)+(X275/('Optimal Choice'!$B$24*AS275))</f>
        <v>470.6939654</v>
      </c>
      <c r="N275" s="12">
        <f t="shared" ref="N275:R275" si="819">if(min($G274:$K274)=G274,N274+1,N274)</f>
        <v>135</v>
      </c>
      <c r="O275" s="12">
        <f t="shared" si="819"/>
        <v>47</v>
      </c>
      <c r="P275" s="12">
        <f t="shared" si="819"/>
        <v>43</v>
      </c>
      <c r="Q275" s="12">
        <f t="shared" si="819"/>
        <v>30</v>
      </c>
      <c r="R275" s="12">
        <f t="shared" si="819"/>
        <v>19</v>
      </c>
      <c r="T275" s="13">
        <f> 'Optimal Choice'!$B$5*'Optimal Choice'!$B$6^(N275+1)</f>
        <v>39650.96456</v>
      </c>
      <c r="U275" s="13">
        <f> 'Optimal Choice'!$B$10*'Optimal Choice'!$B$11^(O275+1)</f>
        <v>49164.04272</v>
      </c>
      <c r="V275" s="13">
        <f> 'Optimal Choice'!$B$15*'Optimal Choice'!$B$16^(P275+1)</f>
        <v>229692.0454</v>
      </c>
      <c r="W275" s="13">
        <f> 'Optimal Choice'!$B$20*'Optimal Choice'!$B$21^(Q275+1)</f>
        <v>381896.3349</v>
      </c>
      <c r="X275" s="13">
        <f> 'Optimal Choice'!$B$25*'Optimal Choice'!$B$26^(R275+1)</f>
        <v>1000127.668</v>
      </c>
      <c r="AA275" s="12">
        <f t="shared" ref="AA275:AE275" si="820">if(isna(VLOOKUP(N275,$D$2:$E$10,2,false)),AA274, VLOOKUP(N275,$D$2:$E$10,2,false))</f>
        <v>50</v>
      </c>
      <c r="AB275" s="12">
        <f t="shared" si="820"/>
        <v>5</v>
      </c>
      <c r="AC275" s="12">
        <f t="shared" si="820"/>
        <v>5</v>
      </c>
      <c r="AD275" s="12">
        <f t="shared" si="820"/>
        <v>5</v>
      </c>
      <c r="AE275" s="15">
        <f t="shared" si="820"/>
        <v>1</v>
      </c>
      <c r="AH275" s="15">
        <f>N275*'Optimal Choice'!$B$4*AA275</f>
        <v>11272.5</v>
      </c>
      <c r="AI275" s="15">
        <f>O275*'Optimal Choice'!$B$9*AB275</f>
        <v>4700</v>
      </c>
      <c r="AJ275" s="15">
        <f>P275*'Optimal Choice'!$B$14*AC275</f>
        <v>19350</v>
      </c>
      <c r="AK275" s="15">
        <f>Q275*'Optimal Choice'!$B$19*AD275</f>
        <v>54000</v>
      </c>
      <c r="AL275" s="15">
        <f>R275*'Optimal Choice'!$B$24*AE275</f>
        <v>41040</v>
      </c>
      <c r="AO275" s="12">
        <f t="shared" ref="AO275:AS275" si="821">if(isna(VLOOKUP(N275+1,$D$2:$E$10,2,false)),AO274, VLOOKUP(N275+1,$D$2:$E$10,2,false))</f>
        <v>50</v>
      </c>
      <c r="AP275" s="12">
        <f t="shared" si="821"/>
        <v>5</v>
      </c>
      <c r="AQ275" s="12">
        <f t="shared" si="821"/>
        <v>5</v>
      </c>
      <c r="AR275" s="12">
        <f t="shared" si="821"/>
        <v>5</v>
      </c>
      <c r="AS275" s="15">
        <f t="shared" si="821"/>
        <v>1</v>
      </c>
      <c r="AU275" s="11">
        <f t="shared" si="8"/>
        <v>0.04381284827</v>
      </c>
    </row>
    <row r="276" ht="15.75" customHeight="1">
      <c r="A276" s="16">
        <f t="shared" si="4"/>
        <v>5.175479918</v>
      </c>
      <c r="B276" s="7">
        <f>(sum(AH276:AL276))*'Optimal Choice'!$B$28</f>
        <v>132162.5</v>
      </c>
      <c r="C276" s="11"/>
      <c r="D276" s="12"/>
      <c r="E276" s="12"/>
      <c r="F276" s="11"/>
      <c r="G276" s="11">
        <f>(T276/$B276)+(T276/('Optimal Choice'!$B$4*AO276))</f>
        <v>475.1618677</v>
      </c>
      <c r="H276" s="11">
        <f>(U276/$B276)+(U276/('Optimal Choice'!$B$9*AP276))</f>
        <v>492.0124241</v>
      </c>
      <c r="I276" s="11">
        <f>(V276/$B276)+(V276/('Optimal Choice'!$B$14*AQ276))</f>
        <v>512.1647194</v>
      </c>
      <c r="J276" s="11">
        <f>(W276/$B276)+(W276/('Optimal Choice'!$B$19*AR276))</f>
        <v>243.0112769</v>
      </c>
      <c r="K276" s="11">
        <f>(X276/$B276)+(X276/('Optimal Choice'!$B$24*AS276))</f>
        <v>470.5894773</v>
      </c>
      <c r="N276" s="12">
        <f t="shared" ref="N276:R276" si="822">if(min($G275:$K275)=G275,N275+1,N275)</f>
        <v>135</v>
      </c>
      <c r="O276" s="12">
        <f t="shared" si="822"/>
        <v>47</v>
      </c>
      <c r="P276" s="12">
        <f t="shared" si="822"/>
        <v>43</v>
      </c>
      <c r="Q276" s="12">
        <f t="shared" si="822"/>
        <v>31</v>
      </c>
      <c r="R276" s="12">
        <f t="shared" si="822"/>
        <v>19</v>
      </c>
      <c r="T276" s="13">
        <f> 'Optimal Choice'!$B$5*'Optimal Choice'!$B$6^(N276+1)</f>
        <v>39650.96456</v>
      </c>
      <c r="U276" s="13">
        <f> 'Optimal Choice'!$B$10*'Optimal Choice'!$B$11^(O276+1)</f>
        <v>49164.04272</v>
      </c>
      <c r="V276" s="13">
        <f> 'Optimal Choice'!$B$15*'Optimal Choice'!$B$16^(P276+1)</f>
        <v>229692.0454</v>
      </c>
      <c r="W276" s="13">
        <f> 'Optimal Choice'!$B$20*'Optimal Choice'!$B$21^(Q276+1)</f>
        <v>431542.8585</v>
      </c>
      <c r="X276" s="13">
        <f> 'Optimal Choice'!$B$25*'Optimal Choice'!$B$26^(R276+1)</f>
        <v>1000127.668</v>
      </c>
      <c r="AA276" s="12">
        <f t="shared" ref="AA276:AE276" si="823">if(isna(VLOOKUP(N276,$D$2:$E$10,2,false)),AA275, VLOOKUP(N276,$D$2:$E$10,2,false))</f>
        <v>50</v>
      </c>
      <c r="AB276" s="12">
        <f t="shared" si="823"/>
        <v>5</v>
      </c>
      <c r="AC276" s="12">
        <f t="shared" si="823"/>
        <v>5</v>
      </c>
      <c r="AD276" s="12">
        <f t="shared" si="823"/>
        <v>5</v>
      </c>
      <c r="AE276" s="15">
        <f t="shared" si="823"/>
        <v>1</v>
      </c>
      <c r="AH276" s="15">
        <f>N276*'Optimal Choice'!$B$4*AA276</f>
        <v>11272.5</v>
      </c>
      <c r="AI276" s="15">
        <f>O276*'Optimal Choice'!$B$9*AB276</f>
        <v>4700</v>
      </c>
      <c r="AJ276" s="15">
        <f>P276*'Optimal Choice'!$B$14*AC276</f>
        <v>19350</v>
      </c>
      <c r="AK276" s="15">
        <f>Q276*'Optimal Choice'!$B$19*AD276</f>
        <v>55800</v>
      </c>
      <c r="AL276" s="15">
        <f>R276*'Optimal Choice'!$B$24*AE276</f>
        <v>41040</v>
      </c>
      <c r="AO276" s="12">
        <f t="shared" ref="AO276:AS276" si="824">if(isna(VLOOKUP(N276+1,$D$2:$E$10,2,false)),AO275, VLOOKUP(N276+1,$D$2:$E$10,2,false))</f>
        <v>50</v>
      </c>
      <c r="AP276" s="12">
        <f t="shared" si="824"/>
        <v>5</v>
      </c>
      <c r="AQ276" s="12">
        <f t="shared" si="824"/>
        <v>5</v>
      </c>
      <c r="AR276" s="12">
        <f t="shared" si="824"/>
        <v>5</v>
      </c>
      <c r="AS276" s="15">
        <f t="shared" si="824"/>
        <v>1</v>
      </c>
      <c r="AU276" s="11">
        <f t="shared" si="8"/>
        <v>0.04882492216</v>
      </c>
    </row>
    <row r="277" ht="15.75" customHeight="1">
      <c r="A277" s="16">
        <f t="shared" si="4"/>
        <v>5.229900658</v>
      </c>
      <c r="B277" s="7">
        <f>(sum(AH277:AL277))*'Optimal Choice'!$B$28</f>
        <v>133962.5</v>
      </c>
      <c r="C277" s="11"/>
      <c r="D277" s="12"/>
      <c r="E277" s="12"/>
      <c r="F277" s="11"/>
      <c r="G277" s="11">
        <f>(T277/$B277)+(T277/('Optimal Choice'!$B$4*AO277))</f>
        <v>475.1578365</v>
      </c>
      <c r="H277" s="11">
        <f>(U277/$B277)+(U277/('Optimal Choice'!$B$9*AP277))</f>
        <v>492.0074257</v>
      </c>
      <c r="I277" s="11">
        <f>(V277/$B277)+(V277/('Optimal Choice'!$B$14*AQ277))</f>
        <v>512.1413672</v>
      </c>
      <c r="J277" s="11">
        <f>(W277/$B277)+(W277/('Optimal Choice'!$B$19*AR277))</f>
        <v>274.5531655</v>
      </c>
      <c r="K277" s="11">
        <f>(X277/$B277)+(X277/('Optimal Choice'!$B$24*AS277))</f>
        <v>470.4877971</v>
      </c>
      <c r="N277" s="12">
        <f t="shared" ref="N277:R277" si="825">if(min($G276:$K276)=G276,N276+1,N276)</f>
        <v>135</v>
      </c>
      <c r="O277" s="12">
        <f t="shared" si="825"/>
        <v>47</v>
      </c>
      <c r="P277" s="12">
        <f t="shared" si="825"/>
        <v>43</v>
      </c>
      <c r="Q277" s="12">
        <f t="shared" si="825"/>
        <v>32</v>
      </c>
      <c r="R277" s="12">
        <f t="shared" si="825"/>
        <v>19</v>
      </c>
      <c r="T277" s="13">
        <f> 'Optimal Choice'!$B$5*'Optimal Choice'!$B$6^(N277+1)</f>
        <v>39650.96456</v>
      </c>
      <c r="U277" s="13">
        <f> 'Optimal Choice'!$B$10*'Optimal Choice'!$B$11^(O277+1)</f>
        <v>49164.04272</v>
      </c>
      <c r="V277" s="13">
        <f> 'Optimal Choice'!$B$15*'Optimal Choice'!$B$16^(P277+1)</f>
        <v>229692.0454</v>
      </c>
      <c r="W277" s="13">
        <f> 'Optimal Choice'!$B$20*'Optimal Choice'!$B$21^(Q277+1)</f>
        <v>487643.4301</v>
      </c>
      <c r="X277" s="13">
        <f> 'Optimal Choice'!$B$25*'Optimal Choice'!$B$26^(R277+1)</f>
        <v>1000127.668</v>
      </c>
      <c r="AA277" s="12">
        <f t="shared" ref="AA277:AE277" si="826">if(isna(VLOOKUP(N277,$D$2:$E$10,2,false)),AA276, VLOOKUP(N277,$D$2:$E$10,2,false))</f>
        <v>50</v>
      </c>
      <c r="AB277" s="12">
        <f t="shared" si="826"/>
        <v>5</v>
      </c>
      <c r="AC277" s="12">
        <f t="shared" si="826"/>
        <v>5</v>
      </c>
      <c r="AD277" s="12">
        <f t="shared" si="826"/>
        <v>5</v>
      </c>
      <c r="AE277" s="15">
        <f t="shared" si="826"/>
        <v>1</v>
      </c>
      <c r="AH277" s="15">
        <f>N277*'Optimal Choice'!$B$4*AA277</f>
        <v>11272.5</v>
      </c>
      <c r="AI277" s="15">
        <f>O277*'Optimal Choice'!$B$9*AB277</f>
        <v>4700</v>
      </c>
      <c r="AJ277" s="15">
        <f>P277*'Optimal Choice'!$B$14*AC277</f>
        <v>19350</v>
      </c>
      <c r="AK277" s="15">
        <f>Q277*'Optimal Choice'!$B$19*AD277</f>
        <v>57600</v>
      </c>
      <c r="AL277" s="15">
        <f>R277*'Optimal Choice'!$B$24*AE277</f>
        <v>41040</v>
      </c>
      <c r="AO277" s="12">
        <f t="shared" ref="AO277:AS277" si="827">if(isna(VLOOKUP(N277+1,$D$2:$E$10,2,false)),AO276, VLOOKUP(N277+1,$D$2:$E$10,2,false))</f>
        <v>50</v>
      </c>
      <c r="AP277" s="12">
        <f t="shared" si="827"/>
        <v>5</v>
      </c>
      <c r="AQ277" s="12">
        <f t="shared" si="827"/>
        <v>5</v>
      </c>
      <c r="AR277" s="12">
        <f t="shared" si="827"/>
        <v>5</v>
      </c>
      <c r="AS277" s="15">
        <f t="shared" si="827"/>
        <v>1</v>
      </c>
      <c r="AU277" s="11">
        <f t="shared" si="8"/>
        <v>0.05442073943</v>
      </c>
    </row>
    <row r="278" ht="15.75" customHeight="1">
      <c r="A278" s="16">
        <f t="shared" si="4"/>
        <v>5.290569804</v>
      </c>
      <c r="B278" s="7">
        <f>(sum(AH278:AL278))*'Optimal Choice'!$B$28</f>
        <v>135762.5</v>
      </c>
      <c r="C278" s="11"/>
      <c r="D278" s="12"/>
      <c r="E278" s="12"/>
      <c r="F278" s="11"/>
      <c r="G278" s="11">
        <f>(T278/$B278)+(T278/('Optimal Choice'!$B$4*AO278))</f>
        <v>475.1539122</v>
      </c>
      <c r="H278" s="11">
        <f>(U278/$B278)+(U278/('Optimal Choice'!$B$9*AP278))</f>
        <v>492.0025599</v>
      </c>
      <c r="I278" s="11">
        <f>(V278/$B278)+(V278/('Optimal Choice'!$B$14*AQ278))</f>
        <v>512.1186343</v>
      </c>
      <c r="J278" s="11">
        <f>(W278/$B278)+(W278/('Optimal Choice'!$B$19*AR278))</f>
        <v>310.1905401</v>
      </c>
      <c r="K278" s="11">
        <f>(X278/$B278)+(X278/('Optimal Choice'!$B$24*AS278))</f>
        <v>470.3888131</v>
      </c>
      <c r="N278" s="12">
        <f t="shared" ref="N278:R278" si="828">if(min($G277:$K277)=G277,N277+1,N277)</f>
        <v>135</v>
      </c>
      <c r="O278" s="12">
        <f t="shared" si="828"/>
        <v>47</v>
      </c>
      <c r="P278" s="12">
        <f t="shared" si="828"/>
        <v>43</v>
      </c>
      <c r="Q278" s="12">
        <f t="shared" si="828"/>
        <v>33</v>
      </c>
      <c r="R278" s="12">
        <f t="shared" si="828"/>
        <v>19</v>
      </c>
      <c r="T278" s="13">
        <f> 'Optimal Choice'!$B$5*'Optimal Choice'!$B$6^(N278+1)</f>
        <v>39650.96456</v>
      </c>
      <c r="U278" s="13">
        <f> 'Optimal Choice'!$B$10*'Optimal Choice'!$B$11^(O278+1)</f>
        <v>49164.04272</v>
      </c>
      <c r="V278" s="13">
        <f> 'Optimal Choice'!$B$15*'Optimal Choice'!$B$16^(P278+1)</f>
        <v>229692.0454</v>
      </c>
      <c r="W278" s="13">
        <f> 'Optimal Choice'!$B$20*'Optimal Choice'!$B$21^(Q278+1)</f>
        <v>551037.076</v>
      </c>
      <c r="X278" s="13">
        <f> 'Optimal Choice'!$B$25*'Optimal Choice'!$B$26^(R278+1)</f>
        <v>1000127.668</v>
      </c>
      <c r="AA278" s="12">
        <f t="shared" ref="AA278:AE278" si="829">if(isna(VLOOKUP(N278,$D$2:$E$10,2,false)),AA277, VLOOKUP(N278,$D$2:$E$10,2,false))</f>
        <v>50</v>
      </c>
      <c r="AB278" s="12">
        <f t="shared" si="829"/>
        <v>5</v>
      </c>
      <c r="AC278" s="12">
        <f t="shared" si="829"/>
        <v>5</v>
      </c>
      <c r="AD278" s="12">
        <f t="shared" si="829"/>
        <v>5</v>
      </c>
      <c r="AE278" s="15">
        <f t="shared" si="829"/>
        <v>1</v>
      </c>
      <c r="AH278" s="15">
        <f>N278*'Optimal Choice'!$B$4*AA278</f>
        <v>11272.5</v>
      </c>
      <c r="AI278" s="15">
        <f>O278*'Optimal Choice'!$B$9*AB278</f>
        <v>4700</v>
      </c>
      <c r="AJ278" s="15">
        <f>P278*'Optimal Choice'!$B$14*AC278</f>
        <v>19350</v>
      </c>
      <c r="AK278" s="15">
        <f>Q278*'Optimal Choice'!$B$19*AD278</f>
        <v>59400</v>
      </c>
      <c r="AL278" s="15">
        <f>R278*'Optimal Choice'!$B$24*AE278</f>
        <v>41040</v>
      </c>
      <c r="AO278" s="12">
        <f t="shared" ref="AO278:AS278" si="830">if(isna(VLOOKUP(N278+1,$D$2:$E$10,2,false)),AO277, VLOOKUP(N278+1,$D$2:$E$10,2,false))</f>
        <v>50</v>
      </c>
      <c r="AP278" s="12">
        <f t="shared" si="830"/>
        <v>5</v>
      </c>
      <c r="AQ278" s="12">
        <f t="shared" si="830"/>
        <v>5</v>
      </c>
      <c r="AR278" s="12">
        <f t="shared" si="830"/>
        <v>5</v>
      </c>
      <c r="AS278" s="15">
        <f t="shared" si="830"/>
        <v>1</v>
      </c>
      <c r="AU278" s="11">
        <f t="shared" si="8"/>
        <v>0.06066914623</v>
      </c>
    </row>
    <row r="279" ht="15.75" customHeight="1">
      <c r="A279" s="16">
        <f t="shared" si="4"/>
        <v>5.358216991</v>
      </c>
      <c r="B279" s="7">
        <f>(sum(AH279:AL279))*'Optimal Choice'!$B$28</f>
        <v>137562.5</v>
      </c>
      <c r="C279" s="11"/>
      <c r="D279" s="12"/>
      <c r="E279" s="12"/>
      <c r="F279" s="11"/>
      <c r="G279" s="11">
        <f>(T279/$B279)+(T279/('Optimal Choice'!$B$4*AO279))</f>
        <v>475.1500906</v>
      </c>
      <c r="H279" s="11">
        <f>(U279/$B279)+(U279/('Optimal Choice'!$B$9*AP279))</f>
        <v>491.9978214</v>
      </c>
      <c r="I279" s="11">
        <f>(V279/$B279)+(V279/('Optimal Choice'!$B$14*AQ279))</f>
        <v>512.0964963</v>
      </c>
      <c r="J279" s="11">
        <f>(W279/$B279)+(W279/('Optimal Choice'!$B$19*AR279))</f>
        <v>350.4552964</v>
      </c>
      <c r="K279" s="11">
        <f>(X279/$B279)+(X279/('Optimal Choice'!$B$24*AS279))</f>
        <v>470.2924195</v>
      </c>
      <c r="N279" s="12">
        <f t="shared" ref="N279:R279" si="831">if(min($G278:$K278)=G278,N278+1,N278)</f>
        <v>135</v>
      </c>
      <c r="O279" s="12">
        <f t="shared" si="831"/>
        <v>47</v>
      </c>
      <c r="P279" s="12">
        <f t="shared" si="831"/>
        <v>43</v>
      </c>
      <c r="Q279" s="12">
        <f t="shared" si="831"/>
        <v>34</v>
      </c>
      <c r="R279" s="12">
        <f t="shared" si="831"/>
        <v>19</v>
      </c>
      <c r="T279" s="13">
        <f> 'Optimal Choice'!$B$5*'Optimal Choice'!$B$6^(N279+1)</f>
        <v>39650.96456</v>
      </c>
      <c r="U279" s="13">
        <f> 'Optimal Choice'!$B$10*'Optimal Choice'!$B$11^(O279+1)</f>
        <v>49164.04272</v>
      </c>
      <c r="V279" s="13">
        <f> 'Optimal Choice'!$B$15*'Optimal Choice'!$B$16^(P279+1)</f>
        <v>229692.0454</v>
      </c>
      <c r="W279" s="13">
        <f> 'Optimal Choice'!$B$20*'Optimal Choice'!$B$21^(Q279+1)</f>
        <v>622671.8959</v>
      </c>
      <c r="X279" s="13">
        <f> 'Optimal Choice'!$B$25*'Optimal Choice'!$B$26^(R279+1)</f>
        <v>1000127.668</v>
      </c>
      <c r="AA279" s="12">
        <f t="shared" ref="AA279:AE279" si="832">if(isna(VLOOKUP(N279,$D$2:$E$10,2,false)),AA278, VLOOKUP(N279,$D$2:$E$10,2,false))</f>
        <v>50</v>
      </c>
      <c r="AB279" s="12">
        <f t="shared" si="832"/>
        <v>5</v>
      </c>
      <c r="AC279" s="12">
        <f t="shared" si="832"/>
        <v>5</v>
      </c>
      <c r="AD279" s="12">
        <f t="shared" si="832"/>
        <v>5</v>
      </c>
      <c r="AE279" s="15">
        <f t="shared" si="832"/>
        <v>1</v>
      </c>
      <c r="AH279" s="15">
        <f>N279*'Optimal Choice'!$B$4*AA279</f>
        <v>11272.5</v>
      </c>
      <c r="AI279" s="15">
        <f>O279*'Optimal Choice'!$B$9*AB279</f>
        <v>4700</v>
      </c>
      <c r="AJ279" s="15">
        <f>P279*'Optimal Choice'!$B$14*AC279</f>
        <v>19350</v>
      </c>
      <c r="AK279" s="15">
        <f>Q279*'Optimal Choice'!$B$19*AD279</f>
        <v>61200</v>
      </c>
      <c r="AL279" s="15">
        <f>R279*'Optimal Choice'!$B$24*AE279</f>
        <v>41040</v>
      </c>
      <c r="AO279" s="12">
        <f t="shared" ref="AO279:AS279" si="833">if(isna(VLOOKUP(N279+1,$D$2:$E$10,2,false)),AO278, VLOOKUP(N279+1,$D$2:$E$10,2,false))</f>
        <v>50</v>
      </c>
      <c r="AP279" s="12">
        <f t="shared" si="833"/>
        <v>5</v>
      </c>
      <c r="AQ279" s="12">
        <f t="shared" si="833"/>
        <v>5</v>
      </c>
      <c r="AR279" s="12">
        <f t="shared" si="833"/>
        <v>5</v>
      </c>
      <c r="AS279" s="15">
        <f t="shared" si="833"/>
        <v>1</v>
      </c>
      <c r="AU279" s="11">
        <f t="shared" si="8"/>
        <v>0.06764718731</v>
      </c>
    </row>
    <row r="280" ht="15.75" customHeight="1">
      <c r="A280" s="16">
        <f t="shared" si="4"/>
        <v>5.433658081</v>
      </c>
      <c r="B280" s="7">
        <f>(sum(AH280:AL280))*'Optimal Choice'!$B$28</f>
        <v>139362.5</v>
      </c>
      <c r="C280" s="11"/>
      <c r="D280" s="12"/>
      <c r="E280" s="12"/>
      <c r="F280" s="11"/>
      <c r="G280" s="11">
        <f>(T280/$B280)+(T280/('Optimal Choice'!$B$4*AO280))</f>
        <v>475.1463677</v>
      </c>
      <c r="H280" s="11">
        <f>(U280/$B280)+(U280/('Optimal Choice'!$B$9*AP280))</f>
        <v>491.9932053</v>
      </c>
      <c r="I280" s="11">
        <f>(V280/$B280)+(V280/('Optimal Choice'!$B$14*AQ280))</f>
        <v>512.0749302</v>
      </c>
      <c r="J280" s="11">
        <f>(W280/$B280)+(W280/('Optimal Choice'!$B$19*AR280))</f>
        <v>395.9484211</v>
      </c>
      <c r="K280" s="11">
        <f>(X280/$B280)+(X280/('Optimal Choice'!$B$24*AS280))</f>
        <v>470.198516</v>
      </c>
      <c r="N280" s="12">
        <f t="shared" ref="N280:R280" si="834">if(min($G279:$K279)=G279,N279+1,N279)</f>
        <v>135</v>
      </c>
      <c r="O280" s="12">
        <f t="shared" si="834"/>
        <v>47</v>
      </c>
      <c r="P280" s="12">
        <f t="shared" si="834"/>
        <v>43</v>
      </c>
      <c r="Q280" s="12">
        <f t="shared" si="834"/>
        <v>35</v>
      </c>
      <c r="R280" s="12">
        <f t="shared" si="834"/>
        <v>19</v>
      </c>
      <c r="T280" s="13">
        <f> 'Optimal Choice'!$B$5*'Optimal Choice'!$B$6^(N280+1)</f>
        <v>39650.96456</v>
      </c>
      <c r="U280" s="13">
        <f> 'Optimal Choice'!$B$10*'Optimal Choice'!$B$11^(O280+1)</f>
        <v>49164.04272</v>
      </c>
      <c r="V280" s="13">
        <f> 'Optimal Choice'!$B$15*'Optimal Choice'!$B$16^(P280+1)</f>
        <v>229692.0454</v>
      </c>
      <c r="W280" s="13">
        <f> 'Optimal Choice'!$B$20*'Optimal Choice'!$B$21^(Q280+1)</f>
        <v>703619.2423</v>
      </c>
      <c r="X280" s="13">
        <f> 'Optimal Choice'!$B$25*'Optimal Choice'!$B$26^(R280+1)</f>
        <v>1000127.668</v>
      </c>
      <c r="AA280" s="12">
        <f t="shared" ref="AA280:AE280" si="835">if(isna(VLOOKUP(N280,$D$2:$E$10,2,false)),AA279, VLOOKUP(N280,$D$2:$E$10,2,false))</f>
        <v>50</v>
      </c>
      <c r="AB280" s="12">
        <f t="shared" si="835"/>
        <v>5</v>
      </c>
      <c r="AC280" s="12">
        <f t="shared" si="835"/>
        <v>5</v>
      </c>
      <c r="AD280" s="12">
        <f t="shared" si="835"/>
        <v>5</v>
      </c>
      <c r="AE280" s="15">
        <f t="shared" si="835"/>
        <v>1</v>
      </c>
      <c r="AH280" s="15">
        <f>N280*'Optimal Choice'!$B$4*AA280</f>
        <v>11272.5</v>
      </c>
      <c r="AI280" s="15">
        <f>O280*'Optimal Choice'!$B$9*AB280</f>
        <v>4700</v>
      </c>
      <c r="AJ280" s="15">
        <f>P280*'Optimal Choice'!$B$14*AC280</f>
        <v>19350</v>
      </c>
      <c r="AK280" s="15">
        <f>Q280*'Optimal Choice'!$B$19*AD280</f>
        <v>63000</v>
      </c>
      <c r="AL280" s="15">
        <f>R280*'Optimal Choice'!$B$24*AE280</f>
        <v>41040</v>
      </c>
      <c r="AO280" s="12">
        <f t="shared" ref="AO280:AS280" si="836">if(isna(VLOOKUP(N280+1,$D$2:$E$10,2,false)),AO279, VLOOKUP(N280+1,$D$2:$E$10,2,false))</f>
        <v>50</v>
      </c>
      <c r="AP280" s="12">
        <f t="shared" si="836"/>
        <v>5</v>
      </c>
      <c r="AQ280" s="12">
        <f t="shared" si="836"/>
        <v>5</v>
      </c>
      <c r="AR280" s="12">
        <f t="shared" si="836"/>
        <v>5</v>
      </c>
      <c r="AS280" s="15">
        <f t="shared" si="836"/>
        <v>1</v>
      </c>
      <c r="AU280" s="11">
        <f t="shared" si="8"/>
        <v>0.07544108991</v>
      </c>
    </row>
    <row r="281" ht="15.75" customHeight="1">
      <c r="A281" s="16">
        <f t="shared" si="4"/>
        <v>5.517805448</v>
      </c>
      <c r="B281" s="7">
        <f>(sum(AH281:AL281))*'Optimal Choice'!$B$28</f>
        <v>141162.5</v>
      </c>
      <c r="C281" s="11"/>
      <c r="D281" s="12"/>
      <c r="E281" s="12"/>
      <c r="F281" s="11"/>
      <c r="G281" s="11">
        <f>(T281/$B281)+(T281/('Optimal Choice'!$B$4*AO281))</f>
        <v>475.1427398</v>
      </c>
      <c r="H281" s="11">
        <f>(U281/$B281)+(U281/('Optimal Choice'!$B$9*AP281))</f>
        <v>491.988707</v>
      </c>
      <c r="I281" s="11">
        <f>(V281/$B281)+(V281/('Optimal Choice'!$B$14*AQ281))</f>
        <v>512.053914</v>
      </c>
      <c r="J281" s="11">
        <f>(W281/$B281)+(W281/('Optimal Choice'!$B$19*AR281))</f>
        <v>447.3489674</v>
      </c>
      <c r="K281" s="11">
        <f>(X281/$B281)+(X281/('Optimal Choice'!$B$24*AS281))</f>
        <v>470.1070072</v>
      </c>
      <c r="N281" s="12">
        <f t="shared" ref="N281:R281" si="837">if(min($G280:$K280)=G280,N280+1,N280)</f>
        <v>135</v>
      </c>
      <c r="O281" s="12">
        <f t="shared" si="837"/>
        <v>47</v>
      </c>
      <c r="P281" s="12">
        <f t="shared" si="837"/>
        <v>43</v>
      </c>
      <c r="Q281" s="12">
        <f t="shared" si="837"/>
        <v>36</v>
      </c>
      <c r="R281" s="12">
        <f t="shared" si="837"/>
        <v>19</v>
      </c>
      <c r="T281" s="13">
        <f> 'Optimal Choice'!$B$5*'Optimal Choice'!$B$6^(N281+1)</f>
        <v>39650.96456</v>
      </c>
      <c r="U281" s="13">
        <f> 'Optimal Choice'!$B$10*'Optimal Choice'!$B$11^(O281+1)</f>
        <v>49164.04272</v>
      </c>
      <c r="V281" s="13">
        <f> 'Optimal Choice'!$B$15*'Optimal Choice'!$B$16^(P281+1)</f>
        <v>229692.0454</v>
      </c>
      <c r="W281" s="13">
        <f> 'Optimal Choice'!$B$20*'Optimal Choice'!$B$21^(Q281+1)</f>
        <v>795089.7438</v>
      </c>
      <c r="X281" s="13">
        <f> 'Optimal Choice'!$B$25*'Optimal Choice'!$B$26^(R281+1)</f>
        <v>1000127.668</v>
      </c>
      <c r="AA281" s="12">
        <f t="shared" ref="AA281:AE281" si="838">if(isna(VLOOKUP(N281,$D$2:$E$10,2,false)),AA280, VLOOKUP(N281,$D$2:$E$10,2,false))</f>
        <v>50</v>
      </c>
      <c r="AB281" s="12">
        <f t="shared" si="838"/>
        <v>5</v>
      </c>
      <c r="AC281" s="12">
        <f t="shared" si="838"/>
        <v>5</v>
      </c>
      <c r="AD281" s="12">
        <f t="shared" si="838"/>
        <v>5</v>
      </c>
      <c r="AE281" s="15">
        <f t="shared" si="838"/>
        <v>1</v>
      </c>
      <c r="AH281" s="15">
        <f>N281*'Optimal Choice'!$B$4*AA281</f>
        <v>11272.5</v>
      </c>
      <c r="AI281" s="15">
        <f>O281*'Optimal Choice'!$B$9*AB281</f>
        <v>4700</v>
      </c>
      <c r="AJ281" s="15">
        <f>P281*'Optimal Choice'!$B$14*AC281</f>
        <v>19350</v>
      </c>
      <c r="AK281" s="15">
        <f>Q281*'Optimal Choice'!$B$19*AD281</f>
        <v>64800</v>
      </c>
      <c r="AL281" s="15">
        <f>R281*'Optimal Choice'!$B$24*AE281</f>
        <v>41040</v>
      </c>
      <c r="AO281" s="12">
        <f t="shared" ref="AO281:AS281" si="839">if(isna(VLOOKUP(N281+1,$D$2:$E$10,2,false)),AO280, VLOOKUP(N281+1,$D$2:$E$10,2,false))</f>
        <v>50</v>
      </c>
      <c r="AP281" s="12">
        <f t="shared" si="839"/>
        <v>5</v>
      </c>
      <c r="AQ281" s="12">
        <f t="shared" si="839"/>
        <v>5</v>
      </c>
      <c r="AR281" s="12">
        <f t="shared" si="839"/>
        <v>5</v>
      </c>
      <c r="AS281" s="15">
        <f t="shared" si="839"/>
        <v>1</v>
      </c>
      <c r="AU281" s="11">
        <f t="shared" si="8"/>
        <v>0.08414736656</v>
      </c>
    </row>
    <row r="282" ht="15.75" customHeight="1">
      <c r="A282" s="16">
        <f t="shared" si="4"/>
        <v>5.611679499</v>
      </c>
      <c r="B282" s="7">
        <f>(sum(AH282:AL282))*'Optimal Choice'!$B$28</f>
        <v>142962.5</v>
      </c>
      <c r="C282" s="11"/>
      <c r="D282" s="12"/>
      <c r="E282" s="12"/>
      <c r="F282" s="11"/>
      <c r="G282" s="11">
        <f>(T282/$B282)+(T282/('Optimal Choice'!$B$4*AO282))</f>
        <v>475.1392032</v>
      </c>
      <c r="H282" s="11">
        <f>(U282/$B282)+(U282/('Optimal Choice'!$B$9*AP282))</f>
        <v>491.9843219</v>
      </c>
      <c r="I282" s="11">
        <f>(V282/$B282)+(V282/('Optimal Choice'!$B$14*AQ282))</f>
        <v>512.0334271</v>
      </c>
      <c r="J282" s="11">
        <f>(W282/$B282)+(W282/('Optimal Choice'!$B$19*AR282))</f>
        <v>505.4241976</v>
      </c>
      <c r="K282" s="11">
        <f>(X282/$B282)+(X282/('Optimal Choice'!$B$24*AS282))</f>
        <v>470.0178028</v>
      </c>
      <c r="N282" s="12">
        <f t="shared" ref="N282:R282" si="840">if(min($G281:$K281)=G281,N281+1,N281)</f>
        <v>135</v>
      </c>
      <c r="O282" s="12">
        <f t="shared" si="840"/>
        <v>47</v>
      </c>
      <c r="P282" s="12">
        <f t="shared" si="840"/>
        <v>43</v>
      </c>
      <c r="Q282" s="12">
        <f t="shared" si="840"/>
        <v>37</v>
      </c>
      <c r="R282" s="12">
        <f t="shared" si="840"/>
        <v>19</v>
      </c>
      <c r="T282" s="13">
        <f> 'Optimal Choice'!$B$5*'Optimal Choice'!$B$6^(N282+1)</f>
        <v>39650.96456</v>
      </c>
      <c r="U282" s="13">
        <f> 'Optimal Choice'!$B$10*'Optimal Choice'!$B$11^(O282+1)</f>
        <v>49164.04272</v>
      </c>
      <c r="V282" s="13">
        <f> 'Optimal Choice'!$B$15*'Optimal Choice'!$B$16^(P282+1)</f>
        <v>229692.0454</v>
      </c>
      <c r="W282" s="13">
        <f> 'Optimal Choice'!$B$20*'Optimal Choice'!$B$21^(Q282+1)</f>
        <v>898451.4105</v>
      </c>
      <c r="X282" s="13">
        <f> 'Optimal Choice'!$B$25*'Optimal Choice'!$B$26^(R282+1)</f>
        <v>1000127.668</v>
      </c>
      <c r="AA282" s="12">
        <f t="shared" ref="AA282:AE282" si="841">if(isna(VLOOKUP(N282,$D$2:$E$10,2,false)),AA281, VLOOKUP(N282,$D$2:$E$10,2,false))</f>
        <v>50</v>
      </c>
      <c r="AB282" s="12">
        <f t="shared" si="841"/>
        <v>5</v>
      </c>
      <c r="AC282" s="12">
        <f t="shared" si="841"/>
        <v>5</v>
      </c>
      <c r="AD282" s="12">
        <f t="shared" si="841"/>
        <v>5</v>
      </c>
      <c r="AE282" s="15">
        <f t="shared" si="841"/>
        <v>1</v>
      </c>
      <c r="AH282" s="15">
        <f>N282*'Optimal Choice'!$B$4*AA282</f>
        <v>11272.5</v>
      </c>
      <c r="AI282" s="15">
        <f>O282*'Optimal Choice'!$B$9*AB282</f>
        <v>4700</v>
      </c>
      <c r="AJ282" s="15">
        <f>P282*'Optimal Choice'!$B$14*AC282</f>
        <v>19350</v>
      </c>
      <c r="AK282" s="15">
        <f>Q282*'Optimal Choice'!$B$19*AD282</f>
        <v>66600</v>
      </c>
      <c r="AL282" s="15">
        <f>R282*'Optimal Choice'!$B$24*AE282</f>
        <v>41040</v>
      </c>
      <c r="AO282" s="12">
        <f t="shared" ref="AO282:AS282" si="842">if(isna(VLOOKUP(N282+1,$D$2:$E$10,2,false)),AO281, VLOOKUP(N282+1,$D$2:$E$10,2,false))</f>
        <v>50</v>
      </c>
      <c r="AP282" s="12">
        <f t="shared" si="842"/>
        <v>5</v>
      </c>
      <c r="AQ282" s="12">
        <f t="shared" si="842"/>
        <v>5</v>
      </c>
      <c r="AR282" s="12">
        <f t="shared" si="842"/>
        <v>5</v>
      </c>
      <c r="AS282" s="15">
        <f t="shared" si="842"/>
        <v>1</v>
      </c>
      <c r="AU282" s="11">
        <f t="shared" si="8"/>
        <v>0.09387405104</v>
      </c>
    </row>
    <row r="283" ht="15.75" customHeight="1">
      <c r="A283" s="16">
        <f t="shared" si="4"/>
        <v>5.728275071</v>
      </c>
      <c r="B283" s="7">
        <f>(sum(AH283:AL283))*'Optimal Choice'!$B$28</f>
        <v>145122.5</v>
      </c>
      <c r="C283" s="11"/>
      <c r="D283" s="12"/>
      <c r="E283" s="12"/>
      <c r="F283" s="11"/>
      <c r="G283" s="11">
        <f>(T283/$B283)+(T283/('Optimal Choice'!$B$4*AO283))</f>
        <v>475.1350751</v>
      </c>
      <c r="H283" s="11">
        <f>(U283/$B283)+(U283/('Optimal Choice'!$B$9*AP283))</f>
        <v>491.9792033</v>
      </c>
      <c r="I283" s="11">
        <f>(V283/$B283)+(V283/('Optimal Choice'!$B$14*AQ283))</f>
        <v>512.0095136</v>
      </c>
      <c r="J283" s="11">
        <f>(W283/$B283)+(W283/('Optimal Choice'!$B$19*AR283))</f>
        <v>505.3306588</v>
      </c>
      <c r="K283" s="11">
        <f>(X283/$B283)+(X283/('Optimal Choice'!$B$24*AS283))</f>
        <v>526.3033199</v>
      </c>
      <c r="N283" s="12">
        <f t="shared" ref="N283:R283" si="843">if(min($G282:$K282)=G282,N282+1,N282)</f>
        <v>135</v>
      </c>
      <c r="O283" s="12">
        <f t="shared" si="843"/>
        <v>47</v>
      </c>
      <c r="P283" s="12">
        <f t="shared" si="843"/>
        <v>43</v>
      </c>
      <c r="Q283" s="12">
        <f t="shared" si="843"/>
        <v>37</v>
      </c>
      <c r="R283" s="12">
        <f t="shared" si="843"/>
        <v>20</v>
      </c>
      <c r="T283" s="13">
        <f> 'Optimal Choice'!$B$5*'Optimal Choice'!$B$6^(N283+1)</f>
        <v>39650.96456</v>
      </c>
      <c r="U283" s="13">
        <f> 'Optimal Choice'!$B$10*'Optimal Choice'!$B$11^(O283+1)</f>
        <v>49164.04272</v>
      </c>
      <c r="V283" s="13">
        <f> 'Optimal Choice'!$B$15*'Optimal Choice'!$B$16^(P283+1)</f>
        <v>229692.0454</v>
      </c>
      <c r="W283" s="13">
        <f> 'Optimal Choice'!$B$20*'Optimal Choice'!$B$21^(Q283+1)</f>
        <v>898451.4105</v>
      </c>
      <c r="X283" s="13">
        <f> 'Optimal Choice'!$B$25*'Optimal Choice'!$B$26^(R283+1)</f>
        <v>1120142.988</v>
      </c>
      <c r="AA283" s="12">
        <f t="shared" ref="AA283:AE283" si="844">if(isna(VLOOKUP(N283,$D$2:$E$10,2,false)),AA282, VLOOKUP(N283,$D$2:$E$10,2,false))</f>
        <v>50</v>
      </c>
      <c r="AB283" s="12">
        <f t="shared" si="844"/>
        <v>5</v>
      </c>
      <c r="AC283" s="12">
        <f t="shared" si="844"/>
        <v>5</v>
      </c>
      <c r="AD283" s="12">
        <f t="shared" si="844"/>
        <v>5</v>
      </c>
      <c r="AE283" s="15">
        <f t="shared" si="844"/>
        <v>1</v>
      </c>
      <c r="AH283" s="15">
        <f>N283*'Optimal Choice'!$B$4*AA283</f>
        <v>11272.5</v>
      </c>
      <c r="AI283" s="15">
        <f>O283*'Optimal Choice'!$B$9*AB283</f>
        <v>4700</v>
      </c>
      <c r="AJ283" s="15">
        <f>P283*'Optimal Choice'!$B$14*AC283</f>
        <v>19350</v>
      </c>
      <c r="AK283" s="15">
        <f>Q283*'Optimal Choice'!$B$19*AD283</f>
        <v>66600</v>
      </c>
      <c r="AL283" s="15">
        <f>R283*'Optimal Choice'!$B$24*AE283</f>
        <v>43200</v>
      </c>
      <c r="AO283" s="12">
        <f t="shared" ref="AO283:AS283" si="845">if(isna(VLOOKUP(N283+1,$D$2:$E$10,2,false)),AO282, VLOOKUP(N283+1,$D$2:$E$10,2,false))</f>
        <v>50</v>
      </c>
      <c r="AP283" s="12">
        <f t="shared" si="845"/>
        <v>5</v>
      </c>
      <c r="AQ283" s="12">
        <f t="shared" si="845"/>
        <v>5</v>
      </c>
      <c r="AR283" s="12">
        <f t="shared" si="845"/>
        <v>5</v>
      </c>
      <c r="AS283" s="15">
        <f t="shared" si="845"/>
        <v>1</v>
      </c>
      <c r="AU283" s="11">
        <f t="shared" si="8"/>
        <v>0.116595572</v>
      </c>
    </row>
    <row r="284" ht="15.75" customHeight="1">
      <c r="A284" s="16">
        <f t="shared" si="4"/>
        <v>5.732828806</v>
      </c>
      <c r="B284" s="7">
        <f>(sum(AH284:AL284))*'Optimal Choice'!$B$28</f>
        <v>145206</v>
      </c>
      <c r="C284" s="11"/>
      <c r="D284" s="12"/>
      <c r="E284" s="12"/>
      <c r="F284" s="11"/>
      <c r="G284" s="11">
        <f>(T284/$B284)+(T284/('Optimal Choice'!$B$4*AO284))</f>
        <v>508.3943622</v>
      </c>
      <c r="H284" s="11">
        <f>(U284/$B284)+(U284/('Optimal Choice'!$B$9*AP284))</f>
        <v>491.9790085</v>
      </c>
      <c r="I284" s="11">
        <f>(V284/$B284)+(V284/('Optimal Choice'!$B$14*AQ284))</f>
        <v>512.0086034</v>
      </c>
      <c r="J284" s="11">
        <f>(W284/$B284)+(W284/('Optimal Choice'!$B$19*AR284))</f>
        <v>505.3270987</v>
      </c>
      <c r="K284" s="11">
        <f>(X284/$B284)+(X284/('Optimal Choice'!$B$24*AS284))</f>
        <v>526.2988813</v>
      </c>
      <c r="N284" s="12">
        <f t="shared" ref="N284:R284" si="846">if(min($G283:$K283)=G283,N283+1,N283)</f>
        <v>136</v>
      </c>
      <c r="O284" s="12">
        <f t="shared" si="846"/>
        <v>47</v>
      </c>
      <c r="P284" s="12">
        <f t="shared" si="846"/>
        <v>43</v>
      </c>
      <c r="Q284" s="12">
        <f t="shared" si="846"/>
        <v>37</v>
      </c>
      <c r="R284" s="12">
        <f t="shared" si="846"/>
        <v>20</v>
      </c>
      <c r="T284" s="13">
        <f> 'Optimal Choice'!$B$5*'Optimal Choice'!$B$6^(N284+1)</f>
        <v>42426.53208</v>
      </c>
      <c r="U284" s="13">
        <f> 'Optimal Choice'!$B$10*'Optimal Choice'!$B$11^(O284+1)</f>
        <v>49164.04272</v>
      </c>
      <c r="V284" s="13">
        <f> 'Optimal Choice'!$B$15*'Optimal Choice'!$B$16^(P284+1)</f>
        <v>229692.0454</v>
      </c>
      <c r="W284" s="13">
        <f> 'Optimal Choice'!$B$20*'Optimal Choice'!$B$21^(Q284+1)</f>
        <v>898451.4105</v>
      </c>
      <c r="X284" s="13">
        <f> 'Optimal Choice'!$B$25*'Optimal Choice'!$B$26^(R284+1)</f>
        <v>1120142.988</v>
      </c>
      <c r="AA284" s="12">
        <f t="shared" ref="AA284:AE284" si="847">if(isna(VLOOKUP(N284,$D$2:$E$10,2,false)),AA283, VLOOKUP(N284,$D$2:$E$10,2,false))</f>
        <v>50</v>
      </c>
      <c r="AB284" s="12">
        <f t="shared" si="847"/>
        <v>5</v>
      </c>
      <c r="AC284" s="12">
        <f t="shared" si="847"/>
        <v>5</v>
      </c>
      <c r="AD284" s="12">
        <f t="shared" si="847"/>
        <v>5</v>
      </c>
      <c r="AE284" s="15">
        <f t="shared" si="847"/>
        <v>1</v>
      </c>
      <c r="AH284" s="15">
        <f>N284*'Optimal Choice'!$B$4*AA284</f>
        <v>11356</v>
      </c>
      <c r="AI284" s="15">
        <f>O284*'Optimal Choice'!$B$9*AB284</f>
        <v>4700</v>
      </c>
      <c r="AJ284" s="15">
        <f>P284*'Optimal Choice'!$B$14*AC284</f>
        <v>19350</v>
      </c>
      <c r="AK284" s="15">
        <f>Q284*'Optimal Choice'!$B$19*AD284</f>
        <v>66600</v>
      </c>
      <c r="AL284" s="15">
        <f>R284*'Optimal Choice'!$B$24*AE284</f>
        <v>43200</v>
      </c>
      <c r="AO284" s="12">
        <f t="shared" ref="AO284:AS284" si="848">if(isna(VLOOKUP(N284+1,$D$2:$E$10,2,false)),AO283, VLOOKUP(N284+1,$D$2:$E$10,2,false))</f>
        <v>50</v>
      </c>
      <c r="AP284" s="12">
        <f t="shared" si="848"/>
        <v>5</v>
      </c>
      <c r="AQ284" s="12">
        <f t="shared" si="848"/>
        <v>5</v>
      </c>
      <c r="AR284" s="12">
        <f t="shared" si="848"/>
        <v>5</v>
      </c>
      <c r="AS284" s="15">
        <f t="shared" si="848"/>
        <v>1</v>
      </c>
      <c r="AU284" s="11">
        <f t="shared" si="8"/>
        <v>0.004553735012</v>
      </c>
    </row>
    <row r="285" ht="15.75" customHeight="1">
      <c r="A285" s="16">
        <f t="shared" si="4"/>
        <v>5.738471828</v>
      </c>
      <c r="B285" s="7">
        <f>(sum(AH285:AL285))*'Optimal Choice'!$B$28</f>
        <v>145306</v>
      </c>
      <c r="C285" s="11"/>
      <c r="D285" s="12"/>
      <c r="E285" s="12"/>
      <c r="F285" s="11"/>
      <c r="G285" s="11">
        <f>(T285/$B285)+(T285/('Optimal Choice'!$B$4*AO285))</f>
        <v>508.3941611</v>
      </c>
      <c r="H285" s="11">
        <f>(U285/$B285)+(U285/('Optimal Choice'!$B$9*AP285))</f>
        <v>565.7755918</v>
      </c>
      <c r="I285" s="11">
        <f>(V285/$B285)+(V285/('Optimal Choice'!$B$14*AQ285))</f>
        <v>512.0075148</v>
      </c>
      <c r="J285" s="11">
        <f>(W285/$B285)+(W285/('Optimal Choice'!$B$19*AR285))</f>
        <v>505.3228405</v>
      </c>
      <c r="K285" s="11">
        <f>(X285/$B285)+(X285/('Optimal Choice'!$B$24*AS285))</f>
        <v>526.2935724</v>
      </c>
      <c r="N285" s="12">
        <f t="shared" ref="N285:R285" si="849">if(min($G284:$K284)=G284,N284+1,N284)</f>
        <v>136</v>
      </c>
      <c r="O285" s="12">
        <f t="shared" si="849"/>
        <v>48</v>
      </c>
      <c r="P285" s="12">
        <f t="shared" si="849"/>
        <v>43</v>
      </c>
      <c r="Q285" s="12">
        <f t="shared" si="849"/>
        <v>37</v>
      </c>
      <c r="R285" s="12">
        <f t="shared" si="849"/>
        <v>20</v>
      </c>
      <c r="T285" s="13">
        <f> 'Optimal Choice'!$B$5*'Optimal Choice'!$B$6^(N285+1)</f>
        <v>42426.53208</v>
      </c>
      <c r="U285" s="13">
        <f> 'Optimal Choice'!$B$10*'Optimal Choice'!$B$11^(O285+1)</f>
        <v>56538.64913</v>
      </c>
      <c r="V285" s="13">
        <f> 'Optimal Choice'!$B$15*'Optimal Choice'!$B$16^(P285+1)</f>
        <v>229692.0454</v>
      </c>
      <c r="W285" s="13">
        <f> 'Optimal Choice'!$B$20*'Optimal Choice'!$B$21^(Q285+1)</f>
        <v>898451.4105</v>
      </c>
      <c r="X285" s="13">
        <f> 'Optimal Choice'!$B$25*'Optimal Choice'!$B$26^(R285+1)</f>
        <v>1120142.988</v>
      </c>
      <c r="AA285" s="12">
        <f t="shared" ref="AA285:AE285" si="850">if(isna(VLOOKUP(N285,$D$2:$E$10,2,false)),AA284, VLOOKUP(N285,$D$2:$E$10,2,false))</f>
        <v>50</v>
      </c>
      <c r="AB285" s="12">
        <f t="shared" si="850"/>
        <v>5</v>
      </c>
      <c r="AC285" s="12">
        <f t="shared" si="850"/>
        <v>5</v>
      </c>
      <c r="AD285" s="12">
        <f t="shared" si="850"/>
        <v>5</v>
      </c>
      <c r="AE285" s="15">
        <f t="shared" si="850"/>
        <v>1</v>
      </c>
      <c r="AH285" s="15">
        <f>N285*'Optimal Choice'!$B$4*AA285</f>
        <v>11356</v>
      </c>
      <c r="AI285" s="15">
        <f>O285*'Optimal Choice'!$B$9*AB285</f>
        <v>4800</v>
      </c>
      <c r="AJ285" s="15">
        <f>P285*'Optimal Choice'!$B$14*AC285</f>
        <v>19350</v>
      </c>
      <c r="AK285" s="15">
        <f>Q285*'Optimal Choice'!$B$19*AD285</f>
        <v>66600</v>
      </c>
      <c r="AL285" s="15">
        <f>R285*'Optimal Choice'!$B$24*AE285</f>
        <v>43200</v>
      </c>
      <c r="AO285" s="12">
        <f t="shared" ref="AO285:AS285" si="851">if(isna(VLOOKUP(N285+1,$D$2:$E$10,2,false)),AO284, VLOOKUP(N285+1,$D$2:$E$10,2,false))</f>
        <v>50</v>
      </c>
      <c r="AP285" s="12">
        <f t="shared" si="851"/>
        <v>5</v>
      </c>
      <c r="AQ285" s="12">
        <f t="shared" si="851"/>
        <v>5</v>
      </c>
      <c r="AR285" s="12">
        <f t="shared" si="851"/>
        <v>5</v>
      </c>
      <c r="AS285" s="15">
        <f t="shared" si="851"/>
        <v>1</v>
      </c>
      <c r="AU285" s="11">
        <f t="shared" si="8"/>
        <v>0.005643022409</v>
      </c>
    </row>
    <row r="286" ht="15.75" customHeight="1">
      <c r="A286" s="16">
        <f t="shared" si="4"/>
        <v>5.841524628</v>
      </c>
      <c r="B286" s="7">
        <f>(sum(AH286:AL286))*'Optimal Choice'!$B$28</f>
        <v>147106</v>
      </c>
      <c r="C286" s="11"/>
      <c r="D286" s="12"/>
      <c r="E286" s="12"/>
      <c r="F286" s="11"/>
      <c r="G286" s="11">
        <f>(T286/$B286)+(T286/('Optimal Choice'!$B$4*AO286))</f>
        <v>508.3905885</v>
      </c>
      <c r="H286" s="11">
        <f>(U286/$B286)+(U286/('Optimal Choice'!$B$9*AP286))</f>
        <v>565.7708308</v>
      </c>
      <c r="I286" s="11">
        <f>(V286/$B286)+(V286/('Optimal Choice'!$B$14*AQ286))</f>
        <v>511.9881727</v>
      </c>
      <c r="J286" s="11">
        <f>(W286/$B286)+(W286/('Optimal Choice'!$B$19*AR286))</f>
        <v>570.9293166</v>
      </c>
      <c r="K286" s="11">
        <f>(X286/$B286)+(X286/('Optimal Choice'!$B$24*AS286))</f>
        <v>526.1992463</v>
      </c>
      <c r="N286" s="12">
        <f t="shared" ref="N286:R286" si="852">if(min($G285:$K285)=G285,N285+1,N285)</f>
        <v>136</v>
      </c>
      <c r="O286" s="12">
        <f t="shared" si="852"/>
        <v>48</v>
      </c>
      <c r="P286" s="12">
        <f t="shared" si="852"/>
        <v>43</v>
      </c>
      <c r="Q286" s="12">
        <f t="shared" si="852"/>
        <v>38</v>
      </c>
      <c r="R286" s="12">
        <f t="shared" si="852"/>
        <v>20</v>
      </c>
      <c r="T286" s="13">
        <f> 'Optimal Choice'!$B$5*'Optimal Choice'!$B$6^(N286+1)</f>
        <v>42426.53208</v>
      </c>
      <c r="U286" s="13">
        <f> 'Optimal Choice'!$B$10*'Optimal Choice'!$B$11^(O286+1)</f>
        <v>56538.64913</v>
      </c>
      <c r="V286" s="13">
        <f> 'Optimal Choice'!$B$15*'Optimal Choice'!$B$16^(P286+1)</f>
        <v>229692.0454</v>
      </c>
      <c r="W286" s="13">
        <f> 'Optimal Choice'!$B$20*'Optimal Choice'!$B$21^(Q286+1)</f>
        <v>1015250.094</v>
      </c>
      <c r="X286" s="13">
        <f> 'Optimal Choice'!$B$25*'Optimal Choice'!$B$26^(R286+1)</f>
        <v>1120142.988</v>
      </c>
      <c r="AA286" s="12">
        <f t="shared" ref="AA286:AE286" si="853">if(isna(VLOOKUP(N286,$D$2:$E$10,2,false)),AA285, VLOOKUP(N286,$D$2:$E$10,2,false))</f>
        <v>50</v>
      </c>
      <c r="AB286" s="12">
        <f t="shared" si="853"/>
        <v>5</v>
      </c>
      <c r="AC286" s="12">
        <f t="shared" si="853"/>
        <v>5</v>
      </c>
      <c r="AD286" s="12">
        <f t="shared" si="853"/>
        <v>5</v>
      </c>
      <c r="AE286" s="15">
        <f t="shared" si="853"/>
        <v>1</v>
      </c>
      <c r="AH286" s="15">
        <f>N286*'Optimal Choice'!$B$4*AA286</f>
        <v>11356</v>
      </c>
      <c r="AI286" s="15">
        <f>O286*'Optimal Choice'!$B$9*AB286</f>
        <v>4800</v>
      </c>
      <c r="AJ286" s="15">
        <f>P286*'Optimal Choice'!$B$14*AC286</f>
        <v>19350</v>
      </c>
      <c r="AK286" s="15">
        <f>Q286*'Optimal Choice'!$B$19*AD286</f>
        <v>68400</v>
      </c>
      <c r="AL286" s="15">
        <f>R286*'Optimal Choice'!$B$24*AE286</f>
        <v>43200</v>
      </c>
      <c r="AO286" s="12">
        <f t="shared" ref="AO286:AS286" si="854">if(isna(VLOOKUP(N286+1,$D$2:$E$10,2,false)),AO285, VLOOKUP(N286+1,$D$2:$E$10,2,false))</f>
        <v>50</v>
      </c>
      <c r="AP286" s="12">
        <f t="shared" si="854"/>
        <v>5</v>
      </c>
      <c r="AQ286" s="12">
        <f t="shared" si="854"/>
        <v>5</v>
      </c>
      <c r="AR286" s="12">
        <f t="shared" si="854"/>
        <v>5</v>
      </c>
      <c r="AS286" s="15">
        <f t="shared" si="854"/>
        <v>1</v>
      </c>
      <c r="AU286" s="11">
        <f t="shared" si="8"/>
        <v>0.1030528001</v>
      </c>
    </row>
    <row r="287" ht="15.75" customHeight="1">
      <c r="A287" s="16">
        <f t="shared" si="4"/>
        <v>5.846331426</v>
      </c>
      <c r="B287" s="7">
        <f>(sum(AH287:AL287))*'Optimal Choice'!$B$28</f>
        <v>147189.5</v>
      </c>
      <c r="C287" s="11"/>
      <c r="D287" s="12"/>
      <c r="E287" s="12"/>
      <c r="F287" s="11"/>
      <c r="G287" s="11">
        <f>(T287/$B287)+(T287/('Optimal Choice'!$B$4*AO287))</f>
        <v>543.9777546</v>
      </c>
      <c r="H287" s="11">
        <f>(U287/$B287)+(U287/('Optimal Choice'!$B$9*AP287))</f>
        <v>565.7706127</v>
      </c>
      <c r="I287" s="11">
        <f>(V287/$B287)+(V287/('Optimal Choice'!$B$14*AQ287))</f>
        <v>511.9872869</v>
      </c>
      <c r="J287" s="11">
        <f>(W287/$B287)+(W287/('Optimal Choice'!$B$19*AR287))</f>
        <v>570.9254014</v>
      </c>
      <c r="K287" s="11">
        <f>(X287/$B287)+(X287/('Optimal Choice'!$B$24*AS287))</f>
        <v>526.1949266</v>
      </c>
      <c r="N287" s="12">
        <f t="shared" ref="N287:R287" si="855">if(min($G286:$K286)=G286,N286+1,N286)</f>
        <v>137</v>
      </c>
      <c r="O287" s="12">
        <f t="shared" si="855"/>
        <v>48</v>
      </c>
      <c r="P287" s="12">
        <f t="shared" si="855"/>
        <v>43</v>
      </c>
      <c r="Q287" s="12">
        <f t="shared" si="855"/>
        <v>38</v>
      </c>
      <c r="R287" s="12">
        <f t="shared" si="855"/>
        <v>20</v>
      </c>
      <c r="T287" s="13">
        <f> 'Optimal Choice'!$B$5*'Optimal Choice'!$B$6^(N287+1)</f>
        <v>45396.38932</v>
      </c>
      <c r="U287" s="13">
        <f> 'Optimal Choice'!$B$10*'Optimal Choice'!$B$11^(O287+1)</f>
        <v>56538.64913</v>
      </c>
      <c r="V287" s="13">
        <f> 'Optimal Choice'!$B$15*'Optimal Choice'!$B$16^(P287+1)</f>
        <v>229692.0454</v>
      </c>
      <c r="W287" s="13">
        <f> 'Optimal Choice'!$B$20*'Optimal Choice'!$B$21^(Q287+1)</f>
        <v>1015250.094</v>
      </c>
      <c r="X287" s="13">
        <f> 'Optimal Choice'!$B$25*'Optimal Choice'!$B$26^(R287+1)</f>
        <v>1120142.988</v>
      </c>
      <c r="AA287" s="12">
        <f t="shared" ref="AA287:AE287" si="856">if(isna(VLOOKUP(N287,$D$2:$E$10,2,false)),AA286, VLOOKUP(N287,$D$2:$E$10,2,false))</f>
        <v>50</v>
      </c>
      <c r="AB287" s="12">
        <f t="shared" si="856"/>
        <v>5</v>
      </c>
      <c r="AC287" s="12">
        <f t="shared" si="856"/>
        <v>5</v>
      </c>
      <c r="AD287" s="12">
        <f t="shared" si="856"/>
        <v>5</v>
      </c>
      <c r="AE287" s="15">
        <f t="shared" si="856"/>
        <v>1</v>
      </c>
      <c r="AH287" s="15">
        <f>N287*'Optimal Choice'!$B$4*AA287</f>
        <v>11439.5</v>
      </c>
      <c r="AI287" s="15">
        <f>O287*'Optimal Choice'!$B$9*AB287</f>
        <v>4800</v>
      </c>
      <c r="AJ287" s="15">
        <f>P287*'Optimal Choice'!$B$14*AC287</f>
        <v>19350</v>
      </c>
      <c r="AK287" s="15">
        <f>Q287*'Optimal Choice'!$B$19*AD287</f>
        <v>68400</v>
      </c>
      <c r="AL287" s="15">
        <f>R287*'Optimal Choice'!$B$24*AE287</f>
        <v>43200</v>
      </c>
      <c r="AO287" s="12">
        <f t="shared" ref="AO287:AS287" si="857">if(isna(VLOOKUP(N287+1,$D$2:$E$10,2,false)),AO286, VLOOKUP(N287+1,$D$2:$E$10,2,false))</f>
        <v>50</v>
      </c>
      <c r="AP287" s="12">
        <f t="shared" si="857"/>
        <v>5</v>
      </c>
      <c r="AQ287" s="12">
        <f t="shared" si="857"/>
        <v>5</v>
      </c>
      <c r="AR287" s="12">
        <f t="shared" si="857"/>
        <v>5</v>
      </c>
      <c r="AS287" s="15">
        <f t="shared" si="857"/>
        <v>1</v>
      </c>
      <c r="AU287" s="11">
        <f t="shared" si="8"/>
        <v>0.004806798281</v>
      </c>
    </row>
    <row r="288" ht="15.75" customHeight="1">
      <c r="A288" s="16">
        <f t="shared" si="4"/>
        <v>5.87234008</v>
      </c>
      <c r="B288" s="7">
        <f>(sum(AH288:AL288))*'Optimal Choice'!$B$28</f>
        <v>147639.5</v>
      </c>
      <c r="C288" s="11"/>
      <c r="D288" s="12"/>
      <c r="E288" s="12"/>
      <c r="F288" s="11"/>
      <c r="G288" s="11">
        <f>(T288/$B288)+(T288/('Optimal Choice'!$B$4*AO288))</f>
        <v>543.9768145</v>
      </c>
      <c r="H288" s="11">
        <f>(U288/$B288)+(U288/('Optimal Choice'!$B$9*AP288))</f>
        <v>565.769442</v>
      </c>
      <c r="I288" s="11">
        <f>(V288/$B288)+(V288/('Optimal Choice'!$B$14*AQ288))</f>
        <v>583.6600848</v>
      </c>
      <c r="J288" s="11">
        <f>(W288/$B288)+(W288/('Optimal Choice'!$B$19*AR288))</f>
        <v>570.9043778</v>
      </c>
      <c r="K288" s="11">
        <f>(X288/$B288)+(X288/('Optimal Choice'!$B$24*AS288))</f>
        <v>526.1717309</v>
      </c>
      <c r="N288" s="12">
        <f t="shared" ref="N288:R288" si="858">if(min($G287:$K287)=G287,N287+1,N287)</f>
        <v>137</v>
      </c>
      <c r="O288" s="12">
        <f t="shared" si="858"/>
        <v>48</v>
      </c>
      <c r="P288" s="12">
        <f t="shared" si="858"/>
        <v>44</v>
      </c>
      <c r="Q288" s="12">
        <f t="shared" si="858"/>
        <v>38</v>
      </c>
      <c r="R288" s="12">
        <f t="shared" si="858"/>
        <v>20</v>
      </c>
      <c r="T288" s="13">
        <f> 'Optimal Choice'!$B$5*'Optimal Choice'!$B$6^(N288+1)</f>
        <v>45396.38932</v>
      </c>
      <c r="U288" s="13">
        <f> 'Optimal Choice'!$B$10*'Optimal Choice'!$B$11^(O288+1)</f>
        <v>56538.64913</v>
      </c>
      <c r="V288" s="13">
        <f> 'Optimal Choice'!$B$15*'Optimal Choice'!$B$16^(P288+1)</f>
        <v>261848.9318</v>
      </c>
      <c r="W288" s="13">
        <f> 'Optimal Choice'!$B$20*'Optimal Choice'!$B$21^(Q288+1)</f>
        <v>1015250.094</v>
      </c>
      <c r="X288" s="13">
        <f> 'Optimal Choice'!$B$25*'Optimal Choice'!$B$26^(R288+1)</f>
        <v>1120142.988</v>
      </c>
      <c r="AA288" s="12">
        <f t="shared" ref="AA288:AE288" si="859">if(isna(VLOOKUP(N288,$D$2:$E$10,2,false)),AA287, VLOOKUP(N288,$D$2:$E$10,2,false))</f>
        <v>50</v>
      </c>
      <c r="AB288" s="12">
        <f t="shared" si="859"/>
        <v>5</v>
      </c>
      <c r="AC288" s="12">
        <f t="shared" si="859"/>
        <v>5</v>
      </c>
      <c r="AD288" s="12">
        <f t="shared" si="859"/>
        <v>5</v>
      </c>
      <c r="AE288" s="15">
        <f t="shared" si="859"/>
        <v>1</v>
      </c>
      <c r="AH288" s="15">
        <f>N288*'Optimal Choice'!$B$4*AA288</f>
        <v>11439.5</v>
      </c>
      <c r="AI288" s="15">
        <f>O288*'Optimal Choice'!$B$9*AB288</f>
        <v>4800</v>
      </c>
      <c r="AJ288" s="15">
        <f>P288*'Optimal Choice'!$B$14*AC288</f>
        <v>19800</v>
      </c>
      <c r="AK288" s="15">
        <f>Q288*'Optimal Choice'!$B$19*AD288</f>
        <v>68400</v>
      </c>
      <c r="AL288" s="15">
        <f>R288*'Optimal Choice'!$B$24*AE288</f>
        <v>43200</v>
      </c>
      <c r="AO288" s="12">
        <f t="shared" ref="AO288:AS288" si="860">if(isna(VLOOKUP(N288+1,$D$2:$E$10,2,false)),AO287, VLOOKUP(N288+1,$D$2:$E$10,2,false))</f>
        <v>50</v>
      </c>
      <c r="AP288" s="12">
        <f t="shared" si="860"/>
        <v>5</v>
      </c>
      <c r="AQ288" s="12">
        <f t="shared" si="860"/>
        <v>5</v>
      </c>
      <c r="AR288" s="12">
        <f t="shared" si="860"/>
        <v>5</v>
      </c>
      <c r="AS288" s="15">
        <f t="shared" si="860"/>
        <v>1</v>
      </c>
      <c r="AU288" s="11">
        <f t="shared" si="8"/>
        <v>0.02600865386</v>
      </c>
    </row>
    <row r="289" ht="15.75" customHeight="1">
      <c r="A289" s="16">
        <f t="shared" si="4"/>
        <v>5.998790318</v>
      </c>
      <c r="B289" s="7">
        <f>(sum(AH289:AL289))*'Optimal Choice'!$B$28</f>
        <v>149799.5</v>
      </c>
      <c r="C289" s="11"/>
      <c r="D289" s="12"/>
      <c r="E289" s="12"/>
      <c r="F289" s="11"/>
      <c r="G289" s="11">
        <f>(T289/$B289)+(T289/('Optimal Choice'!$B$4*AO289))</f>
        <v>543.9723809</v>
      </c>
      <c r="H289" s="11">
        <f>(U289/$B289)+(U289/('Optimal Choice'!$B$9*AP289))</f>
        <v>565.7639201</v>
      </c>
      <c r="I289" s="11">
        <f>(V289/$B289)+(V289/('Optimal Choice'!$B$14*AQ289))</f>
        <v>583.6345112</v>
      </c>
      <c r="J289" s="11">
        <f>(W289/$B289)+(W289/('Optimal Choice'!$B$19*AR289))</f>
        <v>570.805223</v>
      </c>
      <c r="K289" s="11">
        <f>(X289/$B289)+(X289/('Optimal Choice'!$B$24*AS289))</f>
        <v>589.1898115</v>
      </c>
      <c r="N289" s="12">
        <f t="shared" ref="N289:R289" si="861">if(min($G288:$K288)=G288,N288+1,N288)</f>
        <v>137</v>
      </c>
      <c r="O289" s="12">
        <f t="shared" si="861"/>
        <v>48</v>
      </c>
      <c r="P289" s="12">
        <f t="shared" si="861"/>
        <v>44</v>
      </c>
      <c r="Q289" s="12">
        <f t="shared" si="861"/>
        <v>38</v>
      </c>
      <c r="R289" s="12">
        <f t="shared" si="861"/>
        <v>21</v>
      </c>
      <c r="T289" s="13">
        <f> 'Optimal Choice'!$B$5*'Optimal Choice'!$B$6^(N289+1)</f>
        <v>45396.38932</v>
      </c>
      <c r="U289" s="13">
        <f> 'Optimal Choice'!$B$10*'Optimal Choice'!$B$11^(O289+1)</f>
        <v>56538.64913</v>
      </c>
      <c r="V289" s="13">
        <f> 'Optimal Choice'!$B$15*'Optimal Choice'!$B$16^(P289+1)</f>
        <v>261848.9318</v>
      </c>
      <c r="W289" s="13">
        <f> 'Optimal Choice'!$B$20*'Optimal Choice'!$B$21^(Q289+1)</f>
        <v>1015250.094</v>
      </c>
      <c r="X289" s="13">
        <f> 'Optimal Choice'!$B$25*'Optimal Choice'!$B$26^(R289+1)</f>
        <v>1254560.147</v>
      </c>
      <c r="AA289" s="12">
        <f t="shared" ref="AA289:AE289" si="862">if(isna(VLOOKUP(N289,$D$2:$E$10,2,false)),AA288, VLOOKUP(N289,$D$2:$E$10,2,false))</f>
        <v>50</v>
      </c>
      <c r="AB289" s="12">
        <f t="shared" si="862"/>
        <v>5</v>
      </c>
      <c r="AC289" s="12">
        <f t="shared" si="862"/>
        <v>5</v>
      </c>
      <c r="AD289" s="12">
        <f t="shared" si="862"/>
        <v>5</v>
      </c>
      <c r="AE289" s="15">
        <f t="shared" si="862"/>
        <v>1</v>
      </c>
      <c r="AH289" s="15">
        <f>N289*'Optimal Choice'!$B$4*AA289</f>
        <v>11439.5</v>
      </c>
      <c r="AI289" s="15">
        <f>O289*'Optimal Choice'!$B$9*AB289</f>
        <v>4800</v>
      </c>
      <c r="AJ289" s="15">
        <f>P289*'Optimal Choice'!$B$14*AC289</f>
        <v>19800</v>
      </c>
      <c r="AK289" s="15">
        <f>Q289*'Optimal Choice'!$B$19*AD289</f>
        <v>68400</v>
      </c>
      <c r="AL289" s="15">
        <f>R289*'Optimal Choice'!$B$24*AE289</f>
        <v>45360</v>
      </c>
      <c r="AO289" s="12">
        <f t="shared" ref="AO289:AS289" si="863">if(isna(VLOOKUP(N289+1,$D$2:$E$10,2,false)),AO288, VLOOKUP(N289+1,$D$2:$E$10,2,false))</f>
        <v>50</v>
      </c>
      <c r="AP289" s="12">
        <f t="shared" si="863"/>
        <v>5</v>
      </c>
      <c r="AQ289" s="12">
        <f t="shared" si="863"/>
        <v>5</v>
      </c>
      <c r="AR289" s="12">
        <f t="shared" si="863"/>
        <v>5</v>
      </c>
      <c r="AS289" s="15">
        <f t="shared" si="863"/>
        <v>1</v>
      </c>
      <c r="AU289" s="11">
        <f t="shared" si="8"/>
        <v>0.1264502372</v>
      </c>
    </row>
    <row r="290" ht="15.75" customHeight="1">
      <c r="A290" s="16">
        <f t="shared" si="4"/>
        <v>6.003841112</v>
      </c>
      <c r="B290" s="7">
        <f>(sum(AH290:AL290))*'Optimal Choice'!$B$28</f>
        <v>149883</v>
      </c>
      <c r="C290" s="11"/>
      <c r="D290" s="12"/>
      <c r="E290" s="12"/>
      <c r="F290" s="11"/>
      <c r="G290" s="11">
        <f>(T290/$B290)+(T290/('Optimal Choice'!$B$4*AO290))</f>
        <v>582.0502669</v>
      </c>
      <c r="H290" s="11">
        <f>(U290/$B290)+(U290/('Optimal Choice'!$B$9*AP290))</f>
        <v>565.7637098</v>
      </c>
      <c r="I290" s="11">
        <f>(V290/$B290)+(V290/('Optimal Choice'!$B$14*AQ290))</f>
        <v>583.6335374</v>
      </c>
      <c r="J290" s="11">
        <f>(W290/$B290)+(W290/('Optimal Choice'!$B$19*AR290))</f>
        <v>570.8014473</v>
      </c>
      <c r="K290" s="11">
        <f>(X290/$B290)+(X290/('Optimal Choice'!$B$24*AS290))</f>
        <v>589.1851458</v>
      </c>
      <c r="N290" s="12">
        <f t="shared" ref="N290:R290" si="864">if(min($G289:$K289)=G289,N289+1,N289)</f>
        <v>138</v>
      </c>
      <c r="O290" s="12">
        <f t="shared" si="864"/>
        <v>48</v>
      </c>
      <c r="P290" s="12">
        <f t="shared" si="864"/>
        <v>44</v>
      </c>
      <c r="Q290" s="12">
        <f t="shared" si="864"/>
        <v>38</v>
      </c>
      <c r="R290" s="12">
        <f t="shared" si="864"/>
        <v>21</v>
      </c>
      <c r="T290" s="13">
        <f> 'Optimal Choice'!$B$5*'Optimal Choice'!$B$6^(N290+1)</f>
        <v>48574.13657</v>
      </c>
      <c r="U290" s="13">
        <f> 'Optimal Choice'!$B$10*'Optimal Choice'!$B$11^(O290+1)</f>
        <v>56538.64913</v>
      </c>
      <c r="V290" s="13">
        <f> 'Optimal Choice'!$B$15*'Optimal Choice'!$B$16^(P290+1)</f>
        <v>261848.9318</v>
      </c>
      <c r="W290" s="13">
        <f> 'Optimal Choice'!$B$20*'Optimal Choice'!$B$21^(Q290+1)</f>
        <v>1015250.094</v>
      </c>
      <c r="X290" s="13">
        <f> 'Optimal Choice'!$B$25*'Optimal Choice'!$B$26^(R290+1)</f>
        <v>1254560.147</v>
      </c>
      <c r="AA290" s="12">
        <f t="shared" ref="AA290:AE290" si="865">if(isna(VLOOKUP(N290,$D$2:$E$10,2,false)),AA289, VLOOKUP(N290,$D$2:$E$10,2,false))</f>
        <v>50</v>
      </c>
      <c r="AB290" s="12">
        <f t="shared" si="865"/>
        <v>5</v>
      </c>
      <c r="AC290" s="12">
        <f t="shared" si="865"/>
        <v>5</v>
      </c>
      <c r="AD290" s="12">
        <f t="shared" si="865"/>
        <v>5</v>
      </c>
      <c r="AE290" s="15">
        <f t="shared" si="865"/>
        <v>1</v>
      </c>
      <c r="AH290" s="15">
        <f>N290*'Optimal Choice'!$B$4*AA290</f>
        <v>11523</v>
      </c>
      <c r="AI290" s="15">
        <f>O290*'Optimal Choice'!$B$9*AB290</f>
        <v>4800</v>
      </c>
      <c r="AJ290" s="15">
        <f>P290*'Optimal Choice'!$B$14*AC290</f>
        <v>19800</v>
      </c>
      <c r="AK290" s="15">
        <f>Q290*'Optimal Choice'!$B$19*AD290</f>
        <v>68400</v>
      </c>
      <c r="AL290" s="15">
        <f>R290*'Optimal Choice'!$B$24*AE290</f>
        <v>45360</v>
      </c>
      <c r="AO290" s="12">
        <f t="shared" ref="AO290:AS290" si="866">if(isna(VLOOKUP(N290+1,$D$2:$E$10,2,false)),AO289, VLOOKUP(N290+1,$D$2:$E$10,2,false))</f>
        <v>50</v>
      </c>
      <c r="AP290" s="12">
        <f t="shared" si="866"/>
        <v>5</v>
      </c>
      <c r="AQ290" s="12">
        <f t="shared" si="866"/>
        <v>5</v>
      </c>
      <c r="AR290" s="12">
        <f t="shared" si="866"/>
        <v>5</v>
      </c>
      <c r="AS290" s="15">
        <f t="shared" si="866"/>
        <v>1</v>
      </c>
      <c r="AU290" s="11">
        <f t="shared" si="8"/>
        <v>0.005050794487</v>
      </c>
    </row>
    <row r="291" ht="15.75" customHeight="1">
      <c r="A291" s="16">
        <f t="shared" si="4"/>
        <v>6.010128088</v>
      </c>
      <c r="B291" s="7">
        <f>(sum(AH291:AL291))*'Optimal Choice'!$B$28</f>
        <v>149983</v>
      </c>
      <c r="C291" s="11"/>
      <c r="D291" s="12"/>
      <c r="E291" s="12"/>
      <c r="F291" s="11"/>
      <c r="G291" s="11">
        <f>(T291/$B291)+(T291/('Optimal Choice'!$B$4*AO291))</f>
        <v>582.0500508</v>
      </c>
      <c r="H291" s="11">
        <f>(U291/$B291)+(U291/('Optimal Choice'!$B$9*AP291))</f>
        <v>130.4724051</v>
      </c>
      <c r="I291" s="11">
        <f>(V291/$B291)+(V291/('Optimal Choice'!$B$14*AQ291))</f>
        <v>583.6323725</v>
      </c>
      <c r="J291" s="11">
        <f>(W291/$B291)+(W291/('Optimal Choice'!$B$19*AR291))</f>
        <v>570.7969311</v>
      </c>
      <c r="K291" s="11">
        <f>(X291/$B291)+(X291/('Optimal Choice'!$B$24*AS291))</f>
        <v>589.179565</v>
      </c>
      <c r="N291" s="12">
        <f t="shared" ref="N291:R291" si="867">if(min($G290:$K290)=G290,N290+1,N290)</f>
        <v>138</v>
      </c>
      <c r="O291" s="12">
        <f t="shared" si="867"/>
        <v>49</v>
      </c>
      <c r="P291" s="12">
        <f t="shared" si="867"/>
        <v>44</v>
      </c>
      <c r="Q291" s="12">
        <f t="shared" si="867"/>
        <v>38</v>
      </c>
      <c r="R291" s="12">
        <f t="shared" si="867"/>
        <v>21</v>
      </c>
      <c r="T291" s="13">
        <f> 'Optimal Choice'!$B$5*'Optimal Choice'!$B$6^(N291+1)</f>
        <v>48574.13657</v>
      </c>
      <c r="U291" s="13">
        <f> 'Optimal Choice'!$B$10*'Optimal Choice'!$B$11^(O291+1)</f>
        <v>65019.4465</v>
      </c>
      <c r="V291" s="13">
        <f> 'Optimal Choice'!$B$15*'Optimal Choice'!$B$16^(P291+1)</f>
        <v>261848.9318</v>
      </c>
      <c r="W291" s="13">
        <f> 'Optimal Choice'!$B$20*'Optimal Choice'!$B$21^(Q291+1)</f>
        <v>1015250.094</v>
      </c>
      <c r="X291" s="13">
        <f> 'Optimal Choice'!$B$25*'Optimal Choice'!$B$26^(R291+1)</f>
        <v>1254560.147</v>
      </c>
      <c r="AA291" s="12">
        <f t="shared" ref="AA291:AE291" si="868">if(isna(VLOOKUP(N291,$D$2:$E$10,2,false)),AA290, VLOOKUP(N291,$D$2:$E$10,2,false))</f>
        <v>50</v>
      </c>
      <c r="AB291" s="12">
        <f t="shared" si="868"/>
        <v>5</v>
      </c>
      <c r="AC291" s="12">
        <f t="shared" si="868"/>
        <v>5</v>
      </c>
      <c r="AD291" s="12">
        <f t="shared" si="868"/>
        <v>5</v>
      </c>
      <c r="AE291" s="15">
        <f t="shared" si="868"/>
        <v>1</v>
      </c>
      <c r="AH291" s="15">
        <f>N291*'Optimal Choice'!$B$4*AA291</f>
        <v>11523</v>
      </c>
      <c r="AI291" s="15">
        <f>O291*'Optimal Choice'!$B$9*AB291</f>
        <v>4900</v>
      </c>
      <c r="AJ291" s="15">
        <f>P291*'Optimal Choice'!$B$14*AC291</f>
        <v>19800</v>
      </c>
      <c r="AK291" s="15">
        <f>Q291*'Optimal Choice'!$B$19*AD291</f>
        <v>68400</v>
      </c>
      <c r="AL291" s="15">
        <f>R291*'Optimal Choice'!$B$24*AE291</f>
        <v>45360</v>
      </c>
      <c r="AO291" s="12">
        <f t="shared" ref="AO291:AS291" si="869">if(isna(VLOOKUP(N291+1,$D$2:$E$10,2,false)),AO290, VLOOKUP(N291+1,$D$2:$E$10,2,false))</f>
        <v>50</v>
      </c>
      <c r="AP291" s="12">
        <f t="shared" si="869"/>
        <v>25</v>
      </c>
      <c r="AQ291" s="12">
        <f t="shared" si="869"/>
        <v>5</v>
      </c>
      <c r="AR291" s="12">
        <f t="shared" si="869"/>
        <v>5</v>
      </c>
      <c r="AS291" s="15">
        <f t="shared" si="869"/>
        <v>1</v>
      </c>
      <c r="AU291" s="11">
        <f t="shared" si="8"/>
        <v>0.006286975966</v>
      </c>
    </row>
    <row r="292" ht="15.75" customHeight="1">
      <c r="A292" s="16">
        <f t="shared" si="4"/>
        <v>6.01735329</v>
      </c>
      <c r="B292" s="7">
        <f>(sum(AH292:AL292))*'Optimal Choice'!$B$28</f>
        <v>170083</v>
      </c>
      <c r="C292" s="11"/>
      <c r="D292" s="12"/>
      <c r="E292" s="12"/>
      <c r="F292" s="11"/>
      <c r="G292" s="11">
        <f>(T292/$B292)+(T292/('Optimal Choice'!$B$4*AO292))</f>
        <v>582.0117773</v>
      </c>
      <c r="H292" s="11">
        <f>(U292/$B292)+(U292/('Optimal Choice'!$B$9*AP292))</f>
        <v>149.9843497</v>
      </c>
      <c r="I292" s="11">
        <f>(V292/$B292)+(V292/('Optimal Choice'!$B$14*AQ292))</f>
        <v>583.4260513</v>
      </c>
      <c r="J292" s="11">
        <f>(W292/$B292)+(W292/('Optimal Choice'!$B$19*AR292))</f>
        <v>569.996975</v>
      </c>
      <c r="K292" s="11">
        <f>(X292/$B292)+(X292/('Optimal Choice'!$B$24*AS292))</f>
        <v>588.191047</v>
      </c>
      <c r="N292" s="12">
        <f t="shared" ref="N292:R292" si="870">if(min($G291:$K291)=G291,N291+1,N291)</f>
        <v>138</v>
      </c>
      <c r="O292" s="12">
        <f t="shared" si="870"/>
        <v>50</v>
      </c>
      <c r="P292" s="12">
        <f t="shared" si="870"/>
        <v>44</v>
      </c>
      <c r="Q292" s="12">
        <f t="shared" si="870"/>
        <v>38</v>
      </c>
      <c r="R292" s="12">
        <f t="shared" si="870"/>
        <v>21</v>
      </c>
      <c r="T292" s="13">
        <f> 'Optimal Choice'!$B$5*'Optimal Choice'!$B$6^(N292+1)</f>
        <v>48574.13657</v>
      </c>
      <c r="U292" s="13">
        <f> 'Optimal Choice'!$B$10*'Optimal Choice'!$B$11^(O292+1)</f>
        <v>74772.36347</v>
      </c>
      <c r="V292" s="13">
        <f> 'Optimal Choice'!$B$15*'Optimal Choice'!$B$16^(P292+1)</f>
        <v>261848.9318</v>
      </c>
      <c r="W292" s="13">
        <f> 'Optimal Choice'!$B$20*'Optimal Choice'!$B$21^(Q292+1)</f>
        <v>1015250.094</v>
      </c>
      <c r="X292" s="13">
        <f> 'Optimal Choice'!$B$25*'Optimal Choice'!$B$26^(R292+1)</f>
        <v>1254560.147</v>
      </c>
      <c r="AA292" s="12">
        <f t="shared" ref="AA292:AE292" si="871">if(isna(VLOOKUP(N292,$D$2:$E$10,2,false)),AA291, VLOOKUP(N292,$D$2:$E$10,2,false))</f>
        <v>50</v>
      </c>
      <c r="AB292" s="12">
        <f t="shared" si="871"/>
        <v>25</v>
      </c>
      <c r="AC292" s="12">
        <f t="shared" si="871"/>
        <v>5</v>
      </c>
      <c r="AD292" s="12">
        <f t="shared" si="871"/>
        <v>5</v>
      </c>
      <c r="AE292" s="15">
        <f t="shared" si="871"/>
        <v>1</v>
      </c>
      <c r="AH292" s="15">
        <f>N292*'Optimal Choice'!$B$4*AA292</f>
        <v>11523</v>
      </c>
      <c r="AI292" s="15">
        <f>O292*'Optimal Choice'!$B$9*AB292</f>
        <v>25000</v>
      </c>
      <c r="AJ292" s="15">
        <f>P292*'Optimal Choice'!$B$14*AC292</f>
        <v>19800</v>
      </c>
      <c r="AK292" s="15">
        <f>Q292*'Optimal Choice'!$B$19*AD292</f>
        <v>68400</v>
      </c>
      <c r="AL292" s="15">
        <f>R292*'Optimal Choice'!$B$24*AE292</f>
        <v>45360</v>
      </c>
      <c r="AO292" s="12">
        <f t="shared" ref="AO292:AS292" si="872">if(isna(VLOOKUP(N292+1,$D$2:$E$10,2,false)),AO291, VLOOKUP(N292+1,$D$2:$E$10,2,false))</f>
        <v>50</v>
      </c>
      <c r="AP292" s="12">
        <f t="shared" si="872"/>
        <v>25</v>
      </c>
      <c r="AQ292" s="12">
        <f t="shared" si="872"/>
        <v>5</v>
      </c>
      <c r="AR292" s="12">
        <f t="shared" si="872"/>
        <v>5</v>
      </c>
      <c r="AS292" s="15">
        <f t="shared" si="872"/>
        <v>1</v>
      </c>
      <c r="AU292" s="11">
        <f t="shared" si="8"/>
        <v>0.0072252018</v>
      </c>
    </row>
    <row r="293" ht="15.75" customHeight="1">
      <c r="A293" s="16">
        <f t="shared" si="4"/>
        <v>6.024680336</v>
      </c>
      <c r="B293" s="7">
        <f>(sum(AH293:AL293))*'Optimal Choice'!$B$28</f>
        <v>170583</v>
      </c>
      <c r="C293" s="11"/>
      <c r="D293" s="12"/>
      <c r="E293" s="12"/>
      <c r="F293" s="11"/>
      <c r="G293" s="11">
        <f>(T293/$B293)+(T293/('Optimal Choice'!$B$4*AO293))</f>
        <v>582.0109402</v>
      </c>
      <c r="H293" s="11">
        <f>(U293/$B293)+(U293/('Optimal Choice'!$B$9*AP293))</f>
        <v>172.4805203</v>
      </c>
      <c r="I293" s="11">
        <f>(V293/$B293)+(V293/('Optimal Choice'!$B$14*AQ293))</f>
        <v>583.4215387</v>
      </c>
      <c r="J293" s="11">
        <f>(W293/$B293)+(W293/('Optimal Choice'!$B$19*AR293))</f>
        <v>569.9794787</v>
      </c>
      <c r="K293" s="11">
        <f>(X293/$B293)+(X293/('Optimal Choice'!$B$24*AS293))</f>
        <v>588.1694265</v>
      </c>
      <c r="N293" s="12">
        <f t="shared" ref="N293:R293" si="873">if(min($G292:$K292)=G292,N292+1,N292)</f>
        <v>138</v>
      </c>
      <c r="O293" s="12">
        <f t="shared" si="873"/>
        <v>51</v>
      </c>
      <c r="P293" s="12">
        <f t="shared" si="873"/>
        <v>44</v>
      </c>
      <c r="Q293" s="12">
        <f t="shared" si="873"/>
        <v>38</v>
      </c>
      <c r="R293" s="12">
        <f t="shared" si="873"/>
        <v>21</v>
      </c>
      <c r="T293" s="13">
        <f> 'Optimal Choice'!$B$5*'Optimal Choice'!$B$6^(N293+1)</f>
        <v>48574.13657</v>
      </c>
      <c r="U293" s="13">
        <f> 'Optimal Choice'!$B$10*'Optimal Choice'!$B$11^(O293+1)</f>
        <v>85988.21799</v>
      </c>
      <c r="V293" s="13">
        <f> 'Optimal Choice'!$B$15*'Optimal Choice'!$B$16^(P293+1)</f>
        <v>261848.9318</v>
      </c>
      <c r="W293" s="13">
        <f> 'Optimal Choice'!$B$20*'Optimal Choice'!$B$21^(Q293+1)</f>
        <v>1015250.094</v>
      </c>
      <c r="X293" s="13">
        <f> 'Optimal Choice'!$B$25*'Optimal Choice'!$B$26^(R293+1)</f>
        <v>1254560.147</v>
      </c>
      <c r="AA293" s="12">
        <f t="shared" ref="AA293:AE293" si="874">if(isna(VLOOKUP(N293,$D$2:$E$10,2,false)),AA292, VLOOKUP(N293,$D$2:$E$10,2,false))</f>
        <v>50</v>
      </c>
      <c r="AB293" s="12">
        <f t="shared" si="874"/>
        <v>25</v>
      </c>
      <c r="AC293" s="12">
        <f t="shared" si="874"/>
        <v>5</v>
      </c>
      <c r="AD293" s="12">
        <f t="shared" si="874"/>
        <v>5</v>
      </c>
      <c r="AE293" s="15">
        <f t="shared" si="874"/>
        <v>1</v>
      </c>
      <c r="AH293" s="15">
        <f>N293*'Optimal Choice'!$B$4*AA293</f>
        <v>11523</v>
      </c>
      <c r="AI293" s="15">
        <f>O293*'Optimal Choice'!$B$9*AB293</f>
        <v>25500</v>
      </c>
      <c r="AJ293" s="15">
        <f>P293*'Optimal Choice'!$B$14*AC293</f>
        <v>19800</v>
      </c>
      <c r="AK293" s="15">
        <f>Q293*'Optimal Choice'!$B$19*AD293</f>
        <v>68400</v>
      </c>
      <c r="AL293" s="15">
        <f>R293*'Optimal Choice'!$B$24*AE293</f>
        <v>45360</v>
      </c>
      <c r="AO293" s="12">
        <f t="shared" ref="AO293:AS293" si="875">if(isna(VLOOKUP(N293+1,$D$2:$E$10,2,false)),AO292, VLOOKUP(N293+1,$D$2:$E$10,2,false))</f>
        <v>50</v>
      </c>
      <c r="AP293" s="12">
        <f t="shared" si="875"/>
        <v>25</v>
      </c>
      <c r="AQ293" s="12">
        <f t="shared" si="875"/>
        <v>5</v>
      </c>
      <c r="AR293" s="12">
        <f t="shared" si="875"/>
        <v>5</v>
      </c>
      <c r="AS293" s="15">
        <f t="shared" si="875"/>
        <v>1</v>
      </c>
      <c r="AU293" s="11">
        <f t="shared" si="8"/>
        <v>0.007327046547</v>
      </c>
    </row>
    <row r="294" ht="15.75" customHeight="1">
      <c r="A294" s="16">
        <f t="shared" si="4"/>
        <v>6.033081742</v>
      </c>
      <c r="B294" s="7">
        <f>(sum(AH294:AL294))*'Optimal Choice'!$B$28</f>
        <v>171083</v>
      </c>
      <c r="C294" s="11"/>
      <c r="D294" s="12"/>
      <c r="E294" s="12"/>
      <c r="F294" s="11"/>
      <c r="G294" s="11">
        <f>(T294/$B294)+(T294/('Optimal Choice'!$B$4*AO294))</f>
        <v>582.010108</v>
      </c>
      <c r="H294" s="11">
        <f>(U294/$B294)+(U294/('Optimal Choice'!$B$9*AP294))</f>
        <v>198.3509042</v>
      </c>
      <c r="I294" s="11">
        <f>(V294/$B294)+(V294/('Optimal Choice'!$B$14*AQ294))</f>
        <v>583.4170525</v>
      </c>
      <c r="J294" s="11">
        <f>(W294/$B294)+(W294/('Optimal Choice'!$B$19*AR294))</f>
        <v>569.9620846</v>
      </c>
      <c r="K294" s="11">
        <f>(X294/$B294)+(X294/('Optimal Choice'!$B$24*AS294))</f>
        <v>588.1479324</v>
      </c>
      <c r="N294" s="12">
        <f t="shared" ref="N294:R294" si="876">if(min($G293:$K293)=G293,N293+1,N293)</f>
        <v>138</v>
      </c>
      <c r="O294" s="12">
        <f t="shared" si="876"/>
        <v>52</v>
      </c>
      <c r="P294" s="12">
        <f t="shared" si="876"/>
        <v>44</v>
      </c>
      <c r="Q294" s="12">
        <f t="shared" si="876"/>
        <v>38</v>
      </c>
      <c r="R294" s="12">
        <f t="shared" si="876"/>
        <v>21</v>
      </c>
      <c r="T294" s="13">
        <f> 'Optimal Choice'!$B$5*'Optimal Choice'!$B$6^(N294+1)</f>
        <v>48574.13657</v>
      </c>
      <c r="U294" s="13">
        <f> 'Optimal Choice'!$B$10*'Optimal Choice'!$B$11^(O294+1)</f>
        <v>98886.45069</v>
      </c>
      <c r="V294" s="13">
        <f> 'Optimal Choice'!$B$15*'Optimal Choice'!$B$16^(P294+1)</f>
        <v>261848.9318</v>
      </c>
      <c r="W294" s="13">
        <f> 'Optimal Choice'!$B$20*'Optimal Choice'!$B$21^(Q294+1)</f>
        <v>1015250.094</v>
      </c>
      <c r="X294" s="13">
        <f> 'Optimal Choice'!$B$25*'Optimal Choice'!$B$26^(R294+1)</f>
        <v>1254560.147</v>
      </c>
      <c r="AA294" s="12">
        <f t="shared" ref="AA294:AE294" si="877">if(isna(VLOOKUP(N294,$D$2:$E$10,2,false)),AA293, VLOOKUP(N294,$D$2:$E$10,2,false))</f>
        <v>50</v>
      </c>
      <c r="AB294" s="12">
        <f t="shared" si="877"/>
        <v>25</v>
      </c>
      <c r="AC294" s="12">
        <f t="shared" si="877"/>
        <v>5</v>
      </c>
      <c r="AD294" s="12">
        <f t="shared" si="877"/>
        <v>5</v>
      </c>
      <c r="AE294" s="15">
        <f t="shared" si="877"/>
        <v>1</v>
      </c>
      <c r="AH294" s="15">
        <f>N294*'Optimal Choice'!$B$4*AA294</f>
        <v>11523</v>
      </c>
      <c r="AI294" s="15">
        <f>O294*'Optimal Choice'!$B$9*AB294</f>
        <v>26000</v>
      </c>
      <c r="AJ294" s="15">
        <f>P294*'Optimal Choice'!$B$14*AC294</f>
        <v>19800</v>
      </c>
      <c r="AK294" s="15">
        <f>Q294*'Optimal Choice'!$B$19*AD294</f>
        <v>68400</v>
      </c>
      <c r="AL294" s="15">
        <f>R294*'Optimal Choice'!$B$24*AE294</f>
        <v>45360</v>
      </c>
      <c r="AO294" s="12">
        <f t="shared" ref="AO294:AS294" si="878">if(isna(VLOOKUP(N294+1,$D$2:$E$10,2,false)),AO293, VLOOKUP(N294+1,$D$2:$E$10,2,false))</f>
        <v>50</v>
      </c>
      <c r="AP294" s="12">
        <f t="shared" si="878"/>
        <v>25</v>
      </c>
      <c r="AQ294" s="12">
        <f t="shared" si="878"/>
        <v>5</v>
      </c>
      <c r="AR294" s="12">
        <f t="shared" si="878"/>
        <v>5</v>
      </c>
      <c r="AS294" s="15">
        <f t="shared" si="878"/>
        <v>1</v>
      </c>
      <c r="AU294" s="11">
        <f t="shared" si="8"/>
        <v>0.008401405571</v>
      </c>
    </row>
    <row r="295" ht="15.75" customHeight="1">
      <c r="A295" s="16">
        <f t="shared" si="4"/>
        <v>6.042715122</v>
      </c>
      <c r="B295" s="7">
        <f>(sum(AH295:AL295))*'Optimal Choice'!$B$28</f>
        <v>171583</v>
      </c>
      <c r="C295" s="11"/>
      <c r="D295" s="12"/>
      <c r="E295" s="12"/>
      <c r="F295" s="11"/>
      <c r="G295" s="11">
        <f>(T295/$B295)+(T295/('Optimal Choice'!$B$4*AO295))</f>
        <v>582.0092806</v>
      </c>
      <c r="H295" s="11">
        <f>(U295/$B295)+(U295/('Optimal Choice'!$B$9*AP295))</f>
        <v>228.1016028</v>
      </c>
      <c r="I295" s="11">
        <f>(V295/$B295)+(V295/('Optimal Choice'!$B$14*AQ295))</f>
        <v>583.4125925</v>
      </c>
      <c r="J295" s="11">
        <f>(W295/$B295)+(W295/('Optimal Choice'!$B$19*AR295))</f>
        <v>569.944792</v>
      </c>
      <c r="K295" s="11">
        <f>(X295/$B295)+(X295/('Optimal Choice'!$B$24*AS295))</f>
        <v>588.1265636</v>
      </c>
      <c r="N295" s="12">
        <f t="shared" ref="N295:R295" si="879">if(min($G294:$K294)=G294,N294+1,N294)</f>
        <v>138</v>
      </c>
      <c r="O295" s="12">
        <f t="shared" si="879"/>
        <v>53</v>
      </c>
      <c r="P295" s="12">
        <f t="shared" si="879"/>
        <v>44</v>
      </c>
      <c r="Q295" s="12">
        <f t="shared" si="879"/>
        <v>38</v>
      </c>
      <c r="R295" s="12">
        <f t="shared" si="879"/>
        <v>21</v>
      </c>
      <c r="T295" s="13">
        <f> 'Optimal Choice'!$B$5*'Optimal Choice'!$B$6^(N295+1)</f>
        <v>48574.13657</v>
      </c>
      <c r="U295" s="13">
        <f> 'Optimal Choice'!$B$10*'Optimal Choice'!$B$11^(O295+1)</f>
        <v>113719.4183</v>
      </c>
      <c r="V295" s="13">
        <f> 'Optimal Choice'!$B$15*'Optimal Choice'!$B$16^(P295+1)</f>
        <v>261848.9318</v>
      </c>
      <c r="W295" s="13">
        <f> 'Optimal Choice'!$B$20*'Optimal Choice'!$B$21^(Q295+1)</f>
        <v>1015250.094</v>
      </c>
      <c r="X295" s="13">
        <f> 'Optimal Choice'!$B$25*'Optimal Choice'!$B$26^(R295+1)</f>
        <v>1254560.147</v>
      </c>
      <c r="AA295" s="12">
        <f t="shared" ref="AA295:AE295" si="880">if(isna(VLOOKUP(N295,$D$2:$E$10,2,false)),AA294, VLOOKUP(N295,$D$2:$E$10,2,false))</f>
        <v>50</v>
      </c>
      <c r="AB295" s="12">
        <f t="shared" si="880"/>
        <v>25</v>
      </c>
      <c r="AC295" s="12">
        <f t="shared" si="880"/>
        <v>5</v>
      </c>
      <c r="AD295" s="12">
        <f t="shared" si="880"/>
        <v>5</v>
      </c>
      <c r="AE295" s="15">
        <f t="shared" si="880"/>
        <v>1</v>
      </c>
      <c r="AH295" s="15">
        <f>N295*'Optimal Choice'!$B$4*AA295</f>
        <v>11523</v>
      </c>
      <c r="AI295" s="15">
        <f>O295*'Optimal Choice'!$B$9*AB295</f>
        <v>26500</v>
      </c>
      <c r="AJ295" s="15">
        <f>P295*'Optimal Choice'!$B$14*AC295</f>
        <v>19800</v>
      </c>
      <c r="AK295" s="15">
        <f>Q295*'Optimal Choice'!$B$19*AD295</f>
        <v>68400</v>
      </c>
      <c r="AL295" s="15">
        <f>R295*'Optimal Choice'!$B$24*AE295</f>
        <v>45360</v>
      </c>
      <c r="AO295" s="12">
        <f t="shared" ref="AO295:AS295" si="881">if(isna(VLOOKUP(N295+1,$D$2:$E$10,2,false)),AO294, VLOOKUP(N295+1,$D$2:$E$10,2,false))</f>
        <v>50</v>
      </c>
      <c r="AP295" s="12">
        <f t="shared" si="881"/>
        <v>25</v>
      </c>
      <c r="AQ295" s="12">
        <f t="shared" si="881"/>
        <v>5</v>
      </c>
      <c r="AR295" s="12">
        <f t="shared" si="881"/>
        <v>5</v>
      </c>
      <c r="AS295" s="15">
        <f t="shared" si="881"/>
        <v>1</v>
      </c>
      <c r="AU295" s="11">
        <f t="shared" si="8"/>
        <v>0.009633379772</v>
      </c>
    </row>
    <row r="296" ht="15.75" customHeight="1">
      <c r="A296" s="16">
        <f t="shared" si="4"/>
        <v>6.053761226</v>
      </c>
      <c r="B296" s="7">
        <f>(sum(AH296:AL296))*'Optimal Choice'!$B$28</f>
        <v>172083</v>
      </c>
      <c r="C296" s="11"/>
      <c r="D296" s="12"/>
      <c r="E296" s="12"/>
      <c r="F296" s="11"/>
      <c r="G296" s="11">
        <f>(T296/$B296)+(T296/('Optimal Choice'!$B$4*AO296))</f>
        <v>582.0084581</v>
      </c>
      <c r="H296" s="11">
        <f>(U296/$B296)+(U296/('Optimal Choice'!$B$9*AP296))</f>
        <v>262.3146287</v>
      </c>
      <c r="I296" s="11">
        <f>(V296/$B296)+(V296/('Optimal Choice'!$B$14*AQ296))</f>
        <v>583.4081584</v>
      </c>
      <c r="J296" s="11">
        <f>(W296/$B296)+(W296/('Optimal Choice'!$B$19*AR296))</f>
        <v>569.9275998</v>
      </c>
      <c r="K296" s="11">
        <f>(X296/$B296)+(X296/('Optimal Choice'!$B$24*AS296))</f>
        <v>588.105319</v>
      </c>
      <c r="N296" s="12">
        <f t="shared" ref="N296:R296" si="882">if(min($G295:$K295)=G295,N295+1,N295)</f>
        <v>138</v>
      </c>
      <c r="O296" s="12">
        <f t="shared" si="882"/>
        <v>54</v>
      </c>
      <c r="P296" s="12">
        <f t="shared" si="882"/>
        <v>44</v>
      </c>
      <c r="Q296" s="12">
        <f t="shared" si="882"/>
        <v>38</v>
      </c>
      <c r="R296" s="12">
        <f t="shared" si="882"/>
        <v>21</v>
      </c>
      <c r="T296" s="13">
        <f> 'Optimal Choice'!$B$5*'Optimal Choice'!$B$6^(N296+1)</f>
        <v>48574.13657</v>
      </c>
      <c r="U296" s="13">
        <f> 'Optimal Choice'!$B$10*'Optimal Choice'!$B$11^(O296+1)</f>
        <v>130777.331</v>
      </c>
      <c r="V296" s="13">
        <f> 'Optimal Choice'!$B$15*'Optimal Choice'!$B$16^(P296+1)</f>
        <v>261848.9318</v>
      </c>
      <c r="W296" s="13">
        <f> 'Optimal Choice'!$B$20*'Optimal Choice'!$B$21^(Q296+1)</f>
        <v>1015250.094</v>
      </c>
      <c r="X296" s="13">
        <f> 'Optimal Choice'!$B$25*'Optimal Choice'!$B$26^(R296+1)</f>
        <v>1254560.147</v>
      </c>
      <c r="AA296" s="12">
        <f t="shared" ref="AA296:AE296" si="883">if(isna(VLOOKUP(N296,$D$2:$E$10,2,false)),AA295, VLOOKUP(N296,$D$2:$E$10,2,false))</f>
        <v>50</v>
      </c>
      <c r="AB296" s="12">
        <f t="shared" si="883"/>
        <v>25</v>
      </c>
      <c r="AC296" s="12">
        <f t="shared" si="883"/>
        <v>5</v>
      </c>
      <c r="AD296" s="12">
        <f t="shared" si="883"/>
        <v>5</v>
      </c>
      <c r="AE296" s="15">
        <f t="shared" si="883"/>
        <v>1</v>
      </c>
      <c r="AH296" s="15">
        <f>N296*'Optimal Choice'!$B$4*AA296</f>
        <v>11523</v>
      </c>
      <c r="AI296" s="15">
        <f>O296*'Optimal Choice'!$B$9*AB296</f>
        <v>27000</v>
      </c>
      <c r="AJ296" s="15">
        <f>P296*'Optimal Choice'!$B$14*AC296</f>
        <v>19800</v>
      </c>
      <c r="AK296" s="15">
        <f>Q296*'Optimal Choice'!$B$19*AD296</f>
        <v>68400</v>
      </c>
      <c r="AL296" s="15">
        <f>R296*'Optimal Choice'!$B$24*AE296</f>
        <v>45360</v>
      </c>
      <c r="AO296" s="12">
        <f t="shared" ref="AO296:AS296" si="884">if(isna(VLOOKUP(N296+1,$D$2:$E$10,2,false)),AO295, VLOOKUP(N296+1,$D$2:$E$10,2,false))</f>
        <v>50</v>
      </c>
      <c r="AP296" s="12">
        <f t="shared" si="884"/>
        <v>25</v>
      </c>
      <c r="AQ296" s="12">
        <f t="shared" si="884"/>
        <v>5</v>
      </c>
      <c r="AR296" s="12">
        <f t="shared" si="884"/>
        <v>5</v>
      </c>
      <c r="AS296" s="15">
        <f t="shared" si="884"/>
        <v>1</v>
      </c>
      <c r="AU296" s="11">
        <f t="shared" si="8"/>
        <v>0.01104610386</v>
      </c>
    </row>
    <row r="297" ht="15.75" customHeight="1">
      <c r="A297" s="16">
        <f t="shared" si="4"/>
        <v>6.066427335</v>
      </c>
      <c r="B297" s="7">
        <f>(sum(AH297:AL297))*'Optimal Choice'!$B$28</f>
        <v>172583</v>
      </c>
      <c r="C297" s="11"/>
      <c r="D297" s="12"/>
      <c r="E297" s="12"/>
      <c r="F297" s="11"/>
      <c r="G297" s="11">
        <f>(T297/$B297)+(T297/('Optimal Choice'!$B$4*AO297))</f>
        <v>582.0076403</v>
      </c>
      <c r="H297" s="11">
        <f>(U297/$B297)+(U297/('Optimal Choice'!$B$9*AP297))</f>
        <v>301.659291</v>
      </c>
      <c r="I297" s="11">
        <f>(V297/$B297)+(V297/('Optimal Choice'!$B$14*AQ297))</f>
        <v>583.4037499</v>
      </c>
      <c r="J297" s="11">
        <f>(W297/$B297)+(W297/('Optimal Choice'!$B$19*AR297))</f>
        <v>569.9105072</v>
      </c>
      <c r="K297" s="11">
        <f>(X297/$B297)+(X297/('Optimal Choice'!$B$24*AS297))</f>
        <v>588.0841974</v>
      </c>
      <c r="N297" s="12">
        <f t="shared" ref="N297:R297" si="885">if(min($G296:$K296)=G296,N296+1,N296)</f>
        <v>138</v>
      </c>
      <c r="O297" s="12">
        <f t="shared" si="885"/>
        <v>55</v>
      </c>
      <c r="P297" s="12">
        <f t="shared" si="885"/>
        <v>44</v>
      </c>
      <c r="Q297" s="12">
        <f t="shared" si="885"/>
        <v>38</v>
      </c>
      <c r="R297" s="12">
        <f t="shared" si="885"/>
        <v>21</v>
      </c>
      <c r="T297" s="13">
        <f> 'Optimal Choice'!$B$5*'Optimal Choice'!$B$6^(N297+1)</f>
        <v>48574.13657</v>
      </c>
      <c r="U297" s="13">
        <f> 'Optimal Choice'!$B$10*'Optimal Choice'!$B$11^(O297+1)</f>
        <v>150393.9307</v>
      </c>
      <c r="V297" s="13">
        <f> 'Optimal Choice'!$B$15*'Optimal Choice'!$B$16^(P297+1)</f>
        <v>261848.9318</v>
      </c>
      <c r="W297" s="13">
        <f> 'Optimal Choice'!$B$20*'Optimal Choice'!$B$21^(Q297+1)</f>
        <v>1015250.094</v>
      </c>
      <c r="X297" s="13">
        <f> 'Optimal Choice'!$B$25*'Optimal Choice'!$B$26^(R297+1)</f>
        <v>1254560.147</v>
      </c>
      <c r="AA297" s="12">
        <f t="shared" ref="AA297:AE297" si="886">if(isna(VLOOKUP(N297,$D$2:$E$10,2,false)),AA296, VLOOKUP(N297,$D$2:$E$10,2,false))</f>
        <v>50</v>
      </c>
      <c r="AB297" s="12">
        <f t="shared" si="886"/>
        <v>25</v>
      </c>
      <c r="AC297" s="12">
        <f t="shared" si="886"/>
        <v>5</v>
      </c>
      <c r="AD297" s="12">
        <f t="shared" si="886"/>
        <v>5</v>
      </c>
      <c r="AE297" s="15">
        <f t="shared" si="886"/>
        <v>1</v>
      </c>
      <c r="AH297" s="15">
        <f>N297*'Optimal Choice'!$B$4*AA297</f>
        <v>11523</v>
      </c>
      <c r="AI297" s="15">
        <f>O297*'Optimal Choice'!$B$9*AB297</f>
        <v>27500</v>
      </c>
      <c r="AJ297" s="15">
        <f>P297*'Optimal Choice'!$B$14*AC297</f>
        <v>19800</v>
      </c>
      <c r="AK297" s="15">
        <f>Q297*'Optimal Choice'!$B$19*AD297</f>
        <v>68400</v>
      </c>
      <c r="AL297" s="15">
        <f>R297*'Optimal Choice'!$B$24*AE297</f>
        <v>45360</v>
      </c>
      <c r="AO297" s="12">
        <f t="shared" ref="AO297:AS297" si="887">if(isna(VLOOKUP(N297+1,$D$2:$E$10,2,false)),AO296, VLOOKUP(N297+1,$D$2:$E$10,2,false))</f>
        <v>50</v>
      </c>
      <c r="AP297" s="12">
        <f t="shared" si="887"/>
        <v>25</v>
      </c>
      <c r="AQ297" s="12">
        <f t="shared" si="887"/>
        <v>5</v>
      </c>
      <c r="AR297" s="12">
        <f t="shared" si="887"/>
        <v>5</v>
      </c>
      <c r="AS297" s="15">
        <f t="shared" si="887"/>
        <v>1</v>
      </c>
      <c r="AU297" s="11">
        <f t="shared" si="8"/>
        <v>0.01266610987</v>
      </c>
    </row>
    <row r="298" ht="15.75" customHeight="1">
      <c r="A298" s="16">
        <f t="shared" si="4"/>
        <v>6.080951162</v>
      </c>
      <c r="B298" s="7">
        <f>(sum(AH298:AL298))*'Optimal Choice'!$B$28</f>
        <v>173083</v>
      </c>
      <c r="C298" s="11"/>
      <c r="D298" s="12"/>
      <c r="E298" s="12"/>
      <c r="F298" s="11"/>
      <c r="G298" s="11">
        <f>(T298/$B298)+(T298/('Optimal Choice'!$B$4*AO298))</f>
        <v>582.0068272</v>
      </c>
      <c r="H298" s="11">
        <f>(U298/$B298)+(U298/('Optimal Choice'!$B$9*AP298))</f>
        <v>346.9052896</v>
      </c>
      <c r="I298" s="11">
        <f>(V298/$B298)+(V298/('Optimal Choice'!$B$14*AQ298))</f>
        <v>583.399367</v>
      </c>
      <c r="J298" s="11">
        <f>(W298/$B298)+(W298/('Optimal Choice'!$B$19*AR298))</f>
        <v>569.8935134</v>
      </c>
      <c r="K298" s="11">
        <f>(X298/$B298)+(X298/('Optimal Choice'!$B$24*AS298))</f>
        <v>588.0631979</v>
      </c>
      <c r="N298" s="12">
        <f t="shared" ref="N298:R298" si="888">if(min($G297:$K297)=G297,N297+1,N297)</f>
        <v>138</v>
      </c>
      <c r="O298" s="12">
        <f t="shared" si="888"/>
        <v>56</v>
      </c>
      <c r="P298" s="12">
        <f t="shared" si="888"/>
        <v>44</v>
      </c>
      <c r="Q298" s="12">
        <f t="shared" si="888"/>
        <v>38</v>
      </c>
      <c r="R298" s="12">
        <f t="shared" si="888"/>
        <v>21</v>
      </c>
      <c r="T298" s="13">
        <f> 'Optimal Choice'!$B$5*'Optimal Choice'!$B$6^(N298+1)</f>
        <v>48574.13657</v>
      </c>
      <c r="U298" s="13">
        <f> 'Optimal Choice'!$B$10*'Optimal Choice'!$B$11^(O298+1)</f>
        <v>172953.0203</v>
      </c>
      <c r="V298" s="13">
        <f> 'Optimal Choice'!$B$15*'Optimal Choice'!$B$16^(P298+1)</f>
        <v>261848.9318</v>
      </c>
      <c r="W298" s="13">
        <f> 'Optimal Choice'!$B$20*'Optimal Choice'!$B$21^(Q298+1)</f>
        <v>1015250.094</v>
      </c>
      <c r="X298" s="13">
        <f> 'Optimal Choice'!$B$25*'Optimal Choice'!$B$26^(R298+1)</f>
        <v>1254560.147</v>
      </c>
      <c r="AA298" s="12">
        <f t="shared" ref="AA298:AE298" si="889">if(isna(VLOOKUP(N298,$D$2:$E$10,2,false)),AA297, VLOOKUP(N298,$D$2:$E$10,2,false))</f>
        <v>50</v>
      </c>
      <c r="AB298" s="12">
        <f t="shared" si="889"/>
        <v>25</v>
      </c>
      <c r="AC298" s="12">
        <f t="shared" si="889"/>
        <v>5</v>
      </c>
      <c r="AD298" s="12">
        <f t="shared" si="889"/>
        <v>5</v>
      </c>
      <c r="AE298" s="15">
        <f t="shared" si="889"/>
        <v>1</v>
      </c>
      <c r="AH298" s="15">
        <f>N298*'Optimal Choice'!$B$4*AA298</f>
        <v>11523</v>
      </c>
      <c r="AI298" s="15">
        <f>O298*'Optimal Choice'!$B$9*AB298</f>
        <v>28000</v>
      </c>
      <c r="AJ298" s="15">
        <f>P298*'Optimal Choice'!$B$14*AC298</f>
        <v>19800</v>
      </c>
      <c r="AK298" s="15">
        <f>Q298*'Optimal Choice'!$B$19*AD298</f>
        <v>68400</v>
      </c>
      <c r="AL298" s="15">
        <f>R298*'Optimal Choice'!$B$24*AE298</f>
        <v>45360</v>
      </c>
      <c r="AO298" s="12">
        <f t="shared" ref="AO298:AS298" si="890">if(isna(VLOOKUP(N298+1,$D$2:$E$10,2,false)),AO297, VLOOKUP(N298+1,$D$2:$E$10,2,false))</f>
        <v>50</v>
      </c>
      <c r="AP298" s="12">
        <f t="shared" si="890"/>
        <v>25</v>
      </c>
      <c r="AQ298" s="12">
        <f t="shared" si="890"/>
        <v>5</v>
      </c>
      <c r="AR298" s="12">
        <f t="shared" si="890"/>
        <v>5</v>
      </c>
      <c r="AS298" s="15">
        <f t="shared" si="890"/>
        <v>1</v>
      </c>
      <c r="AU298" s="11">
        <f t="shared" si="8"/>
        <v>0.01452382628</v>
      </c>
    </row>
    <row r="299" ht="15.75" customHeight="1">
      <c r="A299" s="16">
        <f t="shared" si="4"/>
        <v>6.097605312</v>
      </c>
      <c r="B299" s="7">
        <f>(sum(AH299:AL299))*'Optimal Choice'!$B$28</f>
        <v>173583</v>
      </c>
      <c r="C299" s="11"/>
      <c r="D299" s="12"/>
      <c r="E299" s="12"/>
      <c r="F299" s="11"/>
      <c r="G299" s="11">
        <f>(T299/$B299)+(T299/('Optimal Choice'!$B$4*AO299))</f>
        <v>582.0060189</v>
      </c>
      <c r="H299" s="11">
        <f>(U299/$B299)+(U299/('Optimal Choice'!$B$9*AP299))</f>
        <v>398.937773</v>
      </c>
      <c r="I299" s="11">
        <f>(V299/$B299)+(V299/('Optimal Choice'!$B$14*AQ299))</f>
        <v>583.3950092</v>
      </c>
      <c r="J299" s="11">
        <f>(W299/$B299)+(W299/('Optimal Choice'!$B$19*AR299))</f>
        <v>569.8766175</v>
      </c>
      <c r="K299" s="11">
        <f>(X299/$B299)+(X299/('Optimal Choice'!$B$24*AS299))</f>
        <v>588.0423194</v>
      </c>
      <c r="N299" s="12">
        <f t="shared" ref="N299:R299" si="891">if(min($G298:$K298)=G298,N298+1,N298)</f>
        <v>138</v>
      </c>
      <c r="O299" s="12">
        <f t="shared" si="891"/>
        <v>57</v>
      </c>
      <c r="P299" s="12">
        <f t="shared" si="891"/>
        <v>44</v>
      </c>
      <c r="Q299" s="12">
        <f t="shared" si="891"/>
        <v>38</v>
      </c>
      <c r="R299" s="12">
        <f t="shared" si="891"/>
        <v>21</v>
      </c>
      <c r="T299" s="13">
        <f> 'Optimal Choice'!$B$5*'Optimal Choice'!$B$6^(N299+1)</f>
        <v>48574.13657</v>
      </c>
      <c r="U299" s="13">
        <f> 'Optimal Choice'!$B$10*'Optimal Choice'!$B$11^(O299+1)</f>
        <v>198895.9733</v>
      </c>
      <c r="V299" s="13">
        <f> 'Optimal Choice'!$B$15*'Optimal Choice'!$B$16^(P299+1)</f>
        <v>261848.9318</v>
      </c>
      <c r="W299" s="13">
        <f> 'Optimal Choice'!$B$20*'Optimal Choice'!$B$21^(Q299+1)</f>
        <v>1015250.094</v>
      </c>
      <c r="X299" s="13">
        <f> 'Optimal Choice'!$B$25*'Optimal Choice'!$B$26^(R299+1)</f>
        <v>1254560.147</v>
      </c>
      <c r="AA299" s="12">
        <f t="shared" ref="AA299:AE299" si="892">if(isna(VLOOKUP(N299,$D$2:$E$10,2,false)),AA298, VLOOKUP(N299,$D$2:$E$10,2,false))</f>
        <v>50</v>
      </c>
      <c r="AB299" s="12">
        <f t="shared" si="892"/>
        <v>25</v>
      </c>
      <c r="AC299" s="12">
        <f t="shared" si="892"/>
        <v>5</v>
      </c>
      <c r="AD299" s="12">
        <f t="shared" si="892"/>
        <v>5</v>
      </c>
      <c r="AE299" s="15">
        <f t="shared" si="892"/>
        <v>1</v>
      </c>
      <c r="AH299" s="15">
        <f>N299*'Optimal Choice'!$B$4*AA299</f>
        <v>11523</v>
      </c>
      <c r="AI299" s="15">
        <f>O299*'Optimal Choice'!$B$9*AB299</f>
        <v>28500</v>
      </c>
      <c r="AJ299" s="15">
        <f>P299*'Optimal Choice'!$B$14*AC299</f>
        <v>19800</v>
      </c>
      <c r="AK299" s="15">
        <f>Q299*'Optimal Choice'!$B$19*AD299</f>
        <v>68400</v>
      </c>
      <c r="AL299" s="15">
        <f>R299*'Optimal Choice'!$B$24*AE299</f>
        <v>45360</v>
      </c>
      <c r="AO299" s="12">
        <f t="shared" ref="AO299:AS299" si="893">if(isna(VLOOKUP(N299+1,$D$2:$E$10,2,false)),AO298, VLOOKUP(N299+1,$D$2:$E$10,2,false))</f>
        <v>50</v>
      </c>
      <c r="AP299" s="12">
        <f t="shared" si="893"/>
        <v>25</v>
      </c>
      <c r="AQ299" s="12">
        <f t="shared" si="893"/>
        <v>5</v>
      </c>
      <c r="AR299" s="12">
        <f t="shared" si="893"/>
        <v>5</v>
      </c>
      <c r="AS299" s="15">
        <f t="shared" si="893"/>
        <v>1</v>
      </c>
      <c r="AU299" s="11">
        <f t="shared" si="8"/>
        <v>0.01665415054</v>
      </c>
    </row>
    <row r="300" ht="15.75" customHeight="1">
      <c r="A300" s="16">
        <f t="shared" si="4"/>
        <v>6.116702418</v>
      </c>
      <c r="B300" s="7">
        <f>(sum(AH300:AL300))*'Optimal Choice'!$B$28</f>
        <v>174083</v>
      </c>
      <c r="C300" s="11"/>
      <c r="D300" s="12"/>
      <c r="E300" s="12"/>
      <c r="F300" s="11"/>
      <c r="G300" s="11">
        <f>(T300/$B300)+(T300/('Optimal Choice'!$B$4*AO300))</f>
        <v>582.0052151</v>
      </c>
      <c r="H300" s="11">
        <f>(U300/$B300)+(U300/('Optimal Choice'!$B$9*AP300))</f>
        <v>458.7746543</v>
      </c>
      <c r="I300" s="11">
        <f>(V300/$B300)+(V300/('Optimal Choice'!$B$14*AQ300))</f>
        <v>583.3906765</v>
      </c>
      <c r="J300" s="11">
        <f>(W300/$B300)+(W300/('Optimal Choice'!$B$19*AR300))</f>
        <v>569.8598187</v>
      </c>
      <c r="K300" s="11">
        <f>(X300/$B300)+(X300/('Optimal Choice'!$B$24*AS300))</f>
        <v>588.0215608</v>
      </c>
      <c r="N300" s="12">
        <f t="shared" ref="N300:R300" si="894">if(min($G299:$K299)=G299,N299+1,N299)</f>
        <v>138</v>
      </c>
      <c r="O300" s="12">
        <f t="shared" si="894"/>
        <v>58</v>
      </c>
      <c r="P300" s="12">
        <f t="shared" si="894"/>
        <v>44</v>
      </c>
      <c r="Q300" s="12">
        <f t="shared" si="894"/>
        <v>38</v>
      </c>
      <c r="R300" s="12">
        <f t="shared" si="894"/>
        <v>21</v>
      </c>
      <c r="T300" s="13">
        <f> 'Optimal Choice'!$B$5*'Optimal Choice'!$B$6^(N300+1)</f>
        <v>48574.13657</v>
      </c>
      <c r="U300" s="13">
        <f> 'Optimal Choice'!$B$10*'Optimal Choice'!$B$11^(O300+1)</f>
        <v>228730.3693</v>
      </c>
      <c r="V300" s="13">
        <f> 'Optimal Choice'!$B$15*'Optimal Choice'!$B$16^(P300+1)</f>
        <v>261848.9318</v>
      </c>
      <c r="W300" s="13">
        <f> 'Optimal Choice'!$B$20*'Optimal Choice'!$B$21^(Q300+1)</f>
        <v>1015250.094</v>
      </c>
      <c r="X300" s="13">
        <f> 'Optimal Choice'!$B$25*'Optimal Choice'!$B$26^(R300+1)</f>
        <v>1254560.147</v>
      </c>
      <c r="AA300" s="12">
        <f t="shared" ref="AA300:AE300" si="895">if(isna(VLOOKUP(N300,$D$2:$E$10,2,false)),AA299, VLOOKUP(N300,$D$2:$E$10,2,false))</f>
        <v>50</v>
      </c>
      <c r="AB300" s="12">
        <f t="shared" si="895"/>
        <v>25</v>
      </c>
      <c r="AC300" s="12">
        <f t="shared" si="895"/>
        <v>5</v>
      </c>
      <c r="AD300" s="12">
        <f t="shared" si="895"/>
        <v>5</v>
      </c>
      <c r="AE300" s="15">
        <f t="shared" si="895"/>
        <v>1</v>
      </c>
      <c r="AH300" s="15">
        <f>N300*'Optimal Choice'!$B$4*AA300</f>
        <v>11523</v>
      </c>
      <c r="AI300" s="15">
        <f>O300*'Optimal Choice'!$B$9*AB300</f>
        <v>29000</v>
      </c>
      <c r="AJ300" s="15">
        <f>P300*'Optimal Choice'!$B$14*AC300</f>
        <v>19800</v>
      </c>
      <c r="AK300" s="15">
        <f>Q300*'Optimal Choice'!$B$19*AD300</f>
        <v>68400</v>
      </c>
      <c r="AL300" s="15">
        <f>R300*'Optimal Choice'!$B$24*AE300</f>
        <v>45360</v>
      </c>
      <c r="AO300" s="12">
        <f t="shared" ref="AO300:AS300" si="896">if(isna(VLOOKUP(N300+1,$D$2:$E$10,2,false)),AO299, VLOOKUP(N300+1,$D$2:$E$10,2,false))</f>
        <v>50</v>
      </c>
      <c r="AP300" s="12">
        <f t="shared" si="896"/>
        <v>25</v>
      </c>
      <c r="AQ300" s="12">
        <f t="shared" si="896"/>
        <v>5</v>
      </c>
      <c r="AR300" s="12">
        <f t="shared" si="896"/>
        <v>5</v>
      </c>
      <c r="AS300" s="15">
        <f t="shared" si="896"/>
        <v>1</v>
      </c>
      <c r="AU300" s="11">
        <f t="shared" si="8"/>
        <v>0.01909710564</v>
      </c>
    </row>
    <row r="301" ht="15.75" customHeight="1">
      <c r="A301" s="16">
        <f t="shared" si="4"/>
        <v>6.138601011</v>
      </c>
      <c r="B301" s="7">
        <f>(sum(AH301:AL301))*'Optimal Choice'!$B$28</f>
        <v>174583</v>
      </c>
      <c r="C301" s="11"/>
      <c r="D301" s="12"/>
      <c r="E301" s="12"/>
      <c r="F301" s="11"/>
      <c r="G301" s="11">
        <f>(T301/$B301)+(T301/('Optimal Choice'!$B$4*AO301))</f>
        <v>582.004416</v>
      </c>
      <c r="H301" s="11">
        <f>(U301/$B301)+(U301/('Optimal Choice'!$B$9*AP301))</f>
        <v>527.586525</v>
      </c>
      <c r="I301" s="11">
        <f>(V301/$B301)+(V301/('Optimal Choice'!$B$14*AQ301))</f>
        <v>583.3863687</v>
      </c>
      <c r="J301" s="11">
        <f>(W301/$B301)+(W301/('Optimal Choice'!$B$19*AR301))</f>
        <v>569.8431161</v>
      </c>
      <c r="K301" s="11">
        <f>(X301/$B301)+(X301/('Optimal Choice'!$B$24*AS301))</f>
        <v>588.0009211</v>
      </c>
      <c r="N301" s="12">
        <f t="shared" ref="N301:R301" si="897">if(min($G300:$K300)=G300,N300+1,N300)</f>
        <v>138</v>
      </c>
      <c r="O301" s="12">
        <f t="shared" si="897"/>
        <v>59</v>
      </c>
      <c r="P301" s="12">
        <f t="shared" si="897"/>
        <v>44</v>
      </c>
      <c r="Q301" s="12">
        <f t="shared" si="897"/>
        <v>38</v>
      </c>
      <c r="R301" s="12">
        <f t="shared" si="897"/>
        <v>21</v>
      </c>
      <c r="T301" s="13">
        <f> 'Optimal Choice'!$B$5*'Optimal Choice'!$B$6^(N301+1)</f>
        <v>48574.13657</v>
      </c>
      <c r="U301" s="13">
        <f> 'Optimal Choice'!$B$10*'Optimal Choice'!$B$11^(O301+1)</f>
        <v>263039.9247</v>
      </c>
      <c r="V301" s="13">
        <f> 'Optimal Choice'!$B$15*'Optimal Choice'!$B$16^(P301+1)</f>
        <v>261848.9318</v>
      </c>
      <c r="W301" s="13">
        <f> 'Optimal Choice'!$B$20*'Optimal Choice'!$B$21^(Q301+1)</f>
        <v>1015250.094</v>
      </c>
      <c r="X301" s="13">
        <f> 'Optimal Choice'!$B$25*'Optimal Choice'!$B$26^(R301+1)</f>
        <v>1254560.147</v>
      </c>
      <c r="AA301" s="12">
        <f t="shared" ref="AA301:AE301" si="898">if(isna(VLOOKUP(N301,$D$2:$E$10,2,false)),AA300, VLOOKUP(N301,$D$2:$E$10,2,false))</f>
        <v>50</v>
      </c>
      <c r="AB301" s="12">
        <f t="shared" si="898"/>
        <v>25</v>
      </c>
      <c r="AC301" s="12">
        <f t="shared" si="898"/>
        <v>5</v>
      </c>
      <c r="AD301" s="12">
        <f t="shared" si="898"/>
        <v>5</v>
      </c>
      <c r="AE301" s="15">
        <f t="shared" si="898"/>
        <v>1</v>
      </c>
      <c r="AH301" s="15">
        <f>N301*'Optimal Choice'!$B$4*AA301</f>
        <v>11523</v>
      </c>
      <c r="AI301" s="15">
        <f>O301*'Optimal Choice'!$B$9*AB301</f>
        <v>29500</v>
      </c>
      <c r="AJ301" s="15">
        <f>P301*'Optimal Choice'!$B$14*AC301</f>
        <v>19800</v>
      </c>
      <c r="AK301" s="15">
        <f>Q301*'Optimal Choice'!$B$19*AD301</f>
        <v>68400</v>
      </c>
      <c r="AL301" s="15">
        <f>R301*'Optimal Choice'!$B$24*AE301</f>
        <v>45360</v>
      </c>
      <c r="AO301" s="12">
        <f t="shared" ref="AO301:AS301" si="899">if(isna(VLOOKUP(N301+1,$D$2:$E$10,2,false)),AO300, VLOOKUP(N301+1,$D$2:$E$10,2,false))</f>
        <v>50</v>
      </c>
      <c r="AP301" s="12">
        <f t="shared" si="899"/>
        <v>25</v>
      </c>
      <c r="AQ301" s="12">
        <f t="shared" si="899"/>
        <v>5</v>
      </c>
      <c r="AR301" s="12">
        <f t="shared" si="899"/>
        <v>5</v>
      </c>
      <c r="AS301" s="15">
        <f t="shared" si="899"/>
        <v>1</v>
      </c>
      <c r="AU301" s="11">
        <f t="shared" si="8"/>
        <v>0.02189859333</v>
      </c>
    </row>
    <row r="302" ht="15.75" customHeight="1">
      <c r="A302" s="16">
        <f t="shared" si="4"/>
        <v>6.163712269</v>
      </c>
      <c r="B302" s="7">
        <f>(sum(AH302:AL302))*'Optimal Choice'!$B$28</f>
        <v>175083</v>
      </c>
      <c r="C302" s="11"/>
      <c r="D302" s="12"/>
      <c r="E302" s="12"/>
      <c r="F302" s="11"/>
      <c r="G302" s="11">
        <f>(T302/$B302)+(T302/('Optimal Choice'!$B$4*AO302))</f>
        <v>582.0036214</v>
      </c>
      <c r="H302" s="11">
        <f>(U302/$B302)+(U302/('Optimal Choice'!$B$9*AP302))</f>
        <v>606.7195555</v>
      </c>
      <c r="I302" s="11">
        <f>(V302/$B302)+(V302/('Optimal Choice'!$B$14*AQ302))</f>
        <v>583.3820854</v>
      </c>
      <c r="J302" s="11">
        <f>(W302/$B302)+(W302/('Optimal Choice'!$B$19*AR302))</f>
        <v>569.8265088</v>
      </c>
      <c r="K302" s="11">
        <f>(X302/$B302)+(X302/('Optimal Choice'!$B$24*AS302))</f>
        <v>587.9803993</v>
      </c>
      <c r="N302" s="12">
        <f t="shared" ref="N302:R302" si="900">if(min($G301:$K301)=G301,N301+1,N301)</f>
        <v>138</v>
      </c>
      <c r="O302" s="12">
        <f t="shared" si="900"/>
        <v>60</v>
      </c>
      <c r="P302" s="12">
        <f t="shared" si="900"/>
        <v>44</v>
      </c>
      <c r="Q302" s="12">
        <f t="shared" si="900"/>
        <v>38</v>
      </c>
      <c r="R302" s="12">
        <f t="shared" si="900"/>
        <v>21</v>
      </c>
      <c r="T302" s="13">
        <f> 'Optimal Choice'!$B$5*'Optimal Choice'!$B$6^(N302+1)</f>
        <v>48574.13657</v>
      </c>
      <c r="U302" s="13">
        <f> 'Optimal Choice'!$B$10*'Optimal Choice'!$B$11^(O302+1)</f>
        <v>302495.9135</v>
      </c>
      <c r="V302" s="13">
        <f> 'Optimal Choice'!$B$15*'Optimal Choice'!$B$16^(P302+1)</f>
        <v>261848.9318</v>
      </c>
      <c r="W302" s="13">
        <f> 'Optimal Choice'!$B$20*'Optimal Choice'!$B$21^(Q302+1)</f>
        <v>1015250.094</v>
      </c>
      <c r="X302" s="13">
        <f> 'Optimal Choice'!$B$25*'Optimal Choice'!$B$26^(R302+1)</f>
        <v>1254560.147</v>
      </c>
      <c r="AA302" s="12">
        <f t="shared" ref="AA302:AE302" si="901">if(isna(VLOOKUP(N302,$D$2:$E$10,2,false)),AA301, VLOOKUP(N302,$D$2:$E$10,2,false))</f>
        <v>50</v>
      </c>
      <c r="AB302" s="12">
        <f t="shared" si="901"/>
        <v>25</v>
      </c>
      <c r="AC302" s="12">
        <f t="shared" si="901"/>
        <v>5</v>
      </c>
      <c r="AD302" s="12">
        <f t="shared" si="901"/>
        <v>5</v>
      </c>
      <c r="AE302" s="15">
        <f t="shared" si="901"/>
        <v>1</v>
      </c>
      <c r="AH302" s="15">
        <f>N302*'Optimal Choice'!$B$4*AA302</f>
        <v>11523</v>
      </c>
      <c r="AI302" s="15">
        <f>O302*'Optimal Choice'!$B$9*AB302</f>
        <v>30000</v>
      </c>
      <c r="AJ302" s="15">
        <f>P302*'Optimal Choice'!$B$14*AC302</f>
        <v>19800</v>
      </c>
      <c r="AK302" s="15">
        <f>Q302*'Optimal Choice'!$B$19*AD302</f>
        <v>68400</v>
      </c>
      <c r="AL302" s="15">
        <f>R302*'Optimal Choice'!$B$24*AE302</f>
        <v>45360</v>
      </c>
      <c r="AO302" s="12">
        <f t="shared" ref="AO302:AS302" si="902">if(isna(VLOOKUP(N302+1,$D$2:$E$10,2,false)),AO301, VLOOKUP(N302+1,$D$2:$E$10,2,false))</f>
        <v>50</v>
      </c>
      <c r="AP302" s="12">
        <f t="shared" si="902"/>
        <v>25</v>
      </c>
      <c r="AQ302" s="12">
        <f t="shared" si="902"/>
        <v>5</v>
      </c>
      <c r="AR302" s="12">
        <f t="shared" si="902"/>
        <v>5</v>
      </c>
      <c r="AS302" s="15">
        <f t="shared" si="902"/>
        <v>1</v>
      </c>
      <c r="AU302" s="11">
        <f t="shared" si="8"/>
        <v>0.02511125794</v>
      </c>
    </row>
    <row r="303" ht="15.75" customHeight="1">
      <c r="A303" s="16">
        <f t="shared" si="4"/>
        <v>6.260356917</v>
      </c>
      <c r="B303" s="7">
        <f>(sum(AH303:AL303))*'Optimal Choice'!$B$28</f>
        <v>176883</v>
      </c>
      <c r="C303" s="11"/>
      <c r="D303" s="12"/>
      <c r="E303" s="12"/>
      <c r="F303" s="11"/>
      <c r="G303" s="11">
        <f>(T303/$B303)+(T303/('Optimal Choice'!$B$4*AO303))</f>
        <v>582.0007982</v>
      </c>
      <c r="H303" s="11">
        <f>(U303/$B303)+(U303/('Optimal Choice'!$B$9*AP303))</f>
        <v>606.7019738</v>
      </c>
      <c r="I303" s="11">
        <f>(V303/$B303)+(V303/('Optimal Choice'!$B$14*AQ303))</f>
        <v>583.3668662</v>
      </c>
      <c r="J303" s="11">
        <f>(W303/$B303)+(W303/('Optimal Choice'!$B$19*AR303))</f>
        <v>643.8372752</v>
      </c>
      <c r="K303" s="11">
        <f>(X303/$B303)+(X303/('Optimal Choice'!$B$24*AS303))</f>
        <v>587.9074815</v>
      </c>
      <c r="N303" s="12">
        <f t="shared" ref="N303:R303" si="903">if(min($G302:$K302)=G302,N302+1,N302)</f>
        <v>138</v>
      </c>
      <c r="O303" s="12">
        <f t="shared" si="903"/>
        <v>60</v>
      </c>
      <c r="P303" s="12">
        <f t="shared" si="903"/>
        <v>44</v>
      </c>
      <c r="Q303" s="12">
        <f t="shared" si="903"/>
        <v>39</v>
      </c>
      <c r="R303" s="12">
        <f t="shared" si="903"/>
        <v>21</v>
      </c>
      <c r="T303" s="13">
        <f> 'Optimal Choice'!$B$5*'Optimal Choice'!$B$6^(N303+1)</f>
        <v>48574.13657</v>
      </c>
      <c r="U303" s="13">
        <f> 'Optimal Choice'!$B$10*'Optimal Choice'!$B$11^(O303+1)</f>
        <v>302495.9135</v>
      </c>
      <c r="V303" s="13">
        <f> 'Optimal Choice'!$B$15*'Optimal Choice'!$B$16^(P303+1)</f>
        <v>261848.9318</v>
      </c>
      <c r="W303" s="13">
        <f> 'Optimal Choice'!$B$20*'Optimal Choice'!$B$21^(Q303+1)</f>
        <v>1147232.606</v>
      </c>
      <c r="X303" s="13">
        <f> 'Optimal Choice'!$B$25*'Optimal Choice'!$B$26^(R303+1)</f>
        <v>1254560.147</v>
      </c>
      <c r="AA303" s="12">
        <f t="shared" ref="AA303:AE303" si="904">if(isna(VLOOKUP(N303,$D$2:$E$10,2,false)),AA302, VLOOKUP(N303,$D$2:$E$10,2,false))</f>
        <v>50</v>
      </c>
      <c r="AB303" s="12">
        <f t="shared" si="904"/>
        <v>25</v>
      </c>
      <c r="AC303" s="12">
        <f t="shared" si="904"/>
        <v>5</v>
      </c>
      <c r="AD303" s="12">
        <f t="shared" si="904"/>
        <v>5</v>
      </c>
      <c r="AE303" s="15">
        <f t="shared" si="904"/>
        <v>1</v>
      </c>
      <c r="AH303" s="15">
        <f>N303*'Optimal Choice'!$B$4*AA303</f>
        <v>11523</v>
      </c>
      <c r="AI303" s="15">
        <f>O303*'Optimal Choice'!$B$9*AB303</f>
        <v>30000</v>
      </c>
      <c r="AJ303" s="15">
        <f>P303*'Optimal Choice'!$B$14*AC303</f>
        <v>19800</v>
      </c>
      <c r="AK303" s="15">
        <f>Q303*'Optimal Choice'!$B$19*AD303</f>
        <v>70200</v>
      </c>
      <c r="AL303" s="15">
        <f>R303*'Optimal Choice'!$B$24*AE303</f>
        <v>45360</v>
      </c>
      <c r="AO303" s="12">
        <f t="shared" ref="AO303:AS303" si="905">if(isna(VLOOKUP(N303+1,$D$2:$E$10,2,false)),AO302, VLOOKUP(N303+1,$D$2:$E$10,2,false))</f>
        <v>50</v>
      </c>
      <c r="AP303" s="12">
        <f t="shared" si="905"/>
        <v>25</v>
      </c>
      <c r="AQ303" s="12">
        <f t="shared" si="905"/>
        <v>5</v>
      </c>
      <c r="AR303" s="12">
        <f t="shared" si="905"/>
        <v>5</v>
      </c>
      <c r="AS303" s="15">
        <f t="shared" si="905"/>
        <v>1</v>
      </c>
      <c r="AU303" s="11">
        <f t="shared" si="8"/>
        <v>0.09664464796</v>
      </c>
    </row>
    <row r="304" ht="15.75" customHeight="1">
      <c r="A304" s="16">
        <f t="shared" si="4"/>
        <v>6.264933778</v>
      </c>
      <c r="B304" s="7">
        <f>(sum(AH304:AL304))*'Optimal Choice'!$B$28</f>
        <v>176966.5</v>
      </c>
      <c r="C304" s="11"/>
      <c r="D304" s="12"/>
      <c r="E304" s="12"/>
      <c r="F304" s="11"/>
      <c r="G304" s="11">
        <f>(T304/$B304)+(T304/('Optimal Choice'!$B$4*AO304))</f>
        <v>622.7407154</v>
      </c>
      <c r="H304" s="11">
        <f>(U304/$B304)+(U304/('Optimal Choice'!$B$9*AP304))</f>
        <v>606.7011669</v>
      </c>
      <c r="I304" s="11">
        <f>(V304/$B304)+(V304/('Optimal Choice'!$B$14*AQ304))</f>
        <v>583.3661677</v>
      </c>
      <c r="J304" s="11">
        <f>(W304/$B304)+(W304/('Optimal Choice'!$B$19*AR304))</f>
        <v>643.834215</v>
      </c>
      <c r="K304" s="11">
        <f>(X304/$B304)+(X304/('Optimal Choice'!$B$24*AS304))</f>
        <v>587.9041349</v>
      </c>
      <c r="N304" s="12">
        <f t="shared" ref="N304:R304" si="906">if(min($G303:$K303)=G303,N303+1,N303)</f>
        <v>139</v>
      </c>
      <c r="O304" s="12">
        <f t="shared" si="906"/>
        <v>60</v>
      </c>
      <c r="P304" s="12">
        <f t="shared" si="906"/>
        <v>44</v>
      </c>
      <c r="Q304" s="12">
        <f t="shared" si="906"/>
        <v>39</v>
      </c>
      <c r="R304" s="12">
        <f t="shared" si="906"/>
        <v>21</v>
      </c>
      <c r="T304" s="13">
        <f> 'Optimal Choice'!$B$5*'Optimal Choice'!$B$6^(N304+1)</f>
        <v>51974.32613</v>
      </c>
      <c r="U304" s="13">
        <f> 'Optimal Choice'!$B$10*'Optimal Choice'!$B$11^(O304+1)</f>
        <v>302495.9135</v>
      </c>
      <c r="V304" s="13">
        <f> 'Optimal Choice'!$B$15*'Optimal Choice'!$B$16^(P304+1)</f>
        <v>261848.9318</v>
      </c>
      <c r="W304" s="13">
        <f> 'Optimal Choice'!$B$20*'Optimal Choice'!$B$21^(Q304+1)</f>
        <v>1147232.606</v>
      </c>
      <c r="X304" s="13">
        <f> 'Optimal Choice'!$B$25*'Optimal Choice'!$B$26^(R304+1)</f>
        <v>1254560.147</v>
      </c>
      <c r="AA304" s="12">
        <f t="shared" ref="AA304:AE304" si="907">if(isna(VLOOKUP(N304,$D$2:$E$10,2,false)),AA303, VLOOKUP(N304,$D$2:$E$10,2,false))</f>
        <v>50</v>
      </c>
      <c r="AB304" s="12">
        <f t="shared" si="907"/>
        <v>25</v>
      </c>
      <c r="AC304" s="12">
        <f t="shared" si="907"/>
        <v>5</v>
      </c>
      <c r="AD304" s="12">
        <f t="shared" si="907"/>
        <v>5</v>
      </c>
      <c r="AE304" s="15">
        <f t="shared" si="907"/>
        <v>1</v>
      </c>
      <c r="AH304" s="15">
        <f>N304*'Optimal Choice'!$B$4*AA304</f>
        <v>11606.5</v>
      </c>
      <c r="AI304" s="15">
        <f>O304*'Optimal Choice'!$B$9*AB304</f>
        <v>30000</v>
      </c>
      <c r="AJ304" s="15">
        <f>P304*'Optimal Choice'!$B$14*AC304</f>
        <v>19800</v>
      </c>
      <c r="AK304" s="15">
        <f>Q304*'Optimal Choice'!$B$19*AD304</f>
        <v>70200</v>
      </c>
      <c r="AL304" s="15">
        <f>R304*'Optimal Choice'!$B$24*AE304</f>
        <v>45360</v>
      </c>
      <c r="AO304" s="12">
        <f t="shared" ref="AO304:AS304" si="908">if(isna(VLOOKUP(N304+1,$D$2:$E$10,2,false)),AO303, VLOOKUP(N304+1,$D$2:$E$10,2,false))</f>
        <v>50</v>
      </c>
      <c r="AP304" s="12">
        <f t="shared" si="908"/>
        <v>25</v>
      </c>
      <c r="AQ304" s="12">
        <f t="shared" si="908"/>
        <v>5</v>
      </c>
      <c r="AR304" s="12">
        <f t="shared" si="908"/>
        <v>5</v>
      </c>
      <c r="AS304" s="15">
        <f t="shared" si="908"/>
        <v>1</v>
      </c>
      <c r="AU304" s="11">
        <f t="shared" si="8"/>
        <v>0.004576861218</v>
      </c>
    </row>
    <row r="305" ht="15.75" customHeight="1">
      <c r="A305" s="16">
        <f t="shared" si="4"/>
        <v>6.289594654</v>
      </c>
      <c r="B305" s="7">
        <f>(sum(AH305:AL305))*'Optimal Choice'!$B$28</f>
        <v>177416.5</v>
      </c>
      <c r="C305" s="11"/>
      <c r="D305" s="12"/>
      <c r="E305" s="12"/>
      <c r="F305" s="11"/>
      <c r="G305" s="11">
        <f>(T305/$B305)+(T305/('Optimal Choice'!$B$4*AO305))</f>
        <v>622.7399705</v>
      </c>
      <c r="H305" s="11">
        <f>(U305/$B305)+(U305/('Optimal Choice'!$B$9*AP305))</f>
        <v>606.6968313</v>
      </c>
      <c r="I305" s="11">
        <f>(V305/$B305)+(V305/('Optimal Choice'!$B$14*AQ305))</f>
        <v>665.0331527</v>
      </c>
      <c r="J305" s="11">
        <f>(W305/$B305)+(W305/('Optimal Choice'!$B$19*AR305))</f>
        <v>643.817772</v>
      </c>
      <c r="K305" s="11">
        <f>(X305/$B305)+(X305/('Optimal Choice'!$B$24*AS305))</f>
        <v>587.8861537</v>
      </c>
      <c r="N305" s="12">
        <f t="shared" ref="N305:R305" si="909">if(min($G304:$K304)=G304,N304+1,N304)</f>
        <v>139</v>
      </c>
      <c r="O305" s="12">
        <f t="shared" si="909"/>
        <v>60</v>
      </c>
      <c r="P305" s="12">
        <f t="shared" si="909"/>
        <v>45</v>
      </c>
      <c r="Q305" s="12">
        <f t="shared" si="909"/>
        <v>39</v>
      </c>
      <c r="R305" s="12">
        <f t="shared" si="909"/>
        <v>21</v>
      </c>
      <c r="T305" s="13">
        <f> 'Optimal Choice'!$B$5*'Optimal Choice'!$B$6^(N305+1)</f>
        <v>51974.32613</v>
      </c>
      <c r="U305" s="13">
        <f> 'Optimal Choice'!$B$10*'Optimal Choice'!$B$11^(O305+1)</f>
        <v>302495.9135</v>
      </c>
      <c r="V305" s="13">
        <f> 'Optimal Choice'!$B$15*'Optimal Choice'!$B$16^(P305+1)</f>
        <v>298507.7823</v>
      </c>
      <c r="W305" s="13">
        <f> 'Optimal Choice'!$B$20*'Optimal Choice'!$B$21^(Q305+1)</f>
        <v>1147232.606</v>
      </c>
      <c r="X305" s="13">
        <f> 'Optimal Choice'!$B$25*'Optimal Choice'!$B$26^(R305+1)</f>
        <v>1254560.147</v>
      </c>
      <c r="AA305" s="12">
        <f t="shared" ref="AA305:AE305" si="910">if(isna(VLOOKUP(N305,$D$2:$E$10,2,false)),AA304, VLOOKUP(N305,$D$2:$E$10,2,false))</f>
        <v>50</v>
      </c>
      <c r="AB305" s="12">
        <f t="shared" si="910"/>
        <v>25</v>
      </c>
      <c r="AC305" s="12">
        <f t="shared" si="910"/>
        <v>5</v>
      </c>
      <c r="AD305" s="12">
        <f t="shared" si="910"/>
        <v>5</v>
      </c>
      <c r="AE305" s="15">
        <f t="shared" si="910"/>
        <v>1</v>
      </c>
      <c r="AH305" s="15">
        <f>N305*'Optimal Choice'!$B$4*AA305</f>
        <v>11606.5</v>
      </c>
      <c r="AI305" s="15">
        <f>O305*'Optimal Choice'!$B$9*AB305</f>
        <v>30000</v>
      </c>
      <c r="AJ305" s="15">
        <f>P305*'Optimal Choice'!$B$14*AC305</f>
        <v>20250</v>
      </c>
      <c r="AK305" s="15">
        <f>Q305*'Optimal Choice'!$B$19*AD305</f>
        <v>70200</v>
      </c>
      <c r="AL305" s="15">
        <f>R305*'Optimal Choice'!$B$24*AE305</f>
        <v>45360</v>
      </c>
      <c r="AO305" s="12">
        <f t="shared" ref="AO305:AS305" si="911">if(isna(VLOOKUP(N305+1,$D$2:$E$10,2,false)),AO304, VLOOKUP(N305+1,$D$2:$E$10,2,false))</f>
        <v>50</v>
      </c>
      <c r="AP305" s="12">
        <f t="shared" si="911"/>
        <v>25</v>
      </c>
      <c r="AQ305" s="12">
        <f t="shared" si="911"/>
        <v>5</v>
      </c>
      <c r="AR305" s="12">
        <f t="shared" si="911"/>
        <v>5</v>
      </c>
      <c r="AS305" s="15">
        <f t="shared" si="911"/>
        <v>1</v>
      </c>
      <c r="AU305" s="11">
        <f t="shared" si="8"/>
        <v>0.02466087572</v>
      </c>
    </row>
    <row r="306" ht="15.75" customHeight="1">
      <c r="A306" s="16">
        <f t="shared" si="4"/>
        <v>6.40744917</v>
      </c>
      <c r="B306" s="7">
        <f>(sum(AH306:AL306))*'Optimal Choice'!$B$28</f>
        <v>179576.5</v>
      </c>
      <c r="C306" s="11"/>
      <c r="D306" s="12"/>
      <c r="E306" s="12"/>
      <c r="F306" s="11"/>
      <c r="G306" s="11">
        <f>(T306/$B306)+(T306/('Optimal Choice'!$B$4*AO306))</f>
        <v>622.7364468</v>
      </c>
      <c r="H306" s="11">
        <f>(U306/$B306)+(U306/('Optimal Choice'!$B$9*AP306))</f>
        <v>606.676323</v>
      </c>
      <c r="I306" s="11">
        <f>(V306/$B306)+(V306/('Optimal Choice'!$B$14*AQ306))</f>
        <v>665.0129148</v>
      </c>
      <c r="J306" s="11">
        <f>(W306/$B306)+(W306/('Optimal Choice'!$B$19*AR306))</f>
        <v>643.7399931</v>
      </c>
      <c r="K306" s="11">
        <f>(X306/$B306)+(X306/('Optimal Choice'!$B$24*AS306))</f>
        <v>658.3372301</v>
      </c>
      <c r="N306" s="12">
        <f t="shared" ref="N306:R306" si="912">if(min($G305:$K305)=G305,N305+1,N305)</f>
        <v>139</v>
      </c>
      <c r="O306" s="12">
        <f t="shared" si="912"/>
        <v>60</v>
      </c>
      <c r="P306" s="12">
        <f t="shared" si="912"/>
        <v>45</v>
      </c>
      <c r="Q306" s="12">
        <f t="shared" si="912"/>
        <v>39</v>
      </c>
      <c r="R306" s="12">
        <f t="shared" si="912"/>
        <v>22</v>
      </c>
      <c r="T306" s="13">
        <f> 'Optimal Choice'!$B$5*'Optimal Choice'!$B$6^(N306+1)</f>
        <v>51974.32613</v>
      </c>
      <c r="U306" s="13">
        <f> 'Optimal Choice'!$B$10*'Optimal Choice'!$B$11^(O306+1)</f>
        <v>302495.9135</v>
      </c>
      <c r="V306" s="13">
        <f> 'Optimal Choice'!$B$15*'Optimal Choice'!$B$16^(P306+1)</f>
        <v>298507.7823</v>
      </c>
      <c r="W306" s="13">
        <f> 'Optimal Choice'!$B$20*'Optimal Choice'!$B$21^(Q306+1)</f>
        <v>1147232.606</v>
      </c>
      <c r="X306" s="13">
        <f> 'Optimal Choice'!$B$25*'Optimal Choice'!$B$26^(R306+1)</f>
        <v>1405107.364</v>
      </c>
      <c r="AA306" s="12">
        <f t="shared" ref="AA306:AE306" si="913">if(isna(VLOOKUP(N306,$D$2:$E$10,2,false)),AA305, VLOOKUP(N306,$D$2:$E$10,2,false))</f>
        <v>50</v>
      </c>
      <c r="AB306" s="12">
        <f t="shared" si="913"/>
        <v>25</v>
      </c>
      <c r="AC306" s="12">
        <f t="shared" si="913"/>
        <v>5</v>
      </c>
      <c r="AD306" s="12">
        <f t="shared" si="913"/>
        <v>5</v>
      </c>
      <c r="AE306" s="15">
        <f t="shared" si="913"/>
        <v>1</v>
      </c>
      <c r="AH306" s="15">
        <f>N306*'Optimal Choice'!$B$4*AA306</f>
        <v>11606.5</v>
      </c>
      <c r="AI306" s="15">
        <f>O306*'Optimal Choice'!$B$9*AB306</f>
        <v>30000</v>
      </c>
      <c r="AJ306" s="15">
        <f>P306*'Optimal Choice'!$B$14*AC306</f>
        <v>20250</v>
      </c>
      <c r="AK306" s="15">
        <f>Q306*'Optimal Choice'!$B$19*AD306</f>
        <v>70200</v>
      </c>
      <c r="AL306" s="15">
        <f>R306*'Optimal Choice'!$B$24*AE306</f>
        <v>47520</v>
      </c>
      <c r="AO306" s="12">
        <f t="shared" ref="AO306:AS306" si="914">if(isna(VLOOKUP(N306+1,$D$2:$E$10,2,false)),AO305, VLOOKUP(N306+1,$D$2:$E$10,2,false))</f>
        <v>50</v>
      </c>
      <c r="AP306" s="12">
        <f t="shared" si="914"/>
        <v>25</v>
      </c>
      <c r="AQ306" s="12">
        <f t="shared" si="914"/>
        <v>5</v>
      </c>
      <c r="AR306" s="12">
        <f t="shared" si="914"/>
        <v>5</v>
      </c>
      <c r="AS306" s="15">
        <f t="shared" si="914"/>
        <v>1</v>
      </c>
      <c r="AU306" s="11">
        <f t="shared" si="8"/>
        <v>0.1178545162</v>
      </c>
    </row>
    <row r="307" ht="15.75" customHeight="1">
      <c r="A307" s="16">
        <f t="shared" si="4"/>
        <v>6.435524105</v>
      </c>
      <c r="B307" s="7">
        <f>(sum(AH307:AL307))*'Optimal Choice'!$B$28</f>
        <v>180076.5</v>
      </c>
      <c r="C307" s="11"/>
      <c r="D307" s="12"/>
      <c r="E307" s="12"/>
      <c r="F307" s="11"/>
      <c r="G307" s="11">
        <f>(T307/$B307)+(T307/('Optimal Choice'!$B$4*AO307))</f>
        <v>622.7356432</v>
      </c>
      <c r="H307" s="11">
        <f>(U307/$B307)+(U307/('Optimal Choice'!$B$9*AP307))</f>
        <v>697.6723927</v>
      </c>
      <c r="I307" s="11">
        <f>(V307/$B307)+(V307/('Optimal Choice'!$B$14*AQ307))</f>
        <v>665.0082993</v>
      </c>
      <c r="J307" s="11">
        <f>(W307/$B307)+(W307/('Optimal Choice'!$B$19*AR307))</f>
        <v>643.7222547</v>
      </c>
      <c r="K307" s="11">
        <f>(X307/$B307)+(X307/('Optimal Choice'!$B$24*AS307))</f>
        <v>658.3155044</v>
      </c>
      <c r="N307" s="12">
        <f t="shared" ref="N307:R307" si="915">if(min($G306:$K306)=G306,N306+1,N306)</f>
        <v>139</v>
      </c>
      <c r="O307" s="12">
        <f t="shared" si="915"/>
        <v>61</v>
      </c>
      <c r="P307" s="12">
        <f t="shared" si="915"/>
        <v>45</v>
      </c>
      <c r="Q307" s="12">
        <f t="shared" si="915"/>
        <v>39</v>
      </c>
      <c r="R307" s="12">
        <f t="shared" si="915"/>
        <v>22</v>
      </c>
      <c r="T307" s="13">
        <f> 'Optimal Choice'!$B$5*'Optimal Choice'!$B$6^(N307+1)</f>
        <v>51974.32613</v>
      </c>
      <c r="U307" s="13">
        <f> 'Optimal Choice'!$B$10*'Optimal Choice'!$B$11^(O307+1)</f>
        <v>347870.3005</v>
      </c>
      <c r="V307" s="13">
        <f> 'Optimal Choice'!$B$15*'Optimal Choice'!$B$16^(P307+1)</f>
        <v>298507.7823</v>
      </c>
      <c r="W307" s="13">
        <f> 'Optimal Choice'!$B$20*'Optimal Choice'!$B$21^(Q307+1)</f>
        <v>1147232.606</v>
      </c>
      <c r="X307" s="13">
        <f> 'Optimal Choice'!$B$25*'Optimal Choice'!$B$26^(R307+1)</f>
        <v>1405107.364</v>
      </c>
      <c r="AA307" s="12">
        <f t="shared" ref="AA307:AE307" si="916">if(isna(VLOOKUP(N307,$D$2:$E$10,2,false)),AA306, VLOOKUP(N307,$D$2:$E$10,2,false))</f>
        <v>50</v>
      </c>
      <c r="AB307" s="12">
        <f t="shared" si="916"/>
        <v>25</v>
      </c>
      <c r="AC307" s="12">
        <f t="shared" si="916"/>
        <v>5</v>
      </c>
      <c r="AD307" s="12">
        <f t="shared" si="916"/>
        <v>5</v>
      </c>
      <c r="AE307" s="15">
        <f t="shared" si="916"/>
        <v>1</v>
      </c>
      <c r="AH307" s="15">
        <f>N307*'Optimal Choice'!$B$4*AA307</f>
        <v>11606.5</v>
      </c>
      <c r="AI307" s="15">
        <f>O307*'Optimal Choice'!$B$9*AB307</f>
        <v>30500</v>
      </c>
      <c r="AJ307" s="15">
        <f>P307*'Optimal Choice'!$B$14*AC307</f>
        <v>20250</v>
      </c>
      <c r="AK307" s="15">
        <f>Q307*'Optimal Choice'!$B$19*AD307</f>
        <v>70200</v>
      </c>
      <c r="AL307" s="15">
        <f>R307*'Optimal Choice'!$B$24*AE307</f>
        <v>47520</v>
      </c>
      <c r="AO307" s="12">
        <f t="shared" ref="AO307:AS307" si="917">if(isna(VLOOKUP(N307+1,$D$2:$E$10,2,false)),AO306, VLOOKUP(N307+1,$D$2:$E$10,2,false))</f>
        <v>50</v>
      </c>
      <c r="AP307" s="12">
        <f t="shared" si="917"/>
        <v>25</v>
      </c>
      <c r="AQ307" s="12">
        <f t="shared" si="917"/>
        <v>5</v>
      </c>
      <c r="AR307" s="12">
        <f t="shared" si="917"/>
        <v>5</v>
      </c>
      <c r="AS307" s="15">
        <f t="shared" si="917"/>
        <v>1</v>
      </c>
      <c r="AU307" s="11">
        <f t="shared" si="8"/>
        <v>0.02807493496</v>
      </c>
    </row>
    <row r="308" ht="15.75" customHeight="1">
      <c r="A308" s="16">
        <f t="shared" si="4"/>
        <v>6.440334498</v>
      </c>
      <c r="B308" s="7">
        <f>(sum(AH308:AL308))*'Optimal Choice'!$B$28</f>
        <v>180160</v>
      </c>
      <c r="C308" s="11"/>
      <c r="D308" s="12"/>
      <c r="E308" s="12"/>
      <c r="F308" s="11"/>
      <c r="G308" s="11">
        <f>(T308/$B308)+(T308/('Optimal Choice'!$B$4*AO308))</f>
        <v>666.3269951</v>
      </c>
      <c r="H308" s="11">
        <f>(U308/$B308)+(U308/('Optimal Choice'!$B$9*AP308))</f>
        <v>697.6714974</v>
      </c>
      <c r="I308" s="11">
        <f>(V308/$B308)+(V308/('Optimal Choice'!$B$14*AQ308))</f>
        <v>665.007531</v>
      </c>
      <c r="J308" s="11">
        <f>(W308/$B308)+(W308/('Optimal Choice'!$B$19*AR308))</f>
        <v>643.719302</v>
      </c>
      <c r="K308" s="11">
        <f>(X308/$B308)+(X308/('Optimal Choice'!$B$24*AS308))</f>
        <v>658.311888</v>
      </c>
      <c r="N308" s="12">
        <f t="shared" ref="N308:R308" si="918">if(min($G307:$K307)=G307,N307+1,N307)</f>
        <v>140</v>
      </c>
      <c r="O308" s="12">
        <f t="shared" si="918"/>
        <v>61</v>
      </c>
      <c r="P308" s="12">
        <f t="shared" si="918"/>
        <v>45</v>
      </c>
      <c r="Q308" s="12">
        <f t="shared" si="918"/>
        <v>39</v>
      </c>
      <c r="R308" s="12">
        <f t="shared" si="918"/>
        <v>22</v>
      </c>
      <c r="T308" s="13">
        <f> 'Optimal Choice'!$B$5*'Optimal Choice'!$B$6^(N308+1)</f>
        <v>55612.52896</v>
      </c>
      <c r="U308" s="13">
        <f> 'Optimal Choice'!$B$10*'Optimal Choice'!$B$11^(O308+1)</f>
        <v>347870.3005</v>
      </c>
      <c r="V308" s="13">
        <f> 'Optimal Choice'!$B$15*'Optimal Choice'!$B$16^(P308+1)</f>
        <v>298507.7823</v>
      </c>
      <c r="W308" s="13">
        <f> 'Optimal Choice'!$B$20*'Optimal Choice'!$B$21^(Q308+1)</f>
        <v>1147232.606</v>
      </c>
      <c r="X308" s="13">
        <f> 'Optimal Choice'!$B$25*'Optimal Choice'!$B$26^(R308+1)</f>
        <v>1405107.364</v>
      </c>
      <c r="AA308" s="12">
        <f t="shared" ref="AA308:AE308" si="919">if(isna(VLOOKUP(N308,$D$2:$E$10,2,false)),AA307, VLOOKUP(N308,$D$2:$E$10,2,false))</f>
        <v>50</v>
      </c>
      <c r="AB308" s="12">
        <f t="shared" si="919"/>
        <v>25</v>
      </c>
      <c r="AC308" s="12">
        <f t="shared" si="919"/>
        <v>5</v>
      </c>
      <c r="AD308" s="12">
        <f t="shared" si="919"/>
        <v>5</v>
      </c>
      <c r="AE308" s="15">
        <f t="shared" si="919"/>
        <v>1</v>
      </c>
      <c r="AH308" s="15">
        <f>N308*'Optimal Choice'!$B$4*AA308</f>
        <v>11690</v>
      </c>
      <c r="AI308" s="15">
        <f>O308*'Optimal Choice'!$B$9*AB308</f>
        <v>30500</v>
      </c>
      <c r="AJ308" s="15">
        <f>P308*'Optimal Choice'!$B$14*AC308</f>
        <v>20250</v>
      </c>
      <c r="AK308" s="15">
        <f>Q308*'Optimal Choice'!$B$19*AD308</f>
        <v>70200</v>
      </c>
      <c r="AL308" s="15">
        <f>R308*'Optimal Choice'!$B$24*AE308</f>
        <v>47520</v>
      </c>
      <c r="AO308" s="12">
        <f t="shared" ref="AO308:AS308" si="920">if(isna(VLOOKUP(N308+1,$D$2:$E$10,2,false)),AO307, VLOOKUP(N308+1,$D$2:$E$10,2,false))</f>
        <v>50</v>
      </c>
      <c r="AP308" s="12">
        <f t="shared" si="920"/>
        <v>25</v>
      </c>
      <c r="AQ308" s="12">
        <f t="shared" si="920"/>
        <v>5</v>
      </c>
      <c r="AR308" s="12">
        <f t="shared" si="920"/>
        <v>5</v>
      </c>
      <c r="AS308" s="15">
        <f t="shared" si="920"/>
        <v>1</v>
      </c>
      <c r="AU308" s="11">
        <f t="shared" si="8"/>
        <v>0.004810393188</v>
      </c>
    </row>
    <row r="309" ht="15.75" customHeight="1">
      <c r="A309" s="16">
        <f t="shared" si="4"/>
        <v>6.546465401</v>
      </c>
      <c r="B309" s="7">
        <f>(sum(AH309:AL309))*'Optimal Choice'!$B$28</f>
        <v>181960</v>
      </c>
      <c r="C309" s="11"/>
      <c r="D309" s="12"/>
      <c r="E309" s="12"/>
      <c r="F309" s="11"/>
      <c r="G309" s="11">
        <f>(T309/$B309)+(T309/('Optimal Choice'!$B$4*AO309))</f>
        <v>666.3239415</v>
      </c>
      <c r="H309" s="11">
        <f>(U309/$B309)+(U309/('Optimal Choice'!$B$9*AP309))</f>
        <v>697.6523964</v>
      </c>
      <c r="I309" s="11">
        <f>(V309/$B309)+(V309/('Optimal Choice'!$B$14*AQ309))</f>
        <v>664.9911405</v>
      </c>
      <c r="J309" s="11">
        <f>(W309/$B309)+(W309/('Optimal Choice'!$B$19*AR309))</f>
        <v>727.3316296</v>
      </c>
      <c r="K309" s="11">
        <f>(X309/$B309)+(X309/('Optimal Choice'!$B$24*AS309))</f>
        <v>658.2347359</v>
      </c>
      <c r="N309" s="12">
        <f t="shared" ref="N309:R309" si="921">if(min($G308:$K308)=G308,N308+1,N308)</f>
        <v>140</v>
      </c>
      <c r="O309" s="12">
        <f t="shared" si="921"/>
        <v>61</v>
      </c>
      <c r="P309" s="12">
        <f t="shared" si="921"/>
        <v>45</v>
      </c>
      <c r="Q309" s="12">
        <f t="shared" si="921"/>
        <v>40</v>
      </c>
      <c r="R309" s="12">
        <f t="shared" si="921"/>
        <v>22</v>
      </c>
      <c r="T309" s="13">
        <f> 'Optimal Choice'!$B$5*'Optimal Choice'!$B$6^(N309+1)</f>
        <v>55612.52896</v>
      </c>
      <c r="U309" s="13">
        <f> 'Optimal Choice'!$B$10*'Optimal Choice'!$B$11^(O309+1)</f>
        <v>347870.3005</v>
      </c>
      <c r="V309" s="13">
        <f> 'Optimal Choice'!$B$15*'Optimal Choice'!$B$16^(P309+1)</f>
        <v>298507.7823</v>
      </c>
      <c r="W309" s="13">
        <f> 'Optimal Choice'!$B$20*'Optimal Choice'!$B$21^(Q309+1)</f>
        <v>1296372.845</v>
      </c>
      <c r="X309" s="13">
        <f> 'Optimal Choice'!$B$25*'Optimal Choice'!$B$26^(R309+1)</f>
        <v>1405107.364</v>
      </c>
      <c r="AA309" s="12">
        <f t="shared" ref="AA309:AE309" si="922">if(isna(VLOOKUP(N309,$D$2:$E$10,2,false)),AA308, VLOOKUP(N309,$D$2:$E$10,2,false))</f>
        <v>50</v>
      </c>
      <c r="AB309" s="12">
        <f t="shared" si="922"/>
        <v>25</v>
      </c>
      <c r="AC309" s="12">
        <f t="shared" si="922"/>
        <v>5</v>
      </c>
      <c r="AD309" s="12">
        <f t="shared" si="922"/>
        <v>5</v>
      </c>
      <c r="AE309" s="15">
        <f t="shared" si="922"/>
        <v>1</v>
      </c>
      <c r="AH309" s="15">
        <f>N309*'Optimal Choice'!$B$4*AA309</f>
        <v>11690</v>
      </c>
      <c r="AI309" s="15">
        <f>O309*'Optimal Choice'!$B$9*AB309</f>
        <v>30500</v>
      </c>
      <c r="AJ309" s="15">
        <f>P309*'Optimal Choice'!$B$14*AC309</f>
        <v>20250</v>
      </c>
      <c r="AK309" s="15">
        <f>Q309*'Optimal Choice'!$B$19*AD309</f>
        <v>72000</v>
      </c>
      <c r="AL309" s="15">
        <f>R309*'Optimal Choice'!$B$24*AE309</f>
        <v>47520</v>
      </c>
      <c r="AO309" s="12">
        <f t="shared" ref="AO309:AS309" si="923">if(isna(VLOOKUP(N309+1,$D$2:$E$10,2,false)),AO308, VLOOKUP(N309+1,$D$2:$E$10,2,false))</f>
        <v>50</v>
      </c>
      <c r="AP309" s="12">
        <f t="shared" si="923"/>
        <v>25</v>
      </c>
      <c r="AQ309" s="12">
        <f t="shared" si="923"/>
        <v>5</v>
      </c>
      <c r="AR309" s="12">
        <f t="shared" si="923"/>
        <v>5</v>
      </c>
      <c r="AS309" s="15">
        <f t="shared" si="923"/>
        <v>1</v>
      </c>
      <c r="AU309" s="11">
        <f t="shared" si="8"/>
        <v>0.1061309027</v>
      </c>
    </row>
    <row r="310" ht="15.75" customHeight="1">
      <c r="A310" s="16">
        <f t="shared" si="4"/>
        <v>6.675166523</v>
      </c>
      <c r="B310" s="7">
        <f>(sum(AH310:AL310))*'Optimal Choice'!$B$28</f>
        <v>184120</v>
      </c>
      <c r="C310" s="11"/>
      <c r="D310" s="12"/>
      <c r="E310" s="12"/>
      <c r="F310" s="11"/>
      <c r="G310" s="11">
        <f>(T310/$B310)+(T310/('Optimal Choice'!$B$4*AO310))</f>
        <v>666.320356</v>
      </c>
      <c r="H310" s="11">
        <f>(U310/$B310)+(U310/('Optimal Choice'!$B$9*AP310))</f>
        <v>697.6299682</v>
      </c>
      <c r="I310" s="11">
        <f>(V310/$B310)+(V310/('Optimal Choice'!$B$14*AQ310))</f>
        <v>664.9718948</v>
      </c>
      <c r="J310" s="11">
        <f>(W310/$B310)+(W310/('Optimal Choice'!$B$19*AR310))</f>
        <v>727.2480488</v>
      </c>
      <c r="K310" s="11">
        <f>(X310/$B310)+(X310/('Optimal Choice'!$B$24*AS310))</f>
        <v>737.121442</v>
      </c>
      <c r="N310" s="12">
        <f t="shared" ref="N310:R310" si="924">if(min($G309:$K309)=G309,N309+1,N309)</f>
        <v>140</v>
      </c>
      <c r="O310" s="12">
        <f t="shared" si="924"/>
        <v>61</v>
      </c>
      <c r="P310" s="12">
        <f t="shared" si="924"/>
        <v>45</v>
      </c>
      <c r="Q310" s="12">
        <f t="shared" si="924"/>
        <v>40</v>
      </c>
      <c r="R310" s="12">
        <f t="shared" si="924"/>
        <v>23</v>
      </c>
      <c r="T310" s="13">
        <f> 'Optimal Choice'!$B$5*'Optimal Choice'!$B$6^(N310+1)</f>
        <v>55612.52896</v>
      </c>
      <c r="U310" s="13">
        <f> 'Optimal Choice'!$B$10*'Optimal Choice'!$B$11^(O310+1)</f>
        <v>347870.3005</v>
      </c>
      <c r="V310" s="13">
        <f> 'Optimal Choice'!$B$15*'Optimal Choice'!$B$16^(P310+1)</f>
        <v>298507.7823</v>
      </c>
      <c r="W310" s="13">
        <f> 'Optimal Choice'!$B$20*'Optimal Choice'!$B$21^(Q310+1)</f>
        <v>1296372.845</v>
      </c>
      <c r="X310" s="13">
        <f> 'Optimal Choice'!$B$25*'Optimal Choice'!$B$26^(R310+1)</f>
        <v>1573720.248</v>
      </c>
      <c r="AA310" s="12">
        <f t="shared" ref="AA310:AE310" si="925">if(isna(VLOOKUP(N310,$D$2:$E$10,2,false)),AA309, VLOOKUP(N310,$D$2:$E$10,2,false))</f>
        <v>50</v>
      </c>
      <c r="AB310" s="12">
        <f t="shared" si="925"/>
        <v>25</v>
      </c>
      <c r="AC310" s="12">
        <f t="shared" si="925"/>
        <v>5</v>
      </c>
      <c r="AD310" s="12">
        <f t="shared" si="925"/>
        <v>5</v>
      </c>
      <c r="AE310" s="15">
        <f t="shared" si="925"/>
        <v>1</v>
      </c>
      <c r="AH310" s="15">
        <f>N310*'Optimal Choice'!$B$4*AA310</f>
        <v>11690</v>
      </c>
      <c r="AI310" s="15">
        <f>O310*'Optimal Choice'!$B$9*AB310</f>
        <v>30500</v>
      </c>
      <c r="AJ310" s="15">
        <f>P310*'Optimal Choice'!$B$14*AC310</f>
        <v>20250</v>
      </c>
      <c r="AK310" s="15">
        <f>Q310*'Optimal Choice'!$B$19*AD310</f>
        <v>72000</v>
      </c>
      <c r="AL310" s="15">
        <f>R310*'Optimal Choice'!$B$24*AE310</f>
        <v>49680</v>
      </c>
      <c r="AO310" s="12">
        <f t="shared" ref="AO310:AS310" si="926">if(isna(VLOOKUP(N310+1,$D$2:$E$10,2,false)),AO309, VLOOKUP(N310+1,$D$2:$E$10,2,false))</f>
        <v>50</v>
      </c>
      <c r="AP310" s="12">
        <f t="shared" si="926"/>
        <v>25</v>
      </c>
      <c r="AQ310" s="12">
        <f t="shared" si="926"/>
        <v>5</v>
      </c>
      <c r="AR310" s="12">
        <f t="shared" si="926"/>
        <v>5</v>
      </c>
      <c r="AS310" s="15">
        <f t="shared" si="926"/>
        <v>1</v>
      </c>
      <c r="AU310" s="11">
        <f t="shared" si="8"/>
        <v>0.1287011215</v>
      </c>
    </row>
    <row r="311" ht="15.75" customHeight="1">
      <c r="A311" s="16">
        <f t="shared" si="4"/>
        <v>6.702187649</v>
      </c>
      <c r="B311" s="7">
        <f>(sum(AH311:AL311))*'Optimal Choice'!$B$28</f>
        <v>184570</v>
      </c>
      <c r="C311" s="11"/>
      <c r="D311" s="12"/>
      <c r="E311" s="12"/>
      <c r="F311" s="11"/>
      <c r="G311" s="11">
        <f>(T311/$B311)+(T311/('Optimal Choice'!$B$4*AO311))</f>
        <v>666.3196195</v>
      </c>
      <c r="H311" s="11">
        <f>(U311/$B311)+(U311/('Optimal Choice'!$B$9*AP311))</f>
        <v>697.6253617</v>
      </c>
      <c r="I311" s="11">
        <f>(V311/$B311)+(V311/('Optimal Choice'!$B$14*AQ311))</f>
        <v>758.0634539</v>
      </c>
      <c r="J311" s="11">
        <f>(W311/$B311)+(W311/('Optimal Choice'!$B$19*AR311))</f>
        <v>727.2308823</v>
      </c>
      <c r="K311" s="11">
        <f>(X311/$B311)+(X311/('Optimal Choice'!$B$24*AS311))</f>
        <v>737.1006029</v>
      </c>
      <c r="N311" s="12">
        <f t="shared" ref="N311:R311" si="927">if(min($G310:$K310)=G310,N310+1,N310)</f>
        <v>140</v>
      </c>
      <c r="O311" s="12">
        <f t="shared" si="927"/>
        <v>61</v>
      </c>
      <c r="P311" s="12">
        <f t="shared" si="927"/>
        <v>46</v>
      </c>
      <c r="Q311" s="12">
        <f t="shared" si="927"/>
        <v>40</v>
      </c>
      <c r="R311" s="12">
        <f t="shared" si="927"/>
        <v>23</v>
      </c>
      <c r="T311" s="13">
        <f> 'Optimal Choice'!$B$5*'Optimal Choice'!$B$6^(N311+1)</f>
        <v>55612.52896</v>
      </c>
      <c r="U311" s="13">
        <f> 'Optimal Choice'!$B$10*'Optimal Choice'!$B$11^(O311+1)</f>
        <v>347870.3005</v>
      </c>
      <c r="V311" s="13">
        <f> 'Optimal Choice'!$B$15*'Optimal Choice'!$B$16^(P311+1)</f>
        <v>340298.8718</v>
      </c>
      <c r="W311" s="13">
        <f> 'Optimal Choice'!$B$20*'Optimal Choice'!$B$21^(Q311+1)</f>
        <v>1296372.845</v>
      </c>
      <c r="X311" s="13">
        <f> 'Optimal Choice'!$B$25*'Optimal Choice'!$B$26^(R311+1)</f>
        <v>1573720.248</v>
      </c>
      <c r="AA311" s="12">
        <f t="shared" ref="AA311:AE311" si="928">if(isna(VLOOKUP(N311,$D$2:$E$10,2,false)),AA310, VLOOKUP(N311,$D$2:$E$10,2,false))</f>
        <v>50</v>
      </c>
      <c r="AB311" s="12">
        <f t="shared" si="928"/>
        <v>25</v>
      </c>
      <c r="AC311" s="12">
        <f t="shared" si="928"/>
        <v>5</v>
      </c>
      <c r="AD311" s="12">
        <f t="shared" si="928"/>
        <v>5</v>
      </c>
      <c r="AE311" s="15">
        <f t="shared" si="928"/>
        <v>1</v>
      </c>
      <c r="AH311" s="15">
        <f>N311*'Optimal Choice'!$B$4*AA311</f>
        <v>11690</v>
      </c>
      <c r="AI311" s="15">
        <f>O311*'Optimal Choice'!$B$9*AB311</f>
        <v>30500</v>
      </c>
      <c r="AJ311" s="15">
        <f>P311*'Optimal Choice'!$B$14*AC311</f>
        <v>20700</v>
      </c>
      <c r="AK311" s="15">
        <f>Q311*'Optimal Choice'!$B$19*AD311</f>
        <v>72000</v>
      </c>
      <c r="AL311" s="15">
        <f>R311*'Optimal Choice'!$B$24*AE311</f>
        <v>49680</v>
      </c>
      <c r="AO311" s="12">
        <f t="shared" ref="AO311:AS311" si="929">if(isna(VLOOKUP(N311+1,$D$2:$E$10,2,false)),AO310, VLOOKUP(N311+1,$D$2:$E$10,2,false))</f>
        <v>50</v>
      </c>
      <c r="AP311" s="12">
        <f t="shared" si="929"/>
        <v>25</v>
      </c>
      <c r="AQ311" s="12">
        <f t="shared" si="929"/>
        <v>5</v>
      </c>
      <c r="AR311" s="12">
        <f t="shared" si="929"/>
        <v>5</v>
      </c>
      <c r="AS311" s="15">
        <f t="shared" si="929"/>
        <v>1</v>
      </c>
      <c r="AU311" s="11">
        <f t="shared" si="8"/>
        <v>0.02702112592</v>
      </c>
    </row>
    <row r="312" ht="15.75" customHeight="1">
      <c r="A312" s="16">
        <f t="shared" si="4"/>
        <v>6.707209459</v>
      </c>
      <c r="B312" s="7">
        <f>(sum(AH312:AL312))*'Optimal Choice'!$B$28</f>
        <v>184653.5</v>
      </c>
      <c r="C312" s="11"/>
      <c r="D312" s="12"/>
      <c r="E312" s="12"/>
      <c r="F312" s="11"/>
      <c r="G312" s="11">
        <f>(T312/$B312)+(T312/('Optimal Choice'!$B$4*AO312))</f>
        <v>712.9618471</v>
      </c>
      <c r="H312" s="11">
        <f>(U312/$B312)+(U312/('Optimal Choice'!$B$9*AP312))</f>
        <v>697.6245094</v>
      </c>
      <c r="I312" s="11">
        <f>(V312/$B312)+(V312/('Optimal Choice'!$B$14*AQ312))</f>
        <v>758.0626201</v>
      </c>
      <c r="J312" s="11">
        <f>(W312/$B312)+(W312/('Optimal Choice'!$B$19*AR312))</f>
        <v>727.2277062</v>
      </c>
      <c r="K312" s="11">
        <f>(X312/$B312)+(X312/('Optimal Choice'!$B$24*AS312))</f>
        <v>737.0967473</v>
      </c>
      <c r="N312" s="12">
        <f t="shared" ref="N312:R312" si="930">if(min($G311:$K311)=G311,N311+1,N311)</f>
        <v>141</v>
      </c>
      <c r="O312" s="12">
        <f t="shared" si="930"/>
        <v>61</v>
      </c>
      <c r="P312" s="12">
        <f t="shared" si="930"/>
        <v>46</v>
      </c>
      <c r="Q312" s="12">
        <f t="shared" si="930"/>
        <v>40</v>
      </c>
      <c r="R312" s="12">
        <f t="shared" si="930"/>
        <v>23</v>
      </c>
      <c r="T312" s="13">
        <f> 'Optimal Choice'!$B$5*'Optimal Choice'!$B$6^(N312+1)</f>
        <v>59505.40599</v>
      </c>
      <c r="U312" s="13">
        <f> 'Optimal Choice'!$B$10*'Optimal Choice'!$B$11^(O312+1)</f>
        <v>347870.3005</v>
      </c>
      <c r="V312" s="13">
        <f> 'Optimal Choice'!$B$15*'Optimal Choice'!$B$16^(P312+1)</f>
        <v>340298.8718</v>
      </c>
      <c r="W312" s="13">
        <f> 'Optimal Choice'!$B$20*'Optimal Choice'!$B$21^(Q312+1)</f>
        <v>1296372.845</v>
      </c>
      <c r="X312" s="13">
        <f> 'Optimal Choice'!$B$25*'Optimal Choice'!$B$26^(R312+1)</f>
        <v>1573720.248</v>
      </c>
      <c r="AA312" s="12">
        <f t="shared" ref="AA312:AE312" si="931">if(isna(VLOOKUP(N312,$D$2:$E$10,2,false)),AA311, VLOOKUP(N312,$D$2:$E$10,2,false))</f>
        <v>50</v>
      </c>
      <c r="AB312" s="12">
        <f t="shared" si="931"/>
        <v>25</v>
      </c>
      <c r="AC312" s="12">
        <f t="shared" si="931"/>
        <v>5</v>
      </c>
      <c r="AD312" s="12">
        <f t="shared" si="931"/>
        <v>5</v>
      </c>
      <c r="AE312" s="15">
        <f t="shared" si="931"/>
        <v>1</v>
      </c>
      <c r="AH312" s="15">
        <f>N312*'Optimal Choice'!$B$4*AA312</f>
        <v>11773.5</v>
      </c>
      <c r="AI312" s="15">
        <f>O312*'Optimal Choice'!$B$9*AB312</f>
        <v>30500</v>
      </c>
      <c r="AJ312" s="15">
        <f>P312*'Optimal Choice'!$B$14*AC312</f>
        <v>20700</v>
      </c>
      <c r="AK312" s="15">
        <f>Q312*'Optimal Choice'!$B$19*AD312</f>
        <v>72000</v>
      </c>
      <c r="AL312" s="15">
        <f>R312*'Optimal Choice'!$B$24*AE312</f>
        <v>49680</v>
      </c>
      <c r="AO312" s="12">
        <f t="shared" ref="AO312:AS312" si="932">if(isna(VLOOKUP(N312+1,$D$2:$E$10,2,false)),AO311, VLOOKUP(N312+1,$D$2:$E$10,2,false))</f>
        <v>50</v>
      </c>
      <c r="AP312" s="12">
        <f t="shared" si="932"/>
        <v>25</v>
      </c>
      <c r="AQ312" s="12">
        <f t="shared" si="932"/>
        <v>5</v>
      </c>
      <c r="AR312" s="12">
        <f t="shared" si="932"/>
        <v>5</v>
      </c>
      <c r="AS312" s="15">
        <f t="shared" si="932"/>
        <v>1</v>
      </c>
      <c r="AU312" s="11">
        <f t="shared" si="8"/>
        <v>0.00502181006</v>
      </c>
    </row>
    <row r="313" ht="15.75" customHeight="1">
      <c r="A313" s="16">
        <f t="shared" si="4"/>
        <v>6.738607934</v>
      </c>
      <c r="B313" s="7">
        <f>(sum(AH313:AL313))*'Optimal Choice'!$B$28</f>
        <v>185153.5</v>
      </c>
      <c r="C313" s="11"/>
      <c r="D313" s="12"/>
      <c r="E313" s="12"/>
      <c r="F313" s="11"/>
      <c r="G313" s="11">
        <f>(T313/$B313)+(T313/('Optimal Choice'!$B$4*AO313))</f>
        <v>712.9609769</v>
      </c>
      <c r="H313" s="11">
        <f>(U313/$B313)+(U313/('Optimal Choice'!$B$9*AP313))</f>
        <v>802.2623353</v>
      </c>
      <c r="I313" s="11">
        <f>(V313/$B313)+(V313/('Optimal Choice'!$B$14*AQ313))</f>
        <v>758.0576434</v>
      </c>
      <c r="J313" s="11">
        <f>(W313/$B313)+(W313/('Optimal Choice'!$B$19*AR313))</f>
        <v>727.2087474</v>
      </c>
      <c r="K313" s="11">
        <f>(X313/$B313)+(X313/('Optimal Choice'!$B$24*AS313))</f>
        <v>737.0737325</v>
      </c>
      <c r="N313" s="12">
        <f t="shared" ref="N313:R313" si="933">if(min($G312:$K312)=G312,N312+1,N312)</f>
        <v>141</v>
      </c>
      <c r="O313" s="12">
        <f t="shared" si="933"/>
        <v>62</v>
      </c>
      <c r="P313" s="12">
        <f t="shared" si="933"/>
        <v>46</v>
      </c>
      <c r="Q313" s="12">
        <f t="shared" si="933"/>
        <v>40</v>
      </c>
      <c r="R313" s="12">
        <f t="shared" si="933"/>
        <v>23</v>
      </c>
      <c r="T313" s="13">
        <f> 'Optimal Choice'!$B$5*'Optimal Choice'!$B$6^(N313+1)</f>
        <v>59505.40599</v>
      </c>
      <c r="U313" s="13">
        <f> 'Optimal Choice'!$B$10*'Optimal Choice'!$B$11^(O313+1)</f>
        <v>400050.8455</v>
      </c>
      <c r="V313" s="13">
        <f> 'Optimal Choice'!$B$15*'Optimal Choice'!$B$16^(P313+1)</f>
        <v>340298.8718</v>
      </c>
      <c r="W313" s="13">
        <f> 'Optimal Choice'!$B$20*'Optimal Choice'!$B$21^(Q313+1)</f>
        <v>1296372.845</v>
      </c>
      <c r="X313" s="13">
        <f> 'Optimal Choice'!$B$25*'Optimal Choice'!$B$26^(R313+1)</f>
        <v>1573720.248</v>
      </c>
      <c r="AA313" s="12">
        <f t="shared" ref="AA313:AE313" si="934">if(isna(VLOOKUP(N313,$D$2:$E$10,2,false)),AA312, VLOOKUP(N313,$D$2:$E$10,2,false))</f>
        <v>50</v>
      </c>
      <c r="AB313" s="12">
        <f t="shared" si="934"/>
        <v>25</v>
      </c>
      <c r="AC313" s="12">
        <f t="shared" si="934"/>
        <v>5</v>
      </c>
      <c r="AD313" s="12">
        <f t="shared" si="934"/>
        <v>5</v>
      </c>
      <c r="AE313" s="15">
        <f t="shared" si="934"/>
        <v>1</v>
      </c>
      <c r="AH313" s="15">
        <f>N313*'Optimal Choice'!$B$4*AA313</f>
        <v>11773.5</v>
      </c>
      <c r="AI313" s="15">
        <f>O313*'Optimal Choice'!$B$9*AB313</f>
        <v>31000</v>
      </c>
      <c r="AJ313" s="15">
        <f>P313*'Optimal Choice'!$B$14*AC313</f>
        <v>20700</v>
      </c>
      <c r="AK313" s="15">
        <f>Q313*'Optimal Choice'!$B$19*AD313</f>
        <v>72000</v>
      </c>
      <c r="AL313" s="15">
        <f>R313*'Optimal Choice'!$B$24*AE313</f>
        <v>49680</v>
      </c>
      <c r="AO313" s="12">
        <f t="shared" ref="AO313:AS313" si="935">if(isna(VLOOKUP(N313+1,$D$2:$E$10,2,false)),AO312, VLOOKUP(N313+1,$D$2:$E$10,2,false))</f>
        <v>50</v>
      </c>
      <c r="AP313" s="12">
        <f t="shared" si="935"/>
        <v>25</v>
      </c>
      <c r="AQ313" s="12">
        <f t="shared" si="935"/>
        <v>5</v>
      </c>
      <c r="AR313" s="12">
        <f t="shared" si="935"/>
        <v>5</v>
      </c>
      <c r="AS313" s="15">
        <f t="shared" si="935"/>
        <v>1</v>
      </c>
      <c r="AU313" s="11">
        <f t="shared" si="8"/>
        <v>0.0313984752</v>
      </c>
    </row>
    <row r="314" ht="15.75" customHeight="1">
      <c r="A314" s="16">
        <f t="shared" si="4"/>
        <v>6.743964337</v>
      </c>
      <c r="B314" s="7">
        <f>(sum(AH314:AL314))*'Optimal Choice'!$B$28</f>
        <v>185237</v>
      </c>
      <c r="C314" s="11"/>
      <c r="D314" s="12"/>
      <c r="E314" s="12"/>
      <c r="F314" s="11"/>
      <c r="G314" s="11">
        <f>(T314/$B314)+(T314/('Optimal Choice'!$B$4*AO314))</f>
        <v>762.8680903</v>
      </c>
      <c r="H314" s="11">
        <f>(U314/$B314)+(U314/('Optimal Choice'!$B$9*AP314))</f>
        <v>802.2613614</v>
      </c>
      <c r="I314" s="11">
        <f>(V314/$B314)+(V314/('Optimal Choice'!$B$14*AQ314))</f>
        <v>758.056815</v>
      </c>
      <c r="J314" s="11">
        <f>(W314/$B314)+(W314/('Optimal Choice'!$B$19*AR314))</f>
        <v>727.2055913</v>
      </c>
      <c r="K314" s="11">
        <f>(X314/$B314)+(X314/('Optimal Choice'!$B$24*AS314))</f>
        <v>737.0699011</v>
      </c>
      <c r="N314" s="12">
        <f t="shared" ref="N314:R314" si="936">if(min($G313:$K313)=G313,N313+1,N313)</f>
        <v>142</v>
      </c>
      <c r="O314" s="12">
        <f t="shared" si="936"/>
        <v>62</v>
      </c>
      <c r="P314" s="12">
        <f t="shared" si="936"/>
        <v>46</v>
      </c>
      <c r="Q314" s="12">
        <f t="shared" si="936"/>
        <v>40</v>
      </c>
      <c r="R314" s="12">
        <f t="shared" si="936"/>
        <v>23</v>
      </c>
      <c r="T314" s="13">
        <f> 'Optimal Choice'!$B$5*'Optimal Choice'!$B$6^(N314+1)</f>
        <v>63670.78441</v>
      </c>
      <c r="U314" s="13">
        <f> 'Optimal Choice'!$B$10*'Optimal Choice'!$B$11^(O314+1)</f>
        <v>400050.8455</v>
      </c>
      <c r="V314" s="13">
        <f> 'Optimal Choice'!$B$15*'Optimal Choice'!$B$16^(P314+1)</f>
        <v>340298.8718</v>
      </c>
      <c r="W314" s="13">
        <f> 'Optimal Choice'!$B$20*'Optimal Choice'!$B$21^(Q314+1)</f>
        <v>1296372.845</v>
      </c>
      <c r="X314" s="13">
        <f> 'Optimal Choice'!$B$25*'Optimal Choice'!$B$26^(R314+1)</f>
        <v>1573720.248</v>
      </c>
      <c r="AA314" s="12">
        <f t="shared" ref="AA314:AE314" si="937">if(isna(VLOOKUP(N314,$D$2:$E$10,2,false)),AA313, VLOOKUP(N314,$D$2:$E$10,2,false))</f>
        <v>50</v>
      </c>
      <c r="AB314" s="12">
        <f t="shared" si="937"/>
        <v>25</v>
      </c>
      <c r="AC314" s="12">
        <f t="shared" si="937"/>
        <v>5</v>
      </c>
      <c r="AD314" s="12">
        <f t="shared" si="937"/>
        <v>5</v>
      </c>
      <c r="AE314" s="15">
        <f t="shared" si="937"/>
        <v>1</v>
      </c>
      <c r="AH314" s="15">
        <f>N314*'Optimal Choice'!$B$4*AA314</f>
        <v>11857</v>
      </c>
      <c r="AI314" s="15">
        <f>O314*'Optimal Choice'!$B$9*AB314</f>
        <v>31000</v>
      </c>
      <c r="AJ314" s="15">
        <f>P314*'Optimal Choice'!$B$14*AC314</f>
        <v>20700</v>
      </c>
      <c r="AK314" s="15">
        <f>Q314*'Optimal Choice'!$B$19*AD314</f>
        <v>72000</v>
      </c>
      <c r="AL314" s="15">
        <f>R314*'Optimal Choice'!$B$24*AE314</f>
        <v>49680</v>
      </c>
      <c r="AO314" s="12">
        <f t="shared" ref="AO314:AS314" si="938">if(isna(VLOOKUP(N314+1,$D$2:$E$10,2,false)),AO313, VLOOKUP(N314+1,$D$2:$E$10,2,false))</f>
        <v>50</v>
      </c>
      <c r="AP314" s="12">
        <f t="shared" si="938"/>
        <v>25</v>
      </c>
      <c r="AQ314" s="12">
        <f t="shared" si="938"/>
        <v>5</v>
      </c>
      <c r="AR314" s="12">
        <f t="shared" si="938"/>
        <v>5</v>
      </c>
      <c r="AS314" s="15">
        <f t="shared" si="938"/>
        <v>1</v>
      </c>
      <c r="AU314" s="11">
        <f t="shared" si="8"/>
        <v>0.00535640302</v>
      </c>
    </row>
    <row r="315" ht="15.75" customHeight="1">
      <c r="A315" s="16">
        <f t="shared" si="4"/>
        <v>6.860605257</v>
      </c>
      <c r="B315" s="7">
        <f>(sum(AH315:AL315))*'Optimal Choice'!$B$28</f>
        <v>187037</v>
      </c>
      <c r="C315" s="11"/>
      <c r="D315" s="12"/>
      <c r="E315" s="12"/>
      <c r="F315" s="11"/>
      <c r="G315" s="11">
        <f>(T315/$B315)+(T315/('Optimal Choice'!$B$4*AO315))</f>
        <v>762.8647823</v>
      </c>
      <c r="H315" s="11">
        <f>(U315/$B315)+(U315/('Optimal Choice'!$B$9*AP315))</f>
        <v>802.2405772</v>
      </c>
      <c r="I315" s="11">
        <f>(V315/$B315)+(V315/('Optimal Choice'!$B$14*AQ315))</f>
        <v>758.0391351</v>
      </c>
      <c r="J315" s="11">
        <f>(W315/$B315)+(W315/('Optimal Choice'!$B$19*AR315))</f>
        <v>821.6662109</v>
      </c>
      <c r="K315" s="11">
        <f>(X315/$B315)+(X315/('Optimal Choice'!$B$24*AS315))</f>
        <v>736.9881404</v>
      </c>
      <c r="N315" s="12">
        <f t="shared" ref="N315:R315" si="939">if(min($G314:$K314)=G314,N314+1,N314)</f>
        <v>142</v>
      </c>
      <c r="O315" s="12">
        <f t="shared" si="939"/>
        <v>62</v>
      </c>
      <c r="P315" s="12">
        <f t="shared" si="939"/>
        <v>46</v>
      </c>
      <c r="Q315" s="12">
        <f t="shared" si="939"/>
        <v>41</v>
      </c>
      <c r="R315" s="12">
        <f t="shared" si="939"/>
        <v>23</v>
      </c>
      <c r="T315" s="13">
        <f> 'Optimal Choice'!$B$5*'Optimal Choice'!$B$6^(N315+1)</f>
        <v>63670.78441</v>
      </c>
      <c r="U315" s="13">
        <f> 'Optimal Choice'!$B$10*'Optimal Choice'!$B$11^(O315+1)</f>
        <v>400050.8455</v>
      </c>
      <c r="V315" s="13">
        <f> 'Optimal Choice'!$B$15*'Optimal Choice'!$B$16^(P315+1)</f>
        <v>340298.8718</v>
      </c>
      <c r="W315" s="13">
        <f> 'Optimal Choice'!$B$20*'Optimal Choice'!$B$21^(Q315+1)</f>
        <v>1464901.315</v>
      </c>
      <c r="X315" s="13">
        <f> 'Optimal Choice'!$B$25*'Optimal Choice'!$B$26^(R315+1)</f>
        <v>1573720.248</v>
      </c>
      <c r="AA315" s="12">
        <f t="shared" ref="AA315:AE315" si="940">if(isna(VLOOKUP(N315,$D$2:$E$10,2,false)),AA314, VLOOKUP(N315,$D$2:$E$10,2,false))</f>
        <v>50</v>
      </c>
      <c r="AB315" s="12">
        <f t="shared" si="940"/>
        <v>25</v>
      </c>
      <c r="AC315" s="12">
        <f t="shared" si="940"/>
        <v>5</v>
      </c>
      <c r="AD315" s="12">
        <f t="shared" si="940"/>
        <v>5</v>
      </c>
      <c r="AE315" s="15">
        <f t="shared" si="940"/>
        <v>1</v>
      </c>
      <c r="AH315" s="15">
        <f>N315*'Optimal Choice'!$B$4*AA315</f>
        <v>11857</v>
      </c>
      <c r="AI315" s="15">
        <f>O315*'Optimal Choice'!$B$9*AB315</f>
        <v>31000</v>
      </c>
      <c r="AJ315" s="15">
        <f>P315*'Optimal Choice'!$B$14*AC315</f>
        <v>20700</v>
      </c>
      <c r="AK315" s="15">
        <f>Q315*'Optimal Choice'!$B$19*AD315</f>
        <v>73800</v>
      </c>
      <c r="AL315" s="15">
        <f>R315*'Optimal Choice'!$B$24*AE315</f>
        <v>49680</v>
      </c>
      <c r="AO315" s="12">
        <f t="shared" ref="AO315:AS315" si="941">if(isna(VLOOKUP(N315+1,$D$2:$E$10,2,false)),AO314, VLOOKUP(N315+1,$D$2:$E$10,2,false))</f>
        <v>50</v>
      </c>
      <c r="AP315" s="12">
        <f t="shared" si="941"/>
        <v>25</v>
      </c>
      <c r="AQ315" s="12">
        <f t="shared" si="941"/>
        <v>5</v>
      </c>
      <c r="AR315" s="12">
        <f t="shared" si="941"/>
        <v>5</v>
      </c>
      <c r="AS315" s="15">
        <f t="shared" si="941"/>
        <v>1</v>
      </c>
      <c r="AU315" s="11">
        <f t="shared" si="8"/>
        <v>0.1166409199</v>
      </c>
    </row>
    <row r="316" ht="15.75" customHeight="1">
      <c r="A316" s="16">
        <f t="shared" si="4"/>
        <v>7.000837782</v>
      </c>
      <c r="B316" s="7">
        <f>(sum(AH316:AL316))*'Optimal Choice'!$B$28</f>
        <v>189197</v>
      </c>
      <c r="C316" s="11"/>
      <c r="D316" s="12"/>
      <c r="E316" s="12"/>
      <c r="F316" s="11"/>
      <c r="G316" s="11">
        <f>(T316/$B316)+(T316/('Optimal Choice'!$B$4*AO316))</f>
        <v>762.8608959</v>
      </c>
      <c r="H316" s="11">
        <f>(U316/$B316)+(U316/('Optimal Choice'!$B$9*AP316))</f>
        <v>802.2161582</v>
      </c>
      <c r="I316" s="11">
        <f>(V316/$B316)+(V316/('Optimal Choice'!$B$14*AQ316))</f>
        <v>758.0183634</v>
      </c>
      <c r="J316" s="11">
        <f>(W316/$B316)+(W316/('Optimal Choice'!$B$19*AR316))</f>
        <v>821.5767939</v>
      </c>
      <c r="K316" s="11">
        <f>(X316/$B316)+(X316/('Optimal Choice'!$B$24*AS316))</f>
        <v>172.5166576</v>
      </c>
      <c r="N316" s="12">
        <f t="shared" ref="N316:R316" si="942">if(min($G315:$K315)=G315,N315+1,N315)</f>
        <v>142</v>
      </c>
      <c r="O316" s="12">
        <f t="shared" si="942"/>
        <v>62</v>
      </c>
      <c r="P316" s="12">
        <f t="shared" si="942"/>
        <v>46</v>
      </c>
      <c r="Q316" s="12">
        <f t="shared" si="942"/>
        <v>41</v>
      </c>
      <c r="R316" s="12">
        <f t="shared" si="942"/>
        <v>24</v>
      </c>
      <c r="T316" s="13">
        <f> 'Optimal Choice'!$B$5*'Optimal Choice'!$B$6^(N316+1)</f>
        <v>63670.78441</v>
      </c>
      <c r="U316" s="13">
        <f> 'Optimal Choice'!$B$10*'Optimal Choice'!$B$11^(O316+1)</f>
        <v>400050.8455</v>
      </c>
      <c r="V316" s="13">
        <f> 'Optimal Choice'!$B$15*'Optimal Choice'!$B$16^(P316+1)</f>
        <v>340298.8718</v>
      </c>
      <c r="W316" s="13">
        <f> 'Optimal Choice'!$B$20*'Optimal Choice'!$B$21^(Q316+1)</f>
        <v>1464901.315</v>
      </c>
      <c r="X316" s="13">
        <f> 'Optimal Choice'!$B$25*'Optimal Choice'!$B$26^(R316+1)</f>
        <v>1762566.678</v>
      </c>
      <c r="AA316" s="12">
        <f t="shared" ref="AA316:AE316" si="943">if(isna(VLOOKUP(N316,$D$2:$E$10,2,false)),AA315, VLOOKUP(N316,$D$2:$E$10,2,false))</f>
        <v>50</v>
      </c>
      <c r="AB316" s="12">
        <f t="shared" si="943"/>
        <v>25</v>
      </c>
      <c r="AC316" s="12">
        <f t="shared" si="943"/>
        <v>5</v>
      </c>
      <c r="AD316" s="12">
        <f t="shared" si="943"/>
        <v>5</v>
      </c>
      <c r="AE316" s="15">
        <f t="shared" si="943"/>
        <v>1</v>
      </c>
      <c r="AH316" s="15">
        <f>N316*'Optimal Choice'!$B$4*AA316</f>
        <v>11857</v>
      </c>
      <c r="AI316" s="15">
        <f>O316*'Optimal Choice'!$B$9*AB316</f>
        <v>31000</v>
      </c>
      <c r="AJ316" s="15">
        <f>P316*'Optimal Choice'!$B$14*AC316</f>
        <v>20700</v>
      </c>
      <c r="AK316" s="15">
        <f>Q316*'Optimal Choice'!$B$19*AD316</f>
        <v>73800</v>
      </c>
      <c r="AL316" s="15">
        <f>R316*'Optimal Choice'!$B$24*AE316</f>
        <v>51840</v>
      </c>
      <c r="AO316" s="12">
        <f t="shared" ref="AO316:AS316" si="944">if(isna(VLOOKUP(N316+1,$D$2:$E$10,2,false)),AO315, VLOOKUP(N316+1,$D$2:$E$10,2,false))</f>
        <v>50</v>
      </c>
      <c r="AP316" s="12">
        <f t="shared" si="944"/>
        <v>25</v>
      </c>
      <c r="AQ316" s="12">
        <f t="shared" si="944"/>
        <v>5</v>
      </c>
      <c r="AR316" s="12">
        <f t="shared" si="944"/>
        <v>5</v>
      </c>
      <c r="AS316" s="12">
        <f t="shared" si="944"/>
        <v>5</v>
      </c>
      <c r="AU316" s="11">
        <f t="shared" si="8"/>
        <v>0.1402325251</v>
      </c>
    </row>
    <row r="317" ht="15.75" customHeight="1">
      <c r="A317" s="16">
        <f t="shared" si="4"/>
        <v>7.156105103</v>
      </c>
      <c r="B317" s="7">
        <f>(sum(AH317:AL317))*'Optimal Choice'!$B$28</f>
        <v>407357</v>
      </c>
      <c r="C317" s="11"/>
      <c r="D317" s="12"/>
      <c r="E317" s="12"/>
      <c r="F317" s="11"/>
      <c r="G317" s="11">
        <f>(T317/$B317)+(T317/('Optimal Choice'!$B$4*AO317))</f>
        <v>762.6806664</v>
      </c>
      <c r="H317" s="11">
        <f>(U317/$B317)+(U317/('Optimal Choice'!$B$9*AP317))</f>
        <v>801.0837556</v>
      </c>
      <c r="I317" s="11">
        <f>(V317/$B317)+(V317/('Optimal Choice'!$B$14*AQ317))</f>
        <v>757.0550975</v>
      </c>
      <c r="J317" s="11">
        <f>(W317/$B317)+(W317/('Optimal Choice'!$B$19*AR317))</f>
        <v>817.4301755</v>
      </c>
      <c r="K317" s="11">
        <f>(X317/$B317)+(X317/('Optimal Choice'!$B$24*AS317))</f>
        <v>187.6307481</v>
      </c>
      <c r="N317" s="12">
        <f t="shared" ref="N317:R317" si="945">if(min($G316:$K316)=G316,N316+1,N316)</f>
        <v>142</v>
      </c>
      <c r="O317" s="12">
        <f t="shared" si="945"/>
        <v>62</v>
      </c>
      <c r="P317" s="12">
        <f t="shared" si="945"/>
        <v>46</v>
      </c>
      <c r="Q317" s="12">
        <f t="shared" si="945"/>
        <v>41</v>
      </c>
      <c r="R317" s="12">
        <f t="shared" si="945"/>
        <v>25</v>
      </c>
      <c r="T317" s="13">
        <f> 'Optimal Choice'!$B$5*'Optimal Choice'!$B$6^(N317+1)</f>
        <v>63670.78441</v>
      </c>
      <c r="U317" s="13">
        <f> 'Optimal Choice'!$B$10*'Optimal Choice'!$B$11^(O317+1)</f>
        <v>400050.8455</v>
      </c>
      <c r="V317" s="13">
        <f> 'Optimal Choice'!$B$15*'Optimal Choice'!$B$16^(P317+1)</f>
        <v>340298.8718</v>
      </c>
      <c r="W317" s="13">
        <f> 'Optimal Choice'!$B$20*'Optimal Choice'!$B$21^(Q317+1)</f>
        <v>1464901.315</v>
      </c>
      <c r="X317" s="13">
        <f> 'Optimal Choice'!$B$25*'Optimal Choice'!$B$26^(R317+1)</f>
        <v>1974074.679</v>
      </c>
      <c r="AA317" s="12">
        <f t="shared" ref="AA317:AE317" si="946">if(isna(VLOOKUP(N317,$D$2:$E$10,2,false)),AA316, VLOOKUP(N317,$D$2:$E$10,2,false))</f>
        <v>50</v>
      </c>
      <c r="AB317" s="12">
        <f t="shared" si="946"/>
        <v>25</v>
      </c>
      <c r="AC317" s="12">
        <f t="shared" si="946"/>
        <v>5</v>
      </c>
      <c r="AD317" s="12">
        <f t="shared" si="946"/>
        <v>5</v>
      </c>
      <c r="AE317" s="12">
        <f t="shared" si="946"/>
        <v>5</v>
      </c>
      <c r="AH317" s="15">
        <f>N317*'Optimal Choice'!$B$4*AA317</f>
        <v>11857</v>
      </c>
      <c r="AI317" s="15">
        <f>O317*'Optimal Choice'!$B$9*AB317</f>
        <v>31000</v>
      </c>
      <c r="AJ317" s="15">
        <f>P317*'Optimal Choice'!$B$14*AC317</f>
        <v>20700</v>
      </c>
      <c r="AK317" s="15">
        <f>Q317*'Optimal Choice'!$B$19*AD317</f>
        <v>73800</v>
      </c>
      <c r="AL317" s="15">
        <f>R317*'Optimal Choice'!$B$24*AE317</f>
        <v>270000</v>
      </c>
      <c r="AO317" s="12">
        <f t="shared" ref="AO317:AS317" si="947">if(isna(VLOOKUP(N317+1,$D$2:$E$10,2,false)),AO316, VLOOKUP(N317+1,$D$2:$E$10,2,false))</f>
        <v>50</v>
      </c>
      <c r="AP317" s="12">
        <f t="shared" si="947"/>
        <v>25</v>
      </c>
      <c r="AQ317" s="12">
        <f t="shared" si="947"/>
        <v>5</v>
      </c>
      <c r="AR317" s="12">
        <f t="shared" si="947"/>
        <v>5</v>
      </c>
      <c r="AS317" s="12">
        <f t="shared" si="947"/>
        <v>5</v>
      </c>
      <c r="AU317" s="11">
        <f t="shared" si="8"/>
        <v>0.1552673208</v>
      </c>
    </row>
    <row r="318" ht="15.75" customHeight="1">
      <c r="A318" s="16">
        <f t="shared" si="4"/>
        <v>7.236872696</v>
      </c>
      <c r="B318" s="7">
        <f>(sum(AH318:AL318))*'Optimal Choice'!$B$28</f>
        <v>418157</v>
      </c>
      <c r="C318" s="11"/>
      <c r="D318" s="12"/>
      <c r="E318" s="12"/>
      <c r="F318" s="11"/>
      <c r="G318" s="11">
        <f>(T318/$B318)+(T318/('Optimal Choice'!$B$4*AO318))</f>
        <v>762.6766295</v>
      </c>
      <c r="H318" s="11">
        <f>(U318/$B318)+(U318/('Optimal Choice'!$B$9*AP318))</f>
        <v>801.0583912</v>
      </c>
      <c r="I318" s="11">
        <f>(V318/$B318)+(V318/('Optimal Choice'!$B$14*AQ318))</f>
        <v>757.0335215</v>
      </c>
      <c r="J318" s="11">
        <f>(W318/$B318)+(W318/('Optimal Choice'!$B$19*AR318))</f>
        <v>817.3372965</v>
      </c>
      <c r="K318" s="11">
        <f>(X318/$B318)+(X318/('Optimal Choice'!$B$24*AS318))</f>
        <v>210.0062564</v>
      </c>
      <c r="N318" s="12">
        <f t="shared" ref="N318:R318" si="948">if(min($G317:$K317)=G317,N317+1,N317)</f>
        <v>142</v>
      </c>
      <c r="O318" s="12">
        <f t="shared" si="948"/>
        <v>62</v>
      </c>
      <c r="P318" s="12">
        <f t="shared" si="948"/>
        <v>46</v>
      </c>
      <c r="Q318" s="12">
        <f t="shared" si="948"/>
        <v>41</v>
      </c>
      <c r="R318" s="12">
        <f t="shared" si="948"/>
        <v>26</v>
      </c>
      <c r="T318" s="13">
        <f> 'Optimal Choice'!$B$5*'Optimal Choice'!$B$6^(N318+1)</f>
        <v>63670.78441</v>
      </c>
      <c r="U318" s="13">
        <f> 'Optimal Choice'!$B$10*'Optimal Choice'!$B$11^(O318+1)</f>
        <v>400050.8455</v>
      </c>
      <c r="V318" s="13">
        <f> 'Optimal Choice'!$B$15*'Optimal Choice'!$B$16^(P318+1)</f>
        <v>340298.8718</v>
      </c>
      <c r="W318" s="13">
        <f> 'Optimal Choice'!$B$20*'Optimal Choice'!$B$21^(Q318+1)</f>
        <v>1464901.315</v>
      </c>
      <c r="X318" s="13">
        <f> 'Optimal Choice'!$B$25*'Optimal Choice'!$B$26^(R318+1)</f>
        <v>2210963.64</v>
      </c>
      <c r="AA318" s="12">
        <f t="shared" ref="AA318:AE318" si="949">if(isna(VLOOKUP(N318,$D$2:$E$10,2,false)),AA317, VLOOKUP(N318,$D$2:$E$10,2,false))</f>
        <v>50</v>
      </c>
      <c r="AB318" s="12">
        <f t="shared" si="949"/>
        <v>25</v>
      </c>
      <c r="AC318" s="12">
        <f t="shared" si="949"/>
        <v>5</v>
      </c>
      <c r="AD318" s="12">
        <f t="shared" si="949"/>
        <v>5</v>
      </c>
      <c r="AE318" s="12">
        <f t="shared" si="949"/>
        <v>5</v>
      </c>
      <c r="AH318" s="15">
        <f>N318*'Optimal Choice'!$B$4*AA318</f>
        <v>11857</v>
      </c>
      <c r="AI318" s="15">
        <f>O318*'Optimal Choice'!$B$9*AB318</f>
        <v>31000</v>
      </c>
      <c r="AJ318" s="15">
        <f>P318*'Optimal Choice'!$B$14*AC318</f>
        <v>20700</v>
      </c>
      <c r="AK318" s="15">
        <f>Q318*'Optimal Choice'!$B$19*AD318</f>
        <v>73800</v>
      </c>
      <c r="AL318" s="15">
        <f>R318*'Optimal Choice'!$B$24*AE318</f>
        <v>280800</v>
      </c>
      <c r="AO318" s="12">
        <f t="shared" ref="AO318:AS318" si="950">if(isna(VLOOKUP(N318+1,$D$2:$E$10,2,false)),AO317, VLOOKUP(N318+1,$D$2:$E$10,2,false))</f>
        <v>50</v>
      </c>
      <c r="AP318" s="12">
        <f t="shared" si="950"/>
        <v>25</v>
      </c>
      <c r="AQ318" s="12">
        <f t="shared" si="950"/>
        <v>5</v>
      </c>
      <c r="AR318" s="12">
        <f t="shared" si="950"/>
        <v>5</v>
      </c>
      <c r="AS318" s="12">
        <f t="shared" si="950"/>
        <v>5</v>
      </c>
      <c r="AU318" s="11">
        <f t="shared" si="8"/>
        <v>0.08076759366</v>
      </c>
    </row>
    <row r="319" ht="15.75" customHeight="1">
      <c r="A319" s="16">
        <f t="shared" si="4"/>
        <v>7.324996042</v>
      </c>
      <c r="B319" s="7">
        <f>(sum(AH319:AL319))*'Optimal Choice'!$B$28</f>
        <v>428957</v>
      </c>
      <c r="C319" s="11"/>
      <c r="D319" s="12"/>
      <c r="E319" s="12"/>
      <c r="F319" s="11"/>
      <c r="G319" s="11">
        <f>(T319/$B319)+(T319/('Optimal Choice'!$B$4*AO319))</f>
        <v>762.6727958</v>
      </c>
      <c r="H319" s="11">
        <f>(U319/$B319)+(U319/('Optimal Choice'!$B$9*AP319))</f>
        <v>801.034304</v>
      </c>
      <c r="I319" s="11">
        <f>(V319/$B319)+(V319/('Optimal Choice'!$B$14*AQ319))</f>
        <v>757.013032</v>
      </c>
      <c r="J319" s="11">
        <f>(W319/$B319)+(W319/('Optimal Choice'!$B$19*AR319))</f>
        <v>817.2490944</v>
      </c>
      <c r="K319" s="11">
        <f>(X319/$B319)+(X319/('Optimal Choice'!$B$24*AS319))</f>
        <v>235.0579097</v>
      </c>
      <c r="N319" s="12">
        <f t="shared" ref="N319:R319" si="951">if(min($G318:$K318)=G318,N318+1,N318)</f>
        <v>142</v>
      </c>
      <c r="O319" s="12">
        <f t="shared" si="951"/>
        <v>62</v>
      </c>
      <c r="P319" s="12">
        <f t="shared" si="951"/>
        <v>46</v>
      </c>
      <c r="Q319" s="12">
        <f t="shared" si="951"/>
        <v>41</v>
      </c>
      <c r="R319" s="12">
        <f t="shared" si="951"/>
        <v>27</v>
      </c>
      <c r="T319" s="13">
        <f> 'Optimal Choice'!$B$5*'Optimal Choice'!$B$6^(N319+1)</f>
        <v>63670.78441</v>
      </c>
      <c r="U319" s="13">
        <f> 'Optimal Choice'!$B$10*'Optimal Choice'!$B$11^(O319+1)</f>
        <v>400050.8455</v>
      </c>
      <c r="V319" s="13">
        <f> 'Optimal Choice'!$B$15*'Optimal Choice'!$B$16^(P319+1)</f>
        <v>340298.8718</v>
      </c>
      <c r="W319" s="13">
        <f> 'Optimal Choice'!$B$20*'Optimal Choice'!$B$21^(Q319+1)</f>
        <v>1464901.315</v>
      </c>
      <c r="X319" s="13">
        <f> 'Optimal Choice'!$B$25*'Optimal Choice'!$B$26^(R319+1)</f>
        <v>2476279.277</v>
      </c>
      <c r="AA319" s="12">
        <f t="shared" ref="AA319:AE319" si="952">if(isna(VLOOKUP(N319,$D$2:$E$10,2,false)),AA318, VLOOKUP(N319,$D$2:$E$10,2,false))</f>
        <v>50</v>
      </c>
      <c r="AB319" s="12">
        <f t="shared" si="952"/>
        <v>25</v>
      </c>
      <c r="AC319" s="12">
        <f t="shared" si="952"/>
        <v>5</v>
      </c>
      <c r="AD319" s="12">
        <f t="shared" si="952"/>
        <v>5</v>
      </c>
      <c r="AE319" s="12">
        <f t="shared" si="952"/>
        <v>5</v>
      </c>
      <c r="AH319" s="15">
        <f>N319*'Optimal Choice'!$B$4*AA319</f>
        <v>11857</v>
      </c>
      <c r="AI319" s="15">
        <f>O319*'Optimal Choice'!$B$9*AB319</f>
        <v>31000</v>
      </c>
      <c r="AJ319" s="15">
        <f>P319*'Optimal Choice'!$B$14*AC319</f>
        <v>20700</v>
      </c>
      <c r="AK319" s="15">
        <f>Q319*'Optimal Choice'!$B$19*AD319</f>
        <v>73800</v>
      </c>
      <c r="AL319" s="15">
        <f>R319*'Optimal Choice'!$B$24*AE319</f>
        <v>291600</v>
      </c>
      <c r="AO319" s="12">
        <f t="shared" ref="AO319:AS319" si="953">if(isna(VLOOKUP(N319+1,$D$2:$E$10,2,false)),AO318, VLOOKUP(N319+1,$D$2:$E$10,2,false))</f>
        <v>50</v>
      </c>
      <c r="AP319" s="12">
        <f t="shared" si="953"/>
        <v>25</v>
      </c>
      <c r="AQ319" s="12">
        <f t="shared" si="953"/>
        <v>5</v>
      </c>
      <c r="AR319" s="12">
        <f t="shared" si="953"/>
        <v>5</v>
      </c>
      <c r="AS319" s="12">
        <f t="shared" si="953"/>
        <v>5</v>
      </c>
      <c r="AU319" s="11">
        <f t="shared" si="8"/>
        <v>0.08812334604</v>
      </c>
    </row>
    <row r="320" ht="15.75" customHeight="1">
      <c r="A320" s="16">
        <f t="shared" si="4"/>
        <v>7.421209232</v>
      </c>
      <c r="B320" s="7">
        <f>(sum(AH320:AL320))*'Optimal Choice'!$B$28</f>
        <v>439757</v>
      </c>
      <c r="C320" s="11"/>
      <c r="D320" s="12"/>
      <c r="E320" s="12"/>
      <c r="F320" s="11"/>
      <c r="G320" s="11">
        <f>(T320/$B320)+(T320/('Optimal Choice'!$B$4*AO320))</f>
        <v>762.6691505</v>
      </c>
      <c r="H320" s="11">
        <f>(U320/$B320)+(U320/('Optimal Choice'!$B$9*AP320))</f>
        <v>801.0114</v>
      </c>
      <c r="I320" s="11">
        <f>(V320/$B320)+(V320/('Optimal Choice'!$B$14*AQ320))</f>
        <v>756.993549</v>
      </c>
      <c r="J320" s="11">
        <f>(W320/$B320)+(W320/('Optimal Choice'!$B$19*AR320))</f>
        <v>817.1652246</v>
      </c>
      <c r="K320" s="11">
        <f>(X320/$B320)+(X320/('Optimal Choice'!$B$24*AS320))</f>
        <v>263.1060718</v>
      </c>
      <c r="N320" s="12">
        <f t="shared" ref="N320:R320" si="954">if(min($G319:$K319)=G319,N319+1,N319)</f>
        <v>142</v>
      </c>
      <c r="O320" s="12">
        <f t="shared" si="954"/>
        <v>62</v>
      </c>
      <c r="P320" s="12">
        <f t="shared" si="954"/>
        <v>46</v>
      </c>
      <c r="Q320" s="12">
        <f t="shared" si="954"/>
        <v>41</v>
      </c>
      <c r="R320" s="12">
        <f t="shared" si="954"/>
        <v>28</v>
      </c>
      <c r="T320" s="13">
        <f> 'Optimal Choice'!$B$5*'Optimal Choice'!$B$6^(N320+1)</f>
        <v>63670.78441</v>
      </c>
      <c r="U320" s="13">
        <f> 'Optimal Choice'!$B$10*'Optimal Choice'!$B$11^(O320+1)</f>
        <v>400050.8455</v>
      </c>
      <c r="V320" s="13">
        <f> 'Optimal Choice'!$B$15*'Optimal Choice'!$B$16^(P320+1)</f>
        <v>340298.8718</v>
      </c>
      <c r="W320" s="13">
        <f> 'Optimal Choice'!$B$20*'Optimal Choice'!$B$21^(Q320+1)</f>
        <v>1464901.315</v>
      </c>
      <c r="X320" s="13">
        <f> 'Optimal Choice'!$B$25*'Optimal Choice'!$B$26^(R320+1)</f>
        <v>2773432.791</v>
      </c>
      <c r="AA320" s="12">
        <f t="shared" ref="AA320:AE320" si="955">if(isna(VLOOKUP(N320,$D$2:$E$10,2,false)),AA319, VLOOKUP(N320,$D$2:$E$10,2,false))</f>
        <v>50</v>
      </c>
      <c r="AB320" s="12">
        <f t="shared" si="955"/>
        <v>25</v>
      </c>
      <c r="AC320" s="12">
        <f t="shared" si="955"/>
        <v>5</v>
      </c>
      <c r="AD320" s="12">
        <f t="shared" si="955"/>
        <v>5</v>
      </c>
      <c r="AE320" s="12">
        <f t="shared" si="955"/>
        <v>5</v>
      </c>
      <c r="AH320" s="15">
        <f>N320*'Optimal Choice'!$B$4*AA320</f>
        <v>11857</v>
      </c>
      <c r="AI320" s="15">
        <f>O320*'Optimal Choice'!$B$9*AB320</f>
        <v>31000</v>
      </c>
      <c r="AJ320" s="15">
        <f>P320*'Optimal Choice'!$B$14*AC320</f>
        <v>20700</v>
      </c>
      <c r="AK320" s="15">
        <f>Q320*'Optimal Choice'!$B$19*AD320</f>
        <v>73800</v>
      </c>
      <c r="AL320" s="15">
        <f>R320*'Optimal Choice'!$B$24*AE320</f>
        <v>302400</v>
      </c>
      <c r="AO320" s="12">
        <f t="shared" ref="AO320:AS320" si="956">if(isna(VLOOKUP(N320+1,$D$2:$E$10,2,false)),AO319, VLOOKUP(N320+1,$D$2:$E$10,2,false))</f>
        <v>50</v>
      </c>
      <c r="AP320" s="12">
        <f t="shared" si="956"/>
        <v>25</v>
      </c>
      <c r="AQ320" s="12">
        <f t="shared" si="956"/>
        <v>5</v>
      </c>
      <c r="AR320" s="12">
        <f t="shared" si="956"/>
        <v>5</v>
      </c>
      <c r="AS320" s="12">
        <f t="shared" si="956"/>
        <v>5</v>
      </c>
      <c r="AU320" s="11">
        <f t="shared" si="8"/>
        <v>0.09621318987</v>
      </c>
    </row>
    <row r="321" ht="15.75" customHeight="1">
      <c r="A321" s="16">
        <f t="shared" si="4"/>
        <v>7.526321555</v>
      </c>
      <c r="B321" s="7">
        <f>(sum(AH321:AL321))*'Optimal Choice'!$B$28</f>
        <v>450557</v>
      </c>
      <c r="C321" s="11"/>
      <c r="D321" s="12"/>
      <c r="E321" s="12"/>
      <c r="F321" s="11"/>
      <c r="G321" s="11">
        <f>(T321/$B321)+(T321/('Optimal Choice'!$B$4*AO321))</f>
        <v>762.6656799</v>
      </c>
      <c r="H321" s="11">
        <f>(U321/$B321)+(U321/('Optimal Choice'!$B$9*AP321))</f>
        <v>800.9895939</v>
      </c>
      <c r="I321" s="11">
        <f>(V321/$B321)+(V321/('Optimal Choice'!$B$14*AQ321))</f>
        <v>756.9749999</v>
      </c>
      <c r="J321" s="11">
        <f>(W321/$B321)+(W321/('Optimal Choice'!$B$19*AR321))</f>
        <v>817.0853756</v>
      </c>
      <c r="K321" s="11">
        <f>(X321/$B321)+(X321/('Optimal Choice'!$B$24*AS321))</f>
        <v>294.5094849</v>
      </c>
      <c r="N321" s="12">
        <f t="shared" ref="N321:R321" si="957">if(min($G320:$K320)=G320,N320+1,N320)</f>
        <v>142</v>
      </c>
      <c r="O321" s="12">
        <f t="shared" si="957"/>
        <v>62</v>
      </c>
      <c r="P321" s="12">
        <f t="shared" si="957"/>
        <v>46</v>
      </c>
      <c r="Q321" s="12">
        <f t="shared" si="957"/>
        <v>41</v>
      </c>
      <c r="R321" s="12">
        <f t="shared" si="957"/>
        <v>29</v>
      </c>
      <c r="T321" s="13">
        <f> 'Optimal Choice'!$B$5*'Optimal Choice'!$B$6^(N321+1)</f>
        <v>63670.78441</v>
      </c>
      <c r="U321" s="13">
        <f> 'Optimal Choice'!$B$10*'Optimal Choice'!$B$11^(O321+1)</f>
        <v>400050.8455</v>
      </c>
      <c r="V321" s="13">
        <f> 'Optimal Choice'!$B$15*'Optimal Choice'!$B$16^(P321+1)</f>
        <v>340298.8718</v>
      </c>
      <c r="W321" s="13">
        <f> 'Optimal Choice'!$B$20*'Optimal Choice'!$B$21^(Q321+1)</f>
        <v>1464901.315</v>
      </c>
      <c r="X321" s="13">
        <f> 'Optimal Choice'!$B$25*'Optimal Choice'!$B$26^(R321+1)</f>
        <v>3106244.725</v>
      </c>
      <c r="AA321" s="12">
        <f t="shared" ref="AA321:AE321" si="958">if(isna(VLOOKUP(N321,$D$2:$E$10,2,false)),AA320, VLOOKUP(N321,$D$2:$E$10,2,false))</f>
        <v>50</v>
      </c>
      <c r="AB321" s="12">
        <f t="shared" si="958"/>
        <v>25</v>
      </c>
      <c r="AC321" s="12">
        <f t="shared" si="958"/>
        <v>5</v>
      </c>
      <c r="AD321" s="12">
        <f t="shared" si="958"/>
        <v>5</v>
      </c>
      <c r="AE321" s="12">
        <f t="shared" si="958"/>
        <v>5</v>
      </c>
      <c r="AH321" s="15">
        <f>N321*'Optimal Choice'!$B$4*AA321</f>
        <v>11857</v>
      </c>
      <c r="AI321" s="15">
        <f>O321*'Optimal Choice'!$B$9*AB321</f>
        <v>31000</v>
      </c>
      <c r="AJ321" s="15">
        <f>P321*'Optimal Choice'!$B$14*AC321</f>
        <v>20700</v>
      </c>
      <c r="AK321" s="15">
        <f>Q321*'Optimal Choice'!$B$19*AD321</f>
        <v>73800</v>
      </c>
      <c r="AL321" s="15">
        <f>R321*'Optimal Choice'!$B$24*AE321</f>
        <v>313200</v>
      </c>
      <c r="AO321" s="12">
        <f t="shared" ref="AO321:AS321" si="959">if(isna(VLOOKUP(N321+1,$D$2:$E$10,2,false)),AO320, VLOOKUP(N321+1,$D$2:$E$10,2,false))</f>
        <v>50</v>
      </c>
      <c r="AP321" s="12">
        <f t="shared" si="959"/>
        <v>25</v>
      </c>
      <c r="AQ321" s="12">
        <f t="shared" si="959"/>
        <v>5</v>
      </c>
      <c r="AR321" s="12">
        <f t="shared" si="959"/>
        <v>5</v>
      </c>
      <c r="AS321" s="12">
        <f t="shared" si="959"/>
        <v>5</v>
      </c>
      <c r="AU321" s="11">
        <f t="shared" si="8"/>
        <v>0.105112323</v>
      </c>
    </row>
    <row r="322" ht="15.75" customHeight="1">
      <c r="A322" s="16">
        <f t="shared" si="4"/>
        <v>7.641225431</v>
      </c>
      <c r="B322" s="7">
        <f>(sum(AH322:AL322))*'Optimal Choice'!$B$28</f>
        <v>461357</v>
      </c>
      <c r="C322" s="11"/>
      <c r="D322" s="12"/>
      <c r="E322" s="12"/>
      <c r="F322" s="11"/>
      <c r="G322" s="11">
        <f>(T322/$B322)+(T322/('Optimal Choice'!$B$4*AO322))</f>
        <v>762.6623718</v>
      </c>
      <c r="H322" s="11">
        <f>(U322/$B322)+(U322/('Optimal Choice'!$B$9*AP322))</f>
        <v>800.9688088</v>
      </c>
      <c r="I322" s="11">
        <f>(V322/$B322)+(V322/('Optimal Choice'!$B$14*AQ322))</f>
        <v>756.9573193</v>
      </c>
      <c r="J322" s="11">
        <f>(W322/$B322)+(W322/('Optimal Choice'!$B$19*AR322))</f>
        <v>817.009265</v>
      </c>
      <c r="K322" s="11">
        <f>(X322/$B322)+(X322/('Optimal Choice'!$B$24*AS322))</f>
        <v>329.669868</v>
      </c>
      <c r="N322" s="12">
        <f t="shared" ref="N322:R322" si="960">if(min($G321:$K321)=G321,N321+1,N321)</f>
        <v>142</v>
      </c>
      <c r="O322" s="12">
        <f t="shared" si="960"/>
        <v>62</v>
      </c>
      <c r="P322" s="12">
        <f t="shared" si="960"/>
        <v>46</v>
      </c>
      <c r="Q322" s="12">
        <f t="shared" si="960"/>
        <v>41</v>
      </c>
      <c r="R322" s="12">
        <f t="shared" si="960"/>
        <v>30</v>
      </c>
      <c r="T322" s="13">
        <f> 'Optimal Choice'!$B$5*'Optimal Choice'!$B$6^(N322+1)</f>
        <v>63670.78441</v>
      </c>
      <c r="U322" s="13">
        <f> 'Optimal Choice'!$B$10*'Optimal Choice'!$B$11^(O322+1)</f>
        <v>400050.8455</v>
      </c>
      <c r="V322" s="13">
        <f> 'Optimal Choice'!$B$15*'Optimal Choice'!$B$16^(P322+1)</f>
        <v>340298.8718</v>
      </c>
      <c r="W322" s="13">
        <f> 'Optimal Choice'!$B$20*'Optimal Choice'!$B$21^(Q322+1)</f>
        <v>1464901.315</v>
      </c>
      <c r="X322" s="13">
        <f> 'Optimal Choice'!$B$25*'Optimal Choice'!$B$26^(R322+1)</f>
        <v>3478994.093</v>
      </c>
      <c r="AA322" s="12">
        <f t="shared" ref="AA322:AE322" si="961">if(isna(VLOOKUP(N322,$D$2:$E$10,2,false)),AA321, VLOOKUP(N322,$D$2:$E$10,2,false))</f>
        <v>50</v>
      </c>
      <c r="AB322" s="12">
        <f t="shared" si="961"/>
        <v>25</v>
      </c>
      <c r="AC322" s="12">
        <f t="shared" si="961"/>
        <v>5</v>
      </c>
      <c r="AD322" s="12">
        <f t="shared" si="961"/>
        <v>5</v>
      </c>
      <c r="AE322" s="12">
        <f t="shared" si="961"/>
        <v>5</v>
      </c>
      <c r="AH322" s="15">
        <f>N322*'Optimal Choice'!$B$4*AA322</f>
        <v>11857</v>
      </c>
      <c r="AI322" s="15">
        <f>O322*'Optimal Choice'!$B$9*AB322</f>
        <v>31000</v>
      </c>
      <c r="AJ322" s="15">
        <f>P322*'Optimal Choice'!$B$14*AC322</f>
        <v>20700</v>
      </c>
      <c r="AK322" s="15">
        <f>Q322*'Optimal Choice'!$B$19*AD322</f>
        <v>73800</v>
      </c>
      <c r="AL322" s="15">
        <f>R322*'Optimal Choice'!$B$24*AE322</f>
        <v>324000</v>
      </c>
      <c r="AO322" s="12">
        <f t="shared" ref="AO322:AS322" si="962">if(isna(VLOOKUP(N322+1,$D$2:$E$10,2,false)),AO321, VLOOKUP(N322+1,$D$2:$E$10,2,false))</f>
        <v>50</v>
      </c>
      <c r="AP322" s="12">
        <f t="shared" si="962"/>
        <v>25</v>
      </c>
      <c r="AQ322" s="12">
        <f t="shared" si="962"/>
        <v>5</v>
      </c>
      <c r="AR322" s="12">
        <f t="shared" si="962"/>
        <v>5</v>
      </c>
      <c r="AS322" s="12">
        <f t="shared" si="962"/>
        <v>5</v>
      </c>
      <c r="AU322" s="11">
        <f t="shared" si="8"/>
        <v>0.1149038755</v>
      </c>
    </row>
    <row r="323" ht="15.75" customHeight="1">
      <c r="A323" s="16">
        <f t="shared" si="4"/>
        <v>7.766905186</v>
      </c>
      <c r="B323" s="7">
        <f>(sum(AH323:AL323))*'Optimal Choice'!$B$28</f>
        <v>472157</v>
      </c>
      <c r="C323" s="11"/>
      <c r="D323" s="12"/>
      <c r="E323" s="12"/>
      <c r="F323" s="11"/>
      <c r="G323" s="11">
        <f>(T323/$B323)+(T323/('Optimal Choice'!$B$4*AO323))</f>
        <v>762.6592151</v>
      </c>
      <c r="H323" s="11">
        <f>(U323/$B323)+(U323/('Optimal Choice'!$B$9*AP323))</f>
        <v>800.9489746</v>
      </c>
      <c r="I323" s="11">
        <f>(V323/$B323)+(V323/('Optimal Choice'!$B$14*AQ323))</f>
        <v>756.9404475</v>
      </c>
      <c r="J323" s="11">
        <f>(W323/$B323)+(W323/('Optimal Choice'!$B$19*AR323))</f>
        <v>816.9366362</v>
      </c>
      <c r="K323" s="11">
        <f>(X323/$B323)+(X323/('Optimal Choice'!$B$24*AS323))</f>
        <v>369.0370678</v>
      </c>
      <c r="N323" s="12">
        <f t="shared" ref="N323:R323" si="963">if(min($G322:$K322)=G322,N322+1,N322)</f>
        <v>142</v>
      </c>
      <c r="O323" s="12">
        <f t="shared" si="963"/>
        <v>62</v>
      </c>
      <c r="P323" s="12">
        <f t="shared" si="963"/>
        <v>46</v>
      </c>
      <c r="Q323" s="12">
        <f t="shared" si="963"/>
        <v>41</v>
      </c>
      <c r="R323" s="12">
        <f t="shared" si="963"/>
        <v>31</v>
      </c>
      <c r="T323" s="13">
        <f> 'Optimal Choice'!$B$5*'Optimal Choice'!$B$6^(N323+1)</f>
        <v>63670.78441</v>
      </c>
      <c r="U323" s="13">
        <f> 'Optimal Choice'!$B$10*'Optimal Choice'!$B$11^(O323+1)</f>
        <v>400050.8455</v>
      </c>
      <c r="V323" s="13">
        <f> 'Optimal Choice'!$B$15*'Optimal Choice'!$B$16^(P323+1)</f>
        <v>340298.8718</v>
      </c>
      <c r="W323" s="13">
        <f> 'Optimal Choice'!$B$20*'Optimal Choice'!$B$21^(Q323+1)</f>
        <v>1464901.315</v>
      </c>
      <c r="X323" s="13">
        <f> 'Optimal Choice'!$B$25*'Optimal Choice'!$B$26^(R323+1)</f>
        <v>3896473.384</v>
      </c>
      <c r="AA323" s="12">
        <f t="shared" ref="AA323:AE323" si="964">if(isna(VLOOKUP(N323,$D$2:$E$10,2,false)),AA322, VLOOKUP(N323,$D$2:$E$10,2,false))</f>
        <v>50</v>
      </c>
      <c r="AB323" s="12">
        <f t="shared" si="964"/>
        <v>25</v>
      </c>
      <c r="AC323" s="12">
        <f t="shared" si="964"/>
        <v>5</v>
      </c>
      <c r="AD323" s="12">
        <f t="shared" si="964"/>
        <v>5</v>
      </c>
      <c r="AE323" s="12">
        <f t="shared" si="964"/>
        <v>5</v>
      </c>
      <c r="AH323" s="15">
        <f>N323*'Optimal Choice'!$B$4*AA323</f>
        <v>11857</v>
      </c>
      <c r="AI323" s="15">
        <f>O323*'Optimal Choice'!$B$9*AB323</f>
        <v>31000</v>
      </c>
      <c r="AJ323" s="15">
        <f>P323*'Optimal Choice'!$B$14*AC323</f>
        <v>20700</v>
      </c>
      <c r="AK323" s="15">
        <f>Q323*'Optimal Choice'!$B$19*AD323</f>
        <v>73800</v>
      </c>
      <c r="AL323" s="15">
        <f>R323*'Optimal Choice'!$B$24*AE323</f>
        <v>334800</v>
      </c>
      <c r="AO323" s="12">
        <f t="shared" ref="AO323:AS323" si="965">if(isna(VLOOKUP(N323+1,$D$2:$E$10,2,false)),AO322, VLOOKUP(N323+1,$D$2:$E$10,2,false))</f>
        <v>50</v>
      </c>
      <c r="AP323" s="12">
        <f t="shared" si="965"/>
        <v>25</v>
      </c>
      <c r="AQ323" s="12">
        <f t="shared" si="965"/>
        <v>5</v>
      </c>
      <c r="AR323" s="12">
        <f t="shared" si="965"/>
        <v>5</v>
      </c>
      <c r="AS323" s="12">
        <f t="shared" si="965"/>
        <v>5</v>
      </c>
      <c r="AU323" s="11">
        <f t="shared" si="8"/>
        <v>0.1256797553</v>
      </c>
    </row>
    <row r="324" ht="15.75" customHeight="1">
      <c r="A324" s="16">
        <f t="shared" si="4"/>
        <v>7.904446773</v>
      </c>
      <c r="B324" s="7">
        <f>(sum(AH324:AL324))*'Optimal Choice'!$B$28</f>
        <v>482957</v>
      </c>
      <c r="C324" s="11"/>
      <c r="D324" s="12"/>
      <c r="E324" s="12"/>
      <c r="F324" s="11"/>
      <c r="G324" s="11">
        <f>(T324/$B324)+(T324/('Optimal Choice'!$B$4*AO324))</f>
        <v>762.6561995</v>
      </c>
      <c r="H324" s="11">
        <f>(U324/$B324)+(U324/('Optimal Choice'!$B$9*AP324))</f>
        <v>800.9300274</v>
      </c>
      <c r="I324" s="11">
        <f>(V324/$B324)+(V324/('Optimal Choice'!$B$14*AQ324))</f>
        <v>756.9243303</v>
      </c>
      <c r="J324" s="11">
        <f>(W324/$B324)+(W324/('Optimal Choice'!$B$19*AR324))</f>
        <v>816.8672558</v>
      </c>
      <c r="K324" s="11">
        <f>(X324/$B324)+(X324/('Optimal Choice'!$B$24*AS324))</f>
        <v>413.1148263</v>
      </c>
      <c r="N324" s="12">
        <f t="shared" ref="N324:R324" si="966">if(min($G323:$K323)=G323,N323+1,N323)</f>
        <v>142</v>
      </c>
      <c r="O324" s="12">
        <f t="shared" si="966"/>
        <v>62</v>
      </c>
      <c r="P324" s="12">
        <f t="shared" si="966"/>
        <v>46</v>
      </c>
      <c r="Q324" s="12">
        <f t="shared" si="966"/>
        <v>41</v>
      </c>
      <c r="R324" s="12">
        <f t="shared" si="966"/>
        <v>32</v>
      </c>
      <c r="T324" s="13">
        <f> 'Optimal Choice'!$B$5*'Optimal Choice'!$B$6^(N324+1)</f>
        <v>63670.78441</v>
      </c>
      <c r="U324" s="13">
        <f> 'Optimal Choice'!$B$10*'Optimal Choice'!$B$11^(O324+1)</f>
        <v>400050.8455</v>
      </c>
      <c r="V324" s="13">
        <f> 'Optimal Choice'!$B$15*'Optimal Choice'!$B$16^(P324+1)</f>
        <v>340298.8718</v>
      </c>
      <c r="W324" s="13">
        <f> 'Optimal Choice'!$B$20*'Optimal Choice'!$B$21^(Q324+1)</f>
        <v>1464901.315</v>
      </c>
      <c r="X324" s="13">
        <f> 'Optimal Choice'!$B$25*'Optimal Choice'!$B$26^(R324+1)</f>
        <v>4364050.19</v>
      </c>
      <c r="AA324" s="12">
        <f t="shared" ref="AA324:AE324" si="967">if(isna(VLOOKUP(N324,$D$2:$E$10,2,false)),AA323, VLOOKUP(N324,$D$2:$E$10,2,false))</f>
        <v>50</v>
      </c>
      <c r="AB324" s="12">
        <f t="shared" si="967"/>
        <v>25</v>
      </c>
      <c r="AC324" s="12">
        <f t="shared" si="967"/>
        <v>5</v>
      </c>
      <c r="AD324" s="12">
        <f t="shared" si="967"/>
        <v>5</v>
      </c>
      <c r="AE324" s="12">
        <f t="shared" si="967"/>
        <v>5</v>
      </c>
      <c r="AH324" s="15">
        <f>N324*'Optimal Choice'!$B$4*AA324</f>
        <v>11857</v>
      </c>
      <c r="AI324" s="15">
        <f>O324*'Optimal Choice'!$B$9*AB324</f>
        <v>31000</v>
      </c>
      <c r="AJ324" s="15">
        <f>P324*'Optimal Choice'!$B$14*AC324</f>
        <v>20700</v>
      </c>
      <c r="AK324" s="15">
        <f>Q324*'Optimal Choice'!$B$19*AD324</f>
        <v>73800</v>
      </c>
      <c r="AL324" s="15">
        <f>R324*'Optimal Choice'!$B$24*AE324</f>
        <v>345600</v>
      </c>
      <c r="AO324" s="12">
        <f t="shared" ref="AO324:AS324" si="968">if(isna(VLOOKUP(N324+1,$D$2:$E$10,2,false)),AO323, VLOOKUP(N324+1,$D$2:$E$10,2,false))</f>
        <v>50</v>
      </c>
      <c r="AP324" s="12">
        <f t="shared" si="968"/>
        <v>25</v>
      </c>
      <c r="AQ324" s="12">
        <f t="shared" si="968"/>
        <v>5</v>
      </c>
      <c r="AR324" s="12">
        <f t="shared" si="968"/>
        <v>5</v>
      </c>
      <c r="AS324" s="12">
        <f t="shared" si="968"/>
        <v>5</v>
      </c>
      <c r="AU324" s="11">
        <f t="shared" si="8"/>
        <v>0.1375415869</v>
      </c>
    </row>
    <row r="325" ht="15.75" customHeight="1">
      <c r="A325" s="16">
        <f t="shared" si="4"/>
        <v>8.055048524</v>
      </c>
      <c r="B325" s="7">
        <f>(sum(AH325:AL325))*'Optimal Choice'!$B$28</f>
        <v>493757</v>
      </c>
      <c r="C325" s="11"/>
      <c r="D325" s="12"/>
      <c r="E325" s="12"/>
      <c r="F325" s="11"/>
      <c r="G325" s="11">
        <f>(T325/$B325)+(T325/('Optimal Choice'!$B$4*AO325))</f>
        <v>762.6533159</v>
      </c>
      <c r="H325" s="11">
        <f>(U325/$B325)+(U325/('Optimal Choice'!$B$9*AP325))</f>
        <v>800.9119092</v>
      </c>
      <c r="I325" s="11">
        <f>(V325/$B325)+(V325/('Optimal Choice'!$B$14*AQ325))</f>
        <v>756.9089182</v>
      </c>
      <c r="J325" s="11">
        <f>(W325/$B325)+(W325/('Optimal Choice'!$B$19*AR325))</f>
        <v>816.8009104</v>
      </c>
      <c r="K325" s="11">
        <f>(X325/$B325)+(X325/('Optimal Choice'!$B$24*AS325))</f>
        <v>462.4672401</v>
      </c>
      <c r="N325" s="12">
        <f t="shared" ref="N325:R325" si="969">if(min($G324:$K324)=G324,N324+1,N324)</f>
        <v>142</v>
      </c>
      <c r="O325" s="12">
        <f t="shared" si="969"/>
        <v>62</v>
      </c>
      <c r="P325" s="12">
        <f t="shared" si="969"/>
        <v>46</v>
      </c>
      <c r="Q325" s="12">
        <f t="shared" si="969"/>
        <v>41</v>
      </c>
      <c r="R325" s="12">
        <f t="shared" si="969"/>
        <v>33</v>
      </c>
      <c r="T325" s="13">
        <f> 'Optimal Choice'!$B$5*'Optimal Choice'!$B$6^(N325+1)</f>
        <v>63670.78441</v>
      </c>
      <c r="U325" s="13">
        <f> 'Optimal Choice'!$B$10*'Optimal Choice'!$B$11^(O325+1)</f>
        <v>400050.8455</v>
      </c>
      <c r="V325" s="13">
        <f> 'Optimal Choice'!$B$15*'Optimal Choice'!$B$16^(P325+1)</f>
        <v>340298.8718</v>
      </c>
      <c r="W325" s="13">
        <f> 'Optimal Choice'!$B$20*'Optimal Choice'!$B$21^(Q325+1)</f>
        <v>1464901.315</v>
      </c>
      <c r="X325" s="13">
        <f> 'Optimal Choice'!$B$25*'Optimal Choice'!$B$26^(R325+1)</f>
        <v>4887736.212</v>
      </c>
      <c r="AA325" s="12">
        <f t="shared" ref="AA325:AE325" si="970">if(isna(VLOOKUP(N325,$D$2:$E$10,2,false)),AA324, VLOOKUP(N325,$D$2:$E$10,2,false))</f>
        <v>50</v>
      </c>
      <c r="AB325" s="12">
        <f t="shared" si="970"/>
        <v>25</v>
      </c>
      <c r="AC325" s="12">
        <f t="shared" si="970"/>
        <v>5</v>
      </c>
      <c r="AD325" s="12">
        <f t="shared" si="970"/>
        <v>5</v>
      </c>
      <c r="AE325" s="12">
        <f t="shared" si="970"/>
        <v>5</v>
      </c>
      <c r="AH325" s="15">
        <f>N325*'Optimal Choice'!$B$4*AA325</f>
        <v>11857</v>
      </c>
      <c r="AI325" s="15">
        <f>O325*'Optimal Choice'!$B$9*AB325</f>
        <v>31000</v>
      </c>
      <c r="AJ325" s="15">
        <f>P325*'Optimal Choice'!$B$14*AC325</f>
        <v>20700</v>
      </c>
      <c r="AK325" s="15">
        <f>Q325*'Optimal Choice'!$B$19*AD325</f>
        <v>73800</v>
      </c>
      <c r="AL325" s="15">
        <f>R325*'Optimal Choice'!$B$24*AE325</f>
        <v>356400</v>
      </c>
      <c r="AO325" s="12">
        <f t="shared" ref="AO325:AS325" si="971">if(isna(VLOOKUP(N325+1,$D$2:$E$10,2,false)),AO324, VLOOKUP(N325+1,$D$2:$E$10,2,false))</f>
        <v>50</v>
      </c>
      <c r="AP325" s="12">
        <f t="shared" si="971"/>
        <v>25</v>
      </c>
      <c r="AQ325" s="12">
        <f t="shared" si="971"/>
        <v>5</v>
      </c>
      <c r="AR325" s="12">
        <f t="shared" si="971"/>
        <v>5</v>
      </c>
      <c r="AS325" s="12">
        <f t="shared" si="971"/>
        <v>5</v>
      </c>
      <c r="AU325" s="11">
        <f t="shared" si="8"/>
        <v>0.1506017509</v>
      </c>
    </row>
    <row r="326" ht="15.75" customHeight="1">
      <c r="A326" s="16">
        <f t="shared" si="4"/>
        <v>8.220033061</v>
      </c>
      <c r="B326" s="7">
        <f>(sum(AH326:AL326))*'Optimal Choice'!$B$28</f>
        <v>504557</v>
      </c>
      <c r="C326" s="11"/>
      <c r="D326" s="12"/>
      <c r="E326" s="12"/>
      <c r="F326" s="11"/>
      <c r="G326" s="11">
        <f>(T326/$B326)+(T326/('Optimal Choice'!$B$4*AO326))</f>
        <v>762.6505557</v>
      </c>
      <c r="H326" s="11">
        <f>(U326/$B326)+(U326/('Optimal Choice'!$B$9*AP326))</f>
        <v>800.8945665</v>
      </c>
      <c r="I326" s="11">
        <f>(V326/$B326)+(V326/('Optimal Choice'!$B$14*AQ326))</f>
        <v>756.8941659</v>
      </c>
      <c r="J326" s="11">
        <f>(W326/$B326)+(W326/('Optimal Choice'!$B$19*AR326))</f>
        <v>816.7374053</v>
      </c>
      <c r="K326" s="11">
        <f>(X326/$B326)+(X326/('Optimal Choice'!$B$24*AS326))</f>
        <v>517.7259934</v>
      </c>
      <c r="N326" s="12">
        <f t="shared" ref="N326:R326" si="972">if(min($G325:$K325)=G325,N325+1,N325)</f>
        <v>142</v>
      </c>
      <c r="O326" s="12">
        <f t="shared" si="972"/>
        <v>62</v>
      </c>
      <c r="P326" s="12">
        <f t="shared" si="972"/>
        <v>46</v>
      </c>
      <c r="Q326" s="12">
        <f t="shared" si="972"/>
        <v>41</v>
      </c>
      <c r="R326" s="12">
        <f t="shared" si="972"/>
        <v>34</v>
      </c>
      <c r="T326" s="13">
        <f> 'Optimal Choice'!$B$5*'Optimal Choice'!$B$6^(N326+1)</f>
        <v>63670.78441</v>
      </c>
      <c r="U326" s="13">
        <f> 'Optimal Choice'!$B$10*'Optimal Choice'!$B$11^(O326+1)</f>
        <v>400050.8455</v>
      </c>
      <c r="V326" s="13">
        <f> 'Optimal Choice'!$B$15*'Optimal Choice'!$B$16^(P326+1)</f>
        <v>340298.8718</v>
      </c>
      <c r="W326" s="13">
        <f> 'Optimal Choice'!$B$20*'Optimal Choice'!$B$21^(Q326+1)</f>
        <v>1464901.315</v>
      </c>
      <c r="X326" s="13">
        <f> 'Optimal Choice'!$B$25*'Optimal Choice'!$B$26^(R326+1)</f>
        <v>5474264.558</v>
      </c>
      <c r="AA326" s="12">
        <f t="shared" ref="AA326:AE326" si="973">if(isna(VLOOKUP(N326,$D$2:$E$10,2,false)),AA325, VLOOKUP(N326,$D$2:$E$10,2,false))</f>
        <v>50</v>
      </c>
      <c r="AB326" s="12">
        <f t="shared" si="973"/>
        <v>25</v>
      </c>
      <c r="AC326" s="12">
        <f t="shared" si="973"/>
        <v>5</v>
      </c>
      <c r="AD326" s="12">
        <f t="shared" si="973"/>
        <v>5</v>
      </c>
      <c r="AE326" s="12">
        <f t="shared" si="973"/>
        <v>5</v>
      </c>
      <c r="AH326" s="15">
        <f>N326*'Optimal Choice'!$B$4*AA326</f>
        <v>11857</v>
      </c>
      <c r="AI326" s="15">
        <f>O326*'Optimal Choice'!$B$9*AB326</f>
        <v>31000</v>
      </c>
      <c r="AJ326" s="15">
        <f>P326*'Optimal Choice'!$B$14*AC326</f>
        <v>20700</v>
      </c>
      <c r="AK326" s="15">
        <f>Q326*'Optimal Choice'!$B$19*AD326</f>
        <v>73800</v>
      </c>
      <c r="AL326" s="15">
        <f>R326*'Optimal Choice'!$B$24*AE326</f>
        <v>367200</v>
      </c>
      <c r="AO326" s="12">
        <f t="shared" ref="AO326:AS326" si="974">if(isna(VLOOKUP(N326+1,$D$2:$E$10,2,false)),AO325, VLOOKUP(N326+1,$D$2:$E$10,2,false))</f>
        <v>50</v>
      </c>
      <c r="AP326" s="12">
        <f t="shared" si="974"/>
        <v>25</v>
      </c>
      <c r="AQ326" s="12">
        <f t="shared" si="974"/>
        <v>5</v>
      </c>
      <c r="AR326" s="12">
        <f t="shared" si="974"/>
        <v>5</v>
      </c>
      <c r="AS326" s="12">
        <f t="shared" si="974"/>
        <v>5</v>
      </c>
      <c r="AU326" s="11">
        <f t="shared" si="8"/>
        <v>0.1649845373</v>
      </c>
    </row>
    <row r="327" ht="15.75" customHeight="1">
      <c r="A327" s="16">
        <f t="shared" si="4"/>
        <v>8.400860485</v>
      </c>
      <c r="B327" s="7">
        <f>(sum(AH327:AL327))*'Optimal Choice'!$B$28</f>
        <v>515357</v>
      </c>
      <c r="C327" s="11"/>
      <c r="D327" s="12"/>
      <c r="E327" s="12"/>
      <c r="F327" s="11"/>
      <c r="G327" s="11">
        <f>(T327/$B327)+(T327/('Optimal Choice'!$B$4*AO327))</f>
        <v>762.6479111</v>
      </c>
      <c r="H327" s="11">
        <f>(U327/$B327)+(U327/('Optimal Choice'!$B$9*AP327))</f>
        <v>800.8779507</v>
      </c>
      <c r="I327" s="11">
        <f>(V327/$B327)+(V327/('Optimal Choice'!$B$14*AQ327))</f>
        <v>756.8800318</v>
      </c>
      <c r="J327" s="11">
        <f>(W327/$B327)+(W327/('Optimal Choice'!$B$19*AR327))</f>
        <v>816.6765619</v>
      </c>
      <c r="K327" s="11">
        <f>(X327/$B327)+(X327/('Optimal Choice'!$B$24*AS327))</f>
        <v>579.5984594</v>
      </c>
      <c r="N327" s="12">
        <f t="shared" ref="N327:R327" si="975">if(min($G326:$K326)=G326,N326+1,N326)</f>
        <v>142</v>
      </c>
      <c r="O327" s="12">
        <f t="shared" si="975"/>
        <v>62</v>
      </c>
      <c r="P327" s="12">
        <f t="shared" si="975"/>
        <v>46</v>
      </c>
      <c r="Q327" s="12">
        <f t="shared" si="975"/>
        <v>41</v>
      </c>
      <c r="R327" s="12">
        <f t="shared" si="975"/>
        <v>35</v>
      </c>
      <c r="T327" s="13">
        <f> 'Optimal Choice'!$B$5*'Optimal Choice'!$B$6^(N327+1)</f>
        <v>63670.78441</v>
      </c>
      <c r="U327" s="13">
        <f> 'Optimal Choice'!$B$10*'Optimal Choice'!$B$11^(O327+1)</f>
        <v>400050.8455</v>
      </c>
      <c r="V327" s="13">
        <f> 'Optimal Choice'!$B$15*'Optimal Choice'!$B$16^(P327+1)</f>
        <v>340298.8718</v>
      </c>
      <c r="W327" s="13">
        <f> 'Optimal Choice'!$B$20*'Optimal Choice'!$B$21^(Q327+1)</f>
        <v>1464901.315</v>
      </c>
      <c r="X327" s="13">
        <f> 'Optimal Choice'!$B$25*'Optimal Choice'!$B$26^(R327+1)</f>
        <v>6131176.305</v>
      </c>
      <c r="AA327" s="12">
        <f t="shared" ref="AA327:AE327" si="976">if(isna(VLOOKUP(N327,$D$2:$E$10,2,false)),AA326, VLOOKUP(N327,$D$2:$E$10,2,false))</f>
        <v>50</v>
      </c>
      <c r="AB327" s="12">
        <f t="shared" si="976"/>
        <v>25</v>
      </c>
      <c r="AC327" s="12">
        <f t="shared" si="976"/>
        <v>5</v>
      </c>
      <c r="AD327" s="12">
        <f t="shared" si="976"/>
        <v>5</v>
      </c>
      <c r="AE327" s="12">
        <f t="shared" si="976"/>
        <v>5</v>
      </c>
      <c r="AH327" s="15">
        <f>N327*'Optimal Choice'!$B$4*AA327</f>
        <v>11857</v>
      </c>
      <c r="AI327" s="15">
        <f>O327*'Optimal Choice'!$B$9*AB327</f>
        <v>31000</v>
      </c>
      <c r="AJ327" s="15">
        <f>P327*'Optimal Choice'!$B$14*AC327</f>
        <v>20700</v>
      </c>
      <c r="AK327" s="15">
        <f>Q327*'Optimal Choice'!$B$19*AD327</f>
        <v>73800</v>
      </c>
      <c r="AL327" s="15">
        <f>R327*'Optimal Choice'!$B$24*AE327</f>
        <v>378000</v>
      </c>
      <c r="AO327" s="12">
        <f t="shared" ref="AO327:AS327" si="977">if(isna(VLOOKUP(N327+1,$D$2:$E$10,2,false)),AO326, VLOOKUP(N327+1,$D$2:$E$10,2,false))</f>
        <v>50</v>
      </c>
      <c r="AP327" s="12">
        <f t="shared" si="977"/>
        <v>25</v>
      </c>
      <c r="AQ327" s="12">
        <f t="shared" si="977"/>
        <v>5</v>
      </c>
      <c r="AR327" s="12">
        <f t="shared" si="977"/>
        <v>5</v>
      </c>
      <c r="AS327" s="12">
        <f t="shared" si="977"/>
        <v>5</v>
      </c>
      <c r="AU327" s="11">
        <f t="shared" si="8"/>
        <v>0.1808274241</v>
      </c>
    </row>
    <row r="328" ht="15.75" customHeight="1">
      <c r="A328" s="16">
        <f t="shared" si="4"/>
        <v>8.59914298</v>
      </c>
      <c r="B328" s="7">
        <f>(sum(AH328:AL328))*'Optimal Choice'!$B$28</f>
        <v>526157</v>
      </c>
      <c r="C328" s="11"/>
      <c r="D328" s="12"/>
      <c r="E328" s="12"/>
      <c r="F328" s="11"/>
      <c r="G328" s="11">
        <f>(T328/$B328)+(T328/('Optimal Choice'!$B$4*AO328))</f>
        <v>762.6453752</v>
      </c>
      <c r="H328" s="11">
        <f>(U328/$B328)+(U328/('Optimal Choice'!$B$9*AP328))</f>
        <v>800.8620171</v>
      </c>
      <c r="I328" s="11">
        <f>(V328/$B328)+(V328/('Optimal Choice'!$B$14*AQ328))</f>
        <v>756.866478</v>
      </c>
      <c r="J328" s="11">
        <f>(W328/$B328)+(W328/('Optimal Choice'!$B$19*AR328))</f>
        <v>816.6182162</v>
      </c>
      <c r="K328" s="11">
        <f>(X328/$B328)+(X328/('Optimal Choice'!$B$24*AS328))</f>
        <v>648.8767716</v>
      </c>
      <c r="N328" s="12">
        <f t="shared" ref="N328:R328" si="978">if(min($G327:$K327)=G327,N327+1,N327)</f>
        <v>142</v>
      </c>
      <c r="O328" s="12">
        <f t="shared" si="978"/>
        <v>62</v>
      </c>
      <c r="P328" s="12">
        <f t="shared" si="978"/>
        <v>46</v>
      </c>
      <c r="Q328" s="12">
        <f t="shared" si="978"/>
        <v>41</v>
      </c>
      <c r="R328" s="12">
        <f t="shared" si="978"/>
        <v>36</v>
      </c>
      <c r="T328" s="13">
        <f> 'Optimal Choice'!$B$5*'Optimal Choice'!$B$6^(N328+1)</f>
        <v>63670.78441</v>
      </c>
      <c r="U328" s="13">
        <f> 'Optimal Choice'!$B$10*'Optimal Choice'!$B$11^(O328+1)</f>
        <v>400050.8455</v>
      </c>
      <c r="V328" s="13">
        <f> 'Optimal Choice'!$B$15*'Optimal Choice'!$B$16^(P328+1)</f>
        <v>340298.8718</v>
      </c>
      <c r="W328" s="13">
        <f> 'Optimal Choice'!$B$20*'Optimal Choice'!$B$21^(Q328+1)</f>
        <v>1464901.315</v>
      </c>
      <c r="X328" s="13">
        <f> 'Optimal Choice'!$B$25*'Optimal Choice'!$B$26^(R328+1)</f>
        <v>6866917.462</v>
      </c>
      <c r="AA328" s="12">
        <f t="shared" ref="AA328:AE328" si="979">if(isna(VLOOKUP(N328,$D$2:$E$10,2,false)),AA327, VLOOKUP(N328,$D$2:$E$10,2,false))</f>
        <v>50</v>
      </c>
      <c r="AB328" s="12">
        <f t="shared" si="979"/>
        <v>25</v>
      </c>
      <c r="AC328" s="12">
        <f t="shared" si="979"/>
        <v>5</v>
      </c>
      <c r="AD328" s="12">
        <f t="shared" si="979"/>
        <v>5</v>
      </c>
      <c r="AE328" s="12">
        <f t="shared" si="979"/>
        <v>5</v>
      </c>
      <c r="AH328" s="15">
        <f>N328*'Optimal Choice'!$B$4*AA328</f>
        <v>11857</v>
      </c>
      <c r="AI328" s="15">
        <f>O328*'Optimal Choice'!$B$9*AB328</f>
        <v>31000</v>
      </c>
      <c r="AJ328" s="15">
        <f>P328*'Optimal Choice'!$B$14*AC328</f>
        <v>20700</v>
      </c>
      <c r="AK328" s="15">
        <f>Q328*'Optimal Choice'!$B$19*AD328</f>
        <v>73800</v>
      </c>
      <c r="AL328" s="15">
        <f>R328*'Optimal Choice'!$B$24*AE328</f>
        <v>388800</v>
      </c>
      <c r="AO328" s="12">
        <f t="shared" ref="AO328:AS328" si="980">if(isna(VLOOKUP(N328+1,$D$2:$E$10,2,false)),AO327, VLOOKUP(N328+1,$D$2:$E$10,2,false))</f>
        <v>50</v>
      </c>
      <c r="AP328" s="12">
        <f t="shared" si="980"/>
        <v>25</v>
      </c>
      <c r="AQ328" s="12">
        <f t="shared" si="980"/>
        <v>5</v>
      </c>
      <c r="AR328" s="12">
        <f t="shared" si="980"/>
        <v>5</v>
      </c>
      <c r="AS328" s="12">
        <f t="shared" si="980"/>
        <v>5</v>
      </c>
      <c r="AU328" s="11">
        <f t="shared" si="8"/>
        <v>0.1982824949</v>
      </c>
    </row>
    <row r="329" ht="15.75" customHeight="1">
      <c r="A329" s="16">
        <f t="shared" si="4"/>
        <v>8.816660992</v>
      </c>
      <c r="B329" s="7">
        <f>(sum(AH329:AL329))*'Optimal Choice'!$B$28</f>
        <v>536957</v>
      </c>
      <c r="C329" s="11"/>
      <c r="D329" s="12"/>
      <c r="E329" s="12"/>
      <c r="F329" s="11"/>
      <c r="G329" s="11">
        <f>(T329/$B329)+(T329/('Optimal Choice'!$B$4*AO329))</f>
        <v>762.6429413</v>
      </c>
      <c r="H329" s="11">
        <f>(U329/$B329)+(U329/('Optimal Choice'!$B$9*AP329))</f>
        <v>800.8467244</v>
      </c>
      <c r="I329" s="11">
        <f>(V329/$B329)+(V329/('Optimal Choice'!$B$14*AQ329))</f>
        <v>756.8534695</v>
      </c>
      <c r="J329" s="11">
        <f>(W329/$B329)+(W329/('Optimal Choice'!$B$19*AR329))</f>
        <v>816.5622176</v>
      </c>
      <c r="K329" s="11">
        <f>(X329/$B329)+(X329/('Optimal Choice'!$B$24*AS329))</f>
        <v>726.4479832</v>
      </c>
      <c r="N329" s="12">
        <f t="shared" ref="N329:R329" si="981">if(min($G328:$K328)=G328,N328+1,N328)</f>
        <v>142</v>
      </c>
      <c r="O329" s="12">
        <f t="shared" si="981"/>
        <v>62</v>
      </c>
      <c r="P329" s="12">
        <f t="shared" si="981"/>
        <v>46</v>
      </c>
      <c r="Q329" s="12">
        <f t="shared" si="981"/>
        <v>41</v>
      </c>
      <c r="R329" s="12">
        <f t="shared" si="981"/>
        <v>37</v>
      </c>
      <c r="T329" s="13">
        <f> 'Optimal Choice'!$B$5*'Optimal Choice'!$B$6^(N329+1)</f>
        <v>63670.78441</v>
      </c>
      <c r="U329" s="13">
        <f> 'Optimal Choice'!$B$10*'Optimal Choice'!$B$11^(O329+1)</f>
        <v>400050.8455</v>
      </c>
      <c r="V329" s="13">
        <f> 'Optimal Choice'!$B$15*'Optimal Choice'!$B$16^(P329+1)</f>
        <v>340298.8718</v>
      </c>
      <c r="W329" s="13">
        <f> 'Optimal Choice'!$B$20*'Optimal Choice'!$B$21^(Q329+1)</f>
        <v>1464901.315</v>
      </c>
      <c r="X329" s="13">
        <f> 'Optimal Choice'!$B$25*'Optimal Choice'!$B$26^(R329+1)</f>
        <v>7690947.557</v>
      </c>
      <c r="AA329" s="12">
        <f t="shared" ref="AA329:AE329" si="982">if(isna(VLOOKUP(N329,$D$2:$E$10,2,false)),AA328, VLOOKUP(N329,$D$2:$E$10,2,false))</f>
        <v>50</v>
      </c>
      <c r="AB329" s="12">
        <f t="shared" si="982"/>
        <v>25</v>
      </c>
      <c r="AC329" s="12">
        <f t="shared" si="982"/>
        <v>5</v>
      </c>
      <c r="AD329" s="12">
        <f t="shared" si="982"/>
        <v>5</v>
      </c>
      <c r="AE329" s="12">
        <f t="shared" si="982"/>
        <v>5</v>
      </c>
      <c r="AH329" s="15">
        <f>N329*'Optimal Choice'!$B$4*AA329</f>
        <v>11857</v>
      </c>
      <c r="AI329" s="15">
        <f>O329*'Optimal Choice'!$B$9*AB329</f>
        <v>31000</v>
      </c>
      <c r="AJ329" s="15">
        <f>P329*'Optimal Choice'!$B$14*AC329</f>
        <v>20700</v>
      </c>
      <c r="AK329" s="15">
        <f>Q329*'Optimal Choice'!$B$19*AD329</f>
        <v>73800</v>
      </c>
      <c r="AL329" s="15">
        <f>R329*'Optimal Choice'!$B$24*AE329</f>
        <v>399600</v>
      </c>
      <c r="AO329" s="12">
        <f t="shared" ref="AO329:AS329" si="983">if(isna(VLOOKUP(N329+1,$D$2:$E$10,2,false)),AO328, VLOOKUP(N329+1,$D$2:$E$10,2,false))</f>
        <v>50</v>
      </c>
      <c r="AP329" s="12">
        <f t="shared" si="983"/>
        <v>25</v>
      </c>
      <c r="AQ329" s="12">
        <f t="shared" si="983"/>
        <v>5</v>
      </c>
      <c r="AR329" s="12">
        <f t="shared" si="983"/>
        <v>5</v>
      </c>
      <c r="AS329" s="12">
        <f t="shared" si="983"/>
        <v>5</v>
      </c>
      <c r="AU329" s="11">
        <f t="shared" si="8"/>
        <v>0.2175180115</v>
      </c>
    </row>
    <row r="330" ht="15.75" customHeight="1">
      <c r="A330" s="16">
        <f t="shared" si="4"/>
        <v>9.055381149</v>
      </c>
      <c r="B330" s="7">
        <f>(sum(AH330:AL330))*'Optimal Choice'!$B$28</f>
        <v>547757</v>
      </c>
      <c r="C330" s="11"/>
      <c r="D330" s="12"/>
      <c r="E330" s="12"/>
      <c r="F330" s="11"/>
      <c r="G330" s="11">
        <f>(T330/$B330)+(T330/('Optimal Choice'!$B$4*AO330))</f>
        <v>762.6406033</v>
      </c>
      <c r="H330" s="11">
        <f>(U330/$B330)+(U330/('Optimal Choice'!$B$9*AP330))</f>
        <v>800.8320347</v>
      </c>
      <c r="I330" s="11">
        <f>(V330/$B330)+(V330/('Optimal Choice'!$B$14*AQ330))</f>
        <v>756.8409739</v>
      </c>
      <c r="J330" s="11">
        <f>(W330/$B330)+(W330/('Optimal Choice'!$B$19*AR330))</f>
        <v>816.5084272</v>
      </c>
      <c r="K330" s="11">
        <f>(X330/$B330)+(X330/('Optimal Choice'!$B$24*AS330))</f>
        <v>813.3054448</v>
      </c>
      <c r="N330" s="12">
        <f t="shared" ref="N330:R330" si="984">if(min($G329:$K329)=G329,N329+1,N329)</f>
        <v>142</v>
      </c>
      <c r="O330" s="12">
        <f t="shared" si="984"/>
        <v>62</v>
      </c>
      <c r="P330" s="12">
        <f t="shared" si="984"/>
        <v>46</v>
      </c>
      <c r="Q330" s="12">
        <f t="shared" si="984"/>
        <v>41</v>
      </c>
      <c r="R330" s="12">
        <f t="shared" si="984"/>
        <v>38</v>
      </c>
      <c r="T330" s="13">
        <f> 'Optimal Choice'!$B$5*'Optimal Choice'!$B$6^(N330+1)</f>
        <v>63670.78441</v>
      </c>
      <c r="U330" s="13">
        <f> 'Optimal Choice'!$B$10*'Optimal Choice'!$B$11^(O330+1)</f>
        <v>400050.8455</v>
      </c>
      <c r="V330" s="13">
        <f> 'Optimal Choice'!$B$15*'Optimal Choice'!$B$16^(P330+1)</f>
        <v>340298.8718</v>
      </c>
      <c r="W330" s="13">
        <f> 'Optimal Choice'!$B$20*'Optimal Choice'!$B$21^(Q330+1)</f>
        <v>1464901.315</v>
      </c>
      <c r="X330" s="13">
        <f> 'Optimal Choice'!$B$25*'Optimal Choice'!$B$26^(R330+1)</f>
        <v>8613861.264</v>
      </c>
      <c r="AA330" s="12">
        <f t="shared" ref="AA330:AE330" si="985">if(isna(VLOOKUP(N330,$D$2:$E$10,2,false)),AA329, VLOOKUP(N330,$D$2:$E$10,2,false))</f>
        <v>50</v>
      </c>
      <c r="AB330" s="12">
        <f t="shared" si="985"/>
        <v>25</v>
      </c>
      <c r="AC330" s="12">
        <f t="shared" si="985"/>
        <v>5</v>
      </c>
      <c r="AD330" s="12">
        <f t="shared" si="985"/>
        <v>5</v>
      </c>
      <c r="AE330" s="12">
        <f t="shared" si="985"/>
        <v>5</v>
      </c>
      <c r="AH330" s="15">
        <f>N330*'Optimal Choice'!$B$4*AA330</f>
        <v>11857</v>
      </c>
      <c r="AI330" s="15">
        <f>O330*'Optimal Choice'!$B$9*AB330</f>
        <v>31000</v>
      </c>
      <c r="AJ330" s="15">
        <f>P330*'Optimal Choice'!$B$14*AC330</f>
        <v>20700</v>
      </c>
      <c r="AK330" s="15">
        <f>Q330*'Optimal Choice'!$B$19*AD330</f>
        <v>73800</v>
      </c>
      <c r="AL330" s="15">
        <f>R330*'Optimal Choice'!$B$24*AE330</f>
        <v>410400</v>
      </c>
      <c r="AO330" s="12">
        <f t="shared" ref="AO330:AS330" si="986">if(isna(VLOOKUP(N330+1,$D$2:$E$10,2,false)),AO329, VLOOKUP(N330+1,$D$2:$E$10,2,false))</f>
        <v>50</v>
      </c>
      <c r="AP330" s="12">
        <f t="shared" si="986"/>
        <v>25</v>
      </c>
      <c r="AQ330" s="12">
        <f t="shared" si="986"/>
        <v>5</v>
      </c>
      <c r="AR330" s="12">
        <f t="shared" si="986"/>
        <v>5</v>
      </c>
      <c r="AS330" s="12">
        <f t="shared" si="986"/>
        <v>5</v>
      </c>
      <c r="AU330" s="11">
        <f t="shared" si="8"/>
        <v>0.2387201569</v>
      </c>
    </row>
    <row r="331" ht="15.75" customHeight="1">
      <c r="A331" s="16">
        <f t="shared" si="4"/>
        <v>9.065735463</v>
      </c>
      <c r="B331" s="7">
        <f>(sum(AH331:AL331))*'Optimal Choice'!$B$28</f>
        <v>548207</v>
      </c>
      <c r="C331" s="11"/>
      <c r="D331" s="12"/>
      <c r="E331" s="12"/>
      <c r="F331" s="11"/>
      <c r="G331" s="11">
        <f>(T331/$B331)+(T331/('Optimal Choice'!$B$4*AO331))</f>
        <v>762.6405079</v>
      </c>
      <c r="H331" s="11">
        <f>(U331/$B331)+(U331/('Optimal Choice'!$B$9*AP331))</f>
        <v>800.8314352</v>
      </c>
      <c r="I331" s="11">
        <f>(V331/$B331)+(V331/('Optimal Choice'!$B$14*AQ331))</f>
        <v>862.7981289</v>
      </c>
      <c r="J331" s="11">
        <f>(W331/$B331)+(W331/('Optimal Choice'!$B$19*AR331))</f>
        <v>816.506232</v>
      </c>
      <c r="K331" s="11">
        <f>(X331/$B331)+(X331/('Optimal Choice'!$B$24*AS331))</f>
        <v>813.2925363</v>
      </c>
      <c r="N331" s="12">
        <f t="shared" ref="N331:R331" si="987">if(min($G330:$K330)=G330,N330+1,N330)</f>
        <v>142</v>
      </c>
      <c r="O331" s="12">
        <f t="shared" si="987"/>
        <v>62</v>
      </c>
      <c r="P331" s="12">
        <f t="shared" si="987"/>
        <v>47</v>
      </c>
      <c r="Q331" s="12">
        <f t="shared" si="987"/>
        <v>41</v>
      </c>
      <c r="R331" s="12">
        <f t="shared" si="987"/>
        <v>38</v>
      </c>
      <c r="T331" s="13">
        <f> 'Optimal Choice'!$B$5*'Optimal Choice'!$B$6^(N331+1)</f>
        <v>63670.78441</v>
      </c>
      <c r="U331" s="13">
        <f> 'Optimal Choice'!$B$10*'Optimal Choice'!$B$11^(O331+1)</f>
        <v>400050.8455</v>
      </c>
      <c r="V331" s="13">
        <f> 'Optimal Choice'!$B$15*'Optimal Choice'!$B$16^(P331+1)</f>
        <v>387940.7138</v>
      </c>
      <c r="W331" s="13">
        <f> 'Optimal Choice'!$B$20*'Optimal Choice'!$B$21^(Q331+1)</f>
        <v>1464901.315</v>
      </c>
      <c r="X331" s="13">
        <f> 'Optimal Choice'!$B$25*'Optimal Choice'!$B$26^(R331+1)</f>
        <v>8613861.264</v>
      </c>
      <c r="AA331" s="12">
        <f t="shared" ref="AA331:AE331" si="988">if(isna(VLOOKUP(N331,$D$2:$E$10,2,false)),AA330, VLOOKUP(N331,$D$2:$E$10,2,false))</f>
        <v>50</v>
      </c>
      <c r="AB331" s="12">
        <f t="shared" si="988"/>
        <v>25</v>
      </c>
      <c r="AC331" s="12">
        <f t="shared" si="988"/>
        <v>5</v>
      </c>
      <c r="AD331" s="12">
        <f t="shared" si="988"/>
        <v>5</v>
      </c>
      <c r="AE331" s="12">
        <f t="shared" si="988"/>
        <v>5</v>
      </c>
      <c r="AH331" s="15">
        <f>N331*'Optimal Choice'!$B$4*AA331</f>
        <v>11857</v>
      </c>
      <c r="AI331" s="15">
        <f>O331*'Optimal Choice'!$B$9*AB331</f>
        <v>31000</v>
      </c>
      <c r="AJ331" s="15">
        <f>P331*'Optimal Choice'!$B$14*AC331</f>
        <v>21150</v>
      </c>
      <c r="AK331" s="15">
        <f>Q331*'Optimal Choice'!$B$19*AD331</f>
        <v>73800</v>
      </c>
      <c r="AL331" s="15">
        <f>R331*'Optimal Choice'!$B$24*AE331</f>
        <v>410400</v>
      </c>
      <c r="AO331" s="12">
        <f t="shared" ref="AO331:AS331" si="989">if(isna(VLOOKUP(N331+1,$D$2:$E$10,2,false)),AO330, VLOOKUP(N331+1,$D$2:$E$10,2,false))</f>
        <v>50</v>
      </c>
      <c r="AP331" s="12">
        <f t="shared" si="989"/>
        <v>25</v>
      </c>
      <c r="AQ331" s="12">
        <f t="shared" si="989"/>
        <v>5</v>
      </c>
      <c r="AR331" s="12">
        <f t="shared" si="989"/>
        <v>5</v>
      </c>
      <c r="AS331" s="12">
        <f t="shared" si="989"/>
        <v>5</v>
      </c>
      <c r="AU331" s="11">
        <f t="shared" si="8"/>
        <v>0.0103543138</v>
      </c>
    </row>
    <row r="332" ht="15.75" customHeight="1">
      <c r="A332" s="16">
        <f t="shared" si="4"/>
        <v>9.067671191</v>
      </c>
      <c r="B332" s="7">
        <f>(sum(AH332:AL332))*'Optimal Choice'!$B$28</f>
        <v>548290.5</v>
      </c>
      <c r="C332" s="11"/>
      <c r="D332" s="12"/>
      <c r="E332" s="12"/>
      <c r="F332" s="11"/>
      <c r="G332" s="11">
        <f>(T332/$B332)+(T332/('Optimal Choice'!$B$4*AO332))</f>
        <v>816.0253245</v>
      </c>
      <c r="H332" s="11">
        <f>(U332/$B332)+(U332/('Optimal Choice'!$B$9*AP332))</f>
        <v>800.8313241</v>
      </c>
      <c r="I332" s="11">
        <f>(V332/$B332)+(V332/('Optimal Choice'!$B$14*AQ332))</f>
        <v>862.7980211</v>
      </c>
      <c r="J332" s="11">
        <f>(W332/$B332)+(W332/('Optimal Choice'!$B$19*AR332))</f>
        <v>816.505825</v>
      </c>
      <c r="K332" s="11">
        <f>(X332/$B332)+(X332/('Optimal Choice'!$B$24*AS332))</f>
        <v>813.2901433</v>
      </c>
      <c r="N332" s="12">
        <f t="shared" ref="N332:R332" si="990">if(min($G331:$K331)=G331,N331+1,N331)</f>
        <v>143</v>
      </c>
      <c r="O332" s="12">
        <f t="shared" si="990"/>
        <v>62</v>
      </c>
      <c r="P332" s="12">
        <f t="shared" si="990"/>
        <v>47</v>
      </c>
      <c r="Q332" s="12">
        <f t="shared" si="990"/>
        <v>41</v>
      </c>
      <c r="R332" s="12">
        <f t="shared" si="990"/>
        <v>38</v>
      </c>
      <c r="T332" s="13">
        <f> 'Optimal Choice'!$B$5*'Optimal Choice'!$B$6^(N332+1)</f>
        <v>68127.73932</v>
      </c>
      <c r="U332" s="13">
        <f> 'Optimal Choice'!$B$10*'Optimal Choice'!$B$11^(O332+1)</f>
        <v>400050.8455</v>
      </c>
      <c r="V332" s="13">
        <f> 'Optimal Choice'!$B$15*'Optimal Choice'!$B$16^(P332+1)</f>
        <v>387940.7138</v>
      </c>
      <c r="W332" s="13">
        <f> 'Optimal Choice'!$B$20*'Optimal Choice'!$B$21^(Q332+1)</f>
        <v>1464901.315</v>
      </c>
      <c r="X332" s="13">
        <f> 'Optimal Choice'!$B$25*'Optimal Choice'!$B$26^(R332+1)</f>
        <v>8613861.264</v>
      </c>
      <c r="AA332" s="12">
        <f t="shared" ref="AA332:AE332" si="991">if(isna(VLOOKUP(N332,$D$2:$E$10,2,false)),AA331, VLOOKUP(N332,$D$2:$E$10,2,false))</f>
        <v>50</v>
      </c>
      <c r="AB332" s="12">
        <f t="shared" si="991"/>
        <v>25</v>
      </c>
      <c r="AC332" s="12">
        <f t="shared" si="991"/>
        <v>5</v>
      </c>
      <c r="AD332" s="12">
        <f t="shared" si="991"/>
        <v>5</v>
      </c>
      <c r="AE332" s="12">
        <f t="shared" si="991"/>
        <v>5</v>
      </c>
      <c r="AH332" s="15">
        <f>N332*'Optimal Choice'!$B$4*AA332</f>
        <v>11940.5</v>
      </c>
      <c r="AI332" s="15">
        <f>O332*'Optimal Choice'!$B$9*AB332</f>
        <v>31000</v>
      </c>
      <c r="AJ332" s="15">
        <f>P332*'Optimal Choice'!$B$14*AC332</f>
        <v>21150</v>
      </c>
      <c r="AK332" s="15">
        <f>Q332*'Optimal Choice'!$B$19*AD332</f>
        <v>73800</v>
      </c>
      <c r="AL332" s="15">
        <f>R332*'Optimal Choice'!$B$24*AE332</f>
        <v>410400</v>
      </c>
      <c r="AO332" s="12">
        <f t="shared" ref="AO332:AS332" si="992">if(isna(VLOOKUP(N332+1,$D$2:$E$10,2,false)),AO331, VLOOKUP(N332+1,$D$2:$E$10,2,false))</f>
        <v>50</v>
      </c>
      <c r="AP332" s="12">
        <f t="shared" si="992"/>
        <v>25</v>
      </c>
      <c r="AQ332" s="12">
        <f t="shared" si="992"/>
        <v>5</v>
      </c>
      <c r="AR332" s="12">
        <f t="shared" si="992"/>
        <v>5</v>
      </c>
      <c r="AS332" s="12">
        <f t="shared" si="992"/>
        <v>5</v>
      </c>
      <c r="AU332" s="11">
        <f t="shared" si="8"/>
        <v>0.001935728183</v>
      </c>
    </row>
    <row r="333" ht="15.75" customHeight="1">
      <c r="A333" s="16">
        <f t="shared" si="4"/>
        <v>9.079831741</v>
      </c>
      <c r="B333" s="7">
        <f>(sum(AH333:AL333))*'Optimal Choice'!$B$28</f>
        <v>548790.5</v>
      </c>
      <c r="C333" s="11"/>
      <c r="D333" s="12"/>
      <c r="E333" s="12"/>
      <c r="F333" s="11"/>
      <c r="G333" s="11">
        <f>(T333/$B333)+(T333/('Optimal Choice'!$B$4*AO333))</f>
        <v>816.0252113</v>
      </c>
      <c r="H333" s="11">
        <f>(U333/$B333)+(U333/('Optimal Choice'!$B$9*AP333))</f>
        <v>920.9552582</v>
      </c>
      <c r="I333" s="11">
        <f>(V333/$B333)+(V333/('Optimal Choice'!$B$14*AQ333))</f>
        <v>862.7973765</v>
      </c>
      <c r="J333" s="11">
        <f>(W333/$B333)+(W333/('Optimal Choice'!$B$19*AR333))</f>
        <v>816.5033908</v>
      </c>
      <c r="K333" s="11">
        <f>(X333/$B333)+(X333/('Optimal Choice'!$B$24*AS333))</f>
        <v>813.2758297</v>
      </c>
      <c r="N333" s="12">
        <f t="shared" ref="N333:R333" si="993">if(min($G332:$K332)=G332,N332+1,N332)</f>
        <v>143</v>
      </c>
      <c r="O333" s="12">
        <f t="shared" si="993"/>
        <v>63</v>
      </c>
      <c r="P333" s="12">
        <f t="shared" si="993"/>
        <v>47</v>
      </c>
      <c r="Q333" s="12">
        <f t="shared" si="993"/>
        <v>41</v>
      </c>
      <c r="R333" s="12">
        <f t="shared" si="993"/>
        <v>38</v>
      </c>
      <c r="T333" s="13">
        <f> 'Optimal Choice'!$B$5*'Optimal Choice'!$B$6^(N333+1)</f>
        <v>68127.73932</v>
      </c>
      <c r="U333" s="13">
        <f> 'Optimal Choice'!$B$10*'Optimal Choice'!$B$11^(O333+1)</f>
        <v>460058.4724</v>
      </c>
      <c r="V333" s="13">
        <f> 'Optimal Choice'!$B$15*'Optimal Choice'!$B$16^(P333+1)</f>
        <v>387940.7138</v>
      </c>
      <c r="W333" s="13">
        <f> 'Optimal Choice'!$B$20*'Optimal Choice'!$B$21^(Q333+1)</f>
        <v>1464901.315</v>
      </c>
      <c r="X333" s="13">
        <f> 'Optimal Choice'!$B$25*'Optimal Choice'!$B$26^(R333+1)</f>
        <v>8613861.264</v>
      </c>
      <c r="AA333" s="12">
        <f t="shared" ref="AA333:AE333" si="994">if(isna(VLOOKUP(N333,$D$2:$E$10,2,false)),AA332, VLOOKUP(N333,$D$2:$E$10,2,false))</f>
        <v>50</v>
      </c>
      <c r="AB333" s="12">
        <f t="shared" si="994"/>
        <v>25</v>
      </c>
      <c r="AC333" s="12">
        <f t="shared" si="994"/>
        <v>5</v>
      </c>
      <c r="AD333" s="12">
        <f t="shared" si="994"/>
        <v>5</v>
      </c>
      <c r="AE333" s="12">
        <f t="shared" si="994"/>
        <v>5</v>
      </c>
      <c r="AH333" s="15">
        <f>N333*'Optimal Choice'!$B$4*AA333</f>
        <v>11940.5</v>
      </c>
      <c r="AI333" s="15">
        <f>O333*'Optimal Choice'!$B$9*AB333</f>
        <v>31500</v>
      </c>
      <c r="AJ333" s="15">
        <f>P333*'Optimal Choice'!$B$14*AC333</f>
        <v>21150</v>
      </c>
      <c r="AK333" s="15">
        <f>Q333*'Optimal Choice'!$B$19*AD333</f>
        <v>73800</v>
      </c>
      <c r="AL333" s="15">
        <f>R333*'Optimal Choice'!$B$24*AE333</f>
        <v>410400</v>
      </c>
      <c r="AO333" s="12">
        <f t="shared" ref="AO333:AS333" si="995">if(isna(VLOOKUP(N333+1,$D$2:$E$10,2,false)),AO332, VLOOKUP(N333+1,$D$2:$E$10,2,false))</f>
        <v>50</v>
      </c>
      <c r="AP333" s="12">
        <f t="shared" si="995"/>
        <v>25</v>
      </c>
      <c r="AQ333" s="12">
        <f t="shared" si="995"/>
        <v>5</v>
      </c>
      <c r="AR333" s="12">
        <f t="shared" si="995"/>
        <v>5</v>
      </c>
      <c r="AS333" s="12">
        <f t="shared" si="995"/>
        <v>5</v>
      </c>
      <c r="AU333" s="11">
        <f t="shared" si="8"/>
        <v>0.0121605501</v>
      </c>
    </row>
    <row r="334" ht="15.75" customHeight="1">
      <c r="A334" s="16">
        <f t="shared" si="4"/>
        <v>9.341433125</v>
      </c>
      <c r="B334" s="7">
        <f>(sum(AH334:AL334))*'Optimal Choice'!$B$28</f>
        <v>559590.5</v>
      </c>
      <c r="C334" s="11"/>
      <c r="D334" s="12"/>
      <c r="E334" s="12"/>
      <c r="F334" s="11"/>
      <c r="G334" s="11">
        <f>(T334/$B334)+(T334/('Optimal Choice'!$B$4*AO334))</f>
        <v>816.0228154</v>
      </c>
      <c r="H334" s="11">
        <f>(U334/$B334)+(U334/('Optimal Choice'!$B$9*AP334))</f>
        <v>920.9390789</v>
      </c>
      <c r="I334" s="11">
        <f>(V334/$B334)+(V334/('Optimal Choice'!$B$14*AQ334))</f>
        <v>862.7837334</v>
      </c>
      <c r="J334" s="11">
        <f>(W334/$B334)+(W334/('Optimal Choice'!$B$19*AR334))</f>
        <v>816.4518732</v>
      </c>
      <c r="K334" s="11">
        <f>(X334/$B334)+(X334/('Optimal Choice'!$B$24*AS334))</f>
        <v>910.5296458</v>
      </c>
      <c r="N334" s="12">
        <f t="shared" ref="N334:R334" si="996">if(min($G333:$K333)=G333,N333+1,N333)</f>
        <v>143</v>
      </c>
      <c r="O334" s="12">
        <f t="shared" si="996"/>
        <v>63</v>
      </c>
      <c r="P334" s="12">
        <f t="shared" si="996"/>
        <v>47</v>
      </c>
      <c r="Q334" s="12">
        <f t="shared" si="996"/>
        <v>41</v>
      </c>
      <c r="R334" s="12">
        <f t="shared" si="996"/>
        <v>39</v>
      </c>
      <c r="T334" s="13">
        <f> 'Optimal Choice'!$B$5*'Optimal Choice'!$B$6^(N334+1)</f>
        <v>68127.73932</v>
      </c>
      <c r="U334" s="13">
        <f> 'Optimal Choice'!$B$10*'Optimal Choice'!$B$11^(O334+1)</f>
        <v>460058.4724</v>
      </c>
      <c r="V334" s="13">
        <f> 'Optimal Choice'!$B$15*'Optimal Choice'!$B$16^(P334+1)</f>
        <v>387940.7138</v>
      </c>
      <c r="W334" s="13">
        <f> 'Optimal Choice'!$B$20*'Optimal Choice'!$B$21^(Q334+1)</f>
        <v>1464901.315</v>
      </c>
      <c r="X334" s="13">
        <f> 'Optimal Choice'!$B$25*'Optimal Choice'!$B$26^(R334+1)</f>
        <v>9647524.615</v>
      </c>
      <c r="AA334" s="12">
        <f t="shared" ref="AA334:AE334" si="997">if(isna(VLOOKUP(N334,$D$2:$E$10,2,false)),AA333, VLOOKUP(N334,$D$2:$E$10,2,false))</f>
        <v>50</v>
      </c>
      <c r="AB334" s="12">
        <f t="shared" si="997"/>
        <v>25</v>
      </c>
      <c r="AC334" s="12">
        <f t="shared" si="997"/>
        <v>5</v>
      </c>
      <c r="AD334" s="12">
        <f t="shared" si="997"/>
        <v>5</v>
      </c>
      <c r="AE334" s="12">
        <f t="shared" si="997"/>
        <v>5</v>
      </c>
      <c r="AH334" s="15">
        <f>N334*'Optimal Choice'!$B$4*AA334</f>
        <v>11940.5</v>
      </c>
      <c r="AI334" s="15">
        <f>O334*'Optimal Choice'!$B$9*AB334</f>
        <v>31500</v>
      </c>
      <c r="AJ334" s="15">
        <f>P334*'Optimal Choice'!$B$14*AC334</f>
        <v>21150</v>
      </c>
      <c r="AK334" s="15">
        <f>Q334*'Optimal Choice'!$B$19*AD334</f>
        <v>73800</v>
      </c>
      <c r="AL334" s="15">
        <f>R334*'Optimal Choice'!$B$24*AE334</f>
        <v>421200</v>
      </c>
      <c r="AO334" s="12">
        <f t="shared" ref="AO334:AS334" si="998">if(isna(VLOOKUP(N334+1,$D$2:$E$10,2,false)),AO333, VLOOKUP(N334+1,$D$2:$E$10,2,false))</f>
        <v>50</v>
      </c>
      <c r="AP334" s="12">
        <f t="shared" si="998"/>
        <v>25</v>
      </c>
      <c r="AQ334" s="12">
        <f t="shared" si="998"/>
        <v>5</v>
      </c>
      <c r="AR334" s="12">
        <f t="shared" si="998"/>
        <v>5</v>
      </c>
      <c r="AS334" s="12">
        <f t="shared" si="998"/>
        <v>5</v>
      </c>
      <c r="AU334" s="11">
        <f t="shared" si="8"/>
        <v>0.2616013841</v>
      </c>
    </row>
    <row r="335" ht="15.75" customHeight="1">
      <c r="A335" s="16">
        <f t="shared" si="4"/>
        <v>9.34346222</v>
      </c>
      <c r="B335" s="7">
        <f>(sum(AH335:AL335))*'Optimal Choice'!$B$28</f>
        <v>559674</v>
      </c>
      <c r="C335" s="11"/>
      <c r="D335" s="12"/>
      <c r="E335" s="12"/>
      <c r="F335" s="11"/>
      <c r="G335" s="11">
        <f>(T335/$B335)+(T335/('Optimal Choice'!$B$4*AO335))</f>
        <v>873.144393</v>
      </c>
      <c r="H335" s="11">
        <f>(U335/$B335)+(U335/('Optimal Choice'!$B$9*AP335))</f>
        <v>920.9389563</v>
      </c>
      <c r="I335" s="11">
        <f>(V335/$B335)+(V335/('Optimal Choice'!$B$14*AQ335))</f>
        <v>862.78363</v>
      </c>
      <c r="J335" s="11">
        <f>(W335/$B335)+(W335/('Optimal Choice'!$B$19*AR335))</f>
        <v>816.4514827</v>
      </c>
      <c r="K335" s="11">
        <f>(X335/$B335)+(X335/('Optimal Choice'!$B$24*AS335))</f>
        <v>910.5270736</v>
      </c>
      <c r="N335" s="12">
        <f t="shared" ref="N335:R335" si="999">if(min($G334:$K334)=G334,N334+1,N334)</f>
        <v>144</v>
      </c>
      <c r="O335" s="12">
        <f t="shared" si="999"/>
        <v>63</v>
      </c>
      <c r="P335" s="12">
        <f t="shared" si="999"/>
        <v>47</v>
      </c>
      <c r="Q335" s="12">
        <f t="shared" si="999"/>
        <v>41</v>
      </c>
      <c r="R335" s="12">
        <f t="shared" si="999"/>
        <v>39</v>
      </c>
      <c r="T335" s="13">
        <f> 'Optimal Choice'!$B$5*'Optimal Choice'!$B$6^(N335+1)</f>
        <v>72896.68107</v>
      </c>
      <c r="U335" s="13">
        <f> 'Optimal Choice'!$B$10*'Optimal Choice'!$B$11^(O335+1)</f>
        <v>460058.4724</v>
      </c>
      <c r="V335" s="13">
        <f> 'Optimal Choice'!$B$15*'Optimal Choice'!$B$16^(P335+1)</f>
        <v>387940.7138</v>
      </c>
      <c r="W335" s="13">
        <f> 'Optimal Choice'!$B$20*'Optimal Choice'!$B$21^(Q335+1)</f>
        <v>1464901.315</v>
      </c>
      <c r="X335" s="13">
        <f> 'Optimal Choice'!$B$25*'Optimal Choice'!$B$26^(R335+1)</f>
        <v>9647524.615</v>
      </c>
      <c r="AA335" s="12">
        <f t="shared" ref="AA335:AE335" si="1000">if(isna(VLOOKUP(N335,$D$2:$E$10,2,false)),AA334, VLOOKUP(N335,$D$2:$E$10,2,false))</f>
        <v>50</v>
      </c>
      <c r="AB335" s="12">
        <f t="shared" si="1000"/>
        <v>25</v>
      </c>
      <c r="AC335" s="12">
        <f t="shared" si="1000"/>
        <v>5</v>
      </c>
      <c r="AD335" s="12">
        <f t="shared" si="1000"/>
        <v>5</v>
      </c>
      <c r="AE335" s="12">
        <f t="shared" si="1000"/>
        <v>5</v>
      </c>
      <c r="AH335" s="15">
        <f>N335*'Optimal Choice'!$B$4*AA335</f>
        <v>12024</v>
      </c>
      <c r="AI335" s="15">
        <f>O335*'Optimal Choice'!$B$9*AB335</f>
        <v>31500</v>
      </c>
      <c r="AJ335" s="15">
        <f>P335*'Optimal Choice'!$B$14*AC335</f>
        <v>21150</v>
      </c>
      <c r="AK335" s="15">
        <f>Q335*'Optimal Choice'!$B$19*AD335</f>
        <v>73800</v>
      </c>
      <c r="AL335" s="15">
        <f>R335*'Optimal Choice'!$B$24*AE335</f>
        <v>421200</v>
      </c>
      <c r="AO335" s="12">
        <f t="shared" ref="AO335:AS335" si="1001">if(isna(VLOOKUP(N335+1,$D$2:$E$10,2,false)),AO334, VLOOKUP(N335+1,$D$2:$E$10,2,false))</f>
        <v>50</v>
      </c>
      <c r="AP335" s="12">
        <f t="shared" si="1001"/>
        <v>25</v>
      </c>
      <c r="AQ335" s="12">
        <f t="shared" si="1001"/>
        <v>5</v>
      </c>
      <c r="AR335" s="12">
        <f t="shared" si="1001"/>
        <v>5</v>
      </c>
      <c r="AS335" s="12">
        <f t="shared" si="1001"/>
        <v>5</v>
      </c>
      <c r="AU335" s="11">
        <f t="shared" si="8"/>
        <v>0.002029095065</v>
      </c>
    </row>
    <row r="336" ht="15.75" customHeight="1">
      <c r="A336" s="16">
        <f t="shared" si="4"/>
        <v>9.387085869</v>
      </c>
      <c r="B336" s="7">
        <f>(sum(AH336:AL336))*'Optimal Choice'!$B$28</f>
        <v>561474</v>
      </c>
      <c r="C336" s="11"/>
      <c r="D336" s="12"/>
      <c r="E336" s="12"/>
      <c r="F336" s="11"/>
      <c r="G336" s="11">
        <f>(T336/$B336)+(T336/('Optimal Choice'!$B$4*AO336))</f>
        <v>873.1439755</v>
      </c>
      <c r="H336" s="11">
        <f>(U336/$B336)+(U336/('Optimal Choice'!$B$9*AP336))</f>
        <v>920.936321</v>
      </c>
      <c r="I336" s="11">
        <f>(V336/$B336)+(V336/('Optimal Choice'!$B$14*AQ336))</f>
        <v>862.7814078</v>
      </c>
      <c r="J336" s="11">
        <f>(W336/$B336)+(W336/('Optimal Choice'!$B$19*AR336))</f>
        <v>922.5806935</v>
      </c>
      <c r="K336" s="11">
        <f>(X336/$B336)+(X336/('Optimal Choice'!$B$24*AS336))</f>
        <v>910.471812</v>
      </c>
      <c r="N336" s="12">
        <f t="shared" ref="N336:R336" si="1002">if(min($G335:$K335)=G335,N335+1,N335)</f>
        <v>144</v>
      </c>
      <c r="O336" s="12">
        <f t="shared" si="1002"/>
        <v>63</v>
      </c>
      <c r="P336" s="12">
        <f t="shared" si="1002"/>
        <v>47</v>
      </c>
      <c r="Q336" s="12">
        <f t="shared" si="1002"/>
        <v>42</v>
      </c>
      <c r="R336" s="12">
        <f t="shared" si="1002"/>
        <v>39</v>
      </c>
      <c r="T336" s="13">
        <f> 'Optimal Choice'!$B$5*'Optimal Choice'!$B$6^(N336+1)</f>
        <v>72896.68107</v>
      </c>
      <c r="U336" s="13">
        <f> 'Optimal Choice'!$B$10*'Optimal Choice'!$B$11^(O336+1)</f>
        <v>460058.4724</v>
      </c>
      <c r="V336" s="13">
        <f> 'Optimal Choice'!$B$15*'Optimal Choice'!$B$16^(P336+1)</f>
        <v>387940.7138</v>
      </c>
      <c r="W336" s="13">
        <f> 'Optimal Choice'!$B$20*'Optimal Choice'!$B$21^(Q336+1)</f>
        <v>1655338.486</v>
      </c>
      <c r="X336" s="13">
        <f> 'Optimal Choice'!$B$25*'Optimal Choice'!$B$26^(R336+1)</f>
        <v>9647524.615</v>
      </c>
      <c r="AA336" s="12">
        <f t="shared" ref="AA336:AE336" si="1003">if(isna(VLOOKUP(N336,$D$2:$E$10,2,false)),AA335, VLOOKUP(N336,$D$2:$E$10,2,false))</f>
        <v>50</v>
      </c>
      <c r="AB336" s="12">
        <f t="shared" si="1003"/>
        <v>25</v>
      </c>
      <c r="AC336" s="12">
        <f t="shared" si="1003"/>
        <v>5</v>
      </c>
      <c r="AD336" s="12">
        <f t="shared" si="1003"/>
        <v>5</v>
      </c>
      <c r="AE336" s="12">
        <f t="shared" si="1003"/>
        <v>5</v>
      </c>
      <c r="AH336" s="15">
        <f>N336*'Optimal Choice'!$B$4*AA336</f>
        <v>12024</v>
      </c>
      <c r="AI336" s="15">
        <f>O336*'Optimal Choice'!$B$9*AB336</f>
        <v>31500</v>
      </c>
      <c r="AJ336" s="15">
        <f>P336*'Optimal Choice'!$B$14*AC336</f>
        <v>21150</v>
      </c>
      <c r="AK336" s="15">
        <f>Q336*'Optimal Choice'!$B$19*AD336</f>
        <v>75600</v>
      </c>
      <c r="AL336" s="15">
        <f>R336*'Optimal Choice'!$B$24*AE336</f>
        <v>421200</v>
      </c>
      <c r="AO336" s="12">
        <f t="shared" ref="AO336:AS336" si="1004">if(isna(VLOOKUP(N336+1,$D$2:$E$10,2,false)),AO335, VLOOKUP(N336+1,$D$2:$E$10,2,false))</f>
        <v>50</v>
      </c>
      <c r="AP336" s="12">
        <f t="shared" si="1004"/>
        <v>25</v>
      </c>
      <c r="AQ336" s="12">
        <f t="shared" si="1004"/>
        <v>5</v>
      </c>
      <c r="AR336" s="12">
        <f t="shared" si="1004"/>
        <v>5</v>
      </c>
      <c r="AS336" s="12">
        <f t="shared" si="1004"/>
        <v>5</v>
      </c>
      <c r="AU336" s="11">
        <f t="shared" si="8"/>
        <v>0.04362364861</v>
      </c>
    </row>
    <row r="337" ht="15.75" customHeight="1">
      <c r="A337" s="16">
        <f t="shared" si="4"/>
        <v>9.398601413</v>
      </c>
      <c r="B337" s="7">
        <f>(sum(AH337:AL337))*'Optimal Choice'!$B$28</f>
        <v>561924</v>
      </c>
      <c r="C337" s="11"/>
      <c r="D337" s="12"/>
      <c r="E337" s="12"/>
      <c r="F337" s="11"/>
      <c r="G337" s="11">
        <f>(T337/$B337)+(T337/('Optimal Choice'!$B$4*AO337))</f>
        <v>873.1438715</v>
      </c>
      <c r="H337" s="11">
        <f>(U337/$B337)+(U337/('Optimal Choice'!$B$9*AP337))</f>
        <v>920.9356648</v>
      </c>
      <c r="I337" s="11">
        <f>(V337/$B337)+(V337/('Optimal Choice'!$B$14*AQ337))</f>
        <v>983.5701741</v>
      </c>
      <c r="J337" s="11">
        <f>(W337/$B337)+(W337/('Optimal Choice'!$B$19*AR337))</f>
        <v>922.5783326</v>
      </c>
      <c r="K337" s="11">
        <f>(X337/$B337)+(X337/('Optimal Choice'!$B$24*AS337))</f>
        <v>910.4580519</v>
      </c>
      <c r="N337" s="12">
        <f t="shared" ref="N337:R337" si="1005">if(min($G336:$K336)=G336,N336+1,N336)</f>
        <v>144</v>
      </c>
      <c r="O337" s="12">
        <f t="shared" si="1005"/>
        <v>63</v>
      </c>
      <c r="P337" s="12">
        <f t="shared" si="1005"/>
        <v>48</v>
      </c>
      <c r="Q337" s="12">
        <f t="shared" si="1005"/>
        <v>42</v>
      </c>
      <c r="R337" s="12">
        <f t="shared" si="1005"/>
        <v>39</v>
      </c>
      <c r="T337" s="13">
        <f> 'Optimal Choice'!$B$5*'Optimal Choice'!$B$6^(N337+1)</f>
        <v>72896.68107</v>
      </c>
      <c r="U337" s="13">
        <f> 'Optimal Choice'!$B$10*'Optimal Choice'!$B$11^(O337+1)</f>
        <v>460058.4724</v>
      </c>
      <c r="V337" s="13">
        <f> 'Optimal Choice'!$B$15*'Optimal Choice'!$B$16^(P337+1)</f>
        <v>442252.4138</v>
      </c>
      <c r="W337" s="13">
        <f> 'Optimal Choice'!$B$20*'Optimal Choice'!$B$21^(Q337+1)</f>
        <v>1655338.486</v>
      </c>
      <c r="X337" s="13">
        <f> 'Optimal Choice'!$B$25*'Optimal Choice'!$B$26^(R337+1)</f>
        <v>9647524.615</v>
      </c>
      <c r="AA337" s="12">
        <f t="shared" ref="AA337:AE337" si="1006">if(isna(VLOOKUP(N337,$D$2:$E$10,2,false)),AA336, VLOOKUP(N337,$D$2:$E$10,2,false))</f>
        <v>50</v>
      </c>
      <c r="AB337" s="12">
        <f t="shared" si="1006"/>
        <v>25</v>
      </c>
      <c r="AC337" s="12">
        <f t="shared" si="1006"/>
        <v>5</v>
      </c>
      <c r="AD337" s="12">
        <f t="shared" si="1006"/>
        <v>5</v>
      </c>
      <c r="AE337" s="12">
        <f t="shared" si="1006"/>
        <v>5</v>
      </c>
      <c r="AH337" s="15">
        <f>N337*'Optimal Choice'!$B$4*AA337</f>
        <v>12024</v>
      </c>
      <c r="AI337" s="15">
        <f>O337*'Optimal Choice'!$B$9*AB337</f>
        <v>31500</v>
      </c>
      <c r="AJ337" s="15">
        <f>P337*'Optimal Choice'!$B$14*AC337</f>
        <v>21600</v>
      </c>
      <c r="AK337" s="15">
        <f>Q337*'Optimal Choice'!$B$19*AD337</f>
        <v>75600</v>
      </c>
      <c r="AL337" s="15">
        <f>R337*'Optimal Choice'!$B$24*AE337</f>
        <v>421200</v>
      </c>
      <c r="AO337" s="12">
        <f t="shared" ref="AO337:AS337" si="1007">if(isna(VLOOKUP(N337+1,$D$2:$E$10,2,false)),AO336, VLOOKUP(N337+1,$D$2:$E$10,2,false))</f>
        <v>50</v>
      </c>
      <c r="AP337" s="12">
        <f t="shared" si="1007"/>
        <v>25</v>
      </c>
      <c r="AQ337" s="12">
        <f t="shared" si="1007"/>
        <v>5</v>
      </c>
      <c r="AR337" s="12">
        <f t="shared" si="1007"/>
        <v>5</v>
      </c>
      <c r="AS337" s="12">
        <f t="shared" si="1007"/>
        <v>5</v>
      </c>
      <c r="AU337" s="11">
        <f t="shared" si="8"/>
        <v>0.01151554402</v>
      </c>
    </row>
    <row r="338" ht="15.75" customHeight="1">
      <c r="A338" s="16">
        <f t="shared" si="4"/>
        <v>9.400763528</v>
      </c>
      <c r="B338" s="7">
        <f>(sum(AH338:AL338))*'Optimal Choice'!$B$28</f>
        <v>562007.5</v>
      </c>
      <c r="C338" s="11"/>
      <c r="D338" s="12"/>
      <c r="E338" s="12"/>
      <c r="F338" s="11"/>
      <c r="G338" s="11">
        <f>(T338/$B338)+(T338/('Optimal Choice'!$B$4*AO338))</f>
        <v>934.2639219</v>
      </c>
      <c r="H338" s="11">
        <f>(U338/$B338)+(U338/('Optimal Choice'!$B$9*AP338))</f>
        <v>920.9355432</v>
      </c>
      <c r="I338" s="11">
        <f>(V338/$B338)+(V338/('Optimal Choice'!$B$14*AQ338))</f>
        <v>983.5700572</v>
      </c>
      <c r="J338" s="11">
        <f>(W338/$B338)+(W338/('Optimal Choice'!$B$19*AR338))</f>
        <v>922.5778949</v>
      </c>
      <c r="K338" s="11">
        <f>(X338/$B338)+(X338/('Optimal Choice'!$B$24*AS338))</f>
        <v>910.4555011</v>
      </c>
      <c r="N338" s="12">
        <f t="shared" ref="N338:R338" si="1008">if(min($G337:$K337)=G337,N337+1,N337)</f>
        <v>145</v>
      </c>
      <c r="O338" s="12">
        <f t="shared" si="1008"/>
        <v>63</v>
      </c>
      <c r="P338" s="12">
        <f t="shared" si="1008"/>
        <v>48</v>
      </c>
      <c r="Q338" s="12">
        <f t="shared" si="1008"/>
        <v>42</v>
      </c>
      <c r="R338" s="12">
        <f t="shared" si="1008"/>
        <v>39</v>
      </c>
      <c r="T338" s="13">
        <f> 'Optimal Choice'!$B$5*'Optimal Choice'!$B$6^(N338+1)</f>
        <v>77999.44875</v>
      </c>
      <c r="U338" s="13">
        <f> 'Optimal Choice'!$B$10*'Optimal Choice'!$B$11^(O338+1)</f>
        <v>460058.4724</v>
      </c>
      <c r="V338" s="13">
        <f> 'Optimal Choice'!$B$15*'Optimal Choice'!$B$16^(P338+1)</f>
        <v>442252.4138</v>
      </c>
      <c r="W338" s="13">
        <f> 'Optimal Choice'!$B$20*'Optimal Choice'!$B$21^(Q338+1)</f>
        <v>1655338.486</v>
      </c>
      <c r="X338" s="13">
        <f> 'Optimal Choice'!$B$25*'Optimal Choice'!$B$26^(R338+1)</f>
        <v>9647524.615</v>
      </c>
      <c r="AA338" s="12">
        <f t="shared" ref="AA338:AE338" si="1009">if(isna(VLOOKUP(N338,$D$2:$E$10,2,false)),AA337, VLOOKUP(N338,$D$2:$E$10,2,false))</f>
        <v>50</v>
      </c>
      <c r="AB338" s="12">
        <f t="shared" si="1009"/>
        <v>25</v>
      </c>
      <c r="AC338" s="12">
        <f t="shared" si="1009"/>
        <v>5</v>
      </c>
      <c r="AD338" s="12">
        <f t="shared" si="1009"/>
        <v>5</v>
      </c>
      <c r="AE338" s="12">
        <f t="shared" si="1009"/>
        <v>5</v>
      </c>
      <c r="AH338" s="15">
        <f>N338*'Optimal Choice'!$B$4*AA338</f>
        <v>12107.5</v>
      </c>
      <c r="AI338" s="15">
        <f>O338*'Optimal Choice'!$B$9*AB338</f>
        <v>31500</v>
      </c>
      <c r="AJ338" s="15">
        <f>P338*'Optimal Choice'!$B$14*AC338</f>
        <v>21600</v>
      </c>
      <c r="AK338" s="15">
        <f>Q338*'Optimal Choice'!$B$19*AD338</f>
        <v>75600</v>
      </c>
      <c r="AL338" s="15">
        <f>R338*'Optimal Choice'!$B$24*AE338</f>
        <v>421200</v>
      </c>
      <c r="AO338" s="12">
        <f t="shared" ref="AO338:AS338" si="1010">if(isna(VLOOKUP(N338+1,$D$2:$E$10,2,false)),AO337, VLOOKUP(N338+1,$D$2:$E$10,2,false))</f>
        <v>50</v>
      </c>
      <c r="AP338" s="12">
        <f t="shared" si="1010"/>
        <v>25</v>
      </c>
      <c r="AQ338" s="12">
        <f t="shared" si="1010"/>
        <v>5</v>
      </c>
      <c r="AR338" s="12">
        <f t="shared" si="1010"/>
        <v>5</v>
      </c>
      <c r="AS338" s="12">
        <f t="shared" si="1010"/>
        <v>5</v>
      </c>
      <c r="AU338" s="11">
        <f t="shared" si="8"/>
        <v>0.002162115668</v>
      </c>
    </row>
    <row r="339" ht="15.75" customHeight="1">
      <c r="A339" s="16">
        <f t="shared" si="4"/>
        <v>9.686866609</v>
      </c>
      <c r="B339" s="7">
        <f>(sum(AH339:AL339))*'Optimal Choice'!$B$28</f>
        <v>572807.5</v>
      </c>
      <c r="C339" s="11"/>
      <c r="D339" s="12"/>
      <c r="E339" s="12"/>
      <c r="F339" s="11"/>
      <c r="G339" s="11">
        <f>(T339/$B339)+(T339/('Optimal Choice'!$B$4*AO339))</f>
        <v>934.2613051</v>
      </c>
      <c r="H339" s="11">
        <f>(U339/$B339)+(U339/('Optimal Choice'!$B$9*AP339))</f>
        <v>920.9201089</v>
      </c>
      <c r="I339" s="11">
        <f>(V339/$B339)+(V339/('Optimal Choice'!$B$14*AQ339))</f>
        <v>983.5552203</v>
      </c>
      <c r="J339" s="11">
        <f>(W339/$B339)+(W339/('Optimal Choice'!$B$19*AR339))</f>
        <v>922.5223608</v>
      </c>
      <c r="K339" s="11">
        <f>(X339/$B339)+(X339/('Optimal Choice'!$B$24*AS339))</f>
        <v>1019.347662</v>
      </c>
      <c r="N339" s="12">
        <f t="shared" ref="N339:R339" si="1011">if(min($G338:$K338)=G338,N338+1,N338)</f>
        <v>145</v>
      </c>
      <c r="O339" s="12">
        <f t="shared" si="1011"/>
        <v>63</v>
      </c>
      <c r="P339" s="12">
        <f t="shared" si="1011"/>
        <v>48</v>
      </c>
      <c r="Q339" s="12">
        <f t="shared" si="1011"/>
        <v>42</v>
      </c>
      <c r="R339" s="12">
        <f t="shared" si="1011"/>
        <v>40</v>
      </c>
      <c r="T339" s="13">
        <f> 'Optimal Choice'!$B$5*'Optimal Choice'!$B$6^(N339+1)</f>
        <v>77999.44875</v>
      </c>
      <c r="U339" s="13">
        <f> 'Optimal Choice'!$B$10*'Optimal Choice'!$B$11^(O339+1)</f>
        <v>460058.4724</v>
      </c>
      <c r="V339" s="13">
        <f> 'Optimal Choice'!$B$15*'Optimal Choice'!$B$16^(P339+1)</f>
        <v>442252.4138</v>
      </c>
      <c r="W339" s="13">
        <f> 'Optimal Choice'!$B$20*'Optimal Choice'!$B$21^(Q339+1)</f>
        <v>1655338.486</v>
      </c>
      <c r="X339" s="13">
        <f> 'Optimal Choice'!$B$25*'Optimal Choice'!$B$26^(R339+1)</f>
        <v>10805227.57</v>
      </c>
      <c r="AA339" s="12">
        <f t="shared" ref="AA339:AE339" si="1012">if(isna(VLOOKUP(N339,$D$2:$E$10,2,false)),AA338, VLOOKUP(N339,$D$2:$E$10,2,false))</f>
        <v>50</v>
      </c>
      <c r="AB339" s="12">
        <f t="shared" si="1012"/>
        <v>25</v>
      </c>
      <c r="AC339" s="12">
        <f t="shared" si="1012"/>
        <v>5</v>
      </c>
      <c r="AD339" s="12">
        <f t="shared" si="1012"/>
        <v>5</v>
      </c>
      <c r="AE339" s="12">
        <f t="shared" si="1012"/>
        <v>5</v>
      </c>
      <c r="AH339" s="15">
        <f>N339*'Optimal Choice'!$B$4*AA339</f>
        <v>12107.5</v>
      </c>
      <c r="AI339" s="15">
        <f>O339*'Optimal Choice'!$B$9*AB339</f>
        <v>31500</v>
      </c>
      <c r="AJ339" s="15">
        <f>P339*'Optimal Choice'!$B$14*AC339</f>
        <v>21600</v>
      </c>
      <c r="AK339" s="15">
        <f>Q339*'Optimal Choice'!$B$19*AD339</f>
        <v>75600</v>
      </c>
      <c r="AL339" s="15">
        <f>R339*'Optimal Choice'!$B$24*AE339</f>
        <v>432000</v>
      </c>
      <c r="AO339" s="12">
        <f t="shared" ref="AO339:AS339" si="1013">if(isna(VLOOKUP(N339+1,$D$2:$E$10,2,false)),AO338, VLOOKUP(N339+1,$D$2:$E$10,2,false))</f>
        <v>50</v>
      </c>
      <c r="AP339" s="12">
        <f t="shared" si="1013"/>
        <v>25</v>
      </c>
      <c r="AQ339" s="12">
        <f t="shared" si="1013"/>
        <v>5</v>
      </c>
      <c r="AR339" s="12">
        <f t="shared" si="1013"/>
        <v>5</v>
      </c>
      <c r="AS339" s="12">
        <f t="shared" si="1013"/>
        <v>5</v>
      </c>
      <c r="AU339" s="11">
        <f t="shared" si="8"/>
        <v>0.2861030803</v>
      </c>
    </row>
    <row r="340" ht="15.75" customHeight="1">
      <c r="A340" s="16">
        <f t="shared" si="4"/>
        <v>9.700252679</v>
      </c>
      <c r="B340" s="7">
        <f>(sum(AH340:AL340))*'Optimal Choice'!$B$28</f>
        <v>573307.5</v>
      </c>
      <c r="C340" s="11"/>
      <c r="D340" s="12"/>
      <c r="E340" s="12"/>
      <c r="F340" s="11"/>
      <c r="G340" s="11">
        <f>(T340/$B340)+(T340/('Optimal Choice'!$B$4*AO340))</f>
        <v>934.2611864</v>
      </c>
      <c r="H340" s="11">
        <f>(U340/$B340)+(U340/('Optimal Choice'!$B$9*AP340))</f>
        <v>1059.05732</v>
      </c>
      <c r="I340" s="11">
        <f>(V340/$B340)+(V340/('Optimal Choice'!$B$14*AQ340))</f>
        <v>983.5545469</v>
      </c>
      <c r="J340" s="11">
        <f>(W340/$B340)+(W340/('Optimal Choice'!$B$19*AR340))</f>
        <v>922.5198404</v>
      </c>
      <c r="K340" s="11">
        <f>(X340/$B340)+(X340/('Optimal Choice'!$B$24*AS340))</f>
        <v>1019.331211</v>
      </c>
      <c r="N340" s="12">
        <f t="shared" ref="N340:R340" si="1014">if(min($G339:$K339)=G339,N339+1,N339)</f>
        <v>145</v>
      </c>
      <c r="O340" s="12">
        <f t="shared" si="1014"/>
        <v>64</v>
      </c>
      <c r="P340" s="12">
        <f t="shared" si="1014"/>
        <v>48</v>
      </c>
      <c r="Q340" s="12">
        <f t="shared" si="1014"/>
        <v>42</v>
      </c>
      <c r="R340" s="12">
        <f t="shared" si="1014"/>
        <v>40</v>
      </c>
      <c r="T340" s="13">
        <f> 'Optimal Choice'!$B$5*'Optimal Choice'!$B$6^(N340+1)</f>
        <v>77999.44875</v>
      </c>
      <c r="U340" s="13">
        <f> 'Optimal Choice'!$B$10*'Optimal Choice'!$B$11^(O340+1)</f>
        <v>529067.2432</v>
      </c>
      <c r="V340" s="13">
        <f> 'Optimal Choice'!$B$15*'Optimal Choice'!$B$16^(P340+1)</f>
        <v>442252.4138</v>
      </c>
      <c r="W340" s="13">
        <f> 'Optimal Choice'!$B$20*'Optimal Choice'!$B$21^(Q340+1)</f>
        <v>1655338.486</v>
      </c>
      <c r="X340" s="13">
        <f> 'Optimal Choice'!$B$25*'Optimal Choice'!$B$26^(R340+1)</f>
        <v>10805227.57</v>
      </c>
      <c r="AA340" s="12">
        <f t="shared" ref="AA340:AE340" si="1015">if(isna(VLOOKUP(N340,$D$2:$E$10,2,false)),AA339, VLOOKUP(N340,$D$2:$E$10,2,false))</f>
        <v>50</v>
      </c>
      <c r="AB340" s="12">
        <f t="shared" si="1015"/>
        <v>25</v>
      </c>
      <c r="AC340" s="12">
        <f t="shared" si="1015"/>
        <v>5</v>
      </c>
      <c r="AD340" s="12">
        <f t="shared" si="1015"/>
        <v>5</v>
      </c>
      <c r="AE340" s="12">
        <f t="shared" si="1015"/>
        <v>5</v>
      </c>
      <c r="AH340" s="15">
        <f>N340*'Optimal Choice'!$B$4*AA340</f>
        <v>12107.5</v>
      </c>
      <c r="AI340" s="15">
        <f>O340*'Optimal Choice'!$B$9*AB340</f>
        <v>32000</v>
      </c>
      <c r="AJ340" s="15">
        <f>P340*'Optimal Choice'!$B$14*AC340</f>
        <v>21600</v>
      </c>
      <c r="AK340" s="15">
        <f>Q340*'Optimal Choice'!$B$19*AD340</f>
        <v>75600</v>
      </c>
      <c r="AL340" s="15">
        <f>R340*'Optimal Choice'!$B$24*AE340</f>
        <v>432000</v>
      </c>
      <c r="AO340" s="12">
        <f t="shared" ref="AO340:AS340" si="1016">if(isna(VLOOKUP(N340+1,$D$2:$E$10,2,false)),AO339, VLOOKUP(N340+1,$D$2:$E$10,2,false))</f>
        <v>50</v>
      </c>
      <c r="AP340" s="12">
        <f t="shared" si="1016"/>
        <v>25</v>
      </c>
      <c r="AQ340" s="12">
        <f t="shared" si="1016"/>
        <v>5</v>
      </c>
      <c r="AR340" s="12">
        <f t="shared" si="1016"/>
        <v>5</v>
      </c>
      <c r="AS340" s="12">
        <f t="shared" si="1016"/>
        <v>5</v>
      </c>
      <c r="AU340" s="11">
        <f t="shared" si="8"/>
        <v>0.01338606985</v>
      </c>
    </row>
    <row r="341" ht="15.75" customHeight="1">
      <c r="A341" s="16">
        <f t="shared" si="4"/>
        <v>9.748375152</v>
      </c>
      <c r="B341" s="7">
        <f>(sum(AH341:AL341))*'Optimal Choice'!$B$28</f>
        <v>575107.5</v>
      </c>
      <c r="C341" s="11"/>
      <c r="D341" s="12"/>
      <c r="E341" s="12"/>
      <c r="F341" s="11"/>
      <c r="G341" s="11">
        <f>(T341/$B341)+(T341/('Optimal Choice'!$B$4*AO341))</f>
        <v>934.2607606</v>
      </c>
      <c r="H341" s="11">
        <f>(U341/$B341)+(U341/('Optimal Choice'!$B$9*AP341))</f>
        <v>1059.054431</v>
      </c>
      <c r="I341" s="11">
        <f>(V341/$B341)+(V341/('Optimal Choice'!$B$14*AQ341))</f>
        <v>983.5521326</v>
      </c>
      <c r="J341" s="11">
        <f>(W341/$B341)+(W341/('Optimal Choice'!$B$19*AR341))</f>
        <v>1042.437208</v>
      </c>
      <c r="K341" s="11">
        <f>(X341/$B341)+(X341/('Optimal Choice'!$B$24*AS341))</f>
        <v>1019.272222</v>
      </c>
      <c r="N341" s="12">
        <f t="shared" ref="N341:R341" si="1017">if(min($G340:$K340)=G340,N340+1,N340)</f>
        <v>145</v>
      </c>
      <c r="O341" s="12">
        <f t="shared" si="1017"/>
        <v>64</v>
      </c>
      <c r="P341" s="12">
        <f t="shared" si="1017"/>
        <v>48</v>
      </c>
      <c r="Q341" s="12">
        <f t="shared" si="1017"/>
        <v>43</v>
      </c>
      <c r="R341" s="12">
        <f t="shared" si="1017"/>
        <v>40</v>
      </c>
      <c r="T341" s="13">
        <f> 'Optimal Choice'!$B$5*'Optimal Choice'!$B$6^(N341+1)</f>
        <v>77999.44875</v>
      </c>
      <c r="U341" s="13">
        <f> 'Optimal Choice'!$B$10*'Optimal Choice'!$B$11^(O341+1)</f>
        <v>529067.2432</v>
      </c>
      <c r="V341" s="13">
        <f> 'Optimal Choice'!$B$15*'Optimal Choice'!$B$16^(P341+1)</f>
        <v>442252.4138</v>
      </c>
      <c r="W341" s="13">
        <f> 'Optimal Choice'!$B$20*'Optimal Choice'!$B$21^(Q341+1)</f>
        <v>1870532.489</v>
      </c>
      <c r="X341" s="13">
        <f> 'Optimal Choice'!$B$25*'Optimal Choice'!$B$26^(R341+1)</f>
        <v>10805227.57</v>
      </c>
      <c r="AA341" s="12">
        <f t="shared" ref="AA341:AE341" si="1018">if(isna(VLOOKUP(N341,$D$2:$E$10,2,false)),AA340, VLOOKUP(N341,$D$2:$E$10,2,false))</f>
        <v>50</v>
      </c>
      <c r="AB341" s="12">
        <f t="shared" si="1018"/>
        <v>25</v>
      </c>
      <c r="AC341" s="12">
        <f t="shared" si="1018"/>
        <v>5</v>
      </c>
      <c r="AD341" s="12">
        <f t="shared" si="1018"/>
        <v>5</v>
      </c>
      <c r="AE341" s="12">
        <f t="shared" si="1018"/>
        <v>5</v>
      </c>
      <c r="AH341" s="15">
        <f>N341*'Optimal Choice'!$B$4*AA341</f>
        <v>12107.5</v>
      </c>
      <c r="AI341" s="15">
        <f>O341*'Optimal Choice'!$B$9*AB341</f>
        <v>32000</v>
      </c>
      <c r="AJ341" s="15">
        <f>P341*'Optimal Choice'!$B$14*AC341</f>
        <v>21600</v>
      </c>
      <c r="AK341" s="15">
        <f>Q341*'Optimal Choice'!$B$19*AD341</f>
        <v>77400</v>
      </c>
      <c r="AL341" s="15">
        <f>R341*'Optimal Choice'!$B$24*AE341</f>
        <v>432000</v>
      </c>
      <c r="AO341" s="12">
        <f t="shared" ref="AO341:AS341" si="1019">if(isna(VLOOKUP(N341+1,$D$2:$E$10,2,false)),AO340, VLOOKUP(N341+1,$D$2:$E$10,2,false))</f>
        <v>50</v>
      </c>
      <c r="AP341" s="12">
        <f t="shared" si="1019"/>
        <v>25</v>
      </c>
      <c r="AQ341" s="12">
        <f t="shared" si="1019"/>
        <v>5</v>
      </c>
      <c r="AR341" s="12">
        <f t="shared" si="1019"/>
        <v>5</v>
      </c>
      <c r="AS341" s="12">
        <f t="shared" si="1019"/>
        <v>5</v>
      </c>
      <c r="AU341" s="11">
        <f t="shared" si="8"/>
        <v>0.04812247312</v>
      </c>
    </row>
    <row r="342" ht="15.75" customHeight="1">
      <c r="A342" s="16">
        <f t="shared" si="4"/>
        <v>9.750635583</v>
      </c>
      <c r="B342" s="7">
        <f>(sum(AH342:AL342))*'Optimal Choice'!$B$28</f>
        <v>575191</v>
      </c>
      <c r="C342" s="11"/>
      <c r="D342" s="12"/>
      <c r="E342" s="12"/>
      <c r="F342" s="11"/>
      <c r="G342" s="11">
        <f>(T342/$B342)+(T342/('Optimal Choice'!$B$4*AO342))</f>
        <v>999.6589927</v>
      </c>
      <c r="H342" s="11">
        <f>(U342/$B342)+(U342/('Optimal Choice'!$B$9*AP342))</f>
        <v>1059.054298</v>
      </c>
      <c r="I342" s="11">
        <f>(V342/$B342)+(V342/('Optimal Choice'!$B$14*AQ342))</f>
        <v>983.5520209</v>
      </c>
      <c r="J342" s="11">
        <f>(W342/$B342)+(W342/('Optimal Choice'!$B$19*AR342))</f>
        <v>1042.436736</v>
      </c>
      <c r="K342" s="11">
        <f>(X342/$B342)+(X342/('Optimal Choice'!$B$24*AS342))</f>
        <v>1019.269494</v>
      </c>
      <c r="N342" s="12">
        <f t="shared" ref="N342:R342" si="1020">if(min($G341:$K341)=G341,N341+1,N341)</f>
        <v>146</v>
      </c>
      <c r="O342" s="12">
        <f t="shared" si="1020"/>
        <v>64</v>
      </c>
      <c r="P342" s="12">
        <f t="shared" si="1020"/>
        <v>48</v>
      </c>
      <c r="Q342" s="12">
        <f t="shared" si="1020"/>
        <v>43</v>
      </c>
      <c r="R342" s="12">
        <f t="shared" si="1020"/>
        <v>40</v>
      </c>
      <c r="T342" s="13">
        <f> 'Optimal Choice'!$B$5*'Optimal Choice'!$B$6^(N342+1)</f>
        <v>83459.41016</v>
      </c>
      <c r="U342" s="13">
        <f> 'Optimal Choice'!$B$10*'Optimal Choice'!$B$11^(O342+1)</f>
        <v>529067.2432</v>
      </c>
      <c r="V342" s="13">
        <f> 'Optimal Choice'!$B$15*'Optimal Choice'!$B$16^(P342+1)</f>
        <v>442252.4138</v>
      </c>
      <c r="W342" s="13">
        <f> 'Optimal Choice'!$B$20*'Optimal Choice'!$B$21^(Q342+1)</f>
        <v>1870532.489</v>
      </c>
      <c r="X342" s="13">
        <f> 'Optimal Choice'!$B$25*'Optimal Choice'!$B$26^(R342+1)</f>
        <v>10805227.57</v>
      </c>
      <c r="AA342" s="12">
        <f t="shared" ref="AA342:AE342" si="1021">if(isna(VLOOKUP(N342,$D$2:$E$10,2,false)),AA341, VLOOKUP(N342,$D$2:$E$10,2,false))</f>
        <v>50</v>
      </c>
      <c r="AB342" s="12">
        <f t="shared" si="1021"/>
        <v>25</v>
      </c>
      <c r="AC342" s="12">
        <f t="shared" si="1021"/>
        <v>5</v>
      </c>
      <c r="AD342" s="12">
        <f t="shared" si="1021"/>
        <v>5</v>
      </c>
      <c r="AE342" s="12">
        <f t="shared" si="1021"/>
        <v>5</v>
      </c>
      <c r="AH342" s="15">
        <f>N342*'Optimal Choice'!$B$4*AA342</f>
        <v>12191</v>
      </c>
      <c r="AI342" s="15">
        <f>O342*'Optimal Choice'!$B$9*AB342</f>
        <v>32000</v>
      </c>
      <c r="AJ342" s="15">
        <f>P342*'Optimal Choice'!$B$14*AC342</f>
        <v>21600</v>
      </c>
      <c r="AK342" s="15">
        <f>Q342*'Optimal Choice'!$B$19*AD342</f>
        <v>77400</v>
      </c>
      <c r="AL342" s="15">
        <f>R342*'Optimal Choice'!$B$24*AE342</f>
        <v>432000</v>
      </c>
      <c r="AO342" s="12">
        <f t="shared" ref="AO342:AS342" si="1022">if(isna(VLOOKUP(N342+1,$D$2:$E$10,2,false)),AO341, VLOOKUP(N342+1,$D$2:$E$10,2,false))</f>
        <v>50</v>
      </c>
      <c r="AP342" s="12">
        <f t="shared" si="1022"/>
        <v>25</v>
      </c>
      <c r="AQ342" s="12">
        <f t="shared" si="1022"/>
        <v>5</v>
      </c>
      <c r="AR342" s="12">
        <f t="shared" si="1022"/>
        <v>5</v>
      </c>
      <c r="AS342" s="12">
        <f t="shared" si="1022"/>
        <v>5</v>
      </c>
      <c r="AU342" s="11">
        <f t="shared" si="8"/>
        <v>0.002260430985</v>
      </c>
    </row>
    <row r="343" ht="15.75" customHeight="1">
      <c r="A343" s="16">
        <f t="shared" si="4"/>
        <v>9.763450236</v>
      </c>
      <c r="B343" s="7">
        <f>(sum(AH343:AL343))*'Optimal Choice'!$B$28</f>
        <v>575641</v>
      </c>
      <c r="C343" s="11"/>
      <c r="D343" s="12"/>
      <c r="E343" s="12"/>
      <c r="F343" s="11"/>
      <c r="G343" s="11">
        <f>(T343/$B343)+(T343/('Optimal Choice'!$B$4*AO343))</f>
        <v>999.6588793</v>
      </c>
      <c r="H343" s="11">
        <f>(U343/$B343)+(U343/('Optimal Choice'!$B$9*AP343))</f>
        <v>1059.053579</v>
      </c>
      <c r="I343" s="11">
        <f>(V343/$B343)+(V343/('Optimal Choice'!$B$14*AQ343))</f>
        <v>224.9503934</v>
      </c>
      <c r="J343" s="11">
        <f>(W343/$B343)+(W343/('Optimal Choice'!$B$19*AR343))</f>
        <v>1042.434194</v>
      </c>
      <c r="K343" s="11">
        <f>(X343/$B343)+(X343/('Optimal Choice'!$B$24*AS343))</f>
        <v>1019.254809</v>
      </c>
      <c r="N343" s="12">
        <f t="shared" ref="N343:R343" si="1023">if(min($G342:$K342)=G342,N342+1,N342)</f>
        <v>146</v>
      </c>
      <c r="O343" s="12">
        <f t="shared" si="1023"/>
        <v>64</v>
      </c>
      <c r="P343" s="12">
        <f t="shared" si="1023"/>
        <v>49</v>
      </c>
      <c r="Q343" s="12">
        <f t="shared" si="1023"/>
        <v>43</v>
      </c>
      <c r="R343" s="12">
        <f t="shared" si="1023"/>
        <v>40</v>
      </c>
      <c r="T343" s="13">
        <f> 'Optimal Choice'!$B$5*'Optimal Choice'!$B$6^(N343+1)</f>
        <v>83459.41016</v>
      </c>
      <c r="U343" s="13">
        <f> 'Optimal Choice'!$B$10*'Optimal Choice'!$B$11^(O343+1)</f>
        <v>529067.2432</v>
      </c>
      <c r="V343" s="13">
        <f> 'Optimal Choice'!$B$15*'Optimal Choice'!$B$16^(P343+1)</f>
        <v>504167.7517</v>
      </c>
      <c r="W343" s="13">
        <f> 'Optimal Choice'!$B$20*'Optimal Choice'!$B$21^(Q343+1)</f>
        <v>1870532.489</v>
      </c>
      <c r="X343" s="13">
        <f> 'Optimal Choice'!$B$25*'Optimal Choice'!$B$26^(R343+1)</f>
        <v>10805227.57</v>
      </c>
      <c r="AA343" s="12">
        <f t="shared" ref="AA343:AE343" si="1024">if(isna(VLOOKUP(N343,$D$2:$E$10,2,false)),AA342, VLOOKUP(N343,$D$2:$E$10,2,false))</f>
        <v>50</v>
      </c>
      <c r="AB343" s="12">
        <f t="shared" si="1024"/>
        <v>25</v>
      </c>
      <c r="AC343" s="12">
        <f t="shared" si="1024"/>
        <v>5</v>
      </c>
      <c r="AD343" s="12">
        <f t="shared" si="1024"/>
        <v>5</v>
      </c>
      <c r="AE343" s="12">
        <f t="shared" si="1024"/>
        <v>5</v>
      </c>
      <c r="AH343" s="15">
        <f>N343*'Optimal Choice'!$B$4*AA343</f>
        <v>12191</v>
      </c>
      <c r="AI343" s="15">
        <f>O343*'Optimal Choice'!$B$9*AB343</f>
        <v>32000</v>
      </c>
      <c r="AJ343" s="15">
        <f>P343*'Optimal Choice'!$B$14*AC343</f>
        <v>22050</v>
      </c>
      <c r="AK343" s="15">
        <f>Q343*'Optimal Choice'!$B$19*AD343</f>
        <v>77400</v>
      </c>
      <c r="AL343" s="15">
        <f>R343*'Optimal Choice'!$B$24*AE343</f>
        <v>432000</v>
      </c>
      <c r="AO343" s="12">
        <f t="shared" ref="AO343:AS343" si="1025">if(isna(VLOOKUP(N343+1,$D$2:$E$10,2,false)),AO342, VLOOKUP(N343+1,$D$2:$E$10,2,false))</f>
        <v>50</v>
      </c>
      <c r="AP343" s="12">
        <f t="shared" si="1025"/>
        <v>25</v>
      </c>
      <c r="AQ343" s="12">
        <f t="shared" si="1025"/>
        <v>25</v>
      </c>
      <c r="AR343" s="12">
        <f t="shared" si="1025"/>
        <v>5</v>
      </c>
      <c r="AS343" s="12">
        <f t="shared" si="1025"/>
        <v>5</v>
      </c>
      <c r="AU343" s="11">
        <f t="shared" si="8"/>
        <v>0.01281465385</v>
      </c>
    </row>
    <row r="344" ht="15.75" customHeight="1">
      <c r="A344" s="16">
        <f t="shared" si="4"/>
        <v>9.778047522</v>
      </c>
      <c r="B344" s="7">
        <f>(sum(AH344:AL344))*'Optimal Choice'!$B$28</f>
        <v>666091</v>
      </c>
      <c r="C344" s="11"/>
      <c r="D344" s="12"/>
      <c r="E344" s="12"/>
      <c r="F344" s="11"/>
      <c r="G344" s="11">
        <f>(T344/$B344)+(T344/('Optimal Choice'!$B$4*AO344))</f>
        <v>999.6391914</v>
      </c>
      <c r="H344" s="11">
        <f>(U344/$B344)+(U344/('Optimal Choice'!$B$9*AP344))</f>
        <v>1058.928773</v>
      </c>
      <c r="I344" s="11">
        <f>(V344/$B344)+(V344/('Optimal Choice'!$B$14*AQ344))</f>
        <v>256.3078661</v>
      </c>
      <c r="J344" s="11">
        <f>(W344/$B344)+(W344/('Optimal Choice'!$B$19*AR344))</f>
        <v>1041.99294</v>
      </c>
      <c r="K344" s="11">
        <f>(X344/$B344)+(X344/('Optimal Choice'!$B$24*AS344))</f>
        <v>1016.705883</v>
      </c>
      <c r="N344" s="12">
        <f t="shared" ref="N344:R344" si="1026">if(min($G343:$K343)=G343,N343+1,N343)</f>
        <v>146</v>
      </c>
      <c r="O344" s="12">
        <f t="shared" si="1026"/>
        <v>64</v>
      </c>
      <c r="P344" s="12">
        <f t="shared" si="1026"/>
        <v>50</v>
      </c>
      <c r="Q344" s="12">
        <f t="shared" si="1026"/>
        <v>43</v>
      </c>
      <c r="R344" s="12">
        <f t="shared" si="1026"/>
        <v>40</v>
      </c>
      <c r="T344" s="13">
        <f> 'Optimal Choice'!$B$5*'Optimal Choice'!$B$6^(N344+1)</f>
        <v>83459.41016</v>
      </c>
      <c r="U344" s="13">
        <f> 'Optimal Choice'!$B$10*'Optimal Choice'!$B$11^(O344+1)</f>
        <v>529067.2432</v>
      </c>
      <c r="V344" s="13">
        <f> 'Optimal Choice'!$B$15*'Optimal Choice'!$B$16^(P344+1)</f>
        <v>574751.2369</v>
      </c>
      <c r="W344" s="13">
        <f> 'Optimal Choice'!$B$20*'Optimal Choice'!$B$21^(Q344+1)</f>
        <v>1870532.489</v>
      </c>
      <c r="X344" s="13">
        <f> 'Optimal Choice'!$B$25*'Optimal Choice'!$B$26^(R344+1)</f>
        <v>10805227.57</v>
      </c>
      <c r="AA344" s="12">
        <f t="shared" ref="AA344:AE344" si="1027">if(isna(VLOOKUP(N344,$D$2:$E$10,2,false)),AA343, VLOOKUP(N344,$D$2:$E$10,2,false))</f>
        <v>50</v>
      </c>
      <c r="AB344" s="12">
        <f t="shared" si="1027"/>
        <v>25</v>
      </c>
      <c r="AC344" s="12">
        <f t="shared" si="1027"/>
        <v>25</v>
      </c>
      <c r="AD344" s="12">
        <f t="shared" si="1027"/>
        <v>5</v>
      </c>
      <c r="AE344" s="12">
        <f t="shared" si="1027"/>
        <v>5</v>
      </c>
      <c r="AH344" s="15">
        <f>N344*'Optimal Choice'!$B$4*AA344</f>
        <v>12191</v>
      </c>
      <c r="AI344" s="15">
        <f>O344*'Optimal Choice'!$B$9*AB344</f>
        <v>32000</v>
      </c>
      <c r="AJ344" s="15">
        <f>P344*'Optimal Choice'!$B$14*AC344</f>
        <v>112500</v>
      </c>
      <c r="AK344" s="15">
        <f>Q344*'Optimal Choice'!$B$19*AD344</f>
        <v>77400</v>
      </c>
      <c r="AL344" s="15">
        <f>R344*'Optimal Choice'!$B$24*AE344</f>
        <v>432000</v>
      </c>
      <c r="AO344" s="12">
        <f t="shared" ref="AO344:AS344" si="1028">if(isna(VLOOKUP(N344+1,$D$2:$E$10,2,false)),AO343, VLOOKUP(N344+1,$D$2:$E$10,2,false))</f>
        <v>50</v>
      </c>
      <c r="AP344" s="12">
        <f t="shared" si="1028"/>
        <v>25</v>
      </c>
      <c r="AQ344" s="12">
        <f t="shared" si="1028"/>
        <v>25</v>
      </c>
      <c r="AR344" s="12">
        <f t="shared" si="1028"/>
        <v>5</v>
      </c>
      <c r="AS344" s="12">
        <f t="shared" si="1028"/>
        <v>5</v>
      </c>
      <c r="AU344" s="11">
        <f t="shared" si="8"/>
        <v>0.01459728522</v>
      </c>
    </row>
    <row r="345" ht="15.75" customHeight="1">
      <c r="A345" s="16">
        <f t="shared" si="4"/>
        <v>9.792428721</v>
      </c>
      <c r="B345" s="7">
        <f>(sum(AH345:AL345))*'Optimal Choice'!$B$28</f>
        <v>668341</v>
      </c>
      <c r="C345" s="11"/>
      <c r="D345" s="12"/>
      <c r="E345" s="12"/>
      <c r="F345" s="11"/>
      <c r="G345" s="11">
        <f>(T345/$B345)+(T345/('Optimal Choice'!$B$4*AO345))</f>
        <v>999.6387696</v>
      </c>
      <c r="H345" s="11">
        <f>(U345/$B345)+(U345/('Optimal Choice'!$B$9*AP345))</f>
        <v>1058.926099</v>
      </c>
      <c r="I345" s="11">
        <f>(V345/$B345)+(V345/('Optimal Choice'!$B$14*AQ345))</f>
        <v>292.1876558</v>
      </c>
      <c r="J345" s="11">
        <f>(W345/$B345)+(W345/('Optimal Choice'!$B$19*AR345))</f>
        <v>1041.983486</v>
      </c>
      <c r="K345" s="11">
        <f>(X345/$B345)+(X345/('Optimal Choice'!$B$24*AS345))</f>
        <v>1016.651272</v>
      </c>
      <c r="N345" s="12">
        <f t="shared" ref="N345:R345" si="1029">if(min($G344:$K344)=G344,N344+1,N344)</f>
        <v>146</v>
      </c>
      <c r="O345" s="12">
        <f t="shared" si="1029"/>
        <v>64</v>
      </c>
      <c r="P345" s="12">
        <f t="shared" si="1029"/>
        <v>51</v>
      </c>
      <c r="Q345" s="12">
        <f t="shared" si="1029"/>
        <v>43</v>
      </c>
      <c r="R345" s="12">
        <f t="shared" si="1029"/>
        <v>40</v>
      </c>
      <c r="T345" s="13">
        <f> 'Optimal Choice'!$B$5*'Optimal Choice'!$B$6^(N345+1)</f>
        <v>83459.41016</v>
      </c>
      <c r="U345" s="13">
        <f> 'Optimal Choice'!$B$10*'Optimal Choice'!$B$11^(O345+1)</f>
        <v>529067.2432</v>
      </c>
      <c r="V345" s="13">
        <f> 'Optimal Choice'!$B$15*'Optimal Choice'!$B$16^(P345+1)</f>
        <v>655216.4101</v>
      </c>
      <c r="W345" s="13">
        <f> 'Optimal Choice'!$B$20*'Optimal Choice'!$B$21^(Q345+1)</f>
        <v>1870532.489</v>
      </c>
      <c r="X345" s="13">
        <f> 'Optimal Choice'!$B$25*'Optimal Choice'!$B$26^(R345+1)</f>
        <v>10805227.57</v>
      </c>
      <c r="AA345" s="12">
        <f t="shared" ref="AA345:AE345" si="1030">if(isna(VLOOKUP(N345,$D$2:$E$10,2,false)),AA344, VLOOKUP(N345,$D$2:$E$10,2,false))</f>
        <v>50</v>
      </c>
      <c r="AB345" s="12">
        <f t="shared" si="1030"/>
        <v>25</v>
      </c>
      <c r="AC345" s="12">
        <f t="shared" si="1030"/>
        <v>25</v>
      </c>
      <c r="AD345" s="12">
        <f t="shared" si="1030"/>
        <v>5</v>
      </c>
      <c r="AE345" s="12">
        <f t="shared" si="1030"/>
        <v>5</v>
      </c>
      <c r="AH345" s="15">
        <f>N345*'Optimal Choice'!$B$4*AA345</f>
        <v>12191</v>
      </c>
      <c r="AI345" s="15">
        <f>O345*'Optimal Choice'!$B$9*AB345</f>
        <v>32000</v>
      </c>
      <c r="AJ345" s="15">
        <f>P345*'Optimal Choice'!$B$14*AC345</f>
        <v>114750</v>
      </c>
      <c r="AK345" s="15">
        <f>Q345*'Optimal Choice'!$B$19*AD345</f>
        <v>77400</v>
      </c>
      <c r="AL345" s="15">
        <f>R345*'Optimal Choice'!$B$24*AE345</f>
        <v>432000</v>
      </c>
      <c r="AO345" s="12">
        <f t="shared" ref="AO345:AS345" si="1031">if(isna(VLOOKUP(N345+1,$D$2:$E$10,2,false)),AO344, VLOOKUP(N345+1,$D$2:$E$10,2,false))</f>
        <v>50</v>
      </c>
      <c r="AP345" s="12">
        <f t="shared" si="1031"/>
        <v>25</v>
      </c>
      <c r="AQ345" s="12">
        <f t="shared" si="1031"/>
        <v>25</v>
      </c>
      <c r="AR345" s="12">
        <f t="shared" si="1031"/>
        <v>5</v>
      </c>
      <c r="AS345" s="12">
        <f t="shared" si="1031"/>
        <v>5</v>
      </c>
      <c r="AU345" s="11">
        <f t="shared" si="8"/>
        <v>0.01438119909</v>
      </c>
    </row>
    <row r="346" ht="15.75" customHeight="1">
      <c r="A346" s="16">
        <f t="shared" si="4"/>
        <v>9.808768095</v>
      </c>
      <c r="B346" s="7">
        <f>(sum(AH346:AL346))*'Optimal Choice'!$B$28</f>
        <v>670591</v>
      </c>
      <c r="C346" s="11"/>
      <c r="D346" s="12"/>
      <c r="E346" s="12"/>
      <c r="F346" s="11"/>
      <c r="G346" s="11">
        <f>(T346/$B346)+(T346/('Optimal Choice'!$B$4*AO346))</f>
        <v>999.6383506</v>
      </c>
      <c r="H346" s="11">
        <f>(U346/$B346)+(U346/('Optimal Choice'!$B$9*AP346))</f>
        <v>1058.923443</v>
      </c>
      <c r="I346" s="11">
        <f>(V346/$B346)+(V346/('Optimal Choice'!$B$14*AQ346))</f>
        <v>333.0901778</v>
      </c>
      <c r="J346" s="11">
        <f>(W346/$B346)+(W346/('Optimal Choice'!$B$19*AR346))</f>
        <v>1041.974095</v>
      </c>
      <c r="K346" s="11">
        <f>(X346/$B346)+(X346/('Optimal Choice'!$B$24*AS346))</f>
        <v>1016.597026</v>
      </c>
      <c r="N346" s="12">
        <f t="shared" ref="N346:R346" si="1032">if(min($G345:$K345)=G345,N345+1,N345)</f>
        <v>146</v>
      </c>
      <c r="O346" s="12">
        <f t="shared" si="1032"/>
        <v>64</v>
      </c>
      <c r="P346" s="12">
        <f t="shared" si="1032"/>
        <v>52</v>
      </c>
      <c r="Q346" s="12">
        <f t="shared" si="1032"/>
        <v>43</v>
      </c>
      <c r="R346" s="12">
        <f t="shared" si="1032"/>
        <v>40</v>
      </c>
      <c r="T346" s="13">
        <f> 'Optimal Choice'!$B$5*'Optimal Choice'!$B$6^(N346+1)</f>
        <v>83459.41016</v>
      </c>
      <c r="U346" s="13">
        <f> 'Optimal Choice'!$B$10*'Optimal Choice'!$B$11^(O346+1)</f>
        <v>529067.2432</v>
      </c>
      <c r="V346" s="13">
        <f> 'Optimal Choice'!$B$15*'Optimal Choice'!$B$16^(P346+1)</f>
        <v>746946.7075</v>
      </c>
      <c r="W346" s="13">
        <f> 'Optimal Choice'!$B$20*'Optimal Choice'!$B$21^(Q346+1)</f>
        <v>1870532.489</v>
      </c>
      <c r="X346" s="13">
        <f> 'Optimal Choice'!$B$25*'Optimal Choice'!$B$26^(R346+1)</f>
        <v>10805227.57</v>
      </c>
      <c r="AA346" s="12">
        <f t="shared" ref="AA346:AE346" si="1033">if(isna(VLOOKUP(N346,$D$2:$E$10,2,false)),AA345, VLOOKUP(N346,$D$2:$E$10,2,false))</f>
        <v>50</v>
      </c>
      <c r="AB346" s="12">
        <f t="shared" si="1033"/>
        <v>25</v>
      </c>
      <c r="AC346" s="12">
        <f t="shared" si="1033"/>
        <v>25</v>
      </c>
      <c r="AD346" s="12">
        <f t="shared" si="1033"/>
        <v>5</v>
      </c>
      <c r="AE346" s="12">
        <f t="shared" si="1033"/>
        <v>5</v>
      </c>
      <c r="AH346" s="15">
        <f>N346*'Optimal Choice'!$B$4*AA346</f>
        <v>12191</v>
      </c>
      <c r="AI346" s="15">
        <f>O346*'Optimal Choice'!$B$9*AB346</f>
        <v>32000</v>
      </c>
      <c r="AJ346" s="15">
        <f>P346*'Optimal Choice'!$B$14*AC346</f>
        <v>117000</v>
      </c>
      <c r="AK346" s="15">
        <f>Q346*'Optimal Choice'!$B$19*AD346</f>
        <v>77400</v>
      </c>
      <c r="AL346" s="15">
        <f>R346*'Optimal Choice'!$B$24*AE346</f>
        <v>432000</v>
      </c>
      <c r="AO346" s="12">
        <f t="shared" ref="AO346:AS346" si="1034">if(isna(VLOOKUP(N346+1,$D$2:$E$10,2,false)),AO345, VLOOKUP(N346+1,$D$2:$E$10,2,false))</f>
        <v>50</v>
      </c>
      <c r="AP346" s="12">
        <f t="shared" si="1034"/>
        <v>25</v>
      </c>
      <c r="AQ346" s="12">
        <f t="shared" si="1034"/>
        <v>25</v>
      </c>
      <c r="AR346" s="12">
        <f t="shared" si="1034"/>
        <v>5</v>
      </c>
      <c r="AS346" s="12">
        <f t="shared" si="1034"/>
        <v>5</v>
      </c>
      <c r="AU346" s="11">
        <f t="shared" si="8"/>
        <v>0.01633937391</v>
      </c>
    </row>
    <row r="347" ht="15.75" customHeight="1">
      <c r="A347" s="16">
        <f t="shared" si="4"/>
        <v>9.827332483</v>
      </c>
      <c r="B347" s="7">
        <f>(sum(AH347:AL347))*'Optimal Choice'!$B$28</f>
        <v>672841</v>
      </c>
      <c r="C347" s="11"/>
      <c r="D347" s="12"/>
      <c r="E347" s="12"/>
      <c r="F347" s="11"/>
      <c r="G347" s="11">
        <f>(T347/$B347)+(T347/('Optimal Choice'!$B$4*AO347))</f>
        <v>999.6379344</v>
      </c>
      <c r="H347" s="11">
        <f>(U347/$B347)+(U347/('Optimal Choice'!$B$9*AP347))</f>
        <v>1058.920805</v>
      </c>
      <c r="I347" s="11">
        <f>(V347/$B347)+(V347/('Optimal Choice'!$B$14*AQ347))</f>
        <v>379.7185564</v>
      </c>
      <c r="J347" s="11">
        <f>(W347/$B347)+(W347/('Optimal Choice'!$B$19*AR347))</f>
        <v>1041.964767</v>
      </c>
      <c r="K347" s="11">
        <f>(X347/$B347)+(X347/('Optimal Choice'!$B$24*AS347))</f>
        <v>1016.543144</v>
      </c>
      <c r="N347" s="12">
        <f t="shared" ref="N347:R347" si="1035">if(min($G346:$K346)=G346,N346+1,N346)</f>
        <v>146</v>
      </c>
      <c r="O347" s="12">
        <f t="shared" si="1035"/>
        <v>64</v>
      </c>
      <c r="P347" s="12">
        <f t="shared" si="1035"/>
        <v>53</v>
      </c>
      <c r="Q347" s="12">
        <f t="shared" si="1035"/>
        <v>43</v>
      </c>
      <c r="R347" s="12">
        <f t="shared" si="1035"/>
        <v>40</v>
      </c>
      <c r="T347" s="13">
        <f> 'Optimal Choice'!$B$5*'Optimal Choice'!$B$6^(N347+1)</f>
        <v>83459.41016</v>
      </c>
      <c r="U347" s="13">
        <f> 'Optimal Choice'!$B$10*'Optimal Choice'!$B$11^(O347+1)</f>
        <v>529067.2432</v>
      </c>
      <c r="V347" s="13">
        <f> 'Optimal Choice'!$B$15*'Optimal Choice'!$B$16^(P347+1)</f>
        <v>851519.2466</v>
      </c>
      <c r="W347" s="13">
        <f> 'Optimal Choice'!$B$20*'Optimal Choice'!$B$21^(Q347+1)</f>
        <v>1870532.489</v>
      </c>
      <c r="X347" s="13">
        <f> 'Optimal Choice'!$B$25*'Optimal Choice'!$B$26^(R347+1)</f>
        <v>10805227.57</v>
      </c>
      <c r="AA347" s="12">
        <f t="shared" ref="AA347:AE347" si="1036">if(isna(VLOOKUP(N347,$D$2:$E$10,2,false)),AA346, VLOOKUP(N347,$D$2:$E$10,2,false))</f>
        <v>50</v>
      </c>
      <c r="AB347" s="12">
        <f t="shared" si="1036"/>
        <v>25</v>
      </c>
      <c r="AC347" s="12">
        <f t="shared" si="1036"/>
        <v>25</v>
      </c>
      <c r="AD347" s="12">
        <f t="shared" si="1036"/>
        <v>5</v>
      </c>
      <c r="AE347" s="12">
        <f t="shared" si="1036"/>
        <v>5</v>
      </c>
      <c r="AH347" s="15">
        <f>N347*'Optimal Choice'!$B$4*AA347</f>
        <v>12191</v>
      </c>
      <c r="AI347" s="15">
        <f>O347*'Optimal Choice'!$B$9*AB347</f>
        <v>32000</v>
      </c>
      <c r="AJ347" s="15">
        <f>P347*'Optimal Choice'!$B$14*AC347</f>
        <v>119250</v>
      </c>
      <c r="AK347" s="15">
        <f>Q347*'Optimal Choice'!$B$19*AD347</f>
        <v>77400</v>
      </c>
      <c r="AL347" s="15">
        <f>R347*'Optimal Choice'!$B$24*AE347</f>
        <v>432000</v>
      </c>
      <c r="AO347" s="12">
        <f t="shared" ref="AO347:AS347" si="1037">if(isna(VLOOKUP(N347+1,$D$2:$E$10,2,false)),AO346, VLOOKUP(N347+1,$D$2:$E$10,2,false))</f>
        <v>50</v>
      </c>
      <c r="AP347" s="12">
        <f t="shared" si="1037"/>
        <v>25</v>
      </c>
      <c r="AQ347" s="12">
        <f t="shared" si="1037"/>
        <v>25</v>
      </c>
      <c r="AR347" s="12">
        <f t="shared" si="1037"/>
        <v>5</v>
      </c>
      <c r="AS347" s="12">
        <f t="shared" si="1037"/>
        <v>5</v>
      </c>
      <c r="AU347" s="11">
        <f t="shared" si="8"/>
        <v>0.01856438842</v>
      </c>
    </row>
    <row r="348" ht="15.75" customHeight="1">
      <c r="A348" s="16">
        <f t="shared" si="4"/>
        <v>9.848425115</v>
      </c>
      <c r="B348" s="7">
        <f>(sum(AH348:AL348))*'Optimal Choice'!$B$28</f>
        <v>675091</v>
      </c>
      <c r="C348" s="11"/>
      <c r="D348" s="12"/>
      <c r="E348" s="12"/>
      <c r="F348" s="11"/>
      <c r="G348" s="11">
        <f>(T348/$B348)+(T348/('Optimal Choice'!$B$4*AO348))</f>
        <v>999.637521</v>
      </c>
      <c r="H348" s="11">
        <f>(U348/$B348)+(U348/('Optimal Choice'!$B$9*AP348))</f>
        <v>1058.918184</v>
      </c>
      <c r="I348" s="11">
        <f>(V348/$B348)+(V348/('Optimal Choice'!$B$14*AQ348))</f>
        <v>432.8743458</v>
      </c>
      <c r="J348" s="11">
        <f>(W348/$B348)+(W348/('Optimal Choice'!$B$19*AR348))</f>
        <v>1041.955502</v>
      </c>
      <c r="K348" s="11">
        <f>(X348/$B348)+(X348/('Optimal Choice'!$B$24*AS348))</f>
        <v>1016.489621</v>
      </c>
      <c r="N348" s="12">
        <f t="shared" ref="N348:R348" si="1038">if(min($G347:$K347)=G347,N347+1,N347)</f>
        <v>146</v>
      </c>
      <c r="O348" s="12">
        <f t="shared" si="1038"/>
        <v>64</v>
      </c>
      <c r="P348" s="12">
        <f t="shared" si="1038"/>
        <v>54</v>
      </c>
      <c r="Q348" s="12">
        <f t="shared" si="1038"/>
        <v>43</v>
      </c>
      <c r="R348" s="12">
        <f t="shared" si="1038"/>
        <v>40</v>
      </c>
      <c r="T348" s="13">
        <f> 'Optimal Choice'!$B$5*'Optimal Choice'!$B$6^(N348+1)</f>
        <v>83459.41016</v>
      </c>
      <c r="U348" s="13">
        <f> 'Optimal Choice'!$B$10*'Optimal Choice'!$B$11^(O348+1)</f>
        <v>529067.2432</v>
      </c>
      <c r="V348" s="13">
        <f> 'Optimal Choice'!$B$15*'Optimal Choice'!$B$16^(P348+1)</f>
        <v>970731.9411</v>
      </c>
      <c r="W348" s="13">
        <f> 'Optimal Choice'!$B$20*'Optimal Choice'!$B$21^(Q348+1)</f>
        <v>1870532.489</v>
      </c>
      <c r="X348" s="13">
        <f> 'Optimal Choice'!$B$25*'Optimal Choice'!$B$26^(R348+1)</f>
        <v>10805227.57</v>
      </c>
      <c r="AA348" s="12">
        <f t="shared" ref="AA348:AE348" si="1039">if(isna(VLOOKUP(N348,$D$2:$E$10,2,false)),AA347, VLOOKUP(N348,$D$2:$E$10,2,false))</f>
        <v>50</v>
      </c>
      <c r="AB348" s="12">
        <f t="shared" si="1039"/>
        <v>25</v>
      </c>
      <c r="AC348" s="12">
        <f t="shared" si="1039"/>
        <v>25</v>
      </c>
      <c r="AD348" s="12">
        <f t="shared" si="1039"/>
        <v>5</v>
      </c>
      <c r="AE348" s="12">
        <f t="shared" si="1039"/>
        <v>5</v>
      </c>
      <c r="AH348" s="15">
        <f>N348*'Optimal Choice'!$B$4*AA348</f>
        <v>12191</v>
      </c>
      <c r="AI348" s="15">
        <f>O348*'Optimal Choice'!$B$9*AB348</f>
        <v>32000</v>
      </c>
      <c r="AJ348" s="15">
        <f>P348*'Optimal Choice'!$B$14*AC348</f>
        <v>121500</v>
      </c>
      <c r="AK348" s="15">
        <f>Q348*'Optimal Choice'!$B$19*AD348</f>
        <v>77400</v>
      </c>
      <c r="AL348" s="15">
        <f>R348*'Optimal Choice'!$B$24*AE348</f>
        <v>432000</v>
      </c>
      <c r="AO348" s="12">
        <f t="shared" ref="AO348:AS348" si="1040">if(isna(VLOOKUP(N348+1,$D$2:$E$10,2,false)),AO347, VLOOKUP(N348+1,$D$2:$E$10,2,false))</f>
        <v>50</v>
      </c>
      <c r="AP348" s="12">
        <f t="shared" si="1040"/>
        <v>25</v>
      </c>
      <c r="AQ348" s="12">
        <f t="shared" si="1040"/>
        <v>25</v>
      </c>
      <c r="AR348" s="12">
        <f t="shared" si="1040"/>
        <v>5</v>
      </c>
      <c r="AS348" s="12">
        <f t="shared" si="1040"/>
        <v>5</v>
      </c>
      <c r="AU348" s="11">
        <f t="shared" si="8"/>
        <v>0.02109263176</v>
      </c>
    </row>
    <row r="349" ht="15.75" customHeight="1">
      <c r="A349" s="16">
        <f t="shared" si="4"/>
        <v>9.872390574</v>
      </c>
      <c r="B349" s="7">
        <f>(sum(AH349:AL349))*'Optimal Choice'!$B$28</f>
        <v>677341</v>
      </c>
      <c r="C349" s="11"/>
      <c r="D349" s="12"/>
      <c r="E349" s="12"/>
      <c r="F349" s="11"/>
      <c r="G349" s="11">
        <f>(T349/$B349)+(T349/('Optimal Choice'!$B$4*AO349))</f>
        <v>999.6371104</v>
      </c>
      <c r="H349" s="11">
        <f>(U349/$B349)+(U349/('Optimal Choice'!$B$9*AP349))</f>
        <v>1058.915581</v>
      </c>
      <c r="I349" s="11">
        <f>(V349/$B349)+(V349/('Optimal Choice'!$B$14*AQ349))</f>
        <v>493.471309</v>
      </c>
      <c r="J349" s="11">
        <f>(W349/$B349)+(W349/('Optimal Choice'!$B$19*AR349))</f>
        <v>1041.946298</v>
      </c>
      <c r="K349" s="11">
        <f>(X349/$B349)+(X349/('Optimal Choice'!$B$24*AS349))</f>
        <v>1016.436453</v>
      </c>
      <c r="N349" s="12">
        <f t="shared" ref="N349:R349" si="1041">if(min($G348:$K348)=G348,N348+1,N348)</f>
        <v>146</v>
      </c>
      <c r="O349" s="12">
        <f t="shared" si="1041"/>
        <v>64</v>
      </c>
      <c r="P349" s="12">
        <f t="shared" si="1041"/>
        <v>55</v>
      </c>
      <c r="Q349" s="12">
        <f t="shared" si="1041"/>
        <v>43</v>
      </c>
      <c r="R349" s="12">
        <f t="shared" si="1041"/>
        <v>40</v>
      </c>
      <c r="T349" s="13">
        <f> 'Optimal Choice'!$B$5*'Optimal Choice'!$B$6^(N349+1)</f>
        <v>83459.41016</v>
      </c>
      <c r="U349" s="13">
        <f> 'Optimal Choice'!$B$10*'Optimal Choice'!$B$11^(O349+1)</f>
        <v>529067.2432</v>
      </c>
      <c r="V349" s="13">
        <f> 'Optimal Choice'!$B$15*'Optimal Choice'!$B$16^(P349+1)</f>
        <v>1106634.413</v>
      </c>
      <c r="W349" s="13">
        <f> 'Optimal Choice'!$B$20*'Optimal Choice'!$B$21^(Q349+1)</f>
        <v>1870532.489</v>
      </c>
      <c r="X349" s="13">
        <f> 'Optimal Choice'!$B$25*'Optimal Choice'!$B$26^(R349+1)</f>
        <v>10805227.57</v>
      </c>
      <c r="AA349" s="12">
        <f t="shared" ref="AA349:AE349" si="1042">if(isna(VLOOKUP(N349,$D$2:$E$10,2,false)),AA348, VLOOKUP(N349,$D$2:$E$10,2,false))</f>
        <v>50</v>
      </c>
      <c r="AB349" s="12">
        <f t="shared" si="1042"/>
        <v>25</v>
      </c>
      <c r="AC349" s="12">
        <f t="shared" si="1042"/>
        <v>25</v>
      </c>
      <c r="AD349" s="12">
        <f t="shared" si="1042"/>
        <v>5</v>
      </c>
      <c r="AE349" s="12">
        <f t="shared" si="1042"/>
        <v>5</v>
      </c>
      <c r="AH349" s="15">
        <f>N349*'Optimal Choice'!$B$4*AA349</f>
        <v>12191</v>
      </c>
      <c r="AI349" s="15">
        <f>O349*'Optimal Choice'!$B$9*AB349</f>
        <v>32000</v>
      </c>
      <c r="AJ349" s="15">
        <f>P349*'Optimal Choice'!$B$14*AC349</f>
        <v>123750</v>
      </c>
      <c r="AK349" s="15">
        <f>Q349*'Optimal Choice'!$B$19*AD349</f>
        <v>77400</v>
      </c>
      <c r="AL349" s="15">
        <f>R349*'Optimal Choice'!$B$24*AE349</f>
        <v>432000</v>
      </c>
      <c r="AO349" s="12">
        <f t="shared" ref="AO349:AS349" si="1043">if(isna(VLOOKUP(N349+1,$D$2:$E$10,2,false)),AO348, VLOOKUP(N349+1,$D$2:$E$10,2,false))</f>
        <v>50</v>
      </c>
      <c r="AP349" s="12">
        <f t="shared" si="1043"/>
        <v>25</v>
      </c>
      <c r="AQ349" s="12">
        <f t="shared" si="1043"/>
        <v>25</v>
      </c>
      <c r="AR349" s="12">
        <f t="shared" si="1043"/>
        <v>5</v>
      </c>
      <c r="AS349" s="12">
        <f t="shared" si="1043"/>
        <v>5</v>
      </c>
      <c r="AU349" s="11">
        <f t="shared" si="8"/>
        <v>0.023965459</v>
      </c>
    </row>
    <row r="350" ht="15.75" customHeight="1">
      <c r="A350" s="16">
        <f t="shared" si="4"/>
        <v>9.899620443</v>
      </c>
      <c r="B350" s="7">
        <f>(sum(AH350:AL350))*'Optimal Choice'!$B$28</f>
        <v>679591</v>
      </c>
      <c r="C350" s="11"/>
      <c r="D350" s="12"/>
      <c r="E350" s="12"/>
      <c r="F350" s="11"/>
      <c r="G350" s="11">
        <f>(T350/$B350)+(T350/('Optimal Choice'!$B$4*AO350))</f>
        <v>999.6367024</v>
      </c>
      <c r="H350" s="11">
        <f>(U350/$B350)+(U350/('Optimal Choice'!$B$9*AP350))</f>
        <v>1058.912995</v>
      </c>
      <c r="I350" s="11">
        <f>(V350/$B350)+(V350/('Optimal Choice'!$B$14*AQ350))</f>
        <v>562.5511258</v>
      </c>
      <c r="J350" s="11">
        <f>(W350/$B350)+(W350/('Optimal Choice'!$B$19*AR350))</f>
        <v>1041.937155</v>
      </c>
      <c r="K350" s="11">
        <f>(X350/$B350)+(X350/('Optimal Choice'!$B$24*AS350))</f>
        <v>1016.383638</v>
      </c>
      <c r="N350" s="12">
        <f t="shared" ref="N350:R350" si="1044">if(min($G349:$K349)=G349,N349+1,N349)</f>
        <v>146</v>
      </c>
      <c r="O350" s="12">
        <f t="shared" si="1044"/>
        <v>64</v>
      </c>
      <c r="P350" s="12">
        <f t="shared" si="1044"/>
        <v>56</v>
      </c>
      <c r="Q350" s="12">
        <f t="shared" si="1044"/>
        <v>43</v>
      </c>
      <c r="R350" s="12">
        <f t="shared" si="1044"/>
        <v>40</v>
      </c>
      <c r="T350" s="13">
        <f> 'Optimal Choice'!$B$5*'Optimal Choice'!$B$6^(N350+1)</f>
        <v>83459.41016</v>
      </c>
      <c r="U350" s="13">
        <f> 'Optimal Choice'!$B$10*'Optimal Choice'!$B$11^(O350+1)</f>
        <v>529067.2432</v>
      </c>
      <c r="V350" s="13">
        <f> 'Optimal Choice'!$B$15*'Optimal Choice'!$B$16^(P350+1)</f>
        <v>1261563.231</v>
      </c>
      <c r="W350" s="13">
        <f> 'Optimal Choice'!$B$20*'Optimal Choice'!$B$21^(Q350+1)</f>
        <v>1870532.489</v>
      </c>
      <c r="X350" s="13">
        <f> 'Optimal Choice'!$B$25*'Optimal Choice'!$B$26^(R350+1)</f>
        <v>10805227.57</v>
      </c>
      <c r="AA350" s="12">
        <f t="shared" ref="AA350:AE350" si="1045">if(isna(VLOOKUP(N350,$D$2:$E$10,2,false)),AA349, VLOOKUP(N350,$D$2:$E$10,2,false))</f>
        <v>50</v>
      </c>
      <c r="AB350" s="12">
        <f t="shared" si="1045"/>
        <v>25</v>
      </c>
      <c r="AC350" s="12">
        <f t="shared" si="1045"/>
        <v>25</v>
      </c>
      <c r="AD350" s="12">
        <f t="shared" si="1045"/>
        <v>5</v>
      </c>
      <c r="AE350" s="12">
        <f t="shared" si="1045"/>
        <v>5</v>
      </c>
      <c r="AH350" s="15">
        <f>N350*'Optimal Choice'!$B$4*AA350</f>
        <v>12191</v>
      </c>
      <c r="AI350" s="15">
        <f>O350*'Optimal Choice'!$B$9*AB350</f>
        <v>32000</v>
      </c>
      <c r="AJ350" s="15">
        <f>P350*'Optimal Choice'!$B$14*AC350</f>
        <v>126000</v>
      </c>
      <c r="AK350" s="15">
        <f>Q350*'Optimal Choice'!$B$19*AD350</f>
        <v>77400</v>
      </c>
      <c r="AL350" s="15">
        <f>R350*'Optimal Choice'!$B$24*AE350</f>
        <v>432000</v>
      </c>
      <c r="AO350" s="12">
        <f t="shared" ref="AO350:AS350" si="1046">if(isna(VLOOKUP(N350+1,$D$2:$E$10,2,false)),AO349, VLOOKUP(N350+1,$D$2:$E$10,2,false))</f>
        <v>50</v>
      </c>
      <c r="AP350" s="12">
        <f t="shared" si="1046"/>
        <v>25</v>
      </c>
      <c r="AQ350" s="12">
        <f t="shared" si="1046"/>
        <v>25</v>
      </c>
      <c r="AR350" s="12">
        <f t="shared" si="1046"/>
        <v>5</v>
      </c>
      <c r="AS350" s="12">
        <f t="shared" si="1046"/>
        <v>5</v>
      </c>
      <c r="AU350" s="11">
        <f t="shared" si="8"/>
        <v>0.02722986927</v>
      </c>
    </row>
    <row r="351" ht="15.75" customHeight="1">
      <c r="A351" s="16">
        <f t="shared" si="4"/>
        <v>9.93055972</v>
      </c>
      <c r="B351" s="7">
        <f>(sum(AH351:AL351))*'Optimal Choice'!$B$28</f>
        <v>681841</v>
      </c>
      <c r="C351" s="11"/>
      <c r="D351" s="12"/>
      <c r="E351" s="12"/>
      <c r="F351" s="11"/>
      <c r="G351" s="11">
        <f>(T351/$B351)+(T351/('Optimal Choice'!$B$4*AO351))</f>
        <v>999.6362972</v>
      </c>
      <c r="H351" s="11">
        <f>(U351/$B351)+(U351/('Optimal Choice'!$B$9*AP351))</f>
        <v>1058.910426</v>
      </c>
      <c r="I351" s="11">
        <f>(V351/$B351)+(V351/('Optimal Choice'!$B$14*AQ351))</f>
        <v>641.3013</v>
      </c>
      <c r="J351" s="11">
        <f>(W351/$B351)+(W351/('Optimal Choice'!$B$19*AR351))</f>
        <v>1041.928072</v>
      </c>
      <c r="K351" s="11">
        <f>(X351/$B351)+(X351/('Optimal Choice'!$B$24*AS351))</f>
        <v>1016.331171</v>
      </c>
      <c r="N351" s="12">
        <f t="shared" ref="N351:R351" si="1047">if(min($G350:$K350)=G350,N350+1,N350)</f>
        <v>146</v>
      </c>
      <c r="O351" s="12">
        <f t="shared" si="1047"/>
        <v>64</v>
      </c>
      <c r="P351" s="12">
        <f t="shared" si="1047"/>
        <v>57</v>
      </c>
      <c r="Q351" s="12">
        <f t="shared" si="1047"/>
        <v>43</v>
      </c>
      <c r="R351" s="12">
        <f t="shared" si="1047"/>
        <v>40</v>
      </c>
      <c r="T351" s="13">
        <f> 'Optimal Choice'!$B$5*'Optimal Choice'!$B$6^(N351+1)</f>
        <v>83459.41016</v>
      </c>
      <c r="U351" s="13">
        <f> 'Optimal Choice'!$B$10*'Optimal Choice'!$B$11^(O351+1)</f>
        <v>529067.2432</v>
      </c>
      <c r="V351" s="13">
        <f> 'Optimal Choice'!$B$15*'Optimal Choice'!$B$16^(P351+1)</f>
        <v>1438182.083</v>
      </c>
      <c r="W351" s="13">
        <f> 'Optimal Choice'!$B$20*'Optimal Choice'!$B$21^(Q351+1)</f>
        <v>1870532.489</v>
      </c>
      <c r="X351" s="13">
        <f> 'Optimal Choice'!$B$25*'Optimal Choice'!$B$26^(R351+1)</f>
        <v>10805227.57</v>
      </c>
      <c r="AA351" s="12">
        <f t="shared" ref="AA351:AE351" si="1048">if(isna(VLOOKUP(N351,$D$2:$E$10,2,false)),AA350, VLOOKUP(N351,$D$2:$E$10,2,false))</f>
        <v>50</v>
      </c>
      <c r="AB351" s="12">
        <f t="shared" si="1048"/>
        <v>25</v>
      </c>
      <c r="AC351" s="12">
        <f t="shared" si="1048"/>
        <v>25</v>
      </c>
      <c r="AD351" s="12">
        <f t="shared" si="1048"/>
        <v>5</v>
      </c>
      <c r="AE351" s="12">
        <f t="shared" si="1048"/>
        <v>5</v>
      </c>
      <c r="AH351" s="15">
        <f>N351*'Optimal Choice'!$B$4*AA351</f>
        <v>12191</v>
      </c>
      <c r="AI351" s="15">
        <f>O351*'Optimal Choice'!$B$9*AB351</f>
        <v>32000</v>
      </c>
      <c r="AJ351" s="15">
        <f>P351*'Optimal Choice'!$B$14*AC351</f>
        <v>128250</v>
      </c>
      <c r="AK351" s="15">
        <f>Q351*'Optimal Choice'!$B$19*AD351</f>
        <v>77400</v>
      </c>
      <c r="AL351" s="15">
        <f>R351*'Optimal Choice'!$B$24*AE351</f>
        <v>432000</v>
      </c>
      <c r="AO351" s="12">
        <f t="shared" ref="AO351:AS351" si="1049">if(isna(VLOOKUP(N351+1,$D$2:$E$10,2,false)),AO350, VLOOKUP(N351+1,$D$2:$E$10,2,false))</f>
        <v>50</v>
      </c>
      <c r="AP351" s="12">
        <f t="shared" si="1049"/>
        <v>25</v>
      </c>
      <c r="AQ351" s="12">
        <f t="shared" si="1049"/>
        <v>25</v>
      </c>
      <c r="AR351" s="12">
        <f t="shared" si="1049"/>
        <v>5</v>
      </c>
      <c r="AS351" s="12">
        <f t="shared" si="1049"/>
        <v>5</v>
      </c>
      <c r="AU351" s="11">
        <f t="shared" si="8"/>
        <v>0.03093927648</v>
      </c>
    </row>
    <row r="352" ht="15.75" customHeight="1">
      <c r="A352" s="16">
        <f t="shared" si="4"/>
        <v>9.965714105</v>
      </c>
      <c r="B352" s="7">
        <f>(sum(AH352:AL352))*'Optimal Choice'!$B$28</f>
        <v>684091</v>
      </c>
      <c r="C352" s="11"/>
      <c r="D352" s="12"/>
      <c r="E352" s="12"/>
      <c r="F352" s="11"/>
      <c r="G352" s="11">
        <f>(T352/$B352)+(T352/('Optimal Choice'!$B$4*AO352))</f>
        <v>999.6358946</v>
      </c>
      <c r="H352" s="11">
        <f>(U352/$B352)+(U352/('Optimal Choice'!$B$9*AP352))</f>
        <v>1058.907874</v>
      </c>
      <c r="I352" s="11">
        <f>(V352/$B352)+(V352/('Optimal Choice'!$B$14*AQ352))</f>
        <v>731.0755733</v>
      </c>
      <c r="J352" s="11">
        <f>(W352/$B352)+(W352/('Optimal Choice'!$B$19*AR352))</f>
        <v>1041.919049</v>
      </c>
      <c r="K352" s="11">
        <f>(X352/$B352)+(X352/('Optimal Choice'!$B$24*AS352))</f>
        <v>1016.279049</v>
      </c>
      <c r="N352" s="12">
        <f t="shared" ref="N352:R352" si="1050">if(min($G351:$K351)=G351,N351+1,N351)</f>
        <v>146</v>
      </c>
      <c r="O352" s="12">
        <f t="shared" si="1050"/>
        <v>64</v>
      </c>
      <c r="P352" s="12">
        <f t="shared" si="1050"/>
        <v>58</v>
      </c>
      <c r="Q352" s="12">
        <f t="shared" si="1050"/>
        <v>43</v>
      </c>
      <c r="R352" s="12">
        <f t="shared" si="1050"/>
        <v>40</v>
      </c>
      <c r="T352" s="13">
        <f> 'Optimal Choice'!$B$5*'Optimal Choice'!$B$6^(N352+1)</f>
        <v>83459.41016</v>
      </c>
      <c r="U352" s="13">
        <f> 'Optimal Choice'!$B$10*'Optimal Choice'!$B$11^(O352+1)</f>
        <v>529067.2432</v>
      </c>
      <c r="V352" s="13">
        <f> 'Optimal Choice'!$B$15*'Optimal Choice'!$B$16^(P352+1)</f>
        <v>1639527.575</v>
      </c>
      <c r="W352" s="13">
        <f> 'Optimal Choice'!$B$20*'Optimal Choice'!$B$21^(Q352+1)</f>
        <v>1870532.489</v>
      </c>
      <c r="X352" s="13">
        <f> 'Optimal Choice'!$B$25*'Optimal Choice'!$B$26^(R352+1)</f>
        <v>10805227.57</v>
      </c>
      <c r="AA352" s="12">
        <f t="shared" ref="AA352:AE352" si="1051">if(isna(VLOOKUP(N352,$D$2:$E$10,2,false)),AA351, VLOOKUP(N352,$D$2:$E$10,2,false))</f>
        <v>50</v>
      </c>
      <c r="AB352" s="12">
        <f t="shared" si="1051"/>
        <v>25</v>
      </c>
      <c r="AC352" s="12">
        <f t="shared" si="1051"/>
        <v>25</v>
      </c>
      <c r="AD352" s="12">
        <f t="shared" si="1051"/>
        <v>5</v>
      </c>
      <c r="AE352" s="12">
        <f t="shared" si="1051"/>
        <v>5</v>
      </c>
      <c r="AH352" s="15">
        <f>N352*'Optimal Choice'!$B$4*AA352</f>
        <v>12191</v>
      </c>
      <c r="AI352" s="15">
        <f>O352*'Optimal Choice'!$B$9*AB352</f>
        <v>32000</v>
      </c>
      <c r="AJ352" s="15">
        <f>P352*'Optimal Choice'!$B$14*AC352</f>
        <v>130500</v>
      </c>
      <c r="AK352" s="15">
        <f>Q352*'Optimal Choice'!$B$19*AD352</f>
        <v>77400</v>
      </c>
      <c r="AL352" s="15">
        <f>R352*'Optimal Choice'!$B$24*AE352</f>
        <v>432000</v>
      </c>
      <c r="AO352" s="12">
        <f t="shared" ref="AO352:AS352" si="1052">if(isna(VLOOKUP(N352+1,$D$2:$E$10,2,false)),AO351, VLOOKUP(N352+1,$D$2:$E$10,2,false))</f>
        <v>50</v>
      </c>
      <c r="AP352" s="12">
        <f t="shared" si="1052"/>
        <v>25</v>
      </c>
      <c r="AQ352" s="12">
        <f t="shared" si="1052"/>
        <v>25</v>
      </c>
      <c r="AR352" s="12">
        <f t="shared" si="1052"/>
        <v>5</v>
      </c>
      <c r="AS352" s="12">
        <f t="shared" si="1052"/>
        <v>5</v>
      </c>
      <c r="AU352" s="11">
        <f t="shared" si="8"/>
        <v>0.03515438553</v>
      </c>
    </row>
    <row r="353" ht="15.75" customHeight="1">
      <c r="A353" s="16">
        <f t="shared" si="4"/>
        <v>10.00565829</v>
      </c>
      <c r="B353" s="7">
        <f>(sum(AH353:AL353))*'Optimal Choice'!$B$28</f>
        <v>686341</v>
      </c>
      <c r="C353" s="11"/>
      <c r="D353" s="12"/>
      <c r="E353" s="12"/>
      <c r="F353" s="11"/>
      <c r="G353" s="11">
        <f>(T353/$B353)+(T353/('Optimal Choice'!$B$4*AO353))</f>
        <v>999.6354946</v>
      </c>
      <c r="H353" s="11">
        <f>(U353/$B353)+(U353/('Optimal Choice'!$B$9*AP353))</f>
        <v>1058.905338</v>
      </c>
      <c r="I353" s="11">
        <f>(V353/$B353)+(V353/('Optimal Choice'!$B$14*AQ353))</f>
        <v>833.4171968</v>
      </c>
      <c r="J353" s="11">
        <f>(W353/$B353)+(W353/('Optimal Choice'!$B$19*AR353))</f>
        <v>1041.910085</v>
      </c>
      <c r="K353" s="11">
        <f>(X353/$B353)+(X353/('Optimal Choice'!$B$24*AS353))</f>
        <v>1016.227269</v>
      </c>
      <c r="N353" s="12">
        <f t="shared" ref="N353:R353" si="1053">if(min($G352:$K352)=G352,N352+1,N352)</f>
        <v>146</v>
      </c>
      <c r="O353" s="12">
        <f t="shared" si="1053"/>
        <v>64</v>
      </c>
      <c r="P353" s="12">
        <f t="shared" si="1053"/>
        <v>59</v>
      </c>
      <c r="Q353" s="12">
        <f t="shared" si="1053"/>
        <v>43</v>
      </c>
      <c r="R353" s="12">
        <f t="shared" si="1053"/>
        <v>40</v>
      </c>
      <c r="T353" s="13">
        <f> 'Optimal Choice'!$B$5*'Optimal Choice'!$B$6^(N353+1)</f>
        <v>83459.41016</v>
      </c>
      <c r="U353" s="13">
        <f> 'Optimal Choice'!$B$10*'Optimal Choice'!$B$11^(O353+1)</f>
        <v>529067.2432</v>
      </c>
      <c r="V353" s="13">
        <f> 'Optimal Choice'!$B$15*'Optimal Choice'!$B$16^(P353+1)</f>
        <v>1869061.435</v>
      </c>
      <c r="W353" s="13">
        <f> 'Optimal Choice'!$B$20*'Optimal Choice'!$B$21^(Q353+1)</f>
        <v>1870532.489</v>
      </c>
      <c r="X353" s="13">
        <f> 'Optimal Choice'!$B$25*'Optimal Choice'!$B$26^(R353+1)</f>
        <v>10805227.57</v>
      </c>
      <c r="AA353" s="12">
        <f t="shared" ref="AA353:AE353" si="1054">if(isna(VLOOKUP(N353,$D$2:$E$10,2,false)),AA352, VLOOKUP(N353,$D$2:$E$10,2,false))</f>
        <v>50</v>
      </c>
      <c r="AB353" s="12">
        <f t="shared" si="1054"/>
        <v>25</v>
      </c>
      <c r="AC353" s="12">
        <f t="shared" si="1054"/>
        <v>25</v>
      </c>
      <c r="AD353" s="12">
        <f t="shared" si="1054"/>
        <v>5</v>
      </c>
      <c r="AE353" s="12">
        <f t="shared" si="1054"/>
        <v>5</v>
      </c>
      <c r="AH353" s="15">
        <f>N353*'Optimal Choice'!$B$4*AA353</f>
        <v>12191</v>
      </c>
      <c r="AI353" s="15">
        <f>O353*'Optimal Choice'!$B$9*AB353</f>
        <v>32000</v>
      </c>
      <c r="AJ353" s="15">
        <f>P353*'Optimal Choice'!$B$14*AC353</f>
        <v>132750</v>
      </c>
      <c r="AK353" s="15">
        <f>Q353*'Optimal Choice'!$B$19*AD353</f>
        <v>77400</v>
      </c>
      <c r="AL353" s="15">
        <f>R353*'Optimal Choice'!$B$24*AE353</f>
        <v>432000</v>
      </c>
      <c r="AO353" s="12">
        <f t="shared" ref="AO353:AS353" si="1055">if(isna(VLOOKUP(N353+1,$D$2:$E$10,2,false)),AO352, VLOOKUP(N353+1,$D$2:$E$10,2,false))</f>
        <v>50</v>
      </c>
      <c r="AP353" s="12">
        <f t="shared" si="1055"/>
        <v>25</v>
      </c>
      <c r="AQ353" s="12">
        <f t="shared" si="1055"/>
        <v>25</v>
      </c>
      <c r="AR353" s="12">
        <f t="shared" si="1055"/>
        <v>5</v>
      </c>
      <c r="AS353" s="12">
        <f t="shared" si="1055"/>
        <v>5</v>
      </c>
      <c r="AU353" s="11">
        <f t="shared" si="8"/>
        <v>0.03994418809</v>
      </c>
    </row>
    <row r="354" ht="15.75" customHeight="1">
      <c r="A354" s="16">
        <f t="shared" si="4"/>
        <v>10.05104539</v>
      </c>
      <c r="B354" s="7">
        <f>(sum(AH354:AL354))*'Optimal Choice'!$B$28</f>
        <v>688591</v>
      </c>
      <c r="C354" s="11"/>
      <c r="D354" s="12"/>
      <c r="E354" s="12"/>
      <c r="F354" s="11"/>
      <c r="G354" s="11">
        <f>(T354/$B354)+(T354/('Optimal Choice'!$B$4*AO354))</f>
        <v>999.6350973</v>
      </c>
      <c r="H354" s="11">
        <f>(U354/$B354)+(U354/('Optimal Choice'!$B$9*AP354))</f>
        <v>1058.90282</v>
      </c>
      <c r="I354" s="11">
        <f>(V354/$B354)+(V354/('Optimal Choice'!$B$14*AQ354))</f>
        <v>950.0854603</v>
      </c>
      <c r="J354" s="11">
        <f>(W354/$B354)+(W354/('Optimal Choice'!$B$19*AR354))</f>
        <v>1041.90118</v>
      </c>
      <c r="K354" s="11">
        <f>(X354/$B354)+(X354/('Optimal Choice'!$B$24*AS354))</f>
        <v>1016.175827</v>
      </c>
      <c r="N354" s="12">
        <f t="shared" ref="N354:R354" si="1056">if(min($G353:$K353)=G353,N353+1,N353)</f>
        <v>146</v>
      </c>
      <c r="O354" s="12">
        <f t="shared" si="1056"/>
        <v>64</v>
      </c>
      <c r="P354" s="12">
        <f t="shared" si="1056"/>
        <v>60</v>
      </c>
      <c r="Q354" s="12">
        <f t="shared" si="1056"/>
        <v>43</v>
      </c>
      <c r="R354" s="12">
        <f t="shared" si="1056"/>
        <v>40</v>
      </c>
      <c r="T354" s="13">
        <f> 'Optimal Choice'!$B$5*'Optimal Choice'!$B$6^(N354+1)</f>
        <v>83459.41016</v>
      </c>
      <c r="U354" s="13">
        <f> 'Optimal Choice'!$B$10*'Optimal Choice'!$B$11^(O354+1)</f>
        <v>529067.2432</v>
      </c>
      <c r="V354" s="13">
        <f> 'Optimal Choice'!$B$15*'Optimal Choice'!$B$16^(P354+1)</f>
        <v>2130730.036</v>
      </c>
      <c r="W354" s="13">
        <f> 'Optimal Choice'!$B$20*'Optimal Choice'!$B$21^(Q354+1)</f>
        <v>1870532.489</v>
      </c>
      <c r="X354" s="13">
        <f> 'Optimal Choice'!$B$25*'Optimal Choice'!$B$26^(R354+1)</f>
        <v>10805227.57</v>
      </c>
      <c r="AA354" s="12">
        <f t="shared" ref="AA354:AE354" si="1057">if(isna(VLOOKUP(N354,$D$2:$E$10,2,false)),AA353, VLOOKUP(N354,$D$2:$E$10,2,false))</f>
        <v>50</v>
      </c>
      <c r="AB354" s="12">
        <f t="shared" si="1057"/>
        <v>25</v>
      </c>
      <c r="AC354" s="12">
        <f t="shared" si="1057"/>
        <v>25</v>
      </c>
      <c r="AD354" s="12">
        <f t="shared" si="1057"/>
        <v>5</v>
      </c>
      <c r="AE354" s="12">
        <f t="shared" si="1057"/>
        <v>5</v>
      </c>
      <c r="AH354" s="15">
        <f>N354*'Optimal Choice'!$B$4*AA354</f>
        <v>12191</v>
      </c>
      <c r="AI354" s="15">
        <f>O354*'Optimal Choice'!$B$9*AB354</f>
        <v>32000</v>
      </c>
      <c r="AJ354" s="15">
        <f>P354*'Optimal Choice'!$B$14*AC354</f>
        <v>135000</v>
      </c>
      <c r="AK354" s="15">
        <f>Q354*'Optimal Choice'!$B$19*AD354</f>
        <v>77400</v>
      </c>
      <c r="AL354" s="15">
        <f>R354*'Optimal Choice'!$B$24*AE354</f>
        <v>432000</v>
      </c>
      <c r="AO354" s="12">
        <f t="shared" ref="AO354:AS354" si="1058">if(isna(VLOOKUP(N354+1,$D$2:$E$10,2,false)),AO353, VLOOKUP(N354+1,$D$2:$E$10,2,false))</f>
        <v>50</v>
      </c>
      <c r="AP354" s="12">
        <f t="shared" si="1058"/>
        <v>25</v>
      </c>
      <c r="AQ354" s="12">
        <f t="shared" si="1058"/>
        <v>25</v>
      </c>
      <c r="AR354" s="12">
        <f t="shared" si="1058"/>
        <v>5</v>
      </c>
      <c r="AS354" s="12">
        <f t="shared" si="1058"/>
        <v>5</v>
      </c>
      <c r="AU354" s="11">
        <f t="shared" si="8"/>
        <v>0.04538709463</v>
      </c>
    </row>
    <row r="355" ht="15.75" customHeight="1">
      <c r="A355" s="16">
        <f t="shared" si="4"/>
        <v>10.10261761</v>
      </c>
      <c r="B355" s="7">
        <f>(sum(AH355:AL355))*'Optimal Choice'!$B$28</f>
        <v>690841</v>
      </c>
      <c r="C355" s="11"/>
      <c r="D355" s="12"/>
      <c r="E355" s="12"/>
      <c r="F355" s="11"/>
      <c r="G355" s="11">
        <f>(T355/$B355)+(T355/('Optimal Choice'!$B$4*AO355))</f>
        <v>999.6347025</v>
      </c>
      <c r="H355" s="11">
        <f>(U355/$B355)+(U355/('Optimal Choice'!$B$9*AP355))</f>
        <v>1058.900317</v>
      </c>
      <c r="I355" s="11">
        <f>(V355/$B355)+(V355/('Optimal Choice'!$B$14*AQ355))</f>
        <v>1083.085936</v>
      </c>
      <c r="J355" s="11">
        <f>(W355/$B355)+(W355/('Optimal Choice'!$B$19*AR355))</f>
        <v>1041.892332</v>
      </c>
      <c r="K355" s="11">
        <f>(X355/$B355)+(X355/('Optimal Choice'!$B$24*AS355))</f>
        <v>1016.124721</v>
      </c>
      <c r="N355" s="12">
        <f t="shared" ref="N355:R355" si="1059">if(min($G354:$K354)=G354,N354+1,N354)</f>
        <v>146</v>
      </c>
      <c r="O355" s="12">
        <f t="shared" si="1059"/>
        <v>64</v>
      </c>
      <c r="P355" s="12">
        <f t="shared" si="1059"/>
        <v>61</v>
      </c>
      <c r="Q355" s="12">
        <f t="shared" si="1059"/>
        <v>43</v>
      </c>
      <c r="R355" s="12">
        <f t="shared" si="1059"/>
        <v>40</v>
      </c>
      <c r="T355" s="13">
        <f> 'Optimal Choice'!$B$5*'Optimal Choice'!$B$6^(N355+1)</f>
        <v>83459.41016</v>
      </c>
      <c r="U355" s="13">
        <f> 'Optimal Choice'!$B$10*'Optimal Choice'!$B$11^(O355+1)</f>
        <v>529067.2432</v>
      </c>
      <c r="V355" s="13">
        <f> 'Optimal Choice'!$B$15*'Optimal Choice'!$B$16^(P355+1)</f>
        <v>2429032.241</v>
      </c>
      <c r="W355" s="13">
        <f> 'Optimal Choice'!$B$20*'Optimal Choice'!$B$21^(Q355+1)</f>
        <v>1870532.489</v>
      </c>
      <c r="X355" s="13">
        <f> 'Optimal Choice'!$B$25*'Optimal Choice'!$B$26^(R355+1)</f>
        <v>10805227.57</v>
      </c>
      <c r="AA355" s="12">
        <f t="shared" ref="AA355:AE355" si="1060">if(isna(VLOOKUP(N355,$D$2:$E$10,2,false)),AA354, VLOOKUP(N355,$D$2:$E$10,2,false))</f>
        <v>50</v>
      </c>
      <c r="AB355" s="12">
        <f t="shared" si="1060"/>
        <v>25</v>
      </c>
      <c r="AC355" s="12">
        <f t="shared" si="1060"/>
        <v>25</v>
      </c>
      <c r="AD355" s="12">
        <f t="shared" si="1060"/>
        <v>5</v>
      </c>
      <c r="AE355" s="12">
        <f t="shared" si="1060"/>
        <v>5</v>
      </c>
      <c r="AH355" s="15">
        <f>N355*'Optimal Choice'!$B$4*AA355</f>
        <v>12191</v>
      </c>
      <c r="AI355" s="15">
        <f>O355*'Optimal Choice'!$B$9*AB355</f>
        <v>32000</v>
      </c>
      <c r="AJ355" s="15">
        <f>P355*'Optimal Choice'!$B$14*AC355</f>
        <v>137250</v>
      </c>
      <c r="AK355" s="15">
        <f>Q355*'Optimal Choice'!$B$19*AD355</f>
        <v>77400</v>
      </c>
      <c r="AL355" s="15">
        <f>R355*'Optimal Choice'!$B$24*AE355</f>
        <v>432000</v>
      </c>
      <c r="AO355" s="12">
        <f t="shared" ref="AO355:AS355" si="1061">if(isna(VLOOKUP(N355+1,$D$2:$E$10,2,false)),AO354, VLOOKUP(N355+1,$D$2:$E$10,2,false))</f>
        <v>50</v>
      </c>
      <c r="AP355" s="12">
        <f t="shared" si="1061"/>
        <v>25</v>
      </c>
      <c r="AQ355" s="12">
        <f t="shared" si="1061"/>
        <v>25</v>
      </c>
      <c r="AR355" s="12">
        <f t="shared" si="1061"/>
        <v>5</v>
      </c>
      <c r="AS355" s="12">
        <f t="shared" si="1061"/>
        <v>5</v>
      </c>
      <c r="AU355" s="11">
        <f t="shared" si="8"/>
        <v>0.05157222105</v>
      </c>
    </row>
    <row r="356" ht="15.75" customHeight="1">
      <c r="A356" s="16">
        <f t="shared" si="4"/>
        <v>10.10463108</v>
      </c>
      <c r="B356" s="7">
        <f>(sum(AH356:AL356))*'Optimal Choice'!$B$28</f>
        <v>690924.5</v>
      </c>
      <c r="C356" s="11"/>
      <c r="D356" s="12"/>
      <c r="E356" s="12"/>
      <c r="F356" s="11"/>
      <c r="G356" s="11">
        <f>(T356/$B356)+(T356/('Optimal Choice'!$B$4*AO356))</f>
        <v>1069.609116</v>
      </c>
      <c r="H356" s="11">
        <f>(U356/$B356)+(U356/('Optimal Choice'!$B$9*AP356))</f>
        <v>1058.900225</v>
      </c>
      <c r="I356" s="11">
        <f>(V356/$B356)+(V356/('Optimal Choice'!$B$14*AQ356))</f>
        <v>1083.085511</v>
      </c>
      <c r="J356" s="11">
        <f>(W356/$B356)+(W356/('Optimal Choice'!$B$19*AR356))</f>
        <v>1041.892005</v>
      </c>
      <c r="K356" s="11">
        <f>(X356/$B356)+(X356/('Optimal Choice'!$B$24*AS356))</f>
        <v>1016.122831</v>
      </c>
      <c r="N356" s="12">
        <f t="shared" ref="N356:R356" si="1062">if(min($G355:$K355)=G355,N355+1,N355)</f>
        <v>147</v>
      </c>
      <c r="O356" s="12">
        <f t="shared" si="1062"/>
        <v>64</v>
      </c>
      <c r="P356" s="12">
        <f t="shared" si="1062"/>
        <v>61</v>
      </c>
      <c r="Q356" s="12">
        <f t="shared" si="1062"/>
        <v>43</v>
      </c>
      <c r="R356" s="12">
        <f t="shared" si="1062"/>
        <v>40</v>
      </c>
      <c r="T356" s="13">
        <f> 'Optimal Choice'!$B$5*'Optimal Choice'!$B$6^(N356+1)</f>
        <v>89301.56887</v>
      </c>
      <c r="U356" s="13">
        <f> 'Optimal Choice'!$B$10*'Optimal Choice'!$B$11^(O356+1)</f>
        <v>529067.2432</v>
      </c>
      <c r="V356" s="13">
        <f> 'Optimal Choice'!$B$15*'Optimal Choice'!$B$16^(P356+1)</f>
        <v>2429032.241</v>
      </c>
      <c r="W356" s="13">
        <f> 'Optimal Choice'!$B$20*'Optimal Choice'!$B$21^(Q356+1)</f>
        <v>1870532.489</v>
      </c>
      <c r="X356" s="13">
        <f> 'Optimal Choice'!$B$25*'Optimal Choice'!$B$26^(R356+1)</f>
        <v>10805227.57</v>
      </c>
      <c r="AA356" s="12">
        <f t="shared" ref="AA356:AE356" si="1063">if(isna(VLOOKUP(N356,$D$2:$E$10,2,false)),AA355, VLOOKUP(N356,$D$2:$E$10,2,false))</f>
        <v>50</v>
      </c>
      <c r="AB356" s="12">
        <f t="shared" si="1063"/>
        <v>25</v>
      </c>
      <c r="AC356" s="12">
        <f t="shared" si="1063"/>
        <v>25</v>
      </c>
      <c r="AD356" s="12">
        <f t="shared" si="1063"/>
        <v>5</v>
      </c>
      <c r="AE356" s="12">
        <f t="shared" si="1063"/>
        <v>5</v>
      </c>
      <c r="AH356" s="15">
        <f>N356*'Optimal Choice'!$B$4*AA356</f>
        <v>12274.5</v>
      </c>
      <c r="AI356" s="15">
        <f>O356*'Optimal Choice'!$B$9*AB356</f>
        <v>32000</v>
      </c>
      <c r="AJ356" s="15">
        <f>P356*'Optimal Choice'!$B$14*AC356</f>
        <v>137250</v>
      </c>
      <c r="AK356" s="15">
        <f>Q356*'Optimal Choice'!$B$19*AD356</f>
        <v>77400</v>
      </c>
      <c r="AL356" s="15">
        <f>R356*'Optimal Choice'!$B$24*AE356</f>
        <v>432000</v>
      </c>
      <c r="AO356" s="12">
        <f t="shared" ref="AO356:AS356" si="1064">if(isna(VLOOKUP(N356+1,$D$2:$E$10,2,false)),AO355, VLOOKUP(N356+1,$D$2:$E$10,2,false))</f>
        <v>50</v>
      </c>
      <c r="AP356" s="12">
        <f t="shared" si="1064"/>
        <v>25</v>
      </c>
      <c r="AQ356" s="12">
        <f t="shared" si="1064"/>
        <v>25</v>
      </c>
      <c r="AR356" s="12">
        <f t="shared" si="1064"/>
        <v>5</v>
      </c>
      <c r="AS356" s="12">
        <f t="shared" si="1064"/>
        <v>5</v>
      </c>
      <c r="AU356" s="11">
        <f t="shared" si="8"/>
        <v>0.002013473678</v>
      </c>
    </row>
    <row r="357" ht="15.75" customHeight="1">
      <c r="A357" s="16">
        <f t="shared" si="4"/>
        <v>10.36527769</v>
      </c>
      <c r="B357" s="7">
        <f>(sum(AH357:AL357))*'Optimal Choice'!$B$28</f>
        <v>701724.5</v>
      </c>
      <c r="C357" s="11"/>
      <c r="D357" s="12"/>
      <c r="E357" s="12"/>
      <c r="F357" s="11"/>
      <c r="G357" s="11">
        <f>(T357/$B357)+(T357/('Optimal Choice'!$B$4*AO357))</f>
        <v>1069.607127</v>
      </c>
      <c r="H357" s="11">
        <f>(U357/$B357)+(U357/('Optimal Choice'!$B$9*AP357))</f>
        <v>1058.888439</v>
      </c>
      <c r="I357" s="11">
        <f>(V357/$B357)+(V357/('Optimal Choice'!$B$14*AQ357))</f>
        <v>1083.031403</v>
      </c>
      <c r="J357" s="11">
        <f>(W357/$B357)+(W357/('Optimal Choice'!$B$19*AR357))</f>
        <v>1041.850338</v>
      </c>
      <c r="K357" s="11">
        <f>(X357/$B357)+(X357/('Optimal Choice'!$B$24*AS357))</f>
        <v>1137.787996</v>
      </c>
      <c r="N357" s="12">
        <f t="shared" ref="N357:R357" si="1065">if(min($G356:$K356)=G356,N356+1,N356)</f>
        <v>147</v>
      </c>
      <c r="O357" s="12">
        <f t="shared" si="1065"/>
        <v>64</v>
      </c>
      <c r="P357" s="12">
        <f t="shared" si="1065"/>
        <v>61</v>
      </c>
      <c r="Q357" s="12">
        <f t="shared" si="1065"/>
        <v>43</v>
      </c>
      <c r="R357" s="12">
        <f t="shared" si="1065"/>
        <v>41</v>
      </c>
      <c r="T357" s="13">
        <f> 'Optimal Choice'!$B$5*'Optimal Choice'!$B$6^(N357+1)</f>
        <v>89301.56887</v>
      </c>
      <c r="U357" s="13">
        <f> 'Optimal Choice'!$B$10*'Optimal Choice'!$B$11^(O357+1)</f>
        <v>529067.2432</v>
      </c>
      <c r="V357" s="13">
        <f> 'Optimal Choice'!$B$15*'Optimal Choice'!$B$16^(P357+1)</f>
        <v>2429032.241</v>
      </c>
      <c r="W357" s="13">
        <f> 'Optimal Choice'!$B$20*'Optimal Choice'!$B$21^(Q357+1)</f>
        <v>1870532.489</v>
      </c>
      <c r="X357" s="13">
        <f> 'Optimal Choice'!$B$25*'Optimal Choice'!$B$26^(R357+1)</f>
        <v>12101854.88</v>
      </c>
      <c r="AA357" s="12">
        <f t="shared" ref="AA357:AE357" si="1066">if(isna(VLOOKUP(N357,$D$2:$E$10,2,false)),AA356, VLOOKUP(N357,$D$2:$E$10,2,false))</f>
        <v>50</v>
      </c>
      <c r="AB357" s="12">
        <f t="shared" si="1066"/>
        <v>25</v>
      </c>
      <c r="AC357" s="12">
        <f t="shared" si="1066"/>
        <v>25</v>
      </c>
      <c r="AD357" s="12">
        <f t="shared" si="1066"/>
        <v>5</v>
      </c>
      <c r="AE357" s="12">
        <f t="shared" si="1066"/>
        <v>5</v>
      </c>
      <c r="AH357" s="15">
        <f>N357*'Optimal Choice'!$B$4*AA357</f>
        <v>12274.5</v>
      </c>
      <c r="AI357" s="15">
        <f>O357*'Optimal Choice'!$B$9*AB357</f>
        <v>32000</v>
      </c>
      <c r="AJ357" s="15">
        <f>P357*'Optimal Choice'!$B$14*AC357</f>
        <v>137250</v>
      </c>
      <c r="AK357" s="15">
        <f>Q357*'Optimal Choice'!$B$19*AD357</f>
        <v>77400</v>
      </c>
      <c r="AL357" s="15">
        <f>R357*'Optimal Choice'!$B$24*AE357</f>
        <v>442800</v>
      </c>
      <c r="AO357" s="12">
        <f t="shared" ref="AO357:AS357" si="1067">if(isna(VLOOKUP(N357+1,$D$2:$E$10,2,false)),AO356, VLOOKUP(N357+1,$D$2:$E$10,2,false))</f>
        <v>50</v>
      </c>
      <c r="AP357" s="12">
        <f t="shared" si="1067"/>
        <v>25</v>
      </c>
      <c r="AQ357" s="12">
        <f t="shared" si="1067"/>
        <v>25</v>
      </c>
      <c r="AR357" s="12">
        <f t="shared" si="1067"/>
        <v>5</v>
      </c>
      <c r="AS357" s="12">
        <f t="shared" si="1067"/>
        <v>5</v>
      </c>
      <c r="AU357" s="11">
        <f t="shared" si="8"/>
        <v>0.2606466063</v>
      </c>
    </row>
    <row r="358" ht="15.75" customHeight="1">
      <c r="A358" s="16">
        <f t="shared" si="4"/>
        <v>10.40970473</v>
      </c>
      <c r="B358" s="7">
        <f>(sum(AH358:AL358))*'Optimal Choice'!$B$28</f>
        <v>703524.5</v>
      </c>
      <c r="C358" s="11"/>
      <c r="D358" s="12"/>
      <c r="E358" s="12"/>
      <c r="F358" s="11"/>
      <c r="G358" s="11">
        <f>(T358/$B358)+(T358/('Optimal Choice'!$B$4*AO358))</f>
        <v>1069.606801</v>
      </c>
      <c r="H358" s="11">
        <f>(U358/$B358)+(U358/('Optimal Choice'!$B$9*AP358))</f>
        <v>1058.88651</v>
      </c>
      <c r="I358" s="11">
        <f>(V358/$B358)+(V358/('Optimal Choice'!$B$14*AQ358))</f>
        <v>1083.022547</v>
      </c>
      <c r="J358" s="11">
        <f>(W358/$B358)+(W358/('Optimal Choice'!$B$19*AR358))</f>
        <v>1177.283176</v>
      </c>
      <c r="K358" s="11">
        <f>(X358/$B358)+(X358/('Optimal Choice'!$B$24*AS358))</f>
        <v>1137.743872</v>
      </c>
      <c r="N358" s="12">
        <f t="shared" ref="N358:R358" si="1068">if(min($G357:$K357)=G357,N357+1,N357)</f>
        <v>147</v>
      </c>
      <c r="O358" s="12">
        <f t="shared" si="1068"/>
        <v>64</v>
      </c>
      <c r="P358" s="12">
        <f t="shared" si="1068"/>
        <v>61</v>
      </c>
      <c r="Q358" s="12">
        <f t="shared" si="1068"/>
        <v>44</v>
      </c>
      <c r="R358" s="12">
        <f t="shared" si="1068"/>
        <v>41</v>
      </c>
      <c r="T358" s="13">
        <f> 'Optimal Choice'!$B$5*'Optimal Choice'!$B$6^(N358+1)</f>
        <v>89301.56887</v>
      </c>
      <c r="U358" s="13">
        <f> 'Optimal Choice'!$B$10*'Optimal Choice'!$B$11^(O358+1)</f>
        <v>529067.2432</v>
      </c>
      <c r="V358" s="13">
        <f> 'Optimal Choice'!$B$15*'Optimal Choice'!$B$16^(P358+1)</f>
        <v>2429032.241</v>
      </c>
      <c r="W358" s="13">
        <f> 'Optimal Choice'!$B$20*'Optimal Choice'!$B$21^(Q358+1)</f>
        <v>2113701.712</v>
      </c>
      <c r="X358" s="13">
        <f> 'Optimal Choice'!$B$25*'Optimal Choice'!$B$26^(R358+1)</f>
        <v>12101854.88</v>
      </c>
      <c r="AA358" s="12">
        <f t="shared" ref="AA358:AE358" si="1069">if(isna(VLOOKUP(N358,$D$2:$E$10,2,false)),AA357, VLOOKUP(N358,$D$2:$E$10,2,false))</f>
        <v>50</v>
      </c>
      <c r="AB358" s="12">
        <f t="shared" si="1069"/>
        <v>25</v>
      </c>
      <c r="AC358" s="12">
        <f t="shared" si="1069"/>
        <v>25</v>
      </c>
      <c r="AD358" s="12">
        <f t="shared" si="1069"/>
        <v>5</v>
      </c>
      <c r="AE358" s="12">
        <f t="shared" si="1069"/>
        <v>5</v>
      </c>
      <c r="AH358" s="15">
        <f>N358*'Optimal Choice'!$B$4*AA358</f>
        <v>12274.5</v>
      </c>
      <c r="AI358" s="15">
        <f>O358*'Optimal Choice'!$B$9*AB358</f>
        <v>32000</v>
      </c>
      <c r="AJ358" s="15">
        <f>P358*'Optimal Choice'!$B$14*AC358</f>
        <v>137250</v>
      </c>
      <c r="AK358" s="15">
        <f>Q358*'Optimal Choice'!$B$19*AD358</f>
        <v>79200</v>
      </c>
      <c r="AL358" s="15">
        <f>R358*'Optimal Choice'!$B$24*AE358</f>
        <v>442800</v>
      </c>
      <c r="AO358" s="12">
        <f t="shared" ref="AO358:AS358" si="1070">if(isna(VLOOKUP(N358+1,$D$2:$E$10,2,false)),AO357, VLOOKUP(N358+1,$D$2:$E$10,2,false))</f>
        <v>50</v>
      </c>
      <c r="AP358" s="12">
        <f t="shared" si="1070"/>
        <v>25</v>
      </c>
      <c r="AQ358" s="12">
        <f t="shared" si="1070"/>
        <v>25</v>
      </c>
      <c r="AR358" s="12">
        <f t="shared" si="1070"/>
        <v>5</v>
      </c>
      <c r="AS358" s="12">
        <f t="shared" si="1070"/>
        <v>5</v>
      </c>
      <c r="AU358" s="11">
        <f t="shared" si="8"/>
        <v>0.04442703865</v>
      </c>
    </row>
    <row r="359" ht="15.75" customHeight="1">
      <c r="A359" s="16">
        <f t="shared" si="4"/>
        <v>10.42223846</v>
      </c>
      <c r="B359" s="7">
        <f>(sum(AH359:AL359))*'Optimal Choice'!$B$28</f>
        <v>704024.5</v>
      </c>
      <c r="C359" s="11"/>
      <c r="D359" s="12"/>
      <c r="E359" s="12"/>
      <c r="F359" s="11"/>
      <c r="G359" s="11">
        <f>(T359/$B359)+(T359/('Optimal Choice'!$B$4*AO359))</f>
        <v>1069.606711</v>
      </c>
      <c r="H359" s="11">
        <f>(U359/$B359)+(U359/('Optimal Choice'!$B$9*AP359))</f>
        <v>1217.718873</v>
      </c>
      <c r="I359" s="11">
        <f>(V359/$B359)+(V359/('Optimal Choice'!$B$14*AQ359))</f>
        <v>1083.020095</v>
      </c>
      <c r="J359" s="11">
        <f>(W359/$B359)+(W359/('Optimal Choice'!$B$19*AR359))</f>
        <v>1177.281042</v>
      </c>
      <c r="K359" s="11">
        <f>(X359/$B359)+(X359/('Optimal Choice'!$B$24*AS359))</f>
        <v>1137.731655</v>
      </c>
      <c r="N359" s="12">
        <f t="shared" ref="N359:R359" si="1071">if(min($G358:$K358)=G358,N358+1,N358)</f>
        <v>147</v>
      </c>
      <c r="O359" s="12">
        <f t="shared" si="1071"/>
        <v>65</v>
      </c>
      <c r="P359" s="12">
        <f t="shared" si="1071"/>
        <v>61</v>
      </c>
      <c r="Q359" s="12">
        <f t="shared" si="1071"/>
        <v>44</v>
      </c>
      <c r="R359" s="12">
        <f t="shared" si="1071"/>
        <v>41</v>
      </c>
      <c r="T359" s="13">
        <f> 'Optimal Choice'!$B$5*'Optimal Choice'!$B$6^(N359+1)</f>
        <v>89301.56887</v>
      </c>
      <c r="U359" s="13">
        <f> 'Optimal Choice'!$B$10*'Optimal Choice'!$B$11^(O359+1)</f>
        <v>608427.3297</v>
      </c>
      <c r="V359" s="13">
        <f> 'Optimal Choice'!$B$15*'Optimal Choice'!$B$16^(P359+1)</f>
        <v>2429032.241</v>
      </c>
      <c r="W359" s="13">
        <f> 'Optimal Choice'!$B$20*'Optimal Choice'!$B$21^(Q359+1)</f>
        <v>2113701.712</v>
      </c>
      <c r="X359" s="13">
        <f> 'Optimal Choice'!$B$25*'Optimal Choice'!$B$26^(R359+1)</f>
        <v>12101854.88</v>
      </c>
      <c r="AA359" s="12">
        <f t="shared" ref="AA359:AE359" si="1072">if(isna(VLOOKUP(N359,$D$2:$E$10,2,false)),AA358, VLOOKUP(N359,$D$2:$E$10,2,false))</f>
        <v>50</v>
      </c>
      <c r="AB359" s="12">
        <f t="shared" si="1072"/>
        <v>25</v>
      </c>
      <c r="AC359" s="12">
        <f t="shared" si="1072"/>
        <v>25</v>
      </c>
      <c r="AD359" s="12">
        <f t="shared" si="1072"/>
        <v>5</v>
      </c>
      <c r="AE359" s="12">
        <f t="shared" si="1072"/>
        <v>5</v>
      </c>
      <c r="AH359" s="15">
        <f>N359*'Optimal Choice'!$B$4*AA359</f>
        <v>12274.5</v>
      </c>
      <c r="AI359" s="15">
        <f>O359*'Optimal Choice'!$B$9*AB359</f>
        <v>32500</v>
      </c>
      <c r="AJ359" s="15">
        <f>P359*'Optimal Choice'!$B$14*AC359</f>
        <v>137250</v>
      </c>
      <c r="AK359" s="15">
        <f>Q359*'Optimal Choice'!$B$19*AD359</f>
        <v>79200</v>
      </c>
      <c r="AL359" s="15">
        <f>R359*'Optimal Choice'!$B$24*AE359</f>
        <v>442800</v>
      </c>
      <c r="AO359" s="12">
        <f t="shared" ref="AO359:AS359" si="1073">if(isna(VLOOKUP(N359+1,$D$2:$E$10,2,false)),AO358, VLOOKUP(N359+1,$D$2:$E$10,2,false))</f>
        <v>50</v>
      </c>
      <c r="AP359" s="12">
        <f t="shared" si="1073"/>
        <v>25</v>
      </c>
      <c r="AQ359" s="12">
        <f t="shared" si="1073"/>
        <v>25</v>
      </c>
      <c r="AR359" s="12">
        <f t="shared" si="1073"/>
        <v>5</v>
      </c>
      <c r="AS359" s="12">
        <f t="shared" si="1073"/>
        <v>5</v>
      </c>
      <c r="AU359" s="11">
        <f t="shared" si="8"/>
        <v>0.01253373178</v>
      </c>
    </row>
    <row r="360" ht="15.75" customHeight="1">
      <c r="A360" s="16">
        <f t="shared" si="4"/>
        <v>10.42435253</v>
      </c>
      <c r="B360" s="7">
        <f>(sum(AH360:AL360))*'Optimal Choice'!$B$28</f>
        <v>704108</v>
      </c>
      <c r="C360" s="11"/>
      <c r="D360" s="12"/>
      <c r="E360" s="12"/>
      <c r="F360" s="11"/>
      <c r="G360" s="11">
        <f>(T360/$B360)+(T360/('Optimal Choice'!$B$4*AO360))</f>
        <v>1144.479165</v>
      </c>
      <c r="H360" s="11">
        <f>(U360/$B360)+(U360/('Optimal Choice'!$B$9*AP360))</f>
        <v>1217.71877</v>
      </c>
      <c r="I360" s="11">
        <f>(V360/$B360)+(V360/('Optimal Choice'!$B$14*AQ360))</f>
        <v>1083.019685</v>
      </c>
      <c r="J360" s="11">
        <f>(W360/$B360)+(W360/('Optimal Choice'!$B$19*AR360))</f>
        <v>1177.280686</v>
      </c>
      <c r="K360" s="11">
        <f>(X360/$B360)+(X360/('Optimal Choice'!$B$24*AS360))</f>
        <v>1137.729616</v>
      </c>
      <c r="N360" s="12">
        <f t="shared" ref="N360:R360" si="1074">if(min($G359:$K359)=G359,N359+1,N359)</f>
        <v>148</v>
      </c>
      <c r="O360" s="12">
        <f t="shared" si="1074"/>
        <v>65</v>
      </c>
      <c r="P360" s="12">
        <f t="shared" si="1074"/>
        <v>61</v>
      </c>
      <c r="Q360" s="12">
        <f t="shared" si="1074"/>
        <v>44</v>
      </c>
      <c r="R360" s="12">
        <f t="shared" si="1074"/>
        <v>41</v>
      </c>
      <c r="T360" s="13">
        <f> 'Optimal Choice'!$B$5*'Optimal Choice'!$B$6^(N360+1)</f>
        <v>95552.67869</v>
      </c>
      <c r="U360" s="13">
        <f> 'Optimal Choice'!$B$10*'Optimal Choice'!$B$11^(O360+1)</f>
        <v>608427.3297</v>
      </c>
      <c r="V360" s="13">
        <f> 'Optimal Choice'!$B$15*'Optimal Choice'!$B$16^(P360+1)</f>
        <v>2429032.241</v>
      </c>
      <c r="W360" s="13">
        <f> 'Optimal Choice'!$B$20*'Optimal Choice'!$B$21^(Q360+1)</f>
        <v>2113701.712</v>
      </c>
      <c r="X360" s="13">
        <f> 'Optimal Choice'!$B$25*'Optimal Choice'!$B$26^(R360+1)</f>
        <v>12101854.88</v>
      </c>
      <c r="AA360" s="12">
        <f t="shared" ref="AA360:AE360" si="1075">if(isna(VLOOKUP(N360,$D$2:$E$10,2,false)),AA359, VLOOKUP(N360,$D$2:$E$10,2,false))</f>
        <v>50</v>
      </c>
      <c r="AB360" s="12">
        <f t="shared" si="1075"/>
        <v>25</v>
      </c>
      <c r="AC360" s="12">
        <f t="shared" si="1075"/>
        <v>25</v>
      </c>
      <c r="AD360" s="12">
        <f t="shared" si="1075"/>
        <v>5</v>
      </c>
      <c r="AE360" s="12">
        <f t="shared" si="1075"/>
        <v>5</v>
      </c>
      <c r="AH360" s="15">
        <f>N360*'Optimal Choice'!$B$4*AA360</f>
        <v>12358</v>
      </c>
      <c r="AI360" s="15">
        <f>O360*'Optimal Choice'!$B$9*AB360</f>
        <v>32500</v>
      </c>
      <c r="AJ360" s="15">
        <f>P360*'Optimal Choice'!$B$14*AC360</f>
        <v>137250</v>
      </c>
      <c r="AK360" s="15">
        <f>Q360*'Optimal Choice'!$B$19*AD360</f>
        <v>79200</v>
      </c>
      <c r="AL360" s="15">
        <f>R360*'Optimal Choice'!$B$24*AE360</f>
        <v>442800</v>
      </c>
      <c r="AO360" s="12">
        <f t="shared" ref="AO360:AS360" si="1076">if(isna(VLOOKUP(N360+1,$D$2:$E$10,2,false)),AO359, VLOOKUP(N360+1,$D$2:$E$10,2,false))</f>
        <v>50</v>
      </c>
      <c r="AP360" s="12">
        <f t="shared" si="1076"/>
        <v>25</v>
      </c>
      <c r="AQ360" s="12">
        <f t="shared" si="1076"/>
        <v>25</v>
      </c>
      <c r="AR360" s="12">
        <f t="shared" si="1076"/>
        <v>5</v>
      </c>
      <c r="AS360" s="12">
        <f t="shared" si="1076"/>
        <v>5</v>
      </c>
      <c r="AU360" s="11">
        <f t="shared" si="8"/>
        <v>0.002114073418</v>
      </c>
    </row>
    <row r="361" ht="15.75" customHeight="1">
      <c r="A361" s="16">
        <f t="shared" si="4"/>
        <v>10.48184921</v>
      </c>
      <c r="B361" s="7">
        <f>(sum(AH361:AL361))*'Optimal Choice'!$B$28</f>
        <v>706358</v>
      </c>
      <c r="C361" s="11"/>
      <c r="D361" s="12"/>
      <c r="E361" s="12"/>
      <c r="F361" s="11"/>
      <c r="G361" s="11">
        <f>(T361/$B361)+(T361/('Optimal Choice'!$B$4*AO361))</f>
        <v>1144.478733</v>
      </c>
      <c r="H361" s="11">
        <f>(U361/$B361)+(U361/('Optimal Choice'!$B$9*AP361))</f>
        <v>1217.716018</v>
      </c>
      <c r="I361" s="11">
        <f>(V361/$B361)+(V361/('Optimal Choice'!$B$14*AQ361))</f>
        <v>1234.629914</v>
      </c>
      <c r="J361" s="11">
        <f>(W361/$B361)+(W361/('Optimal Choice'!$B$19*AR361))</f>
        <v>1177.271123</v>
      </c>
      <c r="K361" s="11">
        <f>(X361/$B361)+(X361/('Optimal Choice'!$B$24*AS361))</f>
        <v>1137.674868</v>
      </c>
      <c r="N361" s="12">
        <f t="shared" ref="N361:R361" si="1077">if(min($G360:$K360)=G360,N360+1,N360)</f>
        <v>148</v>
      </c>
      <c r="O361" s="12">
        <f t="shared" si="1077"/>
        <v>65</v>
      </c>
      <c r="P361" s="12">
        <f t="shared" si="1077"/>
        <v>62</v>
      </c>
      <c r="Q361" s="12">
        <f t="shared" si="1077"/>
        <v>44</v>
      </c>
      <c r="R361" s="12">
        <f t="shared" si="1077"/>
        <v>41</v>
      </c>
      <c r="T361" s="13">
        <f> 'Optimal Choice'!$B$5*'Optimal Choice'!$B$6^(N361+1)</f>
        <v>95552.67869</v>
      </c>
      <c r="U361" s="13">
        <f> 'Optimal Choice'!$B$10*'Optimal Choice'!$B$11^(O361+1)</f>
        <v>608427.3297</v>
      </c>
      <c r="V361" s="13">
        <f> 'Optimal Choice'!$B$15*'Optimal Choice'!$B$16^(P361+1)</f>
        <v>2769096.755</v>
      </c>
      <c r="W361" s="13">
        <f> 'Optimal Choice'!$B$20*'Optimal Choice'!$B$21^(Q361+1)</f>
        <v>2113701.712</v>
      </c>
      <c r="X361" s="13">
        <f> 'Optimal Choice'!$B$25*'Optimal Choice'!$B$26^(R361+1)</f>
        <v>12101854.88</v>
      </c>
      <c r="AA361" s="12">
        <f t="shared" ref="AA361:AE361" si="1078">if(isna(VLOOKUP(N361,$D$2:$E$10,2,false)),AA360, VLOOKUP(N361,$D$2:$E$10,2,false))</f>
        <v>50</v>
      </c>
      <c r="AB361" s="12">
        <f t="shared" si="1078"/>
        <v>25</v>
      </c>
      <c r="AC361" s="12">
        <f t="shared" si="1078"/>
        <v>25</v>
      </c>
      <c r="AD361" s="12">
        <f t="shared" si="1078"/>
        <v>5</v>
      </c>
      <c r="AE361" s="12">
        <f t="shared" si="1078"/>
        <v>5</v>
      </c>
      <c r="AH361" s="15">
        <f>N361*'Optimal Choice'!$B$4*AA361</f>
        <v>12358</v>
      </c>
      <c r="AI361" s="15">
        <f>O361*'Optimal Choice'!$B$9*AB361</f>
        <v>32500</v>
      </c>
      <c r="AJ361" s="15">
        <f>P361*'Optimal Choice'!$B$14*AC361</f>
        <v>139500</v>
      </c>
      <c r="AK361" s="15">
        <f>Q361*'Optimal Choice'!$B$19*AD361</f>
        <v>79200</v>
      </c>
      <c r="AL361" s="15">
        <f>R361*'Optimal Choice'!$B$24*AE361</f>
        <v>442800</v>
      </c>
      <c r="AO361" s="12">
        <f t="shared" ref="AO361:AS361" si="1079">if(isna(VLOOKUP(N361+1,$D$2:$E$10,2,false)),AO360, VLOOKUP(N361+1,$D$2:$E$10,2,false))</f>
        <v>50</v>
      </c>
      <c r="AP361" s="12">
        <f t="shared" si="1079"/>
        <v>25</v>
      </c>
      <c r="AQ361" s="12">
        <f t="shared" si="1079"/>
        <v>25</v>
      </c>
      <c r="AR361" s="12">
        <f t="shared" si="1079"/>
        <v>5</v>
      </c>
      <c r="AS361" s="12">
        <f t="shared" si="1079"/>
        <v>5</v>
      </c>
      <c r="AU361" s="11">
        <f t="shared" si="8"/>
        <v>0.05749667761</v>
      </c>
    </row>
    <row r="362" ht="15.75" customHeight="1">
      <c r="A362" s="16">
        <f t="shared" si="4"/>
        <v>10.76739504</v>
      </c>
      <c r="B362" s="7">
        <f>(sum(AH362:AL362))*'Optimal Choice'!$B$28</f>
        <v>717158</v>
      </c>
      <c r="C362" s="11"/>
      <c r="D362" s="12"/>
      <c r="E362" s="12"/>
      <c r="F362" s="11"/>
      <c r="G362" s="11">
        <f>(T362/$B362)+(T362/('Optimal Choice'!$B$4*AO362))</f>
        <v>1144.476695</v>
      </c>
      <c r="H362" s="11">
        <f>(U362/$B362)+(U362/('Optimal Choice'!$B$9*AP362))</f>
        <v>1217.703046</v>
      </c>
      <c r="I362" s="11">
        <f>(V362/$B362)+(V362/('Optimal Choice'!$B$14*AQ362))</f>
        <v>1234.570877</v>
      </c>
      <c r="J362" s="11">
        <f>(W362/$B362)+(W362/('Optimal Choice'!$B$19*AR362))</f>
        <v>1177.22606</v>
      </c>
      <c r="K362" s="11">
        <f>(X362/$B362)+(X362/('Optimal Choice'!$B$24*AS362))</f>
        <v>1273.906881</v>
      </c>
      <c r="N362" s="12">
        <f t="shared" ref="N362:R362" si="1080">if(min($G361:$K361)=G361,N361+1,N361)</f>
        <v>148</v>
      </c>
      <c r="O362" s="12">
        <f t="shared" si="1080"/>
        <v>65</v>
      </c>
      <c r="P362" s="12">
        <f t="shared" si="1080"/>
        <v>62</v>
      </c>
      <c r="Q362" s="12">
        <f t="shared" si="1080"/>
        <v>44</v>
      </c>
      <c r="R362" s="12">
        <f t="shared" si="1080"/>
        <v>42</v>
      </c>
      <c r="T362" s="13">
        <f> 'Optimal Choice'!$B$5*'Optimal Choice'!$B$6^(N362+1)</f>
        <v>95552.67869</v>
      </c>
      <c r="U362" s="13">
        <f> 'Optimal Choice'!$B$10*'Optimal Choice'!$B$11^(O362+1)</f>
        <v>608427.3297</v>
      </c>
      <c r="V362" s="13">
        <f> 'Optimal Choice'!$B$15*'Optimal Choice'!$B$16^(P362+1)</f>
        <v>2769096.755</v>
      </c>
      <c r="W362" s="13">
        <f> 'Optimal Choice'!$B$20*'Optimal Choice'!$B$21^(Q362+1)</f>
        <v>2113701.712</v>
      </c>
      <c r="X362" s="13">
        <f> 'Optimal Choice'!$B$25*'Optimal Choice'!$B$26^(R362+1)</f>
        <v>13554077.46</v>
      </c>
      <c r="AA362" s="12">
        <f t="shared" ref="AA362:AE362" si="1081">if(isna(VLOOKUP(N362,$D$2:$E$10,2,false)),AA361, VLOOKUP(N362,$D$2:$E$10,2,false))</f>
        <v>50</v>
      </c>
      <c r="AB362" s="12">
        <f t="shared" si="1081"/>
        <v>25</v>
      </c>
      <c r="AC362" s="12">
        <f t="shared" si="1081"/>
        <v>25</v>
      </c>
      <c r="AD362" s="12">
        <f t="shared" si="1081"/>
        <v>5</v>
      </c>
      <c r="AE362" s="12">
        <f t="shared" si="1081"/>
        <v>5</v>
      </c>
      <c r="AH362" s="15">
        <f>N362*'Optimal Choice'!$B$4*AA362</f>
        <v>12358</v>
      </c>
      <c r="AI362" s="15">
        <f>O362*'Optimal Choice'!$B$9*AB362</f>
        <v>32500</v>
      </c>
      <c r="AJ362" s="15">
        <f>P362*'Optimal Choice'!$B$14*AC362</f>
        <v>139500</v>
      </c>
      <c r="AK362" s="15">
        <f>Q362*'Optimal Choice'!$B$19*AD362</f>
        <v>79200</v>
      </c>
      <c r="AL362" s="15">
        <f>R362*'Optimal Choice'!$B$24*AE362</f>
        <v>453600</v>
      </c>
      <c r="AO362" s="12">
        <f t="shared" ref="AO362:AS362" si="1082">if(isna(VLOOKUP(N362+1,$D$2:$E$10,2,false)),AO361, VLOOKUP(N362+1,$D$2:$E$10,2,false))</f>
        <v>50</v>
      </c>
      <c r="AP362" s="12">
        <f t="shared" si="1082"/>
        <v>25</v>
      </c>
      <c r="AQ362" s="12">
        <f t="shared" si="1082"/>
        <v>25</v>
      </c>
      <c r="AR362" s="12">
        <f t="shared" si="1082"/>
        <v>5</v>
      </c>
      <c r="AS362" s="12">
        <f t="shared" si="1082"/>
        <v>5</v>
      </c>
      <c r="AU362" s="11">
        <f t="shared" si="8"/>
        <v>0.2855458299</v>
      </c>
    </row>
    <row r="363" ht="15.75" customHeight="1">
      <c r="A363" s="16">
        <f t="shared" si="4"/>
        <v>10.76961567</v>
      </c>
      <c r="B363" s="7">
        <f>(sum(AH363:AL363))*'Optimal Choice'!$B$28</f>
        <v>717241.5</v>
      </c>
      <c r="C363" s="11"/>
      <c r="D363" s="12"/>
      <c r="E363" s="12"/>
      <c r="F363" s="11"/>
      <c r="G363" s="11">
        <f>(T363/$B363)+(T363/('Optimal Choice'!$B$4*AO363))</f>
        <v>1224.590047</v>
      </c>
      <c r="H363" s="11">
        <f>(U363/$B363)+(U363/('Optimal Choice'!$B$9*AP363))</f>
        <v>1217.702947</v>
      </c>
      <c r="I363" s="11">
        <f>(V363/$B363)+(V363/('Optimal Choice'!$B$14*AQ363))</f>
        <v>1234.570428</v>
      </c>
      <c r="J363" s="11">
        <f>(W363/$B363)+(W363/('Optimal Choice'!$B$19*AR363))</f>
        <v>1177.225717</v>
      </c>
      <c r="K363" s="11">
        <f>(X363/$B363)+(X363/('Optimal Choice'!$B$24*AS363))</f>
        <v>1273.904681</v>
      </c>
      <c r="N363" s="12">
        <f t="shared" ref="N363:R363" si="1083">if(min($G362:$K362)=G362,N362+1,N362)</f>
        <v>149</v>
      </c>
      <c r="O363" s="12">
        <f t="shared" si="1083"/>
        <v>65</v>
      </c>
      <c r="P363" s="12">
        <f t="shared" si="1083"/>
        <v>62</v>
      </c>
      <c r="Q363" s="12">
        <f t="shared" si="1083"/>
        <v>44</v>
      </c>
      <c r="R363" s="12">
        <f t="shared" si="1083"/>
        <v>42</v>
      </c>
      <c r="T363" s="13">
        <f> 'Optimal Choice'!$B$5*'Optimal Choice'!$B$6^(N363+1)</f>
        <v>102241.3662</v>
      </c>
      <c r="U363" s="13">
        <f> 'Optimal Choice'!$B$10*'Optimal Choice'!$B$11^(O363+1)</f>
        <v>608427.3297</v>
      </c>
      <c r="V363" s="13">
        <f> 'Optimal Choice'!$B$15*'Optimal Choice'!$B$16^(P363+1)</f>
        <v>2769096.755</v>
      </c>
      <c r="W363" s="13">
        <f> 'Optimal Choice'!$B$20*'Optimal Choice'!$B$21^(Q363+1)</f>
        <v>2113701.712</v>
      </c>
      <c r="X363" s="13">
        <f> 'Optimal Choice'!$B$25*'Optimal Choice'!$B$26^(R363+1)</f>
        <v>13554077.46</v>
      </c>
      <c r="AA363" s="12">
        <f t="shared" ref="AA363:AE363" si="1084">if(isna(VLOOKUP(N363,$D$2:$E$10,2,false)),AA362, VLOOKUP(N363,$D$2:$E$10,2,false))</f>
        <v>50</v>
      </c>
      <c r="AB363" s="12">
        <f t="shared" si="1084"/>
        <v>25</v>
      </c>
      <c r="AC363" s="12">
        <f t="shared" si="1084"/>
        <v>25</v>
      </c>
      <c r="AD363" s="12">
        <f t="shared" si="1084"/>
        <v>5</v>
      </c>
      <c r="AE363" s="12">
        <f t="shared" si="1084"/>
        <v>5</v>
      </c>
      <c r="AH363" s="15">
        <f>N363*'Optimal Choice'!$B$4*AA363</f>
        <v>12441.5</v>
      </c>
      <c r="AI363" s="15">
        <f>O363*'Optimal Choice'!$B$9*AB363</f>
        <v>32500</v>
      </c>
      <c r="AJ363" s="15">
        <f>P363*'Optimal Choice'!$B$14*AC363</f>
        <v>139500</v>
      </c>
      <c r="AK363" s="15">
        <f>Q363*'Optimal Choice'!$B$19*AD363</f>
        <v>79200</v>
      </c>
      <c r="AL363" s="15">
        <f>R363*'Optimal Choice'!$B$24*AE363</f>
        <v>453600</v>
      </c>
      <c r="AO363" s="12">
        <f t="shared" ref="AO363:AS363" si="1085">if(isna(VLOOKUP(N363+1,$D$2:$E$10,2,false)),AO362, VLOOKUP(N363+1,$D$2:$E$10,2,false))</f>
        <v>50</v>
      </c>
      <c r="AP363" s="12">
        <f t="shared" si="1085"/>
        <v>25</v>
      </c>
      <c r="AQ363" s="12">
        <f t="shared" si="1085"/>
        <v>25</v>
      </c>
      <c r="AR363" s="12">
        <f t="shared" si="1085"/>
        <v>5</v>
      </c>
      <c r="AS363" s="12">
        <f t="shared" si="1085"/>
        <v>5</v>
      </c>
      <c r="AU363" s="11">
        <f t="shared" si="8"/>
        <v>0.002220632894</v>
      </c>
    </row>
    <row r="364" ht="15.75" customHeight="1">
      <c r="A364" s="16">
        <f t="shared" si="4"/>
        <v>10.81873213</v>
      </c>
      <c r="B364" s="7">
        <f>(sum(AH364:AL364))*'Optimal Choice'!$B$28</f>
        <v>719041.5</v>
      </c>
      <c r="C364" s="11"/>
      <c r="D364" s="12"/>
      <c r="E364" s="12"/>
      <c r="F364" s="11"/>
      <c r="G364" s="11">
        <f>(T364/$B364)+(T364/('Optimal Choice'!$B$4*AO364))</f>
        <v>1224.589691</v>
      </c>
      <c r="H364" s="11">
        <f>(U364/$B364)+(U364/('Optimal Choice'!$B$9*AP364))</f>
        <v>1217.700824</v>
      </c>
      <c r="I364" s="11">
        <f>(V364/$B364)+(V364/('Optimal Choice'!$B$14*AQ364))</f>
        <v>1234.560763</v>
      </c>
      <c r="J364" s="11">
        <f>(W364/$B364)+(W364/('Optimal Choice'!$B$19*AR364))</f>
        <v>1330.256723</v>
      </c>
      <c r="K364" s="11">
        <f>(X364/$B364)+(X364/('Optimal Choice'!$B$24*AS364))</f>
        <v>1273.857374</v>
      </c>
      <c r="N364" s="12">
        <f t="shared" ref="N364:R364" si="1086">if(min($G363:$K363)=G363,N363+1,N363)</f>
        <v>149</v>
      </c>
      <c r="O364" s="12">
        <f t="shared" si="1086"/>
        <v>65</v>
      </c>
      <c r="P364" s="12">
        <f t="shared" si="1086"/>
        <v>62</v>
      </c>
      <c r="Q364" s="12">
        <f t="shared" si="1086"/>
        <v>45</v>
      </c>
      <c r="R364" s="12">
        <f t="shared" si="1086"/>
        <v>42</v>
      </c>
      <c r="T364" s="13">
        <f> 'Optimal Choice'!$B$5*'Optimal Choice'!$B$6^(N364+1)</f>
        <v>102241.3662</v>
      </c>
      <c r="U364" s="13">
        <f> 'Optimal Choice'!$B$10*'Optimal Choice'!$B$11^(O364+1)</f>
        <v>608427.3297</v>
      </c>
      <c r="V364" s="13">
        <f> 'Optimal Choice'!$B$15*'Optimal Choice'!$B$16^(P364+1)</f>
        <v>2769096.755</v>
      </c>
      <c r="W364" s="13">
        <f> 'Optimal Choice'!$B$20*'Optimal Choice'!$B$21^(Q364+1)</f>
        <v>2388482.935</v>
      </c>
      <c r="X364" s="13">
        <f> 'Optimal Choice'!$B$25*'Optimal Choice'!$B$26^(R364+1)</f>
        <v>13554077.46</v>
      </c>
      <c r="AA364" s="12">
        <f t="shared" ref="AA364:AE364" si="1087">if(isna(VLOOKUP(N364,$D$2:$E$10,2,false)),AA363, VLOOKUP(N364,$D$2:$E$10,2,false))</f>
        <v>50</v>
      </c>
      <c r="AB364" s="12">
        <f t="shared" si="1087"/>
        <v>25</v>
      </c>
      <c r="AC364" s="12">
        <f t="shared" si="1087"/>
        <v>25</v>
      </c>
      <c r="AD364" s="12">
        <f t="shared" si="1087"/>
        <v>5</v>
      </c>
      <c r="AE364" s="12">
        <f t="shared" si="1087"/>
        <v>5</v>
      </c>
      <c r="AH364" s="15">
        <f>N364*'Optimal Choice'!$B$4*AA364</f>
        <v>12441.5</v>
      </c>
      <c r="AI364" s="15">
        <f>O364*'Optimal Choice'!$B$9*AB364</f>
        <v>32500</v>
      </c>
      <c r="AJ364" s="15">
        <f>P364*'Optimal Choice'!$B$14*AC364</f>
        <v>139500</v>
      </c>
      <c r="AK364" s="15">
        <f>Q364*'Optimal Choice'!$B$19*AD364</f>
        <v>81000</v>
      </c>
      <c r="AL364" s="15">
        <f>R364*'Optimal Choice'!$B$24*AE364</f>
        <v>453600</v>
      </c>
      <c r="AO364" s="12">
        <f t="shared" ref="AO364:AS364" si="1088">if(isna(VLOOKUP(N364+1,$D$2:$E$10,2,false)),AO363, VLOOKUP(N364+1,$D$2:$E$10,2,false))</f>
        <v>50</v>
      </c>
      <c r="AP364" s="12">
        <f t="shared" si="1088"/>
        <v>25</v>
      </c>
      <c r="AQ364" s="12">
        <f t="shared" si="1088"/>
        <v>25</v>
      </c>
      <c r="AR364" s="12">
        <f t="shared" si="1088"/>
        <v>5</v>
      </c>
      <c r="AS364" s="12">
        <f t="shared" si="1088"/>
        <v>5</v>
      </c>
      <c r="AU364" s="11">
        <f t="shared" si="8"/>
        <v>0.04911645781</v>
      </c>
    </row>
    <row r="365" ht="15.75" customHeight="1">
      <c r="A365" s="16">
        <f t="shared" si="4"/>
        <v>10.83283487</v>
      </c>
      <c r="B365" s="7">
        <f>(sum(AH365:AL365))*'Optimal Choice'!$B$28</f>
        <v>719541.5</v>
      </c>
      <c r="C365" s="11"/>
      <c r="D365" s="12"/>
      <c r="E365" s="12"/>
      <c r="F365" s="11"/>
      <c r="G365" s="11">
        <f>(T365/$B365)+(T365/('Optimal Choice'!$B$4*AO365))</f>
        <v>1224.589592</v>
      </c>
      <c r="H365" s="11">
        <f>(U365/$B365)+(U365/('Optimal Choice'!$B$9*AP365))</f>
        <v>1400.355271</v>
      </c>
      <c r="I365" s="11">
        <f>(V365/$B365)+(V365/('Optimal Choice'!$B$14*AQ365))</f>
        <v>1234.558087</v>
      </c>
      <c r="J365" s="11">
        <f>(W365/$B365)+(W365/('Optimal Choice'!$B$19*AR365))</f>
        <v>1330.254415</v>
      </c>
      <c r="K365" s="11">
        <f>(X365/$B365)+(X365/('Optimal Choice'!$B$24*AS365))</f>
        <v>1273.844276</v>
      </c>
      <c r="N365" s="12">
        <f t="shared" ref="N365:R365" si="1089">if(min($G364:$K364)=G364,N364+1,N364)</f>
        <v>149</v>
      </c>
      <c r="O365" s="12">
        <f t="shared" si="1089"/>
        <v>66</v>
      </c>
      <c r="P365" s="12">
        <f t="shared" si="1089"/>
        <v>62</v>
      </c>
      <c r="Q365" s="12">
        <f t="shared" si="1089"/>
        <v>45</v>
      </c>
      <c r="R365" s="12">
        <f t="shared" si="1089"/>
        <v>42</v>
      </c>
      <c r="T365" s="13">
        <f> 'Optimal Choice'!$B$5*'Optimal Choice'!$B$6^(N365+1)</f>
        <v>102241.3662</v>
      </c>
      <c r="U365" s="13">
        <f> 'Optimal Choice'!$B$10*'Optimal Choice'!$B$11^(O365+1)</f>
        <v>699691.4292</v>
      </c>
      <c r="V365" s="13">
        <f> 'Optimal Choice'!$B$15*'Optimal Choice'!$B$16^(P365+1)</f>
        <v>2769096.755</v>
      </c>
      <c r="W365" s="13">
        <f> 'Optimal Choice'!$B$20*'Optimal Choice'!$B$21^(Q365+1)</f>
        <v>2388482.935</v>
      </c>
      <c r="X365" s="13">
        <f> 'Optimal Choice'!$B$25*'Optimal Choice'!$B$26^(R365+1)</f>
        <v>13554077.46</v>
      </c>
      <c r="AA365" s="12">
        <f t="shared" ref="AA365:AE365" si="1090">if(isna(VLOOKUP(N365,$D$2:$E$10,2,false)),AA364, VLOOKUP(N365,$D$2:$E$10,2,false))</f>
        <v>50</v>
      </c>
      <c r="AB365" s="12">
        <f t="shared" si="1090"/>
        <v>25</v>
      </c>
      <c r="AC365" s="12">
        <f t="shared" si="1090"/>
        <v>25</v>
      </c>
      <c r="AD365" s="12">
        <f t="shared" si="1090"/>
        <v>5</v>
      </c>
      <c r="AE365" s="12">
        <f t="shared" si="1090"/>
        <v>5</v>
      </c>
      <c r="AH365" s="15">
        <f>N365*'Optimal Choice'!$B$4*AA365</f>
        <v>12441.5</v>
      </c>
      <c r="AI365" s="15">
        <f>O365*'Optimal Choice'!$B$9*AB365</f>
        <v>33000</v>
      </c>
      <c r="AJ365" s="15">
        <f>P365*'Optimal Choice'!$B$14*AC365</f>
        <v>139500</v>
      </c>
      <c r="AK365" s="15">
        <f>Q365*'Optimal Choice'!$B$19*AD365</f>
        <v>81000</v>
      </c>
      <c r="AL365" s="15">
        <f>R365*'Optimal Choice'!$B$24*AE365</f>
        <v>453600</v>
      </c>
      <c r="AO365" s="12">
        <f t="shared" ref="AO365:AS365" si="1091">if(isna(VLOOKUP(N365+1,$D$2:$E$10,2,false)),AO364, VLOOKUP(N365+1,$D$2:$E$10,2,false))</f>
        <v>50</v>
      </c>
      <c r="AP365" s="12">
        <f t="shared" si="1091"/>
        <v>25</v>
      </c>
      <c r="AQ365" s="12">
        <f t="shared" si="1091"/>
        <v>25</v>
      </c>
      <c r="AR365" s="12">
        <f t="shared" si="1091"/>
        <v>5</v>
      </c>
      <c r="AS365" s="12">
        <f t="shared" si="1091"/>
        <v>5</v>
      </c>
      <c r="AU365" s="11">
        <f t="shared" si="8"/>
        <v>0.01410274024</v>
      </c>
    </row>
    <row r="366" ht="15.75" customHeight="1">
      <c r="A366" s="16">
        <f t="shared" si="4"/>
        <v>10.83520308</v>
      </c>
      <c r="B366" s="7">
        <f>(sum(AH366:AL366))*'Optimal Choice'!$B$28</f>
        <v>719625</v>
      </c>
      <c r="C366" s="11"/>
      <c r="D366" s="12"/>
      <c r="E366" s="12"/>
      <c r="F366" s="11"/>
      <c r="G366" s="11">
        <f>(T366/$B366)+(T366/('Optimal Choice'!$B$4*AO366))</f>
        <v>1310.310846</v>
      </c>
      <c r="H366" s="11">
        <f>(U366/$B366)+(U366/('Optimal Choice'!$B$9*AP366))</f>
        <v>1400.355158</v>
      </c>
      <c r="I366" s="11">
        <f>(V366/$B366)+(V366/('Optimal Choice'!$B$14*AQ366))</f>
        <v>1234.557641</v>
      </c>
      <c r="J366" s="11">
        <f>(W366/$B366)+(W366/('Optimal Choice'!$B$19*AR366))</f>
        <v>1330.25403</v>
      </c>
      <c r="K366" s="11">
        <f>(X366/$B366)+(X366/('Optimal Choice'!$B$24*AS366))</f>
        <v>1273.84209</v>
      </c>
      <c r="N366" s="12">
        <f t="shared" ref="N366:R366" si="1092">if(min($G365:$K365)=G365,N365+1,N365)</f>
        <v>150</v>
      </c>
      <c r="O366" s="12">
        <f t="shared" si="1092"/>
        <v>66</v>
      </c>
      <c r="P366" s="12">
        <f t="shared" si="1092"/>
        <v>62</v>
      </c>
      <c r="Q366" s="12">
        <f t="shared" si="1092"/>
        <v>45</v>
      </c>
      <c r="R366" s="12">
        <f t="shared" si="1092"/>
        <v>42</v>
      </c>
      <c r="T366" s="13">
        <f> 'Optimal Choice'!$B$5*'Optimal Choice'!$B$6^(N366+1)</f>
        <v>109398.2618</v>
      </c>
      <c r="U366" s="13">
        <f> 'Optimal Choice'!$B$10*'Optimal Choice'!$B$11^(O366+1)</f>
        <v>699691.4292</v>
      </c>
      <c r="V366" s="13">
        <f> 'Optimal Choice'!$B$15*'Optimal Choice'!$B$16^(P366+1)</f>
        <v>2769096.755</v>
      </c>
      <c r="W366" s="13">
        <f> 'Optimal Choice'!$B$20*'Optimal Choice'!$B$21^(Q366+1)</f>
        <v>2388482.935</v>
      </c>
      <c r="X366" s="13">
        <f> 'Optimal Choice'!$B$25*'Optimal Choice'!$B$26^(R366+1)</f>
        <v>13554077.46</v>
      </c>
      <c r="AA366" s="12">
        <f t="shared" ref="AA366:AE366" si="1093">if(isna(VLOOKUP(N366,$D$2:$E$10,2,false)),AA365, VLOOKUP(N366,$D$2:$E$10,2,false))</f>
        <v>50</v>
      </c>
      <c r="AB366" s="12">
        <f t="shared" si="1093"/>
        <v>25</v>
      </c>
      <c r="AC366" s="12">
        <f t="shared" si="1093"/>
        <v>25</v>
      </c>
      <c r="AD366" s="12">
        <f t="shared" si="1093"/>
        <v>5</v>
      </c>
      <c r="AE366" s="12">
        <f t="shared" si="1093"/>
        <v>5</v>
      </c>
      <c r="AH366" s="15">
        <f>N366*'Optimal Choice'!$B$4*AA366</f>
        <v>12525</v>
      </c>
      <c r="AI366" s="15">
        <f>O366*'Optimal Choice'!$B$9*AB366</f>
        <v>33000</v>
      </c>
      <c r="AJ366" s="15">
        <f>P366*'Optimal Choice'!$B$14*AC366</f>
        <v>139500</v>
      </c>
      <c r="AK366" s="15">
        <f>Q366*'Optimal Choice'!$B$19*AD366</f>
        <v>81000</v>
      </c>
      <c r="AL366" s="15">
        <f>R366*'Optimal Choice'!$B$24*AE366</f>
        <v>453600</v>
      </c>
      <c r="AO366" s="12">
        <f t="shared" ref="AO366:AS366" si="1094">if(isna(VLOOKUP(N366+1,$D$2:$E$10,2,false)),AO365, VLOOKUP(N366+1,$D$2:$E$10,2,false))</f>
        <v>50</v>
      </c>
      <c r="AP366" s="12">
        <f t="shared" si="1094"/>
        <v>25</v>
      </c>
      <c r="AQ366" s="12">
        <f t="shared" si="1094"/>
        <v>25</v>
      </c>
      <c r="AR366" s="12">
        <f t="shared" si="1094"/>
        <v>5</v>
      </c>
      <c r="AS366" s="12">
        <f t="shared" si="1094"/>
        <v>5</v>
      </c>
      <c r="AU366" s="11">
        <f t="shared" si="8"/>
        <v>0.002368206379</v>
      </c>
    </row>
    <row r="367" ht="15.75" customHeight="1">
      <c r="A367" s="16">
        <f t="shared" si="4"/>
        <v>10.89933594</v>
      </c>
      <c r="B367" s="7">
        <f>(sum(AH367:AL367))*'Optimal Choice'!$B$28</f>
        <v>721875</v>
      </c>
      <c r="C367" s="11"/>
      <c r="D367" s="12"/>
      <c r="E367" s="12"/>
      <c r="F367" s="11"/>
      <c r="G367" s="11">
        <f>(T367/$B367)+(T367/('Optimal Choice'!$B$4*AO367))</f>
        <v>1310.310372</v>
      </c>
      <c r="H367" s="11">
        <f>(U367/$B367)+(U367/('Optimal Choice'!$B$9*AP367))</f>
        <v>1400.352128</v>
      </c>
      <c r="I367" s="11">
        <f>(V367/$B367)+(V367/('Optimal Choice'!$B$14*AQ367))</f>
        <v>1407.382037</v>
      </c>
      <c r="J367" s="11">
        <f>(W367/$B367)+(W367/('Optimal Choice'!$B$19*AR367))</f>
        <v>1330.243685</v>
      </c>
      <c r="K367" s="11">
        <f>(X367/$B367)+(X367/('Optimal Choice'!$B$24*AS367))</f>
        <v>1273.783384</v>
      </c>
      <c r="N367" s="12">
        <f t="shared" ref="N367:R367" si="1095">if(min($G366:$K366)=G366,N366+1,N366)</f>
        <v>150</v>
      </c>
      <c r="O367" s="12">
        <f t="shared" si="1095"/>
        <v>66</v>
      </c>
      <c r="P367" s="12">
        <f t="shared" si="1095"/>
        <v>63</v>
      </c>
      <c r="Q367" s="12">
        <f t="shared" si="1095"/>
        <v>45</v>
      </c>
      <c r="R367" s="12">
        <f t="shared" si="1095"/>
        <v>42</v>
      </c>
      <c r="T367" s="13">
        <f> 'Optimal Choice'!$B$5*'Optimal Choice'!$B$6^(N367+1)</f>
        <v>109398.2618</v>
      </c>
      <c r="U367" s="13">
        <f> 'Optimal Choice'!$B$10*'Optimal Choice'!$B$11^(O367+1)</f>
        <v>699691.4292</v>
      </c>
      <c r="V367" s="13">
        <f> 'Optimal Choice'!$B$15*'Optimal Choice'!$B$16^(P367+1)</f>
        <v>3156770.3</v>
      </c>
      <c r="W367" s="13">
        <f> 'Optimal Choice'!$B$20*'Optimal Choice'!$B$21^(Q367+1)</f>
        <v>2388482.935</v>
      </c>
      <c r="X367" s="13">
        <f> 'Optimal Choice'!$B$25*'Optimal Choice'!$B$26^(R367+1)</f>
        <v>13554077.46</v>
      </c>
      <c r="AA367" s="12">
        <f t="shared" ref="AA367:AE367" si="1096">if(isna(VLOOKUP(N367,$D$2:$E$10,2,false)),AA366, VLOOKUP(N367,$D$2:$E$10,2,false))</f>
        <v>50</v>
      </c>
      <c r="AB367" s="12">
        <f t="shared" si="1096"/>
        <v>25</v>
      </c>
      <c r="AC367" s="12">
        <f t="shared" si="1096"/>
        <v>25</v>
      </c>
      <c r="AD367" s="12">
        <f t="shared" si="1096"/>
        <v>5</v>
      </c>
      <c r="AE367" s="12">
        <f t="shared" si="1096"/>
        <v>5</v>
      </c>
      <c r="AH367" s="15">
        <f>N367*'Optimal Choice'!$B$4*AA367</f>
        <v>12525</v>
      </c>
      <c r="AI367" s="15">
        <f>O367*'Optimal Choice'!$B$9*AB367</f>
        <v>33000</v>
      </c>
      <c r="AJ367" s="15">
        <f>P367*'Optimal Choice'!$B$14*AC367</f>
        <v>141750</v>
      </c>
      <c r="AK367" s="15">
        <f>Q367*'Optimal Choice'!$B$19*AD367</f>
        <v>81000</v>
      </c>
      <c r="AL367" s="15">
        <f>R367*'Optimal Choice'!$B$24*AE367</f>
        <v>453600</v>
      </c>
      <c r="AO367" s="12">
        <f t="shared" ref="AO367:AS367" si="1097">if(isna(VLOOKUP(N367+1,$D$2:$E$10,2,false)),AO366, VLOOKUP(N367+1,$D$2:$E$10,2,false))</f>
        <v>50</v>
      </c>
      <c r="AP367" s="12">
        <f t="shared" si="1097"/>
        <v>25</v>
      </c>
      <c r="AQ367" s="12">
        <f t="shared" si="1097"/>
        <v>25</v>
      </c>
      <c r="AR367" s="12">
        <f t="shared" si="1097"/>
        <v>5</v>
      </c>
      <c r="AS367" s="12">
        <f t="shared" si="1097"/>
        <v>5</v>
      </c>
      <c r="AU367" s="11">
        <f t="shared" si="8"/>
        <v>0.06413286445</v>
      </c>
    </row>
    <row r="368" ht="15.75" customHeight="1">
      <c r="A368" s="16">
        <f t="shared" si="4"/>
        <v>11.2122728</v>
      </c>
      <c r="B368" s="7">
        <f>(sum(AH368:AL368))*'Optimal Choice'!$B$28</f>
        <v>732675</v>
      </c>
      <c r="C368" s="11"/>
      <c r="D368" s="12"/>
      <c r="E368" s="12"/>
      <c r="F368" s="11"/>
      <c r="G368" s="11">
        <f>(T368/$B368)+(T368/('Optimal Choice'!$B$4*AO368))</f>
        <v>1310.308138</v>
      </c>
      <c r="H368" s="11">
        <f>(U368/$B368)+(U368/('Optimal Choice'!$B$9*AP368))</f>
        <v>1400.33784</v>
      </c>
      <c r="I368" s="11">
        <f>(V368/$B368)+(V368/('Optimal Choice'!$B$14*AQ368))</f>
        <v>1407.317577</v>
      </c>
      <c r="J368" s="11">
        <f>(W368/$B368)+(W368/('Optimal Choice'!$B$19*AR368))</f>
        <v>1330.194913</v>
      </c>
      <c r="K368" s="11">
        <f>(X368/$B368)+(X368/('Optimal Choice'!$B$24*AS368))</f>
        <v>1426.327406</v>
      </c>
      <c r="N368" s="12">
        <f t="shared" ref="N368:R368" si="1098">if(min($G367:$K367)=G367,N367+1,N367)</f>
        <v>150</v>
      </c>
      <c r="O368" s="12">
        <f t="shared" si="1098"/>
        <v>66</v>
      </c>
      <c r="P368" s="12">
        <f t="shared" si="1098"/>
        <v>63</v>
      </c>
      <c r="Q368" s="12">
        <f t="shared" si="1098"/>
        <v>45</v>
      </c>
      <c r="R368" s="12">
        <f t="shared" si="1098"/>
        <v>43</v>
      </c>
      <c r="T368" s="13">
        <f> 'Optimal Choice'!$B$5*'Optimal Choice'!$B$6^(N368+1)</f>
        <v>109398.2618</v>
      </c>
      <c r="U368" s="13">
        <f> 'Optimal Choice'!$B$10*'Optimal Choice'!$B$11^(O368+1)</f>
        <v>699691.4292</v>
      </c>
      <c r="V368" s="13">
        <f> 'Optimal Choice'!$B$15*'Optimal Choice'!$B$16^(P368+1)</f>
        <v>3156770.3</v>
      </c>
      <c r="W368" s="13">
        <f> 'Optimal Choice'!$B$20*'Optimal Choice'!$B$21^(Q368+1)</f>
        <v>2388482.935</v>
      </c>
      <c r="X368" s="13">
        <f> 'Optimal Choice'!$B$25*'Optimal Choice'!$B$26^(R368+1)</f>
        <v>15180566.76</v>
      </c>
      <c r="AA368" s="12">
        <f t="shared" ref="AA368:AE368" si="1099">if(isna(VLOOKUP(N368,$D$2:$E$10,2,false)),AA367, VLOOKUP(N368,$D$2:$E$10,2,false))</f>
        <v>50</v>
      </c>
      <c r="AB368" s="12">
        <f t="shared" si="1099"/>
        <v>25</v>
      </c>
      <c r="AC368" s="12">
        <f t="shared" si="1099"/>
        <v>25</v>
      </c>
      <c r="AD368" s="12">
        <f t="shared" si="1099"/>
        <v>5</v>
      </c>
      <c r="AE368" s="12">
        <f t="shared" si="1099"/>
        <v>5</v>
      </c>
      <c r="AH368" s="15">
        <f>N368*'Optimal Choice'!$B$4*AA368</f>
        <v>12525</v>
      </c>
      <c r="AI368" s="15">
        <f>O368*'Optimal Choice'!$B$9*AB368</f>
        <v>33000</v>
      </c>
      <c r="AJ368" s="15">
        <f>P368*'Optimal Choice'!$B$14*AC368</f>
        <v>141750</v>
      </c>
      <c r="AK368" s="15">
        <f>Q368*'Optimal Choice'!$B$19*AD368</f>
        <v>81000</v>
      </c>
      <c r="AL368" s="15">
        <f>R368*'Optimal Choice'!$B$24*AE368</f>
        <v>464400</v>
      </c>
      <c r="AO368" s="12">
        <f t="shared" ref="AO368:AS368" si="1100">if(isna(VLOOKUP(N368+1,$D$2:$E$10,2,false)),AO367, VLOOKUP(N368+1,$D$2:$E$10,2,false))</f>
        <v>50</v>
      </c>
      <c r="AP368" s="12">
        <f t="shared" si="1100"/>
        <v>25</v>
      </c>
      <c r="AQ368" s="12">
        <f t="shared" si="1100"/>
        <v>25</v>
      </c>
      <c r="AR368" s="12">
        <f t="shared" si="1100"/>
        <v>5</v>
      </c>
      <c r="AS368" s="12">
        <f t="shared" si="1100"/>
        <v>5</v>
      </c>
      <c r="AU368" s="11">
        <f t="shared" si="8"/>
        <v>0.3129368534</v>
      </c>
    </row>
    <row r="369" ht="15.75" customHeight="1">
      <c r="A369" s="16">
        <f t="shared" si="4"/>
        <v>11.21476135</v>
      </c>
      <c r="B369" s="7">
        <f>(sum(AH369:AL369))*'Optimal Choice'!$B$28</f>
        <v>732758.5</v>
      </c>
      <c r="C369" s="11"/>
      <c r="D369" s="12"/>
      <c r="E369" s="12"/>
      <c r="F369" s="11"/>
      <c r="G369" s="11">
        <f>(T369/$B369)+(T369/('Optimal Choice'!$B$4*AO369))</f>
        <v>1402.029689</v>
      </c>
      <c r="H369" s="11">
        <f>(U369/$B369)+(U369/('Optimal Choice'!$B$9*AP369))</f>
        <v>1400.337731</v>
      </c>
      <c r="I369" s="11">
        <f>(V369/$B369)+(V369/('Optimal Choice'!$B$14*AQ369))</f>
        <v>1407.317086</v>
      </c>
      <c r="J369" s="11">
        <f>(W369/$B369)+(W369/('Optimal Choice'!$B$19*AR369))</f>
        <v>1330.194541</v>
      </c>
      <c r="K369" s="11">
        <f>(X369/$B369)+(X369/('Optimal Choice'!$B$24*AS369))</f>
        <v>1426.325045</v>
      </c>
      <c r="N369" s="12">
        <f t="shared" ref="N369:R369" si="1101">if(min($G368:$K368)=G368,N368+1,N368)</f>
        <v>151</v>
      </c>
      <c r="O369" s="12">
        <f t="shared" si="1101"/>
        <v>66</v>
      </c>
      <c r="P369" s="12">
        <f t="shared" si="1101"/>
        <v>63</v>
      </c>
      <c r="Q369" s="12">
        <f t="shared" si="1101"/>
        <v>45</v>
      </c>
      <c r="R369" s="12">
        <f t="shared" si="1101"/>
        <v>43</v>
      </c>
      <c r="T369" s="13">
        <f> 'Optimal Choice'!$B$5*'Optimal Choice'!$B$6^(N369+1)</f>
        <v>117056.1402</v>
      </c>
      <c r="U369" s="13">
        <f> 'Optimal Choice'!$B$10*'Optimal Choice'!$B$11^(O369+1)</f>
        <v>699691.4292</v>
      </c>
      <c r="V369" s="13">
        <f> 'Optimal Choice'!$B$15*'Optimal Choice'!$B$16^(P369+1)</f>
        <v>3156770.3</v>
      </c>
      <c r="W369" s="13">
        <f> 'Optimal Choice'!$B$20*'Optimal Choice'!$B$21^(Q369+1)</f>
        <v>2388482.935</v>
      </c>
      <c r="X369" s="13">
        <f> 'Optimal Choice'!$B$25*'Optimal Choice'!$B$26^(R369+1)</f>
        <v>15180566.76</v>
      </c>
      <c r="AA369" s="12">
        <f t="shared" ref="AA369:AE369" si="1102">if(isna(VLOOKUP(N369,$D$2:$E$10,2,false)),AA368, VLOOKUP(N369,$D$2:$E$10,2,false))</f>
        <v>50</v>
      </c>
      <c r="AB369" s="12">
        <f t="shared" si="1102"/>
        <v>25</v>
      </c>
      <c r="AC369" s="12">
        <f t="shared" si="1102"/>
        <v>25</v>
      </c>
      <c r="AD369" s="12">
        <f t="shared" si="1102"/>
        <v>5</v>
      </c>
      <c r="AE369" s="12">
        <f t="shared" si="1102"/>
        <v>5</v>
      </c>
      <c r="AH369" s="15">
        <f>N369*'Optimal Choice'!$B$4*AA369</f>
        <v>12608.5</v>
      </c>
      <c r="AI369" s="15">
        <f>O369*'Optimal Choice'!$B$9*AB369</f>
        <v>33000</v>
      </c>
      <c r="AJ369" s="15">
        <f>P369*'Optimal Choice'!$B$14*AC369</f>
        <v>141750</v>
      </c>
      <c r="AK369" s="15">
        <f>Q369*'Optimal Choice'!$B$19*AD369</f>
        <v>81000</v>
      </c>
      <c r="AL369" s="15">
        <f>R369*'Optimal Choice'!$B$24*AE369</f>
        <v>464400</v>
      </c>
      <c r="AO369" s="12">
        <f t="shared" ref="AO369:AS369" si="1103">if(isna(VLOOKUP(N369+1,$D$2:$E$10,2,false)),AO368, VLOOKUP(N369+1,$D$2:$E$10,2,false))</f>
        <v>50</v>
      </c>
      <c r="AP369" s="12">
        <f t="shared" si="1103"/>
        <v>25</v>
      </c>
      <c r="AQ369" s="12">
        <f t="shared" si="1103"/>
        <v>25</v>
      </c>
      <c r="AR369" s="12">
        <f t="shared" si="1103"/>
        <v>5</v>
      </c>
      <c r="AS369" s="12">
        <f t="shared" si="1103"/>
        <v>5</v>
      </c>
      <c r="AU369" s="11">
        <f t="shared" si="8"/>
        <v>0.002488558179</v>
      </c>
    </row>
    <row r="370" ht="15.75" customHeight="1">
      <c r="A370" s="16">
        <f t="shared" si="4"/>
        <v>11.26908764</v>
      </c>
      <c r="B370" s="7">
        <f>(sum(AH370:AL370))*'Optimal Choice'!$B$28</f>
        <v>734558.5</v>
      </c>
      <c r="C370" s="11"/>
      <c r="D370" s="12"/>
      <c r="E370" s="12"/>
      <c r="F370" s="11"/>
      <c r="G370" s="11">
        <f>(T370/$B370)+(T370/('Optimal Choice'!$B$4*AO370))</f>
        <v>1402.029298</v>
      </c>
      <c r="H370" s="11">
        <f>(U370/$B370)+(U370/('Optimal Choice'!$B$9*AP370))</f>
        <v>1400.335392</v>
      </c>
      <c r="I370" s="11">
        <f>(V370/$B370)+(V370/('Optimal Choice'!$B$14*AQ370))</f>
        <v>1407.306529</v>
      </c>
      <c r="J370" s="11">
        <f>(W370/$B370)+(W370/('Optimal Choice'!$B$19*AR370))</f>
        <v>1503.110806</v>
      </c>
      <c r="K370" s="11">
        <f>(X370/$B370)+(X370/('Optimal Choice'!$B$24*AS370))</f>
        <v>1426.274279</v>
      </c>
      <c r="N370" s="12">
        <f t="shared" ref="N370:R370" si="1104">if(min($G369:$K369)=G369,N369+1,N369)</f>
        <v>151</v>
      </c>
      <c r="O370" s="12">
        <f t="shared" si="1104"/>
        <v>66</v>
      </c>
      <c r="P370" s="12">
        <f t="shared" si="1104"/>
        <v>63</v>
      </c>
      <c r="Q370" s="12">
        <f t="shared" si="1104"/>
        <v>46</v>
      </c>
      <c r="R370" s="12">
        <f t="shared" si="1104"/>
        <v>43</v>
      </c>
      <c r="T370" s="13">
        <f> 'Optimal Choice'!$B$5*'Optimal Choice'!$B$6^(N370+1)</f>
        <v>117056.1402</v>
      </c>
      <c r="U370" s="13">
        <f> 'Optimal Choice'!$B$10*'Optimal Choice'!$B$11^(O370+1)</f>
        <v>699691.4292</v>
      </c>
      <c r="V370" s="13">
        <f> 'Optimal Choice'!$B$15*'Optimal Choice'!$B$16^(P370+1)</f>
        <v>3156770.3</v>
      </c>
      <c r="W370" s="13">
        <f> 'Optimal Choice'!$B$20*'Optimal Choice'!$B$21^(Q370+1)</f>
        <v>2698985.716</v>
      </c>
      <c r="X370" s="13">
        <f> 'Optimal Choice'!$B$25*'Optimal Choice'!$B$26^(R370+1)</f>
        <v>15180566.76</v>
      </c>
      <c r="AA370" s="12">
        <f t="shared" ref="AA370:AE370" si="1105">if(isna(VLOOKUP(N370,$D$2:$E$10,2,false)),AA369, VLOOKUP(N370,$D$2:$E$10,2,false))</f>
        <v>50</v>
      </c>
      <c r="AB370" s="12">
        <f t="shared" si="1105"/>
        <v>25</v>
      </c>
      <c r="AC370" s="12">
        <f t="shared" si="1105"/>
        <v>25</v>
      </c>
      <c r="AD370" s="12">
        <f t="shared" si="1105"/>
        <v>5</v>
      </c>
      <c r="AE370" s="12">
        <f t="shared" si="1105"/>
        <v>5</v>
      </c>
      <c r="AH370" s="15">
        <f>N370*'Optimal Choice'!$B$4*AA370</f>
        <v>12608.5</v>
      </c>
      <c r="AI370" s="15">
        <f>O370*'Optimal Choice'!$B$9*AB370</f>
        <v>33000</v>
      </c>
      <c r="AJ370" s="15">
        <f>P370*'Optimal Choice'!$B$14*AC370</f>
        <v>141750</v>
      </c>
      <c r="AK370" s="15">
        <f>Q370*'Optimal Choice'!$B$19*AD370</f>
        <v>82800</v>
      </c>
      <c r="AL370" s="15">
        <f>R370*'Optimal Choice'!$B$24*AE370</f>
        <v>464400</v>
      </c>
      <c r="AO370" s="12">
        <f t="shared" ref="AO370:AS370" si="1106">if(isna(VLOOKUP(N370+1,$D$2:$E$10,2,false)),AO369, VLOOKUP(N370+1,$D$2:$E$10,2,false))</f>
        <v>50</v>
      </c>
      <c r="AP370" s="12">
        <f t="shared" si="1106"/>
        <v>25</v>
      </c>
      <c r="AQ370" s="12">
        <f t="shared" si="1106"/>
        <v>25</v>
      </c>
      <c r="AR370" s="12">
        <f t="shared" si="1106"/>
        <v>5</v>
      </c>
      <c r="AS370" s="12">
        <f t="shared" si="1106"/>
        <v>5</v>
      </c>
      <c r="AU370" s="11">
        <f t="shared" si="8"/>
        <v>0.05432628747</v>
      </c>
    </row>
    <row r="371" ht="15.75" customHeight="1">
      <c r="A371" s="16">
        <f t="shared" si="4"/>
        <v>11.2849632</v>
      </c>
      <c r="B371" s="7">
        <f>(sum(AH371:AL371))*'Optimal Choice'!$B$28</f>
        <v>735058.5</v>
      </c>
      <c r="C371" s="11"/>
      <c r="D371" s="12"/>
      <c r="E371" s="12"/>
      <c r="F371" s="11"/>
      <c r="G371" s="11">
        <f>(T371/$B371)+(T371/('Optimal Choice'!$B$4*AO371))</f>
        <v>1402.029189</v>
      </c>
      <c r="H371" s="11">
        <f>(U371/$B371)+(U371/('Optimal Choice'!$B$9*AP371))</f>
        <v>1610.384955</v>
      </c>
      <c r="I371" s="11">
        <f>(V371/$B371)+(V371/('Optimal Choice'!$B$14*AQ371))</f>
        <v>1407.303606</v>
      </c>
      <c r="J371" s="11">
        <f>(W371/$B371)+(W371/('Optimal Choice'!$B$19*AR371))</f>
        <v>1503.108306</v>
      </c>
      <c r="K371" s="11">
        <f>(X371/$B371)+(X371/('Optimal Choice'!$B$24*AS371))</f>
        <v>1426.260222</v>
      </c>
      <c r="N371" s="12">
        <f t="shared" ref="N371:R371" si="1107">if(min($G370:$K370)=G370,N370+1,N370)</f>
        <v>151</v>
      </c>
      <c r="O371" s="12">
        <f t="shared" si="1107"/>
        <v>67</v>
      </c>
      <c r="P371" s="12">
        <f t="shared" si="1107"/>
        <v>63</v>
      </c>
      <c r="Q371" s="12">
        <f t="shared" si="1107"/>
        <v>46</v>
      </c>
      <c r="R371" s="12">
        <f t="shared" si="1107"/>
        <v>43</v>
      </c>
      <c r="T371" s="13">
        <f> 'Optimal Choice'!$B$5*'Optimal Choice'!$B$6^(N371+1)</f>
        <v>117056.1402</v>
      </c>
      <c r="U371" s="13">
        <f> 'Optimal Choice'!$B$10*'Optimal Choice'!$B$11^(O371+1)</f>
        <v>804645.1435</v>
      </c>
      <c r="V371" s="13">
        <f> 'Optimal Choice'!$B$15*'Optimal Choice'!$B$16^(P371+1)</f>
        <v>3156770.3</v>
      </c>
      <c r="W371" s="13">
        <f> 'Optimal Choice'!$B$20*'Optimal Choice'!$B$21^(Q371+1)</f>
        <v>2698985.716</v>
      </c>
      <c r="X371" s="13">
        <f> 'Optimal Choice'!$B$25*'Optimal Choice'!$B$26^(R371+1)</f>
        <v>15180566.76</v>
      </c>
      <c r="AA371" s="12">
        <f t="shared" ref="AA371:AE371" si="1108">if(isna(VLOOKUP(N371,$D$2:$E$10,2,false)),AA370, VLOOKUP(N371,$D$2:$E$10,2,false))</f>
        <v>50</v>
      </c>
      <c r="AB371" s="12">
        <f t="shared" si="1108"/>
        <v>25</v>
      </c>
      <c r="AC371" s="12">
        <f t="shared" si="1108"/>
        <v>25</v>
      </c>
      <c r="AD371" s="12">
        <f t="shared" si="1108"/>
        <v>5</v>
      </c>
      <c r="AE371" s="12">
        <f t="shared" si="1108"/>
        <v>5</v>
      </c>
      <c r="AH371" s="15">
        <f>N371*'Optimal Choice'!$B$4*AA371</f>
        <v>12608.5</v>
      </c>
      <c r="AI371" s="15">
        <f>O371*'Optimal Choice'!$B$9*AB371</f>
        <v>33500</v>
      </c>
      <c r="AJ371" s="15">
        <f>P371*'Optimal Choice'!$B$14*AC371</f>
        <v>141750</v>
      </c>
      <c r="AK371" s="15">
        <f>Q371*'Optimal Choice'!$B$19*AD371</f>
        <v>82800</v>
      </c>
      <c r="AL371" s="15">
        <f>R371*'Optimal Choice'!$B$24*AE371</f>
        <v>464400</v>
      </c>
      <c r="AO371" s="12">
        <f t="shared" ref="AO371:AS371" si="1109">if(isna(VLOOKUP(N371+1,$D$2:$E$10,2,false)),AO370, VLOOKUP(N371+1,$D$2:$E$10,2,false))</f>
        <v>50</v>
      </c>
      <c r="AP371" s="12">
        <f t="shared" si="1109"/>
        <v>25</v>
      </c>
      <c r="AQ371" s="12">
        <f t="shared" si="1109"/>
        <v>25</v>
      </c>
      <c r="AR371" s="12">
        <f t="shared" si="1109"/>
        <v>5</v>
      </c>
      <c r="AS371" s="12">
        <f t="shared" si="1109"/>
        <v>5</v>
      </c>
      <c r="AU371" s="11">
        <f t="shared" si="8"/>
        <v>0.01587555493</v>
      </c>
    </row>
    <row r="372" ht="15.75" customHeight="1">
      <c r="A372" s="16">
        <f t="shared" si="4"/>
        <v>11.28761732</v>
      </c>
      <c r="B372" s="7">
        <f>(sum(AH372:AL372))*'Optimal Choice'!$B$28</f>
        <v>735142</v>
      </c>
      <c r="C372" s="11"/>
      <c r="D372" s="12"/>
      <c r="E372" s="12"/>
      <c r="F372" s="11"/>
      <c r="G372" s="11">
        <f>(T372/$B372)+(T372/('Optimal Choice'!$B$4*AO372))</f>
        <v>1500.171213</v>
      </c>
      <c r="H372" s="11">
        <f>(U372/$B372)+(U372/('Optimal Choice'!$B$9*AP372))</f>
        <v>1610.384831</v>
      </c>
      <c r="I372" s="11">
        <f>(V372/$B372)+(V372/('Optimal Choice'!$B$14*AQ372))</f>
        <v>1407.303118</v>
      </c>
      <c r="J372" s="11">
        <f>(W372/$B372)+(W372/('Optimal Choice'!$B$19*AR372))</f>
        <v>1503.107889</v>
      </c>
      <c r="K372" s="11">
        <f>(X372/$B372)+(X372/('Optimal Choice'!$B$24*AS372))</f>
        <v>1426.257876</v>
      </c>
      <c r="N372" s="12">
        <f t="shared" ref="N372:R372" si="1110">if(min($G371:$K371)=G371,N371+1,N371)</f>
        <v>152</v>
      </c>
      <c r="O372" s="12">
        <f t="shared" si="1110"/>
        <v>67</v>
      </c>
      <c r="P372" s="12">
        <f t="shared" si="1110"/>
        <v>63</v>
      </c>
      <c r="Q372" s="12">
        <f t="shared" si="1110"/>
        <v>46</v>
      </c>
      <c r="R372" s="12">
        <f t="shared" si="1110"/>
        <v>43</v>
      </c>
      <c r="T372" s="13">
        <f> 'Optimal Choice'!$B$5*'Optimal Choice'!$B$6^(N372+1)</f>
        <v>125250.07</v>
      </c>
      <c r="U372" s="13">
        <f> 'Optimal Choice'!$B$10*'Optimal Choice'!$B$11^(O372+1)</f>
        <v>804645.1435</v>
      </c>
      <c r="V372" s="13">
        <f> 'Optimal Choice'!$B$15*'Optimal Choice'!$B$16^(P372+1)</f>
        <v>3156770.3</v>
      </c>
      <c r="W372" s="13">
        <f> 'Optimal Choice'!$B$20*'Optimal Choice'!$B$21^(Q372+1)</f>
        <v>2698985.716</v>
      </c>
      <c r="X372" s="13">
        <f> 'Optimal Choice'!$B$25*'Optimal Choice'!$B$26^(R372+1)</f>
        <v>15180566.76</v>
      </c>
      <c r="AA372" s="12">
        <f t="shared" ref="AA372:AE372" si="1111">if(isna(VLOOKUP(N372,$D$2:$E$10,2,false)),AA371, VLOOKUP(N372,$D$2:$E$10,2,false))</f>
        <v>50</v>
      </c>
      <c r="AB372" s="12">
        <f t="shared" si="1111"/>
        <v>25</v>
      </c>
      <c r="AC372" s="12">
        <f t="shared" si="1111"/>
        <v>25</v>
      </c>
      <c r="AD372" s="12">
        <f t="shared" si="1111"/>
        <v>5</v>
      </c>
      <c r="AE372" s="12">
        <f t="shared" si="1111"/>
        <v>5</v>
      </c>
      <c r="AH372" s="15">
        <f>N372*'Optimal Choice'!$B$4*AA372</f>
        <v>12692</v>
      </c>
      <c r="AI372" s="15">
        <f>O372*'Optimal Choice'!$B$9*AB372</f>
        <v>33500</v>
      </c>
      <c r="AJ372" s="15">
        <f>P372*'Optimal Choice'!$B$14*AC372</f>
        <v>141750</v>
      </c>
      <c r="AK372" s="15">
        <f>Q372*'Optimal Choice'!$B$19*AD372</f>
        <v>82800</v>
      </c>
      <c r="AL372" s="15">
        <f>R372*'Optimal Choice'!$B$24*AE372</f>
        <v>464400</v>
      </c>
      <c r="AO372" s="12">
        <f t="shared" ref="AO372:AS372" si="1112">if(isna(VLOOKUP(N372+1,$D$2:$E$10,2,false)),AO371, VLOOKUP(N372+1,$D$2:$E$10,2,false))</f>
        <v>50</v>
      </c>
      <c r="AP372" s="12">
        <f t="shared" si="1112"/>
        <v>25</v>
      </c>
      <c r="AQ372" s="12">
        <f t="shared" si="1112"/>
        <v>25</v>
      </c>
      <c r="AR372" s="12">
        <f t="shared" si="1112"/>
        <v>5</v>
      </c>
      <c r="AS372" s="12">
        <f t="shared" si="1112"/>
        <v>5</v>
      </c>
      <c r="AU372" s="11">
        <f t="shared" si="8"/>
        <v>0.002654122998</v>
      </c>
    </row>
    <row r="373" ht="15.75" customHeight="1">
      <c r="A373" s="16">
        <f t="shared" si="4"/>
        <v>11.35918559</v>
      </c>
      <c r="B373" s="7">
        <f>(sum(AH373:AL373))*'Optimal Choice'!$B$28</f>
        <v>737392</v>
      </c>
      <c r="C373" s="11"/>
      <c r="D373" s="12"/>
      <c r="E373" s="12"/>
      <c r="F373" s="11"/>
      <c r="G373" s="11">
        <f>(T373/$B373)+(T373/('Optimal Choice'!$B$4*AO373))</f>
        <v>1500.170693</v>
      </c>
      <c r="H373" s="11">
        <f>(U373/$B373)+(U373/('Optimal Choice'!$B$9*AP373))</f>
        <v>1610.381491</v>
      </c>
      <c r="I373" s="11">
        <f>(V373/$B373)+(V373/('Optimal Choice'!$B$14*AQ373))</f>
        <v>1604.310618</v>
      </c>
      <c r="J373" s="11">
        <f>(W373/$B373)+(W373/('Optimal Choice'!$B$19*AR373))</f>
        <v>1503.096687</v>
      </c>
      <c r="K373" s="11">
        <f>(X373/$B373)+(X373/('Optimal Choice'!$B$24*AS373))</f>
        <v>1426.194867</v>
      </c>
      <c r="N373" s="12">
        <f t="shared" ref="N373:R373" si="1113">if(min($G372:$K372)=G372,N372+1,N372)</f>
        <v>152</v>
      </c>
      <c r="O373" s="12">
        <f t="shared" si="1113"/>
        <v>67</v>
      </c>
      <c r="P373" s="12">
        <f t="shared" si="1113"/>
        <v>64</v>
      </c>
      <c r="Q373" s="12">
        <f t="shared" si="1113"/>
        <v>46</v>
      </c>
      <c r="R373" s="12">
        <f t="shared" si="1113"/>
        <v>43</v>
      </c>
      <c r="T373" s="13">
        <f> 'Optimal Choice'!$B$5*'Optimal Choice'!$B$6^(N373+1)</f>
        <v>125250.07</v>
      </c>
      <c r="U373" s="13">
        <f> 'Optimal Choice'!$B$10*'Optimal Choice'!$B$11^(O373+1)</f>
        <v>804645.1435</v>
      </c>
      <c r="V373" s="13">
        <f> 'Optimal Choice'!$B$15*'Optimal Choice'!$B$16^(P373+1)</f>
        <v>3598718.142</v>
      </c>
      <c r="W373" s="13">
        <f> 'Optimal Choice'!$B$20*'Optimal Choice'!$B$21^(Q373+1)</f>
        <v>2698985.716</v>
      </c>
      <c r="X373" s="13">
        <f> 'Optimal Choice'!$B$25*'Optimal Choice'!$B$26^(R373+1)</f>
        <v>15180566.76</v>
      </c>
      <c r="AA373" s="12">
        <f t="shared" ref="AA373:AE373" si="1114">if(isna(VLOOKUP(N373,$D$2:$E$10,2,false)),AA372, VLOOKUP(N373,$D$2:$E$10,2,false))</f>
        <v>50</v>
      </c>
      <c r="AB373" s="12">
        <f t="shared" si="1114"/>
        <v>25</v>
      </c>
      <c r="AC373" s="12">
        <f t="shared" si="1114"/>
        <v>25</v>
      </c>
      <c r="AD373" s="12">
        <f t="shared" si="1114"/>
        <v>5</v>
      </c>
      <c r="AE373" s="12">
        <f t="shared" si="1114"/>
        <v>5</v>
      </c>
      <c r="AH373" s="15">
        <f>N373*'Optimal Choice'!$B$4*AA373</f>
        <v>12692</v>
      </c>
      <c r="AI373" s="15">
        <f>O373*'Optimal Choice'!$B$9*AB373</f>
        <v>33500</v>
      </c>
      <c r="AJ373" s="15">
        <f>P373*'Optimal Choice'!$B$14*AC373</f>
        <v>144000</v>
      </c>
      <c r="AK373" s="15">
        <f>Q373*'Optimal Choice'!$B$19*AD373</f>
        <v>82800</v>
      </c>
      <c r="AL373" s="15">
        <f>R373*'Optimal Choice'!$B$24*AE373</f>
        <v>464400</v>
      </c>
      <c r="AO373" s="12">
        <f t="shared" ref="AO373:AS373" si="1115">if(isna(VLOOKUP(N373+1,$D$2:$E$10,2,false)),AO372, VLOOKUP(N373+1,$D$2:$E$10,2,false))</f>
        <v>50</v>
      </c>
      <c r="AP373" s="12">
        <f t="shared" si="1115"/>
        <v>25</v>
      </c>
      <c r="AQ373" s="12">
        <f t="shared" si="1115"/>
        <v>25</v>
      </c>
      <c r="AR373" s="12">
        <f t="shared" si="1115"/>
        <v>5</v>
      </c>
      <c r="AS373" s="12">
        <f t="shared" si="1115"/>
        <v>5</v>
      </c>
      <c r="AU373" s="11">
        <f t="shared" si="8"/>
        <v>0.07156826618</v>
      </c>
    </row>
    <row r="374" ht="15.75" customHeight="1">
      <c r="A374" s="16">
        <f t="shared" si="4"/>
        <v>11.70229949</v>
      </c>
      <c r="B374" s="7">
        <f>(sum(AH374:AL374))*'Optimal Choice'!$B$28</f>
        <v>748192</v>
      </c>
      <c r="C374" s="11"/>
      <c r="D374" s="12"/>
      <c r="E374" s="12"/>
      <c r="F374" s="11"/>
      <c r="G374" s="11">
        <f>(T374/$B374)+(T374/('Optimal Choice'!$B$4*AO374))</f>
        <v>1500.168242</v>
      </c>
      <c r="H374" s="11">
        <f>(U374/$B374)+(U374/('Optimal Choice'!$B$9*AP374))</f>
        <v>1610.36574</v>
      </c>
      <c r="I374" s="11">
        <f>(V374/$B374)+(V374/('Optimal Choice'!$B$14*AQ374))</f>
        <v>1604.240171</v>
      </c>
      <c r="J374" s="11">
        <f>(W374/$B374)+(W374/('Optimal Choice'!$B$19*AR374))</f>
        <v>1503.043853</v>
      </c>
      <c r="K374" s="11">
        <f>(X374/$B374)+(X374/('Optimal Choice'!$B$24*AS374))</f>
        <v>1597.005425</v>
      </c>
      <c r="N374" s="12">
        <f t="shared" ref="N374:R374" si="1116">if(min($G373:$K373)=G373,N373+1,N373)</f>
        <v>152</v>
      </c>
      <c r="O374" s="12">
        <f t="shared" si="1116"/>
        <v>67</v>
      </c>
      <c r="P374" s="12">
        <f t="shared" si="1116"/>
        <v>64</v>
      </c>
      <c r="Q374" s="12">
        <f t="shared" si="1116"/>
        <v>46</v>
      </c>
      <c r="R374" s="12">
        <f t="shared" si="1116"/>
        <v>44</v>
      </c>
      <c r="T374" s="13">
        <f> 'Optimal Choice'!$B$5*'Optimal Choice'!$B$6^(N374+1)</f>
        <v>125250.07</v>
      </c>
      <c r="U374" s="13">
        <f> 'Optimal Choice'!$B$10*'Optimal Choice'!$B$11^(O374+1)</f>
        <v>804645.1435</v>
      </c>
      <c r="V374" s="13">
        <f> 'Optimal Choice'!$B$15*'Optimal Choice'!$B$16^(P374+1)</f>
        <v>3598718.142</v>
      </c>
      <c r="W374" s="13">
        <f> 'Optimal Choice'!$B$20*'Optimal Choice'!$B$21^(Q374+1)</f>
        <v>2698985.716</v>
      </c>
      <c r="X374" s="13">
        <f> 'Optimal Choice'!$B$25*'Optimal Choice'!$B$26^(R374+1)</f>
        <v>17002234.77</v>
      </c>
      <c r="AA374" s="12">
        <f t="shared" ref="AA374:AE374" si="1117">if(isna(VLOOKUP(N374,$D$2:$E$10,2,false)),AA373, VLOOKUP(N374,$D$2:$E$10,2,false))</f>
        <v>50</v>
      </c>
      <c r="AB374" s="12">
        <f t="shared" si="1117"/>
        <v>25</v>
      </c>
      <c r="AC374" s="12">
        <f t="shared" si="1117"/>
        <v>25</v>
      </c>
      <c r="AD374" s="12">
        <f t="shared" si="1117"/>
        <v>5</v>
      </c>
      <c r="AE374" s="12">
        <f t="shared" si="1117"/>
        <v>5</v>
      </c>
      <c r="AH374" s="15">
        <f>N374*'Optimal Choice'!$B$4*AA374</f>
        <v>12692</v>
      </c>
      <c r="AI374" s="15">
        <f>O374*'Optimal Choice'!$B$9*AB374</f>
        <v>33500</v>
      </c>
      <c r="AJ374" s="15">
        <f>P374*'Optimal Choice'!$B$14*AC374</f>
        <v>144000</v>
      </c>
      <c r="AK374" s="15">
        <f>Q374*'Optimal Choice'!$B$19*AD374</f>
        <v>82800</v>
      </c>
      <c r="AL374" s="15">
        <f>R374*'Optimal Choice'!$B$24*AE374</f>
        <v>475200</v>
      </c>
      <c r="AO374" s="12">
        <f t="shared" ref="AO374:AS374" si="1118">if(isna(VLOOKUP(N374+1,$D$2:$E$10,2,false)),AO373, VLOOKUP(N374+1,$D$2:$E$10,2,false))</f>
        <v>50</v>
      </c>
      <c r="AP374" s="12">
        <f t="shared" si="1118"/>
        <v>25</v>
      </c>
      <c r="AQ374" s="12">
        <f t="shared" si="1118"/>
        <v>25</v>
      </c>
      <c r="AR374" s="12">
        <f t="shared" si="1118"/>
        <v>5</v>
      </c>
      <c r="AS374" s="12">
        <f t="shared" si="1118"/>
        <v>5</v>
      </c>
      <c r="AU374" s="11">
        <f t="shared" si="8"/>
        <v>0.3431139014</v>
      </c>
    </row>
    <row r="375" ht="15.75" customHeight="1">
      <c r="A375" s="16">
        <f t="shared" si="4"/>
        <v>11.70508955</v>
      </c>
      <c r="B375" s="7">
        <f>(sum(AH375:AL375))*'Optimal Choice'!$B$28</f>
        <v>748275.5</v>
      </c>
      <c r="C375" s="11"/>
      <c r="D375" s="12"/>
      <c r="E375" s="12"/>
      <c r="F375" s="11"/>
      <c r="G375" s="11">
        <f>(T375/$B375)+(T375/('Optimal Choice'!$B$4*AO375))</f>
        <v>1605.179999</v>
      </c>
      <c r="H375" s="11">
        <f>(U375/$B375)+(U375/('Optimal Choice'!$B$9*AP375))</f>
        <v>1610.36562</v>
      </c>
      <c r="I375" s="11">
        <f>(V375/$B375)+(V375/('Optimal Choice'!$B$14*AQ375))</f>
        <v>1604.239635</v>
      </c>
      <c r="J375" s="11">
        <f>(W375/$B375)+(W375/('Optimal Choice'!$B$19*AR375))</f>
        <v>1503.04345</v>
      </c>
      <c r="K375" s="11">
        <f>(X375/$B375)+(X375/('Optimal Choice'!$B$24*AS375))</f>
        <v>1597.002889</v>
      </c>
      <c r="N375" s="12">
        <f t="shared" ref="N375:R375" si="1119">if(min($G374:$K374)=G374,N374+1,N374)</f>
        <v>153</v>
      </c>
      <c r="O375" s="12">
        <f t="shared" si="1119"/>
        <v>67</v>
      </c>
      <c r="P375" s="12">
        <f t="shared" si="1119"/>
        <v>64</v>
      </c>
      <c r="Q375" s="12">
        <f t="shared" si="1119"/>
        <v>46</v>
      </c>
      <c r="R375" s="12">
        <f t="shared" si="1119"/>
        <v>44</v>
      </c>
      <c r="T375" s="13">
        <f> 'Optimal Choice'!$B$5*'Optimal Choice'!$B$6^(N375+1)</f>
        <v>134017.5749</v>
      </c>
      <c r="U375" s="13">
        <f> 'Optimal Choice'!$B$10*'Optimal Choice'!$B$11^(O375+1)</f>
        <v>804645.1435</v>
      </c>
      <c r="V375" s="13">
        <f> 'Optimal Choice'!$B$15*'Optimal Choice'!$B$16^(P375+1)</f>
        <v>3598718.142</v>
      </c>
      <c r="W375" s="13">
        <f> 'Optimal Choice'!$B$20*'Optimal Choice'!$B$21^(Q375+1)</f>
        <v>2698985.716</v>
      </c>
      <c r="X375" s="13">
        <f> 'Optimal Choice'!$B$25*'Optimal Choice'!$B$26^(R375+1)</f>
        <v>17002234.77</v>
      </c>
      <c r="AA375" s="12">
        <f t="shared" ref="AA375:AE375" si="1120">if(isna(VLOOKUP(N375,$D$2:$E$10,2,false)),AA374, VLOOKUP(N375,$D$2:$E$10,2,false))</f>
        <v>50</v>
      </c>
      <c r="AB375" s="12">
        <f t="shared" si="1120"/>
        <v>25</v>
      </c>
      <c r="AC375" s="12">
        <f t="shared" si="1120"/>
        <v>25</v>
      </c>
      <c r="AD375" s="12">
        <f t="shared" si="1120"/>
        <v>5</v>
      </c>
      <c r="AE375" s="12">
        <f t="shared" si="1120"/>
        <v>5</v>
      </c>
      <c r="AH375" s="15">
        <f>N375*'Optimal Choice'!$B$4*AA375</f>
        <v>12775.5</v>
      </c>
      <c r="AI375" s="15">
        <f>O375*'Optimal Choice'!$B$9*AB375</f>
        <v>33500</v>
      </c>
      <c r="AJ375" s="15">
        <f>P375*'Optimal Choice'!$B$14*AC375</f>
        <v>144000</v>
      </c>
      <c r="AK375" s="15">
        <f>Q375*'Optimal Choice'!$B$19*AD375</f>
        <v>82800</v>
      </c>
      <c r="AL375" s="15">
        <f>R375*'Optimal Choice'!$B$24*AE375</f>
        <v>475200</v>
      </c>
      <c r="AO375" s="12">
        <f t="shared" ref="AO375:AS375" si="1121">if(isna(VLOOKUP(N375+1,$D$2:$E$10,2,false)),AO374, VLOOKUP(N375+1,$D$2:$E$10,2,false))</f>
        <v>50</v>
      </c>
      <c r="AP375" s="12">
        <f t="shared" si="1121"/>
        <v>25</v>
      </c>
      <c r="AQ375" s="12">
        <f t="shared" si="1121"/>
        <v>25</v>
      </c>
      <c r="AR375" s="12">
        <f t="shared" si="1121"/>
        <v>5</v>
      </c>
      <c r="AS375" s="12">
        <f t="shared" si="1121"/>
        <v>5</v>
      </c>
      <c r="AU375" s="11">
        <f t="shared" si="8"/>
        <v>0.002790060795</v>
      </c>
    </row>
    <row r="376" ht="15.75" customHeight="1">
      <c r="A376" s="16">
        <f t="shared" si="4"/>
        <v>11.76520523</v>
      </c>
      <c r="B376" s="7">
        <f>(sum(AH376:AL376))*'Optimal Choice'!$B$28</f>
        <v>750075.5</v>
      </c>
      <c r="C376" s="11"/>
      <c r="D376" s="12"/>
      <c r="E376" s="12"/>
      <c r="F376" s="11"/>
      <c r="G376" s="11">
        <f>(T376/$B376)+(T376/('Optimal Choice'!$B$4*AO376))</f>
        <v>1605.179569</v>
      </c>
      <c r="H376" s="11">
        <f>(U376/$B376)+(U376/('Optimal Choice'!$B$9*AP376))</f>
        <v>1610.363039</v>
      </c>
      <c r="I376" s="11">
        <f>(V376/$B376)+(V376/('Optimal Choice'!$B$14*AQ376))</f>
        <v>1604.228093</v>
      </c>
      <c r="J376" s="11">
        <f>(W376/$B376)+(W376/('Optimal Choice'!$B$19*AR376))</f>
        <v>1698.429318</v>
      </c>
      <c r="K376" s="11">
        <f>(X376/$B376)+(X376/('Optimal Choice'!$B$24*AS376))</f>
        <v>1596.948362</v>
      </c>
      <c r="N376" s="12">
        <f t="shared" ref="N376:R376" si="1122">if(min($G375:$K375)=G375,N375+1,N375)</f>
        <v>153</v>
      </c>
      <c r="O376" s="12">
        <f t="shared" si="1122"/>
        <v>67</v>
      </c>
      <c r="P376" s="12">
        <f t="shared" si="1122"/>
        <v>64</v>
      </c>
      <c r="Q376" s="12">
        <f t="shared" si="1122"/>
        <v>47</v>
      </c>
      <c r="R376" s="12">
        <f t="shared" si="1122"/>
        <v>44</v>
      </c>
      <c r="T376" s="13">
        <f> 'Optimal Choice'!$B$5*'Optimal Choice'!$B$6^(N376+1)</f>
        <v>134017.5749</v>
      </c>
      <c r="U376" s="13">
        <f> 'Optimal Choice'!$B$10*'Optimal Choice'!$B$11^(O376+1)</f>
        <v>804645.1435</v>
      </c>
      <c r="V376" s="13">
        <f> 'Optimal Choice'!$B$15*'Optimal Choice'!$B$16^(P376+1)</f>
        <v>3598718.142</v>
      </c>
      <c r="W376" s="13">
        <f> 'Optimal Choice'!$B$20*'Optimal Choice'!$B$21^(Q376+1)</f>
        <v>3049853.86</v>
      </c>
      <c r="X376" s="13">
        <f> 'Optimal Choice'!$B$25*'Optimal Choice'!$B$26^(R376+1)</f>
        <v>17002234.77</v>
      </c>
      <c r="AA376" s="12">
        <f t="shared" ref="AA376:AE376" si="1123">if(isna(VLOOKUP(N376,$D$2:$E$10,2,false)),AA375, VLOOKUP(N376,$D$2:$E$10,2,false))</f>
        <v>50</v>
      </c>
      <c r="AB376" s="12">
        <f t="shared" si="1123"/>
        <v>25</v>
      </c>
      <c r="AC376" s="12">
        <f t="shared" si="1123"/>
        <v>25</v>
      </c>
      <c r="AD376" s="12">
        <f t="shared" si="1123"/>
        <v>5</v>
      </c>
      <c r="AE376" s="12">
        <f t="shared" si="1123"/>
        <v>5</v>
      </c>
      <c r="AH376" s="15">
        <f>N376*'Optimal Choice'!$B$4*AA376</f>
        <v>12775.5</v>
      </c>
      <c r="AI376" s="15">
        <f>O376*'Optimal Choice'!$B$9*AB376</f>
        <v>33500</v>
      </c>
      <c r="AJ376" s="15">
        <f>P376*'Optimal Choice'!$B$14*AC376</f>
        <v>144000</v>
      </c>
      <c r="AK376" s="15">
        <f>Q376*'Optimal Choice'!$B$19*AD376</f>
        <v>84600</v>
      </c>
      <c r="AL376" s="15">
        <f>R376*'Optimal Choice'!$B$24*AE376</f>
        <v>475200</v>
      </c>
      <c r="AO376" s="12">
        <f t="shared" ref="AO376:AS376" si="1124">if(isna(VLOOKUP(N376+1,$D$2:$E$10,2,false)),AO375, VLOOKUP(N376+1,$D$2:$E$10,2,false))</f>
        <v>50</v>
      </c>
      <c r="AP376" s="12">
        <f t="shared" si="1124"/>
        <v>25</v>
      </c>
      <c r="AQ376" s="12">
        <f t="shared" si="1124"/>
        <v>25</v>
      </c>
      <c r="AR376" s="12">
        <f t="shared" si="1124"/>
        <v>5</v>
      </c>
      <c r="AS376" s="12">
        <f t="shared" si="1124"/>
        <v>5</v>
      </c>
      <c r="AU376" s="11">
        <f t="shared" si="8"/>
        <v>0.06011568637</v>
      </c>
    </row>
    <row r="377" ht="15.75" customHeight="1">
      <c r="A377" s="16">
        <f t="shared" si="4"/>
        <v>12.14299464</v>
      </c>
      <c r="B377" s="7">
        <f>(sum(AH377:AL377))*'Optimal Choice'!$B$28</f>
        <v>760875.5</v>
      </c>
      <c r="C377" s="11"/>
      <c r="D377" s="12"/>
      <c r="E377" s="12"/>
      <c r="F377" s="11"/>
      <c r="G377" s="11">
        <f>(T377/$B377)+(T377/('Optimal Choice'!$B$4*AO377))</f>
        <v>1605.177033</v>
      </c>
      <c r="H377" s="11">
        <f>(U377/$B377)+(U377/('Optimal Choice'!$B$9*AP377))</f>
        <v>1610.347812</v>
      </c>
      <c r="I377" s="11">
        <f>(V377/$B377)+(V377/('Optimal Choice'!$B$14*AQ377))</f>
        <v>1604.159992</v>
      </c>
      <c r="J377" s="11">
        <f>(W377/$B377)+(W377/('Optimal Choice'!$B$19*AR377))</f>
        <v>1698.371603</v>
      </c>
      <c r="K377" s="11">
        <f>(X377/$B377)+(X377/('Optimal Choice'!$B$24*AS377))</f>
        <v>1788.221811</v>
      </c>
      <c r="N377" s="12">
        <f t="shared" ref="N377:R377" si="1125">if(min($G376:$K376)=G376,N376+1,N376)</f>
        <v>153</v>
      </c>
      <c r="O377" s="12">
        <f t="shared" si="1125"/>
        <v>67</v>
      </c>
      <c r="P377" s="12">
        <f t="shared" si="1125"/>
        <v>64</v>
      </c>
      <c r="Q377" s="12">
        <f t="shared" si="1125"/>
        <v>47</v>
      </c>
      <c r="R377" s="12">
        <f t="shared" si="1125"/>
        <v>45</v>
      </c>
      <c r="T377" s="13">
        <f> 'Optimal Choice'!$B$5*'Optimal Choice'!$B$6^(N377+1)</f>
        <v>134017.5749</v>
      </c>
      <c r="U377" s="13">
        <f> 'Optimal Choice'!$B$10*'Optimal Choice'!$B$11^(O377+1)</f>
        <v>804645.1435</v>
      </c>
      <c r="V377" s="13">
        <f> 'Optimal Choice'!$B$15*'Optimal Choice'!$B$16^(P377+1)</f>
        <v>3598718.142</v>
      </c>
      <c r="W377" s="13">
        <f> 'Optimal Choice'!$B$20*'Optimal Choice'!$B$21^(Q377+1)</f>
        <v>3049853.86</v>
      </c>
      <c r="X377" s="13">
        <f> 'Optimal Choice'!$B$25*'Optimal Choice'!$B$26^(R377+1)</f>
        <v>19042502.94</v>
      </c>
      <c r="AA377" s="12">
        <f t="shared" ref="AA377:AE377" si="1126">if(isna(VLOOKUP(N377,$D$2:$E$10,2,false)),AA376, VLOOKUP(N377,$D$2:$E$10,2,false))</f>
        <v>50</v>
      </c>
      <c r="AB377" s="12">
        <f t="shared" si="1126"/>
        <v>25</v>
      </c>
      <c r="AC377" s="12">
        <f t="shared" si="1126"/>
        <v>25</v>
      </c>
      <c r="AD377" s="12">
        <f t="shared" si="1126"/>
        <v>5</v>
      </c>
      <c r="AE377" s="12">
        <f t="shared" si="1126"/>
        <v>5</v>
      </c>
      <c r="AH377" s="15">
        <f>N377*'Optimal Choice'!$B$4*AA377</f>
        <v>12775.5</v>
      </c>
      <c r="AI377" s="15">
        <f>O377*'Optimal Choice'!$B$9*AB377</f>
        <v>33500</v>
      </c>
      <c r="AJ377" s="15">
        <f>P377*'Optimal Choice'!$B$14*AC377</f>
        <v>144000</v>
      </c>
      <c r="AK377" s="15">
        <f>Q377*'Optimal Choice'!$B$19*AD377</f>
        <v>84600</v>
      </c>
      <c r="AL377" s="15">
        <f>R377*'Optimal Choice'!$B$24*AE377</f>
        <v>486000</v>
      </c>
      <c r="AO377" s="12">
        <f t="shared" ref="AO377:AS377" si="1127">if(isna(VLOOKUP(N377+1,$D$2:$E$10,2,false)),AO376, VLOOKUP(N377+1,$D$2:$E$10,2,false))</f>
        <v>50</v>
      </c>
      <c r="AP377" s="12">
        <f t="shared" si="1127"/>
        <v>25</v>
      </c>
      <c r="AQ377" s="12">
        <f t="shared" si="1127"/>
        <v>25</v>
      </c>
      <c r="AR377" s="12">
        <f t="shared" si="1127"/>
        <v>5</v>
      </c>
      <c r="AS377" s="12">
        <f t="shared" si="1127"/>
        <v>5</v>
      </c>
      <c r="AU377" s="11">
        <f t="shared" si="8"/>
        <v>0.3777894085</v>
      </c>
    </row>
    <row r="378" ht="15.75" customHeight="1">
      <c r="A378" s="16">
        <f t="shared" si="4"/>
        <v>12.22182309</v>
      </c>
      <c r="B378" s="7">
        <f>(sum(AH378:AL378))*'Optimal Choice'!$B$28</f>
        <v>763125.5</v>
      </c>
      <c r="C378" s="11"/>
      <c r="D378" s="12"/>
      <c r="E378" s="12"/>
      <c r="F378" s="11"/>
      <c r="G378" s="11">
        <f>(T378/$B378)+(T378/('Optimal Choice'!$B$4*AO378))</f>
        <v>1605.176513</v>
      </c>
      <c r="H378" s="11">
        <f>(U378/$B378)+(U378/('Optimal Choice'!$B$9*AP378))</f>
        <v>1610.344694</v>
      </c>
      <c r="I378" s="11">
        <f>(V378/$B378)+(V378/('Optimal Choice'!$B$14*AQ378))</f>
        <v>1828.726494</v>
      </c>
      <c r="J378" s="11">
        <f>(W378/$B378)+(W378/('Optimal Choice'!$B$19*AR378))</f>
        <v>1698.359785</v>
      </c>
      <c r="K378" s="11">
        <f>(X378/$B378)+(X378/('Optimal Choice'!$B$24*AS378))</f>
        <v>1788.148021</v>
      </c>
      <c r="N378" s="12">
        <f t="shared" ref="N378:R378" si="1128">if(min($G377:$K377)=G377,N377+1,N377)</f>
        <v>153</v>
      </c>
      <c r="O378" s="12">
        <f t="shared" si="1128"/>
        <v>67</v>
      </c>
      <c r="P378" s="12">
        <f t="shared" si="1128"/>
        <v>65</v>
      </c>
      <c r="Q378" s="12">
        <f t="shared" si="1128"/>
        <v>47</v>
      </c>
      <c r="R378" s="12">
        <f t="shared" si="1128"/>
        <v>45</v>
      </c>
      <c r="T378" s="13">
        <f> 'Optimal Choice'!$B$5*'Optimal Choice'!$B$6^(N378+1)</f>
        <v>134017.5749</v>
      </c>
      <c r="U378" s="13">
        <f> 'Optimal Choice'!$B$10*'Optimal Choice'!$B$11^(O378+1)</f>
        <v>804645.1435</v>
      </c>
      <c r="V378" s="13">
        <f> 'Optimal Choice'!$B$15*'Optimal Choice'!$B$16^(P378+1)</f>
        <v>4102538.682</v>
      </c>
      <c r="W378" s="13">
        <f> 'Optimal Choice'!$B$20*'Optimal Choice'!$B$21^(Q378+1)</f>
        <v>3049853.86</v>
      </c>
      <c r="X378" s="13">
        <f> 'Optimal Choice'!$B$25*'Optimal Choice'!$B$26^(R378+1)</f>
        <v>19042502.94</v>
      </c>
      <c r="AA378" s="12">
        <f t="shared" ref="AA378:AE378" si="1129">if(isna(VLOOKUP(N378,$D$2:$E$10,2,false)),AA377, VLOOKUP(N378,$D$2:$E$10,2,false))</f>
        <v>50</v>
      </c>
      <c r="AB378" s="12">
        <f t="shared" si="1129"/>
        <v>25</v>
      </c>
      <c r="AC378" s="12">
        <f t="shared" si="1129"/>
        <v>25</v>
      </c>
      <c r="AD378" s="12">
        <f t="shared" si="1129"/>
        <v>5</v>
      </c>
      <c r="AE378" s="12">
        <f t="shared" si="1129"/>
        <v>5</v>
      </c>
      <c r="AH378" s="15">
        <f>N378*'Optimal Choice'!$B$4*AA378</f>
        <v>12775.5</v>
      </c>
      <c r="AI378" s="15">
        <f>O378*'Optimal Choice'!$B$9*AB378</f>
        <v>33500</v>
      </c>
      <c r="AJ378" s="15">
        <f>P378*'Optimal Choice'!$B$14*AC378</f>
        <v>146250</v>
      </c>
      <c r="AK378" s="15">
        <f>Q378*'Optimal Choice'!$B$19*AD378</f>
        <v>84600</v>
      </c>
      <c r="AL378" s="15">
        <f>R378*'Optimal Choice'!$B$24*AE378</f>
        <v>486000</v>
      </c>
      <c r="AO378" s="12">
        <f t="shared" ref="AO378:AS378" si="1130">if(isna(VLOOKUP(N378+1,$D$2:$E$10,2,false)),AO377, VLOOKUP(N378+1,$D$2:$E$10,2,false))</f>
        <v>50</v>
      </c>
      <c r="AP378" s="12">
        <f t="shared" si="1130"/>
        <v>25</v>
      </c>
      <c r="AQ378" s="12">
        <f t="shared" si="1130"/>
        <v>25</v>
      </c>
      <c r="AR378" s="12">
        <f t="shared" si="1130"/>
        <v>5</v>
      </c>
      <c r="AS378" s="12">
        <f t="shared" si="1130"/>
        <v>5</v>
      </c>
      <c r="AU378" s="11">
        <f t="shared" si="8"/>
        <v>0.07882844921</v>
      </c>
    </row>
    <row r="379" ht="15.75" customHeight="1">
      <c r="A379" s="16">
        <f t="shared" si="4"/>
        <v>12.22475004</v>
      </c>
      <c r="B379" s="7">
        <f>(sum(AH379:AL379))*'Optimal Choice'!$B$28</f>
        <v>763209</v>
      </c>
      <c r="C379" s="11"/>
      <c r="D379" s="12"/>
      <c r="E379" s="12"/>
      <c r="F379" s="11"/>
      <c r="G379" s="11">
        <f>(T379/$B379)+(T379/('Optimal Choice'!$B$4*AO379))</f>
        <v>1717.538849</v>
      </c>
      <c r="H379" s="11">
        <f>(U379/$B379)+(U379/('Optimal Choice'!$B$9*AP379))</f>
        <v>1610.344579</v>
      </c>
      <c r="I379" s="11">
        <f>(V379/$B379)+(V379/('Optimal Choice'!$B$14*AQ379))</f>
        <v>1828.725906</v>
      </c>
      <c r="J379" s="11">
        <f>(W379/$B379)+(W379/('Optimal Choice'!$B$19*AR379))</f>
        <v>1698.359348</v>
      </c>
      <c r="K379" s="11">
        <f>(X379/$B379)+(X379/('Optimal Choice'!$B$24*AS379))</f>
        <v>1788.145291</v>
      </c>
      <c r="N379" s="12">
        <f t="shared" ref="N379:R379" si="1131">if(min($G378:$K378)=G378,N378+1,N378)</f>
        <v>154</v>
      </c>
      <c r="O379" s="12">
        <f t="shared" si="1131"/>
        <v>67</v>
      </c>
      <c r="P379" s="12">
        <f t="shared" si="1131"/>
        <v>65</v>
      </c>
      <c r="Q379" s="12">
        <f t="shared" si="1131"/>
        <v>47</v>
      </c>
      <c r="R379" s="12">
        <f t="shared" si="1131"/>
        <v>45</v>
      </c>
      <c r="T379" s="13">
        <f> 'Optimal Choice'!$B$5*'Optimal Choice'!$B$6^(N379+1)</f>
        <v>143398.8051</v>
      </c>
      <c r="U379" s="13">
        <f> 'Optimal Choice'!$B$10*'Optimal Choice'!$B$11^(O379+1)</f>
        <v>804645.1435</v>
      </c>
      <c r="V379" s="13">
        <f> 'Optimal Choice'!$B$15*'Optimal Choice'!$B$16^(P379+1)</f>
        <v>4102538.682</v>
      </c>
      <c r="W379" s="13">
        <f> 'Optimal Choice'!$B$20*'Optimal Choice'!$B$21^(Q379+1)</f>
        <v>3049853.86</v>
      </c>
      <c r="X379" s="13">
        <f> 'Optimal Choice'!$B$25*'Optimal Choice'!$B$26^(R379+1)</f>
        <v>19042502.94</v>
      </c>
      <c r="AA379" s="12">
        <f t="shared" ref="AA379:AE379" si="1132">if(isna(VLOOKUP(N379,$D$2:$E$10,2,false)),AA378, VLOOKUP(N379,$D$2:$E$10,2,false))</f>
        <v>50</v>
      </c>
      <c r="AB379" s="12">
        <f t="shared" si="1132"/>
        <v>25</v>
      </c>
      <c r="AC379" s="12">
        <f t="shared" si="1132"/>
        <v>25</v>
      </c>
      <c r="AD379" s="12">
        <f t="shared" si="1132"/>
        <v>5</v>
      </c>
      <c r="AE379" s="12">
        <f t="shared" si="1132"/>
        <v>5</v>
      </c>
      <c r="AH379" s="15">
        <f>N379*'Optimal Choice'!$B$4*AA379</f>
        <v>12859</v>
      </c>
      <c r="AI379" s="15">
        <f>O379*'Optimal Choice'!$B$9*AB379</f>
        <v>33500</v>
      </c>
      <c r="AJ379" s="15">
        <f>P379*'Optimal Choice'!$B$14*AC379</f>
        <v>146250</v>
      </c>
      <c r="AK379" s="15">
        <f>Q379*'Optimal Choice'!$B$19*AD379</f>
        <v>84600</v>
      </c>
      <c r="AL379" s="15">
        <f>R379*'Optimal Choice'!$B$24*AE379</f>
        <v>486000</v>
      </c>
      <c r="AO379" s="12">
        <f t="shared" ref="AO379:AS379" si="1133">if(isna(VLOOKUP(N379+1,$D$2:$E$10,2,false)),AO378, VLOOKUP(N379+1,$D$2:$E$10,2,false))</f>
        <v>50</v>
      </c>
      <c r="AP379" s="12">
        <f t="shared" si="1133"/>
        <v>25</v>
      </c>
      <c r="AQ379" s="12">
        <f t="shared" si="1133"/>
        <v>25</v>
      </c>
      <c r="AR379" s="12">
        <f t="shared" si="1133"/>
        <v>5</v>
      </c>
      <c r="AS379" s="12">
        <f t="shared" si="1133"/>
        <v>5</v>
      </c>
      <c r="AU379" s="11">
        <f t="shared" si="8"/>
        <v>0.002926944844</v>
      </c>
    </row>
    <row r="380" ht="15.75" customHeight="1">
      <c r="A380" s="16">
        <f t="shared" si="4"/>
        <v>12.24232157</v>
      </c>
      <c r="B380" s="7">
        <f>(sum(AH380:AL380))*'Optimal Choice'!$B$28</f>
        <v>763709</v>
      </c>
      <c r="C380" s="11"/>
      <c r="D380" s="12"/>
      <c r="E380" s="12"/>
      <c r="F380" s="11"/>
      <c r="G380" s="11">
        <f>(T380/$B380)+(T380/('Optimal Choice'!$B$4*AO380))</f>
        <v>1717.538726</v>
      </c>
      <c r="H380" s="11">
        <f>(U380/$B380)+(U380/('Optimal Choice'!$B$9*AP380))</f>
        <v>1851.895472</v>
      </c>
      <c r="I380" s="11">
        <f>(V380/$B380)+(V380/('Optimal Choice'!$B$14*AQ380))</f>
        <v>1828.722387</v>
      </c>
      <c r="J380" s="11">
        <f>(W380/$B380)+(W380/('Optimal Choice'!$B$19*AR380))</f>
        <v>1698.356732</v>
      </c>
      <c r="K380" s="11">
        <f>(X380/$B380)+(X380/('Optimal Choice'!$B$24*AS380))</f>
        <v>1788.128956</v>
      </c>
      <c r="N380" s="12">
        <f t="shared" ref="N380:R380" si="1134">if(min($G379:$K379)=G379,N379+1,N379)</f>
        <v>154</v>
      </c>
      <c r="O380" s="12">
        <f t="shared" si="1134"/>
        <v>68</v>
      </c>
      <c r="P380" s="12">
        <f t="shared" si="1134"/>
        <v>65</v>
      </c>
      <c r="Q380" s="12">
        <f t="shared" si="1134"/>
        <v>47</v>
      </c>
      <c r="R380" s="12">
        <f t="shared" si="1134"/>
        <v>45</v>
      </c>
      <c r="T380" s="13">
        <f> 'Optimal Choice'!$B$5*'Optimal Choice'!$B$6^(N380+1)</f>
        <v>143398.8051</v>
      </c>
      <c r="U380" s="13">
        <f> 'Optimal Choice'!$B$10*'Optimal Choice'!$B$11^(O380+1)</f>
        <v>925341.9151</v>
      </c>
      <c r="V380" s="13">
        <f> 'Optimal Choice'!$B$15*'Optimal Choice'!$B$16^(P380+1)</f>
        <v>4102538.682</v>
      </c>
      <c r="W380" s="13">
        <f> 'Optimal Choice'!$B$20*'Optimal Choice'!$B$21^(Q380+1)</f>
        <v>3049853.86</v>
      </c>
      <c r="X380" s="13">
        <f> 'Optimal Choice'!$B$25*'Optimal Choice'!$B$26^(R380+1)</f>
        <v>19042502.94</v>
      </c>
      <c r="AA380" s="12">
        <f t="shared" ref="AA380:AE380" si="1135">if(isna(VLOOKUP(N380,$D$2:$E$10,2,false)),AA379, VLOOKUP(N380,$D$2:$E$10,2,false))</f>
        <v>50</v>
      </c>
      <c r="AB380" s="12">
        <f t="shared" si="1135"/>
        <v>25</v>
      </c>
      <c r="AC380" s="12">
        <f t="shared" si="1135"/>
        <v>25</v>
      </c>
      <c r="AD380" s="12">
        <f t="shared" si="1135"/>
        <v>5</v>
      </c>
      <c r="AE380" s="12">
        <f t="shared" si="1135"/>
        <v>5</v>
      </c>
      <c r="AH380" s="15">
        <f>N380*'Optimal Choice'!$B$4*AA380</f>
        <v>12859</v>
      </c>
      <c r="AI380" s="15">
        <f>O380*'Optimal Choice'!$B$9*AB380</f>
        <v>34000</v>
      </c>
      <c r="AJ380" s="15">
        <f>P380*'Optimal Choice'!$B$14*AC380</f>
        <v>146250</v>
      </c>
      <c r="AK380" s="15">
        <f>Q380*'Optimal Choice'!$B$19*AD380</f>
        <v>84600</v>
      </c>
      <c r="AL380" s="15">
        <f>R380*'Optimal Choice'!$B$24*AE380</f>
        <v>486000</v>
      </c>
      <c r="AO380" s="12">
        <f t="shared" ref="AO380:AS380" si="1136">if(isna(VLOOKUP(N380+1,$D$2:$E$10,2,false)),AO379, VLOOKUP(N380+1,$D$2:$E$10,2,false))</f>
        <v>50</v>
      </c>
      <c r="AP380" s="12">
        <f t="shared" si="1136"/>
        <v>25</v>
      </c>
      <c r="AQ380" s="12">
        <f t="shared" si="1136"/>
        <v>25</v>
      </c>
      <c r="AR380" s="12">
        <f t="shared" si="1136"/>
        <v>5</v>
      </c>
      <c r="AS380" s="12">
        <f t="shared" si="1136"/>
        <v>5</v>
      </c>
      <c r="AU380" s="11">
        <f t="shared" si="8"/>
        <v>0.01757153334</v>
      </c>
    </row>
    <row r="381" ht="15.75" customHeight="1">
      <c r="A381" s="16">
        <f t="shared" si="4"/>
        <v>12.30887951</v>
      </c>
      <c r="B381" s="7">
        <f>(sum(AH381:AL381))*'Optimal Choice'!$B$28</f>
        <v>765509</v>
      </c>
      <c r="C381" s="11"/>
      <c r="D381" s="12"/>
      <c r="E381" s="12"/>
      <c r="F381" s="11"/>
      <c r="G381" s="11">
        <f>(T381/$B381)+(T381/('Optimal Choice'!$B$4*AO381))</f>
        <v>1717.538284</v>
      </c>
      <c r="H381" s="11">
        <f>(U381/$B381)+(U381/('Optimal Choice'!$B$9*AP381))</f>
        <v>1851.892623</v>
      </c>
      <c r="I381" s="11">
        <f>(V381/$B381)+(V381/('Optimal Choice'!$B$14*AQ381))</f>
        <v>1828.709755</v>
      </c>
      <c r="J381" s="11">
        <f>(W381/$B381)+(W381/('Optimal Choice'!$B$19*AR381))</f>
        <v>1919.132496</v>
      </c>
      <c r="K381" s="11">
        <f>(X381/$B381)+(X381/('Optimal Choice'!$B$24*AS381))</f>
        <v>1788.070326</v>
      </c>
      <c r="N381" s="12">
        <f t="shared" ref="N381:R381" si="1137">if(min($G380:$K380)=G380,N380+1,N380)</f>
        <v>154</v>
      </c>
      <c r="O381" s="12">
        <f t="shared" si="1137"/>
        <v>68</v>
      </c>
      <c r="P381" s="12">
        <f t="shared" si="1137"/>
        <v>65</v>
      </c>
      <c r="Q381" s="12">
        <f t="shared" si="1137"/>
        <v>48</v>
      </c>
      <c r="R381" s="12">
        <f t="shared" si="1137"/>
        <v>45</v>
      </c>
      <c r="T381" s="13">
        <f> 'Optimal Choice'!$B$5*'Optimal Choice'!$B$6^(N381+1)</f>
        <v>143398.8051</v>
      </c>
      <c r="U381" s="13">
        <f> 'Optimal Choice'!$B$10*'Optimal Choice'!$B$11^(O381+1)</f>
        <v>925341.9151</v>
      </c>
      <c r="V381" s="13">
        <f> 'Optimal Choice'!$B$15*'Optimal Choice'!$B$16^(P381+1)</f>
        <v>4102538.682</v>
      </c>
      <c r="W381" s="13">
        <f> 'Optimal Choice'!$B$20*'Optimal Choice'!$B$21^(Q381+1)</f>
        <v>3446334.861</v>
      </c>
      <c r="X381" s="13">
        <f> 'Optimal Choice'!$B$25*'Optimal Choice'!$B$26^(R381+1)</f>
        <v>19042502.94</v>
      </c>
      <c r="AA381" s="12">
        <f t="shared" ref="AA381:AE381" si="1138">if(isna(VLOOKUP(N381,$D$2:$E$10,2,false)),AA380, VLOOKUP(N381,$D$2:$E$10,2,false))</f>
        <v>50</v>
      </c>
      <c r="AB381" s="12">
        <f t="shared" si="1138"/>
        <v>25</v>
      </c>
      <c r="AC381" s="12">
        <f t="shared" si="1138"/>
        <v>25</v>
      </c>
      <c r="AD381" s="12">
        <f t="shared" si="1138"/>
        <v>5</v>
      </c>
      <c r="AE381" s="12">
        <f t="shared" si="1138"/>
        <v>5</v>
      </c>
      <c r="AH381" s="15">
        <f>N381*'Optimal Choice'!$B$4*AA381</f>
        <v>12859</v>
      </c>
      <c r="AI381" s="15">
        <f>O381*'Optimal Choice'!$B$9*AB381</f>
        <v>34000</v>
      </c>
      <c r="AJ381" s="15">
        <f>P381*'Optimal Choice'!$B$14*AC381</f>
        <v>146250</v>
      </c>
      <c r="AK381" s="15">
        <f>Q381*'Optimal Choice'!$B$19*AD381</f>
        <v>86400</v>
      </c>
      <c r="AL381" s="15">
        <f>R381*'Optimal Choice'!$B$24*AE381</f>
        <v>486000</v>
      </c>
      <c r="AO381" s="12">
        <f t="shared" ref="AO381:AS381" si="1139">if(isna(VLOOKUP(N381+1,$D$2:$E$10,2,false)),AO380, VLOOKUP(N381+1,$D$2:$E$10,2,false))</f>
        <v>50</v>
      </c>
      <c r="AP381" s="12">
        <f t="shared" si="1139"/>
        <v>25</v>
      </c>
      <c r="AQ381" s="12">
        <f t="shared" si="1139"/>
        <v>25</v>
      </c>
      <c r="AR381" s="12">
        <f t="shared" si="1139"/>
        <v>5</v>
      </c>
      <c r="AS381" s="12">
        <f t="shared" si="1139"/>
        <v>5</v>
      </c>
      <c r="AU381" s="11">
        <f t="shared" si="8"/>
        <v>0.06655793982</v>
      </c>
    </row>
    <row r="382" ht="15.75" customHeight="1">
      <c r="A382" s="16">
        <f t="shared" si="4"/>
        <v>12.31200159</v>
      </c>
      <c r="B382" s="7">
        <f>(sum(AH382:AL382))*'Optimal Choice'!$B$28</f>
        <v>765592.5</v>
      </c>
      <c r="C382" s="11"/>
      <c r="D382" s="12"/>
      <c r="E382" s="12"/>
      <c r="F382" s="11"/>
      <c r="G382" s="11">
        <f>(T382/$B382)+(T382/('Optimal Choice'!$B$4*AO382))</f>
        <v>1837.765942</v>
      </c>
      <c r="H382" s="11">
        <f>(U382/$B382)+(U382/('Optimal Choice'!$B$9*AP382))</f>
        <v>1851.892491</v>
      </c>
      <c r="I382" s="11">
        <f>(V382/$B382)+(V382/('Optimal Choice'!$B$14*AQ382))</f>
        <v>1828.709171</v>
      </c>
      <c r="J382" s="11">
        <f>(W382/$B382)+(W382/('Optimal Choice'!$B$19*AR382))</f>
        <v>1919.132005</v>
      </c>
      <c r="K382" s="11">
        <f>(X382/$B382)+(X382/('Optimal Choice'!$B$24*AS382))</f>
        <v>1788.067613</v>
      </c>
      <c r="N382" s="12">
        <f t="shared" ref="N382:R382" si="1140">if(min($G381:$K381)=G381,N381+1,N381)</f>
        <v>155</v>
      </c>
      <c r="O382" s="12">
        <f t="shared" si="1140"/>
        <v>68</v>
      </c>
      <c r="P382" s="12">
        <f t="shared" si="1140"/>
        <v>65</v>
      </c>
      <c r="Q382" s="12">
        <f t="shared" si="1140"/>
        <v>48</v>
      </c>
      <c r="R382" s="12">
        <f t="shared" si="1140"/>
        <v>45</v>
      </c>
      <c r="T382" s="13">
        <f> 'Optimal Choice'!$B$5*'Optimal Choice'!$B$6^(N382+1)</f>
        <v>153436.7215</v>
      </c>
      <c r="U382" s="13">
        <f> 'Optimal Choice'!$B$10*'Optimal Choice'!$B$11^(O382+1)</f>
        <v>925341.9151</v>
      </c>
      <c r="V382" s="13">
        <f> 'Optimal Choice'!$B$15*'Optimal Choice'!$B$16^(P382+1)</f>
        <v>4102538.682</v>
      </c>
      <c r="W382" s="13">
        <f> 'Optimal Choice'!$B$20*'Optimal Choice'!$B$21^(Q382+1)</f>
        <v>3446334.861</v>
      </c>
      <c r="X382" s="13">
        <f> 'Optimal Choice'!$B$25*'Optimal Choice'!$B$26^(R382+1)</f>
        <v>19042502.94</v>
      </c>
      <c r="AA382" s="12">
        <f t="shared" ref="AA382:AE382" si="1141">if(isna(VLOOKUP(N382,$D$2:$E$10,2,false)),AA381, VLOOKUP(N382,$D$2:$E$10,2,false))</f>
        <v>50</v>
      </c>
      <c r="AB382" s="12">
        <f t="shared" si="1141"/>
        <v>25</v>
      </c>
      <c r="AC382" s="12">
        <f t="shared" si="1141"/>
        <v>25</v>
      </c>
      <c r="AD382" s="12">
        <f t="shared" si="1141"/>
        <v>5</v>
      </c>
      <c r="AE382" s="12">
        <f t="shared" si="1141"/>
        <v>5</v>
      </c>
      <c r="AH382" s="15">
        <f>N382*'Optimal Choice'!$B$4*AA382</f>
        <v>12942.5</v>
      </c>
      <c r="AI382" s="15">
        <f>O382*'Optimal Choice'!$B$9*AB382</f>
        <v>34000</v>
      </c>
      <c r="AJ382" s="15">
        <f>P382*'Optimal Choice'!$B$14*AC382</f>
        <v>146250</v>
      </c>
      <c r="AK382" s="15">
        <f>Q382*'Optimal Choice'!$B$19*AD382</f>
        <v>86400</v>
      </c>
      <c r="AL382" s="15">
        <f>R382*'Optimal Choice'!$B$24*AE382</f>
        <v>486000</v>
      </c>
      <c r="AO382" s="12">
        <f t="shared" ref="AO382:AS382" si="1142">if(isna(VLOOKUP(N382+1,$D$2:$E$10,2,false)),AO381, VLOOKUP(N382+1,$D$2:$E$10,2,false))</f>
        <v>50</v>
      </c>
      <c r="AP382" s="12">
        <f t="shared" si="1142"/>
        <v>25</v>
      </c>
      <c r="AQ382" s="12">
        <f t="shared" si="1142"/>
        <v>25</v>
      </c>
      <c r="AR382" s="12">
        <f t="shared" si="1142"/>
        <v>5</v>
      </c>
      <c r="AS382" s="12">
        <f t="shared" si="1142"/>
        <v>5</v>
      </c>
      <c r="AU382" s="11">
        <f t="shared" si="8"/>
        <v>0.003122079669</v>
      </c>
    </row>
    <row r="383" ht="15.75" customHeight="1">
      <c r="A383" s="16">
        <f t="shared" si="4"/>
        <v>12.72654986</v>
      </c>
      <c r="B383" s="7">
        <f>(sum(AH383:AL383))*'Optimal Choice'!$B$28</f>
        <v>776392.5</v>
      </c>
      <c r="C383" s="11"/>
      <c r="D383" s="12"/>
      <c r="E383" s="12"/>
      <c r="F383" s="11"/>
      <c r="G383" s="11">
        <f>(T383/$B383)+(T383/('Optimal Choice'!$B$4*AO383))</f>
        <v>1837.763154</v>
      </c>
      <c r="H383" s="11">
        <f>(U383/$B383)+(U383/('Optimal Choice'!$B$9*AP383))</f>
        <v>1851.875678</v>
      </c>
      <c r="I383" s="11">
        <f>(V383/$B383)+(V383/('Optimal Choice'!$B$14*AQ383))</f>
        <v>1828.634629</v>
      </c>
      <c r="J383" s="11">
        <f>(W383/$B383)+(W383/('Optimal Choice'!$B$19*AR383))</f>
        <v>1919.069387</v>
      </c>
      <c r="K383" s="11">
        <f>(X383/$B383)+(X383/('Optimal Choice'!$B$24*AS383))</f>
        <v>2002.248213</v>
      </c>
      <c r="N383" s="12">
        <f t="shared" ref="N383:R383" si="1143">if(min($G382:$K382)=G382,N382+1,N382)</f>
        <v>155</v>
      </c>
      <c r="O383" s="12">
        <f t="shared" si="1143"/>
        <v>68</v>
      </c>
      <c r="P383" s="12">
        <f t="shared" si="1143"/>
        <v>65</v>
      </c>
      <c r="Q383" s="12">
        <f t="shared" si="1143"/>
        <v>48</v>
      </c>
      <c r="R383" s="12">
        <f t="shared" si="1143"/>
        <v>46</v>
      </c>
      <c r="T383" s="13">
        <f> 'Optimal Choice'!$B$5*'Optimal Choice'!$B$6^(N383+1)</f>
        <v>153436.7215</v>
      </c>
      <c r="U383" s="13">
        <f> 'Optimal Choice'!$B$10*'Optimal Choice'!$B$11^(O383+1)</f>
        <v>925341.9151</v>
      </c>
      <c r="V383" s="13">
        <f> 'Optimal Choice'!$B$15*'Optimal Choice'!$B$16^(P383+1)</f>
        <v>4102538.682</v>
      </c>
      <c r="W383" s="13">
        <f> 'Optimal Choice'!$B$20*'Optimal Choice'!$B$21^(Q383+1)</f>
        <v>3446334.861</v>
      </c>
      <c r="X383" s="13">
        <f> 'Optimal Choice'!$B$25*'Optimal Choice'!$B$26^(R383+1)</f>
        <v>21327603.29</v>
      </c>
      <c r="AA383" s="12">
        <f t="shared" ref="AA383:AE383" si="1144">if(isna(VLOOKUP(N383,$D$2:$E$10,2,false)),AA382, VLOOKUP(N383,$D$2:$E$10,2,false))</f>
        <v>50</v>
      </c>
      <c r="AB383" s="12">
        <f t="shared" si="1144"/>
        <v>25</v>
      </c>
      <c r="AC383" s="12">
        <f t="shared" si="1144"/>
        <v>25</v>
      </c>
      <c r="AD383" s="12">
        <f t="shared" si="1144"/>
        <v>5</v>
      </c>
      <c r="AE383" s="12">
        <f t="shared" si="1144"/>
        <v>5</v>
      </c>
      <c r="AH383" s="15">
        <f>N383*'Optimal Choice'!$B$4*AA383</f>
        <v>12942.5</v>
      </c>
      <c r="AI383" s="15">
        <f>O383*'Optimal Choice'!$B$9*AB383</f>
        <v>34000</v>
      </c>
      <c r="AJ383" s="15">
        <f>P383*'Optimal Choice'!$B$14*AC383</f>
        <v>146250</v>
      </c>
      <c r="AK383" s="15">
        <f>Q383*'Optimal Choice'!$B$19*AD383</f>
        <v>86400</v>
      </c>
      <c r="AL383" s="15">
        <f>R383*'Optimal Choice'!$B$24*AE383</f>
        <v>496800</v>
      </c>
      <c r="AO383" s="12">
        <f t="shared" ref="AO383:AS383" si="1145">if(isna(VLOOKUP(N383+1,$D$2:$E$10,2,false)),AO382, VLOOKUP(N383+1,$D$2:$E$10,2,false))</f>
        <v>50</v>
      </c>
      <c r="AP383" s="12">
        <f t="shared" si="1145"/>
        <v>25</v>
      </c>
      <c r="AQ383" s="12">
        <f t="shared" si="1145"/>
        <v>25</v>
      </c>
      <c r="AR383" s="12">
        <f t="shared" si="1145"/>
        <v>5</v>
      </c>
      <c r="AS383" s="12">
        <f t="shared" si="1145"/>
        <v>5</v>
      </c>
      <c r="AU383" s="11">
        <f t="shared" si="8"/>
        <v>0.4145482734</v>
      </c>
    </row>
    <row r="384" ht="15.75" customHeight="1">
      <c r="A384" s="16">
        <f t="shared" si="4"/>
        <v>12.81461826</v>
      </c>
      <c r="B384" s="7">
        <f>(sum(AH384:AL384))*'Optimal Choice'!$B$28</f>
        <v>778642.5</v>
      </c>
      <c r="C384" s="11"/>
      <c r="D384" s="12"/>
      <c r="E384" s="12"/>
      <c r="F384" s="11"/>
      <c r="G384" s="11">
        <f>(T384/$B384)+(T384/('Optimal Choice'!$B$4*AO384))</f>
        <v>1837.762583</v>
      </c>
      <c r="H384" s="11">
        <f>(U384/$B384)+(U384/('Optimal Choice'!$B$9*AP384))</f>
        <v>1851.872234</v>
      </c>
      <c r="I384" s="11">
        <f>(V384/$B384)+(V384/('Optimal Choice'!$B$14*AQ384))</f>
        <v>2084.626071</v>
      </c>
      <c r="J384" s="11">
        <f>(W384/$B384)+(W384/('Optimal Choice'!$B$19*AR384))</f>
        <v>1919.05656</v>
      </c>
      <c r="K384" s="11">
        <f>(X384/$B384)+(X384/('Optimal Choice'!$B$24*AS384))</f>
        <v>2002.168834</v>
      </c>
      <c r="N384" s="12">
        <f t="shared" ref="N384:R384" si="1146">if(min($G383:$K383)=G383,N383+1,N383)</f>
        <v>155</v>
      </c>
      <c r="O384" s="12">
        <f t="shared" si="1146"/>
        <v>68</v>
      </c>
      <c r="P384" s="12">
        <f t="shared" si="1146"/>
        <v>66</v>
      </c>
      <c r="Q384" s="12">
        <f t="shared" si="1146"/>
        <v>48</v>
      </c>
      <c r="R384" s="12">
        <f t="shared" si="1146"/>
        <v>46</v>
      </c>
      <c r="T384" s="13">
        <f> 'Optimal Choice'!$B$5*'Optimal Choice'!$B$6^(N384+1)</f>
        <v>153436.7215</v>
      </c>
      <c r="U384" s="13">
        <f> 'Optimal Choice'!$B$10*'Optimal Choice'!$B$11^(O384+1)</f>
        <v>925341.9151</v>
      </c>
      <c r="V384" s="13">
        <f> 'Optimal Choice'!$B$15*'Optimal Choice'!$B$16^(P384+1)</f>
        <v>4676894.098</v>
      </c>
      <c r="W384" s="13">
        <f> 'Optimal Choice'!$B$20*'Optimal Choice'!$B$21^(Q384+1)</f>
        <v>3446334.861</v>
      </c>
      <c r="X384" s="13">
        <f> 'Optimal Choice'!$B$25*'Optimal Choice'!$B$26^(R384+1)</f>
        <v>21327603.29</v>
      </c>
      <c r="AA384" s="12">
        <f t="shared" ref="AA384:AE384" si="1147">if(isna(VLOOKUP(N384,$D$2:$E$10,2,false)),AA383, VLOOKUP(N384,$D$2:$E$10,2,false))</f>
        <v>50</v>
      </c>
      <c r="AB384" s="12">
        <f t="shared" si="1147"/>
        <v>25</v>
      </c>
      <c r="AC384" s="12">
        <f t="shared" si="1147"/>
        <v>25</v>
      </c>
      <c r="AD384" s="12">
        <f t="shared" si="1147"/>
        <v>5</v>
      </c>
      <c r="AE384" s="12">
        <f t="shared" si="1147"/>
        <v>5</v>
      </c>
      <c r="AH384" s="15">
        <f>N384*'Optimal Choice'!$B$4*AA384</f>
        <v>12942.5</v>
      </c>
      <c r="AI384" s="15">
        <f>O384*'Optimal Choice'!$B$9*AB384</f>
        <v>34000</v>
      </c>
      <c r="AJ384" s="15">
        <f>P384*'Optimal Choice'!$B$14*AC384</f>
        <v>148500</v>
      </c>
      <c r="AK384" s="15">
        <f>Q384*'Optimal Choice'!$B$19*AD384</f>
        <v>86400</v>
      </c>
      <c r="AL384" s="15">
        <f>R384*'Optimal Choice'!$B$24*AE384</f>
        <v>496800</v>
      </c>
      <c r="AO384" s="12">
        <f t="shared" ref="AO384:AS384" si="1148">if(isna(VLOOKUP(N384+1,$D$2:$E$10,2,false)),AO383, VLOOKUP(N384+1,$D$2:$E$10,2,false))</f>
        <v>50</v>
      </c>
      <c r="AP384" s="12">
        <f t="shared" si="1148"/>
        <v>25</v>
      </c>
      <c r="AQ384" s="12">
        <f t="shared" si="1148"/>
        <v>25</v>
      </c>
      <c r="AR384" s="12">
        <f t="shared" si="1148"/>
        <v>5</v>
      </c>
      <c r="AS384" s="12">
        <f t="shared" si="1148"/>
        <v>5</v>
      </c>
      <c r="AU384" s="11">
        <f t="shared" si="8"/>
        <v>0.0880683993</v>
      </c>
    </row>
    <row r="385" ht="15.75" customHeight="1">
      <c r="A385" s="16">
        <f t="shared" si="4"/>
        <v>12.81790254</v>
      </c>
      <c r="B385" s="7">
        <f>(sum(AH385:AL385))*'Optimal Choice'!$B$28</f>
        <v>778726</v>
      </c>
      <c r="C385" s="11"/>
      <c r="D385" s="12"/>
      <c r="E385" s="12"/>
      <c r="F385" s="11"/>
      <c r="G385" s="11">
        <f>(T385/$B385)+(T385/('Optimal Choice'!$B$4*AO385))</f>
        <v>1966.405942</v>
      </c>
      <c r="H385" s="11">
        <f>(U385/$B385)+(U385/('Optimal Choice'!$B$9*AP385))</f>
        <v>1851.872107</v>
      </c>
      <c r="I385" s="11">
        <f>(V385/$B385)+(V385/('Optimal Choice'!$B$14*AQ385))</f>
        <v>2084.625427</v>
      </c>
      <c r="J385" s="11">
        <f>(W385/$B385)+(W385/('Optimal Choice'!$B$19*AR385))</f>
        <v>1919.056085</v>
      </c>
      <c r="K385" s="11">
        <f>(X385/$B385)+(X385/('Optimal Choice'!$B$24*AS385))</f>
        <v>2002.165897</v>
      </c>
      <c r="N385" s="12">
        <f t="shared" ref="N385:R385" si="1149">if(min($G384:$K384)=G384,N384+1,N384)</f>
        <v>156</v>
      </c>
      <c r="O385" s="12">
        <f t="shared" si="1149"/>
        <v>68</v>
      </c>
      <c r="P385" s="12">
        <f t="shared" si="1149"/>
        <v>66</v>
      </c>
      <c r="Q385" s="12">
        <f t="shared" si="1149"/>
        <v>48</v>
      </c>
      <c r="R385" s="12">
        <f t="shared" si="1149"/>
        <v>46</v>
      </c>
      <c r="T385" s="13">
        <f> 'Optimal Choice'!$B$5*'Optimal Choice'!$B$6^(N385+1)</f>
        <v>164177.292</v>
      </c>
      <c r="U385" s="13">
        <f> 'Optimal Choice'!$B$10*'Optimal Choice'!$B$11^(O385+1)</f>
        <v>925341.9151</v>
      </c>
      <c r="V385" s="13">
        <f> 'Optimal Choice'!$B$15*'Optimal Choice'!$B$16^(P385+1)</f>
        <v>4676894.098</v>
      </c>
      <c r="W385" s="13">
        <f> 'Optimal Choice'!$B$20*'Optimal Choice'!$B$21^(Q385+1)</f>
        <v>3446334.861</v>
      </c>
      <c r="X385" s="13">
        <f> 'Optimal Choice'!$B$25*'Optimal Choice'!$B$26^(R385+1)</f>
        <v>21327603.29</v>
      </c>
      <c r="AA385" s="12">
        <f t="shared" ref="AA385:AE385" si="1150">if(isna(VLOOKUP(N385,$D$2:$E$10,2,false)),AA384, VLOOKUP(N385,$D$2:$E$10,2,false))</f>
        <v>50</v>
      </c>
      <c r="AB385" s="12">
        <f t="shared" si="1150"/>
        <v>25</v>
      </c>
      <c r="AC385" s="12">
        <f t="shared" si="1150"/>
        <v>25</v>
      </c>
      <c r="AD385" s="12">
        <f t="shared" si="1150"/>
        <v>5</v>
      </c>
      <c r="AE385" s="12">
        <f t="shared" si="1150"/>
        <v>5</v>
      </c>
      <c r="AH385" s="15">
        <f>N385*'Optimal Choice'!$B$4*AA385</f>
        <v>13026</v>
      </c>
      <c r="AI385" s="15">
        <f>O385*'Optimal Choice'!$B$9*AB385</f>
        <v>34000</v>
      </c>
      <c r="AJ385" s="15">
        <f>P385*'Optimal Choice'!$B$14*AC385</f>
        <v>148500</v>
      </c>
      <c r="AK385" s="15">
        <f>Q385*'Optimal Choice'!$B$19*AD385</f>
        <v>86400</v>
      </c>
      <c r="AL385" s="15">
        <f>R385*'Optimal Choice'!$B$24*AE385</f>
        <v>496800</v>
      </c>
      <c r="AO385" s="12">
        <f t="shared" ref="AO385:AS385" si="1151">if(isna(VLOOKUP(N385+1,$D$2:$E$10,2,false)),AO384, VLOOKUP(N385+1,$D$2:$E$10,2,false))</f>
        <v>50</v>
      </c>
      <c r="AP385" s="12">
        <f t="shared" si="1151"/>
        <v>25</v>
      </c>
      <c r="AQ385" s="12">
        <f t="shared" si="1151"/>
        <v>25</v>
      </c>
      <c r="AR385" s="12">
        <f t="shared" si="1151"/>
        <v>5</v>
      </c>
      <c r="AS385" s="12">
        <f t="shared" si="1151"/>
        <v>5</v>
      </c>
      <c r="AU385" s="11">
        <f t="shared" si="8"/>
        <v>0.003284278332</v>
      </c>
    </row>
    <row r="386" ht="15.75" customHeight="1">
      <c r="A386" s="16">
        <f t="shared" si="4"/>
        <v>12.83770715</v>
      </c>
      <c r="B386" s="7">
        <f>(sum(AH386:AL386))*'Optimal Choice'!$B$28</f>
        <v>779226</v>
      </c>
      <c r="C386" s="11"/>
      <c r="D386" s="12"/>
      <c r="E386" s="12"/>
      <c r="F386" s="11"/>
      <c r="G386" s="11">
        <f>(T386/$B386)+(T386/('Optimal Choice'!$B$4*AO386))</f>
        <v>1966.405806</v>
      </c>
      <c r="H386" s="11">
        <f>(U386/$B386)+(U386/('Optimal Choice'!$B$9*AP386))</f>
        <v>2129.652046</v>
      </c>
      <c r="I386" s="11">
        <f>(V386/$B386)+(V386/('Optimal Choice'!$B$14*AQ386))</f>
        <v>2084.621573</v>
      </c>
      <c r="J386" s="11">
        <f>(W386/$B386)+(W386/('Optimal Choice'!$B$19*AR386))</f>
        <v>1919.053245</v>
      </c>
      <c r="K386" s="11">
        <f>(X386/$B386)+(X386/('Optimal Choice'!$B$24*AS386))</f>
        <v>2002.148324</v>
      </c>
      <c r="N386" s="12">
        <f t="shared" ref="N386:R386" si="1152">if(min($G385:$K385)=G385,N385+1,N385)</f>
        <v>156</v>
      </c>
      <c r="O386" s="12">
        <f t="shared" si="1152"/>
        <v>69</v>
      </c>
      <c r="P386" s="12">
        <f t="shared" si="1152"/>
        <v>66</v>
      </c>
      <c r="Q386" s="12">
        <f t="shared" si="1152"/>
        <v>48</v>
      </c>
      <c r="R386" s="12">
        <f t="shared" si="1152"/>
        <v>46</v>
      </c>
      <c r="T386" s="13">
        <f> 'Optimal Choice'!$B$5*'Optimal Choice'!$B$6^(N386+1)</f>
        <v>164177.292</v>
      </c>
      <c r="U386" s="13">
        <f> 'Optimal Choice'!$B$10*'Optimal Choice'!$B$11^(O386+1)</f>
        <v>1064143.202</v>
      </c>
      <c r="V386" s="13">
        <f> 'Optimal Choice'!$B$15*'Optimal Choice'!$B$16^(P386+1)</f>
        <v>4676894.098</v>
      </c>
      <c r="W386" s="13">
        <f> 'Optimal Choice'!$B$20*'Optimal Choice'!$B$21^(Q386+1)</f>
        <v>3446334.861</v>
      </c>
      <c r="X386" s="13">
        <f> 'Optimal Choice'!$B$25*'Optimal Choice'!$B$26^(R386+1)</f>
        <v>21327603.29</v>
      </c>
      <c r="AA386" s="12">
        <f t="shared" ref="AA386:AE386" si="1153">if(isna(VLOOKUP(N386,$D$2:$E$10,2,false)),AA385, VLOOKUP(N386,$D$2:$E$10,2,false))</f>
        <v>50</v>
      </c>
      <c r="AB386" s="12">
        <f t="shared" si="1153"/>
        <v>25</v>
      </c>
      <c r="AC386" s="12">
        <f t="shared" si="1153"/>
        <v>25</v>
      </c>
      <c r="AD386" s="12">
        <f t="shared" si="1153"/>
        <v>5</v>
      </c>
      <c r="AE386" s="12">
        <f t="shared" si="1153"/>
        <v>5</v>
      </c>
      <c r="AH386" s="15">
        <f>N386*'Optimal Choice'!$B$4*AA386</f>
        <v>13026</v>
      </c>
      <c r="AI386" s="15">
        <f>O386*'Optimal Choice'!$B$9*AB386</f>
        <v>34500</v>
      </c>
      <c r="AJ386" s="15">
        <f>P386*'Optimal Choice'!$B$14*AC386</f>
        <v>148500</v>
      </c>
      <c r="AK386" s="15">
        <f>Q386*'Optimal Choice'!$B$19*AD386</f>
        <v>86400</v>
      </c>
      <c r="AL386" s="15">
        <f>R386*'Optimal Choice'!$B$24*AE386</f>
        <v>496800</v>
      </c>
      <c r="AO386" s="12">
        <f t="shared" ref="AO386:AS386" si="1154">if(isna(VLOOKUP(N386+1,$D$2:$E$10,2,false)),AO385, VLOOKUP(N386+1,$D$2:$E$10,2,false))</f>
        <v>50</v>
      </c>
      <c r="AP386" s="12">
        <f t="shared" si="1154"/>
        <v>25</v>
      </c>
      <c r="AQ386" s="12">
        <f t="shared" si="1154"/>
        <v>25</v>
      </c>
      <c r="AR386" s="12">
        <f t="shared" si="1154"/>
        <v>5</v>
      </c>
      <c r="AS386" s="12">
        <f t="shared" si="1154"/>
        <v>5</v>
      </c>
      <c r="AU386" s="11">
        <f t="shared" si="8"/>
        <v>0.01980461067</v>
      </c>
    </row>
    <row r="387" ht="15.75" customHeight="1">
      <c r="A387" s="16">
        <f t="shared" si="4"/>
        <v>12.91141993</v>
      </c>
      <c r="B387" s="7">
        <f>(sum(AH387:AL387))*'Optimal Choice'!$B$28</f>
        <v>781026</v>
      </c>
      <c r="C387" s="11"/>
      <c r="D387" s="12"/>
      <c r="E387" s="12"/>
      <c r="F387" s="11"/>
      <c r="G387" s="11">
        <f>(T387/$B387)+(T387/('Optimal Choice'!$B$4*AO387))</f>
        <v>1966.405321</v>
      </c>
      <c r="H387" s="11">
        <f>(U387/$B387)+(U387/('Optimal Choice'!$B$9*AP387))</f>
        <v>2129.648899</v>
      </c>
      <c r="I387" s="11">
        <f>(V387/$B387)+(V387/('Optimal Choice'!$B$14*AQ387))</f>
        <v>2084.60774</v>
      </c>
      <c r="J387" s="11">
        <f>(W387/$B387)+(W387/('Optimal Choice'!$B$19*AR387))</f>
        <v>437.6926965</v>
      </c>
      <c r="K387" s="11">
        <f>(X387/$B387)+(X387/('Optimal Choice'!$B$24*AS387))</f>
        <v>2002.085245</v>
      </c>
      <c r="N387" s="12">
        <f t="shared" ref="N387:R387" si="1155">if(min($G386:$K386)=G386,N386+1,N386)</f>
        <v>156</v>
      </c>
      <c r="O387" s="12">
        <f t="shared" si="1155"/>
        <v>69</v>
      </c>
      <c r="P387" s="12">
        <f t="shared" si="1155"/>
        <v>66</v>
      </c>
      <c r="Q387" s="12">
        <f t="shared" si="1155"/>
        <v>49</v>
      </c>
      <c r="R387" s="12">
        <f t="shared" si="1155"/>
        <v>46</v>
      </c>
      <c r="T387" s="13">
        <f> 'Optimal Choice'!$B$5*'Optimal Choice'!$B$6^(N387+1)</f>
        <v>164177.292</v>
      </c>
      <c r="U387" s="13">
        <f> 'Optimal Choice'!$B$10*'Optimal Choice'!$B$11^(O387+1)</f>
        <v>1064143.202</v>
      </c>
      <c r="V387" s="13">
        <f> 'Optimal Choice'!$B$15*'Optimal Choice'!$B$16^(P387+1)</f>
        <v>4676894.098</v>
      </c>
      <c r="W387" s="13">
        <f> 'Optimal Choice'!$B$20*'Optimal Choice'!$B$21^(Q387+1)</f>
        <v>3894358.393</v>
      </c>
      <c r="X387" s="13">
        <f> 'Optimal Choice'!$B$25*'Optimal Choice'!$B$26^(R387+1)</f>
        <v>21327603.29</v>
      </c>
      <c r="AA387" s="12">
        <f t="shared" ref="AA387:AE387" si="1156">if(isna(VLOOKUP(N387,$D$2:$E$10,2,false)),AA386, VLOOKUP(N387,$D$2:$E$10,2,false))</f>
        <v>50</v>
      </c>
      <c r="AB387" s="12">
        <f t="shared" si="1156"/>
        <v>25</v>
      </c>
      <c r="AC387" s="12">
        <f t="shared" si="1156"/>
        <v>25</v>
      </c>
      <c r="AD387" s="12">
        <f t="shared" si="1156"/>
        <v>5</v>
      </c>
      <c r="AE387" s="12">
        <f t="shared" si="1156"/>
        <v>5</v>
      </c>
      <c r="AH387" s="15">
        <f>N387*'Optimal Choice'!$B$4*AA387</f>
        <v>13026</v>
      </c>
      <c r="AI387" s="15">
        <f>O387*'Optimal Choice'!$B$9*AB387</f>
        <v>34500</v>
      </c>
      <c r="AJ387" s="15">
        <f>P387*'Optimal Choice'!$B$14*AC387</f>
        <v>148500</v>
      </c>
      <c r="AK387" s="15">
        <f>Q387*'Optimal Choice'!$B$19*AD387</f>
        <v>88200</v>
      </c>
      <c r="AL387" s="15">
        <f>R387*'Optimal Choice'!$B$24*AE387</f>
        <v>496800</v>
      </c>
      <c r="AO387" s="12">
        <f t="shared" ref="AO387:AS387" si="1157">if(isna(VLOOKUP(N387+1,$D$2:$E$10,2,false)),AO386, VLOOKUP(N387+1,$D$2:$E$10,2,false))</f>
        <v>50</v>
      </c>
      <c r="AP387" s="12">
        <f t="shared" si="1157"/>
        <v>25</v>
      </c>
      <c r="AQ387" s="12">
        <f t="shared" si="1157"/>
        <v>25</v>
      </c>
      <c r="AR387" s="12">
        <f t="shared" si="1157"/>
        <v>25</v>
      </c>
      <c r="AS387" s="12">
        <f t="shared" si="1157"/>
        <v>5</v>
      </c>
      <c r="AU387" s="11">
        <f t="shared" si="8"/>
        <v>0.07371277955</v>
      </c>
    </row>
    <row r="388" ht="15.75" customHeight="1">
      <c r="A388" s="16">
        <f t="shared" si="4"/>
        <v>12.9945234</v>
      </c>
      <c r="B388" s="7">
        <f>(sum(AH388:AL388))*'Optimal Choice'!$B$28</f>
        <v>1142826</v>
      </c>
      <c r="C388" s="11"/>
      <c r="D388" s="12"/>
      <c r="E388" s="12"/>
      <c r="F388" s="11"/>
      <c r="G388" s="11">
        <f>(T388/$B388)+(T388/('Optimal Choice'!$B$4*AO388))</f>
        <v>1966.338772</v>
      </c>
      <c r="H388" s="11">
        <f>(U388/$B388)+(U388/('Optimal Choice'!$B$9*AP388))</f>
        <v>2129.217555</v>
      </c>
      <c r="I388" s="11">
        <f>(V388/$B388)+(V388/('Optimal Choice'!$B$14*AQ388))</f>
        <v>2082.711993</v>
      </c>
      <c r="J388" s="11">
        <f>(W388/$B388)+(W388/('Optimal Choice'!$B$19*AR388))</f>
        <v>492.8089834</v>
      </c>
      <c r="K388" s="11">
        <f>(X388/$B388)+(X388/('Optimal Choice'!$B$24*AS388))</f>
        <v>1993.440244</v>
      </c>
      <c r="N388" s="12">
        <f t="shared" ref="N388:R388" si="1158">if(min($G387:$K387)=G387,N387+1,N387)</f>
        <v>156</v>
      </c>
      <c r="O388" s="12">
        <f t="shared" si="1158"/>
        <v>69</v>
      </c>
      <c r="P388" s="12">
        <f t="shared" si="1158"/>
        <v>66</v>
      </c>
      <c r="Q388" s="12">
        <f t="shared" si="1158"/>
        <v>50</v>
      </c>
      <c r="R388" s="12">
        <f t="shared" si="1158"/>
        <v>46</v>
      </c>
      <c r="T388" s="13">
        <f> 'Optimal Choice'!$B$5*'Optimal Choice'!$B$6^(N388+1)</f>
        <v>164177.292</v>
      </c>
      <c r="U388" s="13">
        <f> 'Optimal Choice'!$B$10*'Optimal Choice'!$B$11^(O388+1)</f>
        <v>1064143.202</v>
      </c>
      <c r="V388" s="13">
        <f> 'Optimal Choice'!$B$15*'Optimal Choice'!$B$16^(P388+1)</f>
        <v>4676894.098</v>
      </c>
      <c r="W388" s="13">
        <f> 'Optimal Choice'!$B$20*'Optimal Choice'!$B$21^(Q388+1)</f>
        <v>4400624.985</v>
      </c>
      <c r="X388" s="13">
        <f> 'Optimal Choice'!$B$25*'Optimal Choice'!$B$26^(R388+1)</f>
        <v>21327603.29</v>
      </c>
      <c r="AA388" s="12">
        <f t="shared" ref="AA388:AE388" si="1159">if(isna(VLOOKUP(N388,$D$2:$E$10,2,false)),AA387, VLOOKUP(N388,$D$2:$E$10,2,false))</f>
        <v>50</v>
      </c>
      <c r="AB388" s="12">
        <f t="shared" si="1159"/>
        <v>25</v>
      </c>
      <c r="AC388" s="12">
        <f t="shared" si="1159"/>
        <v>25</v>
      </c>
      <c r="AD388" s="12">
        <f t="shared" si="1159"/>
        <v>25</v>
      </c>
      <c r="AE388" s="12">
        <f t="shared" si="1159"/>
        <v>5</v>
      </c>
      <c r="AH388" s="15">
        <f>N388*'Optimal Choice'!$B$4*AA388</f>
        <v>13026</v>
      </c>
      <c r="AI388" s="15">
        <f>O388*'Optimal Choice'!$B$9*AB388</f>
        <v>34500</v>
      </c>
      <c r="AJ388" s="15">
        <f>P388*'Optimal Choice'!$B$14*AC388</f>
        <v>148500</v>
      </c>
      <c r="AK388" s="15">
        <f>Q388*'Optimal Choice'!$B$19*AD388</f>
        <v>450000</v>
      </c>
      <c r="AL388" s="15">
        <f>R388*'Optimal Choice'!$B$24*AE388</f>
        <v>496800</v>
      </c>
      <c r="AO388" s="12">
        <f t="shared" ref="AO388:AS388" si="1160">if(isna(VLOOKUP(N388+1,$D$2:$E$10,2,false)),AO387, VLOOKUP(N388+1,$D$2:$E$10,2,false))</f>
        <v>50</v>
      </c>
      <c r="AP388" s="12">
        <f t="shared" si="1160"/>
        <v>25</v>
      </c>
      <c r="AQ388" s="12">
        <f t="shared" si="1160"/>
        <v>25</v>
      </c>
      <c r="AR388" s="12">
        <f t="shared" si="1160"/>
        <v>25</v>
      </c>
      <c r="AS388" s="12">
        <f t="shared" si="1160"/>
        <v>5</v>
      </c>
      <c r="AU388" s="11">
        <f t="shared" si="8"/>
        <v>0.08310347315</v>
      </c>
    </row>
    <row r="389" ht="15.75" customHeight="1">
      <c r="A389" s="16">
        <f t="shared" si="4"/>
        <v>13.05870093</v>
      </c>
      <c r="B389" s="7">
        <f>(sum(AH389:AL389))*'Optimal Choice'!$B$28</f>
        <v>1151826</v>
      </c>
      <c r="C389" s="11"/>
      <c r="D389" s="12"/>
      <c r="E389" s="12"/>
      <c r="F389" s="11"/>
      <c r="G389" s="11">
        <f>(T389/$B389)+(T389/('Optimal Choice'!$B$4*AO389))</f>
        <v>1966.33765</v>
      </c>
      <c r="H389" s="11">
        <f>(U389/$B389)+(U389/('Optimal Choice'!$B$9*AP389))</f>
        <v>2129.21028</v>
      </c>
      <c r="I389" s="11">
        <f>(V389/$B389)+(V389/('Optimal Choice'!$B$14*AQ389))</f>
        <v>2082.680016</v>
      </c>
      <c r="J389" s="11">
        <f>(W389/$B389)+(W389/('Optimal Choice'!$B$19*AR389))</f>
        <v>556.8401521</v>
      </c>
      <c r="K389" s="11">
        <f>(X389/$B389)+(X389/('Optimal Choice'!$B$24*AS389))</f>
        <v>1993.294424</v>
      </c>
      <c r="N389" s="12">
        <f t="shared" ref="N389:R389" si="1161">if(min($G388:$K388)=G388,N388+1,N388)</f>
        <v>156</v>
      </c>
      <c r="O389" s="12">
        <f t="shared" si="1161"/>
        <v>69</v>
      </c>
      <c r="P389" s="12">
        <f t="shared" si="1161"/>
        <v>66</v>
      </c>
      <c r="Q389" s="12">
        <f t="shared" si="1161"/>
        <v>51</v>
      </c>
      <c r="R389" s="12">
        <f t="shared" si="1161"/>
        <v>46</v>
      </c>
      <c r="T389" s="13">
        <f> 'Optimal Choice'!$B$5*'Optimal Choice'!$B$6^(N389+1)</f>
        <v>164177.292</v>
      </c>
      <c r="U389" s="13">
        <f> 'Optimal Choice'!$B$10*'Optimal Choice'!$B$11^(O389+1)</f>
        <v>1064143.202</v>
      </c>
      <c r="V389" s="13">
        <f> 'Optimal Choice'!$B$15*'Optimal Choice'!$B$16^(P389+1)</f>
        <v>4676894.098</v>
      </c>
      <c r="W389" s="13">
        <f> 'Optimal Choice'!$B$20*'Optimal Choice'!$B$21^(Q389+1)</f>
        <v>4972706.232</v>
      </c>
      <c r="X389" s="13">
        <f> 'Optimal Choice'!$B$25*'Optimal Choice'!$B$26^(R389+1)</f>
        <v>21327603.29</v>
      </c>
      <c r="AA389" s="12">
        <f t="shared" ref="AA389:AE389" si="1162">if(isna(VLOOKUP(N389,$D$2:$E$10,2,false)),AA388, VLOOKUP(N389,$D$2:$E$10,2,false))</f>
        <v>50</v>
      </c>
      <c r="AB389" s="12">
        <f t="shared" si="1162"/>
        <v>25</v>
      </c>
      <c r="AC389" s="12">
        <f t="shared" si="1162"/>
        <v>25</v>
      </c>
      <c r="AD389" s="12">
        <f t="shared" si="1162"/>
        <v>25</v>
      </c>
      <c r="AE389" s="12">
        <f t="shared" si="1162"/>
        <v>5</v>
      </c>
      <c r="AH389" s="15">
        <f>N389*'Optimal Choice'!$B$4*AA389</f>
        <v>13026</v>
      </c>
      <c r="AI389" s="15">
        <f>O389*'Optimal Choice'!$B$9*AB389</f>
        <v>34500</v>
      </c>
      <c r="AJ389" s="15">
        <f>P389*'Optimal Choice'!$B$14*AC389</f>
        <v>148500</v>
      </c>
      <c r="AK389" s="15">
        <f>Q389*'Optimal Choice'!$B$19*AD389</f>
        <v>459000</v>
      </c>
      <c r="AL389" s="15">
        <f>R389*'Optimal Choice'!$B$24*AE389</f>
        <v>496800</v>
      </c>
      <c r="AO389" s="12">
        <f t="shared" ref="AO389:AS389" si="1163">if(isna(VLOOKUP(N389+1,$D$2:$E$10,2,false)),AO388, VLOOKUP(N389+1,$D$2:$E$10,2,false))</f>
        <v>50</v>
      </c>
      <c r="AP389" s="12">
        <f t="shared" si="1163"/>
        <v>25</v>
      </c>
      <c r="AQ389" s="12">
        <f t="shared" si="1163"/>
        <v>25</v>
      </c>
      <c r="AR389" s="12">
        <f t="shared" si="1163"/>
        <v>25</v>
      </c>
      <c r="AS389" s="12">
        <f t="shared" si="1163"/>
        <v>5</v>
      </c>
      <c r="AU389" s="11">
        <f t="shared" si="8"/>
        <v>0.06417752986</v>
      </c>
    </row>
    <row r="390" ht="15.75" customHeight="1">
      <c r="A390" s="16">
        <f t="shared" si="4"/>
        <v>13.13065489</v>
      </c>
      <c r="B390" s="7">
        <f>(sum(AH390:AL390))*'Optimal Choice'!$B$28</f>
        <v>1160826</v>
      </c>
      <c r="C390" s="11"/>
      <c r="D390" s="12"/>
      <c r="E390" s="12"/>
      <c r="F390" s="11"/>
      <c r="G390" s="11">
        <f>(T390/$B390)+(T390/('Optimal Choice'!$B$4*AO390))</f>
        <v>1966.336545</v>
      </c>
      <c r="H390" s="11">
        <f>(U390/$B390)+(U390/('Optimal Choice'!$B$9*AP390))</f>
        <v>2129.203117</v>
      </c>
      <c r="I390" s="11">
        <f>(V390/$B390)+(V390/('Optimal Choice'!$B$14*AQ390))</f>
        <v>2082.648535</v>
      </c>
      <c r="J390" s="11">
        <f>(W390/$B390)+(W390/('Optimal Choice'!$B$19*AR390))</f>
        <v>629.1915485</v>
      </c>
      <c r="K390" s="11">
        <f>(X390/$B390)+(X390/('Optimal Choice'!$B$24*AS390))</f>
        <v>1993.150865</v>
      </c>
      <c r="N390" s="12">
        <f t="shared" ref="N390:R390" si="1164">if(min($G389:$K389)=G389,N389+1,N389)</f>
        <v>156</v>
      </c>
      <c r="O390" s="12">
        <f t="shared" si="1164"/>
        <v>69</v>
      </c>
      <c r="P390" s="12">
        <f t="shared" si="1164"/>
        <v>66</v>
      </c>
      <c r="Q390" s="12">
        <f t="shared" si="1164"/>
        <v>52</v>
      </c>
      <c r="R390" s="12">
        <f t="shared" si="1164"/>
        <v>46</v>
      </c>
      <c r="T390" s="13">
        <f> 'Optimal Choice'!$B$5*'Optimal Choice'!$B$6^(N390+1)</f>
        <v>164177.292</v>
      </c>
      <c r="U390" s="13">
        <f> 'Optimal Choice'!$B$10*'Optimal Choice'!$B$11^(O390+1)</f>
        <v>1064143.202</v>
      </c>
      <c r="V390" s="13">
        <f> 'Optimal Choice'!$B$15*'Optimal Choice'!$B$16^(P390+1)</f>
        <v>4676894.098</v>
      </c>
      <c r="W390" s="13">
        <f> 'Optimal Choice'!$B$20*'Optimal Choice'!$B$21^(Q390+1)</f>
        <v>5619158.043</v>
      </c>
      <c r="X390" s="13">
        <f> 'Optimal Choice'!$B$25*'Optimal Choice'!$B$26^(R390+1)</f>
        <v>21327603.29</v>
      </c>
      <c r="AA390" s="12">
        <f t="shared" ref="AA390:AE390" si="1165">if(isna(VLOOKUP(N390,$D$2:$E$10,2,false)),AA389, VLOOKUP(N390,$D$2:$E$10,2,false))</f>
        <v>50</v>
      </c>
      <c r="AB390" s="12">
        <f t="shared" si="1165"/>
        <v>25</v>
      </c>
      <c r="AC390" s="12">
        <f t="shared" si="1165"/>
        <v>25</v>
      </c>
      <c r="AD390" s="12">
        <f t="shared" si="1165"/>
        <v>25</v>
      </c>
      <c r="AE390" s="12">
        <f t="shared" si="1165"/>
        <v>5</v>
      </c>
      <c r="AH390" s="15">
        <f>N390*'Optimal Choice'!$B$4*AA390</f>
        <v>13026</v>
      </c>
      <c r="AI390" s="15">
        <f>O390*'Optimal Choice'!$B$9*AB390</f>
        <v>34500</v>
      </c>
      <c r="AJ390" s="15">
        <f>P390*'Optimal Choice'!$B$14*AC390</f>
        <v>148500</v>
      </c>
      <c r="AK390" s="15">
        <f>Q390*'Optimal Choice'!$B$19*AD390</f>
        <v>468000</v>
      </c>
      <c r="AL390" s="15">
        <f>R390*'Optimal Choice'!$B$24*AE390</f>
        <v>496800</v>
      </c>
      <c r="AO390" s="12">
        <f t="shared" ref="AO390:AS390" si="1166">if(isna(VLOOKUP(N390+1,$D$2:$E$10,2,false)),AO389, VLOOKUP(N390+1,$D$2:$E$10,2,false))</f>
        <v>50</v>
      </c>
      <c r="AP390" s="12">
        <f t="shared" si="1166"/>
        <v>25</v>
      </c>
      <c r="AQ390" s="12">
        <f t="shared" si="1166"/>
        <v>25</v>
      </c>
      <c r="AR390" s="12">
        <f t="shared" si="1166"/>
        <v>25</v>
      </c>
      <c r="AS390" s="12">
        <f t="shared" si="1166"/>
        <v>5</v>
      </c>
      <c r="AU390" s="11">
        <f t="shared" si="8"/>
        <v>0.0719539559</v>
      </c>
    </row>
    <row r="391" ht="15.75" customHeight="1">
      <c r="A391" s="16">
        <f t="shared" si="4"/>
        <v>13.21133247</v>
      </c>
      <c r="B391" s="7">
        <f>(sum(AH391:AL391))*'Optimal Choice'!$B$28</f>
        <v>1169826</v>
      </c>
      <c r="C391" s="11"/>
      <c r="D391" s="12"/>
      <c r="E391" s="12"/>
      <c r="F391" s="11"/>
      <c r="G391" s="11">
        <f>(T391/$B391)+(T391/('Optimal Choice'!$B$4*AO391))</f>
        <v>1966.335457</v>
      </c>
      <c r="H391" s="11">
        <f>(U391/$B391)+(U391/('Optimal Choice'!$B$9*AP391))</f>
        <v>2129.196064</v>
      </c>
      <c r="I391" s="11">
        <f>(V391/$B391)+(V391/('Optimal Choice'!$B$14*AQ391))</f>
        <v>2082.617539</v>
      </c>
      <c r="J391" s="11">
        <f>(W391/$B391)+(W391/('Optimal Choice'!$B$19*AR391))</f>
        <v>710.9443671</v>
      </c>
      <c r="K391" s="11">
        <f>(X391/$B391)+(X391/('Optimal Choice'!$B$24*AS391))</f>
        <v>1993.009515</v>
      </c>
      <c r="N391" s="12">
        <f t="shared" ref="N391:R391" si="1167">if(min($G390:$K390)=G390,N390+1,N390)</f>
        <v>156</v>
      </c>
      <c r="O391" s="12">
        <f t="shared" si="1167"/>
        <v>69</v>
      </c>
      <c r="P391" s="12">
        <f t="shared" si="1167"/>
        <v>66</v>
      </c>
      <c r="Q391" s="12">
        <f t="shared" si="1167"/>
        <v>53</v>
      </c>
      <c r="R391" s="12">
        <f t="shared" si="1167"/>
        <v>46</v>
      </c>
      <c r="T391" s="13">
        <f> 'Optimal Choice'!$B$5*'Optimal Choice'!$B$6^(N391+1)</f>
        <v>164177.292</v>
      </c>
      <c r="U391" s="13">
        <f> 'Optimal Choice'!$B$10*'Optimal Choice'!$B$11^(O391+1)</f>
        <v>1064143.202</v>
      </c>
      <c r="V391" s="13">
        <f> 'Optimal Choice'!$B$15*'Optimal Choice'!$B$16^(P391+1)</f>
        <v>4676894.098</v>
      </c>
      <c r="W391" s="13">
        <f> 'Optimal Choice'!$B$20*'Optimal Choice'!$B$21^(Q391+1)</f>
        <v>6349648.588</v>
      </c>
      <c r="X391" s="13">
        <f> 'Optimal Choice'!$B$25*'Optimal Choice'!$B$26^(R391+1)</f>
        <v>21327603.29</v>
      </c>
      <c r="AA391" s="12">
        <f t="shared" ref="AA391:AE391" si="1168">if(isna(VLOOKUP(N391,$D$2:$E$10,2,false)),AA390, VLOOKUP(N391,$D$2:$E$10,2,false))</f>
        <v>50</v>
      </c>
      <c r="AB391" s="12">
        <f t="shared" si="1168"/>
        <v>25</v>
      </c>
      <c r="AC391" s="12">
        <f t="shared" si="1168"/>
        <v>25</v>
      </c>
      <c r="AD391" s="12">
        <f t="shared" si="1168"/>
        <v>25</v>
      </c>
      <c r="AE391" s="12">
        <f t="shared" si="1168"/>
        <v>5</v>
      </c>
      <c r="AH391" s="15">
        <f>N391*'Optimal Choice'!$B$4*AA391</f>
        <v>13026</v>
      </c>
      <c r="AI391" s="15">
        <f>O391*'Optimal Choice'!$B$9*AB391</f>
        <v>34500</v>
      </c>
      <c r="AJ391" s="15">
        <f>P391*'Optimal Choice'!$B$14*AC391</f>
        <v>148500</v>
      </c>
      <c r="AK391" s="15">
        <f>Q391*'Optimal Choice'!$B$19*AD391</f>
        <v>477000</v>
      </c>
      <c r="AL391" s="15">
        <f>R391*'Optimal Choice'!$B$24*AE391</f>
        <v>496800</v>
      </c>
      <c r="AO391" s="12">
        <f t="shared" ref="AO391:AS391" si="1169">if(isna(VLOOKUP(N391+1,$D$2:$E$10,2,false)),AO390, VLOOKUP(N391+1,$D$2:$E$10,2,false))</f>
        <v>50</v>
      </c>
      <c r="AP391" s="12">
        <f t="shared" si="1169"/>
        <v>25</v>
      </c>
      <c r="AQ391" s="12">
        <f t="shared" si="1169"/>
        <v>25</v>
      </c>
      <c r="AR391" s="12">
        <f t="shared" si="1169"/>
        <v>25</v>
      </c>
      <c r="AS391" s="12">
        <f t="shared" si="1169"/>
        <v>5</v>
      </c>
      <c r="AU391" s="11">
        <f t="shared" si="8"/>
        <v>0.08067758135</v>
      </c>
    </row>
    <row r="392" ht="15.75" customHeight="1">
      <c r="A392" s="16">
        <f t="shared" si="4"/>
        <v>13.30179676</v>
      </c>
      <c r="B392" s="7">
        <f>(sum(AH392:AL392))*'Optimal Choice'!$B$28</f>
        <v>1178826</v>
      </c>
      <c r="C392" s="11"/>
      <c r="D392" s="12"/>
      <c r="E392" s="12"/>
      <c r="F392" s="11"/>
      <c r="G392" s="11">
        <f>(T392/$B392)+(T392/('Optimal Choice'!$B$4*AO392))</f>
        <v>1966.334385</v>
      </c>
      <c r="H392" s="11">
        <f>(U392/$B392)+(U392/('Optimal Choice'!$B$9*AP392))</f>
        <v>2129.189119</v>
      </c>
      <c r="I392" s="11">
        <f>(V392/$B392)+(V392/('Optimal Choice'!$B$14*AQ392))</f>
        <v>2082.587016</v>
      </c>
      <c r="J392" s="11">
        <f>(W392/$B392)+(W392/('Optimal Choice'!$B$19*AR392))</f>
        <v>803.3203075</v>
      </c>
      <c r="K392" s="11">
        <f>(X392/$B392)+(X392/('Optimal Choice'!$B$24*AS392))</f>
        <v>1992.870323</v>
      </c>
      <c r="N392" s="12">
        <f t="shared" ref="N392:R392" si="1170">if(min($G391:$K391)=G391,N391+1,N391)</f>
        <v>156</v>
      </c>
      <c r="O392" s="12">
        <f t="shared" si="1170"/>
        <v>69</v>
      </c>
      <c r="P392" s="12">
        <f t="shared" si="1170"/>
        <v>66</v>
      </c>
      <c r="Q392" s="12">
        <f t="shared" si="1170"/>
        <v>54</v>
      </c>
      <c r="R392" s="12">
        <f t="shared" si="1170"/>
        <v>46</v>
      </c>
      <c r="T392" s="13">
        <f> 'Optimal Choice'!$B$5*'Optimal Choice'!$B$6^(N392+1)</f>
        <v>164177.292</v>
      </c>
      <c r="U392" s="13">
        <f> 'Optimal Choice'!$B$10*'Optimal Choice'!$B$11^(O392+1)</f>
        <v>1064143.202</v>
      </c>
      <c r="V392" s="13">
        <f> 'Optimal Choice'!$B$15*'Optimal Choice'!$B$16^(P392+1)</f>
        <v>4676894.098</v>
      </c>
      <c r="W392" s="13">
        <f> 'Optimal Choice'!$B$20*'Optimal Choice'!$B$21^(Q392+1)</f>
        <v>7175102.905</v>
      </c>
      <c r="X392" s="13">
        <f> 'Optimal Choice'!$B$25*'Optimal Choice'!$B$26^(R392+1)</f>
        <v>21327603.29</v>
      </c>
      <c r="AA392" s="12">
        <f t="shared" ref="AA392:AE392" si="1171">if(isna(VLOOKUP(N392,$D$2:$E$10,2,false)),AA391, VLOOKUP(N392,$D$2:$E$10,2,false))</f>
        <v>50</v>
      </c>
      <c r="AB392" s="12">
        <f t="shared" si="1171"/>
        <v>25</v>
      </c>
      <c r="AC392" s="12">
        <f t="shared" si="1171"/>
        <v>25</v>
      </c>
      <c r="AD392" s="12">
        <f t="shared" si="1171"/>
        <v>25</v>
      </c>
      <c r="AE392" s="12">
        <f t="shared" si="1171"/>
        <v>5</v>
      </c>
      <c r="AH392" s="15">
        <f>N392*'Optimal Choice'!$B$4*AA392</f>
        <v>13026</v>
      </c>
      <c r="AI392" s="15">
        <f>O392*'Optimal Choice'!$B$9*AB392</f>
        <v>34500</v>
      </c>
      <c r="AJ392" s="15">
        <f>P392*'Optimal Choice'!$B$14*AC392</f>
        <v>148500</v>
      </c>
      <c r="AK392" s="15">
        <f>Q392*'Optimal Choice'!$B$19*AD392</f>
        <v>486000</v>
      </c>
      <c r="AL392" s="15">
        <f>R392*'Optimal Choice'!$B$24*AE392</f>
        <v>496800</v>
      </c>
      <c r="AO392" s="12">
        <f t="shared" ref="AO392:AS392" si="1172">if(isna(VLOOKUP(N392+1,$D$2:$E$10,2,false)),AO391, VLOOKUP(N392+1,$D$2:$E$10,2,false))</f>
        <v>50</v>
      </c>
      <c r="AP392" s="12">
        <f t="shared" si="1172"/>
        <v>25</v>
      </c>
      <c r="AQ392" s="12">
        <f t="shared" si="1172"/>
        <v>25</v>
      </c>
      <c r="AR392" s="12">
        <f t="shared" si="1172"/>
        <v>25</v>
      </c>
      <c r="AS392" s="12">
        <f t="shared" si="1172"/>
        <v>5</v>
      </c>
      <c r="AU392" s="11">
        <f t="shared" si="8"/>
        <v>0.09046428825</v>
      </c>
    </row>
    <row r="393" ht="15.75" customHeight="1">
      <c r="A393" s="16">
        <f t="shared" si="4"/>
        <v>13.40324095</v>
      </c>
      <c r="B393" s="7">
        <f>(sum(AH393:AL393))*'Optimal Choice'!$B$28</f>
        <v>1187826</v>
      </c>
      <c r="C393" s="11"/>
      <c r="D393" s="12"/>
      <c r="E393" s="12"/>
      <c r="F393" s="11"/>
      <c r="G393" s="11">
        <f>(T393/$B393)+(T393/('Optimal Choice'!$B$4*AO393))</f>
        <v>1966.33333</v>
      </c>
      <c r="H393" s="11">
        <f>(U393/$B393)+(U393/('Optimal Choice'!$B$9*AP393))</f>
        <v>2129.182279</v>
      </c>
      <c r="I393" s="11">
        <f>(V393/$B393)+(V393/('Optimal Choice'!$B$14*AQ393))</f>
        <v>2082.556955</v>
      </c>
      <c r="J393" s="11">
        <f>(W393/$B393)+(W393/('Optimal Choice'!$B$19*AR393))</f>
        <v>907.6998344</v>
      </c>
      <c r="K393" s="11">
        <f>(X393/$B393)+(X393/('Optimal Choice'!$B$24*AS393))</f>
        <v>1992.733241</v>
      </c>
      <c r="N393" s="12">
        <f t="shared" ref="N393:R393" si="1173">if(min($G392:$K392)=G392,N392+1,N392)</f>
        <v>156</v>
      </c>
      <c r="O393" s="12">
        <f t="shared" si="1173"/>
        <v>69</v>
      </c>
      <c r="P393" s="12">
        <f t="shared" si="1173"/>
        <v>66</v>
      </c>
      <c r="Q393" s="12">
        <f t="shared" si="1173"/>
        <v>55</v>
      </c>
      <c r="R393" s="12">
        <f t="shared" si="1173"/>
        <v>46</v>
      </c>
      <c r="T393" s="13">
        <f> 'Optimal Choice'!$B$5*'Optimal Choice'!$B$6^(N393+1)</f>
        <v>164177.292</v>
      </c>
      <c r="U393" s="13">
        <f> 'Optimal Choice'!$B$10*'Optimal Choice'!$B$11^(O393+1)</f>
        <v>1064143.202</v>
      </c>
      <c r="V393" s="13">
        <f> 'Optimal Choice'!$B$15*'Optimal Choice'!$B$16^(P393+1)</f>
        <v>4676894.098</v>
      </c>
      <c r="W393" s="13">
        <f> 'Optimal Choice'!$B$20*'Optimal Choice'!$B$21^(Q393+1)</f>
        <v>8107866.282</v>
      </c>
      <c r="X393" s="13">
        <f> 'Optimal Choice'!$B$25*'Optimal Choice'!$B$26^(R393+1)</f>
        <v>21327603.29</v>
      </c>
      <c r="AA393" s="12">
        <f t="shared" ref="AA393:AE393" si="1174">if(isna(VLOOKUP(N393,$D$2:$E$10,2,false)),AA392, VLOOKUP(N393,$D$2:$E$10,2,false))</f>
        <v>50</v>
      </c>
      <c r="AB393" s="12">
        <f t="shared" si="1174"/>
        <v>25</v>
      </c>
      <c r="AC393" s="12">
        <f t="shared" si="1174"/>
        <v>25</v>
      </c>
      <c r="AD393" s="12">
        <f t="shared" si="1174"/>
        <v>25</v>
      </c>
      <c r="AE393" s="12">
        <f t="shared" si="1174"/>
        <v>5</v>
      </c>
      <c r="AH393" s="15">
        <f>N393*'Optimal Choice'!$B$4*AA393</f>
        <v>13026</v>
      </c>
      <c r="AI393" s="15">
        <f>O393*'Optimal Choice'!$B$9*AB393</f>
        <v>34500</v>
      </c>
      <c r="AJ393" s="15">
        <f>P393*'Optimal Choice'!$B$14*AC393</f>
        <v>148500</v>
      </c>
      <c r="AK393" s="15">
        <f>Q393*'Optimal Choice'!$B$19*AD393</f>
        <v>495000</v>
      </c>
      <c r="AL393" s="15">
        <f>R393*'Optimal Choice'!$B$24*AE393</f>
        <v>496800</v>
      </c>
      <c r="AO393" s="12">
        <f t="shared" ref="AO393:AS393" si="1175">if(isna(VLOOKUP(N393+1,$D$2:$E$10,2,false)),AO392, VLOOKUP(N393+1,$D$2:$E$10,2,false))</f>
        <v>50</v>
      </c>
      <c r="AP393" s="12">
        <f t="shared" si="1175"/>
        <v>25</v>
      </c>
      <c r="AQ393" s="12">
        <f t="shared" si="1175"/>
        <v>25</v>
      </c>
      <c r="AR393" s="12">
        <f t="shared" si="1175"/>
        <v>25</v>
      </c>
      <c r="AS393" s="12">
        <f t="shared" si="1175"/>
        <v>5</v>
      </c>
      <c r="AU393" s="11">
        <f t="shared" si="8"/>
        <v>0.1014441897</v>
      </c>
    </row>
    <row r="394" ht="15.75" customHeight="1">
      <c r="A394" s="16">
        <f t="shared" si="4"/>
        <v>13.51700433</v>
      </c>
      <c r="B394" s="7">
        <f>(sum(AH394:AL394))*'Optimal Choice'!$B$28</f>
        <v>1196826</v>
      </c>
      <c r="C394" s="11"/>
      <c r="D394" s="12"/>
      <c r="E394" s="12"/>
      <c r="F394" s="11"/>
      <c r="G394" s="11">
        <f>(T394/$B394)+(T394/('Optimal Choice'!$B$4*AO394))</f>
        <v>1966.332291</v>
      </c>
      <c r="H394" s="11">
        <f>(U394/$B394)+(U394/('Optimal Choice'!$B$9*AP394))</f>
        <v>2129.175542</v>
      </c>
      <c r="I394" s="11">
        <f>(V394/$B394)+(V394/('Optimal Choice'!$B$14*AQ394))</f>
        <v>2082.527347</v>
      </c>
      <c r="J394" s="11">
        <f>(W394/$B394)+(W394/('Optimal Choice'!$B$19*AR394))</f>
        <v>1025.642811</v>
      </c>
      <c r="K394" s="11">
        <f>(X394/$B394)+(X394/('Optimal Choice'!$B$24*AS394))</f>
        <v>1992.59822</v>
      </c>
      <c r="N394" s="12">
        <f t="shared" ref="N394:R394" si="1176">if(min($G393:$K393)=G393,N393+1,N393)</f>
        <v>156</v>
      </c>
      <c r="O394" s="12">
        <f t="shared" si="1176"/>
        <v>69</v>
      </c>
      <c r="P394" s="12">
        <f t="shared" si="1176"/>
        <v>66</v>
      </c>
      <c r="Q394" s="12">
        <f t="shared" si="1176"/>
        <v>56</v>
      </c>
      <c r="R394" s="12">
        <f t="shared" si="1176"/>
        <v>46</v>
      </c>
      <c r="T394" s="13">
        <f> 'Optimal Choice'!$B$5*'Optimal Choice'!$B$6^(N394+1)</f>
        <v>164177.292</v>
      </c>
      <c r="U394" s="13">
        <f> 'Optimal Choice'!$B$10*'Optimal Choice'!$B$11^(O394+1)</f>
        <v>1064143.202</v>
      </c>
      <c r="V394" s="13">
        <f> 'Optimal Choice'!$B$15*'Optimal Choice'!$B$16^(P394+1)</f>
        <v>4676894.098</v>
      </c>
      <c r="W394" s="13">
        <f> 'Optimal Choice'!$B$20*'Optimal Choice'!$B$21^(Q394+1)</f>
        <v>9161888.899</v>
      </c>
      <c r="X394" s="13">
        <f> 'Optimal Choice'!$B$25*'Optimal Choice'!$B$26^(R394+1)</f>
        <v>21327603.29</v>
      </c>
      <c r="AA394" s="12">
        <f t="shared" ref="AA394:AE394" si="1177">if(isna(VLOOKUP(N394,$D$2:$E$10,2,false)),AA393, VLOOKUP(N394,$D$2:$E$10,2,false))</f>
        <v>50</v>
      </c>
      <c r="AB394" s="12">
        <f t="shared" si="1177"/>
        <v>25</v>
      </c>
      <c r="AC394" s="12">
        <f t="shared" si="1177"/>
        <v>25</v>
      </c>
      <c r="AD394" s="12">
        <f t="shared" si="1177"/>
        <v>25</v>
      </c>
      <c r="AE394" s="12">
        <f t="shared" si="1177"/>
        <v>5</v>
      </c>
      <c r="AH394" s="15">
        <f>N394*'Optimal Choice'!$B$4*AA394</f>
        <v>13026</v>
      </c>
      <c r="AI394" s="15">
        <f>O394*'Optimal Choice'!$B$9*AB394</f>
        <v>34500</v>
      </c>
      <c r="AJ394" s="15">
        <f>P394*'Optimal Choice'!$B$14*AC394</f>
        <v>148500</v>
      </c>
      <c r="AK394" s="15">
        <f>Q394*'Optimal Choice'!$B$19*AD394</f>
        <v>504000</v>
      </c>
      <c r="AL394" s="15">
        <f>R394*'Optimal Choice'!$B$24*AE394</f>
        <v>496800</v>
      </c>
      <c r="AO394" s="12">
        <f t="shared" ref="AO394:AS394" si="1178">if(isna(VLOOKUP(N394+1,$D$2:$E$10,2,false)),AO393, VLOOKUP(N394+1,$D$2:$E$10,2,false))</f>
        <v>50</v>
      </c>
      <c r="AP394" s="12">
        <f t="shared" si="1178"/>
        <v>25</v>
      </c>
      <c r="AQ394" s="12">
        <f t="shared" si="1178"/>
        <v>25</v>
      </c>
      <c r="AR394" s="12">
        <f t="shared" si="1178"/>
        <v>25</v>
      </c>
      <c r="AS394" s="12">
        <f t="shared" si="1178"/>
        <v>5</v>
      </c>
      <c r="AU394" s="11">
        <f t="shared" si="8"/>
        <v>0.1137633834</v>
      </c>
    </row>
    <row r="395" ht="15.75" customHeight="1">
      <c r="A395" s="16">
        <f t="shared" si="4"/>
        <v>13.64459025</v>
      </c>
      <c r="B395" s="7">
        <f>(sum(AH395:AL395))*'Optimal Choice'!$B$28</f>
        <v>1205826</v>
      </c>
      <c r="C395" s="11"/>
      <c r="D395" s="12"/>
      <c r="E395" s="12"/>
      <c r="F395" s="11"/>
      <c r="G395" s="11">
        <f>(T395/$B395)+(T395/('Optimal Choice'!$B$4*AO395))</f>
        <v>1966.331267</v>
      </c>
      <c r="H395" s="11">
        <f>(U395/$B395)+(U395/('Optimal Choice'!$B$9*AP395))</f>
        <v>2129.168906</v>
      </c>
      <c r="I395" s="11">
        <f>(V395/$B395)+(V395/('Optimal Choice'!$B$14*AQ395))</f>
        <v>2082.49818</v>
      </c>
      <c r="J395" s="11">
        <f>(W395/$B395)+(W395/('Optimal Choice'!$B$19*AR395))</f>
        <v>1158.911812</v>
      </c>
      <c r="K395" s="11">
        <f>(X395/$B395)+(X395/('Optimal Choice'!$B$24*AS395))</f>
        <v>1992.465215</v>
      </c>
      <c r="N395" s="12">
        <f t="shared" ref="N395:R395" si="1179">if(min($G394:$K394)=G394,N394+1,N394)</f>
        <v>156</v>
      </c>
      <c r="O395" s="12">
        <f t="shared" si="1179"/>
        <v>69</v>
      </c>
      <c r="P395" s="12">
        <f t="shared" si="1179"/>
        <v>66</v>
      </c>
      <c r="Q395" s="12">
        <f t="shared" si="1179"/>
        <v>57</v>
      </c>
      <c r="R395" s="12">
        <f t="shared" si="1179"/>
        <v>46</v>
      </c>
      <c r="T395" s="13">
        <f> 'Optimal Choice'!$B$5*'Optimal Choice'!$B$6^(N395+1)</f>
        <v>164177.292</v>
      </c>
      <c r="U395" s="13">
        <f> 'Optimal Choice'!$B$10*'Optimal Choice'!$B$11^(O395+1)</f>
        <v>1064143.202</v>
      </c>
      <c r="V395" s="13">
        <f> 'Optimal Choice'!$B$15*'Optimal Choice'!$B$16^(P395+1)</f>
        <v>4676894.098</v>
      </c>
      <c r="W395" s="13">
        <f> 'Optimal Choice'!$B$20*'Optimal Choice'!$B$21^(Q395+1)</f>
        <v>10352934.46</v>
      </c>
      <c r="X395" s="13">
        <f> 'Optimal Choice'!$B$25*'Optimal Choice'!$B$26^(R395+1)</f>
        <v>21327603.29</v>
      </c>
      <c r="AA395" s="12">
        <f t="shared" ref="AA395:AE395" si="1180">if(isna(VLOOKUP(N395,$D$2:$E$10,2,false)),AA394, VLOOKUP(N395,$D$2:$E$10,2,false))</f>
        <v>50</v>
      </c>
      <c r="AB395" s="12">
        <f t="shared" si="1180"/>
        <v>25</v>
      </c>
      <c r="AC395" s="12">
        <f t="shared" si="1180"/>
        <v>25</v>
      </c>
      <c r="AD395" s="12">
        <f t="shared" si="1180"/>
        <v>25</v>
      </c>
      <c r="AE395" s="12">
        <f t="shared" si="1180"/>
        <v>5</v>
      </c>
      <c r="AH395" s="15">
        <f>N395*'Optimal Choice'!$B$4*AA395</f>
        <v>13026</v>
      </c>
      <c r="AI395" s="15">
        <f>O395*'Optimal Choice'!$B$9*AB395</f>
        <v>34500</v>
      </c>
      <c r="AJ395" s="15">
        <f>P395*'Optimal Choice'!$B$14*AC395</f>
        <v>148500</v>
      </c>
      <c r="AK395" s="15">
        <f>Q395*'Optimal Choice'!$B$19*AD395</f>
        <v>513000</v>
      </c>
      <c r="AL395" s="15">
        <f>R395*'Optimal Choice'!$B$24*AE395</f>
        <v>496800</v>
      </c>
      <c r="AO395" s="12">
        <f t="shared" ref="AO395:AS395" si="1181">if(isna(VLOOKUP(N395+1,$D$2:$E$10,2,false)),AO394, VLOOKUP(N395+1,$D$2:$E$10,2,false))</f>
        <v>50</v>
      </c>
      <c r="AP395" s="12">
        <f t="shared" si="1181"/>
        <v>25</v>
      </c>
      <c r="AQ395" s="12">
        <f t="shared" si="1181"/>
        <v>25</v>
      </c>
      <c r="AR395" s="12">
        <f t="shared" si="1181"/>
        <v>25</v>
      </c>
      <c r="AS395" s="12">
        <f t="shared" si="1181"/>
        <v>5</v>
      </c>
      <c r="AU395" s="11">
        <f t="shared" si="8"/>
        <v>0.1275859217</v>
      </c>
    </row>
    <row r="396" ht="15.75" customHeight="1">
      <c r="A396" s="16">
        <f t="shared" si="4"/>
        <v>13.78768628</v>
      </c>
      <c r="B396" s="7">
        <f>(sum(AH396:AL396))*'Optimal Choice'!$B$28</f>
        <v>1214826</v>
      </c>
      <c r="C396" s="11"/>
      <c r="D396" s="12"/>
      <c r="E396" s="12"/>
      <c r="F396" s="11"/>
      <c r="G396" s="11">
        <f>(T396/$B396)+(T396/('Optimal Choice'!$B$4*AO396))</f>
        <v>1966.330258</v>
      </c>
      <c r="H396" s="11">
        <f>(U396/$B396)+(U396/('Optimal Choice'!$B$9*AP396))</f>
        <v>2129.162368</v>
      </c>
      <c r="I396" s="11">
        <f>(V396/$B396)+(V396/('Optimal Choice'!$B$14*AQ396))</f>
        <v>2082.469446</v>
      </c>
      <c r="J396" s="11">
        <f>(W396/$B396)+(W396/('Optimal Choice'!$B$19*AR396))</f>
        <v>1309.498471</v>
      </c>
      <c r="K396" s="11">
        <f>(X396/$B396)+(X396/('Optimal Choice'!$B$24*AS396))</f>
        <v>1992.33418</v>
      </c>
      <c r="N396" s="12">
        <f t="shared" ref="N396:R396" si="1182">if(min($G395:$K395)=G395,N395+1,N395)</f>
        <v>156</v>
      </c>
      <c r="O396" s="12">
        <f t="shared" si="1182"/>
        <v>69</v>
      </c>
      <c r="P396" s="12">
        <f t="shared" si="1182"/>
        <v>66</v>
      </c>
      <c r="Q396" s="12">
        <f t="shared" si="1182"/>
        <v>58</v>
      </c>
      <c r="R396" s="12">
        <f t="shared" si="1182"/>
        <v>46</v>
      </c>
      <c r="T396" s="13">
        <f> 'Optimal Choice'!$B$5*'Optimal Choice'!$B$6^(N396+1)</f>
        <v>164177.292</v>
      </c>
      <c r="U396" s="13">
        <f> 'Optimal Choice'!$B$10*'Optimal Choice'!$B$11^(O396+1)</f>
        <v>1064143.202</v>
      </c>
      <c r="V396" s="13">
        <f> 'Optimal Choice'!$B$15*'Optimal Choice'!$B$16^(P396+1)</f>
        <v>4676894.098</v>
      </c>
      <c r="W396" s="13">
        <f> 'Optimal Choice'!$B$20*'Optimal Choice'!$B$21^(Q396+1)</f>
        <v>11698815.94</v>
      </c>
      <c r="X396" s="13">
        <f> 'Optimal Choice'!$B$25*'Optimal Choice'!$B$26^(R396+1)</f>
        <v>21327603.29</v>
      </c>
      <c r="AA396" s="12">
        <f t="shared" ref="AA396:AE396" si="1183">if(isna(VLOOKUP(N396,$D$2:$E$10,2,false)),AA395, VLOOKUP(N396,$D$2:$E$10,2,false))</f>
        <v>50</v>
      </c>
      <c r="AB396" s="12">
        <f t="shared" si="1183"/>
        <v>25</v>
      </c>
      <c r="AC396" s="12">
        <f t="shared" si="1183"/>
        <v>25</v>
      </c>
      <c r="AD396" s="12">
        <f t="shared" si="1183"/>
        <v>25</v>
      </c>
      <c r="AE396" s="12">
        <f t="shared" si="1183"/>
        <v>5</v>
      </c>
      <c r="AH396" s="15">
        <f>N396*'Optimal Choice'!$B$4*AA396</f>
        <v>13026</v>
      </c>
      <c r="AI396" s="15">
        <f>O396*'Optimal Choice'!$B$9*AB396</f>
        <v>34500</v>
      </c>
      <c r="AJ396" s="15">
        <f>P396*'Optimal Choice'!$B$14*AC396</f>
        <v>148500</v>
      </c>
      <c r="AK396" s="15">
        <f>Q396*'Optimal Choice'!$B$19*AD396</f>
        <v>522000</v>
      </c>
      <c r="AL396" s="15">
        <f>R396*'Optimal Choice'!$B$24*AE396</f>
        <v>496800</v>
      </c>
      <c r="AO396" s="12">
        <f t="shared" ref="AO396:AS396" si="1184">if(isna(VLOOKUP(N396+1,$D$2:$E$10,2,false)),AO395, VLOOKUP(N396+1,$D$2:$E$10,2,false))</f>
        <v>50</v>
      </c>
      <c r="AP396" s="12">
        <f t="shared" si="1184"/>
        <v>25</v>
      </c>
      <c r="AQ396" s="12">
        <f t="shared" si="1184"/>
        <v>25</v>
      </c>
      <c r="AR396" s="12">
        <f t="shared" si="1184"/>
        <v>25</v>
      </c>
      <c r="AS396" s="12">
        <f t="shared" si="1184"/>
        <v>5</v>
      </c>
      <c r="AU396" s="11">
        <f t="shared" si="8"/>
        <v>0.1430960251</v>
      </c>
    </row>
    <row r="397" ht="15.75" customHeight="1">
      <c r="A397" s="16">
        <f t="shared" si="4"/>
        <v>13.94818685</v>
      </c>
      <c r="B397" s="7">
        <f>(sum(AH397:AL397))*'Optimal Choice'!$B$28</f>
        <v>1223826</v>
      </c>
      <c r="C397" s="11"/>
      <c r="D397" s="12"/>
      <c r="E397" s="12"/>
      <c r="F397" s="11"/>
      <c r="G397" s="11">
        <f>(T397/$B397)+(T397/('Optimal Choice'!$B$4*AO397))</f>
        <v>1966.329264</v>
      </c>
      <c r="H397" s="11">
        <f>(U397/$B397)+(U397/('Optimal Choice'!$B$9*AP397))</f>
        <v>2129.155926</v>
      </c>
      <c r="I397" s="11">
        <f>(V397/$B397)+(V397/('Optimal Choice'!$B$14*AQ397))</f>
        <v>2082.441134</v>
      </c>
      <c r="J397" s="11">
        <f>(W397/$B397)+(W397/('Optimal Choice'!$B$19*AR397))</f>
        <v>1479.653247</v>
      </c>
      <c r="K397" s="11">
        <f>(X397/$B397)+(X397/('Optimal Choice'!$B$24*AS397))</f>
        <v>1992.205073</v>
      </c>
      <c r="N397" s="12">
        <f t="shared" ref="N397:R397" si="1185">if(min($G396:$K396)=G396,N396+1,N396)</f>
        <v>156</v>
      </c>
      <c r="O397" s="12">
        <f t="shared" si="1185"/>
        <v>69</v>
      </c>
      <c r="P397" s="12">
        <f t="shared" si="1185"/>
        <v>66</v>
      </c>
      <c r="Q397" s="12">
        <f t="shared" si="1185"/>
        <v>59</v>
      </c>
      <c r="R397" s="12">
        <f t="shared" si="1185"/>
        <v>46</v>
      </c>
      <c r="T397" s="13">
        <f> 'Optimal Choice'!$B$5*'Optimal Choice'!$B$6^(N397+1)</f>
        <v>164177.292</v>
      </c>
      <c r="U397" s="13">
        <f> 'Optimal Choice'!$B$10*'Optimal Choice'!$B$11^(O397+1)</f>
        <v>1064143.202</v>
      </c>
      <c r="V397" s="13">
        <f> 'Optimal Choice'!$B$15*'Optimal Choice'!$B$16^(P397+1)</f>
        <v>4676894.098</v>
      </c>
      <c r="W397" s="13">
        <f> 'Optimal Choice'!$B$20*'Optimal Choice'!$B$21^(Q397+1)</f>
        <v>13219662.01</v>
      </c>
      <c r="X397" s="13">
        <f> 'Optimal Choice'!$B$25*'Optimal Choice'!$B$26^(R397+1)</f>
        <v>21327603.29</v>
      </c>
      <c r="AA397" s="12">
        <f t="shared" ref="AA397:AE397" si="1186">if(isna(VLOOKUP(N397,$D$2:$E$10,2,false)),AA396, VLOOKUP(N397,$D$2:$E$10,2,false))</f>
        <v>50</v>
      </c>
      <c r="AB397" s="12">
        <f t="shared" si="1186"/>
        <v>25</v>
      </c>
      <c r="AC397" s="12">
        <f t="shared" si="1186"/>
        <v>25</v>
      </c>
      <c r="AD397" s="12">
        <f t="shared" si="1186"/>
        <v>25</v>
      </c>
      <c r="AE397" s="12">
        <f t="shared" si="1186"/>
        <v>5</v>
      </c>
      <c r="AH397" s="15">
        <f>N397*'Optimal Choice'!$B$4*AA397</f>
        <v>13026</v>
      </c>
      <c r="AI397" s="15">
        <f>O397*'Optimal Choice'!$B$9*AB397</f>
        <v>34500</v>
      </c>
      <c r="AJ397" s="15">
        <f>P397*'Optimal Choice'!$B$14*AC397</f>
        <v>148500</v>
      </c>
      <c r="AK397" s="15">
        <f>Q397*'Optimal Choice'!$B$19*AD397</f>
        <v>531000</v>
      </c>
      <c r="AL397" s="15">
        <f>R397*'Optimal Choice'!$B$24*AE397</f>
        <v>496800</v>
      </c>
      <c r="AO397" s="12">
        <f t="shared" ref="AO397:AS397" si="1187">if(isna(VLOOKUP(N397+1,$D$2:$E$10,2,false)),AO396, VLOOKUP(N397+1,$D$2:$E$10,2,false))</f>
        <v>50</v>
      </c>
      <c r="AP397" s="12">
        <f t="shared" si="1187"/>
        <v>25</v>
      </c>
      <c r="AQ397" s="12">
        <f t="shared" si="1187"/>
        <v>25</v>
      </c>
      <c r="AR397" s="12">
        <f t="shared" si="1187"/>
        <v>25</v>
      </c>
      <c r="AS397" s="12">
        <f t="shared" si="1187"/>
        <v>5</v>
      </c>
      <c r="AU397" s="11">
        <f t="shared" si="8"/>
        <v>0.1605005701</v>
      </c>
    </row>
    <row r="398" ht="15.75" customHeight="1">
      <c r="A398" s="16">
        <f t="shared" si="4"/>
        <v>14.12821873</v>
      </c>
      <c r="B398" s="7">
        <f>(sum(AH398:AL398))*'Optimal Choice'!$B$28</f>
        <v>1232826</v>
      </c>
      <c r="C398" s="11"/>
      <c r="D398" s="12"/>
      <c r="E398" s="12"/>
      <c r="F398" s="11"/>
      <c r="G398" s="11">
        <f>(T398/$B398)+(T398/('Optimal Choice'!$B$4*AO398))</f>
        <v>1966.328285</v>
      </c>
      <c r="H398" s="11">
        <f>(U398/$B398)+(U398/('Optimal Choice'!$B$9*AP398))</f>
        <v>2129.149579</v>
      </c>
      <c r="I398" s="11">
        <f>(V398/$B398)+(V398/('Optimal Choice'!$B$14*AQ398))</f>
        <v>2082.413236</v>
      </c>
      <c r="J398" s="11">
        <f>(W398/$B398)+(W398/('Optimal Choice'!$B$19*AR398))</f>
        <v>1671.919061</v>
      </c>
      <c r="K398" s="11">
        <f>(X398/$B398)+(X398/('Optimal Choice'!$B$24*AS398))</f>
        <v>1992.07785</v>
      </c>
      <c r="N398" s="12">
        <f t="shared" ref="N398:R398" si="1188">if(min($G397:$K397)=G397,N397+1,N397)</f>
        <v>156</v>
      </c>
      <c r="O398" s="12">
        <f t="shared" si="1188"/>
        <v>69</v>
      </c>
      <c r="P398" s="12">
        <f t="shared" si="1188"/>
        <v>66</v>
      </c>
      <c r="Q398" s="12">
        <f t="shared" si="1188"/>
        <v>60</v>
      </c>
      <c r="R398" s="12">
        <f t="shared" si="1188"/>
        <v>46</v>
      </c>
      <c r="T398" s="13">
        <f> 'Optimal Choice'!$B$5*'Optimal Choice'!$B$6^(N398+1)</f>
        <v>164177.292</v>
      </c>
      <c r="U398" s="13">
        <f> 'Optimal Choice'!$B$10*'Optimal Choice'!$B$11^(O398+1)</f>
        <v>1064143.202</v>
      </c>
      <c r="V398" s="13">
        <f> 'Optimal Choice'!$B$15*'Optimal Choice'!$B$16^(P398+1)</f>
        <v>4676894.098</v>
      </c>
      <c r="W398" s="13">
        <f> 'Optimal Choice'!$B$20*'Optimal Choice'!$B$21^(Q398+1)</f>
        <v>14938218.07</v>
      </c>
      <c r="X398" s="13">
        <f> 'Optimal Choice'!$B$25*'Optimal Choice'!$B$26^(R398+1)</f>
        <v>21327603.29</v>
      </c>
      <c r="AA398" s="12">
        <f t="shared" ref="AA398:AE398" si="1189">if(isna(VLOOKUP(N398,$D$2:$E$10,2,false)),AA397, VLOOKUP(N398,$D$2:$E$10,2,false))</f>
        <v>50</v>
      </c>
      <c r="AB398" s="12">
        <f t="shared" si="1189"/>
        <v>25</v>
      </c>
      <c r="AC398" s="12">
        <f t="shared" si="1189"/>
        <v>25</v>
      </c>
      <c r="AD398" s="12">
        <f t="shared" si="1189"/>
        <v>25</v>
      </c>
      <c r="AE398" s="12">
        <f t="shared" si="1189"/>
        <v>5</v>
      </c>
      <c r="AH398" s="15">
        <f>N398*'Optimal Choice'!$B$4*AA398</f>
        <v>13026</v>
      </c>
      <c r="AI398" s="15">
        <f>O398*'Optimal Choice'!$B$9*AB398</f>
        <v>34500</v>
      </c>
      <c r="AJ398" s="15">
        <f>P398*'Optimal Choice'!$B$14*AC398</f>
        <v>148500</v>
      </c>
      <c r="AK398" s="15">
        <f>Q398*'Optimal Choice'!$B$19*AD398</f>
        <v>540000</v>
      </c>
      <c r="AL398" s="15">
        <f>R398*'Optimal Choice'!$B$24*AE398</f>
        <v>496800</v>
      </c>
      <c r="AO398" s="12">
        <f t="shared" ref="AO398:AS398" si="1190">if(isna(VLOOKUP(N398+1,$D$2:$E$10,2,false)),AO397, VLOOKUP(N398+1,$D$2:$E$10,2,false))</f>
        <v>50</v>
      </c>
      <c r="AP398" s="12">
        <f t="shared" si="1190"/>
        <v>25</v>
      </c>
      <c r="AQ398" s="12">
        <f t="shared" si="1190"/>
        <v>25</v>
      </c>
      <c r="AR398" s="12">
        <f t="shared" si="1190"/>
        <v>25</v>
      </c>
      <c r="AS398" s="12">
        <f t="shared" si="1190"/>
        <v>5</v>
      </c>
      <c r="AU398" s="11">
        <f t="shared" si="8"/>
        <v>0.1800318837</v>
      </c>
    </row>
    <row r="399" ht="15.75" customHeight="1">
      <c r="A399" s="16">
        <f t="shared" si="4"/>
        <v>14.33016962</v>
      </c>
      <c r="B399" s="7">
        <f>(sum(AH399:AL399))*'Optimal Choice'!$B$28</f>
        <v>1241826</v>
      </c>
      <c r="C399" s="11"/>
      <c r="D399" s="12"/>
      <c r="E399" s="12"/>
      <c r="F399" s="11"/>
      <c r="G399" s="11">
        <f>(T399/$B399)+(T399/('Optimal Choice'!$B$4*AO399))</f>
        <v>1966.32732</v>
      </c>
      <c r="H399" s="11">
        <f>(U399/$B399)+(U399/('Optimal Choice'!$B$9*AP399))</f>
        <v>2129.143323</v>
      </c>
      <c r="I399" s="11">
        <f>(V399/$B399)+(V399/('Optimal Choice'!$B$14*AQ399))</f>
        <v>2082.385742</v>
      </c>
      <c r="J399" s="11">
        <f>(W399/$B399)+(W399/('Optimal Choice'!$B$19*AR399))</f>
        <v>1889.169305</v>
      </c>
      <c r="K399" s="11">
        <f>(X399/$B399)+(X399/('Optimal Choice'!$B$24*AS399))</f>
        <v>1991.952472</v>
      </c>
      <c r="N399" s="12">
        <f t="shared" ref="N399:R399" si="1191">if(min($G398:$K398)=G398,N398+1,N398)</f>
        <v>156</v>
      </c>
      <c r="O399" s="12">
        <f t="shared" si="1191"/>
        <v>69</v>
      </c>
      <c r="P399" s="12">
        <f t="shared" si="1191"/>
        <v>66</v>
      </c>
      <c r="Q399" s="12">
        <f t="shared" si="1191"/>
        <v>61</v>
      </c>
      <c r="R399" s="12">
        <f t="shared" si="1191"/>
        <v>46</v>
      </c>
      <c r="T399" s="13">
        <f> 'Optimal Choice'!$B$5*'Optimal Choice'!$B$6^(N399+1)</f>
        <v>164177.292</v>
      </c>
      <c r="U399" s="13">
        <f> 'Optimal Choice'!$B$10*'Optimal Choice'!$B$11^(O399+1)</f>
        <v>1064143.202</v>
      </c>
      <c r="V399" s="13">
        <f> 'Optimal Choice'!$B$15*'Optimal Choice'!$B$16^(P399+1)</f>
        <v>4676894.098</v>
      </c>
      <c r="W399" s="13">
        <f> 'Optimal Choice'!$B$20*'Optimal Choice'!$B$21^(Q399+1)</f>
        <v>16880186.42</v>
      </c>
      <c r="X399" s="13">
        <f> 'Optimal Choice'!$B$25*'Optimal Choice'!$B$26^(R399+1)</f>
        <v>21327603.29</v>
      </c>
      <c r="AA399" s="12">
        <f t="shared" ref="AA399:AE399" si="1192">if(isna(VLOOKUP(N399,$D$2:$E$10,2,false)),AA398, VLOOKUP(N399,$D$2:$E$10,2,false))</f>
        <v>50</v>
      </c>
      <c r="AB399" s="12">
        <f t="shared" si="1192"/>
        <v>25</v>
      </c>
      <c r="AC399" s="12">
        <f t="shared" si="1192"/>
        <v>25</v>
      </c>
      <c r="AD399" s="12">
        <f t="shared" si="1192"/>
        <v>25</v>
      </c>
      <c r="AE399" s="12">
        <f t="shared" si="1192"/>
        <v>5</v>
      </c>
      <c r="AH399" s="15">
        <f>N399*'Optimal Choice'!$B$4*AA399</f>
        <v>13026</v>
      </c>
      <c r="AI399" s="15">
        <f>O399*'Optimal Choice'!$B$9*AB399</f>
        <v>34500</v>
      </c>
      <c r="AJ399" s="15">
        <f>P399*'Optimal Choice'!$B$14*AC399</f>
        <v>148500</v>
      </c>
      <c r="AK399" s="15">
        <f>Q399*'Optimal Choice'!$B$19*AD399</f>
        <v>549000</v>
      </c>
      <c r="AL399" s="15">
        <f>R399*'Optimal Choice'!$B$24*AE399</f>
        <v>496800</v>
      </c>
      <c r="AO399" s="12">
        <f t="shared" ref="AO399:AS399" si="1193">if(isna(VLOOKUP(N399+1,$D$2:$E$10,2,false)),AO398, VLOOKUP(N399+1,$D$2:$E$10,2,false))</f>
        <v>50</v>
      </c>
      <c r="AP399" s="12">
        <f t="shared" si="1193"/>
        <v>25</v>
      </c>
      <c r="AQ399" s="12">
        <f t="shared" si="1193"/>
        <v>25</v>
      </c>
      <c r="AR399" s="12">
        <f t="shared" si="1193"/>
        <v>25</v>
      </c>
      <c r="AS399" s="12">
        <f t="shared" si="1193"/>
        <v>5</v>
      </c>
      <c r="AU399" s="11">
        <f t="shared" si="8"/>
        <v>0.2019508845</v>
      </c>
    </row>
    <row r="400" ht="15.75" customHeight="1">
      <c r="A400" s="16">
        <f t="shared" si="4"/>
        <v>14.55672023</v>
      </c>
      <c r="B400" s="7">
        <f>(sum(AH400:AL400))*'Optimal Choice'!$B$28</f>
        <v>1250826</v>
      </c>
      <c r="C400" s="11"/>
      <c r="D400" s="12"/>
      <c r="E400" s="12"/>
      <c r="F400" s="11"/>
      <c r="G400" s="11">
        <f>(T400/$B400)+(T400/('Optimal Choice'!$B$4*AO400))</f>
        <v>1966.326369</v>
      </c>
      <c r="H400" s="11">
        <f>(U400/$B400)+(U400/('Optimal Choice'!$B$9*AP400))</f>
        <v>2129.137157</v>
      </c>
      <c r="I400" s="11">
        <f>(V400/$B400)+(V400/('Optimal Choice'!$B$14*AQ400))</f>
        <v>2082.358643</v>
      </c>
      <c r="J400" s="11">
        <f>(W400/$B400)+(W400/('Optimal Choice'!$B$19*AR400))</f>
        <v>2134.650795</v>
      </c>
      <c r="K400" s="11">
        <f>(X400/$B400)+(X400/('Optimal Choice'!$B$24*AS400))</f>
        <v>1991.828898</v>
      </c>
      <c r="N400" s="12">
        <f t="shared" ref="N400:R400" si="1194">if(min($G399:$K399)=G399,N399+1,N399)</f>
        <v>156</v>
      </c>
      <c r="O400" s="12">
        <f t="shared" si="1194"/>
        <v>69</v>
      </c>
      <c r="P400" s="12">
        <f t="shared" si="1194"/>
        <v>66</v>
      </c>
      <c r="Q400" s="12">
        <f t="shared" si="1194"/>
        <v>62</v>
      </c>
      <c r="R400" s="12">
        <f t="shared" si="1194"/>
        <v>46</v>
      </c>
      <c r="T400" s="13">
        <f> 'Optimal Choice'!$B$5*'Optimal Choice'!$B$6^(N400+1)</f>
        <v>164177.292</v>
      </c>
      <c r="U400" s="13">
        <f> 'Optimal Choice'!$B$10*'Optimal Choice'!$B$11^(O400+1)</f>
        <v>1064143.202</v>
      </c>
      <c r="V400" s="13">
        <f> 'Optimal Choice'!$B$15*'Optimal Choice'!$B$16^(P400+1)</f>
        <v>4676894.098</v>
      </c>
      <c r="W400" s="13">
        <f> 'Optimal Choice'!$B$20*'Optimal Choice'!$B$21^(Q400+1)</f>
        <v>19074610.65</v>
      </c>
      <c r="X400" s="13">
        <f> 'Optimal Choice'!$B$25*'Optimal Choice'!$B$26^(R400+1)</f>
        <v>21327603.29</v>
      </c>
      <c r="AA400" s="12">
        <f t="shared" ref="AA400:AE400" si="1195">if(isna(VLOOKUP(N400,$D$2:$E$10,2,false)),AA399, VLOOKUP(N400,$D$2:$E$10,2,false))</f>
        <v>50</v>
      </c>
      <c r="AB400" s="12">
        <f t="shared" si="1195"/>
        <v>25</v>
      </c>
      <c r="AC400" s="12">
        <f t="shared" si="1195"/>
        <v>25</v>
      </c>
      <c r="AD400" s="12">
        <f t="shared" si="1195"/>
        <v>25</v>
      </c>
      <c r="AE400" s="12">
        <f t="shared" si="1195"/>
        <v>5</v>
      </c>
      <c r="AH400" s="15">
        <f>N400*'Optimal Choice'!$B$4*AA400</f>
        <v>13026</v>
      </c>
      <c r="AI400" s="15">
        <f>O400*'Optimal Choice'!$B$9*AB400</f>
        <v>34500</v>
      </c>
      <c r="AJ400" s="15">
        <f>P400*'Optimal Choice'!$B$14*AC400</f>
        <v>148500</v>
      </c>
      <c r="AK400" s="15">
        <f>Q400*'Optimal Choice'!$B$19*AD400</f>
        <v>558000</v>
      </c>
      <c r="AL400" s="15">
        <f>R400*'Optimal Choice'!$B$24*AE400</f>
        <v>496800</v>
      </c>
      <c r="AO400" s="12">
        <f t="shared" ref="AO400:AS400" si="1196">if(isna(VLOOKUP(N400+1,$D$2:$E$10,2,false)),AO399, VLOOKUP(N400+1,$D$2:$E$10,2,false))</f>
        <v>50</v>
      </c>
      <c r="AP400" s="12">
        <f t="shared" si="1196"/>
        <v>25</v>
      </c>
      <c r="AQ400" s="12">
        <f t="shared" si="1196"/>
        <v>25</v>
      </c>
      <c r="AR400" s="12">
        <f t="shared" si="1196"/>
        <v>25</v>
      </c>
      <c r="AS400" s="12">
        <f t="shared" si="1196"/>
        <v>5</v>
      </c>
      <c r="AU400" s="11">
        <f t="shared" si="8"/>
        <v>0.226550612</v>
      </c>
    </row>
    <row r="401" ht="15.75" customHeight="1">
      <c r="A401" s="16">
        <f t="shared" si="4"/>
        <v>14.55890781</v>
      </c>
      <c r="B401" s="7">
        <f>(sum(AH401:AL401))*'Optimal Choice'!$B$28</f>
        <v>1250909.5</v>
      </c>
      <c r="C401" s="11"/>
      <c r="D401" s="12"/>
      <c r="E401" s="12"/>
      <c r="F401" s="11"/>
      <c r="G401" s="11">
        <f>(T401/$B401)+(T401/('Optimal Choice'!$B$4*AO401))</f>
        <v>2103.969205</v>
      </c>
      <c r="H401" s="11">
        <f>(U401/$B401)+(U401/('Optimal Choice'!$B$9*AP401))</f>
        <v>2129.1371</v>
      </c>
      <c r="I401" s="11">
        <f>(V401/$B401)+(V401/('Optimal Choice'!$B$14*AQ401))</f>
        <v>2082.358394</v>
      </c>
      <c r="J401" s="11">
        <f>(W401/$B401)+(W401/('Optimal Choice'!$B$19*AR401))</f>
        <v>2134.649777</v>
      </c>
      <c r="K401" s="11">
        <f>(X401/$B401)+(X401/('Optimal Choice'!$B$24*AS401))</f>
        <v>1991.82776</v>
      </c>
      <c r="N401" s="12">
        <f t="shared" ref="N401:R401" si="1197">if(min($G400:$K400)=G400,N400+1,N400)</f>
        <v>157</v>
      </c>
      <c r="O401" s="12">
        <f t="shared" si="1197"/>
        <v>69</v>
      </c>
      <c r="P401" s="12">
        <f t="shared" si="1197"/>
        <v>66</v>
      </c>
      <c r="Q401" s="12">
        <f t="shared" si="1197"/>
        <v>62</v>
      </c>
      <c r="R401" s="12">
        <f t="shared" si="1197"/>
        <v>46</v>
      </c>
      <c r="T401" s="13">
        <f> 'Optimal Choice'!$B$5*'Optimal Choice'!$B$6^(N401+1)</f>
        <v>175669.7024</v>
      </c>
      <c r="U401" s="13">
        <f> 'Optimal Choice'!$B$10*'Optimal Choice'!$B$11^(O401+1)</f>
        <v>1064143.202</v>
      </c>
      <c r="V401" s="13">
        <f> 'Optimal Choice'!$B$15*'Optimal Choice'!$B$16^(P401+1)</f>
        <v>4676894.098</v>
      </c>
      <c r="W401" s="13">
        <f> 'Optimal Choice'!$B$20*'Optimal Choice'!$B$21^(Q401+1)</f>
        <v>19074610.65</v>
      </c>
      <c r="X401" s="13">
        <f> 'Optimal Choice'!$B$25*'Optimal Choice'!$B$26^(R401+1)</f>
        <v>21327603.29</v>
      </c>
      <c r="AA401" s="12">
        <f t="shared" ref="AA401:AE401" si="1198">if(isna(VLOOKUP(N401,$D$2:$E$10,2,false)),AA400, VLOOKUP(N401,$D$2:$E$10,2,false))</f>
        <v>50</v>
      </c>
      <c r="AB401" s="12">
        <f t="shared" si="1198"/>
        <v>25</v>
      </c>
      <c r="AC401" s="12">
        <f t="shared" si="1198"/>
        <v>25</v>
      </c>
      <c r="AD401" s="12">
        <f t="shared" si="1198"/>
        <v>25</v>
      </c>
      <c r="AE401" s="12">
        <f t="shared" si="1198"/>
        <v>5</v>
      </c>
      <c r="AH401" s="15">
        <f>N401*'Optimal Choice'!$B$4*AA401</f>
        <v>13109.5</v>
      </c>
      <c r="AI401" s="15">
        <f>O401*'Optimal Choice'!$B$9*AB401</f>
        <v>34500</v>
      </c>
      <c r="AJ401" s="15">
        <f>P401*'Optimal Choice'!$B$14*AC401</f>
        <v>148500</v>
      </c>
      <c r="AK401" s="15">
        <f>Q401*'Optimal Choice'!$B$19*AD401</f>
        <v>558000</v>
      </c>
      <c r="AL401" s="15">
        <f>R401*'Optimal Choice'!$B$24*AE401</f>
        <v>496800</v>
      </c>
      <c r="AO401" s="12">
        <f t="shared" ref="AO401:AS401" si="1199">if(isna(VLOOKUP(N401+1,$D$2:$E$10,2,false)),AO400, VLOOKUP(N401+1,$D$2:$E$10,2,false))</f>
        <v>50</v>
      </c>
      <c r="AP401" s="12">
        <f t="shared" si="1199"/>
        <v>25</v>
      </c>
      <c r="AQ401" s="12">
        <f t="shared" si="1199"/>
        <v>25</v>
      </c>
      <c r="AR401" s="12">
        <f t="shared" si="1199"/>
        <v>25</v>
      </c>
      <c r="AS401" s="12">
        <f t="shared" si="1199"/>
        <v>5</v>
      </c>
      <c r="AU401" s="11">
        <f t="shared" si="8"/>
        <v>0.002187585003</v>
      </c>
    </row>
    <row r="402" ht="15.75" customHeight="1">
      <c r="A402" s="16">
        <f t="shared" si="4"/>
        <v>14.8430691</v>
      </c>
      <c r="B402" s="7">
        <f>(sum(AH402:AL402))*'Optimal Choice'!$B$28</f>
        <v>1261709.5</v>
      </c>
      <c r="C402" s="11"/>
      <c r="D402" s="12"/>
      <c r="E402" s="12"/>
      <c r="F402" s="11"/>
      <c r="G402" s="11">
        <f>(T402/$B402)+(T402/('Optimal Choice'!$B$4*AO402))</f>
        <v>2103.968003</v>
      </c>
      <c r="H402" s="11">
        <f>(U402/$B402)+(U402/('Optimal Choice'!$B$9*AP402))</f>
        <v>2129.129818</v>
      </c>
      <c r="I402" s="11">
        <f>(V402/$B402)+(V402/('Optimal Choice'!$B$14*AQ402))</f>
        <v>2082.326391</v>
      </c>
      <c r="J402" s="11">
        <f>(W402/$B402)+(W402/('Optimal Choice'!$B$19*AR402))</f>
        <v>2134.519252</v>
      </c>
      <c r="K402" s="11">
        <f>(X402/$B402)+(X402/('Optimal Choice'!$B$24*AS402))</f>
        <v>2230.683636</v>
      </c>
      <c r="N402" s="12">
        <f t="shared" ref="N402:R402" si="1200">if(min($G401:$K401)=G401,N401+1,N401)</f>
        <v>157</v>
      </c>
      <c r="O402" s="12">
        <f t="shared" si="1200"/>
        <v>69</v>
      </c>
      <c r="P402" s="12">
        <f t="shared" si="1200"/>
        <v>66</v>
      </c>
      <c r="Q402" s="12">
        <f t="shared" si="1200"/>
        <v>62</v>
      </c>
      <c r="R402" s="12">
        <f t="shared" si="1200"/>
        <v>47</v>
      </c>
      <c r="T402" s="13">
        <f> 'Optimal Choice'!$B$5*'Optimal Choice'!$B$6^(N402+1)</f>
        <v>175669.7024</v>
      </c>
      <c r="U402" s="13">
        <f> 'Optimal Choice'!$B$10*'Optimal Choice'!$B$11^(O402+1)</f>
        <v>1064143.202</v>
      </c>
      <c r="V402" s="13">
        <f> 'Optimal Choice'!$B$15*'Optimal Choice'!$B$16^(P402+1)</f>
        <v>4676894.098</v>
      </c>
      <c r="W402" s="13">
        <f> 'Optimal Choice'!$B$20*'Optimal Choice'!$B$21^(Q402+1)</f>
        <v>19074610.65</v>
      </c>
      <c r="X402" s="13">
        <f> 'Optimal Choice'!$B$25*'Optimal Choice'!$B$26^(R402+1)</f>
        <v>23886915.69</v>
      </c>
      <c r="AA402" s="12">
        <f t="shared" ref="AA402:AE402" si="1201">if(isna(VLOOKUP(N402,$D$2:$E$10,2,false)),AA401, VLOOKUP(N402,$D$2:$E$10,2,false))</f>
        <v>50</v>
      </c>
      <c r="AB402" s="12">
        <f t="shared" si="1201"/>
        <v>25</v>
      </c>
      <c r="AC402" s="12">
        <f t="shared" si="1201"/>
        <v>25</v>
      </c>
      <c r="AD402" s="12">
        <f t="shared" si="1201"/>
        <v>25</v>
      </c>
      <c r="AE402" s="12">
        <f t="shared" si="1201"/>
        <v>5</v>
      </c>
      <c r="AH402" s="15">
        <f>N402*'Optimal Choice'!$B$4*AA402</f>
        <v>13109.5</v>
      </c>
      <c r="AI402" s="15">
        <f>O402*'Optimal Choice'!$B$9*AB402</f>
        <v>34500</v>
      </c>
      <c r="AJ402" s="15">
        <f>P402*'Optimal Choice'!$B$14*AC402</f>
        <v>148500</v>
      </c>
      <c r="AK402" s="15">
        <f>Q402*'Optimal Choice'!$B$19*AD402</f>
        <v>558000</v>
      </c>
      <c r="AL402" s="15">
        <f>R402*'Optimal Choice'!$B$24*AE402</f>
        <v>507600</v>
      </c>
      <c r="AO402" s="12">
        <f t="shared" ref="AO402:AS402" si="1202">if(isna(VLOOKUP(N402+1,$D$2:$E$10,2,false)),AO401, VLOOKUP(N402+1,$D$2:$E$10,2,false))</f>
        <v>50</v>
      </c>
      <c r="AP402" s="12">
        <f t="shared" si="1202"/>
        <v>25</v>
      </c>
      <c r="AQ402" s="12">
        <f t="shared" si="1202"/>
        <v>25</v>
      </c>
      <c r="AR402" s="12">
        <f t="shared" si="1202"/>
        <v>25</v>
      </c>
      <c r="AS402" s="12">
        <f t="shared" si="1202"/>
        <v>5</v>
      </c>
      <c r="AU402" s="11">
        <f t="shared" si="8"/>
        <v>0.2841612882</v>
      </c>
    </row>
    <row r="403" ht="15.75" customHeight="1">
      <c r="A403" s="16">
        <f t="shared" si="4"/>
        <v>14.90484896</v>
      </c>
      <c r="B403" s="7">
        <f>(sum(AH403:AL403))*'Optimal Choice'!$B$28</f>
        <v>1263959.5</v>
      </c>
      <c r="C403" s="11"/>
      <c r="D403" s="12"/>
      <c r="E403" s="12"/>
      <c r="F403" s="11"/>
      <c r="G403" s="11">
        <f>(T403/$B403)+(T403/('Optimal Choice'!$B$4*AO403))</f>
        <v>2103.967755</v>
      </c>
      <c r="H403" s="11">
        <f>(U403/$B403)+(U403/('Optimal Choice'!$B$9*AP403))</f>
        <v>2129.128317</v>
      </c>
      <c r="I403" s="11">
        <f>(V403/$B403)+(V403/('Optimal Choice'!$B$14*AQ403))</f>
        <v>2373.844563</v>
      </c>
      <c r="J403" s="11">
        <f>(W403/$B403)+(W403/('Optimal Choice'!$B$19*AR403))</f>
        <v>2134.49234</v>
      </c>
      <c r="K403" s="11">
        <f>(X403/$B403)+(X403/('Optimal Choice'!$B$24*AS403))</f>
        <v>2230.649935</v>
      </c>
      <c r="N403" s="12">
        <f t="shared" ref="N403:R403" si="1203">if(min($G402:$K402)=G402,N402+1,N402)</f>
        <v>157</v>
      </c>
      <c r="O403" s="12">
        <f t="shared" si="1203"/>
        <v>69</v>
      </c>
      <c r="P403" s="12">
        <f t="shared" si="1203"/>
        <v>67</v>
      </c>
      <c r="Q403" s="12">
        <f t="shared" si="1203"/>
        <v>62</v>
      </c>
      <c r="R403" s="12">
        <f t="shared" si="1203"/>
        <v>47</v>
      </c>
      <c r="T403" s="13">
        <f> 'Optimal Choice'!$B$5*'Optimal Choice'!$B$6^(N403+1)</f>
        <v>175669.7024</v>
      </c>
      <c r="U403" s="13">
        <f> 'Optimal Choice'!$B$10*'Optimal Choice'!$B$11^(O403+1)</f>
        <v>1064143.202</v>
      </c>
      <c r="V403" s="13">
        <f> 'Optimal Choice'!$B$15*'Optimal Choice'!$B$16^(P403+1)</f>
        <v>5331659.271</v>
      </c>
      <c r="W403" s="13">
        <f> 'Optimal Choice'!$B$20*'Optimal Choice'!$B$21^(Q403+1)</f>
        <v>19074610.65</v>
      </c>
      <c r="X403" s="13">
        <f> 'Optimal Choice'!$B$25*'Optimal Choice'!$B$26^(R403+1)</f>
        <v>23886915.69</v>
      </c>
      <c r="AA403" s="12">
        <f t="shared" ref="AA403:AE403" si="1204">if(isna(VLOOKUP(N403,$D$2:$E$10,2,false)),AA402, VLOOKUP(N403,$D$2:$E$10,2,false))</f>
        <v>50</v>
      </c>
      <c r="AB403" s="12">
        <f t="shared" si="1204"/>
        <v>25</v>
      </c>
      <c r="AC403" s="12">
        <f t="shared" si="1204"/>
        <v>25</v>
      </c>
      <c r="AD403" s="12">
        <f t="shared" si="1204"/>
        <v>25</v>
      </c>
      <c r="AE403" s="12">
        <f t="shared" si="1204"/>
        <v>5</v>
      </c>
      <c r="AH403" s="15">
        <f>N403*'Optimal Choice'!$B$4*AA403</f>
        <v>13109.5</v>
      </c>
      <c r="AI403" s="15">
        <f>O403*'Optimal Choice'!$B$9*AB403</f>
        <v>34500</v>
      </c>
      <c r="AJ403" s="15">
        <f>P403*'Optimal Choice'!$B$14*AC403</f>
        <v>150750</v>
      </c>
      <c r="AK403" s="15">
        <f>Q403*'Optimal Choice'!$B$19*AD403</f>
        <v>558000</v>
      </c>
      <c r="AL403" s="15">
        <f>R403*'Optimal Choice'!$B$24*AE403</f>
        <v>507600</v>
      </c>
      <c r="AO403" s="12">
        <f t="shared" ref="AO403:AS403" si="1205">if(isna(VLOOKUP(N403+1,$D$2:$E$10,2,false)),AO402, VLOOKUP(N403+1,$D$2:$E$10,2,false))</f>
        <v>50</v>
      </c>
      <c r="AP403" s="12">
        <f t="shared" si="1205"/>
        <v>25</v>
      </c>
      <c r="AQ403" s="12">
        <f t="shared" si="1205"/>
        <v>25</v>
      </c>
      <c r="AR403" s="12">
        <f t="shared" si="1205"/>
        <v>25</v>
      </c>
      <c r="AS403" s="12">
        <f t="shared" si="1205"/>
        <v>5</v>
      </c>
      <c r="AU403" s="11">
        <f t="shared" si="8"/>
        <v>0.06177985896</v>
      </c>
    </row>
    <row r="404" ht="15.75" customHeight="1">
      <c r="A404" s="16">
        <f t="shared" si="4"/>
        <v>14.90716536</v>
      </c>
      <c r="B404" s="7">
        <f>(sum(AH404:AL404))*'Optimal Choice'!$B$28</f>
        <v>1264043</v>
      </c>
      <c r="C404" s="11"/>
      <c r="D404" s="12"/>
      <c r="E404" s="12"/>
      <c r="F404" s="11"/>
      <c r="G404" s="11">
        <f>(T404/$B404)+(T404/('Optimal Choice'!$B$4*AO404))</f>
        <v>2251.245488</v>
      </c>
      <c r="H404" s="11">
        <f>(U404/$B404)+(U404/('Optimal Choice'!$B$9*AP404))</f>
        <v>2129.128261</v>
      </c>
      <c r="I404" s="11">
        <f>(V404/$B404)+(V404/('Optimal Choice'!$B$14*AQ404))</f>
        <v>2373.844284</v>
      </c>
      <c r="J404" s="11">
        <f>(W404/$B404)+(W404/('Optimal Choice'!$B$19*AR404))</f>
        <v>2134.491343</v>
      </c>
      <c r="K404" s="11">
        <f>(X404/$B404)+(X404/('Optimal Choice'!$B$24*AS404))</f>
        <v>2230.648686</v>
      </c>
      <c r="N404" s="12">
        <f t="shared" ref="N404:R404" si="1206">if(min($G403:$K403)=G403,N403+1,N403)</f>
        <v>158</v>
      </c>
      <c r="O404" s="12">
        <f t="shared" si="1206"/>
        <v>69</v>
      </c>
      <c r="P404" s="12">
        <f t="shared" si="1206"/>
        <v>67</v>
      </c>
      <c r="Q404" s="12">
        <f t="shared" si="1206"/>
        <v>62</v>
      </c>
      <c r="R404" s="12">
        <f t="shared" si="1206"/>
        <v>47</v>
      </c>
      <c r="T404" s="13">
        <f> 'Optimal Choice'!$B$5*'Optimal Choice'!$B$6^(N404+1)</f>
        <v>187966.5816</v>
      </c>
      <c r="U404" s="13">
        <f> 'Optimal Choice'!$B$10*'Optimal Choice'!$B$11^(O404+1)</f>
        <v>1064143.202</v>
      </c>
      <c r="V404" s="13">
        <f> 'Optimal Choice'!$B$15*'Optimal Choice'!$B$16^(P404+1)</f>
        <v>5331659.271</v>
      </c>
      <c r="W404" s="13">
        <f> 'Optimal Choice'!$B$20*'Optimal Choice'!$B$21^(Q404+1)</f>
        <v>19074610.65</v>
      </c>
      <c r="X404" s="13">
        <f> 'Optimal Choice'!$B$25*'Optimal Choice'!$B$26^(R404+1)</f>
        <v>23886915.69</v>
      </c>
      <c r="AA404" s="12">
        <f t="shared" ref="AA404:AE404" si="1207">if(isna(VLOOKUP(N404,$D$2:$E$10,2,false)),AA403, VLOOKUP(N404,$D$2:$E$10,2,false))</f>
        <v>50</v>
      </c>
      <c r="AB404" s="12">
        <f t="shared" si="1207"/>
        <v>25</v>
      </c>
      <c r="AC404" s="12">
        <f t="shared" si="1207"/>
        <v>25</v>
      </c>
      <c r="AD404" s="12">
        <f t="shared" si="1207"/>
        <v>25</v>
      </c>
      <c r="AE404" s="12">
        <f t="shared" si="1207"/>
        <v>5</v>
      </c>
      <c r="AH404" s="15">
        <f>N404*'Optimal Choice'!$B$4*AA404</f>
        <v>13193</v>
      </c>
      <c r="AI404" s="15">
        <f>O404*'Optimal Choice'!$B$9*AB404</f>
        <v>34500</v>
      </c>
      <c r="AJ404" s="15">
        <f>P404*'Optimal Choice'!$B$14*AC404</f>
        <v>150750</v>
      </c>
      <c r="AK404" s="15">
        <f>Q404*'Optimal Choice'!$B$19*AD404</f>
        <v>558000</v>
      </c>
      <c r="AL404" s="15">
        <f>R404*'Optimal Choice'!$B$24*AE404</f>
        <v>507600</v>
      </c>
      <c r="AO404" s="12">
        <f t="shared" ref="AO404:AS404" si="1208">if(isna(VLOOKUP(N404+1,$D$2:$E$10,2,false)),AO403, VLOOKUP(N404+1,$D$2:$E$10,2,false))</f>
        <v>50</v>
      </c>
      <c r="AP404" s="12">
        <f t="shared" si="1208"/>
        <v>25</v>
      </c>
      <c r="AQ404" s="12">
        <f t="shared" si="1208"/>
        <v>25</v>
      </c>
      <c r="AR404" s="12">
        <f t="shared" si="1208"/>
        <v>25</v>
      </c>
      <c r="AS404" s="12">
        <f t="shared" si="1208"/>
        <v>5</v>
      </c>
      <c r="AU404" s="11">
        <f t="shared" si="8"/>
        <v>0.002316394136</v>
      </c>
    </row>
    <row r="405" ht="15.75" customHeight="1">
      <c r="A405" s="16">
        <f t="shared" si="4"/>
        <v>14.9211963</v>
      </c>
      <c r="B405" s="7">
        <f>(sum(AH405:AL405))*'Optimal Choice'!$B$28</f>
        <v>1264543</v>
      </c>
      <c r="C405" s="11"/>
      <c r="D405" s="12"/>
      <c r="E405" s="12"/>
      <c r="F405" s="11"/>
      <c r="G405" s="11">
        <f>(T405/$B405)+(T405/('Optimal Choice'!$B$4*AO405))</f>
        <v>2251.245429</v>
      </c>
      <c r="H405" s="11">
        <f>(U405/$B405)+(U405/('Optimal Choice'!$B$9*AP405))</f>
        <v>2448.497118</v>
      </c>
      <c r="I405" s="11">
        <f>(V405/$B405)+(V405/('Optimal Choice'!$B$14*AQ405))</f>
        <v>2373.842616</v>
      </c>
      <c r="J405" s="11">
        <f>(W405/$B405)+(W405/('Optimal Choice'!$B$19*AR405))</f>
        <v>2134.485376</v>
      </c>
      <c r="K405" s="11">
        <f>(X405/$B405)+(X405/('Optimal Choice'!$B$24*AS405))</f>
        <v>2230.641214</v>
      </c>
      <c r="N405" s="12">
        <f t="shared" ref="N405:R405" si="1209">if(min($G404:$K404)=G404,N404+1,N404)</f>
        <v>158</v>
      </c>
      <c r="O405" s="12">
        <f t="shared" si="1209"/>
        <v>70</v>
      </c>
      <c r="P405" s="12">
        <f t="shared" si="1209"/>
        <v>67</v>
      </c>
      <c r="Q405" s="12">
        <f t="shared" si="1209"/>
        <v>62</v>
      </c>
      <c r="R405" s="12">
        <f t="shared" si="1209"/>
        <v>47</v>
      </c>
      <c r="T405" s="13">
        <f> 'Optimal Choice'!$B$5*'Optimal Choice'!$B$6^(N405+1)</f>
        <v>187966.5816</v>
      </c>
      <c r="U405" s="13">
        <f> 'Optimal Choice'!$B$10*'Optimal Choice'!$B$11^(O405+1)</f>
        <v>1223764.683</v>
      </c>
      <c r="V405" s="13">
        <f> 'Optimal Choice'!$B$15*'Optimal Choice'!$B$16^(P405+1)</f>
        <v>5331659.271</v>
      </c>
      <c r="W405" s="13">
        <f> 'Optimal Choice'!$B$20*'Optimal Choice'!$B$21^(Q405+1)</f>
        <v>19074610.65</v>
      </c>
      <c r="X405" s="13">
        <f> 'Optimal Choice'!$B$25*'Optimal Choice'!$B$26^(R405+1)</f>
        <v>23886915.69</v>
      </c>
      <c r="AA405" s="12">
        <f t="shared" ref="AA405:AE405" si="1210">if(isna(VLOOKUP(N405,$D$2:$E$10,2,false)),AA404, VLOOKUP(N405,$D$2:$E$10,2,false))</f>
        <v>50</v>
      </c>
      <c r="AB405" s="12">
        <f t="shared" si="1210"/>
        <v>25</v>
      </c>
      <c r="AC405" s="12">
        <f t="shared" si="1210"/>
        <v>25</v>
      </c>
      <c r="AD405" s="12">
        <f t="shared" si="1210"/>
        <v>25</v>
      </c>
      <c r="AE405" s="12">
        <f t="shared" si="1210"/>
        <v>5</v>
      </c>
      <c r="AH405" s="15">
        <f>N405*'Optimal Choice'!$B$4*AA405</f>
        <v>13193</v>
      </c>
      <c r="AI405" s="15">
        <f>O405*'Optimal Choice'!$B$9*AB405</f>
        <v>35000</v>
      </c>
      <c r="AJ405" s="15">
        <f>P405*'Optimal Choice'!$B$14*AC405</f>
        <v>150750</v>
      </c>
      <c r="AK405" s="15">
        <f>Q405*'Optimal Choice'!$B$19*AD405</f>
        <v>558000</v>
      </c>
      <c r="AL405" s="15">
        <f>R405*'Optimal Choice'!$B$24*AE405</f>
        <v>507600</v>
      </c>
      <c r="AO405" s="12">
        <f t="shared" ref="AO405:AS405" si="1211">if(isna(VLOOKUP(N405+1,$D$2:$E$10,2,false)),AO404, VLOOKUP(N405+1,$D$2:$E$10,2,false))</f>
        <v>50</v>
      </c>
      <c r="AP405" s="12">
        <f t="shared" si="1211"/>
        <v>25</v>
      </c>
      <c r="AQ405" s="12">
        <f t="shared" si="1211"/>
        <v>25</v>
      </c>
      <c r="AR405" s="12">
        <f t="shared" si="1211"/>
        <v>25</v>
      </c>
      <c r="AS405" s="12">
        <f t="shared" si="1211"/>
        <v>5</v>
      </c>
      <c r="AU405" s="11">
        <f t="shared" si="8"/>
        <v>0.01403094676</v>
      </c>
    </row>
    <row r="406" ht="15.75" customHeight="1">
      <c r="A406" s="16">
        <f t="shared" si="4"/>
        <v>15.17259952</v>
      </c>
      <c r="B406" s="7">
        <f>(sum(AH406:AL406))*'Optimal Choice'!$B$28</f>
        <v>1273543</v>
      </c>
      <c r="C406" s="11"/>
      <c r="D406" s="12"/>
      <c r="E406" s="12"/>
      <c r="F406" s="11"/>
      <c r="G406" s="11">
        <f>(T406/$B406)+(T406/('Optimal Choice'!$B$4*AO406))</f>
        <v>2251.244379</v>
      </c>
      <c r="H406" s="11">
        <f>(U406/$B406)+(U406/('Optimal Choice'!$B$9*AP406))</f>
        <v>2448.490279</v>
      </c>
      <c r="I406" s="11">
        <f>(V406/$B406)+(V406/('Optimal Choice'!$B$14*AQ406))</f>
        <v>2373.81282</v>
      </c>
      <c r="J406" s="11">
        <f>(W406/$B406)+(W406/('Optimal Choice'!$B$19*AR406))</f>
        <v>2411.848019</v>
      </c>
      <c r="K406" s="11">
        <f>(X406/$B406)+(X406/('Optimal Choice'!$B$24*AS406))</f>
        <v>2230.507722</v>
      </c>
      <c r="N406" s="12">
        <f t="shared" ref="N406:R406" si="1212">if(min($G405:$K405)=G405,N405+1,N405)</f>
        <v>158</v>
      </c>
      <c r="O406" s="12">
        <f t="shared" si="1212"/>
        <v>70</v>
      </c>
      <c r="P406" s="12">
        <f t="shared" si="1212"/>
        <v>67</v>
      </c>
      <c r="Q406" s="12">
        <f t="shared" si="1212"/>
        <v>63</v>
      </c>
      <c r="R406" s="12">
        <f t="shared" si="1212"/>
        <v>47</v>
      </c>
      <c r="T406" s="13">
        <f> 'Optimal Choice'!$B$5*'Optimal Choice'!$B$6^(N406+1)</f>
        <v>187966.5816</v>
      </c>
      <c r="U406" s="13">
        <f> 'Optimal Choice'!$B$10*'Optimal Choice'!$B$11^(O406+1)</f>
        <v>1223764.683</v>
      </c>
      <c r="V406" s="13">
        <f> 'Optimal Choice'!$B$15*'Optimal Choice'!$B$16^(P406+1)</f>
        <v>5331659.271</v>
      </c>
      <c r="W406" s="13">
        <f> 'Optimal Choice'!$B$20*'Optimal Choice'!$B$21^(Q406+1)</f>
        <v>21554310.04</v>
      </c>
      <c r="X406" s="13">
        <f> 'Optimal Choice'!$B$25*'Optimal Choice'!$B$26^(R406+1)</f>
        <v>23886915.69</v>
      </c>
      <c r="AA406" s="12">
        <f t="shared" ref="AA406:AE406" si="1213">if(isna(VLOOKUP(N406,$D$2:$E$10,2,false)),AA405, VLOOKUP(N406,$D$2:$E$10,2,false))</f>
        <v>50</v>
      </c>
      <c r="AB406" s="12">
        <f t="shared" si="1213"/>
        <v>25</v>
      </c>
      <c r="AC406" s="12">
        <f t="shared" si="1213"/>
        <v>25</v>
      </c>
      <c r="AD406" s="12">
        <f t="shared" si="1213"/>
        <v>25</v>
      </c>
      <c r="AE406" s="12">
        <f t="shared" si="1213"/>
        <v>5</v>
      </c>
      <c r="AH406" s="15">
        <f>N406*'Optimal Choice'!$B$4*AA406</f>
        <v>13193</v>
      </c>
      <c r="AI406" s="15">
        <f>O406*'Optimal Choice'!$B$9*AB406</f>
        <v>35000</v>
      </c>
      <c r="AJ406" s="15">
        <f>P406*'Optimal Choice'!$B$14*AC406</f>
        <v>150750</v>
      </c>
      <c r="AK406" s="15">
        <f>Q406*'Optimal Choice'!$B$19*AD406</f>
        <v>567000</v>
      </c>
      <c r="AL406" s="15">
        <f>R406*'Optimal Choice'!$B$24*AE406</f>
        <v>507600</v>
      </c>
      <c r="AO406" s="12">
        <f t="shared" ref="AO406:AS406" si="1214">if(isna(VLOOKUP(N406+1,$D$2:$E$10,2,false)),AO405, VLOOKUP(N406+1,$D$2:$E$10,2,false))</f>
        <v>50</v>
      </c>
      <c r="AP406" s="12">
        <f t="shared" si="1214"/>
        <v>25</v>
      </c>
      <c r="AQ406" s="12">
        <f t="shared" si="1214"/>
        <v>25</v>
      </c>
      <c r="AR406" s="12">
        <f t="shared" si="1214"/>
        <v>25</v>
      </c>
      <c r="AS406" s="12">
        <f t="shared" si="1214"/>
        <v>5</v>
      </c>
      <c r="AU406" s="11">
        <f t="shared" si="8"/>
        <v>0.2514032164</v>
      </c>
    </row>
    <row r="407" ht="15.75" customHeight="1">
      <c r="A407" s="16">
        <f t="shared" si="4"/>
        <v>15.48520401</v>
      </c>
      <c r="B407" s="7">
        <f>(sum(AH407:AL407))*'Optimal Choice'!$B$28</f>
        <v>1284343</v>
      </c>
      <c r="C407" s="11"/>
      <c r="D407" s="12"/>
      <c r="E407" s="12"/>
      <c r="F407" s="11"/>
      <c r="G407" s="11">
        <f>(T407/$B407)+(T407/('Optimal Choice'!$B$4*AO407))</f>
        <v>2251.243138</v>
      </c>
      <c r="H407" s="11">
        <f>(U407/$B407)+(U407/('Optimal Choice'!$B$9*AP407))</f>
        <v>2448.482199</v>
      </c>
      <c r="I407" s="11">
        <f>(V407/$B407)+(V407/('Optimal Choice'!$B$14*AQ407))</f>
        <v>2373.777616</v>
      </c>
      <c r="J407" s="11">
        <f>(W407/$B407)+(W407/('Optimal Choice'!$B$19*AR407))</f>
        <v>2411.7057</v>
      </c>
      <c r="K407" s="11">
        <f>(X407/$B407)+(X407/('Optimal Choice'!$B$24*AS407))</f>
        <v>2497.992002</v>
      </c>
      <c r="N407" s="12">
        <f t="shared" ref="N407:R407" si="1215">if(min($G406:$K406)=G406,N406+1,N406)</f>
        <v>158</v>
      </c>
      <c r="O407" s="12">
        <f t="shared" si="1215"/>
        <v>70</v>
      </c>
      <c r="P407" s="12">
        <f t="shared" si="1215"/>
        <v>67</v>
      </c>
      <c r="Q407" s="12">
        <f t="shared" si="1215"/>
        <v>63</v>
      </c>
      <c r="R407" s="12">
        <f t="shared" si="1215"/>
        <v>48</v>
      </c>
      <c r="T407" s="13">
        <f> 'Optimal Choice'!$B$5*'Optimal Choice'!$B$6^(N407+1)</f>
        <v>187966.5816</v>
      </c>
      <c r="U407" s="13">
        <f> 'Optimal Choice'!$B$10*'Optimal Choice'!$B$11^(O407+1)</f>
        <v>1223764.683</v>
      </c>
      <c r="V407" s="13">
        <f> 'Optimal Choice'!$B$15*'Optimal Choice'!$B$16^(P407+1)</f>
        <v>5331659.271</v>
      </c>
      <c r="W407" s="13">
        <f> 'Optimal Choice'!$B$20*'Optimal Choice'!$B$21^(Q407+1)</f>
        <v>21554310.04</v>
      </c>
      <c r="X407" s="13">
        <f> 'Optimal Choice'!$B$25*'Optimal Choice'!$B$26^(R407+1)</f>
        <v>26753345.57</v>
      </c>
      <c r="AA407" s="12">
        <f t="shared" ref="AA407:AE407" si="1216">if(isna(VLOOKUP(N407,$D$2:$E$10,2,false)),AA406, VLOOKUP(N407,$D$2:$E$10,2,false))</f>
        <v>50</v>
      </c>
      <c r="AB407" s="12">
        <f t="shared" si="1216"/>
        <v>25</v>
      </c>
      <c r="AC407" s="12">
        <f t="shared" si="1216"/>
        <v>25</v>
      </c>
      <c r="AD407" s="12">
        <f t="shared" si="1216"/>
        <v>25</v>
      </c>
      <c r="AE407" s="12">
        <f t="shared" si="1216"/>
        <v>5</v>
      </c>
      <c r="AH407" s="15">
        <f>N407*'Optimal Choice'!$B$4*AA407</f>
        <v>13193</v>
      </c>
      <c r="AI407" s="15">
        <f>O407*'Optimal Choice'!$B$9*AB407</f>
        <v>35000</v>
      </c>
      <c r="AJ407" s="15">
        <f>P407*'Optimal Choice'!$B$14*AC407</f>
        <v>150750</v>
      </c>
      <c r="AK407" s="15">
        <f>Q407*'Optimal Choice'!$B$19*AD407</f>
        <v>567000</v>
      </c>
      <c r="AL407" s="15">
        <f>R407*'Optimal Choice'!$B$24*AE407</f>
        <v>518400</v>
      </c>
      <c r="AO407" s="12">
        <f t="shared" ref="AO407:AS407" si="1217">if(isna(VLOOKUP(N407+1,$D$2:$E$10,2,false)),AO406, VLOOKUP(N407+1,$D$2:$E$10,2,false))</f>
        <v>50</v>
      </c>
      <c r="AP407" s="12">
        <f t="shared" si="1217"/>
        <v>25</v>
      </c>
      <c r="AQ407" s="12">
        <f t="shared" si="1217"/>
        <v>25</v>
      </c>
      <c r="AR407" s="12">
        <f t="shared" si="1217"/>
        <v>25</v>
      </c>
      <c r="AS407" s="12">
        <f t="shared" si="1217"/>
        <v>5</v>
      </c>
      <c r="AU407" s="11">
        <f t="shared" si="8"/>
        <v>0.3126044912</v>
      </c>
    </row>
    <row r="408" ht="15.75" customHeight="1">
      <c r="A408" s="16">
        <f t="shared" si="4"/>
        <v>15.48764322</v>
      </c>
      <c r="B408" s="7">
        <f>(sum(AH408:AL408))*'Optimal Choice'!$B$28</f>
        <v>1284426.5</v>
      </c>
      <c r="C408" s="11"/>
      <c r="D408" s="12"/>
      <c r="E408" s="12"/>
      <c r="F408" s="11"/>
      <c r="G408" s="11">
        <f>(T408/$B408)+(T408/('Optimal Choice'!$B$4*AO408))</f>
        <v>2408.830147</v>
      </c>
      <c r="H408" s="11">
        <f>(U408/$B408)+(U408/('Optimal Choice'!$B$9*AP408))</f>
        <v>2448.482137</v>
      </c>
      <c r="I408" s="11">
        <f>(V408/$B408)+(V408/('Optimal Choice'!$B$14*AQ408))</f>
        <v>2373.777347</v>
      </c>
      <c r="J408" s="11">
        <f>(W408/$B408)+(W408/('Optimal Choice'!$B$19*AR408))</f>
        <v>2411.704609</v>
      </c>
      <c r="K408" s="11">
        <f>(X408/$B408)+(X408/('Optimal Choice'!$B$24*AS408))</f>
        <v>2497.990647</v>
      </c>
      <c r="N408" s="12">
        <f t="shared" ref="N408:R408" si="1218">if(min($G407:$K407)=G407,N407+1,N407)</f>
        <v>159</v>
      </c>
      <c r="O408" s="12">
        <f t="shared" si="1218"/>
        <v>70</v>
      </c>
      <c r="P408" s="12">
        <f t="shared" si="1218"/>
        <v>67</v>
      </c>
      <c r="Q408" s="12">
        <f t="shared" si="1218"/>
        <v>63</v>
      </c>
      <c r="R408" s="12">
        <f t="shared" si="1218"/>
        <v>48</v>
      </c>
      <c r="T408" s="13">
        <f> 'Optimal Choice'!$B$5*'Optimal Choice'!$B$6^(N408+1)</f>
        <v>201124.2423</v>
      </c>
      <c r="U408" s="13">
        <f> 'Optimal Choice'!$B$10*'Optimal Choice'!$B$11^(O408+1)</f>
        <v>1223764.683</v>
      </c>
      <c r="V408" s="13">
        <f> 'Optimal Choice'!$B$15*'Optimal Choice'!$B$16^(P408+1)</f>
        <v>5331659.271</v>
      </c>
      <c r="W408" s="13">
        <f> 'Optimal Choice'!$B$20*'Optimal Choice'!$B$21^(Q408+1)</f>
        <v>21554310.04</v>
      </c>
      <c r="X408" s="13">
        <f> 'Optimal Choice'!$B$25*'Optimal Choice'!$B$26^(R408+1)</f>
        <v>26753345.57</v>
      </c>
      <c r="AA408" s="12">
        <f t="shared" ref="AA408:AE408" si="1219">if(isna(VLOOKUP(N408,$D$2:$E$10,2,false)),AA407, VLOOKUP(N408,$D$2:$E$10,2,false))</f>
        <v>50</v>
      </c>
      <c r="AB408" s="12">
        <f t="shared" si="1219"/>
        <v>25</v>
      </c>
      <c r="AC408" s="12">
        <f t="shared" si="1219"/>
        <v>25</v>
      </c>
      <c r="AD408" s="12">
        <f t="shared" si="1219"/>
        <v>25</v>
      </c>
      <c r="AE408" s="12">
        <f t="shared" si="1219"/>
        <v>5</v>
      </c>
      <c r="AH408" s="15">
        <f>N408*'Optimal Choice'!$B$4*AA408</f>
        <v>13276.5</v>
      </c>
      <c r="AI408" s="15">
        <f>O408*'Optimal Choice'!$B$9*AB408</f>
        <v>35000</v>
      </c>
      <c r="AJ408" s="15">
        <f>P408*'Optimal Choice'!$B$14*AC408</f>
        <v>150750</v>
      </c>
      <c r="AK408" s="15">
        <f>Q408*'Optimal Choice'!$B$19*AD408</f>
        <v>567000</v>
      </c>
      <c r="AL408" s="15">
        <f>R408*'Optimal Choice'!$B$24*AE408</f>
        <v>518400</v>
      </c>
      <c r="AO408" s="12">
        <f t="shared" ref="AO408:AS408" si="1220">if(isna(VLOOKUP(N408+1,$D$2:$E$10,2,false)),AO407, VLOOKUP(N408+1,$D$2:$E$10,2,false))</f>
        <v>50</v>
      </c>
      <c r="AP408" s="12">
        <f t="shared" si="1220"/>
        <v>25</v>
      </c>
      <c r="AQ408" s="12">
        <f t="shared" si="1220"/>
        <v>25</v>
      </c>
      <c r="AR408" s="12">
        <f t="shared" si="1220"/>
        <v>25</v>
      </c>
      <c r="AS408" s="12">
        <f t="shared" si="1220"/>
        <v>5</v>
      </c>
      <c r="AU408" s="11">
        <f t="shared" si="8"/>
        <v>0.002439205383</v>
      </c>
    </row>
    <row r="409" ht="15.75" customHeight="1">
      <c r="A409" s="16">
        <f t="shared" si="4"/>
        <v>15.55682661</v>
      </c>
      <c r="B409" s="7">
        <f>(sum(AH409:AL409))*'Optimal Choice'!$B$28</f>
        <v>1286676.5</v>
      </c>
      <c r="C409" s="11"/>
      <c r="D409" s="12"/>
      <c r="E409" s="12"/>
      <c r="F409" s="11"/>
      <c r="G409" s="11">
        <f>(T409/$B409)+(T409/('Optimal Choice'!$B$4*AO409))</f>
        <v>2408.829873</v>
      </c>
      <c r="H409" s="11">
        <f>(U409/$B409)+(U409/('Optimal Choice'!$B$9*AP409))</f>
        <v>2448.480471</v>
      </c>
      <c r="I409" s="11">
        <f>(V409/$B409)+(V409/('Optimal Choice'!$B$14*AQ409))</f>
        <v>2706.0979</v>
      </c>
      <c r="J409" s="11">
        <f>(W409/$B409)+(W409/('Optimal Choice'!$B$19*AR409))</f>
        <v>2411.675264</v>
      </c>
      <c r="K409" s="11">
        <f>(X409/$B409)+(X409/('Optimal Choice'!$B$24*AS409))</f>
        <v>2497.954224</v>
      </c>
      <c r="N409" s="12">
        <f t="shared" ref="N409:R409" si="1221">if(min($G408:$K408)=G408,N408+1,N408)</f>
        <v>159</v>
      </c>
      <c r="O409" s="12">
        <f t="shared" si="1221"/>
        <v>70</v>
      </c>
      <c r="P409" s="12">
        <f t="shared" si="1221"/>
        <v>68</v>
      </c>
      <c r="Q409" s="12">
        <f t="shared" si="1221"/>
        <v>63</v>
      </c>
      <c r="R409" s="12">
        <f t="shared" si="1221"/>
        <v>48</v>
      </c>
      <c r="T409" s="13">
        <f> 'Optimal Choice'!$B$5*'Optimal Choice'!$B$6^(N409+1)</f>
        <v>201124.2423</v>
      </c>
      <c r="U409" s="13">
        <f> 'Optimal Choice'!$B$10*'Optimal Choice'!$B$11^(O409+1)</f>
        <v>1223764.683</v>
      </c>
      <c r="V409" s="13">
        <f> 'Optimal Choice'!$B$15*'Optimal Choice'!$B$16^(P409+1)</f>
        <v>6078091.569</v>
      </c>
      <c r="W409" s="13">
        <f> 'Optimal Choice'!$B$20*'Optimal Choice'!$B$21^(Q409+1)</f>
        <v>21554310.04</v>
      </c>
      <c r="X409" s="13">
        <f> 'Optimal Choice'!$B$25*'Optimal Choice'!$B$26^(R409+1)</f>
        <v>26753345.57</v>
      </c>
      <c r="AA409" s="12">
        <f t="shared" ref="AA409:AE409" si="1222">if(isna(VLOOKUP(N409,$D$2:$E$10,2,false)),AA408, VLOOKUP(N409,$D$2:$E$10,2,false))</f>
        <v>50</v>
      </c>
      <c r="AB409" s="12">
        <f t="shared" si="1222"/>
        <v>25</v>
      </c>
      <c r="AC409" s="12">
        <f t="shared" si="1222"/>
        <v>25</v>
      </c>
      <c r="AD409" s="12">
        <f t="shared" si="1222"/>
        <v>25</v>
      </c>
      <c r="AE409" s="12">
        <f t="shared" si="1222"/>
        <v>5</v>
      </c>
      <c r="AH409" s="15">
        <f>N409*'Optimal Choice'!$B$4*AA409</f>
        <v>13276.5</v>
      </c>
      <c r="AI409" s="15">
        <f>O409*'Optimal Choice'!$B$9*AB409</f>
        <v>35000</v>
      </c>
      <c r="AJ409" s="15">
        <f>P409*'Optimal Choice'!$B$14*AC409</f>
        <v>153000</v>
      </c>
      <c r="AK409" s="15">
        <f>Q409*'Optimal Choice'!$B$19*AD409</f>
        <v>567000</v>
      </c>
      <c r="AL409" s="15">
        <f>R409*'Optimal Choice'!$B$24*AE409</f>
        <v>518400</v>
      </c>
      <c r="AO409" s="12">
        <f t="shared" ref="AO409:AS409" si="1223">if(isna(VLOOKUP(N409+1,$D$2:$E$10,2,false)),AO408, VLOOKUP(N409+1,$D$2:$E$10,2,false))</f>
        <v>50</v>
      </c>
      <c r="AP409" s="12">
        <f t="shared" si="1223"/>
        <v>25</v>
      </c>
      <c r="AQ409" s="12">
        <f t="shared" si="1223"/>
        <v>25</v>
      </c>
      <c r="AR409" s="12">
        <f t="shared" si="1223"/>
        <v>25</v>
      </c>
      <c r="AS409" s="12">
        <f t="shared" si="1223"/>
        <v>5</v>
      </c>
      <c r="AU409" s="11">
        <f t="shared" si="8"/>
        <v>0.06918339652</v>
      </c>
    </row>
    <row r="410" ht="15.75" customHeight="1">
      <c r="A410" s="16">
        <f t="shared" si="4"/>
        <v>15.55943183</v>
      </c>
      <c r="B410" s="7">
        <f>(sum(AH410:AL410))*'Optimal Choice'!$B$28</f>
        <v>1286760</v>
      </c>
      <c r="C410" s="11"/>
      <c r="D410" s="12"/>
      <c r="E410" s="12"/>
      <c r="F410" s="11"/>
      <c r="G410" s="11">
        <f>(T410/$B410)+(T410/('Optimal Choice'!$B$4*AO410))</f>
        <v>2577.447954</v>
      </c>
      <c r="H410" s="11">
        <f>(U410/$B410)+(U410/('Optimal Choice'!$B$9*AP410))</f>
        <v>2448.480409</v>
      </c>
      <c r="I410" s="11">
        <f>(V410/$B410)+(V410/('Optimal Choice'!$B$14*AQ410))</f>
        <v>2706.097594</v>
      </c>
      <c r="J410" s="11">
        <f>(W410/$B410)+(W410/('Optimal Choice'!$B$19*AR410))</f>
        <v>2411.674177</v>
      </c>
      <c r="K410" s="11">
        <f>(X410/$B410)+(X410/('Optimal Choice'!$B$24*AS410))</f>
        <v>2497.952875</v>
      </c>
      <c r="N410" s="12">
        <f t="shared" ref="N410:R410" si="1224">if(min($G409:$K409)=G409,N409+1,N409)</f>
        <v>160</v>
      </c>
      <c r="O410" s="12">
        <f t="shared" si="1224"/>
        <v>70</v>
      </c>
      <c r="P410" s="12">
        <f t="shared" si="1224"/>
        <v>68</v>
      </c>
      <c r="Q410" s="12">
        <f t="shared" si="1224"/>
        <v>63</v>
      </c>
      <c r="R410" s="12">
        <f t="shared" si="1224"/>
        <v>48</v>
      </c>
      <c r="T410" s="13">
        <f> 'Optimal Choice'!$B$5*'Optimal Choice'!$B$6^(N410+1)</f>
        <v>215202.9393</v>
      </c>
      <c r="U410" s="13">
        <f> 'Optimal Choice'!$B$10*'Optimal Choice'!$B$11^(O410+1)</f>
        <v>1223764.683</v>
      </c>
      <c r="V410" s="13">
        <f> 'Optimal Choice'!$B$15*'Optimal Choice'!$B$16^(P410+1)</f>
        <v>6078091.569</v>
      </c>
      <c r="W410" s="13">
        <f> 'Optimal Choice'!$B$20*'Optimal Choice'!$B$21^(Q410+1)</f>
        <v>21554310.04</v>
      </c>
      <c r="X410" s="13">
        <f> 'Optimal Choice'!$B$25*'Optimal Choice'!$B$26^(R410+1)</f>
        <v>26753345.57</v>
      </c>
      <c r="AA410" s="12">
        <f t="shared" ref="AA410:AE410" si="1225">if(isna(VLOOKUP(N410,$D$2:$E$10,2,false)),AA409, VLOOKUP(N410,$D$2:$E$10,2,false))</f>
        <v>50</v>
      </c>
      <c r="AB410" s="12">
        <f t="shared" si="1225"/>
        <v>25</v>
      </c>
      <c r="AC410" s="12">
        <f t="shared" si="1225"/>
        <v>25</v>
      </c>
      <c r="AD410" s="12">
        <f t="shared" si="1225"/>
        <v>25</v>
      </c>
      <c r="AE410" s="12">
        <f t="shared" si="1225"/>
        <v>5</v>
      </c>
      <c r="AH410" s="15">
        <f>N410*'Optimal Choice'!$B$4*AA410</f>
        <v>13360</v>
      </c>
      <c r="AI410" s="15">
        <f>O410*'Optimal Choice'!$B$9*AB410</f>
        <v>35000</v>
      </c>
      <c r="AJ410" s="15">
        <f>P410*'Optimal Choice'!$B$14*AC410</f>
        <v>153000</v>
      </c>
      <c r="AK410" s="15">
        <f>Q410*'Optimal Choice'!$B$19*AD410</f>
        <v>567000</v>
      </c>
      <c r="AL410" s="15">
        <f>R410*'Optimal Choice'!$B$24*AE410</f>
        <v>518400</v>
      </c>
      <c r="AO410" s="12">
        <f t="shared" ref="AO410:AS410" si="1226">if(isna(VLOOKUP(N410+1,$D$2:$E$10,2,false)),AO409, VLOOKUP(N410+1,$D$2:$E$10,2,false))</f>
        <v>50</v>
      </c>
      <c r="AP410" s="12">
        <f t="shared" si="1226"/>
        <v>25</v>
      </c>
      <c r="AQ410" s="12">
        <f t="shared" si="1226"/>
        <v>25</v>
      </c>
      <c r="AR410" s="12">
        <f t="shared" si="1226"/>
        <v>25</v>
      </c>
      <c r="AS410" s="12">
        <f t="shared" si="1226"/>
        <v>5</v>
      </c>
      <c r="AU410" s="11">
        <f t="shared" si="8"/>
        <v>0.002605216389</v>
      </c>
    </row>
    <row r="411" ht="15.75" customHeight="1">
      <c r="A411" s="16">
        <f t="shared" si="4"/>
        <v>15.83861248</v>
      </c>
      <c r="B411" s="7">
        <f>(sum(AH411:AL411))*'Optimal Choice'!$B$28</f>
        <v>1295760</v>
      </c>
      <c r="C411" s="11"/>
      <c r="D411" s="12"/>
      <c r="E411" s="12"/>
      <c r="F411" s="11"/>
      <c r="G411" s="11">
        <f>(T411/$B411)+(T411/('Optimal Choice'!$B$4*AO411))</f>
        <v>2577.446792</v>
      </c>
      <c r="H411" s="11">
        <f>(U411/$B411)+(U411/('Optimal Choice'!$B$9*AP411))</f>
        <v>2448.473803</v>
      </c>
      <c r="I411" s="11">
        <f>(V411/$B411)+(V411/('Optimal Choice'!$B$14*AQ411))</f>
        <v>2706.064785</v>
      </c>
      <c r="J411" s="11">
        <f>(W411/$B411)+(W411/('Optimal Choice'!$B$19*AR411))</f>
        <v>2725.060348</v>
      </c>
      <c r="K411" s="11">
        <f>(X411/$B411)+(X411/('Optimal Choice'!$B$24*AS411))</f>
        <v>2497.808464</v>
      </c>
      <c r="N411" s="12">
        <f t="shared" ref="N411:R411" si="1227">if(min($G410:$K410)=G410,N410+1,N410)</f>
        <v>160</v>
      </c>
      <c r="O411" s="12">
        <f t="shared" si="1227"/>
        <v>70</v>
      </c>
      <c r="P411" s="12">
        <f t="shared" si="1227"/>
        <v>68</v>
      </c>
      <c r="Q411" s="12">
        <f t="shared" si="1227"/>
        <v>64</v>
      </c>
      <c r="R411" s="12">
        <f t="shared" si="1227"/>
        <v>48</v>
      </c>
      <c r="T411" s="13">
        <f> 'Optimal Choice'!$B$5*'Optimal Choice'!$B$6^(N411+1)</f>
        <v>215202.9393</v>
      </c>
      <c r="U411" s="13">
        <f> 'Optimal Choice'!$B$10*'Optimal Choice'!$B$11^(O411+1)</f>
        <v>1223764.683</v>
      </c>
      <c r="V411" s="13">
        <f> 'Optimal Choice'!$B$15*'Optimal Choice'!$B$16^(P411+1)</f>
        <v>6078091.569</v>
      </c>
      <c r="W411" s="13">
        <f> 'Optimal Choice'!$B$20*'Optimal Choice'!$B$21^(Q411+1)</f>
        <v>24356370.34</v>
      </c>
      <c r="X411" s="13">
        <f> 'Optimal Choice'!$B$25*'Optimal Choice'!$B$26^(R411+1)</f>
        <v>26753345.57</v>
      </c>
      <c r="AA411" s="12">
        <f t="shared" ref="AA411:AE411" si="1228">if(isna(VLOOKUP(N411,$D$2:$E$10,2,false)),AA410, VLOOKUP(N411,$D$2:$E$10,2,false))</f>
        <v>50</v>
      </c>
      <c r="AB411" s="12">
        <f t="shared" si="1228"/>
        <v>25</v>
      </c>
      <c r="AC411" s="12">
        <f t="shared" si="1228"/>
        <v>25</v>
      </c>
      <c r="AD411" s="12">
        <f t="shared" si="1228"/>
        <v>25</v>
      </c>
      <c r="AE411" s="12">
        <f t="shared" si="1228"/>
        <v>5</v>
      </c>
      <c r="AH411" s="15">
        <f>N411*'Optimal Choice'!$B$4*AA411</f>
        <v>13360</v>
      </c>
      <c r="AI411" s="15">
        <f>O411*'Optimal Choice'!$B$9*AB411</f>
        <v>35000</v>
      </c>
      <c r="AJ411" s="15">
        <f>P411*'Optimal Choice'!$B$14*AC411</f>
        <v>153000</v>
      </c>
      <c r="AK411" s="15">
        <f>Q411*'Optimal Choice'!$B$19*AD411</f>
        <v>576000</v>
      </c>
      <c r="AL411" s="15">
        <f>R411*'Optimal Choice'!$B$24*AE411</f>
        <v>518400</v>
      </c>
      <c r="AO411" s="12">
        <f t="shared" ref="AO411:AS411" si="1229">if(isna(VLOOKUP(N411+1,$D$2:$E$10,2,false)),AO410, VLOOKUP(N411+1,$D$2:$E$10,2,false))</f>
        <v>50</v>
      </c>
      <c r="AP411" s="12">
        <f t="shared" si="1229"/>
        <v>25</v>
      </c>
      <c r="AQ411" s="12">
        <f t="shared" si="1229"/>
        <v>25</v>
      </c>
      <c r="AR411" s="12">
        <f t="shared" si="1229"/>
        <v>25</v>
      </c>
      <c r="AS411" s="12">
        <f t="shared" si="1229"/>
        <v>5</v>
      </c>
      <c r="AU411" s="11">
        <f t="shared" si="8"/>
        <v>0.2791806557</v>
      </c>
    </row>
    <row r="412" ht="15.75" customHeight="1">
      <c r="A412" s="16">
        <f t="shared" si="4"/>
        <v>15.85435311</v>
      </c>
      <c r="B412" s="7">
        <f>(sum(AH412:AL412))*'Optimal Choice'!$B$28</f>
        <v>1296260</v>
      </c>
      <c r="C412" s="11"/>
      <c r="D412" s="12"/>
      <c r="E412" s="12"/>
      <c r="F412" s="11"/>
      <c r="G412" s="11">
        <f>(T412/$B412)+(T412/('Optimal Choice'!$B$4*AO412))</f>
        <v>2577.446728</v>
      </c>
      <c r="H412" s="11">
        <f>(U412/$B412)+(U412/('Optimal Choice'!$B$9*AP412))</f>
        <v>2815.744455</v>
      </c>
      <c r="I412" s="11">
        <f>(V412/$B412)+(V412/('Optimal Choice'!$B$14*AQ412))</f>
        <v>2706.062976</v>
      </c>
      <c r="J412" s="11">
        <f>(W412/$B412)+(W412/('Optimal Choice'!$B$19*AR412))</f>
        <v>2725.053097</v>
      </c>
      <c r="K412" s="11">
        <f>(X412/$B412)+(X412/('Optimal Choice'!$B$24*AS412))</f>
        <v>2497.8005</v>
      </c>
      <c r="N412" s="12">
        <f t="shared" ref="N412:R412" si="1230">if(min($G411:$K411)=G411,N411+1,N411)</f>
        <v>160</v>
      </c>
      <c r="O412" s="12">
        <f t="shared" si="1230"/>
        <v>71</v>
      </c>
      <c r="P412" s="12">
        <f t="shared" si="1230"/>
        <v>68</v>
      </c>
      <c r="Q412" s="12">
        <f t="shared" si="1230"/>
        <v>64</v>
      </c>
      <c r="R412" s="12">
        <f t="shared" si="1230"/>
        <v>48</v>
      </c>
      <c r="T412" s="13">
        <f> 'Optimal Choice'!$B$5*'Optimal Choice'!$B$6^(N412+1)</f>
        <v>215202.9393</v>
      </c>
      <c r="U412" s="13">
        <f> 'Optimal Choice'!$B$10*'Optimal Choice'!$B$11^(O412+1)</f>
        <v>1407329.385</v>
      </c>
      <c r="V412" s="13">
        <f> 'Optimal Choice'!$B$15*'Optimal Choice'!$B$16^(P412+1)</f>
        <v>6078091.569</v>
      </c>
      <c r="W412" s="13">
        <f> 'Optimal Choice'!$B$20*'Optimal Choice'!$B$21^(Q412+1)</f>
        <v>24356370.34</v>
      </c>
      <c r="X412" s="13">
        <f> 'Optimal Choice'!$B$25*'Optimal Choice'!$B$26^(R412+1)</f>
        <v>26753345.57</v>
      </c>
      <c r="AA412" s="12">
        <f t="shared" ref="AA412:AE412" si="1231">if(isna(VLOOKUP(N412,$D$2:$E$10,2,false)),AA411, VLOOKUP(N412,$D$2:$E$10,2,false))</f>
        <v>50</v>
      </c>
      <c r="AB412" s="12">
        <f t="shared" si="1231"/>
        <v>25</v>
      </c>
      <c r="AC412" s="12">
        <f t="shared" si="1231"/>
        <v>25</v>
      </c>
      <c r="AD412" s="12">
        <f t="shared" si="1231"/>
        <v>25</v>
      </c>
      <c r="AE412" s="12">
        <f t="shared" si="1231"/>
        <v>5</v>
      </c>
      <c r="AH412" s="15">
        <f>N412*'Optimal Choice'!$B$4*AA412</f>
        <v>13360</v>
      </c>
      <c r="AI412" s="15">
        <f>O412*'Optimal Choice'!$B$9*AB412</f>
        <v>35500</v>
      </c>
      <c r="AJ412" s="15">
        <f>P412*'Optimal Choice'!$B$14*AC412</f>
        <v>153000</v>
      </c>
      <c r="AK412" s="15">
        <f>Q412*'Optimal Choice'!$B$19*AD412</f>
        <v>576000</v>
      </c>
      <c r="AL412" s="15">
        <f>R412*'Optimal Choice'!$B$24*AE412</f>
        <v>518400</v>
      </c>
      <c r="AO412" s="12">
        <f t="shared" ref="AO412:AS412" si="1232">if(isna(VLOOKUP(N412+1,$D$2:$E$10,2,false)),AO411, VLOOKUP(N412+1,$D$2:$E$10,2,false))</f>
        <v>50</v>
      </c>
      <c r="AP412" s="12">
        <f t="shared" si="1232"/>
        <v>25</v>
      </c>
      <c r="AQ412" s="12">
        <f t="shared" si="1232"/>
        <v>25</v>
      </c>
      <c r="AR412" s="12">
        <f t="shared" si="1232"/>
        <v>25</v>
      </c>
      <c r="AS412" s="12">
        <f t="shared" si="1232"/>
        <v>5</v>
      </c>
      <c r="AU412" s="11">
        <f t="shared" si="8"/>
        <v>0.01574062947</v>
      </c>
    </row>
    <row r="413" ht="15.75" customHeight="1">
      <c r="A413" s="16">
        <f t="shared" si="4"/>
        <v>16.19833433</v>
      </c>
      <c r="B413" s="7">
        <f>(sum(AH413:AL413))*'Optimal Choice'!$B$28</f>
        <v>1307060</v>
      </c>
      <c r="C413" s="11"/>
      <c r="D413" s="12"/>
      <c r="E413" s="12"/>
      <c r="F413" s="11"/>
      <c r="G413" s="11">
        <f>(T413/$B413)+(T413/('Optimal Choice'!$B$4*AO413))</f>
        <v>2577.445356</v>
      </c>
      <c r="H413" s="11">
        <f>(U413/$B413)+(U413/('Optimal Choice'!$B$9*AP413))</f>
        <v>2815.735484</v>
      </c>
      <c r="I413" s="11">
        <f>(V413/$B413)+(V413/('Optimal Choice'!$B$14*AQ413))</f>
        <v>2706.024232</v>
      </c>
      <c r="J413" s="11">
        <f>(W413/$B413)+(W413/('Optimal Choice'!$B$19*AR413))</f>
        <v>2724.897841</v>
      </c>
      <c r="K413" s="11">
        <f>(X413/$B413)+(X413/('Optimal Choice'!$B$24*AS413))</f>
        <v>577.8087428</v>
      </c>
      <c r="N413" s="12">
        <f t="shared" ref="N413:R413" si="1233">if(min($G412:$K412)=G412,N412+1,N412)</f>
        <v>160</v>
      </c>
      <c r="O413" s="12">
        <f t="shared" si="1233"/>
        <v>71</v>
      </c>
      <c r="P413" s="12">
        <f t="shared" si="1233"/>
        <v>68</v>
      </c>
      <c r="Q413" s="12">
        <f t="shared" si="1233"/>
        <v>64</v>
      </c>
      <c r="R413" s="12">
        <f t="shared" si="1233"/>
        <v>49</v>
      </c>
      <c r="T413" s="13">
        <f> 'Optimal Choice'!$B$5*'Optimal Choice'!$B$6^(N413+1)</f>
        <v>215202.9393</v>
      </c>
      <c r="U413" s="13">
        <f> 'Optimal Choice'!$B$10*'Optimal Choice'!$B$11^(O413+1)</f>
        <v>1407329.385</v>
      </c>
      <c r="V413" s="13">
        <f> 'Optimal Choice'!$B$15*'Optimal Choice'!$B$16^(P413+1)</f>
        <v>6078091.569</v>
      </c>
      <c r="W413" s="13">
        <f> 'Optimal Choice'!$B$20*'Optimal Choice'!$B$21^(Q413+1)</f>
        <v>24356370.34</v>
      </c>
      <c r="X413" s="13">
        <f> 'Optimal Choice'!$B$25*'Optimal Choice'!$B$26^(R413+1)</f>
        <v>29963747.04</v>
      </c>
      <c r="AA413" s="12">
        <f t="shared" ref="AA413:AE413" si="1234">if(isna(VLOOKUP(N413,$D$2:$E$10,2,false)),AA412, VLOOKUP(N413,$D$2:$E$10,2,false))</f>
        <v>50</v>
      </c>
      <c r="AB413" s="12">
        <f t="shared" si="1234"/>
        <v>25</v>
      </c>
      <c r="AC413" s="12">
        <f t="shared" si="1234"/>
        <v>25</v>
      </c>
      <c r="AD413" s="12">
        <f t="shared" si="1234"/>
        <v>25</v>
      </c>
      <c r="AE413" s="12">
        <f t="shared" si="1234"/>
        <v>5</v>
      </c>
      <c r="AH413" s="15">
        <f>N413*'Optimal Choice'!$B$4*AA413</f>
        <v>13360</v>
      </c>
      <c r="AI413" s="15">
        <f>O413*'Optimal Choice'!$B$9*AB413</f>
        <v>35500</v>
      </c>
      <c r="AJ413" s="15">
        <f>P413*'Optimal Choice'!$B$14*AC413</f>
        <v>153000</v>
      </c>
      <c r="AK413" s="15">
        <f>Q413*'Optimal Choice'!$B$19*AD413</f>
        <v>576000</v>
      </c>
      <c r="AL413" s="15">
        <f>R413*'Optimal Choice'!$B$24*AE413</f>
        <v>529200</v>
      </c>
      <c r="AO413" s="12">
        <f t="shared" ref="AO413:AS413" si="1235">if(isna(VLOOKUP(N413+1,$D$2:$E$10,2,false)),AO412, VLOOKUP(N413+1,$D$2:$E$10,2,false))</f>
        <v>50</v>
      </c>
      <c r="AP413" s="12">
        <f t="shared" si="1235"/>
        <v>25</v>
      </c>
      <c r="AQ413" s="12">
        <f t="shared" si="1235"/>
        <v>25</v>
      </c>
      <c r="AR413" s="12">
        <f t="shared" si="1235"/>
        <v>25</v>
      </c>
      <c r="AS413" s="12">
        <f t="shared" si="1235"/>
        <v>25</v>
      </c>
      <c r="AU413" s="11">
        <f t="shared" si="8"/>
        <v>0.3439812174</v>
      </c>
    </row>
    <row r="414" ht="15.75" customHeight="1">
      <c r="A414" s="16">
        <f t="shared" si="4"/>
        <v>16.58040997</v>
      </c>
      <c r="B414" s="7">
        <f>(sum(AH414:AL414))*'Optimal Choice'!$B$28</f>
        <v>3477860</v>
      </c>
      <c r="C414" s="11"/>
      <c r="D414" s="12"/>
      <c r="E414" s="12"/>
      <c r="F414" s="11"/>
      <c r="G414" s="11">
        <f>(T414/$B414)+(T414/('Optimal Choice'!$B$4*AO414))</f>
        <v>2577.342588</v>
      </c>
      <c r="H414" s="11">
        <f>(U414/$B414)+(U414/('Optimal Choice'!$B$9*AP414))</f>
        <v>2815.063424</v>
      </c>
      <c r="I414" s="11">
        <f>(V414/$B414)+(V414/('Optimal Choice'!$B$14*AQ414))</f>
        <v>2703.121684</v>
      </c>
      <c r="J414" s="11">
        <f>(W414/$B414)+(W414/('Optimal Choice'!$B$19*AR414))</f>
        <v>2713.266635</v>
      </c>
      <c r="K414" s="11">
        <f>(X414/$B414)+(X414/('Optimal Choice'!$B$24*AS414))</f>
        <v>631.1197477</v>
      </c>
      <c r="N414" s="12">
        <f t="shared" ref="N414:R414" si="1236">if(min($G413:$K413)=G413,N413+1,N413)</f>
        <v>160</v>
      </c>
      <c r="O414" s="12">
        <f t="shared" si="1236"/>
        <v>71</v>
      </c>
      <c r="P414" s="12">
        <f t="shared" si="1236"/>
        <v>68</v>
      </c>
      <c r="Q414" s="12">
        <f t="shared" si="1236"/>
        <v>64</v>
      </c>
      <c r="R414" s="12">
        <f t="shared" si="1236"/>
        <v>50</v>
      </c>
      <c r="T414" s="13">
        <f> 'Optimal Choice'!$B$5*'Optimal Choice'!$B$6^(N414+1)</f>
        <v>215202.9393</v>
      </c>
      <c r="U414" s="13">
        <f> 'Optimal Choice'!$B$10*'Optimal Choice'!$B$11^(O414+1)</f>
        <v>1407329.385</v>
      </c>
      <c r="V414" s="13">
        <f> 'Optimal Choice'!$B$15*'Optimal Choice'!$B$16^(P414+1)</f>
        <v>6078091.569</v>
      </c>
      <c r="W414" s="13">
        <f> 'Optimal Choice'!$B$20*'Optimal Choice'!$B$21^(Q414+1)</f>
        <v>24356370.34</v>
      </c>
      <c r="X414" s="13">
        <f> 'Optimal Choice'!$B$25*'Optimal Choice'!$B$26^(R414+1)</f>
        <v>33559396.69</v>
      </c>
      <c r="AA414" s="12">
        <f t="shared" ref="AA414:AE414" si="1237">if(isna(VLOOKUP(N414,$D$2:$E$10,2,false)),AA413, VLOOKUP(N414,$D$2:$E$10,2,false))</f>
        <v>50</v>
      </c>
      <c r="AB414" s="12">
        <f t="shared" si="1237"/>
        <v>25</v>
      </c>
      <c r="AC414" s="12">
        <f t="shared" si="1237"/>
        <v>25</v>
      </c>
      <c r="AD414" s="12">
        <f t="shared" si="1237"/>
        <v>25</v>
      </c>
      <c r="AE414" s="12">
        <f t="shared" si="1237"/>
        <v>25</v>
      </c>
      <c r="AH414" s="15">
        <f>N414*'Optimal Choice'!$B$4*AA414</f>
        <v>13360</v>
      </c>
      <c r="AI414" s="15">
        <f>O414*'Optimal Choice'!$B$9*AB414</f>
        <v>35500</v>
      </c>
      <c r="AJ414" s="15">
        <f>P414*'Optimal Choice'!$B$14*AC414</f>
        <v>153000</v>
      </c>
      <c r="AK414" s="15">
        <f>Q414*'Optimal Choice'!$B$19*AD414</f>
        <v>576000</v>
      </c>
      <c r="AL414" s="15">
        <f>R414*'Optimal Choice'!$B$24*AE414</f>
        <v>2700000</v>
      </c>
      <c r="AO414" s="12">
        <f t="shared" ref="AO414:AS414" si="1238">if(isna(VLOOKUP(N414+1,$D$2:$E$10,2,false)),AO413, VLOOKUP(N414+1,$D$2:$E$10,2,false))</f>
        <v>50</v>
      </c>
      <c r="AP414" s="12">
        <f t="shared" si="1238"/>
        <v>25</v>
      </c>
      <c r="AQ414" s="12">
        <f t="shared" si="1238"/>
        <v>25</v>
      </c>
      <c r="AR414" s="12">
        <f t="shared" si="1238"/>
        <v>25</v>
      </c>
      <c r="AS414" s="12">
        <f t="shared" si="1238"/>
        <v>25</v>
      </c>
      <c r="AU414" s="11">
        <f t="shared" si="8"/>
        <v>0.3820756385</v>
      </c>
    </row>
    <row r="415" ht="15.75" customHeight="1">
      <c r="A415" s="16">
        <f t="shared" si="4"/>
        <v>16.74123395</v>
      </c>
      <c r="B415" s="7">
        <f>(sum(AH415:AL415))*'Optimal Choice'!$B$28</f>
        <v>3531860</v>
      </c>
      <c r="C415" s="11"/>
      <c r="D415" s="12"/>
      <c r="E415" s="12"/>
      <c r="F415" s="11"/>
      <c r="G415" s="11">
        <f>(T415/$B415)+(T415/('Optimal Choice'!$B$4*AO415))</f>
        <v>2577.341641</v>
      </c>
      <c r="H415" s="11">
        <f>(U415/$B415)+(U415/('Optimal Choice'!$B$9*AP415))</f>
        <v>2815.057237</v>
      </c>
      <c r="I415" s="11">
        <f>(V415/$B415)+(V415/('Optimal Choice'!$B$14*AQ415))</f>
        <v>2703.094963</v>
      </c>
      <c r="J415" s="11">
        <f>(W415/$B415)+(W415/('Optimal Choice'!$B$19*AR415))</f>
        <v>2713.159559</v>
      </c>
      <c r="K415" s="11">
        <f>(X415/$B415)+(X415/('Optimal Choice'!$B$24*AS415))</f>
        <v>706.6888792</v>
      </c>
      <c r="N415" s="12">
        <f t="shared" ref="N415:R415" si="1239">if(min($G414:$K414)=G414,N414+1,N414)</f>
        <v>160</v>
      </c>
      <c r="O415" s="12">
        <f t="shared" si="1239"/>
        <v>71</v>
      </c>
      <c r="P415" s="12">
        <f t="shared" si="1239"/>
        <v>68</v>
      </c>
      <c r="Q415" s="12">
        <f t="shared" si="1239"/>
        <v>64</v>
      </c>
      <c r="R415" s="12">
        <f t="shared" si="1239"/>
        <v>51</v>
      </c>
      <c r="T415" s="13">
        <f> 'Optimal Choice'!$B$5*'Optimal Choice'!$B$6^(N415+1)</f>
        <v>215202.9393</v>
      </c>
      <c r="U415" s="13">
        <f> 'Optimal Choice'!$B$10*'Optimal Choice'!$B$11^(O415+1)</f>
        <v>1407329.385</v>
      </c>
      <c r="V415" s="13">
        <f> 'Optimal Choice'!$B$15*'Optimal Choice'!$B$16^(P415+1)</f>
        <v>6078091.569</v>
      </c>
      <c r="W415" s="13">
        <f> 'Optimal Choice'!$B$20*'Optimal Choice'!$B$21^(Q415+1)</f>
        <v>24356370.34</v>
      </c>
      <c r="X415" s="13">
        <f> 'Optimal Choice'!$B$25*'Optimal Choice'!$B$26^(R415+1)</f>
        <v>37586524.29</v>
      </c>
      <c r="AA415" s="12">
        <f t="shared" ref="AA415:AE415" si="1240">if(isna(VLOOKUP(N415,$D$2:$E$10,2,false)),AA414, VLOOKUP(N415,$D$2:$E$10,2,false))</f>
        <v>50</v>
      </c>
      <c r="AB415" s="12">
        <f t="shared" si="1240"/>
        <v>25</v>
      </c>
      <c r="AC415" s="12">
        <f t="shared" si="1240"/>
        <v>25</v>
      </c>
      <c r="AD415" s="12">
        <f t="shared" si="1240"/>
        <v>25</v>
      </c>
      <c r="AE415" s="12">
        <f t="shared" si="1240"/>
        <v>25</v>
      </c>
      <c r="AH415" s="15">
        <f>N415*'Optimal Choice'!$B$4*AA415</f>
        <v>13360</v>
      </c>
      <c r="AI415" s="15">
        <f>O415*'Optimal Choice'!$B$9*AB415</f>
        <v>35500</v>
      </c>
      <c r="AJ415" s="15">
        <f>P415*'Optimal Choice'!$B$14*AC415</f>
        <v>153000</v>
      </c>
      <c r="AK415" s="15">
        <f>Q415*'Optimal Choice'!$B$19*AD415</f>
        <v>576000</v>
      </c>
      <c r="AL415" s="15">
        <f>R415*'Optimal Choice'!$B$24*AE415</f>
        <v>2754000</v>
      </c>
      <c r="AO415" s="12">
        <f t="shared" ref="AO415:AS415" si="1241">if(isna(VLOOKUP(N415+1,$D$2:$E$10,2,false)),AO414, VLOOKUP(N415+1,$D$2:$E$10,2,false))</f>
        <v>50</v>
      </c>
      <c r="AP415" s="12">
        <f t="shared" si="1241"/>
        <v>25</v>
      </c>
      <c r="AQ415" s="12">
        <f t="shared" si="1241"/>
        <v>25</v>
      </c>
      <c r="AR415" s="12">
        <f t="shared" si="1241"/>
        <v>25</v>
      </c>
      <c r="AS415" s="12">
        <f t="shared" si="1241"/>
        <v>25</v>
      </c>
      <c r="AU415" s="11">
        <f t="shared" si="8"/>
        <v>0.1608239774</v>
      </c>
    </row>
    <row r="416" ht="15.75" customHeight="1">
      <c r="A416" s="16">
        <f t="shared" si="4"/>
        <v>16.91860283</v>
      </c>
      <c r="B416" s="7">
        <f>(sum(AH416:AL416))*'Optimal Choice'!$B$28</f>
        <v>3585860</v>
      </c>
      <c r="C416" s="11"/>
      <c r="D416" s="12"/>
      <c r="E416" s="12"/>
      <c r="F416" s="11"/>
      <c r="G416" s="11">
        <f>(T416/$B416)+(T416/('Optimal Choice'!$B$4*AO416))</f>
        <v>2577.340724</v>
      </c>
      <c r="H416" s="11">
        <f>(U416/$B416)+(U416/('Optimal Choice'!$B$9*AP416))</f>
        <v>2815.051237</v>
      </c>
      <c r="I416" s="11">
        <f>(V416/$B416)+(V416/('Optimal Choice'!$B$14*AQ416))</f>
        <v>2703.069047</v>
      </c>
      <c r="J416" s="11">
        <f>(W416/$B416)+(W416/('Optimal Choice'!$B$19*AR416))</f>
        <v>2713.055708</v>
      </c>
      <c r="K416" s="11">
        <f>(X416/$B416)+(X416/('Optimal Choice'!$B$24*AS416))</f>
        <v>791.3120519</v>
      </c>
      <c r="N416" s="12">
        <f t="shared" ref="N416:R416" si="1242">if(min($G415:$K415)=G415,N415+1,N415)</f>
        <v>160</v>
      </c>
      <c r="O416" s="12">
        <f t="shared" si="1242"/>
        <v>71</v>
      </c>
      <c r="P416" s="12">
        <f t="shared" si="1242"/>
        <v>68</v>
      </c>
      <c r="Q416" s="12">
        <f t="shared" si="1242"/>
        <v>64</v>
      </c>
      <c r="R416" s="12">
        <f t="shared" si="1242"/>
        <v>52</v>
      </c>
      <c r="T416" s="13">
        <f> 'Optimal Choice'!$B$5*'Optimal Choice'!$B$6^(N416+1)</f>
        <v>215202.9393</v>
      </c>
      <c r="U416" s="13">
        <f> 'Optimal Choice'!$B$10*'Optimal Choice'!$B$11^(O416+1)</f>
        <v>1407329.385</v>
      </c>
      <c r="V416" s="13">
        <f> 'Optimal Choice'!$B$15*'Optimal Choice'!$B$16^(P416+1)</f>
        <v>6078091.569</v>
      </c>
      <c r="W416" s="13">
        <f> 'Optimal Choice'!$B$20*'Optimal Choice'!$B$21^(Q416+1)</f>
        <v>24356370.34</v>
      </c>
      <c r="X416" s="13">
        <f> 'Optimal Choice'!$B$25*'Optimal Choice'!$B$26^(R416+1)</f>
        <v>42096907.2</v>
      </c>
      <c r="AA416" s="12">
        <f t="shared" ref="AA416:AE416" si="1243">if(isna(VLOOKUP(N416,$D$2:$E$10,2,false)),AA415, VLOOKUP(N416,$D$2:$E$10,2,false))</f>
        <v>50</v>
      </c>
      <c r="AB416" s="12">
        <f t="shared" si="1243"/>
        <v>25</v>
      </c>
      <c r="AC416" s="12">
        <f t="shared" si="1243"/>
        <v>25</v>
      </c>
      <c r="AD416" s="12">
        <f t="shared" si="1243"/>
        <v>25</v>
      </c>
      <c r="AE416" s="12">
        <f t="shared" si="1243"/>
        <v>25</v>
      </c>
      <c r="AH416" s="15">
        <f>N416*'Optimal Choice'!$B$4*AA416</f>
        <v>13360</v>
      </c>
      <c r="AI416" s="15">
        <f>O416*'Optimal Choice'!$B$9*AB416</f>
        <v>35500</v>
      </c>
      <c r="AJ416" s="15">
        <f>P416*'Optimal Choice'!$B$14*AC416</f>
        <v>153000</v>
      </c>
      <c r="AK416" s="15">
        <f>Q416*'Optimal Choice'!$B$19*AD416</f>
        <v>576000</v>
      </c>
      <c r="AL416" s="15">
        <f>R416*'Optimal Choice'!$B$24*AE416</f>
        <v>2808000</v>
      </c>
      <c r="AO416" s="12">
        <f t="shared" ref="AO416:AS416" si="1244">if(isna(VLOOKUP(N416+1,$D$2:$E$10,2,false)),AO415, VLOOKUP(N416+1,$D$2:$E$10,2,false))</f>
        <v>50</v>
      </c>
      <c r="AP416" s="12">
        <f t="shared" si="1244"/>
        <v>25</v>
      </c>
      <c r="AQ416" s="12">
        <f t="shared" si="1244"/>
        <v>25</v>
      </c>
      <c r="AR416" s="12">
        <f t="shared" si="1244"/>
        <v>25</v>
      </c>
      <c r="AS416" s="12">
        <f t="shared" si="1244"/>
        <v>25</v>
      </c>
      <c r="AU416" s="11">
        <f t="shared" si="8"/>
        <v>0.1773688854</v>
      </c>
    </row>
    <row r="417" ht="15.75" customHeight="1">
      <c r="A417" s="16">
        <f t="shared" si="4"/>
        <v>17.11426444</v>
      </c>
      <c r="B417" s="7">
        <f>(sum(AH417:AL417))*'Optimal Choice'!$B$28</f>
        <v>3639860</v>
      </c>
      <c r="C417" s="11"/>
      <c r="D417" s="12"/>
      <c r="E417" s="12"/>
      <c r="F417" s="11"/>
      <c r="G417" s="11">
        <f>(T417/$B417)+(T417/('Optimal Choice'!$B$4*AO417))</f>
        <v>2577.339834</v>
      </c>
      <c r="H417" s="11">
        <f>(U417/$B417)+(U417/('Optimal Choice'!$B$9*AP417))</f>
        <v>2815.045414</v>
      </c>
      <c r="I417" s="11">
        <f>(V417/$B417)+(V417/('Optimal Choice'!$B$14*AQ417))</f>
        <v>2703.0439</v>
      </c>
      <c r="J417" s="11">
        <f>(W417/$B417)+(W417/('Optimal Choice'!$B$19*AR417))</f>
        <v>2712.954939</v>
      </c>
      <c r="K417" s="11">
        <f>(X417/$B417)+(X417/('Optimal Choice'!$B$24*AS417))</f>
        <v>886.074431</v>
      </c>
      <c r="N417" s="12">
        <f t="shared" ref="N417:R417" si="1245">if(min($G416:$K416)=G416,N416+1,N416)</f>
        <v>160</v>
      </c>
      <c r="O417" s="12">
        <f t="shared" si="1245"/>
        <v>71</v>
      </c>
      <c r="P417" s="12">
        <f t="shared" si="1245"/>
        <v>68</v>
      </c>
      <c r="Q417" s="12">
        <f t="shared" si="1245"/>
        <v>64</v>
      </c>
      <c r="R417" s="12">
        <f t="shared" si="1245"/>
        <v>53</v>
      </c>
      <c r="T417" s="13">
        <f> 'Optimal Choice'!$B$5*'Optimal Choice'!$B$6^(N417+1)</f>
        <v>215202.9393</v>
      </c>
      <c r="U417" s="13">
        <f> 'Optimal Choice'!$B$10*'Optimal Choice'!$B$11^(O417+1)</f>
        <v>1407329.385</v>
      </c>
      <c r="V417" s="13">
        <f> 'Optimal Choice'!$B$15*'Optimal Choice'!$B$16^(P417+1)</f>
        <v>6078091.569</v>
      </c>
      <c r="W417" s="13">
        <f> 'Optimal Choice'!$B$20*'Optimal Choice'!$B$21^(Q417+1)</f>
        <v>24356370.34</v>
      </c>
      <c r="X417" s="13">
        <f> 'Optimal Choice'!$B$25*'Optimal Choice'!$B$26^(R417+1)</f>
        <v>47148536.07</v>
      </c>
      <c r="AA417" s="12">
        <f t="shared" ref="AA417:AE417" si="1246">if(isna(VLOOKUP(N417,$D$2:$E$10,2,false)),AA416, VLOOKUP(N417,$D$2:$E$10,2,false))</f>
        <v>50</v>
      </c>
      <c r="AB417" s="12">
        <f t="shared" si="1246"/>
        <v>25</v>
      </c>
      <c r="AC417" s="12">
        <f t="shared" si="1246"/>
        <v>25</v>
      </c>
      <c r="AD417" s="12">
        <f t="shared" si="1246"/>
        <v>25</v>
      </c>
      <c r="AE417" s="12">
        <f t="shared" si="1246"/>
        <v>25</v>
      </c>
      <c r="AH417" s="15">
        <f>N417*'Optimal Choice'!$B$4*AA417</f>
        <v>13360</v>
      </c>
      <c r="AI417" s="15">
        <f>O417*'Optimal Choice'!$B$9*AB417</f>
        <v>35500</v>
      </c>
      <c r="AJ417" s="15">
        <f>P417*'Optimal Choice'!$B$14*AC417</f>
        <v>153000</v>
      </c>
      <c r="AK417" s="15">
        <f>Q417*'Optimal Choice'!$B$19*AD417</f>
        <v>576000</v>
      </c>
      <c r="AL417" s="15">
        <f>R417*'Optimal Choice'!$B$24*AE417</f>
        <v>2862000</v>
      </c>
      <c r="AO417" s="12">
        <f t="shared" ref="AO417:AS417" si="1247">if(isna(VLOOKUP(N417+1,$D$2:$E$10,2,false)),AO416, VLOOKUP(N417+1,$D$2:$E$10,2,false))</f>
        <v>50</v>
      </c>
      <c r="AP417" s="12">
        <f t="shared" si="1247"/>
        <v>25</v>
      </c>
      <c r="AQ417" s="12">
        <f t="shared" si="1247"/>
        <v>25</v>
      </c>
      <c r="AR417" s="12">
        <f t="shared" si="1247"/>
        <v>25</v>
      </c>
      <c r="AS417" s="12">
        <f t="shared" si="1247"/>
        <v>25</v>
      </c>
      <c r="AU417" s="11">
        <f t="shared" si="8"/>
        <v>0.1956616042</v>
      </c>
    </row>
    <row r="418" ht="15.75" customHeight="1">
      <c r="A418" s="16">
        <f t="shared" si="4"/>
        <v>17.33015432</v>
      </c>
      <c r="B418" s="7">
        <f>(sum(AH418:AL418))*'Optimal Choice'!$B$28</f>
        <v>3693860</v>
      </c>
      <c r="C418" s="11"/>
      <c r="D418" s="12"/>
      <c r="E418" s="12"/>
      <c r="F418" s="11"/>
      <c r="G418" s="11">
        <f>(T418/$B418)+(T418/('Optimal Choice'!$B$4*AO418))</f>
        <v>2577.338969</v>
      </c>
      <c r="H418" s="11">
        <f>(U418/$B418)+(U418/('Optimal Choice'!$B$9*AP418))</f>
        <v>2815.039762</v>
      </c>
      <c r="I418" s="11">
        <f>(V418/$B418)+(V418/('Optimal Choice'!$B$14*AQ418))</f>
        <v>2703.019489</v>
      </c>
      <c r="J418" s="11">
        <f>(W418/$B418)+(W418/('Optimal Choice'!$B$19*AR418))</f>
        <v>2712.857116</v>
      </c>
      <c r="K418" s="11">
        <f>(X418/$B418)+(X418/('Optimal Choice'!$B$24*AS418))</f>
        <v>992.1912753</v>
      </c>
      <c r="N418" s="12">
        <f t="shared" ref="N418:R418" si="1248">if(min($G417:$K417)=G417,N417+1,N417)</f>
        <v>160</v>
      </c>
      <c r="O418" s="12">
        <f t="shared" si="1248"/>
        <v>71</v>
      </c>
      <c r="P418" s="12">
        <f t="shared" si="1248"/>
        <v>68</v>
      </c>
      <c r="Q418" s="12">
        <f t="shared" si="1248"/>
        <v>64</v>
      </c>
      <c r="R418" s="12">
        <f t="shared" si="1248"/>
        <v>54</v>
      </c>
      <c r="T418" s="13">
        <f> 'Optimal Choice'!$B$5*'Optimal Choice'!$B$6^(N418+1)</f>
        <v>215202.9393</v>
      </c>
      <c r="U418" s="13">
        <f> 'Optimal Choice'!$B$10*'Optimal Choice'!$B$11^(O418+1)</f>
        <v>1407329.385</v>
      </c>
      <c r="V418" s="13">
        <f> 'Optimal Choice'!$B$15*'Optimal Choice'!$B$16^(P418+1)</f>
        <v>6078091.569</v>
      </c>
      <c r="W418" s="13">
        <f> 'Optimal Choice'!$B$20*'Optimal Choice'!$B$21^(Q418+1)</f>
        <v>24356370.34</v>
      </c>
      <c r="X418" s="13">
        <f> 'Optimal Choice'!$B$25*'Optimal Choice'!$B$26^(R418+1)</f>
        <v>52806360.4</v>
      </c>
      <c r="AA418" s="12">
        <f t="shared" ref="AA418:AE418" si="1249">if(isna(VLOOKUP(N418,$D$2:$E$10,2,false)),AA417, VLOOKUP(N418,$D$2:$E$10,2,false))</f>
        <v>50</v>
      </c>
      <c r="AB418" s="12">
        <f t="shared" si="1249"/>
        <v>25</v>
      </c>
      <c r="AC418" s="12">
        <f t="shared" si="1249"/>
        <v>25</v>
      </c>
      <c r="AD418" s="12">
        <f t="shared" si="1249"/>
        <v>25</v>
      </c>
      <c r="AE418" s="12">
        <f t="shared" si="1249"/>
        <v>25</v>
      </c>
      <c r="AH418" s="15">
        <f>N418*'Optimal Choice'!$B$4*AA418</f>
        <v>13360</v>
      </c>
      <c r="AI418" s="15">
        <f>O418*'Optimal Choice'!$B$9*AB418</f>
        <v>35500</v>
      </c>
      <c r="AJ418" s="15">
        <f>P418*'Optimal Choice'!$B$14*AC418</f>
        <v>153000</v>
      </c>
      <c r="AK418" s="15">
        <f>Q418*'Optimal Choice'!$B$19*AD418</f>
        <v>576000</v>
      </c>
      <c r="AL418" s="15">
        <f>R418*'Optimal Choice'!$B$24*AE418</f>
        <v>2916000</v>
      </c>
      <c r="AO418" s="12">
        <f t="shared" ref="AO418:AS418" si="1250">if(isna(VLOOKUP(N418+1,$D$2:$E$10,2,false)),AO417, VLOOKUP(N418+1,$D$2:$E$10,2,false))</f>
        <v>50</v>
      </c>
      <c r="AP418" s="12">
        <f t="shared" si="1250"/>
        <v>25</v>
      </c>
      <c r="AQ418" s="12">
        <f t="shared" si="1250"/>
        <v>25</v>
      </c>
      <c r="AR418" s="12">
        <f t="shared" si="1250"/>
        <v>25</v>
      </c>
      <c r="AS418" s="12">
        <f t="shared" si="1250"/>
        <v>25</v>
      </c>
      <c r="AU418" s="11">
        <f t="shared" si="8"/>
        <v>0.2158898789</v>
      </c>
    </row>
    <row r="419" ht="15.75" customHeight="1">
      <c r="A419" s="16">
        <f t="shared" si="4"/>
        <v>17.56841619</v>
      </c>
      <c r="B419" s="7">
        <f>(sum(AH419:AL419))*'Optimal Choice'!$B$28</f>
        <v>3747860</v>
      </c>
      <c r="C419" s="11"/>
      <c r="D419" s="12"/>
      <c r="E419" s="12"/>
      <c r="F419" s="11"/>
      <c r="G419" s="11">
        <f>(T419/$B419)+(T419/('Optimal Choice'!$B$4*AO419))</f>
        <v>2577.33813</v>
      </c>
      <c r="H419" s="11">
        <f>(U419/$B419)+(U419/('Optimal Choice'!$B$9*AP419))</f>
        <v>2815.034272</v>
      </c>
      <c r="I419" s="11">
        <f>(V419/$B419)+(V419/('Optimal Choice'!$B$14*AQ419))</f>
        <v>2702.995781</v>
      </c>
      <c r="J419" s="11">
        <f>(W419/$B419)+(W419/('Optimal Choice'!$B$19*AR419))</f>
        <v>2712.762112</v>
      </c>
      <c r="K419" s="11">
        <f>(X419/$B419)+(X419/('Optimal Choice'!$B$24*AS419))</f>
        <v>1111.023535</v>
      </c>
      <c r="N419" s="12">
        <f t="shared" ref="N419:R419" si="1251">if(min($G418:$K418)=G418,N418+1,N418)</f>
        <v>160</v>
      </c>
      <c r="O419" s="12">
        <f t="shared" si="1251"/>
        <v>71</v>
      </c>
      <c r="P419" s="12">
        <f t="shared" si="1251"/>
        <v>68</v>
      </c>
      <c r="Q419" s="12">
        <f t="shared" si="1251"/>
        <v>64</v>
      </c>
      <c r="R419" s="12">
        <f t="shared" si="1251"/>
        <v>55</v>
      </c>
      <c r="T419" s="13">
        <f> 'Optimal Choice'!$B$5*'Optimal Choice'!$B$6^(N419+1)</f>
        <v>215202.9393</v>
      </c>
      <c r="U419" s="13">
        <f> 'Optimal Choice'!$B$10*'Optimal Choice'!$B$11^(O419+1)</f>
        <v>1407329.385</v>
      </c>
      <c r="V419" s="13">
        <f> 'Optimal Choice'!$B$15*'Optimal Choice'!$B$16^(P419+1)</f>
        <v>6078091.569</v>
      </c>
      <c r="W419" s="13">
        <f> 'Optimal Choice'!$B$20*'Optimal Choice'!$B$21^(Q419+1)</f>
        <v>24356370.34</v>
      </c>
      <c r="X419" s="13">
        <f> 'Optimal Choice'!$B$25*'Optimal Choice'!$B$26^(R419+1)</f>
        <v>59143123.64</v>
      </c>
      <c r="AA419" s="12">
        <f t="shared" ref="AA419:AE419" si="1252">if(isna(VLOOKUP(N419,$D$2:$E$10,2,false)),AA418, VLOOKUP(N419,$D$2:$E$10,2,false))</f>
        <v>50</v>
      </c>
      <c r="AB419" s="12">
        <f t="shared" si="1252"/>
        <v>25</v>
      </c>
      <c r="AC419" s="12">
        <f t="shared" si="1252"/>
        <v>25</v>
      </c>
      <c r="AD419" s="12">
        <f t="shared" si="1252"/>
        <v>25</v>
      </c>
      <c r="AE419" s="12">
        <f t="shared" si="1252"/>
        <v>25</v>
      </c>
      <c r="AH419" s="15">
        <f>N419*'Optimal Choice'!$B$4*AA419</f>
        <v>13360</v>
      </c>
      <c r="AI419" s="15">
        <f>O419*'Optimal Choice'!$B$9*AB419</f>
        <v>35500</v>
      </c>
      <c r="AJ419" s="15">
        <f>P419*'Optimal Choice'!$B$14*AC419</f>
        <v>153000</v>
      </c>
      <c r="AK419" s="15">
        <f>Q419*'Optimal Choice'!$B$19*AD419</f>
        <v>576000</v>
      </c>
      <c r="AL419" s="15">
        <f>R419*'Optimal Choice'!$B$24*AE419</f>
        <v>2970000</v>
      </c>
      <c r="AO419" s="12">
        <f t="shared" ref="AO419:AS419" si="1253">if(isna(VLOOKUP(N419+1,$D$2:$E$10,2,false)),AO418, VLOOKUP(N419+1,$D$2:$E$10,2,false))</f>
        <v>50</v>
      </c>
      <c r="AP419" s="12">
        <f t="shared" si="1253"/>
        <v>25</v>
      </c>
      <c r="AQ419" s="12">
        <f t="shared" si="1253"/>
        <v>25</v>
      </c>
      <c r="AR419" s="12">
        <f t="shared" si="1253"/>
        <v>25</v>
      </c>
      <c r="AS419" s="12">
        <f t="shared" si="1253"/>
        <v>25</v>
      </c>
      <c r="AU419" s="11">
        <f t="shared" si="8"/>
        <v>0.2382618742</v>
      </c>
    </row>
    <row r="420" ht="15.75" customHeight="1">
      <c r="A420" s="16">
        <f t="shared" si="4"/>
        <v>17.83142461</v>
      </c>
      <c r="B420" s="7">
        <f>(sum(AH420:AL420))*'Optimal Choice'!$B$28</f>
        <v>3801860</v>
      </c>
      <c r="C420" s="11"/>
      <c r="D420" s="12"/>
      <c r="E420" s="12"/>
      <c r="F420" s="11"/>
      <c r="G420" s="11">
        <f>(T420/$B420)+(T420/('Optimal Choice'!$B$4*AO420))</f>
        <v>2577.337314</v>
      </c>
      <c r="H420" s="11">
        <f>(U420/$B420)+(U420/('Optimal Choice'!$B$9*AP420))</f>
        <v>2815.028939</v>
      </c>
      <c r="I420" s="11">
        <f>(V420/$B420)+(V420/('Optimal Choice'!$B$14*AQ420))</f>
        <v>2702.972746</v>
      </c>
      <c r="J420" s="11">
        <f>(W420/$B420)+(W420/('Optimal Choice'!$B$19*AR420))</f>
        <v>2712.669806</v>
      </c>
      <c r="K420" s="11">
        <f>(X420/$B420)+(X420/('Optimal Choice'!$B$24*AS420))</f>
        <v>1244.095323</v>
      </c>
      <c r="N420" s="12">
        <f t="shared" ref="N420:R420" si="1254">if(min($G419:$K419)=G419,N419+1,N419)</f>
        <v>160</v>
      </c>
      <c r="O420" s="12">
        <f t="shared" si="1254"/>
        <v>71</v>
      </c>
      <c r="P420" s="12">
        <f t="shared" si="1254"/>
        <v>68</v>
      </c>
      <c r="Q420" s="12">
        <f t="shared" si="1254"/>
        <v>64</v>
      </c>
      <c r="R420" s="12">
        <f t="shared" si="1254"/>
        <v>56</v>
      </c>
      <c r="T420" s="13">
        <f> 'Optimal Choice'!$B$5*'Optimal Choice'!$B$6^(N420+1)</f>
        <v>215202.9393</v>
      </c>
      <c r="U420" s="13">
        <f> 'Optimal Choice'!$B$10*'Optimal Choice'!$B$11^(O420+1)</f>
        <v>1407329.385</v>
      </c>
      <c r="V420" s="13">
        <f> 'Optimal Choice'!$B$15*'Optimal Choice'!$B$16^(P420+1)</f>
        <v>6078091.569</v>
      </c>
      <c r="W420" s="13">
        <f> 'Optimal Choice'!$B$20*'Optimal Choice'!$B$21^(Q420+1)</f>
        <v>24356370.34</v>
      </c>
      <c r="X420" s="13">
        <f> 'Optimal Choice'!$B$25*'Optimal Choice'!$B$26^(R420+1)</f>
        <v>66240298.48</v>
      </c>
      <c r="AA420" s="12">
        <f t="shared" ref="AA420:AE420" si="1255">if(isna(VLOOKUP(N420,$D$2:$E$10,2,false)),AA419, VLOOKUP(N420,$D$2:$E$10,2,false))</f>
        <v>50</v>
      </c>
      <c r="AB420" s="12">
        <f t="shared" si="1255"/>
        <v>25</v>
      </c>
      <c r="AC420" s="12">
        <f t="shared" si="1255"/>
        <v>25</v>
      </c>
      <c r="AD420" s="12">
        <f t="shared" si="1255"/>
        <v>25</v>
      </c>
      <c r="AE420" s="12">
        <f t="shared" si="1255"/>
        <v>25</v>
      </c>
      <c r="AH420" s="15">
        <f>N420*'Optimal Choice'!$B$4*AA420</f>
        <v>13360</v>
      </c>
      <c r="AI420" s="15">
        <f>O420*'Optimal Choice'!$B$9*AB420</f>
        <v>35500</v>
      </c>
      <c r="AJ420" s="15">
        <f>P420*'Optimal Choice'!$B$14*AC420</f>
        <v>153000</v>
      </c>
      <c r="AK420" s="15">
        <f>Q420*'Optimal Choice'!$B$19*AD420</f>
        <v>576000</v>
      </c>
      <c r="AL420" s="15">
        <f>R420*'Optimal Choice'!$B$24*AE420</f>
        <v>3024000</v>
      </c>
      <c r="AO420" s="12">
        <f t="shared" ref="AO420:AS420" si="1256">if(isna(VLOOKUP(N420+1,$D$2:$E$10,2,false)),AO419, VLOOKUP(N420+1,$D$2:$E$10,2,false))</f>
        <v>50</v>
      </c>
      <c r="AP420" s="12">
        <f t="shared" si="1256"/>
        <v>25</v>
      </c>
      <c r="AQ420" s="12">
        <f t="shared" si="1256"/>
        <v>25</v>
      </c>
      <c r="AR420" s="12">
        <f t="shared" si="1256"/>
        <v>25</v>
      </c>
      <c r="AS420" s="12">
        <f t="shared" si="1256"/>
        <v>25</v>
      </c>
      <c r="AU420" s="11">
        <f t="shared" si="8"/>
        <v>0.2630084174</v>
      </c>
    </row>
    <row r="421" ht="15.75" customHeight="1">
      <c r="A421" s="16">
        <f t="shared" si="4"/>
        <v>18.1218101</v>
      </c>
      <c r="B421" s="7">
        <f>(sum(AH421:AL421))*'Optimal Choice'!$B$28</f>
        <v>3855860</v>
      </c>
      <c r="C421" s="11"/>
      <c r="D421" s="12"/>
      <c r="E421" s="12"/>
      <c r="F421" s="11"/>
      <c r="G421" s="11">
        <f>(T421/$B421)+(T421/('Optimal Choice'!$B$4*AO421))</f>
        <v>2577.336522</v>
      </c>
      <c r="H421" s="11">
        <f>(U421/$B421)+(U421/('Optimal Choice'!$B$9*AP421))</f>
        <v>2815.023755</v>
      </c>
      <c r="I421" s="11">
        <f>(V421/$B421)+(V421/('Optimal Choice'!$B$14*AQ421))</f>
        <v>2702.950357</v>
      </c>
      <c r="J421" s="11">
        <f>(W421/$B421)+(W421/('Optimal Choice'!$B$19*AR421))</f>
        <v>2712.580087</v>
      </c>
      <c r="K421" s="11">
        <f>(X421/$B421)+(X421/('Optimal Choice'!$B$24*AS421))</f>
        <v>1393.113477</v>
      </c>
      <c r="N421" s="12">
        <f t="shared" ref="N421:R421" si="1257">if(min($G420:$K420)=G420,N420+1,N420)</f>
        <v>160</v>
      </c>
      <c r="O421" s="12">
        <f t="shared" si="1257"/>
        <v>71</v>
      </c>
      <c r="P421" s="12">
        <f t="shared" si="1257"/>
        <v>68</v>
      </c>
      <c r="Q421" s="12">
        <f t="shared" si="1257"/>
        <v>64</v>
      </c>
      <c r="R421" s="12">
        <f t="shared" si="1257"/>
        <v>57</v>
      </c>
      <c r="T421" s="13">
        <f> 'Optimal Choice'!$B$5*'Optimal Choice'!$B$6^(N421+1)</f>
        <v>215202.9393</v>
      </c>
      <c r="U421" s="13">
        <f> 'Optimal Choice'!$B$10*'Optimal Choice'!$B$11^(O421+1)</f>
        <v>1407329.385</v>
      </c>
      <c r="V421" s="13">
        <f> 'Optimal Choice'!$B$15*'Optimal Choice'!$B$16^(P421+1)</f>
        <v>6078091.569</v>
      </c>
      <c r="W421" s="13">
        <f> 'Optimal Choice'!$B$20*'Optimal Choice'!$B$21^(Q421+1)</f>
        <v>24356370.34</v>
      </c>
      <c r="X421" s="13">
        <f> 'Optimal Choice'!$B$25*'Optimal Choice'!$B$26^(R421+1)</f>
        <v>74189134.3</v>
      </c>
      <c r="AA421" s="12">
        <f t="shared" ref="AA421:AE421" si="1258">if(isna(VLOOKUP(N421,$D$2:$E$10,2,false)),AA420, VLOOKUP(N421,$D$2:$E$10,2,false))</f>
        <v>50</v>
      </c>
      <c r="AB421" s="12">
        <f t="shared" si="1258"/>
        <v>25</v>
      </c>
      <c r="AC421" s="12">
        <f t="shared" si="1258"/>
        <v>25</v>
      </c>
      <c r="AD421" s="12">
        <f t="shared" si="1258"/>
        <v>25</v>
      </c>
      <c r="AE421" s="12">
        <f t="shared" si="1258"/>
        <v>25</v>
      </c>
      <c r="AH421" s="15">
        <f>N421*'Optimal Choice'!$B$4*AA421</f>
        <v>13360</v>
      </c>
      <c r="AI421" s="15">
        <f>O421*'Optimal Choice'!$B$9*AB421</f>
        <v>35500</v>
      </c>
      <c r="AJ421" s="15">
        <f>P421*'Optimal Choice'!$B$14*AC421</f>
        <v>153000</v>
      </c>
      <c r="AK421" s="15">
        <f>Q421*'Optimal Choice'!$B$19*AD421</f>
        <v>576000</v>
      </c>
      <c r="AL421" s="15">
        <f>R421*'Optimal Choice'!$B$24*AE421</f>
        <v>3078000</v>
      </c>
      <c r="AO421" s="12">
        <f t="shared" ref="AO421:AS421" si="1259">if(isna(VLOOKUP(N421+1,$D$2:$E$10,2,false)),AO420, VLOOKUP(N421+1,$D$2:$E$10,2,false))</f>
        <v>50</v>
      </c>
      <c r="AP421" s="12">
        <f t="shared" si="1259"/>
        <v>25</v>
      </c>
      <c r="AQ421" s="12">
        <f t="shared" si="1259"/>
        <v>25</v>
      </c>
      <c r="AR421" s="12">
        <f t="shared" si="1259"/>
        <v>25</v>
      </c>
      <c r="AS421" s="12">
        <f t="shared" si="1259"/>
        <v>25</v>
      </c>
      <c r="AU421" s="11">
        <f t="shared" si="8"/>
        <v>0.2903854889</v>
      </c>
    </row>
    <row r="422" ht="15.75" customHeight="1">
      <c r="A422" s="16">
        <f t="shared" si="4"/>
        <v>18.44248708</v>
      </c>
      <c r="B422" s="7">
        <f>(sum(AH422:AL422))*'Optimal Choice'!$B$28</f>
        <v>3909860</v>
      </c>
      <c r="C422" s="11"/>
      <c r="D422" s="12"/>
      <c r="E422" s="12"/>
      <c r="F422" s="11"/>
      <c r="G422" s="11">
        <f>(T422/$B422)+(T422/('Optimal Choice'!$B$4*AO422))</f>
        <v>2577.335751</v>
      </c>
      <c r="H422" s="11">
        <f>(U422/$B422)+(U422/('Optimal Choice'!$B$9*AP422))</f>
        <v>2815.018714</v>
      </c>
      <c r="I422" s="11">
        <f>(V422/$B422)+(V422/('Optimal Choice'!$B$14*AQ422))</f>
        <v>2702.928586</v>
      </c>
      <c r="J422" s="11">
        <f>(W422/$B422)+(W422/('Optimal Choice'!$B$19*AR422))</f>
        <v>2712.492845</v>
      </c>
      <c r="K422" s="11">
        <f>(X422/$B422)+(X422/('Optimal Choice'!$B$24*AS422))</f>
        <v>1559.989469</v>
      </c>
      <c r="N422" s="12">
        <f t="shared" ref="N422:R422" si="1260">if(min($G421:$K421)=G421,N421+1,N421)</f>
        <v>160</v>
      </c>
      <c r="O422" s="12">
        <f t="shared" si="1260"/>
        <v>71</v>
      </c>
      <c r="P422" s="12">
        <f t="shared" si="1260"/>
        <v>68</v>
      </c>
      <c r="Q422" s="12">
        <f t="shared" si="1260"/>
        <v>64</v>
      </c>
      <c r="R422" s="12">
        <f t="shared" si="1260"/>
        <v>58</v>
      </c>
      <c r="T422" s="13">
        <f> 'Optimal Choice'!$B$5*'Optimal Choice'!$B$6^(N422+1)</f>
        <v>215202.9393</v>
      </c>
      <c r="U422" s="13">
        <f> 'Optimal Choice'!$B$10*'Optimal Choice'!$B$11^(O422+1)</f>
        <v>1407329.385</v>
      </c>
      <c r="V422" s="13">
        <f> 'Optimal Choice'!$B$15*'Optimal Choice'!$B$16^(P422+1)</f>
        <v>6078091.569</v>
      </c>
      <c r="W422" s="13">
        <f> 'Optimal Choice'!$B$20*'Optimal Choice'!$B$21^(Q422+1)</f>
        <v>24356370.34</v>
      </c>
      <c r="X422" s="13">
        <f> 'Optimal Choice'!$B$25*'Optimal Choice'!$B$26^(R422+1)</f>
        <v>83091830.41</v>
      </c>
      <c r="AA422" s="12">
        <f t="shared" ref="AA422:AE422" si="1261">if(isna(VLOOKUP(N422,$D$2:$E$10,2,false)),AA421, VLOOKUP(N422,$D$2:$E$10,2,false))</f>
        <v>50</v>
      </c>
      <c r="AB422" s="12">
        <f t="shared" si="1261"/>
        <v>25</v>
      </c>
      <c r="AC422" s="12">
        <f t="shared" si="1261"/>
        <v>25</v>
      </c>
      <c r="AD422" s="12">
        <f t="shared" si="1261"/>
        <v>25</v>
      </c>
      <c r="AE422" s="12">
        <f t="shared" si="1261"/>
        <v>25</v>
      </c>
      <c r="AH422" s="15">
        <f>N422*'Optimal Choice'!$B$4*AA422</f>
        <v>13360</v>
      </c>
      <c r="AI422" s="15">
        <f>O422*'Optimal Choice'!$B$9*AB422</f>
        <v>35500</v>
      </c>
      <c r="AJ422" s="15">
        <f>P422*'Optimal Choice'!$B$14*AC422</f>
        <v>153000</v>
      </c>
      <c r="AK422" s="15">
        <f>Q422*'Optimal Choice'!$B$19*AD422</f>
        <v>576000</v>
      </c>
      <c r="AL422" s="15">
        <f>R422*'Optimal Choice'!$B$24*AE422</f>
        <v>3132000</v>
      </c>
      <c r="AO422" s="12">
        <f t="shared" ref="AO422:AS422" si="1262">if(isna(VLOOKUP(N422+1,$D$2:$E$10,2,false)),AO421, VLOOKUP(N422+1,$D$2:$E$10,2,false))</f>
        <v>50</v>
      </c>
      <c r="AP422" s="12">
        <f t="shared" si="1262"/>
        <v>25</v>
      </c>
      <c r="AQ422" s="12">
        <f t="shared" si="1262"/>
        <v>25</v>
      </c>
      <c r="AR422" s="12">
        <f t="shared" si="1262"/>
        <v>25</v>
      </c>
      <c r="AS422" s="12">
        <f t="shared" si="1262"/>
        <v>25</v>
      </c>
      <c r="AU422" s="11">
        <f t="shared" si="8"/>
        <v>0.3206769882</v>
      </c>
    </row>
    <row r="423" ht="15.75" customHeight="1">
      <c r="A423" s="16">
        <f t="shared" si="4"/>
        <v>18.79668489</v>
      </c>
      <c r="B423" s="7">
        <f>(sum(AH423:AL423))*'Optimal Choice'!$B$28</f>
        <v>3963860</v>
      </c>
      <c r="C423" s="11"/>
      <c r="D423" s="12"/>
      <c r="E423" s="12"/>
      <c r="F423" s="11"/>
      <c r="G423" s="11">
        <f>(T423/$B423)+(T423/('Optimal Choice'!$B$4*AO423))</f>
        <v>2577.335001</v>
      </c>
      <c r="H423" s="11">
        <f>(U423/$B423)+(U423/('Optimal Choice'!$B$9*AP423))</f>
        <v>2815.01381</v>
      </c>
      <c r="I423" s="11">
        <f>(V423/$B423)+(V423/('Optimal Choice'!$B$14*AQ423))</f>
        <v>2702.907408</v>
      </c>
      <c r="J423" s="11">
        <f>(W423/$B423)+(W423/('Optimal Choice'!$B$19*AR423))</f>
        <v>2712.40798</v>
      </c>
      <c r="K423" s="11">
        <f>(X423/$B423)+(X423/('Optimal Choice'!$B$24*AS423))</f>
        <v>1746.863947</v>
      </c>
      <c r="N423" s="12">
        <f t="shared" ref="N423:R423" si="1263">if(min($G422:$K422)=G422,N422+1,N422)</f>
        <v>160</v>
      </c>
      <c r="O423" s="12">
        <f t="shared" si="1263"/>
        <v>71</v>
      </c>
      <c r="P423" s="12">
        <f t="shared" si="1263"/>
        <v>68</v>
      </c>
      <c r="Q423" s="12">
        <f t="shared" si="1263"/>
        <v>64</v>
      </c>
      <c r="R423" s="12">
        <f t="shared" si="1263"/>
        <v>59</v>
      </c>
      <c r="T423" s="13">
        <f> 'Optimal Choice'!$B$5*'Optimal Choice'!$B$6^(N423+1)</f>
        <v>215202.9393</v>
      </c>
      <c r="U423" s="13">
        <f> 'Optimal Choice'!$B$10*'Optimal Choice'!$B$11^(O423+1)</f>
        <v>1407329.385</v>
      </c>
      <c r="V423" s="13">
        <f> 'Optimal Choice'!$B$15*'Optimal Choice'!$B$16^(P423+1)</f>
        <v>6078091.569</v>
      </c>
      <c r="W423" s="13">
        <f> 'Optimal Choice'!$B$20*'Optimal Choice'!$B$21^(Q423+1)</f>
        <v>24356370.34</v>
      </c>
      <c r="X423" s="13">
        <f> 'Optimal Choice'!$B$25*'Optimal Choice'!$B$26^(R423+1)</f>
        <v>93062850.06</v>
      </c>
      <c r="AA423" s="12">
        <f t="shared" ref="AA423:AE423" si="1264">if(isna(VLOOKUP(N423,$D$2:$E$10,2,false)),AA422, VLOOKUP(N423,$D$2:$E$10,2,false))</f>
        <v>50</v>
      </c>
      <c r="AB423" s="12">
        <f t="shared" si="1264"/>
        <v>25</v>
      </c>
      <c r="AC423" s="12">
        <f t="shared" si="1264"/>
        <v>25</v>
      </c>
      <c r="AD423" s="12">
        <f t="shared" si="1264"/>
        <v>25</v>
      </c>
      <c r="AE423" s="12">
        <f t="shared" si="1264"/>
        <v>25</v>
      </c>
      <c r="AH423" s="15">
        <f>N423*'Optimal Choice'!$B$4*AA423</f>
        <v>13360</v>
      </c>
      <c r="AI423" s="15">
        <f>O423*'Optimal Choice'!$B$9*AB423</f>
        <v>35500</v>
      </c>
      <c r="AJ423" s="15">
        <f>P423*'Optimal Choice'!$B$14*AC423</f>
        <v>153000</v>
      </c>
      <c r="AK423" s="15">
        <f>Q423*'Optimal Choice'!$B$19*AD423</f>
        <v>576000</v>
      </c>
      <c r="AL423" s="15">
        <f>R423*'Optimal Choice'!$B$24*AE423</f>
        <v>3186000</v>
      </c>
      <c r="AO423" s="12">
        <f t="shared" ref="AO423:AS423" si="1265">if(isna(VLOOKUP(N423+1,$D$2:$E$10,2,false)),AO422, VLOOKUP(N423+1,$D$2:$E$10,2,false))</f>
        <v>50</v>
      </c>
      <c r="AP423" s="12">
        <f t="shared" si="1265"/>
        <v>25</v>
      </c>
      <c r="AQ423" s="12">
        <f t="shared" si="1265"/>
        <v>25</v>
      </c>
      <c r="AR423" s="12">
        <f t="shared" si="1265"/>
        <v>25</v>
      </c>
      <c r="AS423" s="12">
        <f t="shared" si="1265"/>
        <v>25</v>
      </c>
      <c r="AU423" s="11">
        <f t="shared" si="8"/>
        <v>0.3541978077</v>
      </c>
    </row>
    <row r="424" ht="15.75" customHeight="1">
      <c r="A424" s="16">
        <f t="shared" si="4"/>
        <v>19.18798214</v>
      </c>
      <c r="B424" s="7">
        <f>(sum(AH424:AL424))*'Optimal Choice'!$B$28</f>
        <v>4017860</v>
      </c>
      <c r="C424" s="11"/>
      <c r="D424" s="12"/>
      <c r="E424" s="12"/>
      <c r="F424" s="11"/>
      <c r="G424" s="11">
        <f>(T424/$B424)+(T424/('Optimal Choice'!$B$4*AO424))</f>
        <v>2577.334271</v>
      </c>
      <c r="H424" s="11">
        <f>(U424/$B424)+(U424/('Optimal Choice'!$B$9*AP424))</f>
        <v>2815.009039</v>
      </c>
      <c r="I424" s="11">
        <f>(V424/$B424)+(V424/('Optimal Choice'!$B$14*AQ424))</f>
        <v>2702.886799</v>
      </c>
      <c r="J424" s="11">
        <f>(W424/$B424)+(W424/('Optimal Choice'!$B$19*AR424))</f>
        <v>2712.325397</v>
      </c>
      <c r="K424" s="11">
        <f>(X424/$B424)+(X424/('Optimal Choice'!$B$24*AS424))</f>
        <v>1956.134214</v>
      </c>
      <c r="N424" s="12">
        <f t="shared" ref="N424:R424" si="1266">if(min($G423:$K423)=G423,N423+1,N423)</f>
        <v>160</v>
      </c>
      <c r="O424" s="12">
        <f t="shared" si="1266"/>
        <v>71</v>
      </c>
      <c r="P424" s="12">
        <f t="shared" si="1266"/>
        <v>68</v>
      </c>
      <c r="Q424" s="12">
        <f t="shared" si="1266"/>
        <v>64</v>
      </c>
      <c r="R424" s="12">
        <f t="shared" si="1266"/>
        <v>60</v>
      </c>
      <c r="T424" s="13">
        <f> 'Optimal Choice'!$B$5*'Optimal Choice'!$B$6^(N424+1)</f>
        <v>215202.9393</v>
      </c>
      <c r="U424" s="13">
        <f> 'Optimal Choice'!$B$10*'Optimal Choice'!$B$11^(O424+1)</f>
        <v>1407329.385</v>
      </c>
      <c r="V424" s="13">
        <f> 'Optimal Choice'!$B$15*'Optimal Choice'!$B$16^(P424+1)</f>
        <v>6078091.569</v>
      </c>
      <c r="W424" s="13">
        <f> 'Optimal Choice'!$B$20*'Optimal Choice'!$B$21^(Q424+1)</f>
        <v>24356370.34</v>
      </c>
      <c r="X424" s="13">
        <f> 'Optimal Choice'!$B$25*'Optimal Choice'!$B$26^(R424+1)</f>
        <v>104230392.1</v>
      </c>
      <c r="AA424" s="12">
        <f t="shared" ref="AA424:AE424" si="1267">if(isna(VLOOKUP(N424,$D$2:$E$10,2,false)),AA423, VLOOKUP(N424,$D$2:$E$10,2,false))</f>
        <v>50</v>
      </c>
      <c r="AB424" s="12">
        <f t="shared" si="1267"/>
        <v>25</v>
      </c>
      <c r="AC424" s="12">
        <f t="shared" si="1267"/>
        <v>25</v>
      </c>
      <c r="AD424" s="12">
        <f t="shared" si="1267"/>
        <v>25</v>
      </c>
      <c r="AE424" s="12">
        <f t="shared" si="1267"/>
        <v>25</v>
      </c>
      <c r="AH424" s="15">
        <f>N424*'Optimal Choice'!$B$4*AA424</f>
        <v>13360</v>
      </c>
      <c r="AI424" s="15">
        <f>O424*'Optimal Choice'!$B$9*AB424</f>
        <v>35500</v>
      </c>
      <c r="AJ424" s="15">
        <f>P424*'Optimal Choice'!$B$14*AC424</f>
        <v>153000</v>
      </c>
      <c r="AK424" s="15">
        <f>Q424*'Optimal Choice'!$B$19*AD424</f>
        <v>576000</v>
      </c>
      <c r="AL424" s="15">
        <f>R424*'Optimal Choice'!$B$24*AE424</f>
        <v>3240000</v>
      </c>
      <c r="AO424" s="12">
        <f t="shared" ref="AO424:AS424" si="1268">if(isna(VLOOKUP(N424+1,$D$2:$E$10,2,false)),AO423, VLOOKUP(N424+1,$D$2:$E$10,2,false))</f>
        <v>50</v>
      </c>
      <c r="AP424" s="12">
        <f t="shared" si="1268"/>
        <v>25</v>
      </c>
      <c r="AQ424" s="12">
        <f t="shared" si="1268"/>
        <v>25</v>
      </c>
      <c r="AR424" s="12">
        <f t="shared" si="1268"/>
        <v>25</v>
      </c>
      <c r="AS424" s="12">
        <f t="shared" si="1268"/>
        <v>25</v>
      </c>
      <c r="AU424" s="11">
        <f t="shared" si="8"/>
        <v>0.3912972459</v>
      </c>
    </row>
    <row r="425" ht="15.75" customHeight="1">
      <c r="A425" s="16">
        <f t="shared" si="4"/>
        <v>19.62034494</v>
      </c>
      <c r="B425" s="7">
        <f>(sum(AH425:AL425))*'Optimal Choice'!$B$28</f>
        <v>4071860</v>
      </c>
      <c r="C425" s="11"/>
      <c r="D425" s="12"/>
      <c r="E425" s="12"/>
      <c r="F425" s="11"/>
      <c r="G425" s="11">
        <f>(T425/$B425)+(T425/('Optimal Choice'!$B$4*AO425))</f>
        <v>2577.333561</v>
      </c>
      <c r="H425" s="11">
        <f>(U425/$B425)+(U425/('Optimal Choice'!$B$9*AP425))</f>
        <v>2815.004393</v>
      </c>
      <c r="I425" s="11">
        <f>(V425/$B425)+(V425/('Optimal Choice'!$B$14*AQ425))</f>
        <v>2702.866737</v>
      </c>
      <c r="J425" s="11">
        <f>(W425/$B425)+(W425/('Optimal Choice'!$B$19*AR425))</f>
        <v>2712.245004</v>
      </c>
      <c r="K425" s="11">
        <f>(X425/$B425)+(X425/('Optimal Choice'!$B$24*AS425))</f>
        <v>2190.485002</v>
      </c>
      <c r="N425" s="12">
        <f t="shared" ref="N425:R425" si="1269">if(min($G424:$K424)=G424,N424+1,N424)</f>
        <v>160</v>
      </c>
      <c r="O425" s="12">
        <f t="shared" si="1269"/>
        <v>71</v>
      </c>
      <c r="P425" s="12">
        <f t="shared" si="1269"/>
        <v>68</v>
      </c>
      <c r="Q425" s="12">
        <f t="shared" si="1269"/>
        <v>64</v>
      </c>
      <c r="R425" s="12">
        <f t="shared" si="1269"/>
        <v>61</v>
      </c>
      <c r="T425" s="13">
        <f> 'Optimal Choice'!$B$5*'Optimal Choice'!$B$6^(N425+1)</f>
        <v>215202.9393</v>
      </c>
      <c r="U425" s="13">
        <f> 'Optimal Choice'!$B$10*'Optimal Choice'!$B$11^(O425+1)</f>
        <v>1407329.385</v>
      </c>
      <c r="V425" s="13">
        <f> 'Optimal Choice'!$B$15*'Optimal Choice'!$B$16^(P425+1)</f>
        <v>6078091.569</v>
      </c>
      <c r="W425" s="13">
        <f> 'Optimal Choice'!$B$20*'Optimal Choice'!$B$21^(Q425+1)</f>
        <v>24356370.34</v>
      </c>
      <c r="X425" s="13">
        <f> 'Optimal Choice'!$B$25*'Optimal Choice'!$B$26^(R425+1)</f>
        <v>116738039.1</v>
      </c>
      <c r="AA425" s="12">
        <f t="shared" ref="AA425:AE425" si="1270">if(isna(VLOOKUP(N425,$D$2:$E$10,2,false)),AA424, VLOOKUP(N425,$D$2:$E$10,2,false))</f>
        <v>50</v>
      </c>
      <c r="AB425" s="12">
        <f t="shared" si="1270"/>
        <v>25</v>
      </c>
      <c r="AC425" s="12">
        <f t="shared" si="1270"/>
        <v>25</v>
      </c>
      <c r="AD425" s="12">
        <f t="shared" si="1270"/>
        <v>25</v>
      </c>
      <c r="AE425" s="12">
        <f t="shared" si="1270"/>
        <v>25</v>
      </c>
      <c r="AH425" s="15">
        <f>N425*'Optimal Choice'!$B$4*AA425</f>
        <v>13360</v>
      </c>
      <c r="AI425" s="15">
        <f>O425*'Optimal Choice'!$B$9*AB425</f>
        <v>35500</v>
      </c>
      <c r="AJ425" s="15">
        <f>P425*'Optimal Choice'!$B$14*AC425</f>
        <v>153000</v>
      </c>
      <c r="AK425" s="15">
        <f>Q425*'Optimal Choice'!$B$19*AD425</f>
        <v>576000</v>
      </c>
      <c r="AL425" s="15">
        <f>R425*'Optimal Choice'!$B$24*AE425</f>
        <v>3294000</v>
      </c>
      <c r="AO425" s="12">
        <f t="shared" ref="AO425:AS425" si="1271">if(isna(VLOOKUP(N425+1,$D$2:$E$10,2,false)),AO424, VLOOKUP(N425+1,$D$2:$E$10,2,false))</f>
        <v>50</v>
      </c>
      <c r="AP425" s="12">
        <f t="shared" si="1271"/>
        <v>25</v>
      </c>
      <c r="AQ425" s="12">
        <f t="shared" si="1271"/>
        <v>25</v>
      </c>
      <c r="AR425" s="12">
        <f t="shared" si="1271"/>
        <v>25</v>
      </c>
      <c r="AS425" s="12">
        <f t="shared" si="1271"/>
        <v>25</v>
      </c>
      <c r="AU425" s="11">
        <f t="shared" si="8"/>
        <v>0.4323628004</v>
      </c>
    </row>
    <row r="426" ht="15.75" customHeight="1">
      <c r="A426" s="16">
        <f t="shared" si="4"/>
        <v>20.09816932</v>
      </c>
      <c r="B426" s="7">
        <f>(sum(AH426:AL426))*'Optimal Choice'!$B$28</f>
        <v>4125860</v>
      </c>
      <c r="C426" s="11"/>
      <c r="D426" s="12"/>
      <c r="E426" s="12"/>
      <c r="F426" s="11"/>
      <c r="G426" s="11">
        <f>(T426/$B426)+(T426/('Optimal Choice'!$B$4*AO426))</f>
        <v>2577.332869</v>
      </c>
      <c r="H426" s="11">
        <f>(U426/$B426)+(U426/('Optimal Choice'!$B$9*AP426))</f>
        <v>2814.99987</v>
      </c>
      <c r="I426" s="11">
        <f>(V426/$B426)+(V426/('Optimal Choice'!$B$14*AQ426))</f>
        <v>2702.8472</v>
      </c>
      <c r="J426" s="11">
        <f>(W426/$B426)+(W426/('Optimal Choice'!$B$19*AR426))</f>
        <v>2712.166715</v>
      </c>
      <c r="K426" s="11">
        <f>(X426/$B426)+(X426/('Optimal Choice'!$B$24*AS426))</f>
        <v>2452.922944</v>
      </c>
      <c r="N426" s="12">
        <f t="shared" ref="N426:R426" si="1272">if(min($G425:$K425)=G425,N425+1,N425)</f>
        <v>160</v>
      </c>
      <c r="O426" s="12">
        <f t="shared" si="1272"/>
        <v>71</v>
      </c>
      <c r="P426" s="12">
        <f t="shared" si="1272"/>
        <v>68</v>
      </c>
      <c r="Q426" s="12">
        <f t="shared" si="1272"/>
        <v>64</v>
      </c>
      <c r="R426" s="12">
        <f t="shared" si="1272"/>
        <v>62</v>
      </c>
      <c r="T426" s="13">
        <f> 'Optimal Choice'!$B$5*'Optimal Choice'!$B$6^(N426+1)</f>
        <v>215202.9393</v>
      </c>
      <c r="U426" s="13">
        <f> 'Optimal Choice'!$B$10*'Optimal Choice'!$B$11^(O426+1)</f>
        <v>1407329.385</v>
      </c>
      <c r="V426" s="13">
        <f> 'Optimal Choice'!$B$15*'Optimal Choice'!$B$16^(P426+1)</f>
        <v>6078091.569</v>
      </c>
      <c r="W426" s="13">
        <f> 'Optimal Choice'!$B$20*'Optimal Choice'!$B$21^(Q426+1)</f>
        <v>24356370.34</v>
      </c>
      <c r="X426" s="13">
        <f> 'Optimal Choice'!$B$25*'Optimal Choice'!$B$26^(R426+1)</f>
        <v>130746603.8</v>
      </c>
      <c r="AA426" s="12">
        <f t="shared" ref="AA426:AE426" si="1273">if(isna(VLOOKUP(N426,$D$2:$E$10,2,false)),AA425, VLOOKUP(N426,$D$2:$E$10,2,false))</f>
        <v>50</v>
      </c>
      <c r="AB426" s="12">
        <f t="shared" si="1273"/>
        <v>25</v>
      </c>
      <c r="AC426" s="12">
        <f t="shared" si="1273"/>
        <v>25</v>
      </c>
      <c r="AD426" s="12">
        <f t="shared" si="1273"/>
        <v>25</v>
      </c>
      <c r="AE426" s="12">
        <f t="shared" si="1273"/>
        <v>25</v>
      </c>
      <c r="AH426" s="15">
        <f>N426*'Optimal Choice'!$B$4*AA426</f>
        <v>13360</v>
      </c>
      <c r="AI426" s="15">
        <f>O426*'Optimal Choice'!$B$9*AB426</f>
        <v>35500</v>
      </c>
      <c r="AJ426" s="15">
        <f>P426*'Optimal Choice'!$B$14*AC426</f>
        <v>153000</v>
      </c>
      <c r="AK426" s="15">
        <f>Q426*'Optimal Choice'!$B$19*AD426</f>
        <v>576000</v>
      </c>
      <c r="AL426" s="15">
        <f>R426*'Optimal Choice'!$B$24*AE426</f>
        <v>3348000</v>
      </c>
      <c r="AO426" s="12">
        <f t="shared" ref="AO426:AS426" si="1274">if(isna(VLOOKUP(N426+1,$D$2:$E$10,2,false)),AO425, VLOOKUP(N426+1,$D$2:$E$10,2,false))</f>
        <v>50</v>
      </c>
      <c r="AP426" s="12">
        <f t="shared" si="1274"/>
        <v>25</v>
      </c>
      <c r="AQ426" s="12">
        <f t="shared" si="1274"/>
        <v>25</v>
      </c>
      <c r="AR426" s="12">
        <f t="shared" si="1274"/>
        <v>25</v>
      </c>
      <c r="AS426" s="12">
        <f t="shared" si="1274"/>
        <v>25</v>
      </c>
      <c r="AU426" s="11">
        <f t="shared" si="8"/>
        <v>0.4778243813</v>
      </c>
    </row>
    <row r="427" ht="15.75" customHeight="1">
      <c r="A427" s="16">
        <f t="shared" si="4"/>
        <v>20.62632831</v>
      </c>
      <c r="B427" s="7">
        <f>(sum(AH427:AL427))*'Optimal Choice'!$B$28</f>
        <v>4179860</v>
      </c>
      <c r="C427" s="11"/>
      <c r="D427" s="12"/>
      <c r="E427" s="12"/>
      <c r="F427" s="11"/>
      <c r="G427" s="11">
        <f>(T427/$B427)+(T427/('Optimal Choice'!$B$4*AO427))</f>
        <v>2577.332195</v>
      </c>
      <c r="H427" s="11">
        <f>(U427/$B427)+(U427/('Optimal Choice'!$B$9*AP427))</f>
        <v>2814.995463</v>
      </c>
      <c r="I427" s="11">
        <f>(V427/$B427)+(V427/('Optimal Choice'!$B$14*AQ427))</f>
        <v>2702.828168</v>
      </c>
      <c r="J427" s="11">
        <f>(W427/$B427)+(W427/('Optimal Choice'!$B$19*AR427))</f>
        <v>2712.090449</v>
      </c>
      <c r="K427" s="11">
        <f>(X427/$B427)+(X427/('Optimal Choice'!$B$24*AS427))</f>
        <v>2746.815169</v>
      </c>
      <c r="N427" s="12">
        <f t="shared" ref="N427:R427" si="1275">if(min($G426:$K426)=G426,N426+1,N426)</f>
        <v>160</v>
      </c>
      <c r="O427" s="12">
        <f t="shared" si="1275"/>
        <v>71</v>
      </c>
      <c r="P427" s="12">
        <f t="shared" si="1275"/>
        <v>68</v>
      </c>
      <c r="Q427" s="12">
        <f t="shared" si="1275"/>
        <v>64</v>
      </c>
      <c r="R427" s="12">
        <f t="shared" si="1275"/>
        <v>63</v>
      </c>
      <c r="T427" s="13">
        <f> 'Optimal Choice'!$B$5*'Optimal Choice'!$B$6^(N427+1)</f>
        <v>215202.9393</v>
      </c>
      <c r="U427" s="13">
        <f> 'Optimal Choice'!$B$10*'Optimal Choice'!$B$11^(O427+1)</f>
        <v>1407329.385</v>
      </c>
      <c r="V427" s="13">
        <f> 'Optimal Choice'!$B$15*'Optimal Choice'!$B$16^(P427+1)</f>
        <v>6078091.569</v>
      </c>
      <c r="W427" s="13">
        <f> 'Optimal Choice'!$B$20*'Optimal Choice'!$B$21^(Q427+1)</f>
        <v>24356370.34</v>
      </c>
      <c r="X427" s="13">
        <f> 'Optimal Choice'!$B$25*'Optimal Choice'!$B$26^(R427+1)</f>
        <v>146436196.3</v>
      </c>
      <c r="AA427" s="12">
        <f t="shared" ref="AA427:AE427" si="1276">if(isna(VLOOKUP(N427,$D$2:$E$10,2,false)),AA426, VLOOKUP(N427,$D$2:$E$10,2,false))</f>
        <v>50</v>
      </c>
      <c r="AB427" s="12">
        <f t="shared" si="1276"/>
        <v>25</v>
      </c>
      <c r="AC427" s="12">
        <f t="shared" si="1276"/>
        <v>25</v>
      </c>
      <c r="AD427" s="12">
        <f t="shared" si="1276"/>
        <v>25</v>
      </c>
      <c r="AE427" s="12">
        <f t="shared" si="1276"/>
        <v>25</v>
      </c>
      <c r="AH427" s="15">
        <f>N427*'Optimal Choice'!$B$4*AA427</f>
        <v>13360</v>
      </c>
      <c r="AI427" s="15">
        <f>O427*'Optimal Choice'!$B$9*AB427</f>
        <v>35500</v>
      </c>
      <c r="AJ427" s="15">
        <f>P427*'Optimal Choice'!$B$14*AC427</f>
        <v>153000</v>
      </c>
      <c r="AK427" s="15">
        <f>Q427*'Optimal Choice'!$B$19*AD427</f>
        <v>576000</v>
      </c>
      <c r="AL427" s="15">
        <f>R427*'Optimal Choice'!$B$24*AE427</f>
        <v>3402000</v>
      </c>
      <c r="AO427" s="12">
        <f t="shared" ref="AO427:AS427" si="1277">if(isna(VLOOKUP(N427+1,$D$2:$E$10,2,false)),AO426, VLOOKUP(N427+1,$D$2:$E$10,2,false))</f>
        <v>50</v>
      </c>
      <c r="AP427" s="12">
        <f t="shared" si="1277"/>
        <v>25</v>
      </c>
      <c r="AQ427" s="12">
        <f t="shared" si="1277"/>
        <v>25</v>
      </c>
      <c r="AR427" s="12">
        <f t="shared" si="1277"/>
        <v>25</v>
      </c>
      <c r="AS427" s="12">
        <f t="shared" si="1277"/>
        <v>25</v>
      </c>
      <c r="AU427" s="11">
        <f t="shared" si="8"/>
        <v>0.5281589932</v>
      </c>
    </row>
    <row r="428" ht="15.75" customHeight="1">
      <c r="A428" s="16">
        <f t="shared" si="4"/>
        <v>20.62718641</v>
      </c>
      <c r="B428" s="7">
        <f>(sum(AH428:AL428))*'Optimal Choice'!$B$28</f>
        <v>4179943.5</v>
      </c>
      <c r="C428" s="11"/>
      <c r="D428" s="12"/>
      <c r="E428" s="12"/>
      <c r="F428" s="11"/>
      <c r="G428" s="11">
        <f>(T428/$B428)+(T428/('Optimal Choice'!$B$4*AO428))</f>
        <v>2757.745448</v>
      </c>
      <c r="H428" s="11">
        <f>(U428/$B428)+(U428/('Optimal Choice'!$B$9*AP428))</f>
        <v>2814.995456</v>
      </c>
      <c r="I428" s="11">
        <f>(V428/$B428)+(V428/('Optimal Choice'!$B$14*AQ428))</f>
        <v>2702.828139</v>
      </c>
      <c r="J428" s="11">
        <f>(W428/$B428)+(W428/('Optimal Choice'!$B$19*AR428))</f>
        <v>2712.090333</v>
      </c>
      <c r="K428" s="11">
        <f>(X428/$B428)+(X428/('Optimal Choice'!$B$24*AS428))</f>
        <v>2746.814469</v>
      </c>
      <c r="N428" s="12">
        <f t="shared" ref="N428:R428" si="1278">if(min($G427:$K427)=G427,N427+1,N427)</f>
        <v>161</v>
      </c>
      <c r="O428" s="12">
        <f t="shared" si="1278"/>
        <v>71</v>
      </c>
      <c r="P428" s="12">
        <f t="shared" si="1278"/>
        <v>68</v>
      </c>
      <c r="Q428" s="12">
        <f t="shared" si="1278"/>
        <v>64</v>
      </c>
      <c r="R428" s="12">
        <f t="shared" si="1278"/>
        <v>63</v>
      </c>
      <c r="T428" s="13">
        <f> 'Optimal Choice'!$B$5*'Optimal Choice'!$B$6^(N428+1)</f>
        <v>230267.145</v>
      </c>
      <c r="U428" s="13">
        <f> 'Optimal Choice'!$B$10*'Optimal Choice'!$B$11^(O428+1)</f>
        <v>1407329.385</v>
      </c>
      <c r="V428" s="13">
        <f> 'Optimal Choice'!$B$15*'Optimal Choice'!$B$16^(P428+1)</f>
        <v>6078091.569</v>
      </c>
      <c r="W428" s="13">
        <f> 'Optimal Choice'!$B$20*'Optimal Choice'!$B$21^(Q428+1)</f>
        <v>24356370.34</v>
      </c>
      <c r="X428" s="13">
        <f> 'Optimal Choice'!$B$25*'Optimal Choice'!$B$26^(R428+1)</f>
        <v>146436196.3</v>
      </c>
      <c r="AA428" s="12">
        <f t="shared" ref="AA428:AE428" si="1279">if(isna(VLOOKUP(N428,$D$2:$E$10,2,false)),AA427, VLOOKUP(N428,$D$2:$E$10,2,false))</f>
        <v>50</v>
      </c>
      <c r="AB428" s="12">
        <f t="shared" si="1279"/>
        <v>25</v>
      </c>
      <c r="AC428" s="12">
        <f t="shared" si="1279"/>
        <v>25</v>
      </c>
      <c r="AD428" s="12">
        <f t="shared" si="1279"/>
        <v>25</v>
      </c>
      <c r="AE428" s="12">
        <f t="shared" si="1279"/>
        <v>25</v>
      </c>
      <c r="AH428" s="15">
        <f>N428*'Optimal Choice'!$B$4*AA428</f>
        <v>13443.5</v>
      </c>
      <c r="AI428" s="15">
        <f>O428*'Optimal Choice'!$B$9*AB428</f>
        <v>35500</v>
      </c>
      <c r="AJ428" s="15">
        <f>P428*'Optimal Choice'!$B$14*AC428</f>
        <v>153000</v>
      </c>
      <c r="AK428" s="15">
        <f>Q428*'Optimal Choice'!$B$19*AD428</f>
        <v>576000</v>
      </c>
      <c r="AL428" s="15">
        <f>R428*'Optimal Choice'!$B$24*AE428</f>
        <v>3402000</v>
      </c>
      <c r="AO428" s="12">
        <f t="shared" ref="AO428:AS428" si="1280">if(isna(VLOOKUP(N428+1,$D$2:$E$10,2,false)),AO427, VLOOKUP(N428+1,$D$2:$E$10,2,false))</f>
        <v>50</v>
      </c>
      <c r="AP428" s="12">
        <f t="shared" si="1280"/>
        <v>25</v>
      </c>
      <c r="AQ428" s="12">
        <f t="shared" si="1280"/>
        <v>25</v>
      </c>
      <c r="AR428" s="12">
        <f t="shared" si="1280"/>
        <v>25</v>
      </c>
      <c r="AS428" s="12">
        <f t="shared" si="1280"/>
        <v>25</v>
      </c>
      <c r="AU428" s="11">
        <f t="shared" si="8"/>
        <v>0.000858094686</v>
      </c>
    </row>
    <row r="429" ht="15.75" customHeight="1">
      <c r="A429" s="16">
        <f t="shared" si="4"/>
        <v>20.65142155</v>
      </c>
      <c r="B429" s="7">
        <f>(sum(AH429:AL429))*'Optimal Choice'!$B$28</f>
        <v>4182193.5</v>
      </c>
      <c r="C429" s="11"/>
      <c r="D429" s="12"/>
      <c r="E429" s="12"/>
      <c r="F429" s="11"/>
      <c r="G429" s="11">
        <f>(T429/$B429)+(T429/('Optimal Choice'!$B$4*AO429))</f>
        <v>2757.745418</v>
      </c>
      <c r="H429" s="11">
        <f>(U429/$B429)+(U429/('Optimal Choice'!$B$9*AP429))</f>
        <v>2814.995275</v>
      </c>
      <c r="I429" s="11">
        <f>(V429/$B429)+(V429/('Optimal Choice'!$B$14*AQ429))</f>
        <v>3081.223187</v>
      </c>
      <c r="J429" s="11">
        <f>(W429/$B429)+(W429/('Optimal Choice'!$B$19*AR429))</f>
        <v>2712.087198</v>
      </c>
      <c r="K429" s="11">
        <f>(X429/$B429)+(X429/('Optimal Choice'!$B$24*AS429))</f>
        <v>2746.795621</v>
      </c>
      <c r="N429" s="12">
        <f t="shared" ref="N429:R429" si="1281">if(min($G428:$K428)=G428,N428+1,N428)</f>
        <v>161</v>
      </c>
      <c r="O429" s="12">
        <f t="shared" si="1281"/>
        <v>71</v>
      </c>
      <c r="P429" s="12">
        <f t="shared" si="1281"/>
        <v>69</v>
      </c>
      <c r="Q429" s="12">
        <f t="shared" si="1281"/>
        <v>64</v>
      </c>
      <c r="R429" s="12">
        <f t="shared" si="1281"/>
        <v>63</v>
      </c>
      <c r="T429" s="13">
        <f> 'Optimal Choice'!$B$5*'Optimal Choice'!$B$6^(N429+1)</f>
        <v>230267.145</v>
      </c>
      <c r="U429" s="13">
        <f> 'Optimal Choice'!$B$10*'Optimal Choice'!$B$11^(O429+1)</f>
        <v>1407329.385</v>
      </c>
      <c r="V429" s="13">
        <f> 'Optimal Choice'!$B$15*'Optimal Choice'!$B$16^(P429+1)</f>
        <v>6929024.389</v>
      </c>
      <c r="W429" s="13">
        <f> 'Optimal Choice'!$B$20*'Optimal Choice'!$B$21^(Q429+1)</f>
        <v>24356370.34</v>
      </c>
      <c r="X429" s="13">
        <f> 'Optimal Choice'!$B$25*'Optimal Choice'!$B$26^(R429+1)</f>
        <v>146436196.3</v>
      </c>
      <c r="AA429" s="12">
        <f t="shared" ref="AA429:AE429" si="1282">if(isna(VLOOKUP(N429,$D$2:$E$10,2,false)),AA428, VLOOKUP(N429,$D$2:$E$10,2,false))</f>
        <v>50</v>
      </c>
      <c r="AB429" s="12">
        <f t="shared" si="1282"/>
        <v>25</v>
      </c>
      <c r="AC429" s="12">
        <f t="shared" si="1282"/>
        <v>25</v>
      </c>
      <c r="AD429" s="12">
        <f t="shared" si="1282"/>
        <v>25</v>
      </c>
      <c r="AE429" s="12">
        <f t="shared" si="1282"/>
        <v>25</v>
      </c>
      <c r="AH429" s="15">
        <f>N429*'Optimal Choice'!$B$4*AA429</f>
        <v>13443.5</v>
      </c>
      <c r="AI429" s="15">
        <f>O429*'Optimal Choice'!$B$9*AB429</f>
        <v>35500</v>
      </c>
      <c r="AJ429" s="15">
        <f>P429*'Optimal Choice'!$B$14*AC429</f>
        <v>155250</v>
      </c>
      <c r="AK429" s="15">
        <f>Q429*'Optimal Choice'!$B$19*AD429</f>
        <v>576000</v>
      </c>
      <c r="AL429" s="15">
        <f>R429*'Optimal Choice'!$B$24*AE429</f>
        <v>3402000</v>
      </c>
      <c r="AO429" s="12">
        <f t="shared" ref="AO429:AS429" si="1283">if(isna(VLOOKUP(N429+1,$D$2:$E$10,2,false)),AO428, VLOOKUP(N429+1,$D$2:$E$10,2,false))</f>
        <v>50</v>
      </c>
      <c r="AP429" s="12">
        <f t="shared" si="1283"/>
        <v>25</v>
      </c>
      <c r="AQ429" s="12">
        <f t="shared" si="1283"/>
        <v>25</v>
      </c>
      <c r="AR429" s="12">
        <f t="shared" si="1283"/>
        <v>25</v>
      </c>
      <c r="AS429" s="12">
        <f t="shared" si="1283"/>
        <v>25</v>
      </c>
      <c r="AU429" s="11">
        <f t="shared" si="8"/>
        <v>0.02423514245</v>
      </c>
    </row>
    <row r="430" ht="15.75" customHeight="1">
      <c r="A430" s="16">
        <f t="shared" si="4"/>
        <v>20.74848533</v>
      </c>
      <c r="B430" s="7">
        <f>(sum(AH430:AL430))*'Optimal Choice'!$B$28</f>
        <v>4191193.5</v>
      </c>
      <c r="C430" s="11"/>
      <c r="D430" s="12"/>
      <c r="E430" s="12"/>
      <c r="F430" s="11"/>
      <c r="G430" s="11">
        <f>(T430/$B430)+(T430/('Optimal Choice'!$B$4*AO430))</f>
        <v>2757.7453</v>
      </c>
      <c r="H430" s="11">
        <f>(U430/$B430)+(U430/('Optimal Choice'!$B$9*AP430))</f>
        <v>2814.994553</v>
      </c>
      <c r="I430" s="11">
        <f>(V430/$B430)+(V430/('Optimal Choice'!$B$14*AQ430))</f>
        <v>3081.219629</v>
      </c>
      <c r="J430" s="11">
        <f>(W430/$B430)+(W430/('Optimal Choice'!$B$19*AR430))</f>
        <v>3064.644402</v>
      </c>
      <c r="K430" s="11">
        <f>(X430/$B430)+(X430/('Optimal Choice'!$B$24*AS430))</f>
        <v>2746.720433</v>
      </c>
      <c r="N430" s="12">
        <f t="shared" ref="N430:R430" si="1284">if(min($G429:$K429)=G429,N429+1,N429)</f>
        <v>161</v>
      </c>
      <c r="O430" s="12">
        <f t="shared" si="1284"/>
        <v>71</v>
      </c>
      <c r="P430" s="12">
        <f t="shared" si="1284"/>
        <v>69</v>
      </c>
      <c r="Q430" s="12">
        <f t="shared" si="1284"/>
        <v>65</v>
      </c>
      <c r="R430" s="12">
        <f t="shared" si="1284"/>
        <v>63</v>
      </c>
      <c r="T430" s="13">
        <f> 'Optimal Choice'!$B$5*'Optimal Choice'!$B$6^(N430+1)</f>
        <v>230267.145</v>
      </c>
      <c r="U430" s="13">
        <f> 'Optimal Choice'!$B$10*'Optimal Choice'!$B$11^(O430+1)</f>
        <v>1407329.385</v>
      </c>
      <c r="V430" s="13">
        <f> 'Optimal Choice'!$B$15*'Optimal Choice'!$B$16^(P430+1)</f>
        <v>6929024.389</v>
      </c>
      <c r="W430" s="13">
        <f> 'Optimal Choice'!$B$20*'Optimal Choice'!$B$21^(Q430+1)</f>
        <v>27522698.48</v>
      </c>
      <c r="X430" s="13">
        <f> 'Optimal Choice'!$B$25*'Optimal Choice'!$B$26^(R430+1)</f>
        <v>146436196.3</v>
      </c>
      <c r="AA430" s="12">
        <f t="shared" ref="AA430:AE430" si="1285">if(isna(VLOOKUP(N430,$D$2:$E$10,2,false)),AA429, VLOOKUP(N430,$D$2:$E$10,2,false))</f>
        <v>50</v>
      </c>
      <c r="AB430" s="12">
        <f t="shared" si="1285"/>
        <v>25</v>
      </c>
      <c r="AC430" s="12">
        <f t="shared" si="1285"/>
        <v>25</v>
      </c>
      <c r="AD430" s="12">
        <f t="shared" si="1285"/>
        <v>25</v>
      </c>
      <c r="AE430" s="12">
        <f t="shared" si="1285"/>
        <v>25</v>
      </c>
      <c r="AH430" s="15">
        <f>N430*'Optimal Choice'!$B$4*AA430</f>
        <v>13443.5</v>
      </c>
      <c r="AI430" s="15">
        <f>O430*'Optimal Choice'!$B$9*AB430</f>
        <v>35500</v>
      </c>
      <c r="AJ430" s="15">
        <f>P430*'Optimal Choice'!$B$14*AC430</f>
        <v>155250</v>
      </c>
      <c r="AK430" s="15">
        <f>Q430*'Optimal Choice'!$B$19*AD430</f>
        <v>585000</v>
      </c>
      <c r="AL430" s="15">
        <f>R430*'Optimal Choice'!$B$24*AE430</f>
        <v>3402000</v>
      </c>
      <c r="AO430" s="12">
        <f t="shared" ref="AO430:AS430" si="1286">if(isna(VLOOKUP(N430+1,$D$2:$E$10,2,false)),AO429, VLOOKUP(N430+1,$D$2:$E$10,2,false))</f>
        <v>50</v>
      </c>
      <c r="AP430" s="12">
        <f t="shared" si="1286"/>
        <v>25</v>
      </c>
      <c r="AQ430" s="12">
        <f t="shared" si="1286"/>
        <v>25</v>
      </c>
      <c r="AR430" s="12">
        <f t="shared" si="1286"/>
        <v>25</v>
      </c>
      <c r="AS430" s="12">
        <f t="shared" si="1286"/>
        <v>25</v>
      </c>
      <c r="AU430" s="11">
        <f t="shared" si="8"/>
        <v>0.09706377901</v>
      </c>
    </row>
    <row r="431" ht="15.75" customHeight="1">
      <c r="A431" s="16">
        <f t="shared" si="4"/>
        <v>21.33080234</v>
      </c>
      <c r="B431" s="7">
        <f>(sum(AH431:AL431))*'Optimal Choice'!$B$28</f>
        <v>4245193.5</v>
      </c>
      <c r="C431" s="11"/>
      <c r="D431" s="12"/>
      <c r="E431" s="12"/>
      <c r="F431" s="11"/>
      <c r="G431" s="11">
        <f>(T431/$B431)+(T431/('Optimal Choice'!$B$4*AO431))</f>
        <v>2757.744601</v>
      </c>
      <c r="H431" s="11">
        <f>(U431/$B431)+(U431/('Optimal Choice'!$B$9*AP431))</f>
        <v>2814.990281</v>
      </c>
      <c r="I431" s="11">
        <f>(V431/$B431)+(V431/('Optimal Choice'!$B$14*AQ431))</f>
        <v>3081.1986</v>
      </c>
      <c r="J431" s="11">
        <f>(W431/$B431)+(W431/('Optimal Choice'!$B$19*AR431))</f>
        <v>3064.560871</v>
      </c>
      <c r="K431" s="11">
        <f>(X431/$B431)+(X431/('Optimal Choice'!$B$24*AS431))</f>
        <v>3075.829119</v>
      </c>
      <c r="N431" s="12">
        <f t="shared" ref="N431:R431" si="1287">if(min($G430:$K430)=G430,N430+1,N430)</f>
        <v>161</v>
      </c>
      <c r="O431" s="12">
        <f t="shared" si="1287"/>
        <v>71</v>
      </c>
      <c r="P431" s="12">
        <f t="shared" si="1287"/>
        <v>69</v>
      </c>
      <c r="Q431" s="12">
        <f t="shared" si="1287"/>
        <v>65</v>
      </c>
      <c r="R431" s="12">
        <f t="shared" si="1287"/>
        <v>64</v>
      </c>
      <c r="T431" s="13">
        <f> 'Optimal Choice'!$B$5*'Optimal Choice'!$B$6^(N431+1)</f>
        <v>230267.145</v>
      </c>
      <c r="U431" s="13">
        <f> 'Optimal Choice'!$B$10*'Optimal Choice'!$B$11^(O431+1)</f>
        <v>1407329.385</v>
      </c>
      <c r="V431" s="13">
        <f> 'Optimal Choice'!$B$15*'Optimal Choice'!$B$16^(P431+1)</f>
        <v>6929024.389</v>
      </c>
      <c r="W431" s="13">
        <f> 'Optimal Choice'!$B$20*'Optimal Choice'!$B$21^(Q431+1)</f>
        <v>27522698.48</v>
      </c>
      <c r="X431" s="13">
        <f> 'Optimal Choice'!$B$25*'Optimal Choice'!$B$26^(R431+1)</f>
        <v>164008539.8</v>
      </c>
      <c r="AA431" s="12">
        <f t="shared" ref="AA431:AE431" si="1288">if(isna(VLOOKUP(N431,$D$2:$E$10,2,false)),AA430, VLOOKUP(N431,$D$2:$E$10,2,false))</f>
        <v>50</v>
      </c>
      <c r="AB431" s="12">
        <f t="shared" si="1288"/>
        <v>25</v>
      </c>
      <c r="AC431" s="12">
        <f t="shared" si="1288"/>
        <v>25</v>
      </c>
      <c r="AD431" s="12">
        <f t="shared" si="1288"/>
        <v>25</v>
      </c>
      <c r="AE431" s="12">
        <f t="shared" si="1288"/>
        <v>25</v>
      </c>
      <c r="AH431" s="15">
        <f>N431*'Optimal Choice'!$B$4*AA431</f>
        <v>13443.5</v>
      </c>
      <c r="AI431" s="15">
        <f>O431*'Optimal Choice'!$B$9*AB431</f>
        <v>35500</v>
      </c>
      <c r="AJ431" s="15">
        <f>P431*'Optimal Choice'!$B$14*AC431</f>
        <v>155250</v>
      </c>
      <c r="AK431" s="15">
        <f>Q431*'Optimal Choice'!$B$19*AD431</f>
        <v>585000</v>
      </c>
      <c r="AL431" s="15">
        <f>R431*'Optimal Choice'!$B$24*AE431</f>
        <v>3456000</v>
      </c>
      <c r="AO431" s="12">
        <f t="shared" ref="AO431:AS431" si="1289">if(isna(VLOOKUP(N431+1,$D$2:$E$10,2,false)),AO430, VLOOKUP(N431+1,$D$2:$E$10,2,false))</f>
        <v>50</v>
      </c>
      <c r="AP431" s="12">
        <f t="shared" si="1289"/>
        <v>25</v>
      </c>
      <c r="AQ431" s="12">
        <f t="shared" si="1289"/>
        <v>25</v>
      </c>
      <c r="AR431" s="12">
        <f t="shared" si="1289"/>
        <v>25</v>
      </c>
      <c r="AS431" s="12">
        <f t="shared" si="1289"/>
        <v>25</v>
      </c>
      <c r="AU431" s="11">
        <f t="shared" si="8"/>
        <v>0.5823170109</v>
      </c>
    </row>
    <row r="432" ht="15.75" customHeight="1">
      <c r="A432" s="16">
        <f t="shared" si="4"/>
        <v>21.33170637</v>
      </c>
      <c r="B432" s="7">
        <f>(sum(AH432:AL432))*'Optimal Choice'!$B$28</f>
        <v>4245277</v>
      </c>
      <c r="C432" s="11"/>
      <c r="D432" s="12"/>
      <c r="E432" s="12"/>
      <c r="F432" s="11"/>
      <c r="G432" s="11">
        <f>(T432/$B432)+(T432/('Optimal Choice'!$B$4*AO432))</f>
        <v>2950.786722</v>
      </c>
      <c r="H432" s="11">
        <f>(U432/$B432)+(U432/('Optimal Choice'!$B$9*AP432))</f>
        <v>2814.990275</v>
      </c>
      <c r="I432" s="11">
        <f>(V432/$B432)+(V432/('Optimal Choice'!$B$14*AQ432))</f>
        <v>3081.198568</v>
      </c>
      <c r="J432" s="11">
        <f>(W432/$B432)+(W432/('Optimal Choice'!$B$19*AR432))</f>
        <v>3064.560743</v>
      </c>
      <c r="K432" s="11">
        <f>(X432/$B432)+(X432/('Optimal Choice'!$B$24*AS432))</f>
        <v>3075.828359</v>
      </c>
      <c r="N432" s="12">
        <f t="shared" ref="N432:R432" si="1290">if(min($G431:$K431)=G431,N431+1,N431)</f>
        <v>162</v>
      </c>
      <c r="O432" s="12">
        <f t="shared" si="1290"/>
        <v>71</v>
      </c>
      <c r="P432" s="12">
        <f t="shared" si="1290"/>
        <v>69</v>
      </c>
      <c r="Q432" s="12">
        <f t="shared" si="1290"/>
        <v>65</v>
      </c>
      <c r="R432" s="12">
        <f t="shared" si="1290"/>
        <v>64</v>
      </c>
      <c r="T432" s="13">
        <f> 'Optimal Choice'!$B$5*'Optimal Choice'!$B$6^(N432+1)</f>
        <v>246385.8451</v>
      </c>
      <c r="U432" s="13">
        <f> 'Optimal Choice'!$B$10*'Optimal Choice'!$B$11^(O432+1)</f>
        <v>1407329.385</v>
      </c>
      <c r="V432" s="13">
        <f> 'Optimal Choice'!$B$15*'Optimal Choice'!$B$16^(P432+1)</f>
        <v>6929024.389</v>
      </c>
      <c r="W432" s="13">
        <f> 'Optimal Choice'!$B$20*'Optimal Choice'!$B$21^(Q432+1)</f>
        <v>27522698.48</v>
      </c>
      <c r="X432" s="13">
        <f> 'Optimal Choice'!$B$25*'Optimal Choice'!$B$26^(R432+1)</f>
        <v>164008539.8</v>
      </c>
      <c r="AA432" s="12">
        <f t="shared" ref="AA432:AE432" si="1291">if(isna(VLOOKUP(N432,$D$2:$E$10,2,false)),AA431, VLOOKUP(N432,$D$2:$E$10,2,false))</f>
        <v>50</v>
      </c>
      <c r="AB432" s="12">
        <f t="shared" si="1291"/>
        <v>25</v>
      </c>
      <c r="AC432" s="12">
        <f t="shared" si="1291"/>
        <v>25</v>
      </c>
      <c r="AD432" s="12">
        <f t="shared" si="1291"/>
        <v>25</v>
      </c>
      <c r="AE432" s="12">
        <f t="shared" si="1291"/>
        <v>25</v>
      </c>
      <c r="AH432" s="15">
        <f>N432*'Optimal Choice'!$B$4*AA432</f>
        <v>13527</v>
      </c>
      <c r="AI432" s="15">
        <f>O432*'Optimal Choice'!$B$9*AB432</f>
        <v>35500</v>
      </c>
      <c r="AJ432" s="15">
        <f>P432*'Optimal Choice'!$B$14*AC432</f>
        <v>155250</v>
      </c>
      <c r="AK432" s="15">
        <f>Q432*'Optimal Choice'!$B$19*AD432</f>
        <v>585000</v>
      </c>
      <c r="AL432" s="15">
        <f>R432*'Optimal Choice'!$B$24*AE432</f>
        <v>3456000</v>
      </c>
      <c r="AO432" s="12">
        <f t="shared" ref="AO432:AS432" si="1292">if(isna(VLOOKUP(N432+1,$D$2:$E$10,2,false)),AO431, VLOOKUP(N432+1,$D$2:$E$10,2,false))</f>
        <v>50</v>
      </c>
      <c r="AP432" s="12">
        <f t="shared" si="1292"/>
        <v>25</v>
      </c>
      <c r="AQ432" s="12">
        <f t="shared" si="1292"/>
        <v>25</v>
      </c>
      <c r="AR432" s="12">
        <f t="shared" si="1292"/>
        <v>25</v>
      </c>
      <c r="AS432" s="12">
        <f t="shared" si="1292"/>
        <v>25</v>
      </c>
      <c r="AU432" s="11">
        <f t="shared" si="8"/>
        <v>0.0009040308174</v>
      </c>
    </row>
    <row r="433" ht="15.75" customHeight="1">
      <c r="A433" s="16">
        <f t="shared" si="4"/>
        <v>21.33723145</v>
      </c>
      <c r="B433" s="7">
        <f>(sum(AH433:AL433))*'Optimal Choice'!$B$28</f>
        <v>4245777</v>
      </c>
      <c r="C433" s="11"/>
      <c r="D433" s="12"/>
      <c r="E433" s="12"/>
      <c r="F433" s="11"/>
      <c r="G433" s="11">
        <f>(T433/$B433)+(T433/('Optimal Choice'!$B$4*AO433))</f>
        <v>2950.786715</v>
      </c>
      <c r="H433" s="11">
        <f>(U433/$B433)+(U433/('Optimal Choice'!$B$9*AP433))</f>
        <v>3237.238771</v>
      </c>
      <c r="I433" s="11">
        <f>(V433/$B433)+(V433/('Optimal Choice'!$B$14*AQ433))</f>
        <v>3081.198375</v>
      </c>
      <c r="J433" s="11">
        <f>(W433/$B433)+(W433/('Optimal Choice'!$B$19*AR433))</f>
        <v>3064.55998</v>
      </c>
      <c r="K433" s="11">
        <f>(X433/$B433)+(X433/('Optimal Choice'!$B$24*AS433))</f>
        <v>3075.82381</v>
      </c>
      <c r="N433" s="12">
        <f t="shared" ref="N433:R433" si="1293">if(min($G432:$K432)=G432,N432+1,N432)</f>
        <v>162</v>
      </c>
      <c r="O433" s="12">
        <f t="shared" si="1293"/>
        <v>72</v>
      </c>
      <c r="P433" s="12">
        <f t="shared" si="1293"/>
        <v>69</v>
      </c>
      <c r="Q433" s="12">
        <f t="shared" si="1293"/>
        <v>65</v>
      </c>
      <c r="R433" s="12">
        <f t="shared" si="1293"/>
        <v>64</v>
      </c>
      <c r="T433" s="13">
        <f> 'Optimal Choice'!$B$5*'Optimal Choice'!$B$6^(N433+1)</f>
        <v>246385.8451</v>
      </c>
      <c r="U433" s="13">
        <f> 'Optimal Choice'!$B$10*'Optimal Choice'!$B$11^(O433+1)</f>
        <v>1618428.793</v>
      </c>
      <c r="V433" s="13">
        <f> 'Optimal Choice'!$B$15*'Optimal Choice'!$B$16^(P433+1)</f>
        <v>6929024.389</v>
      </c>
      <c r="W433" s="13">
        <f> 'Optimal Choice'!$B$20*'Optimal Choice'!$B$21^(Q433+1)</f>
        <v>27522698.48</v>
      </c>
      <c r="X433" s="13">
        <f> 'Optimal Choice'!$B$25*'Optimal Choice'!$B$26^(R433+1)</f>
        <v>164008539.8</v>
      </c>
      <c r="AA433" s="12">
        <f t="shared" ref="AA433:AE433" si="1294">if(isna(VLOOKUP(N433,$D$2:$E$10,2,false)),AA432, VLOOKUP(N433,$D$2:$E$10,2,false))</f>
        <v>50</v>
      </c>
      <c r="AB433" s="12">
        <f t="shared" si="1294"/>
        <v>25</v>
      </c>
      <c r="AC433" s="12">
        <f t="shared" si="1294"/>
        <v>25</v>
      </c>
      <c r="AD433" s="12">
        <f t="shared" si="1294"/>
        <v>25</v>
      </c>
      <c r="AE433" s="12">
        <f t="shared" si="1294"/>
        <v>25</v>
      </c>
      <c r="AH433" s="15">
        <f>N433*'Optimal Choice'!$B$4*AA433</f>
        <v>13527</v>
      </c>
      <c r="AI433" s="15">
        <f>O433*'Optimal Choice'!$B$9*AB433</f>
        <v>36000</v>
      </c>
      <c r="AJ433" s="15">
        <f>P433*'Optimal Choice'!$B$14*AC433</f>
        <v>155250</v>
      </c>
      <c r="AK433" s="15">
        <f>Q433*'Optimal Choice'!$B$19*AD433</f>
        <v>585000</v>
      </c>
      <c r="AL433" s="15">
        <f>R433*'Optimal Choice'!$B$24*AE433</f>
        <v>3456000</v>
      </c>
      <c r="AO433" s="12">
        <f t="shared" ref="AO433:AS433" si="1295">if(isna(VLOOKUP(N433+1,$D$2:$E$10,2,false)),AO432, VLOOKUP(N433+1,$D$2:$E$10,2,false))</f>
        <v>50</v>
      </c>
      <c r="AP433" s="12">
        <f t="shared" si="1295"/>
        <v>25</v>
      </c>
      <c r="AQ433" s="12">
        <f t="shared" si="1295"/>
        <v>25</v>
      </c>
      <c r="AR433" s="12">
        <f t="shared" si="1295"/>
        <v>25</v>
      </c>
      <c r="AS433" s="12">
        <f t="shared" si="1295"/>
        <v>25</v>
      </c>
      <c r="AU433" s="11">
        <f t="shared" si="8"/>
        <v>0.005525078753</v>
      </c>
    </row>
    <row r="434" ht="15.75" customHeight="1">
      <c r="A434" s="16">
        <f t="shared" si="4"/>
        <v>21.33819863</v>
      </c>
      <c r="B434" s="7">
        <f>(sum(AH434:AL434))*'Optimal Choice'!$B$28</f>
        <v>4245860.5</v>
      </c>
      <c r="C434" s="11"/>
      <c r="D434" s="12"/>
      <c r="E434" s="12"/>
      <c r="F434" s="11"/>
      <c r="G434" s="11">
        <f>(T434/$B434)+(T434/('Optimal Choice'!$B$4*AO434))</f>
        <v>3157.341784</v>
      </c>
      <c r="H434" s="11">
        <f>(U434/$B434)+(U434/('Optimal Choice'!$B$9*AP434))</f>
        <v>3237.238764</v>
      </c>
      <c r="I434" s="11">
        <f>(V434/$B434)+(V434/('Optimal Choice'!$B$14*AQ434))</f>
        <v>3081.198343</v>
      </c>
      <c r="J434" s="11">
        <f>(W434/$B434)+(W434/('Optimal Choice'!$B$19*AR434))</f>
        <v>3064.559852</v>
      </c>
      <c r="K434" s="11">
        <f>(X434/$B434)+(X434/('Optimal Choice'!$B$24*AS434))</f>
        <v>3075.82305</v>
      </c>
      <c r="N434" s="12">
        <f t="shared" ref="N434:R434" si="1296">if(min($G433:$K433)=G433,N433+1,N433)</f>
        <v>163</v>
      </c>
      <c r="O434" s="12">
        <f t="shared" si="1296"/>
        <v>72</v>
      </c>
      <c r="P434" s="12">
        <f t="shared" si="1296"/>
        <v>69</v>
      </c>
      <c r="Q434" s="12">
        <f t="shared" si="1296"/>
        <v>65</v>
      </c>
      <c r="R434" s="12">
        <f t="shared" si="1296"/>
        <v>64</v>
      </c>
      <c r="T434" s="13">
        <f> 'Optimal Choice'!$B$5*'Optimal Choice'!$B$6^(N434+1)</f>
        <v>263632.8543</v>
      </c>
      <c r="U434" s="13">
        <f> 'Optimal Choice'!$B$10*'Optimal Choice'!$B$11^(O434+1)</f>
        <v>1618428.793</v>
      </c>
      <c r="V434" s="13">
        <f> 'Optimal Choice'!$B$15*'Optimal Choice'!$B$16^(P434+1)</f>
        <v>6929024.389</v>
      </c>
      <c r="W434" s="13">
        <f> 'Optimal Choice'!$B$20*'Optimal Choice'!$B$21^(Q434+1)</f>
        <v>27522698.48</v>
      </c>
      <c r="X434" s="13">
        <f> 'Optimal Choice'!$B$25*'Optimal Choice'!$B$26^(R434+1)</f>
        <v>164008539.8</v>
      </c>
      <c r="AA434" s="12">
        <f t="shared" ref="AA434:AE434" si="1297">if(isna(VLOOKUP(N434,$D$2:$E$10,2,false)),AA433, VLOOKUP(N434,$D$2:$E$10,2,false))</f>
        <v>50</v>
      </c>
      <c r="AB434" s="12">
        <f t="shared" si="1297"/>
        <v>25</v>
      </c>
      <c r="AC434" s="12">
        <f t="shared" si="1297"/>
        <v>25</v>
      </c>
      <c r="AD434" s="12">
        <f t="shared" si="1297"/>
        <v>25</v>
      </c>
      <c r="AE434" s="12">
        <f t="shared" si="1297"/>
        <v>25</v>
      </c>
      <c r="AH434" s="15">
        <f>N434*'Optimal Choice'!$B$4*AA434</f>
        <v>13610.5</v>
      </c>
      <c r="AI434" s="15">
        <f>O434*'Optimal Choice'!$B$9*AB434</f>
        <v>36000</v>
      </c>
      <c r="AJ434" s="15">
        <f>P434*'Optimal Choice'!$B$14*AC434</f>
        <v>155250</v>
      </c>
      <c r="AK434" s="15">
        <f>Q434*'Optimal Choice'!$B$19*AD434</f>
        <v>585000</v>
      </c>
      <c r="AL434" s="15">
        <f>R434*'Optimal Choice'!$B$24*AE434</f>
        <v>3456000</v>
      </c>
      <c r="AO434" s="12">
        <f t="shared" ref="AO434:AS434" si="1298">if(isna(VLOOKUP(N434+1,$D$2:$E$10,2,false)),AO433, VLOOKUP(N434+1,$D$2:$E$10,2,false))</f>
        <v>50</v>
      </c>
      <c r="AP434" s="12">
        <f t="shared" si="1298"/>
        <v>25</v>
      </c>
      <c r="AQ434" s="12">
        <f t="shared" si="1298"/>
        <v>25</v>
      </c>
      <c r="AR434" s="12">
        <f t="shared" si="1298"/>
        <v>25</v>
      </c>
      <c r="AS434" s="12">
        <f t="shared" si="1298"/>
        <v>25</v>
      </c>
      <c r="AU434" s="11">
        <f t="shared" si="8"/>
        <v>0.0009671800362</v>
      </c>
    </row>
    <row r="435" ht="15.75" customHeight="1">
      <c r="A435" s="16">
        <f t="shared" si="4"/>
        <v>21.44623601</v>
      </c>
      <c r="B435" s="7">
        <f>(sum(AH435:AL435))*'Optimal Choice'!$B$28</f>
        <v>4254860.5</v>
      </c>
      <c r="C435" s="11"/>
      <c r="D435" s="12"/>
      <c r="E435" s="12"/>
      <c r="F435" s="11"/>
      <c r="G435" s="11">
        <f>(T435/$B435)+(T435/('Optimal Choice'!$B$4*AO435))</f>
        <v>3157.341653</v>
      </c>
      <c r="H435" s="11">
        <f>(U435/$B435)+(U435/('Optimal Choice'!$B$9*AP435))</f>
        <v>3237.237957</v>
      </c>
      <c r="I435" s="11">
        <f>(V435/$B435)+(V435/('Optimal Choice'!$B$14*AQ435))</f>
        <v>3081.194891</v>
      </c>
      <c r="J435" s="11">
        <f>(W435/$B435)+(W435/('Optimal Choice'!$B$19*AR435))</f>
        <v>3462.937139</v>
      </c>
      <c r="K435" s="11">
        <f>(X435/$B435)+(X435/('Optimal Choice'!$B$24*AS435))</f>
        <v>3075.741343</v>
      </c>
      <c r="N435" s="12">
        <f t="shared" ref="N435:R435" si="1299">if(min($G434:$K434)=G434,N434+1,N434)</f>
        <v>163</v>
      </c>
      <c r="O435" s="12">
        <f t="shared" si="1299"/>
        <v>72</v>
      </c>
      <c r="P435" s="12">
        <f t="shared" si="1299"/>
        <v>69</v>
      </c>
      <c r="Q435" s="12">
        <f t="shared" si="1299"/>
        <v>66</v>
      </c>
      <c r="R435" s="12">
        <f t="shared" si="1299"/>
        <v>64</v>
      </c>
      <c r="T435" s="13">
        <f> 'Optimal Choice'!$B$5*'Optimal Choice'!$B$6^(N435+1)</f>
        <v>263632.8543</v>
      </c>
      <c r="U435" s="13">
        <f> 'Optimal Choice'!$B$10*'Optimal Choice'!$B$11^(O435+1)</f>
        <v>1618428.793</v>
      </c>
      <c r="V435" s="13">
        <f> 'Optimal Choice'!$B$15*'Optimal Choice'!$B$16^(P435+1)</f>
        <v>6929024.389</v>
      </c>
      <c r="W435" s="13">
        <f> 'Optimal Choice'!$B$20*'Optimal Choice'!$B$21^(Q435+1)</f>
        <v>31100649.29</v>
      </c>
      <c r="X435" s="13">
        <f> 'Optimal Choice'!$B$25*'Optimal Choice'!$B$26^(R435+1)</f>
        <v>164008539.8</v>
      </c>
      <c r="AA435" s="12">
        <f t="shared" ref="AA435:AE435" si="1300">if(isna(VLOOKUP(N435,$D$2:$E$10,2,false)),AA434, VLOOKUP(N435,$D$2:$E$10,2,false))</f>
        <v>50</v>
      </c>
      <c r="AB435" s="12">
        <f t="shared" si="1300"/>
        <v>25</v>
      </c>
      <c r="AC435" s="12">
        <f t="shared" si="1300"/>
        <v>25</v>
      </c>
      <c r="AD435" s="12">
        <f t="shared" si="1300"/>
        <v>25</v>
      </c>
      <c r="AE435" s="12">
        <f t="shared" si="1300"/>
        <v>25</v>
      </c>
      <c r="AH435" s="15">
        <f>N435*'Optimal Choice'!$B$4*AA435</f>
        <v>13610.5</v>
      </c>
      <c r="AI435" s="15">
        <f>O435*'Optimal Choice'!$B$9*AB435</f>
        <v>36000</v>
      </c>
      <c r="AJ435" s="15">
        <f>P435*'Optimal Choice'!$B$14*AC435</f>
        <v>155250</v>
      </c>
      <c r="AK435" s="15">
        <f>Q435*'Optimal Choice'!$B$19*AD435</f>
        <v>594000</v>
      </c>
      <c r="AL435" s="15">
        <f>R435*'Optimal Choice'!$B$24*AE435</f>
        <v>3456000</v>
      </c>
      <c r="AO435" s="12">
        <f t="shared" ref="AO435:AS435" si="1301">if(isna(VLOOKUP(N435+1,$D$2:$E$10,2,false)),AO434, VLOOKUP(N435+1,$D$2:$E$10,2,false))</f>
        <v>50</v>
      </c>
      <c r="AP435" s="12">
        <f t="shared" si="1301"/>
        <v>25</v>
      </c>
      <c r="AQ435" s="12">
        <f t="shared" si="1301"/>
        <v>25</v>
      </c>
      <c r="AR435" s="12">
        <f t="shared" si="1301"/>
        <v>25</v>
      </c>
      <c r="AS435" s="12">
        <f t="shared" si="1301"/>
        <v>25</v>
      </c>
      <c r="AU435" s="11">
        <f t="shared" si="8"/>
        <v>0.1080373793</v>
      </c>
    </row>
    <row r="436" ht="15.75" customHeight="1">
      <c r="A436" s="16">
        <f t="shared" si="4"/>
        <v>22.08867203</v>
      </c>
      <c r="B436" s="7">
        <f>(sum(AH436:AL436))*'Optimal Choice'!$B$28</f>
        <v>4308860.5</v>
      </c>
      <c r="C436" s="11"/>
      <c r="D436" s="12"/>
      <c r="E436" s="12"/>
      <c r="F436" s="11"/>
      <c r="G436" s="11">
        <f>(T436/$B436)+(T436/('Optimal Choice'!$B$4*AO436))</f>
        <v>3157.340876</v>
      </c>
      <c r="H436" s="11">
        <f>(U436/$B436)+(U436/('Optimal Choice'!$B$9*AP436))</f>
        <v>3237.233191</v>
      </c>
      <c r="I436" s="11">
        <f>(V436/$B436)+(V436/('Optimal Choice'!$B$14*AQ436))</f>
        <v>3081.174483</v>
      </c>
      <c r="J436" s="11">
        <f>(W436/$B436)+(W436/('Optimal Choice'!$B$19*AR436))</f>
        <v>3462.845535</v>
      </c>
      <c r="K436" s="11">
        <f>(X436/$B436)+(X436/('Optimal Choice'!$B$24*AS436))</f>
        <v>3444.289263</v>
      </c>
      <c r="N436" s="12">
        <f t="shared" ref="N436:R436" si="1302">if(min($G435:$K435)=G435,N435+1,N435)</f>
        <v>163</v>
      </c>
      <c r="O436" s="12">
        <f t="shared" si="1302"/>
        <v>72</v>
      </c>
      <c r="P436" s="12">
        <f t="shared" si="1302"/>
        <v>69</v>
      </c>
      <c r="Q436" s="12">
        <f t="shared" si="1302"/>
        <v>66</v>
      </c>
      <c r="R436" s="12">
        <f t="shared" si="1302"/>
        <v>65</v>
      </c>
      <c r="T436" s="13">
        <f> 'Optimal Choice'!$B$5*'Optimal Choice'!$B$6^(N436+1)</f>
        <v>263632.8543</v>
      </c>
      <c r="U436" s="13">
        <f> 'Optimal Choice'!$B$10*'Optimal Choice'!$B$11^(O436+1)</f>
        <v>1618428.793</v>
      </c>
      <c r="V436" s="13">
        <f> 'Optimal Choice'!$B$15*'Optimal Choice'!$B$16^(P436+1)</f>
        <v>6929024.389</v>
      </c>
      <c r="W436" s="13">
        <f> 'Optimal Choice'!$B$20*'Optimal Choice'!$B$21^(Q436+1)</f>
        <v>31100649.29</v>
      </c>
      <c r="X436" s="13">
        <f> 'Optimal Choice'!$B$25*'Optimal Choice'!$B$26^(R436+1)</f>
        <v>183689564.6</v>
      </c>
      <c r="AA436" s="12">
        <f t="shared" ref="AA436:AE436" si="1303">if(isna(VLOOKUP(N436,$D$2:$E$10,2,false)),AA435, VLOOKUP(N436,$D$2:$E$10,2,false))</f>
        <v>50</v>
      </c>
      <c r="AB436" s="12">
        <f t="shared" si="1303"/>
        <v>25</v>
      </c>
      <c r="AC436" s="12">
        <f t="shared" si="1303"/>
        <v>25</v>
      </c>
      <c r="AD436" s="12">
        <f t="shared" si="1303"/>
        <v>25</v>
      </c>
      <c r="AE436" s="12">
        <f t="shared" si="1303"/>
        <v>25</v>
      </c>
      <c r="AH436" s="15">
        <f>N436*'Optimal Choice'!$B$4*AA436</f>
        <v>13610.5</v>
      </c>
      <c r="AI436" s="15">
        <f>O436*'Optimal Choice'!$B$9*AB436</f>
        <v>36000</v>
      </c>
      <c r="AJ436" s="15">
        <f>P436*'Optimal Choice'!$B$14*AC436</f>
        <v>155250</v>
      </c>
      <c r="AK436" s="15">
        <f>Q436*'Optimal Choice'!$B$19*AD436</f>
        <v>594000</v>
      </c>
      <c r="AL436" s="15">
        <f>R436*'Optimal Choice'!$B$24*AE436</f>
        <v>3510000</v>
      </c>
      <c r="AO436" s="12">
        <f t="shared" ref="AO436:AS436" si="1304">if(isna(VLOOKUP(N436+1,$D$2:$E$10,2,false)),AO435, VLOOKUP(N436+1,$D$2:$E$10,2,false))</f>
        <v>50</v>
      </c>
      <c r="AP436" s="12">
        <f t="shared" si="1304"/>
        <v>25</v>
      </c>
      <c r="AQ436" s="12">
        <f t="shared" si="1304"/>
        <v>25</v>
      </c>
      <c r="AR436" s="12">
        <f t="shared" si="1304"/>
        <v>25</v>
      </c>
      <c r="AS436" s="12">
        <f t="shared" si="1304"/>
        <v>25</v>
      </c>
      <c r="AU436" s="11">
        <f t="shared" si="8"/>
        <v>0.6424360243</v>
      </c>
    </row>
    <row r="437" ht="15.75" customHeight="1">
      <c r="A437" s="16">
        <f t="shared" si="4"/>
        <v>22.11547349</v>
      </c>
      <c r="B437" s="7">
        <f>(sum(AH437:AL437))*'Optimal Choice'!$B$28</f>
        <v>4311110.5</v>
      </c>
      <c r="C437" s="11"/>
      <c r="D437" s="12"/>
      <c r="E437" s="12"/>
      <c r="F437" s="11"/>
      <c r="G437" s="11">
        <f>(T437/$B437)+(T437/('Optimal Choice'!$B$4*AO437))</f>
        <v>3157.340844</v>
      </c>
      <c r="H437" s="11">
        <f>(U437/$B437)+(U437/('Optimal Choice'!$B$9*AP437))</f>
        <v>3237.232994</v>
      </c>
      <c r="I437" s="11">
        <f>(V437/$B437)+(V437/('Optimal Choice'!$B$14*AQ437))</f>
        <v>3512.537953</v>
      </c>
      <c r="J437" s="11">
        <f>(W437/$B437)+(W437/('Optimal Choice'!$B$19*AR437))</f>
        <v>3462.841768</v>
      </c>
      <c r="K437" s="11">
        <f>(X437/$B437)+(X437/('Optimal Choice'!$B$24*AS437))</f>
        <v>3444.267014</v>
      </c>
      <c r="N437" s="12">
        <f t="shared" ref="N437:R437" si="1305">if(min($G436:$K436)=G436,N436+1,N436)</f>
        <v>163</v>
      </c>
      <c r="O437" s="12">
        <f t="shared" si="1305"/>
        <v>72</v>
      </c>
      <c r="P437" s="12">
        <f t="shared" si="1305"/>
        <v>70</v>
      </c>
      <c r="Q437" s="12">
        <f t="shared" si="1305"/>
        <v>66</v>
      </c>
      <c r="R437" s="12">
        <f t="shared" si="1305"/>
        <v>65</v>
      </c>
      <c r="T437" s="13">
        <f> 'Optimal Choice'!$B$5*'Optimal Choice'!$B$6^(N437+1)</f>
        <v>263632.8543</v>
      </c>
      <c r="U437" s="13">
        <f> 'Optimal Choice'!$B$10*'Optimal Choice'!$B$11^(O437+1)</f>
        <v>1618428.793</v>
      </c>
      <c r="V437" s="13">
        <f> 'Optimal Choice'!$B$15*'Optimal Choice'!$B$16^(P437+1)</f>
        <v>7899087.804</v>
      </c>
      <c r="W437" s="13">
        <f> 'Optimal Choice'!$B$20*'Optimal Choice'!$B$21^(Q437+1)</f>
        <v>31100649.29</v>
      </c>
      <c r="X437" s="13">
        <f> 'Optimal Choice'!$B$25*'Optimal Choice'!$B$26^(R437+1)</f>
        <v>183689564.6</v>
      </c>
      <c r="AA437" s="12">
        <f t="shared" ref="AA437:AE437" si="1306">if(isna(VLOOKUP(N437,$D$2:$E$10,2,false)),AA436, VLOOKUP(N437,$D$2:$E$10,2,false))</f>
        <v>50</v>
      </c>
      <c r="AB437" s="12">
        <f t="shared" si="1306"/>
        <v>25</v>
      </c>
      <c r="AC437" s="12">
        <f t="shared" si="1306"/>
        <v>25</v>
      </c>
      <c r="AD437" s="12">
        <f t="shared" si="1306"/>
        <v>25</v>
      </c>
      <c r="AE437" s="12">
        <f t="shared" si="1306"/>
        <v>25</v>
      </c>
      <c r="AH437" s="15">
        <f>N437*'Optimal Choice'!$B$4*AA437</f>
        <v>13610.5</v>
      </c>
      <c r="AI437" s="15">
        <f>O437*'Optimal Choice'!$B$9*AB437</f>
        <v>36000</v>
      </c>
      <c r="AJ437" s="15">
        <f>P437*'Optimal Choice'!$B$14*AC437</f>
        <v>157500</v>
      </c>
      <c r="AK437" s="15">
        <f>Q437*'Optimal Choice'!$B$19*AD437</f>
        <v>594000</v>
      </c>
      <c r="AL437" s="15">
        <f>R437*'Optimal Choice'!$B$24*AE437</f>
        <v>3510000</v>
      </c>
      <c r="AO437" s="12">
        <f t="shared" ref="AO437:AS437" si="1307">if(isna(VLOOKUP(N437+1,$D$2:$E$10,2,false)),AO436, VLOOKUP(N437+1,$D$2:$E$10,2,false))</f>
        <v>50</v>
      </c>
      <c r="AP437" s="12">
        <f t="shared" si="1307"/>
        <v>25</v>
      </c>
      <c r="AQ437" s="12">
        <f t="shared" si="1307"/>
        <v>25</v>
      </c>
      <c r="AR437" s="12">
        <f t="shared" si="1307"/>
        <v>25</v>
      </c>
      <c r="AS437" s="12">
        <f t="shared" si="1307"/>
        <v>25</v>
      </c>
      <c r="AU437" s="11">
        <f t="shared" si="8"/>
        <v>0.02680145709</v>
      </c>
    </row>
    <row r="438" ht="15.75" customHeight="1">
      <c r="A438" s="16">
        <f t="shared" si="4"/>
        <v>22.11649269</v>
      </c>
      <c r="B438" s="7">
        <f>(sum(AH438:AL438))*'Optimal Choice'!$B$28</f>
        <v>4311194</v>
      </c>
      <c r="C438" s="11"/>
      <c r="D438" s="12"/>
      <c r="E438" s="12"/>
      <c r="F438" s="11"/>
      <c r="G438" s="11">
        <f>(T438/$B438)+(T438/('Optimal Choice'!$B$4*AO438))</f>
        <v>3378.354702</v>
      </c>
      <c r="H438" s="11">
        <f>(U438/$B438)+(U438/('Optimal Choice'!$B$9*AP438))</f>
        <v>3237.232987</v>
      </c>
      <c r="I438" s="11">
        <f>(V438/$B438)+(V438/('Optimal Choice'!$B$14*AQ438))</f>
        <v>3512.537918</v>
      </c>
      <c r="J438" s="11">
        <f>(W438/$B438)+(W438/('Optimal Choice'!$B$19*AR438))</f>
        <v>3462.841628</v>
      </c>
      <c r="K438" s="11">
        <f>(X438/$B438)+(X438/('Optimal Choice'!$B$24*AS438))</f>
        <v>3444.266189</v>
      </c>
      <c r="N438" s="12">
        <f t="shared" ref="N438:R438" si="1308">if(min($G437:$K437)=G437,N437+1,N437)</f>
        <v>164</v>
      </c>
      <c r="O438" s="12">
        <f t="shared" si="1308"/>
        <v>72</v>
      </c>
      <c r="P438" s="12">
        <f t="shared" si="1308"/>
        <v>70</v>
      </c>
      <c r="Q438" s="12">
        <f t="shared" si="1308"/>
        <v>66</v>
      </c>
      <c r="R438" s="12">
        <f t="shared" si="1308"/>
        <v>65</v>
      </c>
      <c r="T438" s="13">
        <f> 'Optimal Choice'!$B$5*'Optimal Choice'!$B$6^(N438+1)</f>
        <v>282087.1541</v>
      </c>
      <c r="U438" s="13">
        <f> 'Optimal Choice'!$B$10*'Optimal Choice'!$B$11^(O438+1)</f>
        <v>1618428.793</v>
      </c>
      <c r="V438" s="13">
        <f> 'Optimal Choice'!$B$15*'Optimal Choice'!$B$16^(P438+1)</f>
        <v>7899087.804</v>
      </c>
      <c r="W438" s="13">
        <f> 'Optimal Choice'!$B$20*'Optimal Choice'!$B$21^(Q438+1)</f>
        <v>31100649.29</v>
      </c>
      <c r="X438" s="13">
        <f> 'Optimal Choice'!$B$25*'Optimal Choice'!$B$26^(R438+1)</f>
        <v>183689564.6</v>
      </c>
      <c r="AA438" s="12">
        <f t="shared" ref="AA438:AE438" si="1309">if(isna(VLOOKUP(N438,$D$2:$E$10,2,false)),AA437, VLOOKUP(N438,$D$2:$E$10,2,false))</f>
        <v>50</v>
      </c>
      <c r="AB438" s="12">
        <f t="shared" si="1309"/>
        <v>25</v>
      </c>
      <c r="AC438" s="12">
        <f t="shared" si="1309"/>
        <v>25</v>
      </c>
      <c r="AD438" s="12">
        <f t="shared" si="1309"/>
        <v>25</v>
      </c>
      <c r="AE438" s="12">
        <f t="shared" si="1309"/>
        <v>25</v>
      </c>
      <c r="AH438" s="15">
        <f>N438*'Optimal Choice'!$B$4*AA438</f>
        <v>13694</v>
      </c>
      <c r="AI438" s="15">
        <f>O438*'Optimal Choice'!$B$9*AB438</f>
        <v>36000</v>
      </c>
      <c r="AJ438" s="15">
        <f>P438*'Optimal Choice'!$B$14*AC438</f>
        <v>157500</v>
      </c>
      <c r="AK438" s="15">
        <f>Q438*'Optimal Choice'!$B$19*AD438</f>
        <v>594000</v>
      </c>
      <c r="AL438" s="15">
        <f>R438*'Optimal Choice'!$B$24*AE438</f>
        <v>3510000</v>
      </c>
      <c r="AO438" s="12">
        <f t="shared" ref="AO438:AS438" si="1310">if(isna(VLOOKUP(N438+1,$D$2:$E$10,2,false)),AO437, VLOOKUP(N438+1,$D$2:$E$10,2,false))</f>
        <v>50</v>
      </c>
      <c r="AP438" s="12">
        <f t="shared" si="1310"/>
        <v>25</v>
      </c>
      <c r="AQ438" s="12">
        <f t="shared" si="1310"/>
        <v>25</v>
      </c>
      <c r="AR438" s="12">
        <f t="shared" si="1310"/>
        <v>25</v>
      </c>
      <c r="AS438" s="12">
        <f t="shared" si="1310"/>
        <v>25</v>
      </c>
      <c r="AU438" s="11">
        <f t="shared" si="8"/>
        <v>0.001019199324</v>
      </c>
    </row>
    <row r="439" ht="15.75" customHeight="1">
      <c r="A439" s="16">
        <f t="shared" si="4"/>
        <v>22.12274938</v>
      </c>
      <c r="B439" s="7">
        <f>(sum(AH439:AL439))*'Optimal Choice'!$B$28</f>
        <v>4311694</v>
      </c>
      <c r="C439" s="11"/>
      <c r="D439" s="12"/>
      <c r="E439" s="12"/>
      <c r="F439" s="11"/>
      <c r="G439" s="11">
        <f>(T439/$B439)+(T439/('Optimal Choice'!$B$4*AO439))</f>
        <v>3378.354695</v>
      </c>
      <c r="H439" s="11">
        <f>(U439/$B439)+(U439/('Optimal Choice'!$B$9*AP439))</f>
        <v>3722.817885</v>
      </c>
      <c r="I439" s="11">
        <f>(V439/$B439)+(V439/('Optimal Choice'!$B$14*AQ439))</f>
        <v>3512.537705</v>
      </c>
      <c r="J439" s="11">
        <f>(W439/$B439)+(W439/('Optimal Choice'!$B$19*AR439))</f>
        <v>3462.840791</v>
      </c>
      <c r="K439" s="11">
        <f>(X439/$B439)+(X439/('Optimal Choice'!$B$24*AS439))</f>
        <v>3444.261248</v>
      </c>
      <c r="N439" s="12">
        <f t="shared" ref="N439:R439" si="1311">if(min($G438:$K438)=G438,N438+1,N438)</f>
        <v>164</v>
      </c>
      <c r="O439" s="12">
        <f t="shared" si="1311"/>
        <v>73</v>
      </c>
      <c r="P439" s="12">
        <f t="shared" si="1311"/>
        <v>70</v>
      </c>
      <c r="Q439" s="12">
        <f t="shared" si="1311"/>
        <v>66</v>
      </c>
      <c r="R439" s="12">
        <f t="shared" si="1311"/>
        <v>65</v>
      </c>
      <c r="T439" s="13">
        <f> 'Optimal Choice'!$B$5*'Optimal Choice'!$B$6^(N439+1)</f>
        <v>282087.1541</v>
      </c>
      <c r="U439" s="13">
        <f> 'Optimal Choice'!$B$10*'Optimal Choice'!$B$11^(O439+1)</f>
        <v>1861193.112</v>
      </c>
      <c r="V439" s="13">
        <f> 'Optimal Choice'!$B$15*'Optimal Choice'!$B$16^(P439+1)</f>
        <v>7899087.804</v>
      </c>
      <c r="W439" s="13">
        <f> 'Optimal Choice'!$B$20*'Optimal Choice'!$B$21^(Q439+1)</f>
        <v>31100649.29</v>
      </c>
      <c r="X439" s="13">
        <f> 'Optimal Choice'!$B$25*'Optimal Choice'!$B$26^(R439+1)</f>
        <v>183689564.6</v>
      </c>
      <c r="AA439" s="12">
        <f t="shared" ref="AA439:AE439" si="1312">if(isna(VLOOKUP(N439,$D$2:$E$10,2,false)),AA438, VLOOKUP(N439,$D$2:$E$10,2,false))</f>
        <v>50</v>
      </c>
      <c r="AB439" s="12">
        <f t="shared" si="1312"/>
        <v>25</v>
      </c>
      <c r="AC439" s="12">
        <f t="shared" si="1312"/>
        <v>25</v>
      </c>
      <c r="AD439" s="12">
        <f t="shared" si="1312"/>
        <v>25</v>
      </c>
      <c r="AE439" s="12">
        <f t="shared" si="1312"/>
        <v>25</v>
      </c>
      <c r="AH439" s="15">
        <f>N439*'Optimal Choice'!$B$4*AA439</f>
        <v>13694</v>
      </c>
      <c r="AI439" s="15">
        <f>O439*'Optimal Choice'!$B$9*AB439</f>
        <v>36500</v>
      </c>
      <c r="AJ439" s="15">
        <f>P439*'Optimal Choice'!$B$14*AC439</f>
        <v>157500</v>
      </c>
      <c r="AK439" s="15">
        <f>Q439*'Optimal Choice'!$B$19*AD439</f>
        <v>594000</v>
      </c>
      <c r="AL439" s="15">
        <f>R439*'Optimal Choice'!$B$24*AE439</f>
        <v>3510000</v>
      </c>
      <c r="AO439" s="12">
        <f t="shared" ref="AO439:AS439" si="1313">if(isna(VLOOKUP(N439+1,$D$2:$E$10,2,false)),AO438, VLOOKUP(N439+1,$D$2:$E$10,2,false))</f>
        <v>50</v>
      </c>
      <c r="AP439" s="12">
        <f t="shared" si="1313"/>
        <v>25</v>
      </c>
      <c r="AQ439" s="12">
        <f t="shared" si="1313"/>
        <v>25</v>
      </c>
      <c r="AR439" s="12">
        <f t="shared" si="1313"/>
        <v>25</v>
      </c>
      <c r="AS439" s="12">
        <f t="shared" si="1313"/>
        <v>25</v>
      </c>
      <c r="AU439" s="11">
        <f t="shared" si="8"/>
        <v>0.006256692047</v>
      </c>
    </row>
    <row r="440" ht="15.75" customHeight="1">
      <c r="A440" s="16">
        <f t="shared" si="4"/>
        <v>22.12383978</v>
      </c>
      <c r="B440" s="7">
        <f>(sum(AH440:AL440))*'Optimal Choice'!$B$28</f>
        <v>4311777.5</v>
      </c>
      <c r="C440" s="11"/>
      <c r="D440" s="12"/>
      <c r="E440" s="12"/>
      <c r="F440" s="11"/>
      <c r="G440" s="11">
        <f>(T440/$B440)+(T440/('Optimal Choice'!$B$4*AO440))</f>
        <v>3614.839522</v>
      </c>
      <c r="H440" s="11">
        <f>(U440/$B440)+(U440/('Optimal Choice'!$B$9*AP440))</f>
        <v>3722.817877</v>
      </c>
      <c r="I440" s="11">
        <f>(V440/$B440)+(V440/('Optimal Choice'!$B$14*AQ440))</f>
        <v>3512.53767</v>
      </c>
      <c r="J440" s="11">
        <f>(W440/$B440)+(W440/('Optimal Choice'!$B$19*AR440))</f>
        <v>3462.840652</v>
      </c>
      <c r="K440" s="11">
        <f>(X440/$B440)+(X440/('Optimal Choice'!$B$24*AS440))</f>
        <v>3444.260423</v>
      </c>
      <c r="N440" s="12">
        <f t="shared" ref="N440:R440" si="1314">if(min($G439:$K439)=G439,N439+1,N439)</f>
        <v>165</v>
      </c>
      <c r="O440" s="12">
        <f t="shared" si="1314"/>
        <v>73</v>
      </c>
      <c r="P440" s="12">
        <f t="shared" si="1314"/>
        <v>70</v>
      </c>
      <c r="Q440" s="12">
        <f t="shared" si="1314"/>
        <v>66</v>
      </c>
      <c r="R440" s="12">
        <f t="shared" si="1314"/>
        <v>65</v>
      </c>
      <c r="T440" s="13">
        <f> 'Optimal Choice'!$B$5*'Optimal Choice'!$B$6^(N440+1)</f>
        <v>301833.2549</v>
      </c>
      <c r="U440" s="13">
        <f> 'Optimal Choice'!$B$10*'Optimal Choice'!$B$11^(O440+1)</f>
        <v>1861193.112</v>
      </c>
      <c r="V440" s="13">
        <f> 'Optimal Choice'!$B$15*'Optimal Choice'!$B$16^(P440+1)</f>
        <v>7899087.804</v>
      </c>
      <c r="W440" s="13">
        <f> 'Optimal Choice'!$B$20*'Optimal Choice'!$B$21^(Q440+1)</f>
        <v>31100649.29</v>
      </c>
      <c r="X440" s="13">
        <f> 'Optimal Choice'!$B$25*'Optimal Choice'!$B$26^(R440+1)</f>
        <v>183689564.6</v>
      </c>
      <c r="AA440" s="12">
        <f t="shared" ref="AA440:AE440" si="1315">if(isna(VLOOKUP(N440,$D$2:$E$10,2,false)),AA439, VLOOKUP(N440,$D$2:$E$10,2,false))</f>
        <v>50</v>
      </c>
      <c r="AB440" s="12">
        <f t="shared" si="1315"/>
        <v>25</v>
      </c>
      <c r="AC440" s="12">
        <f t="shared" si="1315"/>
        <v>25</v>
      </c>
      <c r="AD440" s="12">
        <f t="shared" si="1315"/>
        <v>25</v>
      </c>
      <c r="AE440" s="12">
        <f t="shared" si="1315"/>
        <v>25</v>
      </c>
      <c r="AH440" s="15">
        <f>N440*'Optimal Choice'!$B$4*AA440</f>
        <v>13777.5</v>
      </c>
      <c r="AI440" s="15">
        <f>O440*'Optimal Choice'!$B$9*AB440</f>
        <v>36500</v>
      </c>
      <c r="AJ440" s="15">
        <f>P440*'Optimal Choice'!$B$14*AC440</f>
        <v>157500</v>
      </c>
      <c r="AK440" s="15">
        <f>Q440*'Optimal Choice'!$B$19*AD440</f>
        <v>594000</v>
      </c>
      <c r="AL440" s="15">
        <f>R440*'Optimal Choice'!$B$24*AE440</f>
        <v>3510000</v>
      </c>
      <c r="AO440" s="12">
        <f t="shared" ref="AO440:AS440" si="1316">if(isna(VLOOKUP(N440+1,$D$2:$E$10,2,false)),AO439, VLOOKUP(N440+1,$D$2:$E$10,2,false))</f>
        <v>50</v>
      </c>
      <c r="AP440" s="12">
        <f t="shared" si="1316"/>
        <v>25</v>
      </c>
      <c r="AQ440" s="12">
        <f t="shared" si="1316"/>
        <v>25</v>
      </c>
      <c r="AR440" s="12">
        <f t="shared" si="1316"/>
        <v>25</v>
      </c>
      <c r="AS440" s="12">
        <f t="shared" si="1316"/>
        <v>25</v>
      </c>
      <c r="AU440" s="11">
        <f t="shared" si="8"/>
        <v>0.001090395693</v>
      </c>
    </row>
    <row r="441" ht="15.75" customHeight="1">
      <c r="A441" s="16">
        <f t="shared" si="4"/>
        <v>22.83387009</v>
      </c>
      <c r="B441" s="7">
        <f>(sum(AH441:AL441))*'Optimal Choice'!$B$28</f>
        <v>4365777.5</v>
      </c>
      <c r="C441" s="11"/>
      <c r="D441" s="12"/>
      <c r="E441" s="12"/>
      <c r="F441" s="11"/>
      <c r="G441" s="11">
        <f>(T441/$B441)+(T441/('Optimal Choice'!$B$4*AO441))</f>
        <v>3614.838656</v>
      </c>
      <c r="H441" s="11">
        <f>(U441/$B441)+(U441/('Optimal Choice'!$B$9*AP441))</f>
        <v>3722.812538</v>
      </c>
      <c r="I441" s="11">
        <f>(V441/$B441)+(V441/('Optimal Choice'!$B$14*AQ441))</f>
        <v>3512.51501</v>
      </c>
      <c r="J441" s="11">
        <f>(W441/$B441)+(W441/('Optimal Choice'!$B$19*AR441))</f>
        <v>3462.751435</v>
      </c>
      <c r="K441" s="11">
        <f>(X441/$B441)+(X441/('Optimal Choice'!$B$24*AS441))</f>
        <v>3856.981502</v>
      </c>
      <c r="N441" s="12">
        <f t="shared" ref="N441:R441" si="1317">if(min($G440:$K440)=G440,N440+1,N440)</f>
        <v>165</v>
      </c>
      <c r="O441" s="12">
        <f t="shared" si="1317"/>
        <v>73</v>
      </c>
      <c r="P441" s="12">
        <f t="shared" si="1317"/>
        <v>70</v>
      </c>
      <c r="Q441" s="12">
        <f t="shared" si="1317"/>
        <v>66</v>
      </c>
      <c r="R441" s="12">
        <f t="shared" si="1317"/>
        <v>66</v>
      </c>
      <c r="T441" s="13">
        <f> 'Optimal Choice'!$B$5*'Optimal Choice'!$B$6^(N441+1)</f>
        <v>301833.2549</v>
      </c>
      <c r="U441" s="13">
        <f> 'Optimal Choice'!$B$10*'Optimal Choice'!$B$11^(O441+1)</f>
        <v>1861193.112</v>
      </c>
      <c r="V441" s="13">
        <f> 'Optimal Choice'!$B$15*'Optimal Choice'!$B$16^(P441+1)</f>
        <v>7899087.804</v>
      </c>
      <c r="W441" s="13">
        <f> 'Optimal Choice'!$B$20*'Optimal Choice'!$B$21^(Q441+1)</f>
        <v>31100649.29</v>
      </c>
      <c r="X441" s="13">
        <f> 'Optimal Choice'!$B$25*'Optimal Choice'!$B$26^(R441+1)</f>
        <v>205732312.4</v>
      </c>
      <c r="AA441" s="12">
        <f t="shared" ref="AA441:AE441" si="1318">if(isna(VLOOKUP(N441,$D$2:$E$10,2,false)),AA440, VLOOKUP(N441,$D$2:$E$10,2,false))</f>
        <v>50</v>
      </c>
      <c r="AB441" s="12">
        <f t="shared" si="1318"/>
        <v>25</v>
      </c>
      <c r="AC441" s="12">
        <f t="shared" si="1318"/>
        <v>25</v>
      </c>
      <c r="AD441" s="12">
        <f t="shared" si="1318"/>
        <v>25</v>
      </c>
      <c r="AE441" s="12">
        <f t="shared" si="1318"/>
        <v>25</v>
      </c>
      <c r="AH441" s="15">
        <f>N441*'Optimal Choice'!$B$4*AA441</f>
        <v>13777.5</v>
      </c>
      <c r="AI441" s="15">
        <f>O441*'Optimal Choice'!$B$9*AB441</f>
        <v>36500</v>
      </c>
      <c r="AJ441" s="15">
        <f>P441*'Optimal Choice'!$B$14*AC441</f>
        <v>157500</v>
      </c>
      <c r="AK441" s="15">
        <f>Q441*'Optimal Choice'!$B$19*AD441</f>
        <v>594000</v>
      </c>
      <c r="AL441" s="15">
        <f>R441*'Optimal Choice'!$B$24*AE441</f>
        <v>3564000</v>
      </c>
      <c r="AO441" s="12">
        <f t="shared" ref="AO441:AS441" si="1319">if(isna(VLOOKUP(N441+1,$D$2:$E$10,2,false)),AO440, VLOOKUP(N441+1,$D$2:$E$10,2,false))</f>
        <v>50</v>
      </c>
      <c r="AP441" s="12">
        <f t="shared" si="1319"/>
        <v>25</v>
      </c>
      <c r="AQ441" s="12">
        <f t="shared" si="1319"/>
        <v>25</v>
      </c>
      <c r="AR441" s="12">
        <f t="shared" si="1319"/>
        <v>25</v>
      </c>
      <c r="AS441" s="12">
        <f t="shared" si="1319"/>
        <v>25</v>
      </c>
      <c r="AU441" s="11">
        <f t="shared" si="8"/>
        <v>0.7100303166</v>
      </c>
    </row>
    <row r="442" ht="15.75" customHeight="1">
      <c r="A442" s="16">
        <f t="shared" si="4"/>
        <v>22.95259904</v>
      </c>
      <c r="B442" s="7">
        <f>(sum(AH442:AL442))*'Optimal Choice'!$B$28</f>
        <v>4374777.5</v>
      </c>
      <c r="C442" s="11"/>
      <c r="D442" s="12"/>
      <c r="E442" s="12"/>
      <c r="F442" s="11"/>
      <c r="G442" s="11">
        <f>(T442/$B442)+(T442/('Optimal Choice'!$B$4*AO442))</f>
        <v>3614.838514</v>
      </c>
      <c r="H442" s="11">
        <f>(U442/$B442)+(U442/('Optimal Choice'!$B$9*AP442))</f>
        <v>3722.811661</v>
      </c>
      <c r="I442" s="11">
        <f>(V442/$B442)+(V442/('Optimal Choice'!$B$14*AQ442))</f>
        <v>3512.511288</v>
      </c>
      <c r="J442" s="11">
        <f>(W442/$B442)+(W442/('Optimal Choice'!$B$19*AR442))</f>
        <v>3912.892561</v>
      </c>
      <c r="K442" s="11">
        <f>(X442/$B442)+(X442/('Optimal Choice'!$B$24*AS442))</f>
        <v>3856.884556</v>
      </c>
      <c r="N442" s="12">
        <f t="shared" ref="N442:R442" si="1320">if(min($G441:$K441)=G441,N441+1,N441)</f>
        <v>165</v>
      </c>
      <c r="O442" s="12">
        <f t="shared" si="1320"/>
        <v>73</v>
      </c>
      <c r="P442" s="12">
        <f t="shared" si="1320"/>
        <v>70</v>
      </c>
      <c r="Q442" s="12">
        <f t="shared" si="1320"/>
        <v>67</v>
      </c>
      <c r="R442" s="12">
        <f t="shared" si="1320"/>
        <v>66</v>
      </c>
      <c r="T442" s="13">
        <f> 'Optimal Choice'!$B$5*'Optimal Choice'!$B$6^(N442+1)</f>
        <v>301833.2549</v>
      </c>
      <c r="U442" s="13">
        <f> 'Optimal Choice'!$B$10*'Optimal Choice'!$B$11^(O442+1)</f>
        <v>1861193.112</v>
      </c>
      <c r="V442" s="13">
        <f> 'Optimal Choice'!$B$15*'Optimal Choice'!$B$16^(P442+1)</f>
        <v>7899087.804</v>
      </c>
      <c r="W442" s="13">
        <f> 'Optimal Choice'!$B$20*'Optimal Choice'!$B$21^(Q442+1)</f>
        <v>35143733.69</v>
      </c>
      <c r="X442" s="13">
        <f> 'Optimal Choice'!$B$25*'Optimal Choice'!$B$26^(R442+1)</f>
        <v>205732312.4</v>
      </c>
      <c r="AA442" s="12">
        <f t="shared" ref="AA442:AE442" si="1321">if(isna(VLOOKUP(N442,$D$2:$E$10,2,false)),AA441, VLOOKUP(N442,$D$2:$E$10,2,false))</f>
        <v>50</v>
      </c>
      <c r="AB442" s="12">
        <f t="shared" si="1321"/>
        <v>25</v>
      </c>
      <c r="AC442" s="12">
        <f t="shared" si="1321"/>
        <v>25</v>
      </c>
      <c r="AD442" s="12">
        <f t="shared" si="1321"/>
        <v>25</v>
      </c>
      <c r="AE442" s="12">
        <f t="shared" si="1321"/>
        <v>25</v>
      </c>
      <c r="AH442" s="15">
        <f>N442*'Optimal Choice'!$B$4*AA442</f>
        <v>13777.5</v>
      </c>
      <c r="AI442" s="15">
        <f>O442*'Optimal Choice'!$B$9*AB442</f>
        <v>36500</v>
      </c>
      <c r="AJ442" s="15">
        <f>P442*'Optimal Choice'!$B$14*AC442</f>
        <v>157500</v>
      </c>
      <c r="AK442" s="15">
        <f>Q442*'Optimal Choice'!$B$19*AD442</f>
        <v>603000</v>
      </c>
      <c r="AL442" s="15">
        <f>R442*'Optimal Choice'!$B$24*AE442</f>
        <v>3564000</v>
      </c>
      <c r="AO442" s="12">
        <f t="shared" ref="AO442:AS442" si="1322">if(isna(VLOOKUP(N442+1,$D$2:$E$10,2,false)),AO441, VLOOKUP(N442+1,$D$2:$E$10,2,false))</f>
        <v>50</v>
      </c>
      <c r="AP442" s="12">
        <f t="shared" si="1322"/>
        <v>25</v>
      </c>
      <c r="AQ442" s="12">
        <f t="shared" si="1322"/>
        <v>25</v>
      </c>
      <c r="AR442" s="12">
        <f t="shared" si="1322"/>
        <v>25</v>
      </c>
      <c r="AS442" s="12">
        <f t="shared" si="1322"/>
        <v>25</v>
      </c>
      <c r="AU442" s="11">
        <f t="shared" si="8"/>
        <v>0.1187289446</v>
      </c>
    </row>
    <row r="443" ht="15.75" customHeight="1">
      <c r="A443" s="16">
        <f t="shared" si="4"/>
        <v>22.98269233</v>
      </c>
      <c r="B443" s="7">
        <f>(sum(AH443:AL443))*'Optimal Choice'!$B$28</f>
        <v>4377027.5</v>
      </c>
      <c r="C443" s="11"/>
      <c r="D443" s="12"/>
      <c r="E443" s="12"/>
      <c r="F443" s="11"/>
      <c r="G443" s="11">
        <f>(T443/$B443)+(T443/('Optimal Choice'!$B$4*AO443))</f>
        <v>3614.838478</v>
      </c>
      <c r="H443" s="11">
        <f>(U443/$B443)+(U443/('Optimal Choice'!$B$9*AP443))</f>
        <v>3722.811442</v>
      </c>
      <c r="I443" s="11">
        <f>(V443/$B443)+(V443/('Optimal Choice'!$B$14*AQ443))</f>
        <v>4004.26181</v>
      </c>
      <c r="J443" s="11">
        <f>(W443/$B443)+(W443/('Optimal Choice'!$B$19*AR443))</f>
        <v>3912.888432</v>
      </c>
      <c r="K443" s="11">
        <f>(X443/$B443)+(X443/('Optimal Choice'!$B$24*AS443))</f>
        <v>3856.860382</v>
      </c>
      <c r="N443" s="12">
        <f t="shared" ref="N443:R443" si="1323">if(min($G442:$K442)=G442,N442+1,N442)</f>
        <v>165</v>
      </c>
      <c r="O443" s="12">
        <f t="shared" si="1323"/>
        <v>73</v>
      </c>
      <c r="P443" s="12">
        <f t="shared" si="1323"/>
        <v>71</v>
      </c>
      <c r="Q443" s="12">
        <f t="shared" si="1323"/>
        <v>67</v>
      </c>
      <c r="R443" s="12">
        <f t="shared" si="1323"/>
        <v>66</v>
      </c>
      <c r="T443" s="13">
        <f> 'Optimal Choice'!$B$5*'Optimal Choice'!$B$6^(N443+1)</f>
        <v>301833.2549</v>
      </c>
      <c r="U443" s="13">
        <f> 'Optimal Choice'!$B$10*'Optimal Choice'!$B$11^(O443+1)</f>
        <v>1861193.112</v>
      </c>
      <c r="V443" s="13">
        <f> 'Optimal Choice'!$B$15*'Optimal Choice'!$B$16^(P443+1)</f>
        <v>9004960.096</v>
      </c>
      <c r="W443" s="13">
        <f> 'Optimal Choice'!$B$20*'Optimal Choice'!$B$21^(Q443+1)</f>
        <v>35143733.69</v>
      </c>
      <c r="X443" s="13">
        <f> 'Optimal Choice'!$B$25*'Optimal Choice'!$B$26^(R443+1)</f>
        <v>205732312.4</v>
      </c>
      <c r="AA443" s="12">
        <f t="shared" ref="AA443:AE443" si="1324">if(isna(VLOOKUP(N443,$D$2:$E$10,2,false)),AA442, VLOOKUP(N443,$D$2:$E$10,2,false))</f>
        <v>50</v>
      </c>
      <c r="AB443" s="12">
        <f t="shared" si="1324"/>
        <v>25</v>
      </c>
      <c r="AC443" s="12">
        <f t="shared" si="1324"/>
        <v>25</v>
      </c>
      <c r="AD443" s="12">
        <f t="shared" si="1324"/>
        <v>25</v>
      </c>
      <c r="AE443" s="12">
        <f t="shared" si="1324"/>
        <v>25</v>
      </c>
      <c r="AH443" s="15">
        <f>N443*'Optimal Choice'!$B$4*AA443</f>
        <v>13777.5</v>
      </c>
      <c r="AI443" s="15">
        <f>O443*'Optimal Choice'!$B$9*AB443</f>
        <v>36500</v>
      </c>
      <c r="AJ443" s="15">
        <f>P443*'Optimal Choice'!$B$14*AC443</f>
        <v>159750</v>
      </c>
      <c r="AK443" s="15">
        <f>Q443*'Optimal Choice'!$B$19*AD443</f>
        <v>603000</v>
      </c>
      <c r="AL443" s="15">
        <f>R443*'Optimal Choice'!$B$24*AE443</f>
        <v>3564000</v>
      </c>
      <c r="AO443" s="12">
        <f t="shared" ref="AO443:AS443" si="1325">if(isna(VLOOKUP(N443+1,$D$2:$E$10,2,false)),AO442, VLOOKUP(N443+1,$D$2:$E$10,2,false))</f>
        <v>50</v>
      </c>
      <c r="AP443" s="12">
        <f t="shared" si="1325"/>
        <v>25</v>
      </c>
      <c r="AQ443" s="12">
        <f t="shared" si="1325"/>
        <v>25</v>
      </c>
      <c r="AR443" s="12">
        <f t="shared" si="1325"/>
        <v>25</v>
      </c>
      <c r="AS443" s="12">
        <f t="shared" si="1325"/>
        <v>25</v>
      </c>
      <c r="AU443" s="11">
        <f t="shared" si="8"/>
        <v>0.03009329352</v>
      </c>
    </row>
    <row r="444" ht="15.75" customHeight="1">
      <c r="A444" s="16">
        <f t="shared" si="4"/>
        <v>22.98384164</v>
      </c>
      <c r="B444" s="7">
        <f>(sum(AH444:AL444))*'Optimal Choice'!$B$28</f>
        <v>4377111</v>
      </c>
      <c r="C444" s="11"/>
      <c r="D444" s="12"/>
      <c r="E444" s="12"/>
      <c r="F444" s="11"/>
      <c r="G444" s="11">
        <f>(T444/$B444)+(T444/('Optimal Choice'!$B$4*AO444))</f>
        <v>3867.87717</v>
      </c>
      <c r="H444" s="11">
        <f>(U444/$B444)+(U444/('Optimal Choice'!$B$9*AP444))</f>
        <v>3722.811434</v>
      </c>
      <c r="I444" s="11">
        <f>(V444/$B444)+(V444/('Optimal Choice'!$B$14*AQ444))</f>
        <v>4004.261771</v>
      </c>
      <c r="J444" s="11">
        <f>(W444/$B444)+(W444/('Optimal Choice'!$B$19*AR444))</f>
        <v>3912.888279</v>
      </c>
      <c r="K444" s="11">
        <f>(X444/$B444)+(X444/('Optimal Choice'!$B$24*AS444))</f>
        <v>3856.859486</v>
      </c>
      <c r="N444" s="12">
        <f t="shared" ref="N444:R444" si="1326">if(min($G443:$K443)=G443,N443+1,N443)</f>
        <v>166</v>
      </c>
      <c r="O444" s="12">
        <f t="shared" si="1326"/>
        <v>73</v>
      </c>
      <c r="P444" s="12">
        <f t="shared" si="1326"/>
        <v>71</v>
      </c>
      <c r="Q444" s="12">
        <f t="shared" si="1326"/>
        <v>67</v>
      </c>
      <c r="R444" s="12">
        <f t="shared" si="1326"/>
        <v>66</v>
      </c>
      <c r="T444" s="13">
        <f> 'Optimal Choice'!$B$5*'Optimal Choice'!$B$6^(N444+1)</f>
        <v>322961.5827</v>
      </c>
      <c r="U444" s="13">
        <f> 'Optimal Choice'!$B$10*'Optimal Choice'!$B$11^(O444+1)</f>
        <v>1861193.112</v>
      </c>
      <c r="V444" s="13">
        <f> 'Optimal Choice'!$B$15*'Optimal Choice'!$B$16^(P444+1)</f>
        <v>9004960.096</v>
      </c>
      <c r="W444" s="13">
        <f> 'Optimal Choice'!$B$20*'Optimal Choice'!$B$21^(Q444+1)</f>
        <v>35143733.69</v>
      </c>
      <c r="X444" s="13">
        <f> 'Optimal Choice'!$B$25*'Optimal Choice'!$B$26^(R444+1)</f>
        <v>205732312.4</v>
      </c>
      <c r="AA444" s="12">
        <f t="shared" ref="AA444:AE444" si="1327">if(isna(VLOOKUP(N444,$D$2:$E$10,2,false)),AA443, VLOOKUP(N444,$D$2:$E$10,2,false))</f>
        <v>50</v>
      </c>
      <c r="AB444" s="12">
        <f t="shared" si="1327"/>
        <v>25</v>
      </c>
      <c r="AC444" s="12">
        <f t="shared" si="1327"/>
        <v>25</v>
      </c>
      <c r="AD444" s="12">
        <f t="shared" si="1327"/>
        <v>25</v>
      </c>
      <c r="AE444" s="12">
        <f t="shared" si="1327"/>
        <v>25</v>
      </c>
      <c r="AH444" s="15">
        <f>N444*'Optimal Choice'!$B$4*AA444</f>
        <v>13861</v>
      </c>
      <c r="AI444" s="15">
        <f>O444*'Optimal Choice'!$B$9*AB444</f>
        <v>36500</v>
      </c>
      <c r="AJ444" s="15">
        <f>P444*'Optimal Choice'!$B$14*AC444</f>
        <v>159750</v>
      </c>
      <c r="AK444" s="15">
        <f>Q444*'Optimal Choice'!$B$19*AD444</f>
        <v>603000</v>
      </c>
      <c r="AL444" s="15">
        <f>R444*'Optimal Choice'!$B$24*AE444</f>
        <v>3564000</v>
      </c>
      <c r="AO444" s="12">
        <f t="shared" ref="AO444:AS444" si="1328">if(isna(VLOOKUP(N444+1,$D$2:$E$10,2,false)),AO443, VLOOKUP(N444+1,$D$2:$E$10,2,false))</f>
        <v>50</v>
      </c>
      <c r="AP444" s="12">
        <f t="shared" si="1328"/>
        <v>25</v>
      </c>
      <c r="AQ444" s="12">
        <f t="shared" si="1328"/>
        <v>25</v>
      </c>
      <c r="AR444" s="12">
        <f t="shared" si="1328"/>
        <v>25</v>
      </c>
      <c r="AS444" s="12">
        <f t="shared" si="1328"/>
        <v>25</v>
      </c>
      <c r="AU444" s="11">
        <f t="shared" si="8"/>
        <v>0.001149308349</v>
      </c>
    </row>
    <row r="445" ht="15.75" customHeight="1">
      <c r="A445" s="16">
        <f t="shared" si="4"/>
        <v>22.99092848</v>
      </c>
      <c r="B445" s="7">
        <f>(sum(AH445:AL445))*'Optimal Choice'!$B$28</f>
        <v>4377611</v>
      </c>
      <c r="C445" s="11"/>
      <c r="D445" s="12"/>
      <c r="E445" s="12"/>
      <c r="F445" s="11"/>
      <c r="G445" s="11">
        <f>(T445/$B445)+(T445/('Optimal Choice'!$B$4*AO445))</f>
        <v>3867.877162</v>
      </c>
      <c r="H445" s="11">
        <f>(U445/$B445)+(U445/('Optimal Choice'!$B$9*AP445))</f>
        <v>4281.233093</v>
      </c>
      <c r="I445" s="11">
        <f>(V445/$B445)+(V445/('Optimal Choice'!$B$14*AQ445))</f>
        <v>4004.261536</v>
      </c>
      <c r="J445" s="11">
        <f>(W445/$B445)+(W445/('Optimal Choice'!$B$19*AR445))</f>
        <v>3912.887362</v>
      </c>
      <c r="K445" s="11">
        <f>(X445/$B445)+(X445/('Optimal Choice'!$B$24*AS445))</f>
        <v>3856.854117</v>
      </c>
      <c r="N445" s="12">
        <f t="shared" ref="N445:R445" si="1329">if(min($G444:$K444)=G444,N444+1,N444)</f>
        <v>166</v>
      </c>
      <c r="O445" s="12">
        <f t="shared" si="1329"/>
        <v>74</v>
      </c>
      <c r="P445" s="12">
        <f t="shared" si="1329"/>
        <v>71</v>
      </c>
      <c r="Q445" s="12">
        <f t="shared" si="1329"/>
        <v>67</v>
      </c>
      <c r="R445" s="12">
        <f t="shared" si="1329"/>
        <v>66</v>
      </c>
      <c r="T445" s="13">
        <f> 'Optimal Choice'!$B$5*'Optimal Choice'!$B$6^(N445+1)</f>
        <v>322961.5827</v>
      </c>
      <c r="U445" s="13">
        <f> 'Optimal Choice'!$B$10*'Optimal Choice'!$B$11^(O445+1)</f>
        <v>2140372.079</v>
      </c>
      <c r="V445" s="13">
        <f> 'Optimal Choice'!$B$15*'Optimal Choice'!$B$16^(P445+1)</f>
        <v>9004960.096</v>
      </c>
      <c r="W445" s="13">
        <f> 'Optimal Choice'!$B$20*'Optimal Choice'!$B$21^(Q445+1)</f>
        <v>35143733.69</v>
      </c>
      <c r="X445" s="13">
        <f> 'Optimal Choice'!$B$25*'Optimal Choice'!$B$26^(R445+1)</f>
        <v>205732312.4</v>
      </c>
      <c r="AA445" s="12">
        <f t="shared" ref="AA445:AE445" si="1330">if(isna(VLOOKUP(N445,$D$2:$E$10,2,false)),AA444, VLOOKUP(N445,$D$2:$E$10,2,false))</f>
        <v>50</v>
      </c>
      <c r="AB445" s="12">
        <f t="shared" si="1330"/>
        <v>25</v>
      </c>
      <c r="AC445" s="12">
        <f t="shared" si="1330"/>
        <v>25</v>
      </c>
      <c r="AD445" s="12">
        <f t="shared" si="1330"/>
        <v>25</v>
      </c>
      <c r="AE445" s="12">
        <f t="shared" si="1330"/>
        <v>25</v>
      </c>
      <c r="AH445" s="15">
        <f>N445*'Optimal Choice'!$B$4*AA445</f>
        <v>13861</v>
      </c>
      <c r="AI445" s="15">
        <f>O445*'Optimal Choice'!$B$9*AB445</f>
        <v>37000</v>
      </c>
      <c r="AJ445" s="15">
        <f>P445*'Optimal Choice'!$B$14*AC445</f>
        <v>159750</v>
      </c>
      <c r="AK445" s="15">
        <f>Q445*'Optimal Choice'!$B$19*AD445</f>
        <v>603000</v>
      </c>
      <c r="AL445" s="15">
        <f>R445*'Optimal Choice'!$B$24*AE445</f>
        <v>3564000</v>
      </c>
      <c r="AO445" s="12">
        <f t="shared" ref="AO445:AS445" si="1331">if(isna(VLOOKUP(N445+1,$D$2:$E$10,2,false)),AO444, VLOOKUP(N445+1,$D$2:$E$10,2,false))</f>
        <v>50</v>
      </c>
      <c r="AP445" s="12">
        <f t="shared" si="1331"/>
        <v>25</v>
      </c>
      <c r="AQ445" s="12">
        <f t="shared" si="1331"/>
        <v>25</v>
      </c>
      <c r="AR445" s="12">
        <f t="shared" si="1331"/>
        <v>25</v>
      </c>
      <c r="AS445" s="12">
        <f t="shared" si="1331"/>
        <v>25</v>
      </c>
      <c r="AU445" s="11">
        <f t="shared" si="8"/>
        <v>0.007086839972</v>
      </c>
    </row>
    <row r="446" ht="15.75" customHeight="1">
      <c r="A446" s="16">
        <f t="shared" si="4"/>
        <v>23.77420316</v>
      </c>
      <c r="B446" s="7">
        <f>(sum(AH446:AL446))*'Optimal Choice'!$B$28</f>
        <v>4431611</v>
      </c>
      <c r="C446" s="11"/>
      <c r="D446" s="12"/>
      <c r="E446" s="12"/>
      <c r="F446" s="11"/>
      <c r="G446" s="11">
        <f>(T446/$B446)+(T446/('Optimal Choice'!$B$4*AO446))</f>
        <v>3867.876263</v>
      </c>
      <c r="H446" s="11">
        <f>(U446/$B446)+(U446/('Optimal Choice'!$B$9*AP446))</f>
        <v>4281.227135</v>
      </c>
      <c r="I446" s="11">
        <f>(V446/$B446)+(V446/('Optimal Choice'!$B$14*AQ446))</f>
        <v>4004.236471</v>
      </c>
      <c r="J446" s="11">
        <f>(W446/$B446)+(W446/('Optimal Choice'!$B$19*AR446))</f>
        <v>3912.789538</v>
      </c>
      <c r="K446" s="11">
        <f>(X446/$B446)+(X446/('Optimal Choice'!$B$24*AS446))</f>
        <v>4319.035231</v>
      </c>
      <c r="N446" s="12">
        <f t="shared" ref="N446:R446" si="1332">if(min($G445:$K445)=G445,N445+1,N445)</f>
        <v>166</v>
      </c>
      <c r="O446" s="12">
        <f t="shared" si="1332"/>
        <v>74</v>
      </c>
      <c r="P446" s="12">
        <f t="shared" si="1332"/>
        <v>71</v>
      </c>
      <c r="Q446" s="12">
        <f t="shared" si="1332"/>
        <v>67</v>
      </c>
      <c r="R446" s="12">
        <f t="shared" si="1332"/>
        <v>67</v>
      </c>
      <c r="T446" s="13">
        <f> 'Optimal Choice'!$B$5*'Optimal Choice'!$B$6^(N446+1)</f>
        <v>322961.5827</v>
      </c>
      <c r="U446" s="13">
        <f> 'Optimal Choice'!$B$10*'Optimal Choice'!$B$11^(O446+1)</f>
        <v>2140372.079</v>
      </c>
      <c r="V446" s="13">
        <f> 'Optimal Choice'!$B$15*'Optimal Choice'!$B$16^(P446+1)</f>
        <v>9004960.096</v>
      </c>
      <c r="W446" s="13">
        <f> 'Optimal Choice'!$B$20*'Optimal Choice'!$B$21^(Q446+1)</f>
        <v>35143733.69</v>
      </c>
      <c r="X446" s="13">
        <f> 'Optimal Choice'!$B$25*'Optimal Choice'!$B$26^(R446+1)</f>
        <v>230420189.8</v>
      </c>
      <c r="AA446" s="12">
        <f t="shared" ref="AA446:AE446" si="1333">if(isna(VLOOKUP(N446,$D$2:$E$10,2,false)),AA445, VLOOKUP(N446,$D$2:$E$10,2,false))</f>
        <v>50</v>
      </c>
      <c r="AB446" s="12">
        <f t="shared" si="1333"/>
        <v>25</v>
      </c>
      <c r="AC446" s="12">
        <f t="shared" si="1333"/>
        <v>25</v>
      </c>
      <c r="AD446" s="12">
        <f t="shared" si="1333"/>
        <v>25</v>
      </c>
      <c r="AE446" s="12">
        <f t="shared" si="1333"/>
        <v>25</v>
      </c>
      <c r="AH446" s="15">
        <f>N446*'Optimal Choice'!$B$4*AA446</f>
        <v>13861</v>
      </c>
      <c r="AI446" s="15">
        <f>O446*'Optimal Choice'!$B$9*AB446</f>
        <v>37000</v>
      </c>
      <c r="AJ446" s="15">
        <f>P446*'Optimal Choice'!$B$14*AC446</f>
        <v>159750</v>
      </c>
      <c r="AK446" s="15">
        <f>Q446*'Optimal Choice'!$B$19*AD446</f>
        <v>603000</v>
      </c>
      <c r="AL446" s="15">
        <f>R446*'Optimal Choice'!$B$24*AE446</f>
        <v>3618000</v>
      </c>
      <c r="AO446" s="12">
        <f t="shared" ref="AO446:AS446" si="1334">if(isna(VLOOKUP(N446+1,$D$2:$E$10,2,false)),AO445, VLOOKUP(N446+1,$D$2:$E$10,2,false))</f>
        <v>50</v>
      </c>
      <c r="AP446" s="12">
        <f t="shared" si="1334"/>
        <v>25</v>
      </c>
      <c r="AQ446" s="12">
        <f t="shared" si="1334"/>
        <v>25</v>
      </c>
      <c r="AR446" s="12">
        <f t="shared" si="1334"/>
        <v>25</v>
      </c>
      <c r="AS446" s="12">
        <f t="shared" si="1334"/>
        <v>25</v>
      </c>
      <c r="AU446" s="11">
        <f t="shared" si="8"/>
        <v>0.783274684</v>
      </c>
    </row>
    <row r="447" ht="15.75" customHeight="1">
      <c r="A447" s="16">
        <f t="shared" si="4"/>
        <v>23.77541778</v>
      </c>
      <c r="B447" s="7">
        <f>(sum(AH447:AL447))*'Optimal Choice'!$B$28</f>
        <v>4431694.5</v>
      </c>
      <c r="C447" s="11"/>
      <c r="D447" s="12"/>
      <c r="E447" s="12"/>
      <c r="F447" s="11"/>
      <c r="G447" s="11">
        <f>(T447/$B447)+(T447/('Optimal Choice'!$B$4*AO447))</f>
        <v>4138.6276</v>
      </c>
      <c r="H447" s="11">
        <f>(U447/$B447)+(U447/('Optimal Choice'!$B$9*AP447))</f>
        <v>4281.227126</v>
      </c>
      <c r="I447" s="11">
        <f>(V447/$B447)+(V447/('Optimal Choice'!$B$14*AQ447))</f>
        <v>4004.236432</v>
      </c>
      <c r="J447" s="11">
        <f>(W447/$B447)+(W447/('Optimal Choice'!$B$19*AR447))</f>
        <v>3912.789389</v>
      </c>
      <c r="K447" s="11">
        <f>(X447/$B447)+(X447/('Optimal Choice'!$B$24*AS447))</f>
        <v>4319.034252</v>
      </c>
      <c r="N447" s="12">
        <f t="shared" ref="N447:R447" si="1335">if(min($G446:$K446)=G446,N446+1,N446)</f>
        <v>167</v>
      </c>
      <c r="O447" s="12">
        <f t="shared" si="1335"/>
        <v>74</v>
      </c>
      <c r="P447" s="12">
        <f t="shared" si="1335"/>
        <v>71</v>
      </c>
      <c r="Q447" s="12">
        <f t="shared" si="1335"/>
        <v>67</v>
      </c>
      <c r="R447" s="12">
        <f t="shared" si="1335"/>
        <v>67</v>
      </c>
      <c r="T447" s="13">
        <f> 'Optimal Choice'!$B$5*'Optimal Choice'!$B$6^(N447+1)</f>
        <v>345568.8935</v>
      </c>
      <c r="U447" s="13">
        <f> 'Optimal Choice'!$B$10*'Optimal Choice'!$B$11^(O447+1)</f>
        <v>2140372.079</v>
      </c>
      <c r="V447" s="13">
        <f> 'Optimal Choice'!$B$15*'Optimal Choice'!$B$16^(P447+1)</f>
        <v>9004960.096</v>
      </c>
      <c r="W447" s="13">
        <f> 'Optimal Choice'!$B$20*'Optimal Choice'!$B$21^(Q447+1)</f>
        <v>35143733.69</v>
      </c>
      <c r="X447" s="13">
        <f> 'Optimal Choice'!$B$25*'Optimal Choice'!$B$26^(R447+1)</f>
        <v>230420189.8</v>
      </c>
      <c r="AA447" s="12">
        <f t="shared" ref="AA447:AE447" si="1336">if(isna(VLOOKUP(N447,$D$2:$E$10,2,false)),AA446, VLOOKUP(N447,$D$2:$E$10,2,false))</f>
        <v>50</v>
      </c>
      <c r="AB447" s="12">
        <f t="shared" si="1336"/>
        <v>25</v>
      </c>
      <c r="AC447" s="12">
        <f t="shared" si="1336"/>
        <v>25</v>
      </c>
      <c r="AD447" s="12">
        <f t="shared" si="1336"/>
        <v>25</v>
      </c>
      <c r="AE447" s="12">
        <f t="shared" si="1336"/>
        <v>25</v>
      </c>
      <c r="AH447" s="15">
        <f>N447*'Optimal Choice'!$B$4*AA447</f>
        <v>13944.5</v>
      </c>
      <c r="AI447" s="15">
        <f>O447*'Optimal Choice'!$B$9*AB447</f>
        <v>37000</v>
      </c>
      <c r="AJ447" s="15">
        <f>P447*'Optimal Choice'!$B$14*AC447</f>
        <v>159750</v>
      </c>
      <c r="AK447" s="15">
        <f>Q447*'Optimal Choice'!$B$19*AD447</f>
        <v>603000</v>
      </c>
      <c r="AL447" s="15">
        <f>R447*'Optimal Choice'!$B$24*AE447</f>
        <v>3618000</v>
      </c>
      <c r="AO447" s="12">
        <f t="shared" ref="AO447:AS447" si="1337">if(isna(VLOOKUP(N447+1,$D$2:$E$10,2,false)),AO446, VLOOKUP(N447+1,$D$2:$E$10,2,false))</f>
        <v>50</v>
      </c>
      <c r="AP447" s="12">
        <f t="shared" si="1337"/>
        <v>25</v>
      </c>
      <c r="AQ447" s="12">
        <f t="shared" si="1337"/>
        <v>25</v>
      </c>
      <c r="AR447" s="12">
        <f t="shared" si="1337"/>
        <v>25</v>
      </c>
      <c r="AS447" s="12">
        <f t="shared" si="1337"/>
        <v>25</v>
      </c>
      <c r="AU447" s="11">
        <f t="shared" si="8"/>
        <v>0.001214613161</v>
      </c>
    </row>
    <row r="448" ht="15.75" customHeight="1">
      <c r="A448" s="16">
        <f t="shared" si="4"/>
        <v>23.90758593</v>
      </c>
      <c r="B448" s="7">
        <f>(sum(AH448:AL448))*'Optimal Choice'!$B$28</f>
        <v>4440694.5</v>
      </c>
      <c r="C448" s="11"/>
      <c r="D448" s="12"/>
      <c r="E448" s="12"/>
      <c r="F448" s="11"/>
      <c r="G448" s="11">
        <f>(T448/$B448)+(T448/('Optimal Choice'!$B$4*AO448))</f>
        <v>4138.627442</v>
      </c>
      <c r="H448" s="11">
        <f>(U448/$B448)+(U448/('Optimal Choice'!$B$9*AP448))</f>
        <v>4281.226147</v>
      </c>
      <c r="I448" s="11">
        <f>(V448/$B448)+(V448/('Optimal Choice'!$B$14*AQ448))</f>
        <v>4004.232314</v>
      </c>
      <c r="J448" s="11">
        <f>(W448/$B448)+(W448/('Optimal Choice'!$B$19*AR448))</f>
        <v>4421.433848</v>
      </c>
      <c r="K448" s="11">
        <f>(X448/$B448)+(X448/('Optimal Choice'!$B$24*AS448))</f>
        <v>4318.928875</v>
      </c>
      <c r="N448" s="12">
        <f t="shared" ref="N448:R448" si="1338">if(min($G447:$K447)=G447,N447+1,N447)</f>
        <v>167</v>
      </c>
      <c r="O448" s="12">
        <f t="shared" si="1338"/>
        <v>74</v>
      </c>
      <c r="P448" s="12">
        <f t="shared" si="1338"/>
        <v>71</v>
      </c>
      <c r="Q448" s="12">
        <f t="shared" si="1338"/>
        <v>68</v>
      </c>
      <c r="R448" s="12">
        <f t="shared" si="1338"/>
        <v>67</v>
      </c>
      <c r="T448" s="13">
        <f> 'Optimal Choice'!$B$5*'Optimal Choice'!$B$6^(N448+1)</f>
        <v>345568.8935</v>
      </c>
      <c r="U448" s="13">
        <f> 'Optimal Choice'!$B$10*'Optimal Choice'!$B$11^(O448+1)</f>
        <v>2140372.079</v>
      </c>
      <c r="V448" s="13">
        <f> 'Optimal Choice'!$B$15*'Optimal Choice'!$B$16^(P448+1)</f>
        <v>9004960.096</v>
      </c>
      <c r="W448" s="13">
        <f> 'Optimal Choice'!$B$20*'Optimal Choice'!$B$21^(Q448+1)</f>
        <v>39712419.07</v>
      </c>
      <c r="X448" s="13">
        <f> 'Optimal Choice'!$B$25*'Optimal Choice'!$B$26^(R448+1)</f>
        <v>230420189.8</v>
      </c>
      <c r="AA448" s="12">
        <f t="shared" ref="AA448:AE448" si="1339">if(isna(VLOOKUP(N448,$D$2:$E$10,2,false)),AA447, VLOOKUP(N448,$D$2:$E$10,2,false))</f>
        <v>50</v>
      </c>
      <c r="AB448" s="12">
        <f t="shared" si="1339"/>
        <v>25</v>
      </c>
      <c r="AC448" s="12">
        <f t="shared" si="1339"/>
        <v>25</v>
      </c>
      <c r="AD448" s="12">
        <f t="shared" si="1339"/>
        <v>25</v>
      </c>
      <c r="AE448" s="12">
        <f t="shared" si="1339"/>
        <v>25</v>
      </c>
      <c r="AH448" s="15">
        <f>N448*'Optimal Choice'!$B$4*AA448</f>
        <v>13944.5</v>
      </c>
      <c r="AI448" s="15">
        <f>O448*'Optimal Choice'!$B$9*AB448</f>
        <v>37000</v>
      </c>
      <c r="AJ448" s="15">
        <f>P448*'Optimal Choice'!$B$14*AC448</f>
        <v>159750</v>
      </c>
      <c r="AK448" s="15">
        <f>Q448*'Optimal Choice'!$B$19*AD448</f>
        <v>612000</v>
      </c>
      <c r="AL448" s="15">
        <f>R448*'Optimal Choice'!$B$24*AE448</f>
        <v>3618000</v>
      </c>
      <c r="AO448" s="12">
        <f t="shared" ref="AO448:AS448" si="1340">if(isna(VLOOKUP(N448+1,$D$2:$E$10,2,false)),AO447, VLOOKUP(N448+1,$D$2:$E$10,2,false))</f>
        <v>50</v>
      </c>
      <c r="AP448" s="12">
        <f t="shared" si="1340"/>
        <v>25</v>
      </c>
      <c r="AQ448" s="12">
        <f t="shared" si="1340"/>
        <v>25</v>
      </c>
      <c r="AR448" s="12">
        <f t="shared" si="1340"/>
        <v>25</v>
      </c>
      <c r="AS448" s="12">
        <f t="shared" si="1340"/>
        <v>25</v>
      </c>
      <c r="AU448" s="11">
        <f t="shared" si="8"/>
        <v>0.1321681571</v>
      </c>
    </row>
    <row r="449" ht="15.75" customHeight="1">
      <c r="A449" s="16">
        <f t="shared" si="4"/>
        <v>23.94138305</v>
      </c>
      <c r="B449" s="7">
        <f>(sum(AH449:AL449))*'Optimal Choice'!$B$28</f>
        <v>4442944.5</v>
      </c>
      <c r="C449" s="11"/>
      <c r="D449" s="12"/>
      <c r="E449" s="12"/>
      <c r="F449" s="11"/>
      <c r="G449" s="11">
        <f>(T449/$B449)+(T449/('Optimal Choice'!$B$4*AO449))</f>
        <v>4138.627402</v>
      </c>
      <c r="H449" s="11">
        <f>(U449/$B449)+(U449/('Optimal Choice'!$B$9*AP449))</f>
        <v>4281.225903</v>
      </c>
      <c r="I449" s="11">
        <f>(V449/$B449)+(V449/('Optimal Choice'!$B$14*AQ449))</f>
        <v>4564.823667</v>
      </c>
      <c r="J449" s="11">
        <f>(W449/$B449)+(W449/('Optimal Choice'!$B$19*AR449))</f>
        <v>4421.429319</v>
      </c>
      <c r="K449" s="11">
        <f>(X449/$B449)+(X449/('Optimal Choice'!$B$24*AS449))</f>
        <v>4318.902598</v>
      </c>
      <c r="N449" s="12">
        <f t="shared" ref="N449:R449" si="1341">if(min($G448:$K448)=G448,N448+1,N448)</f>
        <v>167</v>
      </c>
      <c r="O449" s="12">
        <f t="shared" si="1341"/>
        <v>74</v>
      </c>
      <c r="P449" s="12">
        <f t="shared" si="1341"/>
        <v>72</v>
      </c>
      <c r="Q449" s="12">
        <f t="shared" si="1341"/>
        <v>68</v>
      </c>
      <c r="R449" s="12">
        <f t="shared" si="1341"/>
        <v>67</v>
      </c>
      <c r="T449" s="13">
        <f> 'Optimal Choice'!$B$5*'Optimal Choice'!$B$6^(N449+1)</f>
        <v>345568.8935</v>
      </c>
      <c r="U449" s="13">
        <f> 'Optimal Choice'!$B$10*'Optimal Choice'!$B$11^(O449+1)</f>
        <v>2140372.079</v>
      </c>
      <c r="V449" s="13">
        <f> 'Optimal Choice'!$B$15*'Optimal Choice'!$B$16^(P449+1)</f>
        <v>10265654.51</v>
      </c>
      <c r="W449" s="13">
        <f> 'Optimal Choice'!$B$20*'Optimal Choice'!$B$21^(Q449+1)</f>
        <v>39712419.07</v>
      </c>
      <c r="X449" s="13">
        <f> 'Optimal Choice'!$B$25*'Optimal Choice'!$B$26^(R449+1)</f>
        <v>230420189.8</v>
      </c>
      <c r="AA449" s="12">
        <f t="shared" ref="AA449:AE449" si="1342">if(isna(VLOOKUP(N449,$D$2:$E$10,2,false)),AA448, VLOOKUP(N449,$D$2:$E$10,2,false))</f>
        <v>50</v>
      </c>
      <c r="AB449" s="12">
        <f t="shared" si="1342"/>
        <v>25</v>
      </c>
      <c r="AC449" s="12">
        <f t="shared" si="1342"/>
        <v>25</v>
      </c>
      <c r="AD449" s="12">
        <f t="shared" si="1342"/>
        <v>25</v>
      </c>
      <c r="AE449" s="12">
        <f t="shared" si="1342"/>
        <v>25</v>
      </c>
      <c r="AH449" s="15">
        <f>N449*'Optimal Choice'!$B$4*AA449</f>
        <v>13944.5</v>
      </c>
      <c r="AI449" s="15">
        <f>O449*'Optimal Choice'!$B$9*AB449</f>
        <v>37000</v>
      </c>
      <c r="AJ449" s="15">
        <f>P449*'Optimal Choice'!$B$14*AC449</f>
        <v>162000</v>
      </c>
      <c r="AK449" s="15">
        <f>Q449*'Optimal Choice'!$B$19*AD449</f>
        <v>612000</v>
      </c>
      <c r="AL449" s="15">
        <f>R449*'Optimal Choice'!$B$24*AE449</f>
        <v>3618000</v>
      </c>
      <c r="AO449" s="12">
        <f t="shared" ref="AO449:AS449" si="1343">if(isna(VLOOKUP(N449+1,$D$2:$E$10,2,false)),AO448, VLOOKUP(N449+1,$D$2:$E$10,2,false))</f>
        <v>50</v>
      </c>
      <c r="AP449" s="12">
        <f t="shared" si="1343"/>
        <v>25</v>
      </c>
      <c r="AQ449" s="12">
        <f t="shared" si="1343"/>
        <v>25</v>
      </c>
      <c r="AR449" s="12">
        <f t="shared" si="1343"/>
        <v>25</v>
      </c>
      <c r="AS449" s="12">
        <f t="shared" si="1343"/>
        <v>25</v>
      </c>
      <c r="AU449" s="11">
        <f t="shared" si="8"/>
        <v>0.03379711625</v>
      </c>
    </row>
    <row r="450" ht="15.75" customHeight="1">
      <c r="A450" s="16">
        <f t="shared" si="4"/>
        <v>23.94267937</v>
      </c>
      <c r="B450" s="7">
        <f>(sum(AH450:AL450))*'Optimal Choice'!$B$28</f>
        <v>4443028</v>
      </c>
      <c r="C450" s="11"/>
      <c r="D450" s="12"/>
      <c r="E450" s="12"/>
      <c r="F450" s="11"/>
      <c r="G450" s="11">
        <f>(T450/$B450)+(T450/('Optimal Choice'!$B$4*AO450))</f>
        <v>4428.331319</v>
      </c>
      <c r="H450" s="11">
        <f>(U450/$B450)+(U450/('Optimal Choice'!$B$9*AP450))</f>
        <v>4281.225894</v>
      </c>
      <c r="I450" s="11">
        <f>(V450/$B450)+(V450/('Optimal Choice'!$B$14*AQ450))</f>
        <v>4564.823624</v>
      </c>
      <c r="J450" s="11">
        <f>(W450/$B450)+(W450/('Optimal Choice'!$B$19*AR450))</f>
        <v>4421.429151</v>
      </c>
      <c r="K450" s="11">
        <f>(X450/$B450)+(X450/('Optimal Choice'!$B$24*AS450))</f>
        <v>4318.901623</v>
      </c>
      <c r="N450" s="12">
        <f t="shared" ref="N450:R450" si="1344">if(min($G449:$K449)=G449,N449+1,N449)</f>
        <v>168</v>
      </c>
      <c r="O450" s="12">
        <f t="shared" si="1344"/>
        <v>74</v>
      </c>
      <c r="P450" s="12">
        <f t="shared" si="1344"/>
        <v>72</v>
      </c>
      <c r="Q450" s="12">
        <f t="shared" si="1344"/>
        <v>68</v>
      </c>
      <c r="R450" s="12">
        <f t="shared" si="1344"/>
        <v>67</v>
      </c>
      <c r="T450" s="13">
        <f> 'Optimal Choice'!$B$5*'Optimal Choice'!$B$6^(N450+1)</f>
        <v>369758.7161</v>
      </c>
      <c r="U450" s="13">
        <f> 'Optimal Choice'!$B$10*'Optimal Choice'!$B$11^(O450+1)</f>
        <v>2140372.079</v>
      </c>
      <c r="V450" s="13">
        <f> 'Optimal Choice'!$B$15*'Optimal Choice'!$B$16^(P450+1)</f>
        <v>10265654.51</v>
      </c>
      <c r="W450" s="13">
        <f> 'Optimal Choice'!$B$20*'Optimal Choice'!$B$21^(Q450+1)</f>
        <v>39712419.07</v>
      </c>
      <c r="X450" s="13">
        <f> 'Optimal Choice'!$B$25*'Optimal Choice'!$B$26^(R450+1)</f>
        <v>230420189.8</v>
      </c>
      <c r="AA450" s="12">
        <f t="shared" ref="AA450:AE450" si="1345">if(isna(VLOOKUP(N450,$D$2:$E$10,2,false)),AA449, VLOOKUP(N450,$D$2:$E$10,2,false))</f>
        <v>50</v>
      </c>
      <c r="AB450" s="12">
        <f t="shared" si="1345"/>
        <v>25</v>
      </c>
      <c r="AC450" s="12">
        <f t="shared" si="1345"/>
        <v>25</v>
      </c>
      <c r="AD450" s="12">
        <f t="shared" si="1345"/>
        <v>25</v>
      </c>
      <c r="AE450" s="12">
        <f t="shared" si="1345"/>
        <v>25</v>
      </c>
      <c r="AH450" s="15">
        <f>N450*'Optimal Choice'!$B$4*AA450</f>
        <v>14028</v>
      </c>
      <c r="AI450" s="15">
        <f>O450*'Optimal Choice'!$B$9*AB450</f>
        <v>37000</v>
      </c>
      <c r="AJ450" s="15">
        <f>P450*'Optimal Choice'!$B$14*AC450</f>
        <v>162000</v>
      </c>
      <c r="AK450" s="15">
        <f>Q450*'Optimal Choice'!$B$19*AD450</f>
        <v>612000</v>
      </c>
      <c r="AL450" s="15">
        <f>R450*'Optimal Choice'!$B$24*AE450</f>
        <v>3618000</v>
      </c>
      <c r="AO450" s="12">
        <f t="shared" ref="AO450:AS450" si="1346">if(isna(VLOOKUP(N450+1,$D$2:$E$10,2,false)),AO449, VLOOKUP(N450+1,$D$2:$E$10,2,false))</f>
        <v>50</v>
      </c>
      <c r="AP450" s="12">
        <f t="shared" si="1346"/>
        <v>25</v>
      </c>
      <c r="AQ450" s="12">
        <f t="shared" si="1346"/>
        <v>25</v>
      </c>
      <c r="AR450" s="12">
        <f t="shared" si="1346"/>
        <v>25</v>
      </c>
      <c r="AS450" s="12">
        <f t="shared" si="1346"/>
        <v>25</v>
      </c>
      <c r="AU450" s="11">
        <f t="shared" si="8"/>
        <v>0.001296320843</v>
      </c>
    </row>
    <row r="451" ht="15.75" customHeight="1">
      <c r="A451" s="16">
        <f t="shared" si="4"/>
        <v>23.95070833</v>
      </c>
      <c r="B451" s="7">
        <f>(sum(AH451:AL451))*'Optimal Choice'!$B$28</f>
        <v>4443528</v>
      </c>
      <c r="C451" s="11"/>
      <c r="D451" s="12"/>
      <c r="E451" s="12"/>
      <c r="F451" s="11"/>
      <c r="G451" s="11">
        <f>(T451/$B451)+(T451/('Optimal Choice'!$B$4*AO451))</f>
        <v>4428.33131</v>
      </c>
      <c r="H451" s="11">
        <f>(U451/$B451)+(U451/('Optimal Choice'!$B$9*AP451))</f>
        <v>4923.409716</v>
      </c>
      <c r="I451" s="11">
        <f>(V451/$B451)+(V451/('Optimal Choice'!$B$14*AQ451))</f>
        <v>4564.823364</v>
      </c>
      <c r="J451" s="11">
        <f>(W451/$B451)+(W451/('Optimal Choice'!$B$19*AR451))</f>
        <v>4421.428145</v>
      </c>
      <c r="K451" s="11">
        <f>(X451/$B451)+(X451/('Optimal Choice'!$B$24*AS451))</f>
        <v>4318.895788</v>
      </c>
      <c r="N451" s="12">
        <f t="shared" ref="N451:R451" si="1347">if(min($G450:$K450)=G450,N450+1,N450)</f>
        <v>168</v>
      </c>
      <c r="O451" s="12">
        <f t="shared" si="1347"/>
        <v>75</v>
      </c>
      <c r="P451" s="12">
        <f t="shared" si="1347"/>
        <v>72</v>
      </c>
      <c r="Q451" s="12">
        <f t="shared" si="1347"/>
        <v>68</v>
      </c>
      <c r="R451" s="12">
        <f t="shared" si="1347"/>
        <v>67</v>
      </c>
      <c r="T451" s="13">
        <f> 'Optimal Choice'!$B$5*'Optimal Choice'!$B$6^(N451+1)</f>
        <v>369758.7161</v>
      </c>
      <c r="U451" s="13">
        <f> 'Optimal Choice'!$B$10*'Optimal Choice'!$B$11^(O451+1)</f>
        <v>2461427.89</v>
      </c>
      <c r="V451" s="13">
        <f> 'Optimal Choice'!$B$15*'Optimal Choice'!$B$16^(P451+1)</f>
        <v>10265654.51</v>
      </c>
      <c r="W451" s="13">
        <f> 'Optimal Choice'!$B$20*'Optimal Choice'!$B$21^(Q451+1)</f>
        <v>39712419.07</v>
      </c>
      <c r="X451" s="13">
        <f> 'Optimal Choice'!$B$25*'Optimal Choice'!$B$26^(R451+1)</f>
        <v>230420189.8</v>
      </c>
      <c r="AA451" s="12">
        <f t="shared" ref="AA451:AE451" si="1348">if(isna(VLOOKUP(N451,$D$2:$E$10,2,false)),AA450, VLOOKUP(N451,$D$2:$E$10,2,false))</f>
        <v>50</v>
      </c>
      <c r="AB451" s="12">
        <f t="shared" si="1348"/>
        <v>25</v>
      </c>
      <c r="AC451" s="12">
        <f t="shared" si="1348"/>
        <v>25</v>
      </c>
      <c r="AD451" s="12">
        <f t="shared" si="1348"/>
        <v>25</v>
      </c>
      <c r="AE451" s="12">
        <f t="shared" si="1348"/>
        <v>25</v>
      </c>
      <c r="AH451" s="15">
        <f>N451*'Optimal Choice'!$B$4*AA451</f>
        <v>14028</v>
      </c>
      <c r="AI451" s="15">
        <f>O451*'Optimal Choice'!$B$9*AB451</f>
        <v>37500</v>
      </c>
      <c r="AJ451" s="15">
        <f>P451*'Optimal Choice'!$B$14*AC451</f>
        <v>162000</v>
      </c>
      <c r="AK451" s="15">
        <f>Q451*'Optimal Choice'!$B$19*AD451</f>
        <v>612000</v>
      </c>
      <c r="AL451" s="15">
        <f>R451*'Optimal Choice'!$B$24*AE451</f>
        <v>3618000</v>
      </c>
      <c r="AO451" s="12">
        <f t="shared" ref="AO451:AS451" si="1349">if(isna(VLOOKUP(N451+1,$D$2:$E$10,2,false)),AO450, VLOOKUP(N451+1,$D$2:$E$10,2,false))</f>
        <v>50</v>
      </c>
      <c r="AP451" s="12">
        <f t="shared" si="1349"/>
        <v>25</v>
      </c>
      <c r="AQ451" s="12">
        <f t="shared" si="1349"/>
        <v>25</v>
      </c>
      <c r="AR451" s="12">
        <f t="shared" si="1349"/>
        <v>25</v>
      </c>
      <c r="AS451" s="12">
        <f t="shared" si="1349"/>
        <v>25</v>
      </c>
      <c r="AU451" s="11">
        <f t="shared" si="8"/>
        <v>0.008028954122</v>
      </c>
    </row>
    <row r="452" ht="15.75" customHeight="1">
      <c r="A452" s="16">
        <f t="shared" si="4"/>
        <v>24.81496225</v>
      </c>
      <c r="B452" s="7">
        <f>(sum(AH452:AL452))*'Optimal Choice'!$B$28</f>
        <v>4497528</v>
      </c>
      <c r="C452" s="11"/>
      <c r="D452" s="12"/>
      <c r="E452" s="12"/>
      <c r="F452" s="11"/>
      <c r="G452" s="11">
        <f>(T452/$B452)+(T452/('Optimal Choice'!$B$4*AO452))</f>
        <v>4428.330311</v>
      </c>
      <c r="H452" s="11">
        <f>(U452/$B452)+(U452/('Optimal Choice'!$B$9*AP452))</f>
        <v>4923.403065</v>
      </c>
      <c r="I452" s="11">
        <f>(V452/$B452)+(V452/('Optimal Choice'!$B$14*AQ452))</f>
        <v>4564.795626</v>
      </c>
      <c r="J452" s="11">
        <f>(W452/$B452)+(W452/('Optimal Choice'!$B$19*AR452))</f>
        <v>4421.320841</v>
      </c>
      <c r="K452" s="11">
        <f>(X452/$B452)+(X452/('Optimal Choice'!$B$24*AS452))</f>
        <v>4836.465965</v>
      </c>
      <c r="N452" s="12">
        <f t="shared" ref="N452:R452" si="1350">if(min($G451:$K451)=G451,N451+1,N451)</f>
        <v>168</v>
      </c>
      <c r="O452" s="12">
        <f t="shared" si="1350"/>
        <v>75</v>
      </c>
      <c r="P452" s="12">
        <f t="shared" si="1350"/>
        <v>72</v>
      </c>
      <c r="Q452" s="12">
        <f t="shared" si="1350"/>
        <v>68</v>
      </c>
      <c r="R452" s="12">
        <f t="shared" si="1350"/>
        <v>68</v>
      </c>
      <c r="T452" s="13">
        <f> 'Optimal Choice'!$B$5*'Optimal Choice'!$B$6^(N452+1)</f>
        <v>369758.7161</v>
      </c>
      <c r="U452" s="13">
        <f> 'Optimal Choice'!$B$10*'Optimal Choice'!$B$11^(O452+1)</f>
        <v>2461427.89</v>
      </c>
      <c r="V452" s="13">
        <f> 'Optimal Choice'!$B$15*'Optimal Choice'!$B$16^(P452+1)</f>
        <v>10265654.51</v>
      </c>
      <c r="W452" s="13">
        <f> 'Optimal Choice'!$B$20*'Optimal Choice'!$B$21^(Q452+1)</f>
        <v>39712419.07</v>
      </c>
      <c r="X452" s="13">
        <f> 'Optimal Choice'!$B$25*'Optimal Choice'!$B$26^(R452+1)</f>
        <v>258070612.6</v>
      </c>
      <c r="AA452" s="12">
        <f t="shared" ref="AA452:AE452" si="1351">if(isna(VLOOKUP(N452,$D$2:$E$10,2,false)),AA451, VLOOKUP(N452,$D$2:$E$10,2,false))</f>
        <v>50</v>
      </c>
      <c r="AB452" s="12">
        <f t="shared" si="1351"/>
        <v>25</v>
      </c>
      <c r="AC452" s="12">
        <f t="shared" si="1351"/>
        <v>25</v>
      </c>
      <c r="AD452" s="12">
        <f t="shared" si="1351"/>
        <v>25</v>
      </c>
      <c r="AE452" s="12">
        <f t="shared" si="1351"/>
        <v>25</v>
      </c>
      <c r="AH452" s="15">
        <f>N452*'Optimal Choice'!$B$4*AA452</f>
        <v>14028</v>
      </c>
      <c r="AI452" s="15">
        <f>O452*'Optimal Choice'!$B$9*AB452</f>
        <v>37500</v>
      </c>
      <c r="AJ452" s="15">
        <f>P452*'Optimal Choice'!$B$14*AC452</f>
        <v>162000</v>
      </c>
      <c r="AK452" s="15">
        <f>Q452*'Optimal Choice'!$B$19*AD452</f>
        <v>612000</v>
      </c>
      <c r="AL452" s="15">
        <f>R452*'Optimal Choice'!$B$24*AE452</f>
        <v>3672000</v>
      </c>
      <c r="AO452" s="12">
        <f t="shared" ref="AO452:AS452" si="1352">if(isna(VLOOKUP(N452+1,$D$2:$E$10,2,false)),AO451, VLOOKUP(N452+1,$D$2:$E$10,2,false))</f>
        <v>50</v>
      </c>
      <c r="AP452" s="12">
        <f t="shared" si="1352"/>
        <v>25</v>
      </c>
      <c r="AQ452" s="12">
        <f t="shared" si="1352"/>
        <v>25</v>
      </c>
      <c r="AR452" s="12">
        <f t="shared" si="1352"/>
        <v>25</v>
      </c>
      <c r="AS452" s="12">
        <f t="shared" si="1352"/>
        <v>25</v>
      </c>
      <c r="AU452" s="11">
        <f t="shared" si="8"/>
        <v>0.8642539211</v>
      </c>
    </row>
    <row r="453" ht="15.75" customHeight="1">
      <c r="A453" s="16">
        <f t="shared" si="4"/>
        <v>24.96212612</v>
      </c>
      <c r="B453" s="7">
        <f>(sum(AH453:AL453))*'Optimal Choice'!$B$28</f>
        <v>4506528</v>
      </c>
      <c r="C453" s="11"/>
      <c r="D453" s="12"/>
      <c r="E453" s="12"/>
      <c r="F453" s="11"/>
      <c r="G453" s="11">
        <f>(T453/$B453)+(T453/('Optimal Choice'!$B$4*AO453))</f>
        <v>4428.330146</v>
      </c>
      <c r="H453" s="11">
        <f>(U453/$B453)+(U453/('Optimal Choice'!$B$9*AP453))</f>
        <v>4923.401972</v>
      </c>
      <c r="I453" s="11">
        <f>(V453/$B453)+(V453/('Optimal Choice'!$B$14*AQ453))</f>
        <v>4564.791067</v>
      </c>
      <c r="J453" s="11">
        <f>(W453/$B453)+(W453/('Optimal Choice'!$B$19*AR453))</f>
        <v>4996.072624</v>
      </c>
      <c r="K453" s="11">
        <f>(X453/$B453)+(X453/('Optimal Choice'!$B$24*AS453))</f>
        <v>4836.35137</v>
      </c>
      <c r="N453" s="12">
        <f t="shared" ref="N453:R453" si="1353">if(min($G452:$K452)=G452,N452+1,N452)</f>
        <v>168</v>
      </c>
      <c r="O453" s="12">
        <f t="shared" si="1353"/>
        <v>75</v>
      </c>
      <c r="P453" s="12">
        <f t="shared" si="1353"/>
        <v>72</v>
      </c>
      <c r="Q453" s="12">
        <f t="shared" si="1353"/>
        <v>69</v>
      </c>
      <c r="R453" s="12">
        <f t="shared" si="1353"/>
        <v>68</v>
      </c>
      <c r="T453" s="13">
        <f> 'Optimal Choice'!$B$5*'Optimal Choice'!$B$6^(N453+1)</f>
        <v>369758.7161</v>
      </c>
      <c r="U453" s="13">
        <f> 'Optimal Choice'!$B$10*'Optimal Choice'!$B$11^(O453+1)</f>
        <v>2461427.89</v>
      </c>
      <c r="V453" s="13">
        <f> 'Optimal Choice'!$B$15*'Optimal Choice'!$B$16^(P453+1)</f>
        <v>10265654.51</v>
      </c>
      <c r="W453" s="13">
        <f> 'Optimal Choice'!$B$20*'Optimal Choice'!$B$21^(Q453+1)</f>
        <v>44875033.55</v>
      </c>
      <c r="X453" s="13">
        <f> 'Optimal Choice'!$B$25*'Optimal Choice'!$B$26^(R453+1)</f>
        <v>258070612.6</v>
      </c>
      <c r="AA453" s="12">
        <f t="shared" ref="AA453:AE453" si="1354">if(isna(VLOOKUP(N453,$D$2:$E$10,2,false)),AA452, VLOOKUP(N453,$D$2:$E$10,2,false))</f>
        <v>50</v>
      </c>
      <c r="AB453" s="12">
        <f t="shared" si="1354"/>
        <v>25</v>
      </c>
      <c r="AC453" s="12">
        <f t="shared" si="1354"/>
        <v>25</v>
      </c>
      <c r="AD453" s="12">
        <f t="shared" si="1354"/>
        <v>25</v>
      </c>
      <c r="AE453" s="12">
        <f t="shared" si="1354"/>
        <v>25</v>
      </c>
      <c r="AH453" s="15">
        <f>N453*'Optimal Choice'!$B$4*AA453</f>
        <v>14028</v>
      </c>
      <c r="AI453" s="15">
        <f>O453*'Optimal Choice'!$B$9*AB453</f>
        <v>37500</v>
      </c>
      <c r="AJ453" s="15">
        <f>P453*'Optimal Choice'!$B$14*AC453</f>
        <v>162000</v>
      </c>
      <c r="AK453" s="15">
        <f>Q453*'Optimal Choice'!$B$19*AD453</f>
        <v>621000</v>
      </c>
      <c r="AL453" s="15">
        <f>R453*'Optimal Choice'!$B$24*AE453</f>
        <v>3672000</v>
      </c>
      <c r="AO453" s="12">
        <f t="shared" ref="AO453:AS453" si="1355">if(isna(VLOOKUP(N453+1,$D$2:$E$10,2,false)),AO452, VLOOKUP(N453+1,$D$2:$E$10,2,false))</f>
        <v>50</v>
      </c>
      <c r="AP453" s="12">
        <f t="shared" si="1355"/>
        <v>25</v>
      </c>
      <c r="AQ453" s="12">
        <f t="shared" si="1355"/>
        <v>25</v>
      </c>
      <c r="AR453" s="12">
        <f t="shared" si="1355"/>
        <v>25</v>
      </c>
      <c r="AS453" s="12">
        <f t="shared" si="1355"/>
        <v>25</v>
      </c>
      <c r="AU453" s="11">
        <f t="shared" si="8"/>
        <v>0.1471638756</v>
      </c>
    </row>
    <row r="454" ht="15.75" customHeight="1">
      <c r="A454" s="16">
        <f t="shared" si="4"/>
        <v>24.96349361</v>
      </c>
      <c r="B454" s="7">
        <f>(sum(AH454:AL454))*'Optimal Choice'!$B$28</f>
        <v>4506611.5</v>
      </c>
      <c r="C454" s="11"/>
      <c r="D454" s="12"/>
      <c r="E454" s="12"/>
      <c r="F454" s="11"/>
      <c r="G454" s="11">
        <f>(T454/$B454)+(T454/('Optimal Choice'!$B$4*AO454))</f>
        <v>4738.313255</v>
      </c>
      <c r="H454" s="11">
        <f>(U454/$B454)+(U454/('Optimal Choice'!$B$9*AP454))</f>
        <v>4923.401962</v>
      </c>
      <c r="I454" s="11">
        <f>(V454/$B454)+(V454/('Optimal Choice'!$B$14*AQ454))</f>
        <v>4564.791025</v>
      </c>
      <c r="J454" s="11">
        <f>(W454/$B454)+(W454/('Optimal Choice'!$B$19*AR454))</f>
        <v>4996.072439</v>
      </c>
      <c r="K454" s="11">
        <f>(X454/$B454)+(X454/('Optimal Choice'!$B$24*AS454))</f>
        <v>4836.350309</v>
      </c>
      <c r="N454" s="12">
        <f t="shared" ref="N454:R454" si="1356">if(min($G453:$K453)=G453,N453+1,N453)</f>
        <v>169</v>
      </c>
      <c r="O454" s="12">
        <f t="shared" si="1356"/>
        <v>75</v>
      </c>
      <c r="P454" s="12">
        <f t="shared" si="1356"/>
        <v>72</v>
      </c>
      <c r="Q454" s="12">
        <f t="shared" si="1356"/>
        <v>69</v>
      </c>
      <c r="R454" s="12">
        <f t="shared" si="1356"/>
        <v>68</v>
      </c>
      <c r="T454" s="13">
        <f> 'Optimal Choice'!$B$5*'Optimal Choice'!$B$6^(N454+1)</f>
        <v>395641.8262</v>
      </c>
      <c r="U454" s="13">
        <f> 'Optimal Choice'!$B$10*'Optimal Choice'!$B$11^(O454+1)</f>
        <v>2461427.89</v>
      </c>
      <c r="V454" s="13">
        <f> 'Optimal Choice'!$B$15*'Optimal Choice'!$B$16^(P454+1)</f>
        <v>10265654.51</v>
      </c>
      <c r="W454" s="13">
        <f> 'Optimal Choice'!$B$20*'Optimal Choice'!$B$21^(Q454+1)</f>
        <v>44875033.55</v>
      </c>
      <c r="X454" s="13">
        <f> 'Optimal Choice'!$B$25*'Optimal Choice'!$B$26^(R454+1)</f>
        <v>258070612.6</v>
      </c>
      <c r="AA454" s="12">
        <f t="shared" ref="AA454:AE454" si="1357">if(isna(VLOOKUP(N454,$D$2:$E$10,2,false)),AA453, VLOOKUP(N454,$D$2:$E$10,2,false))</f>
        <v>50</v>
      </c>
      <c r="AB454" s="12">
        <f t="shared" si="1357"/>
        <v>25</v>
      </c>
      <c r="AC454" s="12">
        <f t="shared" si="1357"/>
        <v>25</v>
      </c>
      <c r="AD454" s="12">
        <f t="shared" si="1357"/>
        <v>25</v>
      </c>
      <c r="AE454" s="12">
        <f t="shared" si="1357"/>
        <v>25</v>
      </c>
      <c r="AH454" s="15">
        <f>N454*'Optimal Choice'!$B$4*AA454</f>
        <v>14111.5</v>
      </c>
      <c r="AI454" s="15">
        <f>O454*'Optimal Choice'!$B$9*AB454</f>
        <v>37500</v>
      </c>
      <c r="AJ454" s="15">
        <f>P454*'Optimal Choice'!$B$14*AC454</f>
        <v>162000</v>
      </c>
      <c r="AK454" s="15">
        <f>Q454*'Optimal Choice'!$B$19*AD454</f>
        <v>621000</v>
      </c>
      <c r="AL454" s="15">
        <f>R454*'Optimal Choice'!$B$24*AE454</f>
        <v>3672000</v>
      </c>
      <c r="AO454" s="12">
        <f t="shared" ref="AO454:AS454" si="1358">if(isna(VLOOKUP(N454+1,$D$2:$E$10,2,false)),AO453, VLOOKUP(N454+1,$D$2:$E$10,2,false))</f>
        <v>50</v>
      </c>
      <c r="AP454" s="12">
        <f t="shared" si="1358"/>
        <v>25</v>
      </c>
      <c r="AQ454" s="12">
        <f t="shared" si="1358"/>
        <v>25</v>
      </c>
      <c r="AR454" s="12">
        <f t="shared" si="1358"/>
        <v>25</v>
      </c>
      <c r="AS454" s="12">
        <f t="shared" si="1358"/>
        <v>25</v>
      </c>
      <c r="AU454" s="11">
        <f t="shared" si="8"/>
        <v>0.00136749295</v>
      </c>
    </row>
    <row r="455" ht="15.75" customHeight="1">
      <c r="A455" s="16">
        <f t="shared" si="4"/>
        <v>25.00145878</v>
      </c>
      <c r="B455" s="7">
        <f>(sum(AH455:AL455))*'Optimal Choice'!$B$28</f>
        <v>4508861.5</v>
      </c>
      <c r="C455" s="11"/>
      <c r="D455" s="12"/>
      <c r="E455" s="12"/>
      <c r="F455" s="11"/>
      <c r="G455" s="11">
        <f>(T455/$B455)+(T455/('Optimal Choice'!$B$4*AO455))</f>
        <v>4738.313211</v>
      </c>
      <c r="H455" s="11">
        <f>(U455/$B455)+(U455/('Optimal Choice'!$B$9*AP455))</f>
        <v>4923.40169</v>
      </c>
      <c r="I455" s="11">
        <f>(V455/$B455)+(V455/('Optimal Choice'!$B$14*AQ455))</f>
        <v>5203.860473</v>
      </c>
      <c r="J455" s="11">
        <f>(W455/$B455)+(W455/('Optimal Choice'!$B$19*AR455))</f>
        <v>4996.06747</v>
      </c>
      <c r="K455" s="11">
        <f>(X455/$B455)+(X455/('Optimal Choice'!$B$24*AS455))</f>
        <v>4836.321733</v>
      </c>
      <c r="N455" s="12">
        <f t="shared" ref="N455:R455" si="1359">if(min($G454:$K454)=G454,N454+1,N454)</f>
        <v>169</v>
      </c>
      <c r="O455" s="12">
        <f t="shared" si="1359"/>
        <v>75</v>
      </c>
      <c r="P455" s="12">
        <f t="shared" si="1359"/>
        <v>73</v>
      </c>
      <c r="Q455" s="12">
        <f t="shared" si="1359"/>
        <v>69</v>
      </c>
      <c r="R455" s="12">
        <f t="shared" si="1359"/>
        <v>68</v>
      </c>
      <c r="T455" s="13">
        <f> 'Optimal Choice'!$B$5*'Optimal Choice'!$B$6^(N455+1)</f>
        <v>395641.8262</v>
      </c>
      <c r="U455" s="13">
        <f> 'Optimal Choice'!$B$10*'Optimal Choice'!$B$11^(O455+1)</f>
        <v>2461427.89</v>
      </c>
      <c r="V455" s="13">
        <f> 'Optimal Choice'!$B$15*'Optimal Choice'!$B$16^(P455+1)</f>
        <v>11702846.14</v>
      </c>
      <c r="W455" s="13">
        <f> 'Optimal Choice'!$B$20*'Optimal Choice'!$B$21^(Q455+1)</f>
        <v>44875033.55</v>
      </c>
      <c r="X455" s="13">
        <f> 'Optimal Choice'!$B$25*'Optimal Choice'!$B$26^(R455+1)</f>
        <v>258070612.6</v>
      </c>
      <c r="AA455" s="12">
        <f t="shared" ref="AA455:AE455" si="1360">if(isna(VLOOKUP(N455,$D$2:$E$10,2,false)),AA454, VLOOKUP(N455,$D$2:$E$10,2,false))</f>
        <v>50</v>
      </c>
      <c r="AB455" s="12">
        <f t="shared" si="1360"/>
        <v>25</v>
      </c>
      <c r="AC455" s="12">
        <f t="shared" si="1360"/>
        <v>25</v>
      </c>
      <c r="AD455" s="12">
        <f t="shared" si="1360"/>
        <v>25</v>
      </c>
      <c r="AE455" s="12">
        <f t="shared" si="1360"/>
        <v>25</v>
      </c>
      <c r="AH455" s="15">
        <f>N455*'Optimal Choice'!$B$4*AA455</f>
        <v>14111.5</v>
      </c>
      <c r="AI455" s="15">
        <f>O455*'Optimal Choice'!$B$9*AB455</f>
        <v>37500</v>
      </c>
      <c r="AJ455" s="15">
        <f>P455*'Optimal Choice'!$B$14*AC455</f>
        <v>164250</v>
      </c>
      <c r="AK455" s="15">
        <f>Q455*'Optimal Choice'!$B$19*AD455</f>
        <v>621000</v>
      </c>
      <c r="AL455" s="15">
        <f>R455*'Optimal Choice'!$B$24*AE455</f>
        <v>3672000</v>
      </c>
      <c r="AO455" s="12">
        <f t="shared" ref="AO455:AS455" si="1361">if(isna(VLOOKUP(N455+1,$D$2:$E$10,2,false)),AO454, VLOOKUP(N455+1,$D$2:$E$10,2,false))</f>
        <v>50</v>
      </c>
      <c r="AP455" s="12">
        <f t="shared" si="1361"/>
        <v>25</v>
      </c>
      <c r="AQ455" s="12">
        <f t="shared" si="1361"/>
        <v>25</v>
      </c>
      <c r="AR455" s="12">
        <f t="shared" si="1361"/>
        <v>25</v>
      </c>
      <c r="AS455" s="12">
        <f t="shared" si="1361"/>
        <v>25</v>
      </c>
      <c r="AU455" s="11">
        <f t="shared" si="8"/>
        <v>0.03796516337</v>
      </c>
    </row>
    <row r="456" ht="15.75" customHeight="1">
      <c r="A456" s="16">
        <f t="shared" si="4"/>
        <v>25.00292124</v>
      </c>
      <c r="B456" s="7">
        <f>(sum(AH456:AL456))*'Optimal Choice'!$B$28</f>
        <v>4508945</v>
      </c>
      <c r="C456" s="11"/>
      <c r="D456" s="12"/>
      <c r="E456" s="12"/>
      <c r="F456" s="11"/>
      <c r="G456" s="11">
        <f>(T456/$B456)+(T456/('Optimal Choice'!$B$4*AO456))</f>
        <v>5069.995134</v>
      </c>
      <c r="H456" s="11">
        <f>(U456/$B456)+(U456/('Optimal Choice'!$B$9*AP456))</f>
        <v>4923.401679</v>
      </c>
      <c r="I456" s="11">
        <f>(V456/$B456)+(V456/('Optimal Choice'!$B$14*AQ456))</f>
        <v>5203.860425</v>
      </c>
      <c r="J456" s="11">
        <f>(W456/$B456)+(W456/('Optimal Choice'!$B$19*AR456))</f>
        <v>4996.067286</v>
      </c>
      <c r="K456" s="11">
        <f>(X456/$B456)+(X456/('Optimal Choice'!$B$24*AS456))</f>
        <v>4836.320673</v>
      </c>
      <c r="N456" s="12">
        <f t="shared" ref="N456:R456" si="1362">if(min($G455:$K455)=G455,N455+1,N455)</f>
        <v>170</v>
      </c>
      <c r="O456" s="12">
        <f t="shared" si="1362"/>
        <v>75</v>
      </c>
      <c r="P456" s="12">
        <f t="shared" si="1362"/>
        <v>73</v>
      </c>
      <c r="Q456" s="12">
        <f t="shared" si="1362"/>
        <v>69</v>
      </c>
      <c r="R456" s="12">
        <f t="shared" si="1362"/>
        <v>68</v>
      </c>
      <c r="T456" s="13">
        <f> 'Optimal Choice'!$B$5*'Optimal Choice'!$B$6^(N456+1)</f>
        <v>423336.754</v>
      </c>
      <c r="U456" s="13">
        <f> 'Optimal Choice'!$B$10*'Optimal Choice'!$B$11^(O456+1)</f>
        <v>2461427.89</v>
      </c>
      <c r="V456" s="13">
        <f> 'Optimal Choice'!$B$15*'Optimal Choice'!$B$16^(P456+1)</f>
        <v>11702846.14</v>
      </c>
      <c r="W456" s="13">
        <f> 'Optimal Choice'!$B$20*'Optimal Choice'!$B$21^(Q456+1)</f>
        <v>44875033.55</v>
      </c>
      <c r="X456" s="13">
        <f> 'Optimal Choice'!$B$25*'Optimal Choice'!$B$26^(R456+1)</f>
        <v>258070612.6</v>
      </c>
      <c r="AA456" s="12">
        <f t="shared" ref="AA456:AE456" si="1363">if(isna(VLOOKUP(N456,$D$2:$E$10,2,false)),AA455, VLOOKUP(N456,$D$2:$E$10,2,false))</f>
        <v>50</v>
      </c>
      <c r="AB456" s="12">
        <f t="shared" si="1363"/>
        <v>25</v>
      </c>
      <c r="AC456" s="12">
        <f t="shared" si="1363"/>
        <v>25</v>
      </c>
      <c r="AD456" s="12">
        <f t="shared" si="1363"/>
        <v>25</v>
      </c>
      <c r="AE456" s="12">
        <f t="shared" si="1363"/>
        <v>25</v>
      </c>
      <c r="AH456" s="15">
        <f>N456*'Optimal Choice'!$B$4*AA456</f>
        <v>14195</v>
      </c>
      <c r="AI456" s="15">
        <f>O456*'Optimal Choice'!$B$9*AB456</f>
        <v>37500</v>
      </c>
      <c r="AJ456" s="15">
        <f>P456*'Optimal Choice'!$B$14*AC456</f>
        <v>164250</v>
      </c>
      <c r="AK456" s="15">
        <f>Q456*'Optimal Choice'!$B$19*AD456</f>
        <v>621000</v>
      </c>
      <c r="AL456" s="15">
        <f>R456*'Optimal Choice'!$B$24*AE456</f>
        <v>3672000</v>
      </c>
      <c r="AO456" s="12">
        <f t="shared" ref="AO456:AS456" si="1364">if(isna(VLOOKUP(N456+1,$D$2:$E$10,2,false)),AO455, VLOOKUP(N456+1,$D$2:$E$10,2,false))</f>
        <v>50</v>
      </c>
      <c r="AP456" s="12">
        <f t="shared" si="1364"/>
        <v>25</v>
      </c>
      <c r="AQ456" s="12">
        <f t="shared" si="1364"/>
        <v>25</v>
      </c>
      <c r="AR456" s="12">
        <f t="shared" si="1364"/>
        <v>25</v>
      </c>
      <c r="AS456" s="12">
        <f t="shared" si="1364"/>
        <v>25</v>
      </c>
      <c r="AU456" s="11">
        <f t="shared" si="8"/>
        <v>0.001462460188</v>
      </c>
    </row>
    <row r="457" ht="15.75" customHeight="1">
      <c r="A457" s="16">
        <f t="shared" si="4"/>
        <v>25.95684214</v>
      </c>
      <c r="B457" s="7">
        <f>(sum(AH457:AL457))*'Optimal Choice'!$B$28</f>
        <v>4562945</v>
      </c>
      <c r="C457" s="11"/>
      <c r="D457" s="12"/>
      <c r="E457" s="12"/>
      <c r="F457" s="11"/>
      <c r="G457" s="11">
        <f>(T457/$B457)+(T457/('Optimal Choice'!$B$4*AO457))</f>
        <v>5069.994023</v>
      </c>
      <c r="H457" s="11">
        <f>(U457/$B457)+(U457/('Optimal Choice'!$B$9*AP457))</f>
        <v>4923.395219</v>
      </c>
      <c r="I457" s="11">
        <f>(V457/$B457)+(V457/('Optimal Choice'!$B$14*AQ457))</f>
        <v>5203.829709</v>
      </c>
      <c r="J457" s="11">
        <f>(W457/$B457)+(W457/('Optimal Choice'!$B$19*AR457))</f>
        <v>4995.949504</v>
      </c>
      <c r="K457" s="11">
        <f>(X457/$B457)+(X457/('Optimal Choice'!$B$24*AS457))</f>
        <v>5415.920523</v>
      </c>
      <c r="N457" s="12">
        <f t="shared" ref="N457:R457" si="1365">if(min($G456:$K456)=G456,N456+1,N456)</f>
        <v>170</v>
      </c>
      <c r="O457" s="12">
        <f t="shared" si="1365"/>
        <v>75</v>
      </c>
      <c r="P457" s="12">
        <f t="shared" si="1365"/>
        <v>73</v>
      </c>
      <c r="Q457" s="12">
        <f t="shared" si="1365"/>
        <v>69</v>
      </c>
      <c r="R457" s="12">
        <f t="shared" si="1365"/>
        <v>69</v>
      </c>
      <c r="T457" s="13">
        <f> 'Optimal Choice'!$B$5*'Optimal Choice'!$B$6^(N457+1)</f>
        <v>423336.754</v>
      </c>
      <c r="U457" s="13">
        <f> 'Optimal Choice'!$B$10*'Optimal Choice'!$B$11^(O457+1)</f>
        <v>2461427.89</v>
      </c>
      <c r="V457" s="13">
        <f> 'Optimal Choice'!$B$15*'Optimal Choice'!$B$16^(P457+1)</f>
        <v>11702846.14</v>
      </c>
      <c r="W457" s="13">
        <f> 'Optimal Choice'!$B$20*'Optimal Choice'!$B$21^(Q457+1)</f>
        <v>44875033.55</v>
      </c>
      <c r="X457" s="13">
        <f> 'Optimal Choice'!$B$25*'Optimal Choice'!$B$26^(R457+1)</f>
        <v>289039086.1</v>
      </c>
      <c r="AA457" s="12">
        <f t="shared" ref="AA457:AE457" si="1366">if(isna(VLOOKUP(N457,$D$2:$E$10,2,false)),AA456, VLOOKUP(N457,$D$2:$E$10,2,false))</f>
        <v>50</v>
      </c>
      <c r="AB457" s="12">
        <f t="shared" si="1366"/>
        <v>25</v>
      </c>
      <c r="AC457" s="12">
        <f t="shared" si="1366"/>
        <v>25</v>
      </c>
      <c r="AD457" s="12">
        <f t="shared" si="1366"/>
        <v>25</v>
      </c>
      <c r="AE457" s="12">
        <f t="shared" si="1366"/>
        <v>25</v>
      </c>
      <c r="AH457" s="15">
        <f>N457*'Optimal Choice'!$B$4*AA457</f>
        <v>14195</v>
      </c>
      <c r="AI457" s="15">
        <f>O457*'Optimal Choice'!$B$9*AB457</f>
        <v>37500</v>
      </c>
      <c r="AJ457" s="15">
        <f>P457*'Optimal Choice'!$B$14*AC457</f>
        <v>164250</v>
      </c>
      <c r="AK457" s="15">
        <f>Q457*'Optimal Choice'!$B$19*AD457</f>
        <v>621000</v>
      </c>
      <c r="AL457" s="15">
        <f>R457*'Optimal Choice'!$B$24*AE457</f>
        <v>3726000</v>
      </c>
      <c r="AO457" s="12">
        <f t="shared" ref="AO457:AS457" si="1367">if(isna(VLOOKUP(N457+1,$D$2:$E$10,2,false)),AO456, VLOOKUP(N457+1,$D$2:$E$10,2,false))</f>
        <v>50</v>
      </c>
      <c r="AP457" s="12">
        <f t="shared" si="1367"/>
        <v>25</v>
      </c>
      <c r="AQ457" s="12">
        <f t="shared" si="1367"/>
        <v>25</v>
      </c>
      <c r="AR457" s="12">
        <f t="shared" si="1367"/>
        <v>25</v>
      </c>
      <c r="AS457" s="12">
        <f t="shared" si="1367"/>
        <v>25</v>
      </c>
      <c r="AU457" s="11">
        <f t="shared" si="8"/>
        <v>0.953920901</v>
      </c>
    </row>
    <row r="458" ht="15.75" customHeight="1">
      <c r="A458" s="16">
        <f t="shared" si="4"/>
        <v>25.96583278</v>
      </c>
      <c r="B458" s="7">
        <f>(sum(AH458:AL458))*'Optimal Choice'!$B$28</f>
        <v>4563445</v>
      </c>
      <c r="C458" s="11"/>
      <c r="D458" s="12"/>
      <c r="E458" s="12"/>
      <c r="F458" s="11"/>
      <c r="G458" s="11">
        <f>(T458/$B458)+(T458/('Optimal Choice'!$B$4*AO458))</f>
        <v>5069.994013</v>
      </c>
      <c r="H458" s="11">
        <f>(U458/$B458)+(U458/('Optimal Choice'!$B$9*AP458))</f>
        <v>5661.904434</v>
      </c>
      <c r="I458" s="11">
        <f>(V458/$B458)+(V458/('Optimal Choice'!$B$14*AQ458))</f>
        <v>5203.829428</v>
      </c>
      <c r="J458" s="11">
        <f>(W458/$B458)+(W458/('Optimal Choice'!$B$19*AR458))</f>
        <v>4995.948426</v>
      </c>
      <c r="K458" s="11">
        <f>(X458/$B458)+(X458/('Optimal Choice'!$B$24*AS458))</f>
        <v>5415.913583</v>
      </c>
      <c r="N458" s="12">
        <f t="shared" ref="N458:R458" si="1368">if(min($G457:$K457)=G457,N457+1,N457)</f>
        <v>170</v>
      </c>
      <c r="O458" s="12">
        <f t="shared" si="1368"/>
        <v>76</v>
      </c>
      <c r="P458" s="12">
        <f t="shared" si="1368"/>
        <v>73</v>
      </c>
      <c r="Q458" s="12">
        <f t="shared" si="1368"/>
        <v>69</v>
      </c>
      <c r="R458" s="12">
        <f t="shared" si="1368"/>
        <v>69</v>
      </c>
      <c r="T458" s="13">
        <f> 'Optimal Choice'!$B$5*'Optimal Choice'!$B$6^(N458+1)</f>
        <v>423336.754</v>
      </c>
      <c r="U458" s="13">
        <f> 'Optimal Choice'!$B$10*'Optimal Choice'!$B$11^(O458+1)</f>
        <v>2830642.074</v>
      </c>
      <c r="V458" s="13">
        <f> 'Optimal Choice'!$B$15*'Optimal Choice'!$B$16^(P458+1)</f>
        <v>11702846.14</v>
      </c>
      <c r="W458" s="13">
        <f> 'Optimal Choice'!$B$20*'Optimal Choice'!$B$21^(Q458+1)</f>
        <v>44875033.55</v>
      </c>
      <c r="X458" s="13">
        <f> 'Optimal Choice'!$B$25*'Optimal Choice'!$B$26^(R458+1)</f>
        <v>289039086.1</v>
      </c>
      <c r="AA458" s="12">
        <f t="shared" ref="AA458:AE458" si="1369">if(isna(VLOOKUP(N458,$D$2:$E$10,2,false)),AA457, VLOOKUP(N458,$D$2:$E$10,2,false))</f>
        <v>50</v>
      </c>
      <c r="AB458" s="12">
        <f t="shared" si="1369"/>
        <v>25</v>
      </c>
      <c r="AC458" s="12">
        <f t="shared" si="1369"/>
        <v>25</v>
      </c>
      <c r="AD458" s="12">
        <f t="shared" si="1369"/>
        <v>25</v>
      </c>
      <c r="AE458" s="12">
        <f t="shared" si="1369"/>
        <v>25</v>
      </c>
      <c r="AH458" s="15">
        <f>N458*'Optimal Choice'!$B$4*AA458</f>
        <v>14195</v>
      </c>
      <c r="AI458" s="15">
        <f>O458*'Optimal Choice'!$B$9*AB458</f>
        <v>38000</v>
      </c>
      <c r="AJ458" s="15">
        <f>P458*'Optimal Choice'!$B$14*AC458</f>
        <v>164250</v>
      </c>
      <c r="AK458" s="15">
        <f>Q458*'Optimal Choice'!$B$19*AD458</f>
        <v>621000</v>
      </c>
      <c r="AL458" s="15">
        <f>R458*'Optimal Choice'!$B$24*AE458</f>
        <v>3726000</v>
      </c>
      <c r="AO458" s="12">
        <f t="shared" ref="AO458:AS458" si="1370">if(isna(VLOOKUP(N458+1,$D$2:$E$10,2,false)),AO457, VLOOKUP(N458+1,$D$2:$E$10,2,false))</f>
        <v>50</v>
      </c>
      <c r="AP458" s="12">
        <f t="shared" si="1370"/>
        <v>25</v>
      </c>
      <c r="AQ458" s="12">
        <f t="shared" si="1370"/>
        <v>25</v>
      </c>
      <c r="AR458" s="12">
        <f t="shared" si="1370"/>
        <v>25</v>
      </c>
      <c r="AS458" s="12">
        <f t="shared" si="1370"/>
        <v>25</v>
      </c>
      <c r="AU458" s="11">
        <f t="shared" si="8"/>
        <v>0.008990640512</v>
      </c>
    </row>
    <row r="459" ht="15.75" customHeight="1">
      <c r="A459" s="16">
        <f t="shared" si="4"/>
        <v>26.1297259</v>
      </c>
      <c r="B459" s="7">
        <f>(sum(AH459:AL459))*'Optimal Choice'!$B$28</f>
        <v>4572445</v>
      </c>
      <c r="C459" s="11"/>
      <c r="D459" s="12"/>
      <c r="E459" s="12"/>
      <c r="F459" s="11"/>
      <c r="G459" s="11">
        <f>(T459/$B459)+(T459/('Optimal Choice'!$B$4*AO459))</f>
        <v>5069.99383</v>
      </c>
      <c r="H459" s="11">
        <f>(U459/$B459)+(U459/('Optimal Choice'!$B$9*AP459))</f>
        <v>5661.903213</v>
      </c>
      <c r="I459" s="11">
        <f>(V459/$B459)+(V459/('Optimal Choice'!$B$14*AQ459))</f>
        <v>5203.82438</v>
      </c>
      <c r="J459" s="11">
        <f>(W459/$B459)+(W459/('Optimal Choice'!$B$19*AR459))</f>
        <v>5645.39985</v>
      </c>
      <c r="K459" s="11">
        <f>(X459/$B459)+(X459/('Optimal Choice'!$B$24*AS459))</f>
        <v>5415.788914</v>
      </c>
      <c r="N459" s="12">
        <f t="shared" ref="N459:R459" si="1371">if(min($G458:$K458)=G458,N458+1,N458)</f>
        <v>170</v>
      </c>
      <c r="O459" s="12">
        <f t="shared" si="1371"/>
        <v>76</v>
      </c>
      <c r="P459" s="12">
        <f t="shared" si="1371"/>
        <v>73</v>
      </c>
      <c r="Q459" s="12">
        <f t="shared" si="1371"/>
        <v>70</v>
      </c>
      <c r="R459" s="12">
        <f t="shared" si="1371"/>
        <v>69</v>
      </c>
      <c r="T459" s="13">
        <f> 'Optimal Choice'!$B$5*'Optimal Choice'!$B$6^(N459+1)</f>
        <v>423336.754</v>
      </c>
      <c r="U459" s="13">
        <f> 'Optimal Choice'!$B$10*'Optimal Choice'!$B$11^(O459+1)</f>
        <v>2830642.074</v>
      </c>
      <c r="V459" s="13">
        <f> 'Optimal Choice'!$B$15*'Optimal Choice'!$B$16^(P459+1)</f>
        <v>11702846.14</v>
      </c>
      <c r="W459" s="13">
        <f> 'Optimal Choice'!$B$20*'Optimal Choice'!$B$21^(Q459+1)</f>
        <v>50708787.92</v>
      </c>
      <c r="X459" s="13">
        <f> 'Optimal Choice'!$B$25*'Optimal Choice'!$B$26^(R459+1)</f>
        <v>289039086.1</v>
      </c>
      <c r="AA459" s="12">
        <f t="shared" ref="AA459:AE459" si="1372">if(isna(VLOOKUP(N459,$D$2:$E$10,2,false)),AA458, VLOOKUP(N459,$D$2:$E$10,2,false))</f>
        <v>50</v>
      </c>
      <c r="AB459" s="12">
        <f t="shared" si="1372"/>
        <v>25</v>
      </c>
      <c r="AC459" s="12">
        <f t="shared" si="1372"/>
        <v>25</v>
      </c>
      <c r="AD459" s="12">
        <f t="shared" si="1372"/>
        <v>25</v>
      </c>
      <c r="AE459" s="12">
        <f t="shared" si="1372"/>
        <v>25</v>
      </c>
      <c r="AH459" s="15">
        <f>N459*'Optimal Choice'!$B$4*AA459</f>
        <v>14195</v>
      </c>
      <c r="AI459" s="15">
        <f>O459*'Optimal Choice'!$B$9*AB459</f>
        <v>38000</v>
      </c>
      <c r="AJ459" s="15">
        <f>P459*'Optimal Choice'!$B$14*AC459</f>
        <v>164250</v>
      </c>
      <c r="AK459" s="15">
        <f>Q459*'Optimal Choice'!$B$19*AD459</f>
        <v>630000</v>
      </c>
      <c r="AL459" s="15">
        <f>R459*'Optimal Choice'!$B$24*AE459</f>
        <v>3726000</v>
      </c>
      <c r="AO459" s="12">
        <f t="shared" ref="AO459:AS459" si="1373">if(isna(VLOOKUP(N459+1,$D$2:$E$10,2,false)),AO458, VLOOKUP(N459+1,$D$2:$E$10,2,false))</f>
        <v>50</v>
      </c>
      <c r="AP459" s="12">
        <f t="shared" si="1373"/>
        <v>25</v>
      </c>
      <c r="AQ459" s="12">
        <f t="shared" si="1373"/>
        <v>25</v>
      </c>
      <c r="AR459" s="12">
        <f t="shared" si="1373"/>
        <v>25</v>
      </c>
      <c r="AS459" s="12">
        <f t="shared" si="1373"/>
        <v>25</v>
      </c>
      <c r="AU459" s="11">
        <f t="shared" si="8"/>
        <v>0.1638931171</v>
      </c>
    </row>
    <row r="460" ht="15.75" customHeight="1">
      <c r="A460" s="16">
        <f t="shared" si="4"/>
        <v>26.13126897</v>
      </c>
      <c r="B460" s="7">
        <f>(sum(AH460:AL460))*'Optimal Choice'!$B$28</f>
        <v>4572528.5</v>
      </c>
      <c r="C460" s="11"/>
      <c r="D460" s="12"/>
      <c r="E460" s="12"/>
      <c r="F460" s="11"/>
      <c r="G460" s="11">
        <f>(T460/$B460)+(T460/('Optimal Choice'!$B$4*AO460))</f>
        <v>5424.893397</v>
      </c>
      <c r="H460" s="11">
        <f>(U460/$B460)+(U460/('Optimal Choice'!$B$9*AP460))</f>
        <v>5661.903202</v>
      </c>
      <c r="I460" s="11">
        <f>(V460/$B460)+(V460/('Optimal Choice'!$B$14*AQ460))</f>
        <v>5203.824333</v>
      </c>
      <c r="J460" s="11">
        <f>(W460/$B460)+(W460/('Optimal Choice'!$B$19*AR460))</f>
        <v>5645.399647</v>
      </c>
      <c r="K460" s="11">
        <f>(X460/$B460)+(X460/('Optimal Choice'!$B$24*AS460))</f>
        <v>5415.78776</v>
      </c>
      <c r="N460" s="12">
        <f t="shared" ref="N460:R460" si="1374">if(min($G459:$K459)=G459,N459+1,N459)</f>
        <v>171</v>
      </c>
      <c r="O460" s="12">
        <f t="shared" si="1374"/>
        <v>76</v>
      </c>
      <c r="P460" s="12">
        <f t="shared" si="1374"/>
        <v>73</v>
      </c>
      <c r="Q460" s="12">
        <f t="shared" si="1374"/>
        <v>70</v>
      </c>
      <c r="R460" s="12">
        <f t="shared" si="1374"/>
        <v>69</v>
      </c>
      <c r="T460" s="13">
        <f> 'Optimal Choice'!$B$5*'Optimal Choice'!$B$6^(N460+1)</f>
        <v>452970.3268</v>
      </c>
      <c r="U460" s="13">
        <f> 'Optimal Choice'!$B$10*'Optimal Choice'!$B$11^(O460+1)</f>
        <v>2830642.074</v>
      </c>
      <c r="V460" s="13">
        <f> 'Optimal Choice'!$B$15*'Optimal Choice'!$B$16^(P460+1)</f>
        <v>11702846.14</v>
      </c>
      <c r="W460" s="13">
        <f> 'Optimal Choice'!$B$20*'Optimal Choice'!$B$21^(Q460+1)</f>
        <v>50708787.92</v>
      </c>
      <c r="X460" s="13">
        <f> 'Optimal Choice'!$B$25*'Optimal Choice'!$B$26^(R460+1)</f>
        <v>289039086.1</v>
      </c>
      <c r="AA460" s="12">
        <f t="shared" ref="AA460:AE460" si="1375">if(isna(VLOOKUP(N460,$D$2:$E$10,2,false)),AA459, VLOOKUP(N460,$D$2:$E$10,2,false))</f>
        <v>50</v>
      </c>
      <c r="AB460" s="12">
        <f t="shared" si="1375"/>
        <v>25</v>
      </c>
      <c r="AC460" s="12">
        <f t="shared" si="1375"/>
        <v>25</v>
      </c>
      <c r="AD460" s="12">
        <f t="shared" si="1375"/>
        <v>25</v>
      </c>
      <c r="AE460" s="12">
        <f t="shared" si="1375"/>
        <v>25</v>
      </c>
      <c r="AH460" s="15">
        <f>N460*'Optimal Choice'!$B$4*AA460</f>
        <v>14278.5</v>
      </c>
      <c r="AI460" s="15">
        <f>O460*'Optimal Choice'!$B$9*AB460</f>
        <v>38000</v>
      </c>
      <c r="AJ460" s="15">
        <f>P460*'Optimal Choice'!$B$14*AC460</f>
        <v>164250</v>
      </c>
      <c r="AK460" s="15">
        <f>Q460*'Optimal Choice'!$B$19*AD460</f>
        <v>630000</v>
      </c>
      <c r="AL460" s="15">
        <f>R460*'Optimal Choice'!$B$24*AE460</f>
        <v>3726000</v>
      </c>
      <c r="AO460" s="12">
        <f t="shared" ref="AO460:AS460" si="1376">if(isna(VLOOKUP(N460+1,$D$2:$E$10,2,false)),AO459, VLOOKUP(N460+1,$D$2:$E$10,2,false))</f>
        <v>50</v>
      </c>
      <c r="AP460" s="12">
        <f t="shared" si="1376"/>
        <v>25</v>
      </c>
      <c r="AQ460" s="12">
        <f t="shared" si="1376"/>
        <v>25</v>
      </c>
      <c r="AR460" s="12">
        <f t="shared" si="1376"/>
        <v>25</v>
      </c>
      <c r="AS460" s="12">
        <f t="shared" si="1376"/>
        <v>25</v>
      </c>
      <c r="AU460" s="11">
        <f t="shared" si="8"/>
        <v>0.001543072157</v>
      </c>
    </row>
    <row r="461" ht="15.75" customHeight="1">
      <c r="A461" s="16">
        <f t="shared" si="4"/>
        <v>26.17392533</v>
      </c>
      <c r="B461" s="7">
        <f>(sum(AH461:AL461))*'Optimal Choice'!$B$28</f>
        <v>4574778.5</v>
      </c>
      <c r="C461" s="11"/>
      <c r="D461" s="12"/>
      <c r="E461" s="12"/>
      <c r="F461" s="11"/>
      <c r="G461" s="11">
        <f>(T461/$B461)+(T461/('Optimal Choice'!$B$4*AO461))</f>
        <v>5424.893348</v>
      </c>
      <c r="H461" s="11">
        <f>(U461/$B461)+(U461/('Optimal Choice'!$B$9*AP461))</f>
        <v>5661.902897</v>
      </c>
      <c r="I461" s="11">
        <f>(V461/$B461)+(V461/('Optimal Choice'!$B$14*AQ461))</f>
        <v>5932.358305</v>
      </c>
      <c r="J461" s="11">
        <f>(W461/$B461)+(W461/('Optimal Choice'!$B$19*AR461))</f>
        <v>5645.394193</v>
      </c>
      <c r="K461" s="11">
        <f>(X461/$B461)+(X461/('Optimal Choice'!$B$24*AS461))</f>
        <v>5415.75667</v>
      </c>
      <c r="N461" s="12">
        <f t="shared" ref="N461:R461" si="1377">if(min($G460:$K460)=G460,N460+1,N460)</f>
        <v>171</v>
      </c>
      <c r="O461" s="12">
        <f t="shared" si="1377"/>
        <v>76</v>
      </c>
      <c r="P461" s="12">
        <f t="shared" si="1377"/>
        <v>74</v>
      </c>
      <c r="Q461" s="12">
        <f t="shared" si="1377"/>
        <v>70</v>
      </c>
      <c r="R461" s="12">
        <f t="shared" si="1377"/>
        <v>69</v>
      </c>
      <c r="T461" s="13">
        <f> 'Optimal Choice'!$B$5*'Optimal Choice'!$B$6^(N461+1)</f>
        <v>452970.3268</v>
      </c>
      <c r="U461" s="13">
        <f> 'Optimal Choice'!$B$10*'Optimal Choice'!$B$11^(O461+1)</f>
        <v>2830642.074</v>
      </c>
      <c r="V461" s="13">
        <f> 'Optimal Choice'!$B$15*'Optimal Choice'!$B$16^(P461+1)</f>
        <v>13341244.6</v>
      </c>
      <c r="W461" s="13">
        <f> 'Optimal Choice'!$B$20*'Optimal Choice'!$B$21^(Q461+1)</f>
        <v>50708787.92</v>
      </c>
      <c r="X461" s="13">
        <f> 'Optimal Choice'!$B$25*'Optimal Choice'!$B$26^(R461+1)</f>
        <v>289039086.1</v>
      </c>
      <c r="AA461" s="12">
        <f t="shared" ref="AA461:AE461" si="1378">if(isna(VLOOKUP(N461,$D$2:$E$10,2,false)),AA460, VLOOKUP(N461,$D$2:$E$10,2,false))</f>
        <v>50</v>
      </c>
      <c r="AB461" s="12">
        <f t="shared" si="1378"/>
        <v>25</v>
      </c>
      <c r="AC461" s="12">
        <f t="shared" si="1378"/>
        <v>25</v>
      </c>
      <c r="AD461" s="12">
        <f t="shared" si="1378"/>
        <v>25</v>
      </c>
      <c r="AE461" s="12">
        <f t="shared" si="1378"/>
        <v>25</v>
      </c>
      <c r="AH461" s="15">
        <f>N461*'Optimal Choice'!$B$4*AA461</f>
        <v>14278.5</v>
      </c>
      <c r="AI461" s="15">
        <f>O461*'Optimal Choice'!$B$9*AB461</f>
        <v>38000</v>
      </c>
      <c r="AJ461" s="15">
        <f>P461*'Optimal Choice'!$B$14*AC461</f>
        <v>166500</v>
      </c>
      <c r="AK461" s="15">
        <f>Q461*'Optimal Choice'!$B$19*AD461</f>
        <v>630000</v>
      </c>
      <c r="AL461" s="15">
        <f>R461*'Optimal Choice'!$B$24*AE461</f>
        <v>3726000</v>
      </c>
      <c r="AO461" s="12">
        <f t="shared" ref="AO461:AS461" si="1379">if(isna(VLOOKUP(N461+1,$D$2:$E$10,2,false)),AO460, VLOOKUP(N461+1,$D$2:$E$10,2,false))</f>
        <v>50</v>
      </c>
      <c r="AP461" s="12">
        <f t="shared" si="1379"/>
        <v>25</v>
      </c>
      <c r="AQ461" s="12">
        <f t="shared" si="1379"/>
        <v>25</v>
      </c>
      <c r="AR461" s="12">
        <f t="shared" si="1379"/>
        <v>25</v>
      </c>
      <c r="AS461" s="12">
        <f t="shared" si="1379"/>
        <v>25</v>
      </c>
      <c r="AU461" s="11">
        <f t="shared" si="8"/>
        <v>0.04265636303</v>
      </c>
    </row>
    <row r="462" ht="15.75" customHeight="1">
      <c r="A462" s="16">
        <f t="shared" si="4"/>
        <v>27.22694202</v>
      </c>
      <c r="B462" s="7">
        <f>(sum(AH462:AL462))*'Optimal Choice'!$B$28</f>
        <v>4628778.5</v>
      </c>
      <c r="C462" s="11"/>
      <c r="D462" s="12"/>
      <c r="E462" s="12"/>
      <c r="F462" s="11"/>
      <c r="G462" s="11">
        <f>(T462/$B462)+(T462/('Optimal Choice'!$B$4*AO462))</f>
        <v>5424.892193</v>
      </c>
      <c r="H462" s="11">
        <f>(U462/$B462)+(U462/('Optimal Choice'!$B$9*AP462))</f>
        <v>5661.895679</v>
      </c>
      <c r="I462" s="11">
        <f>(V462/$B462)+(V462/('Optimal Choice'!$B$14*AQ462))</f>
        <v>5932.324283</v>
      </c>
      <c r="J462" s="11">
        <f>(W462/$B462)+(W462/('Optimal Choice'!$B$19*AR462))</f>
        <v>5645.264881</v>
      </c>
      <c r="K462" s="11">
        <f>(X462/$B462)+(X462/('Optimal Choice'!$B$24*AS462))</f>
        <v>6064.821943</v>
      </c>
      <c r="N462" s="12">
        <f t="shared" ref="N462:R462" si="1380">if(min($G461:$K461)=G461,N461+1,N461)</f>
        <v>171</v>
      </c>
      <c r="O462" s="12">
        <f t="shared" si="1380"/>
        <v>76</v>
      </c>
      <c r="P462" s="12">
        <f t="shared" si="1380"/>
        <v>74</v>
      </c>
      <c r="Q462" s="12">
        <f t="shared" si="1380"/>
        <v>70</v>
      </c>
      <c r="R462" s="12">
        <f t="shared" si="1380"/>
        <v>70</v>
      </c>
      <c r="T462" s="13">
        <f> 'Optimal Choice'!$B$5*'Optimal Choice'!$B$6^(N462+1)</f>
        <v>452970.3268</v>
      </c>
      <c r="U462" s="13">
        <f> 'Optimal Choice'!$B$10*'Optimal Choice'!$B$11^(O462+1)</f>
        <v>2830642.074</v>
      </c>
      <c r="V462" s="13">
        <f> 'Optimal Choice'!$B$15*'Optimal Choice'!$B$16^(P462+1)</f>
        <v>13341244.6</v>
      </c>
      <c r="W462" s="13">
        <f> 'Optimal Choice'!$B$20*'Optimal Choice'!$B$21^(Q462+1)</f>
        <v>50708787.92</v>
      </c>
      <c r="X462" s="13">
        <f> 'Optimal Choice'!$B$25*'Optimal Choice'!$B$26^(R462+1)</f>
        <v>323723776.5</v>
      </c>
      <c r="AA462" s="12">
        <f t="shared" ref="AA462:AE462" si="1381">if(isna(VLOOKUP(N462,$D$2:$E$10,2,false)),AA461, VLOOKUP(N462,$D$2:$E$10,2,false))</f>
        <v>50</v>
      </c>
      <c r="AB462" s="12">
        <f t="shared" si="1381"/>
        <v>25</v>
      </c>
      <c r="AC462" s="12">
        <f t="shared" si="1381"/>
        <v>25</v>
      </c>
      <c r="AD462" s="12">
        <f t="shared" si="1381"/>
        <v>25</v>
      </c>
      <c r="AE462" s="12">
        <f t="shared" si="1381"/>
        <v>25</v>
      </c>
      <c r="AH462" s="15">
        <f>N462*'Optimal Choice'!$B$4*AA462</f>
        <v>14278.5</v>
      </c>
      <c r="AI462" s="15">
        <f>O462*'Optimal Choice'!$B$9*AB462</f>
        <v>38000</v>
      </c>
      <c r="AJ462" s="15">
        <f>P462*'Optimal Choice'!$B$14*AC462</f>
        <v>166500</v>
      </c>
      <c r="AK462" s="15">
        <f>Q462*'Optimal Choice'!$B$19*AD462</f>
        <v>630000</v>
      </c>
      <c r="AL462" s="15">
        <f>R462*'Optimal Choice'!$B$24*AE462</f>
        <v>3780000</v>
      </c>
      <c r="AO462" s="12">
        <f t="shared" ref="AO462:AS462" si="1382">if(isna(VLOOKUP(N462+1,$D$2:$E$10,2,false)),AO461, VLOOKUP(N462+1,$D$2:$E$10,2,false))</f>
        <v>50</v>
      </c>
      <c r="AP462" s="12">
        <f t="shared" si="1382"/>
        <v>25</v>
      </c>
      <c r="AQ462" s="12">
        <f t="shared" si="1382"/>
        <v>25</v>
      </c>
      <c r="AR462" s="12">
        <f t="shared" si="1382"/>
        <v>25</v>
      </c>
      <c r="AS462" s="12">
        <f t="shared" si="1382"/>
        <v>25</v>
      </c>
      <c r="AU462" s="11">
        <f t="shared" si="8"/>
        <v>1.053016688</v>
      </c>
    </row>
    <row r="463" ht="15.75" customHeight="1">
      <c r="A463" s="16">
        <f t="shared" si="4"/>
        <v>27.22857301</v>
      </c>
      <c r="B463" s="7">
        <f>(sum(AH463:AL463))*'Optimal Choice'!$B$28</f>
        <v>4628862</v>
      </c>
      <c r="C463" s="11"/>
      <c r="D463" s="12"/>
      <c r="E463" s="12"/>
      <c r="F463" s="11"/>
      <c r="G463" s="11">
        <f>(T463/$B463)+(T463/('Optimal Choice'!$B$4*AO463))</f>
        <v>5804.634644</v>
      </c>
      <c r="H463" s="11">
        <f>(U463/$B463)+(U463/('Optimal Choice'!$B$9*AP463))</f>
        <v>5661.895668</v>
      </c>
      <c r="I463" s="11">
        <f>(V463/$B463)+(V463/('Optimal Choice'!$B$14*AQ463))</f>
        <v>5932.324231</v>
      </c>
      <c r="J463" s="11">
        <f>(W463/$B463)+(W463/('Optimal Choice'!$B$19*AR463))</f>
        <v>5645.264683</v>
      </c>
      <c r="K463" s="11">
        <f>(X463/$B463)+(X463/('Optimal Choice'!$B$24*AS463))</f>
        <v>6064.820681</v>
      </c>
      <c r="N463" s="12">
        <f t="shared" ref="N463:R463" si="1383">if(min($G462:$K462)=G462,N462+1,N462)</f>
        <v>172</v>
      </c>
      <c r="O463" s="12">
        <f t="shared" si="1383"/>
        <v>76</v>
      </c>
      <c r="P463" s="12">
        <f t="shared" si="1383"/>
        <v>74</v>
      </c>
      <c r="Q463" s="12">
        <f t="shared" si="1383"/>
        <v>70</v>
      </c>
      <c r="R463" s="12">
        <f t="shared" si="1383"/>
        <v>70</v>
      </c>
      <c r="T463" s="13">
        <f> 'Optimal Choice'!$B$5*'Optimal Choice'!$B$6^(N463+1)</f>
        <v>484678.2497</v>
      </c>
      <c r="U463" s="13">
        <f> 'Optimal Choice'!$B$10*'Optimal Choice'!$B$11^(O463+1)</f>
        <v>2830642.074</v>
      </c>
      <c r="V463" s="13">
        <f> 'Optimal Choice'!$B$15*'Optimal Choice'!$B$16^(P463+1)</f>
        <v>13341244.6</v>
      </c>
      <c r="W463" s="13">
        <f> 'Optimal Choice'!$B$20*'Optimal Choice'!$B$21^(Q463+1)</f>
        <v>50708787.92</v>
      </c>
      <c r="X463" s="13">
        <f> 'Optimal Choice'!$B$25*'Optimal Choice'!$B$26^(R463+1)</f>
        <v>323723776.5</v>
      </c>
      <c r="AA463" s="12">
        <f t="shared" ref="AA463:AE463" si="1384">if(isna(VLOOKUP(N463,$D$2:$E$10,2,false)),AA462, VLOOKUP(N463,$D$2:$E$10,2,false))</f>
        <v>50</v>
      </c>
      <c r="AB463" s="12">
        <f t="shared" si="1384"/>
        <v>25</v>
      </c>
      <c r="AC463" s="12">
        <f t="shared" si="1384"/>
        <v>25</v>
      </c>
      <c r="AD463" s="12">
        <f t="shared" si="1384"/>
        <v>25</v>
      </c>
      <c r="AE463" s="12">
        <f t="shared" si="1384"/>
        <v>25</v>
      </c>
      <c r="AH463" s="15">
        <f>N463*'Optimal Choice'!$B$4*AA463</f>
        <v>14362</v>
      </c>
      <c r="AI463" s="15">
        <f>O463*'Optimal Choice'!$B$9*AB463</f>
        <v>38000</v>
      </c>
      <c r="AJ463" s="15">
        <f>P463*'Optimal Choice'!$B$14*AC463</f>
        <v>166500</v>
      </c>
      <c r="AK463" s="15">
        <f>Q463*'Optimal Choice'!$B$19*AD463</f>
        <v>630000</v>
      </c>
      <c r="AL463" s="15">
        <f>R463*'Optimal Choice'!$B$24*AE463</f>
        <v>3780000</v>
      </c>
      <c r="AO463" s="12">
        <f t="shared" ref="AO463:AS463" si="1385">if(isna(VLOOKUP(N463+1,$D$2:$E$10,2,false)),AO462, VLOOKUP(N463+1,$D$2:$E$10,2,false))</f>
        <v>50</v>
      </c>
      <c r="AP463" s="12">
        <f t="shared" si="1385"/>
        <v>25</v>
      </c>
      <c r="AQ463" s="12">
        <f t="shared" si="1385"/>
        <v>25</v>
      </c>
      <c r="AR463" s="12">
        <f t="shared" si="1385"/>
        <v>25</v>
      </c>
      <c r="AS463" s="12">
        <f t="shared" si="1385"/>
        <v>25</v>
      </c>
      <c r="AU463" s="11">
        <f t="shared" si="8"/>
        <v>0.001630993025</v>
      </c>
    </row>
    <row r="464" ht="15.75" customHeight="1">
      <c r="A464" s="16">
        <f t="shared" si="4"/>
        <v>27.41115492</v>
      </c>
      <c r="B464" s="7">
        <f>(sum(AH464:AL464))*'Optimal Choice'!$B$28</f>
        <v>4637862</v>
      </c>
      <c r="C464" s="11"/>
      <c r="D464" s="12"/>
      <c r="E464" s="12"/>
      <c r="F464" s="11"/>
      <c r="G464" s="11">
        <f>(T464/$B464)+(T464/('Optimal Choice'!$B$4*AO464))</f>
        <v>5804.634441</v>
      </c>
      <c r="H464" s="11">
        <f>(U464/$B464)+(U464/('Optimal Choice'!$B$9*AP464))</f>
        <v>5661.894481</v>
      </c>
      <c r="I464" s="11">
        <f>(V464/$B464)+(V464/('Optimal Choice'!$B$14*AQ464))</f>
        <v>5932.318638</v>
      </c>
      <c r="J464" s="11">
        <f>(W464/$B464)+(W464/('Optimal Choice'!$B$19*AR464))</f>
        <v>6379.12507</v>
      </c>
      <c r="K464" s="11">
        <f>(X464/$B464)+(X464/('Optimal Choice'!$B$24*AS464))</f>
        <v>6064.684967</v>
      </c>
      <c r="N464" s="12">
        <f t="shared" ref="N464:R464" si="1386">if(min($G463:$K463)=G463,N463+1,N463)</f>
        <v>172</v>
      </c>
      <c r="O464" s="12">
        <f t="shared" si="1386"/>
        <v>76</v>
      </c>
      <c r="P464" s="12">
        <f t="shared" si="1386"/>
        <v>74</v>
      </c>
      <c r="Q464" s="12">
        <f t="shared" si="1386"/>
        <v>71</v>
      </c>
      <c r="R464" s="12">
        <f t="shared" si="1386"/>
        <v>70</v>
      </c>
      <c r="T464" s="13">
        <f> 'Optimal Choice'!$B$5*'Optimal Choice'!$B$6^(N464+1)</f>
        <v>484678.2497</v>
      </c>
      <c r="U464" s="13">
        <f> 'Optimal Choice'!$B$10*'Optimal Choice'!$B$11^(O464+1)</f>
        <v>2830642.074</v>
      </c>
      <c r="V464" s="13">
        <f> 'Optimal Choice'!$B$15*'Optimal Choice'!$B$16^(P464+1)</f>
        <v>13341244.6</v>
      </c>
      <c r="W464" s="13">
        <f> 'Optimal Choice'!$B$20*'Optimal Choice'!$B$21^(Q464+1)</f>
        <v>57300930.35</v>
      </c>
      <c r="X464" s="13">
        <f> 'Optimal Choice'!$B$25*'Optimal Choice'!$B$26^(R464+1)</f>
        <v>323723776.5</v>
      </c>
      <c r="AA464" s="12">
        <f t="shared" ref="AA464:AE464" si="1387">if(isna(VLOOKUP(N464,$D$2:$E$10,2,false)),AA463, VLOOKUP(N464,$D$2:$E$10,2,false))</f>
        <v>50</v>
      </c>
      <c r="AB464" s="12">
        <f t="shared" si="1387"/>
        <v>25</v>
      </c>
      <c r="AC464" s="12">
        <f t="shared" si="1387"/>
        <v>25</v>
      </c>
      <c r="AD464" s="12">
        <f t="shared" si="1387"/>
        <v>25</v>
      </c>
      <c r="AE464" s="12">
        <f t="shared" si="1387"/>
        <v>25</v>
      </c>
      <c r="AH464" s="15">
        <f>N464*'Optimal Choice'!$B$4*AA464</f>
        <v>14362</v>
      </c>
      <c r="AI464" s="15">
        <f>O464*'Optimal Choice'!$B$9*AB464</f>
        <v>38000</v>
      </c>
      <c r="AJ464" s="15">
        <f>P464*'Optimal Choice'!$B$14*AC464</f>
        <v>166500</v>
      </c>
      <c r="AK464" s="15">
        <f>Q464*'Optimal Choice'!$B$19*AD464</f>
        <v>639000</v>
      </c>
      <c r="AL464" s="15">
        <f>R464*'Optimal Choice'!$B$24*AE464</f>
        <v>3780000</v>
      </c>
      <c r="AO464" s="12">
        <f t="shared" ref="AO464:AS464" si="1388">if(isna(VLOOKUP(N464+1,$D$2:$E$10,2,false)),AO463, VLOOKUP(N464+1,$D$2:$E$10,2,false))</f>
        <v>50</v>
      </c>
      <c r="AP464" s="12">
        <f t="shared" si="1388"/>
        <v>25</v>
      </c>
      <c r="AQ464" s="12">
        <f t="shared" si="1388"/>
        <v>25</v>
      </c>
      <c r="AR464" s="12">
        <f t="shared" si="1388"/>
        <v>25</v>
      </c>
      <c r="AS464" s="12">
        <f t="shared" si="1388"/>
        <v>25</v>
      </c>
      <c r="AU464" s="11">
        <f t="shared" si="8"/>
        <v>0.18258191</v>
      </c>
    </row>
    <row r="465" ht="15.75" customHeight="1">
      <c r="A465" s="16">
        <f t="shared" si="4"/>
        <v>27.42132715</v>
      </c>
      <c r="B465" s="7">
        <f>(sum(AH465:AL465))*'Optimal Choice'!$B$28</f>
        <v>4638362</v>
      </c>
      <c r="C465" s="11"/>
      <c r="D465" s="12"/>
      <c r="E465" s="12"/>
      <c r="F465" s="11"/>
      <c r="G465" s="11">
        <f>(T465/$B465)+(T465/('Optimal Choice'!$B$4*AO465))</f>
        <v>5804.63443</v>
      </c>
      <c r="H465" s="11">
        <f>(U465/$B465)+(U465/('Optimal Choice'!$B$9*AP465))</f>
        <v>6511.178578</v>
      </c>
      <c r="I465" s="11">
        <f>(V465/$B465)+(V465/('Optimal Choice'!$B$14*AQ465))</f>
        <v>5932.318328</v>
      </c>
      <c r="J465" s="11">
        <f>(W465/$B465)+(W465/('Optimal Choice'!$B$19*AR465))</f>
        <v>6379.123738</v>
      </c>
      <c r="K465" s="11">
        <f>(X465/$B465)+(X465/('Optimal Choice'!$B$24*AS465))</f>
        <v>6064.677443</v>
      </c>
      <c r="N465" s="12">
        <f t="shared" ref="N465:R465" si="1389">if(min($G464:$K464)=G464,N464+1,N464)</f>
        <v>172</v>
      </c>
      <c r="O465" s="12">
        <f t="shared" si="1389"/>
        <v>77</v>
      </c>
      <c r="P465" s="12">
        <f t="shared" si="1389"/>
        <v>74</v>
      </c>
      <c r="Q465" s="12">
        <f t="shared" si="1389"/>
        <v>71</v>
      </c>
      <c r="R465" s="12">
        <f t="shared" si="1389"/>
        <v>70</v>
      </c>
      <c r="T465" s="13">
        <f> 'Optimal Choice'!$B$5*'Optimal Choice'!$B$6^(N465+1)</f>
        <v>484678.2497</v>
      </c>
      <c r="U465" s="13">
        <f> 'Optimal Choice'!$B$10*'Optimal Choice'!$B$11^(O465+1)</f>
        <v>3255238.385</v>
      </c>
      <c r="V465" s="13">
        <f> 'Optimal Choice'!$B$15*'Optimal Choice'!$B$16^(P465+1)</f>
        <v>13341244.6</v>
      </c>
      <c r="W465" s="13">
        <f> 'Optimal Choice'!$B$20*'Optimal Choice'!$B$21^(Q465+1)</f>
        <v>57300930.35</v>
      </c>
      <c r="X465" s="13">
        <f> 'Optimal Choice'!$B$25*'Optimal Choice'!$B$26^(R465+1)</f>
        <v>323723776.5</v>
      </c>
      <c r="AA465" s="12">
        <f t="shared" ref="AA465:AE465" si="1390">if(isna(VLOOKUP(N465,$D$2:$E$10,2,false)),AA464, VLOOKUP(N465,$D$2:$E$10,2,false))</f>
        <v>50</v>
      </c>
      <c r="AB465" s="12">
        <f t="shared" si="1390"/>
        <v>25</v>
      </c>
      <c r="AC465" s="12">
        <f t="shared" si="1390"/>
        <v>25</v>
      </c>
      <c r="AD465" s="12">
        <f t="shared" si="1390"/>
        <v>25</v>
      </c>
      <c r="AE465" s="12">
        <f t="shared" si="1390"/>
        <v>25</v>
      </c>
      <c r="AH465" s="15">
        <f>N465*'Optimal Choice'!$B$4*AA465</f>
        <v>14362</v>
      </c>
      <c r="AI465" s="15">
        <f>O465*'Optimal Choice'!$B$9*AB465</f>
        <v>38500</v>
      </c>
      <c r="AJ465" s="15">
        <f>P465*'Optimal Choice'!$B$14*AC465</f>
        <v>166500</v>
      </c>
      <c r="AK465" s="15">
        <f>Q465*'Optimal Choice'!$B$19*AD465</f>
        <v>639000</v>
      </c>
      <c r="AL465" s="15">
        <f>R465*'Optimal Choice'!$B$24*AE465</f>
        <v>3780000</v>
      </c>
      <c r="AO465" s="12">
        <f t="shared" ref="AO465:AS465" si="1391">if(isna(VLOOKUP(N465+1,$D$2:$E$10,2,false)),AO464, VLOOKUP(N465+1,$D$2:$E$10,2,false))</f>
        <v>50</v>
      </c>
      <c r="AP465" s="12">
        <f t="shared" si="1391"/>
        <v>25</v>
      </c>
      <c r="AQ465" s="12">
        <f t="shared" si="1391"/>
        <v>25</v>
      </c>
      <c r="AR465" s="12">
        <f t="shared" si="1391"/>
        <v>25</v>
      </c>
      <c r="AS465" s="12">
        <f t="shared" si="1391"/>
        <v>25</v>
      </c>
      <c r="AU465" s="11">
        <f t="shared" si="8"/>
        <v>0.0101722233</v>
      </c>
    </row>
    <row r="466" ht="15.75" customHeight="1">
      <c r="A466" s="16">
        <f t="shared" si="4"/>
        <v>27.4230687</v>
      </c>
      <c r="B466" s="7">
        <f>(sum(AH466:AL466))*'Optimal Choice'!$B$28</f>
        <v>4638445.5</v>
      </c>
      <c r="C466" s="11"/>
      <c r="D466" s="12"/>
      <c r="E466" s="12"/>
      <c r="F466" s="11"/>
      <c r="G466" s="11">
        <f>(T466/$B466)+(T466/('Optimal Choice'!$B$4*AO466))</f>
        <v>6210.958838</v>
      </c>
      <c r="H466" s="11">
        <f>(U466/$B466)+(U466/('Optimal Choice'!$B$9*AP466))</f>
        <v>6511.178565</v>
      </c>
      <c r="I466" s="11">
        <f>(V466/$B466)+(V466/('Optimal Choice'!$B$14*AQ466))</f>
        <v>5932.318277</v>
      </c>
      <c r="J466" s="11">
        <f>(W466/$B466)+(W466/('Optimal Choice'!$B$19*AR466))</f>
        <v>6379.123515</v>
      </c>
      <c r="K466" s="11">
        <f>(X466/$B466)+(X466/('Optimal Choice'!$B$24*AS466))</f>
        <v>6064.676186</v>
      </c>
      <c r="N466" s="12">
        <f t="shared" ref="N466:R466" si="1392">if(min($G465:$K465)=G465,N465+1,N465)</f>
        <v>173</v>
      </c>
      <c r="O466" s="12">
        <f t="shared" si="1392"/>
        <v>77</v>
      </c>
      <c r="P466" s="12">
        <f t="shared" si="1392"/>
        <v>74</v>
      </c>
      <c r="Q466" s="12">
        <f t="shared" si="1392"/>
        <v>71</v>
      </c>
      <c r="R466" s="12">
        <f t="shared" si="1392"/>
        <v>70</v>
      </c>
      <c r="T466" s="13">
        <f> 'Optimal Choice'!$B$5*'Optimal Choice'!$B$6^(N466+1)</f>
        <v>518605.7272</v>
      </c>
      <c r="U466" s="13">
        <f> 'Optimal Choice'!$B$10*'Optimal Choice'!$B$11^(O466+1)</f>
        <v>3255238.385</v>
      </c>
      <c r="V466" s="13">
        <f> 'Optimal Choice'!$B$15*'Optimal Choice'!$B$16^(P466+1)</f>
        <v>13341244.6</v>
      </c>
      <c r="W466" s="13">
        <f> 'Optimal Choice'!$B$20*'Optimal Choice'!$B$21^(Q466+1)</f>
        <v>57300930.35</v>
      </c>
      <c r="X466" s="13">
        <f> 'Optimal Choice'!$B$25*'Optimal Choice'!$B$26^(R466+1)</f>
        <v>323723776.5</v>
      </c>
      <c r="AA466" s="12">
        <f t="shared" ref="AA466:AE466" si="1393">if(isna(VLOOKUP(N466,$D$2:$E$10,2,false)),AA465, VLOOKUP(N466,$D$2:$E$10,2,false))</f>
        <v>50</v>
      </c>
      <c r="AB466" s="12">
        <f t="shared" si="1393"/>
        <v>25</v>
      </c>
      <c r="AC466" s="12">
        <f t="shared" si="1393"/>
        <v>25</v>
      </c>
      <c r="AD466" s="12">
        <f t="shared" si="1393"/>
        <v>25</v>
      </c>
      <c r="AE466" s="12">
        <f t="shared" si="1393"/>
        <v>25</v>
      </c>
      <c r="AH466" s="15">
        <f>N466*'Optimal Choice'!$B$4*AA466</f>
        <v>14445.5</v>
      </c>
      <c r="AI466" s="15">
        <f>O466*'Optimal Choice'!$B$9*AB466</f>
        <v>38500</v>
      </c>
      <c r="AJ466" s="15">
        <f>P466*'Optimal Choice'!$B$14*AC466</f>
        <v>166500</v>
      </c>
      <c r="AK466" s="15">
        <f>Q466*'Optimal Choice'!$B$19*AD466</f>
        <v>639000</v>
      </c>
      <c r="AL466" s="15">
        <f>R466*'Optimal Choice'!$B$24*AE466</f>
        <v>3780000</v>
      </c>
      <c r="AO466" s="12">
        <f t="shared" ref="AO466:AS466" si="1394">if(isna(VLOOKUP(N466+1,$D$2:$E$10,2,false)),AO465, VLOOKUP(N466+1,$D$2:$E$10,2,false))</f>
        <v>50</v>
      </c>
      <c r="AP466" s="12">
        <f t="shared" si="1394"/>
        <v>25</v>
      </c>
      <c r="AQ466" s="12">
        <f t="shared" si="1394"/>
        <v>25</v>
      </c>
      <c r="AR466" s="12">
        <f t="shared" si="1394"/>
        <v>25</v>
      </c>
      <c r="AS466" s="12">
        <f t="shared" si="1394"/>
        <v>25</v>
      </c>
      <c r="AU466" s="11">
        <f t="shared" si="8"/>
        <v>0.001741556788</v>
      </c>
    </row>
    <row r="467" ht="15.75" customHeight="1">
      <c r="A467" s="16">
        <f t="shared" si="4"/>
        <v>27.4710059</v>
      </c>
      <c r="B467" s="7">
        <f>(sum(AH467:AL467))*'Optimal Choice'!$B$28</f>
        <v>4640695.5</v>
      </c>
      <c r="C467" s="11"/>
      <c r="D467" s="12"/>
      <c r="E467" s="12"/>
      <c r="F467" s="11"/>
      <c r="G467" s="11">
        <f>(T467/$B467)+(T467/('Optimal Choice'!$B$4*AO467))</f>
        <v>6210.958784</v>
      </c>
      <c r="H467" s="11">
        <f>(U467/$B467)+(U467/('Optimal Choice'!$B$9*AP467))</f>
        <v>6511.178225</v>
      </c>
      <c r="I467" s="11">
        <f>(V467/$B467)+(V467/('Optimal Choice'!$B$14*AQ467))</f>
        <v>6762.841245</v>
      </c>
      <c r="J467" s="11">
        <f>(W467/$B467)+(W467/('Optimal Choice'!$B$19*AR467))</f>
        <v>6379.117526</v>
      </c>
      <c r="K467" s="11">
        <f>(X467/$B467)+(X467/('Optimal Choice'!$B$24*AS467))</f>
        <v>6064.642349</v>
      </c>
      <c r="N467" s="12">
        <f t="shared" ref="N467:R467" si="1395">if(min($G466:$K466)=G466,N466+1,N466)</f>
        <v>173</v>
      </c>
      <c r="O467" s="12">
        <f t="shared" si="1395"/>
        <v>77</v>
      </c>
      <c r="P467" s="12">
        <f t="shared" si="1395"/>
        <v>75</v>
      </c>
      <c r="Q467" s="12">
        <f t="shared" si="1395"/>
        <v>71</v>
      </c>
      <c r="R467" s="12">
        <f t="shared" si="1395"/>
        <v>70</v>
      </c>
      <c r="T467" s="13">
        <f> 'Optimal Choice'!$B$5*'Optimal Choice'!$B$6^(N467+1)</f>
        <v>518605.7272</v>
      </c>
      <c r="U467" s="13">
        <f> 'Optimal Choice'!$B$10*'Optimal Choice'!$B$11^(O467+1)</f>
        <v>3255238.385</v>
      </c>
      <c r="V467" s="13">
        <f> 'Optimal Choice'!$B$15*'Optimal Choice'!$B$16^(P467+1)</f>
        <v>15209018.84</v>
      </c>
      <c r="W467" s="13">
        <f> 'Optimal Choice'!$B$20*'Optimal Choice'!$B$21^(Q467+1)</f>
        <v>57300930.35</v>
      </c>
      <c r="X467" s="13">
        <f> 'Optimal Choice'!$B$25*'Optimal Choice'!$B$26^(R467+1)</f>
        <v>323723776.5</v>
      </c>
      <c r="AA467" s="12">
        <f t="shared" ref="AA467:AE467" si="1396">if(isna(VLOOKUP(N467,$D$2:$E$10,2,false)),AA466, VLOOKUP(N467,$D$2:$E$10,2,false))</f>
        <v>50</v>
      </c>
      <c r="AB467" s="12">
        <f t="shared" si="1396"/>
        <v>25</v>
      </c>
      <c r="AC467" s="12">
        <f t="shared" si="1396"/>
        <v>25</v>
      </c>
      <c r="AD467" s="12">
        <f t="shared" si="1396"/>
        <v>25</v>
      </c>
      <c r="AE467" s="12">
        <f t="shared" si="1396"/>
        <v>25</v>
      </c>
      <c r="AH467" s="15">
        <f>N467*'Optimal Choice'!$B$4*AA467</f>
        <v>14445.5</v>
      </c>
      <c r="AI467" s="15">
        <f>O467*'Optimal Choice'!$B$9*AB467</f>
        <v>38500</v>
      </c>
      <c r="AJ467" s="15">
        <f>P467*'Optimal Choice'!$B$14*AC467</f>
        <v>168750</v>
      </c>
      <c r="AK467" s="15">
        <f>Q467*'Optimal Choice'!$B$19*AD467</f>
        <v>639000</v>
      </c>
      <c r="AL467" s="15">
        <f>R467*'Optimal Choice'!$B$24*AE467</f>
        <v>3780000</v>
      </c>
      <c r="AO467" s="12">
        <f t="shared" ref="AO467:AS467" si="1397">if(isna(VLOOKUP(N467+1,$D$2:$E$10,2,false)),AO466, VLOOKUP(N467+1,$D$2:$E$10,2,false))</f>
        <v>50</v>
      </c>
      <c r="AP467" s="12">
        <f t="shared" si="1397"/>
        <v>25</v>
      </c>
      <c r="AQ467" s="12">
        <f t="shared" si="1397"/>
        <v>25</v>
      </c>
      <c r="AR467" s="12">
        <f t="shared" si="1397"/>
        <v>25</v>
      </c>
      <c r="AS467" s="12">
        <f t="shared" si="1397"/>
        <v>25</v>
      </c>
      <c r="AU467" s="11">
        <f t="shared" si="8"/>
        <v>0.04793719721</v>
      </c>
    </row>
    <row r="468" ht="15.75" customHeight="1">
      <c r="A468" s="16">
        <f t="shared" si="4"/>
        <v>28.63363255</v>
      </c>
      <c r="B468" s="7">
        <f>(sum(AH468:AL468))*'Optimal Choice'!$B$28</f>
        <v>4694695.5</v>
      </c>
      <c r="C468" s="11"/>
      <c r="D468" s="12"/>
      <c r="E468" s="12"/>
      <c r="F468" s="11"/>
      <c r="G468" s="11">
        <f>(T468/$B468)+(T468/('Optimal Choice'!$B$4*AO468))</f>
        <v>6210.957498</v>
      </c>
      <c r="H468" s="11">
        <f>(U468/$B468)+(U468/('Optimal Choice'!$B$9*AP468))</f>
        <v>6511.170156</v>
      </c>
      <c r="I468" s="11">
        <f>(V468/$B468)+(V468/('Optimal Choice'!$B$14*AQ468))</f>
        <v>6762.803549</v>
      </c>
      <c r="J468" s="11">
        <f>(W468/$B468)+(W468/('Optimal Choice'!$B$19*AR468))</f>
        <v>6378.975501</v>
      </c>
      <c r="K468" s="11">
        <f>(X468/$B468)+(X468/('Optimal Choice'!$B$24*AS468))</f>
        <v>6791.50077</v>
      </c>
      <c r="N468" s="12">
        <f t="shared" ref="N468:R468" si="1398">if(min($G467:$K467)=G467,N467+1,N467)</f>
        <v>173</v>
      </c>
      <c r="O468" s="12">
        <f t="shared" si="1398"/>
        <v>77</v>
      </c>
      <c r="P468" s="12">
        <f t="shared" si="1398"/>
        <v>75</v>
      </c>
      <c r="Q468" s="12">
        <f t="shared" si="1398"/>
        <v>71</v>
      </c>
      <c r="R468" s="12">
        <f t="shared" si="1398"/>
        <v>71</v>
      </c>
      <c r="T468" s="13">
        <f> 'Optimal Choice'!$B$5*'Optimal Choice'!$B$6^(N468+1)</f>
        <v>518605.7272</v>
      </c>
      <c r="U468" s="13">
        <f> 'Optimal Choice'!$B$10*'Optimal Choice'!$B$11^(O468+1)</f>
        <v>3255238.385</v>
      </c>
      <c r="V468" s="13">
        <f> 'Optimal Choice'!$B$15*'Optimal Choice'!$B$16^(P468+1)</f>
        <v>15209018.84</v>
      </c>
      <c r="W468" s="13">
        <f> 'Optimal Choice'!$B$20*'Optimal Choice'!$B$21^(Q468+1)</f>
        <v>57300930.35</v>
      </c>
      <c r="X468" s="13">
        <f> 'Optimal Choice'!$B$25*'Optimal Choice'!$B$26^(R468+1)</f>
        <v>362570629.6</v>
      </c>
      <c r="AA468" s="12">
        <f t="shared" ref="AA468:AE468" si="1399">if(isna(VLOOKUP(N468,$D$2:$E$10,2,false)),AA467, VLOOKUP(N468,$D$2:$E$10,2,false))</f>
        <v>50</v>
      </c>
      <c r="AB468" s="12">
        <f t="shared" si="1399"/>
        <v>25</v>
      </c>
      <c r="AC468" s="12">
        <f t="shared" si="1399"/>
        <v>25</v>
      </c>
      <c r="AD468" s="12">
        <f t="shared" si="1399"/>
        <v>25</v>
      </c>
      <c r="AE468" s="12">
        <f t="shared" si="1399"/>
        <v>25</v>
      </c>
      <c r="AH468" s="15">
        <f>N468*'Optimal Choice'!$B$4*AA468</f>
        <v>14445.5</v>
      </c>
      <c r="AI468" s="15">
        <f>O468*'Optimal Choice'!$B$9*AB468</f>
        <v>38500</v>
      </c>
      <c r="AJ468" s="15">
        <f>P468*'Optimal Choice'!$B$14*AC468</f>
        <v>168750</v>
      </c>
      <c r="AK468" s="15">
        <f>Q468*'Optimal Choice'!$B$19*AD468</f>
        <v>639000</v>
      </c>
      <c r="AL468" s="15">
        <f>R468*'Optimal Choice'!$B$24*AE468</f>
        <v>3834000</v>
      </c>
      <c r="AO468" s="12">
        <f t="shared" ref="AO468:AS468" si="1400">if(isna(VLOOKUP(N468+1,$D$2:$E$10,2,false)),AO467, VLOOKUP(N468+1,$D$2:$E$10,2,false))</f>
        <v>50</v>
      </c>
      <c r="AP468" s="12">
        <f t="shared" si="1400"/>
        <v>25</v>
      </c>
      <c r="AQ468" s="12">
        <f t="shared" si="1400"/>
        <v>25</v>
      </c>
      <c r="AR468" s="12">
        <f t="shared" si="1400"/>
        <v>25</v>
      </c>
      <c r="AS468" s="12">
        <f t="shared" si="1400"/>
        <v>25</v>
      </c>
      <c r="AU468" s="11">
        <f t="shared" si="8"/>
        <v>1.162626653</v>
      </c>
    </row>
    <row r="469" ht="15.75" customHeight="1">
      <c r="A469" s="16">
        <f t="shared" si="4"/>
        <v>28.63547366</v>
      </c>
      <c r="B469" s="7">
        <f>(sum(AH469:AL469))*'Optimal Choice'!$B$28</f>
        <v>4694779</v>
      </c>
      <c r="C469" s="11"/>
      <c r="D469" s="12"/>
      <c r="E469" s="12"/>
      <c r="F469" s="11"/>
      <c r="G469" s="11">
        <f>(T469/$B469)+(T469/('Optimal Choice'!$B$4*AO469))</f>
        <v>6645.724521</v>
      </c>
      <c r="H469" s="11">
        <f>(U469/$B469)+(U469/('Optimal Choice'!$B$9*AP469))</f>
        <v>6511.170144</v>
      </c>
      <c r="I469" s="11">
        <f>(V469/$B469)+(V469/('Optimal Choice'!$B$14*AQ469))</f>
        <v>6762.803491</v>
      </c>
      <c r="J469" s="11">
        <f>(W469/$B469)+(W469/('Optimal Choice'!$B$19*AR469))</f>
        <v>6378.975284</v>
      </c>
      <c r="K469" s="11">
        <f>(X469/$B469)+(X469/('Optimal Choice'!$B$24*AS469))</f>
        <v>6791.499396</v>
      </c>
      <c r="N469" s="12">
        <f t="shared" ref="N469:R469" si="1401">if(min($G468:$K468)=G468,N468+1,N468)</f>
        <v>174</v>
      </c>
      <c r="O469" s="12">
        <f t="shared" si="1401"/>
        <v>77</v>
      </c>
      <c r="P469" s="12">
        <f t="shared" si="1401"/>
        <v>75</v>
      </c>
      <c r="Q469" s="12">
        <f t="shared" si="1401"/>
        <v>71</v>
      </c>
      <c r="R469" s="12">
        <f t="shared" si="1401"/>
        <v>71</v>
      </c>
      <c r="T469" s="13">
        <f> 'Optimal Choice'!$B$5*'Optimal Choice'!$B$6^(N469+1)</f>
        <v>554908.1281</v>
      </c>
      <c r="U469" s="13">
        <f> 'Optimal Choice'!$B$10*'Optimal Choice'!$B$11^(O469+1)</f>
        <v>3255238.385</v>
      </c>
      <c r="V469" s="13">
        <f> 'Optimal Choice'!$B$15*'Optimal Choice'!$B$16^(P469+1)</f>
        <v>15209018.84</v>
      </c>
      <c r="W469" s="13">
        <f> 'Optimal Choice'!$B$20*'Optimal Choice'!$B$21^(Q469+1)</f>
        <v>57300930.35</v>
      </c>
      <c r="X469" s="13">
        <f> 'Optimal Choice'!$B$25*'Optimal Choice'!$B$26^(R469+1)</f>
        <v>362570629.6</v>
      </c>
      <c r="AA469" s="12">
        <f t="shared" ref="AA469:AE469" si="1402">if(isna(VLOOKUP(N469,$D$2:$E$10,2,false)),AA468, VLOOKUP(N469,$D$2:$E$10,2,false))</f>
        <v>50</v>
      </c>
      <c r="AB469" s="12">
        <f t="shared" si="1402"/>
        <v>25</v>
      </c>
      <c r="AC469" s="12">
        <f t="shared" si="1402"/>
        <v>25</v>
      </c>
      <c r="AD469" s="12">
        <f t="shared" si="1402"/>
        <v>25</v>
      </c>
      <c r="AE469" s="12">
        <f t="shared" si="1402"/>
        <v>25</v>
      </c>
      <c r="AH469" s="15">
        <f>N469*'Optimal Choice'!$B$4*AA469</f>
        <v>14529</v>
      </c>
      <c r="AI469" s="15">
        <f>O469*'Optimal Choice'!$B$9*AB469</f>
        <v>38500</v>
      </c>
      <c r="AJ469" s="15">
        <f>P469*'Optimal Choice'!$B$14*AC469</f>
        <v>168750</v>
      </c>
      <c r="AK469" s="15">
        <f>Q469*'Optimal Choice'!$B$19*AD469</f>
        <v>639000</v>
      </c>
      <c r="AL469" s="15">
        <f>R469*'Optimal Choice'!$B$24*AE469</f>
        <v>3834000</v>
      </c>
      <c r="AO469" s="12">
        <f t="shared" ref="AO469:AS469" si="1403">if(isna(VLOOKUP(N469+1,$D$2:$E$10,2,false)),AO468, VLOOKUP(N469+1,$D$2:$E$10,2,false))</f>
        <v>50</v>
      </c>
      <c r="AP469" s="12">
        <f t="shared" si="1403"/>
        <v>25</v>
      </c>
      <c r="AQ469" s="12">
        <f t="shared" si="1403"/>
        <v>25</v>
      </c>
      <c r="AR469" s="12">
        <f t="shared" si="1403"/>
        <v>25</v>
      </c>
      <c r="AS469" s="12">
        <f t="shared" si="1403"/>
        <v>25</v>
      </c>
      <c r="AU469" s="11">
        <f t="shared" si="8"/>
        <v>0.001841105304</v>
      </c>
    </row>
    <row r="470" ht="15.75" customHeight="1">
      <c r="A470" s="16">
        <f t="shared" si="4"/>
        <v>28.83889442</v>
      </c>
      <c r="B470" s="7">
        <f>(sum(AH470:AL470))*'Optimal Choice'!$B$28</f>
        <v>4703779</v>
      </c>
      <c r="C470" s="11"/>
      <c r="D470" s="12"/>
      <c r="E470" s="12"/>
      <c r="F470" s="11"/>
      <c r="G470" s="11">
        <f>(T470/$B470)+(T470/('Optimal Choice'!$B$4*AO470))</f>
        <v>6645.724295</v>
      </c>
      <c r="H470" s="11">
        <f>(U470/$B470)+(U470/('Optimal Choice'!$B$9*AP470))</f>
        <v>6511.168817</v>
      </c>
      <c r="I470" s="11">
        <f>(V470/$B470)+(V470/('Optimal Choice'!$B$14*AQ470))</f>
        <v>6762.797293</v>
      </c>
      <c r="J470" s="11">
        <f>(W470/$B470)+(W470/('Optimal Choice'!$B$19*AR470))</f>
        <v>7208.215682</v>
      </c>
      <c r="K470" s="11">
        <f>(X470/$B470)+(X470/('Optimal Choice'!$B$24*AS470))</f>
        <v>6791.35163</v>
      </c>
      <c r="N470" s="12">
        <f t="shared" ref="N470:R470" si="1404">if(min($G469:$K469)=G469,N469+1,N469)</f>
        <v>174</v>
      </c>
      <c r="O470" s="12">
        <f t="shared" si="1404"/>
        <v>77</v>
      </c>
      <c r="P470" s="12">
        <f t="shared" si="1404"/>
        <v>75</v>
      </c>
      <c r="Q470" s="12">
        <f t="shared" si="1404"/>
        <v>72</v>
      </c>
      <c r="R470" s="12">
        <f t="shared" si="1404"/>
        <v>71</v>
      </c>
      <c r="T470" s="13">
        <f> 'Optimal Choice'!$B$5*'Optimal Choice'!$B$6^(N470+1)</f>
        <v>554908.1281</v>
      </c>
      <c r="U470" s="13">
        <f> 'Optimal Choice'!$B$10*'Optimal Choice'!$B$11^(O470+1)</f>
        <v>3255238.385</v>
      </c>
      <c r="V470" s="13">
        <f> 'Optimal Choice'!$B$15*'Optimal Choice'!$B$16^(P470+1)</f>
        <v>15209018.84</v>
      </c>
      <c r="W470" s="13">
        <f> 'Optimal Choice'!$B$20*'Optimal Choice'!$B$21^(Q470+1)</f>
        <v>64750051.29</v>
      </c>
      <c r="X470" s="13">
        <f> 'Optimal Choice'!$B$25*'Optimal Choice'!$B$26^(R470+1)</f>
        <v>362570629.6</v>
      </c>
      <c r="AA470" s="12">
        <f t="shared" ref="AA470:AE470" si="1405">if(isna(VLOOKUP(N470,$D$2:$E$10,2,false)),AA469, VLOOKUP(N470,$D$2:$E$10,2,false))</f>
        <v>50</v>
      </c>
      <c r="AB470" s="12">
        <f t="shared" si="1405"/>
        <v>25</v>
      </c>
      <c r="AC470" s="12">
        <f t="shared" si="1405"/>
        <v>25</v>
      </c>
      <c r="AD470" s="12">
        <f t="shared" si="1405"/>
        <v>25</v>
      </c>
      <c r="AE470" s="12">
        <f t="shared" si="1405"/>
        <v>25</v>
      </c>
      <c r="AH470" s="15">
        <f>N470*'Optimal Choice'!$B$4*AA470</f>
        <v>14529</v>
      </c>
      <c r="AI470" s="15">
        <f>O470*'Optimal Choice'!$B$9*AB470</f>
        <v>38500</v>
      </c>
      <c r="AJ470" s="15">
        <f>P470*'Optimal Choice'!$B$14*AC470</f>
        <v>168750</v>
      </c>
      <c r="AK470" s="15">
        <f>Q470*'Optimal Choice'!$B$19*AD470</f>
        <v>648000</v>
      </c>
      <c r="AL470" s="15">
        <f>R470*'Optimal Choice'!$B$24*AE470</f>
        <v>3834000</v>
      </c>
      <c r="AO470" s="12">
        <f t="shared" ref="AO470:AS470" si="1406">if(isna(VLOOKUP(N470+1,$D$2:$E$10,2,false)),AO469, VLOOKUP(N470+1,$D$2:$E$10,2,false))</f>
        <v>50</v>
      </c>
      <c r="AP470" s="12">
        <f t="shared" si="1406"/>
        <v>25</v>
      </c>
      <c r="AQ470" s="12">
        <f t="shared" si="1406"/>
        <v>25</v>
      </c>
      <c r="AR470" s="12">
        <f t="shared" si="1406"/>
        <v>25</v>
      </c>
      <c r="AS470" s="12">
        <f t="shared" si="1406"/>
        <v>25</v>
      </c>
      <c r="AU470" s="11">
        <f t="shared" si="8"/>
        <v>0.2034207586</v>
      </c>
    </row>
    <row r="471" ht="15.75" customHeight="1">
      <c r="A471" s="16">
        <f t="shared" si="4"/>
        <v>28.85042854</v>
      </c>
      <c r="B471" s="7">
        <f>(sum(AH471:AL471))*'Optimal Choice'!$B$28</f>
        <v>4704279</v>
      </c>
      <c r="C471" s="11"/>
      <c r="D471" s="12"/>
      <c r="E471" s="12"/>
      <c r="F471" s="11"/>
      <c r="G471" s="11">
        <f>(T471/$B471)+(T471/('Optimal Choice'!$B$4*AO471))</f>
        <v>6645.724282</v>
      </c>
      <c r="H471" s="11">
        <f>(U471/$B471)+(U471/('Optimal Choice'!$B$9*AP471))</f>
        <v>7487.844055</v>
      </c>
      <c r="I471" s="11">
        <f>(V471/$B471)+(V471/('Optimal Choice'!$B$14*AQ471))</f>
        <v>6762.796949</v>
      </c>
      <c r="J471" s="11">
        <f>(W471/$B471)+(W471/('Optimal Choice'!$B$19*AR471))</f>
        <v>7208.214219</v>
      </c>
      <c r="K471" s="11">
        <f>(X471/$B471)+(X471/('Optimal Choice'!$B$24*AS471))</f>
        <v>6791.343438</v>
      </c>
      <c r="N471" s="12">
        <f t="shared" ref="N471:R471" si="1407">if(min($G470:$K470)=G470,N470+1,N470)</f>
        <v>174</v>
      </c>
      <c r="O471" s="12">
        <f t="shared" si="1407"/>
        <v>78</v>
      </c>
      <c r="P471" s="12">
        <f t="shared" si="1407"/>
        <v>75</v>
      </c>
      <c r="Q471" s="12">
        <f t="shared" si="1407"/>
        <v>72</v>
      </c>
      <c r="R471" s="12">
        <f t="shared" si="1407"/>
        <v>71</v>
      </c>
      <c r="T471" s="13">
        <f> 'Optimal Choice'!$B$5*'Optimal Choice'!$B$6^(N471+1)</f>
        <v>554908.1281</v>
      </c>
      <c r="U471" s="13">
        <f> 'Optimal Choice'!$B$10*'Optimal Choice'!$B$11^(O471+1)</f>
        <v>3743524.143</v>
      </c>
      <c r="V471" s="13">
        <f> 'Optimal Choice'!$B$15*'Optimal Choice'!$B$16^(P471+1)</f>
        <v>15209018.84</v>
      </c>
      <c r="W471" s="13">
        <f> 'Optimal Choice'!$B$20*'Optimal Choice'!$B$21^(Q471+1)</f>
        <v>64750051.29</v>
      </c>
      <c r="X471" s="13">
        <f> 'Optimal Choice'!$B$25*'Optimal Choice'!$B$26^(R471+1)</f>
        <v>362570629.6</v>
      </c>
      <c r="AA471" s="12">
        <f t="shared" ref="AA471:AE471" si="1408">if(isna(VLOOKUP(N471,$D$2:$E$10,2,false)),AA470, VLOOKUP(N471,$D$2:$E$10,2,false))</f>
        <v>50</v>
      </c>
      <c r="AB471" s="12">
        <f t="shared" si="1408"/>
        <v>25</v>
      </c>
      <c r="AC471" s="12">
        <f t="shared" si="1408"/>
        <v>25</v>
      </c>
      <c r="AD471" s="12">
        <f t="shared" si="1408"/>
        <v>25</v>
      </c>
      <c r="AE471" s="12">
        <f t="shared" si="1408"/>
        <v>25</v>
      </c>
      <c r="AH471" s="15">
        <f>N471*'Optimal Choice'!$B$4*AA471</f>
        <v>14529</v>
      </c>
      <c r="AI471" s="15">
        <f>O471*'Optimal Choice'!$B$9*AB471</f>
        <v>39000</v>
      </c>
      <c r="AJ471" s="15">
        <f>P471*'Optimal Choice'!$B$14*AC471</f>
        <v>168750</v>
      </c>
      <c r="AK471" s="15">
        <f>Q471*'Optimal Choice'!$B$19*AD471</f>
        <v>648000</v>
      </c>
      <c r="AL471" s="15">
        <f>R471*'Optimal Choice'!$B$24*AE471</f>
        <v>3834000</v>
      </c>
      <c r="AO471" s="12">
        <f t="shared" ref="AO471:AS471" si="1409">if(isna(VLOOKUP(N471+1,$D$2:$E$10,2,false)),AO470, VLOOKUP(N471+1,$D$2:$E$10,2,false))</f>
        <v>50</v>
      </c>
      <c r="AP471" s="12">
        <f t="shared" si="1409"/>
        <v>25</v>
      </c>
      <c r="AQ471" s="12">
        <f t="shared" si="1409"/>
        <v>25</v>
      </c>
      <c r="AR471" s="12">
        <f t="shared" si="1409"/>
        <v>25</v>
      </c>
      <c r="AS471" s="12">
        <f t="shared" si="1409"/>
        <v>25</v>
      </c>
      <c r="AU471" s="11">
        <f t="shared" si="8"/>
        <v>0.0115341246</v>
      </c>
    </row>
    <row r="472" ht="15.75" customHeight="1">
      <c r="A472" s="16">
        <f t="shared" si="4"/>
        <v>28.85239451</v>
      </c>
      <c r="B472" s="7">
        <f>(sum(AH472:AL472))*'Optimal Choice'!$B$28</f>
        <v>4704362.5</v>
      </c>
      <c r="C472" s="11"/>
      <c r="D472" s="12"/>
      <c r="E472" s="12"/>
      <c r="F472" s="11"/>
      <c r="G472" s="11">
        <f>(T472/$B472)+(T472/('Optimal Choice'!$B$4*AO472))</f>
        <v>7110.92498</v>
      </c>
      <c r="H472" s="11">
        <f>(U472/$B472)+(U472/('Optimal Choice'!$B$9*AP472))</f>
        <v>7487.844041</v>
      </c>
      <c r="I472" s="11">
        <f>(V472/$B472)+(V472/('Optimal Choice'!$B$14*AQ472))</f>
        <v>6762.796892</v>
      </c>
      <c r="J472" s="11">
        <f>(W472/$B472)+(W472/('Optimal Choice'!$B$19*AR472))</f>
        <v>7208.213975</v>
      </c>
      <c r="K472" s="11">
        <f>(X472/$B472)+(X472/('Optimal Choice'!$B$24*AS472))</f>
        <v>6791.34207</v>
      </c>
      <c r="N472" s="12">
        <f t="shared" ref="N472:R472" si="1410">if(min($G471:$K471)=G471,N471+1,N471)</f>
        <v>175</v>
      </c>
      <c r="O472" s="12">
        <f t="shared" si="1410"/>
        <v>78</v>
      </c>
      <c r="P472" s="12">
        <f t="shared" si="1410"/>
        <v>75</v>
      </c>
      <c r="Q472" s="12">
        <f t="shared" si="1410"/>
        <v>72</v>
      </c>
      <c r="R472" s="12">
        <f t="shared" si="1410"/>
        <v>71</v>
      </c>
      <c r="T472" s="13">
        <f> 'Optimal Choice'!$B$5*'Optimal Choice'!$B$6^(N472+1)</f>
        <v>593751.697</v>
      </c>
      <c r="U472" s="13">
        <f> 'Optimal Choice'!$B$10*'Optimal Choice'!$B$11^(O472+1)</f>
        <v>3743524.143</v>
      </c>
      <c r="V472" s="13">
        <f> 'Optimal Choice'!$B$15*'Optimal Choice'!$B$16^(P472+1)</f>
        <v>15209018.84</v>
      </c>
      <c r="W472" s="13">
        <f> 'Optimal Choice'!$B$20*'Optimal Choice'!$B$21^(Q472+1)</f>
        <v>64750051.29</v>
      </c>
      <c r="X472" s="13">
        <f> 'Optimal Choice'!$B$25*'Optimal Choice'!$B$26^(R472+1)</f>
        <v>362570629.6</v>
      </c>
      <c r="AA472" s="12">
        <f t="shared" ref="AA472:AE472" si="1411">if(isna(VLOOKUP(N472,$D$2:$E$10,2,false)),AA471, VLOOKUP(N472,$D$2:$E$10,2,false))</f>
        <v>50</v>
      </c>
      <c r="AB472" s="12">
        <f t="shared" si="1411"/>
        <v>25</v>
      </c>
      <c r="AC472" s="12">
        <f t="shared" si="1411"/>
        <v>25</v>
      </c>
      <c r="AD472" s="12">
        <f t="shared" si="1411"/>
        <v>25</v>
      </c>
      <c r="AE472" s="12">
        <f t="shared" si="1411"/>
        <v>25</v>
      </c>
      <c r="AH472" s="15">
        <f>N472*'Optimal Choice'!$B$4*AA472</f>
        <v>14612.5</v>
      </c>
      <c r="AI472" s="15">
        <f>O472*'Optimal Choice'!$B$9*AB472</f>
        <v>39000</v>
      </c>
      <c r="AJ472" s="15">
        <f>P472*'Optimal Choice'!$B$14*AC472</f>
        <v>168750</v>
      </c>
      <c r="AK472" s="15">
        <f>Q472*'Optimal Choice'!$B$19*AD472</f>
        <v>648000</v>
      </c>
      <c r="AL472" s="15">
        <f>R472*'Optimal Choice'!$B$24*AE472</f>
        <v>3834000</v>
      </c>
      <c r="AO472" s="12">
        <f t="shared" ref="AO472:AS472" si="1412">if(isna(VLOOKUP(N472+1,$D$2:$E$10,2,false)),AO471, VLOOKUP(N472+1,$D$2:$E$10,2,false))</f>
        <v>50</v>
      </c>
      <c r="AP472" s="12">
        <f t="shared" si="1412"/>
        <v>25</v>
      </c>
      <c r="AQ472" s="12">
        <f t="shared" si="1412"/>
        <v>25</v>
      </c>
      <c r="AR472" s="12">
        <f t="shared" si="1412"/>
        <v>25</v>
      </c>
      <c r="AS472" s="12">
        <f t="shared" si="1412"/>
        <v>25</v>
      </c>
      <c r="AU472" s="11">
        <f t="shared" si="8"/>
        <v>0.001965969451</v>
      </c>
    </row>
    <row r="473" ht="15.75" customHeight="1">
      <c r="A473" s="16">
        <f t="shared" si="4"/>
        <v>28.90627719</v>
      </c>
      <c r="B473" s="7">
        <f>(sum(AH473:AL473))*'Optimal Choice'!$B$28</f>
        <v>4706612.5</v>
      </c>
      <c r="C473" s="11"/>
      <c r="D473" s="12"/>
      <c r="E473" s="12"/>
      <c r="F473" s="11"/>
      <c r="G473" s="11">
        <f>(T473/$B473)+(T473/('Optimal Choice'!$B$4*AO473))</f>
        <v>7110.92492</v>
      </c>
      <c r="H473" s="11">
        <f>(U473/$B473)+(U473/('Optimal Choice'!$B$9*AP473))</f>
        <v>7487.843661</v>
      </c>
      <c r="I473" s="11">
        <f>(V473/$B473)+(V473/('Optimal Choice'!$B$14*AQ473))</f>
        <v>7709.586695</v>
      </c>
      <c r="J473" s="11">
        <f>(W473/$B473)+(W473/('Optimal Choice'!$B$19*AR473))</f>
        <v>7208.207395</v>
      </c>
      <c r="K473" s="11">
        <f>(X473/$B473)+(X473/('Optimal Choice'!$B$24*AS473))</f>
        <v>6791.305226</v>
      </c>
      <c r="N473" s="12">
        <f t="shared" ref="N473:R473" si="1413">if(min($G472:$K472)=G472,N472+1,N472)</f>
        <v>175</v>
      </c>
      <c r="O473" s="12">
        <f t="shared" si="1413"/>
        <v>78</v>
      </c>
      <c r="P473" s="12">
        <f t="shared" si="1413"/>
        <v>76</v>
      </c>
      <c r="Q473" s="12">
        <f t="shared" si="1413"/>
        <v>72</v>
      </c>
      <c r="R473" s="12">
        <f t="shared" si="1413"/>
        <v>71</v>
      </c>
      <c r="T473" s="13">
        <f> 'Optimal Choice'!$B$5*'Optimal Choice'!$B$6^(N473+1)</f>
        <v>593751.697</v>
      </c>
      <c r="U473" s="13">
        <f> 'Optimal Choice'!$B$10*'Optimal Choice'!$B$11^(O473+1)</f>
        <v>3743524.143</v>
      </c>
      <c r="V473" s="13">
        <f> 'Optimal Choice'!$B$15*'Optimal Choice'!$B$16^(P473+1)</f>
        <v>17338281.48</v>
      </c>
      <c r="W473" s="13">
        <f> 'Optimal Choice'!$B$20*'Optimal Choice'!$B$21^(Q473+1)</f>
        <v>64750051.29</v>
      </c>
      <c r="X473" s="13">
        <f> 'Optimal Choice'!$B$25*'Optimal Choice'!$B$26^(R473+1)</f>
        <v>362570629.6</v>
      </c>
      <c r="AA473" s="12">
        <f t="shared" ref="AA473:AE473" si="1414">if(isna(VLOOKUP(N473,$D$2:$E$10,2,false)),AA472, VLOOKUP(N473,$D$2:$E$10,2,false))</f>
        <v>50</v>
      </c>
      <c r="AB473" s="12">
        <f t="shared" si="1414"/>
        <v>25</v>
      </c>
      <c r="AC473" s="12">
        <f t="shared" si="1414"/>
        <v>25</v>
      </c>
      <c r="AD473" s="12">
        <f t="shared" si="1414"/>
        <v>25</v>
      </c>
      <c r="AE473" s="12">
        <f t="shared" si="1414"/>
        <v>25</v>
      </c>
      <c r="AH473" s="15">
        <f>N473*'Optimal Choice'!$B$4*AA473</f>
        <v>14612.5</v>
      </c>
      <c r="AI473" s="15">
        <f>O473*'Optimal Choice'!$B$9*AB473</f>
        <v>39000</v>
      </c>
      <c r="AJ473" s="15">
        <f>P473*'Optimal Choice'!$B$14*AC473</f>
        <v>171000</v>
      </c>
      <c r="AK473" s="15">
        <f>Q473*'Optimal Choice'!$B$19*AD473</f>
        <v>648000</v>
      </c>
      <c r="AL473" s="15">
        <f>R473*'Optimal Choice'!$B$24*AE473</f>
        <v>3834000</v>
      </c>
      <c r="AO473" s="12">
        <f t="shared" ref="AO473:AS473" si="1415">if(isna(VLOOKUP(N473+1,$D$2:$E$10,2,false)),AO472, VLOOKUP(N473+1,$D$2:$E$10,2,false))</f>
        <v>50</v>
      </c>
      <c r="AP473" s="12">
        <f t="shared" si="1415"/>
        <v>25</v>
      </c>
      <c r="AQ473" s="12">
        <f t="shared" si="1415"/>
        <v>25</v>
      </c>
      <c r="AR473" s="12">
        <f t="shared" si="1415"/>
        <v>25</v>
      </c>
      <c r="AS473" s="12">
        <f t="shared" si="1415"/>
        <v>25</v>
      </c>
      <c r="AU473" s="11">
        <f t="shared" si="8"/>
        <v>0.0538826775</v>
      </c>
    </row>
    <row r="474" ht="15.75" customHeight="1">
      <c r="A474" s="16">
        <f t="shared" si="4"/>
        <v>30.1901823</v>
      </c>
      <c r="B474" s="7">
        <f>(sum(AH474:AL474))*'Optimal Choice'!$B$28</f>
        <v>4760612.5</v>
      </c>
      <c r="C474" s="11"/>
      <c r="D474" s="12"/>
      <c r="E474" s="12"/>
      <c r="F474" s="11"/>
      <c r="G474" s="11">
        <f>(T474/$B474)+(T474/('Optimal Choice'!$B$4*AO474))</f>
        <v>7110.923489</v>
      </c>
      <c r="H474" s="11">
        <f>(U474/$B474)+(U474/('Optimal Choice'!$B$9*AP474))</f>
        <v>7487.834639</v>
      </c>
      <c r="I474" s="11">
        <f>(V474/$B474)+(V474/('Optimal Choice'!$B$14*AQ474))</f>
        <v>7709.544909</v>
      </c>
      <c r="J474" s="11">
        <f>(W474/$B474)+(W474/('Optimal Choice'!$B$19*AR474))</f>
        <v>7208.051345</v>
      </c>
      <c r="K474" s="11">
        <f>(X474/$B474)+(X474/('Optimal Choice'!$B$24*AS474))</f>
        <v>7605.28319</v>
      </c>
      <c r="N474" s="12">
        <f t="shared" ref="N474:R474" si="1416">if(min($G473:$K473)=G473,N473+1,N473)</f>
        <v>175</v>
      </c>
      <c r="O474" s="12">
        <f t="shared" si="1416"/>
        <v>78</v>
      </c>
      <c r="P474" s="12">
        <f t="shared" si="1416"/>
        <v>76</v>
      </c>
      <c r="Q474" s="12">
        <f t="shared" si="1416"/>
        <v>72</v>
      </c>
      <c r="R474" s="12">
        <f t="shared" si="1416"/>
        <v>72</v>
      </c>
      <c r="T474" s="13">
        <f> 'Optimal Choice'!$B$5*'Optimal Choice'!$B$6^(N474+1)</f>
        <v>593751.697</v>
      </c>
      <c r="U474" s="13">
        <f> 'Optimal Choice'!$B$10*'Optimal Choice'!$B$11^(O474+1)</f>
        <v>3743524.143</v>
      </c>
      <c r="V474" s="13">
        <f> 'Optimal Choice'!$B$15*'Optimal Choice'!$B$16^(P474+1)</f>
        <v>17338281.48</v>
      </c>
      <c r="W474" s="13">
        <f> 'Optimal Choice'!$B$20*'Optimal Choice'!$B$21^(Q474+1)</f>
        <v>64750051.29</v>
      </c>
      <c r="X474" s="13">
        <f> 'Optimal Choice'!$B$25*'Optimal Choice'!$B$26^(R474+1)</f>
        <v>406079105.2</v>
      </c>
      <c r="AA474" s="12">
        <f t="shared" ref="AA474:AE474" si="1417">if(isna(VLOOKUP(N474,$D$2:$E$10,2,false)),AA473, VLOOKUP(N474,$D$2:$E$10,2,false))</f>
        <v>50</v>
      </c>
      <c r="AB474" s="12">
        <f t="shared" si="1417"/>
        <v>25</v>
      </c>
      <c r="AC474" s="12">
        <f t="shared" si="1417"/>
        <v>25</v>
      </c>
      <c r="AD474" s="12">
        <f t="shared" si="1417"/>
        <v>25</v>
      </c>
      <c r="AE474" s="12">
        <f t="shared" si="1417"/>
        <v>25</v>
      </c>
      <c r="AH474" s="15">
        <f>N474*'Optimal Choice'!$B$4*AA474</f>
        <v>14612.5</v>
      </c>
      <c r="AI474" s="15">
        <f>O474*'Optimal Choice'!$B$9*AB474</f>
        <v>39000</v>
      </c>
      <c r="AJ474" s="15">
        <f>P474*'Optimal Choice'!$B$14*AC474</f>
        <v>171000</v>
      </c>
      <c r="AK474" s="15">
        <f>Q474*'Optimal Choice'!$B$19*AD474</f>
        <v>648000</v>
      </c>
      <c r="AL474" s="15">
        <f>R474*'Optimal Choice'!$B$24*AE474</f>
        <v>3888000</v>
      </c>
      <c r="AO474" s="12">
        <f t="shared" ref="AO474:AS474" si="1418">if(isna(VLOOKUP(N474+1,$D$2:$E$10,2,false)),AO473, VLOOKUP(N474+1,$D$2:$E$10,2,false))</f>
        <v>50</v>
      </c>
      <c r="AP474" s="12">
        <f t="shared" si="1418"/>
        <v>25</v>
      </c>
      <c r="AQ474" s="12">
        <f t="shared" si="1418"/>
        <v>25</v>
      </c>
      <c r="AR474" s="12">
        <f t="shared" si="1418"/>
        <v>25</v>
      </c>
      <c r="AS474" s="12">
        <f t="shared" si="1418"/>
        <v>25</v>
      </c>
      <c r="AU474" s="11">
        <f t="shared" si="8"/>
        <v>1.283905107</v>
      </c>
    </row>
    <row r="475" ht="15.75" customHeight="1">
      <c r="A475" s="16">
        <f t="shared" si="4"/>
        <v>30.19226099</v>
      </c>
      <c r="B475" s="7">
        <f>(sum(AH475:AL475))*'Optimal Choice'!$B$28</f>
        <v>4760696</v>
      </c>
      <c r="C475" s="11"/>
      <c r="D475" s="12"/>
      <c r="E475" s="12"/>
      <c r="F475" s="11"/>
      <c r="G475" s="11">
        <f>(T475/$B475)+(T475/('Optimal Choice'!$B$4*AO475))</f>
        <v>7608.688131</v>
      </c>
      <c r="H475" s="11">
        <f>(U475/$B475)+(U475/('Optimal Choice'!$B$9*AP475))</f>
        <v>7487.834625</v>
      </c>
      <c r="I475" s="11">
        <f>(V475/$B475)+(V475/('Optimal Choice'!$B$14*AQ475))</f>
        <v>7709.544845</v>
      </c>
      <c r="J475" s="11">
        <f>(W475/$B475)+(W475/('Optimal Choice'!$B$19*AR475))</f>
        <v>7208.051107</v>
      </c>
      <c r="K475" s="11">
        <f>(X475/$B475)+(X475/('Optimal Choice'!$B$24*AS475))</f>
        <v>7605.281694</v>
      </c>
      <c r="N475" s="12">
        <f t="shared" ref="N475:R475" si="1419">if(min($G474:$K474)=G474,N474+1,N474)</f>
        <v>176</v>
      </c>
      <c r="O475" s="12">
        <f t="shared" si="1419"/>
        <v>78</v>
      </c>
      <c r="P475" s="12">
        <f t="shared" si="1419"/>
        <v>76</v>
      </c>
      <c r="Q475" s="12">
        <f t="shared" si="1419"/>
        <v>72</v>
      </c>
      <c r="R475" s="12">
        <f t="shared" si="1419"/>
        <v>72</v>
      </c>
      <c r="T475" s="13">
        <f> 'Optimal Choice'!$B$5*'Optimal Choice'!$B$6^(N475+1)</f>
        <v>635314.3158</v>
      </c>
      <c r="U475" s="13">
        <f> 'Optimal Choice'!$B$10*'Optimal Choice'!$B$11^(O475+1)</f>
        <v>3743524.143</v>
      </c>
      <c r="V475" s="13">
        <f> 'Optimal Choice'!$B$15*'Optimal Choice'!$B$16^(P475+1)</f>
        <v>17338281.48</v>
      </c>
      <c r="W475" s="13">
        <f> 'Optimal Choice'!$B$20*'Optimal Choice'!$B$21^(Q475+1)</f>
        <v>64750051.29</v>
      </c>
      <c r="X475" s="13">
        <f> 'Optimal Choice'!$B$25*'Optimal Choice'!$B$26^(R475+1)</f>
        <v>406079105.2</v>
      </c>
      <c r="AA475" s="12">
        <f t="shared" ref="AA475:AE475" si="1420">if(isna(VLOOKUP(N475,$D$2:$E$10,2,false)),AA474, VLOOKUP(N475,$D$2:$E$10,2,false))</f>
        <v>50</v>
      </c>
      <c r="AB475" s="12">
        <f t="shared" si="1420"/>
        <v>25</v>
      </c>
      <c r="AC475" s="12">
        <f t="shared" si="1420"/>
        <v>25</v>
      </c>
      <c r="AD475" s="12">
        <f t="shared" si="1420"/>
        <v>25</v>
      </c>
      <c r="AE475" s="12">
        <f t="shared" si="1420"/>
        <v>25</v>
      </c>
      <c r="AH475" s="15">
        <f>N475*'Optimal Choice'!$B$4*AA475</f>
        <v>14696</v>
      </c>
      <c r="AI475" s="15">
        <f>O475*'Optimal Choice'!$B$9*AB475</f>
        <v>39000</v>
      </c>
      <c r="AJ475" s="15">
        <f>P475*'Optimal Choice'!$B$14*AC475</f>
        <v>171000</v>
      </c>
      <c r="AK475" s="15">
        <f>Q475*'Optimal Choice'!$B$19*AD475</f>
        <v>648000</v>
      </c>
      <c r="AL475" s="15">
        <f>R475*'Optimal Choice'!$B$24*AE475</f>
        <v>3888000</v>
      </c>
      <c r="AO475" s="12">
        <f t="shared" ref="AO475:AS475" si="1421">if(isna(VLOOKUP(N475+1,$D$2:$E$10,2,false)),AO474, VLOOKUP(N475+1,$D$2:$E$10,2,false))</f>
        <v>50</v>
      </c>
      <c r="AP475" s="12">
        <f t="shared" si="1421"/>
        <v>25</v>
      </c>
      <c r="AQ475" s="12">
        <f t="shared" si="1421"/>
        <v>25</v>
      </c>
      <c r="AR475" s="12">
        <f t="shared" si="1421"/>
        <v>25</v>
      </c>
      <c r="AS475" s="12">
        <f t="shared" si="1421"/>
        <v>25</v>
      </c>
      <c r="AU475" s="11">
        <f t="shared" si="8"/>
        <v>0.002078695046</v>
      </c>
    </row>
    <row r="476" ht="15.75" customHeight="1">
      <c r="A476" s="16">
        <f t="shared" si="4"/>
        <v>30.41894371</v>
      </c>
      <c r="B476" s="7">
        <f>(sum(AH476:AL476))*'Optimal Choice'!$B$28</f>
        <v>4769696</v>
      </c>
      <c r="C476" s="11"/>
      <c r="D476" s="12"/>
      <c r="E476" s="12"/>
      <c r="F476" s="11"/>
      <c r="G476" s="11">
        <f>(T476/$B476)+(T476/('Optimal Choice'!$B$4*AO476))</f>
        <v>7608.687879</v>
      </c>
      <c r="H476" s="11">
        <f>(U476/$B476)+(U476/('Optimal Choice'!$B$9*AP476))</f>
        <v>7487.833141</v>
      </c>
      <c r="I476" s="11">
        <f>(V476/$B476)+(V476/('Optimal Choice'!$B$14*AQ476))</f>
        <v>7709.537973</v>
      </c>
      <c r="J476" s="11">
        <f>(W476/$B476)+(W476/('Optimal Choice'!$B$19*AR476))</f>
        <v>8145.06875</v>
      </c>
      <c r="K476" s="11">
        <f>(X476/$B476)+(X476/('Optimal Choice'!$B$24*AS476))</f>
        <v>7605.120744</v>
      </c>
      <c r="N476" s="12">
        <f t="shared" ref="N476:R476" si="1422">if(min($G475:$K475)=G475,N475+1,N475)</f>
        <v>176</v>
      </c>
      <c r="O476" s="12">
        <f t="shared" si="1422"/>
        <v>78</v>
      </c>
      <c r="P476" s="12">
        <f t="shared" si="1422"/>
        <v>76</v>
      </c>
      <c r="Q476" s="12">
        <f t="shared" si="1422"/>
        <v>73</v>
      </c>
      <c r="R476" s="12">
        <f t="shared" si="1422"/>
        <v>72</v>
      </c>
      <c r="T476" s="13">
        <f> 'Optimal Choice'!$B$5*'Optimal Choice'!$B$6^(N476+1)</f>
        <v>635314.3158</v>
      </c>
      <c r="U476" s="13">
        <f> 'Optimal Choice'!$B$10*'Optimal Choice'!$B$11^(O476+1)</f>
        <v>3743524.143</v>
      </c>
      <c r="V476" s="13">
        <f> 'Optimal Choice'!$B$15*'Optimal Choice'!$B$16^(P476+1)</f>
        <v>17338281.48</v>
      </c>
      <c r="W476" s="13">
        <f> 'Optimal Choice'!$B$20*'Optimal Choice'!$B$21^(Q476+1)</f>
        <v>73167557.96</v>
      </c>
      <c r="X476" s="13">
        <f> 'Optimal Choice'!$B$25*'Optimal Choice'!$B$26^(R476+1)</f>
        <v>406079105.2</v>
      </c>
      <c r="AA476" s="12">
        <f t="shared" ref="AA476:AE476" si="1423">if(isna(VLOOKUP(N476,$D$2:$E$10,2,false)),AA475, VLOOKUP(N476,$D$2:$E$10,2,false))</f>
        <v>50</v>
      </c>
      <c r="AB476" s="12">
        <f t="shared" si="1423"/>
        <v>25</v>
      </c>
      <c r="AC476" s="12">
        <f t="shared" si="1423"/>
        <v>25</v>
      </c>
      <c r="AD476" s="12">
        <f t="shared" si="1423"/>
        <v>25</v>
      </c>
      <c r="AE476" s="12">
        <f t="shared" si="1423"/>
        <v>25</v>
      </c>
      <c r="AH476" s="15">
        <f>N476*'Optimal Choice'!$B$4*AA476</f>
        <v>14696</v>
      </c>
      <c r="AI476" s="15">
        <f>O476*'Optimal Choice'!$B$9*AB476</f>
        <v>39000</v>
      </c>
      <c r="AJ476" s="15">
        <f>P476*'Optimal Choice'!$B$14*AC476</f>
        <v>171000</v>
      </c>
      <c r="AK476" s="15">
        <f>Q476*'Optimal Choice'!$B$19*AD476</f>
        <v>657000</v>
      </c>
      <c r="AL476" s="15">
        <f>R476*'Optimal Choice'!$B$24*AE476</f>
        <v>3888000</v>
      </c>
      <c r="AO476" s="12">
        <f t="shared" ref="AO476:AS476" si="1424">if(isna(VLOOKUP(N476+1,$D$2:$E$10,2,false)),AO475, VLOOKUP(N476+1,$D$2:$E$10,2,false))</f>
        <v>50</v>
      </c>
      <c r="AP476" s="12">
        <f t="shared" si="1424"/>
        <v>25</v>
      </c>
      <c r="AQ476" s="12">
        <f t="shared" si="1424"/>
        <v>25</v>
      </c>
      <c r="AR476" s="12">
        <f t="shared" si="1424"/>
        <v>25</v>
      </c>
      <c r="AS476" s="12">
        <f t="shared" si="1424"/>
        <v>25</v>
      </c>
      <c r="AU476" s="11">
        <f t="shared" si="8"/>
        <v>0.2266827207</v>
      </c>
    </row>
    <row r="477" ht="15.75" customHeight="1">
      <c r="A477" s="16">
        <f t="shared" si="4"/>
        <v>30.43202464</v>
      </c>
      <c r="B477" s="7">
        <f>(sum(AH477:AL477))*'Optimal Choice'!$B$28</f>
        <v>4770196</v>
      </c>
      <c r="C477" s="11"/>
      <c r="D477" s="12"/>
      <c r="E477" s="12"/>
      <c r="F477" s="11"/>
      <c r="G477" s="11">
        <f>(T477/$B477)+(T477/('Optimal Choice'!$B$4*AO477))</f>
        <v>7608.687865</v>
      </c>
      <c r="H477" s="11">
        <f>(U477/$B477)+(U477/('Optimal Choice'!$B$9*AP477))</f>
        <v>8611.008018</v>
      </c>
      <c r="I477" s="11">
        <f>(V477/$B477)+(V477/('Optimal Choice'!$B$14*AQ477))</f>
        <v>7709.537592</v>
      </c>
      <c r="J477" s="11">
        <f>(W477/$B477)+(W477/('Optimal Choice'!$B$19*AR477))</f>
        <v>8145.067142</v>
      </c>
      <c r="K477" s="11">
        <f>(X477/$B477)+(X477/('Optimal Choice'!$B$24*AS477))</f>
        <v>7605.11182</v>
      </c>
      <c r="N477" s="12">
        <f t="shared" ref="N477:R477" si="1425">if(min($G476:$K476)=G476,N476+1,N476)</f>
        <v>176</v>
      </c>
      <c r="O477" s="12">
        <f t="shared" si="1425"/>
        <v>79</v>
      </c>
      <c r="P477" s="12">
        <f t="shared" si="1425"/>
        <v>76</v>
      </c>
      <c r="Q477" s="12">
        <f t="shared" si="1425"/>
        <v>73</v>
      </c>
      <c r="R477" s="12">
        <f t="shared" si="1425"/>
        <v>72</v>
      </c>
      <c r="T477" s="13">
        <f> 'Optimal Choice'!$B$5*'Optimal Choice'!$B$6^(N477+1)</f>
        <v>635314.3158</v>
      </c>
      <c r="U477" s="13">
        <f> 'Optimal Choice'!$B$10*'Optimal Choice'!$B$11^(O477+1)</f>
        <v>4305052.764</v>
      </c>
      <c r="V477" s="13">
        <f> 'Optimal Choice'!$B$15*'Optimal Choice'!$B$16^(P477+1)</f>
        <v>17338281.48</v>
      </c>
      <c r="W477" s="13">
        <f> 'Optimal Choice'!$B$20*'Optimal Choice'!$B$21^(Q477+1)</f>
        <v>73167557.96</v>
      </c>
      <c r="X477" s="13">
        <f> 'Optimal Choice'!$B$25*'Optimal Choice'!$B$26^(R477+1)</f>
        <v>406079105.2</v>
      </c>
      <c r="AA477" s="12">
        <f t="shared" ref="AA477:AE477" si="1426">if(isna(VLOOKUP(N477,$D$2:$E$10,2,false)),AA476, VLOOKUP(N477,$D$2:$E$10,2,false))</f>
        <v>50</v>
      </c>
      <c r="AB477" s="12">
        <f t="shared" si="1426"/>
        <v>25</v>
      </c>
      <c r="AC477" s="12">
        <f t="shared" si="1426"/>
        <v>25</v>
      </c>
      <c r="AD477" s="12">
        <f t="shared" si="1426"/>
        <v>25</v>
      </c>
      <c r="AE477" s="12">
        <f t="shared" si="1426"/>
        <v>25</v>
      </c>
      <c r="AH477" s="15">
        <f>N477*'Optimal Choice'!$B$4*AA477</f>
        <v>14696</v>
      </c>
      <c r="AI477" s="15">
        <f>O477*'Optimal Choice'!$B$9*AB477</f>
        <v>39500</v>
      </c>
      <c r="AJ477" s="15">
        <f>P477*'Optimal Choice'!$B$14*AC477</f>
        <v>171000</v>
      </c>
      <c r="AK477" s="15">
        <f>Q477*'Optimal Choice'!$B$19*AD477</f>
        <v>657000</v>
      </c>
      <c r="AL477" s="15">
        <f>R477*'Optimal Choice'!$B$24*AE477</f>
        <v>3888000</v>
      </c>
      <c r="AO477" s="12">
        <f t="shared" ref="AO477:AS477" si="1427">if(isna(VLOOKUP(N477+1,$D$2:$E$10,2,false)),AO476, VLOOKUP(N477+1,$D$2:$E$10,2,false))</f>
        <v>50</v>
      </c>
      <c r="AP477" s="12">
        <f t="shared" si="1427"/>
        <v>25</v>
      </c>
      <c r="AQ477" s="12">
        <f t="shared" si="1427"/>
        <v>25</v>
      </c>
      <c r="AR477" s="12">
        <f t="shared" si="1427"/>
        <v>25</v>
      </c>
      <c r="AS477" s="12">
        <f t="shared" si="1427"/>
        <v>25</v>
      </c>
      <c r="AU477" s="11">
        <f t="shared" si="8"/>
        <v>0.013080932</v>
      </c>
    </row>
    <row r="478" ht="15.75" customHeight="1">
      <c r="A478" s="16">
        <f t="shared" si="4"/>
        <v>31.85083114</v>
      </c>
      <c r="B478" s="7">
        <f>(sum(AH478:AL478))*'Optimal Choice'!$B$28</f>
        <v>4824196</v>
      </c>
      <c r="C478" s="11"/>
      <c r="D478" s="12"/>
      <c r="E478" s="12"/>
      <c r="F478" s="11"/>
      <c r="G478" s="11">
        <f>(T478/$B478)+(T478/('Optimal Choice'!$B$4*AO478))</f>
        <v>7608.686374</v>
      </c>
      <c r="H478" s="11">
        <f>(U478/$B478)+(U478/('Optimal Choice'!$B$9*AP478))</f>
        <v>8610.997916</v>
      </c>
      <c r="I478" s="11">
        <f>(V478/$B478)+(V478/('Optimal Choice'!$B$14*AQ478))</f>
        <v>7709.496906</v>
      </c>
      <c r="J478" s="11">
        <f>(W478/$B478)+(W478/('Optimal Choice'!$B$19*AR478))</f>
        <v>8144.89545</v>
      </c>
      <c r="K478" s="11">
        <f>(X478/$B478)+(X478/('Optimal Choice'!$B$24*AS478))</f>
        <v>8516.658</v>
      </c>
      <c r="N478" s="12">
        <f t="shared" ref="N478:R478" si="1428">if(min($G477:$K477)=G477,N477+1,N477)</f>
        <v>176</v>
      </c>
      <c r="O478" s="12">
        <f t="shared" si="1428"/>
        <v>79</v>
      </c>
      <c r="P478" s="12">
        <f t="shared" si="1428"/>
        <v>76</v>
      </c>
      <c r="Q478" s="12">
        <f t="shared" si="1428"/>
        <v>73</v>
      </c>
      <c r="R478" s="12">
        <f t="shared" si="1428"/>
        <v>73</v>
      </c>
      <c r="T478" s="13">
        <f> 'Optimal Choice'!$B$5*'Optimal Choice'!$B$6^(N478+1)</f>
        <v>635314.3158</v>
      </c>
      <c r="U478" s="13">
        <f> 'Optimal Choice'!$B$10*'Optimal Choice'!$B$11^(O478+1)</f>
        <v>4305052.764</v>
      </c>
      <c r="V478" s="13">
        <f> 'Optimal Choice'!$B$15*'Optimal Choice'!$B$16^(P478+1)</f>
        <v>17338281.48</v>
      </c>
      <c r="W478" s="13">
        <f> 'Optimal Choice'!$B$20*'Optimal Choice'!$B$21^(Q478+1)</f>
        <v>73167557.96</v>
      </c>
      <c r="X478" s="13">
        <f> 'Optimal Choice'!$B$25*'Optimal Choice'!$B$26^(R478+1)</f>
        <v>454808597.8</v>
      </c>
      <c r="AA478" s="12">
        <f t="shared" ref="AA478:AE478" si="1429">if(isna(VLOOKUP(N478,$D$2:$E$10,2,false)),AA477, VLOOKUP(N478,$D$2:$E$10,2,false))</f>
        <v>50</v>
      </c>
      <c r="AB478" s="12">
        <f t="shared" si="1429"/>
        <v>25</v>
      </c>
      <c r="AC478" s="12">
        <f t="shared" si="1429"/>
        <v>25</v>
      </c>
      <c r="AD478" s="12">
        <f t="shared" si="1429"/>
        <v>25</v>
      </c>
      <c r="AE478" s="12">
        <f t="shared" si="1429"/>
        <v>25</v>
      </c>
      <c r="AH478" s="15">
        <f>N478*'Optimal Choice'!$B$4*AA478</f>
        <v>14696</v>
      </c>
      <c r="AI478" s="15">
        <f>O478*'Optimal Choice'!$B$9*AB478</f>
        <v>39500</v>
      </c>
      <c r="AJ478" s="15">
        <f>P478*'Optimal Choice'!$B$14*AC478</f>
        <v>171000</v>
      </c>
      <c r="AK478" s="15">
        <f>Q478*'Optimal Choice'!$B$19*AD478</f>
        <v>657000</v>
      </c>
      <c r="AL478" s="15">
        <f>R478*'Optimal Choice'!$B$24*AE478</f>
        <v>3942000</v>
      </c>
      <c r="AO478" s="12">
        <f t="shared" ref="AO478:AS478" si="1430">if(isna(VLOOKUP(N478+1,$D$2:$E$10,2,false)),AO477, VLOOKUP(N478+1,$D$2:$E$10,2,false))</f>
        <v>50</v>
      </c>
      <c r="AP478" s="12">
        <f t="shared" si="1430"/>
        <v>25</v>
      </c>
      <c r="AQ478" s="12">
        <f t="shared" si="1430"/>
        <v>25</v>
      </c>
      <c r="AR478" s="12">
        <f t="shared" si="1430"/>
        <v>25</v>
      </c>
      <c r="AS478" s="12">
        <f t="shared" si="1430"/>
        <v>25</v>
      </c>
      <c r="AU478" s="11">
        <f t="shared" si="8"/>
        <v>1.418806499</v>
      </c>
    </row>
    <row r="479" ht="15.75" customHeight="1">
      <c r="A479" s="16">
        <f t="shared" si="4"/>
        <v>31.85302603</v>
      </c>
      <c r="B479" s="7">
        <f>(sum(AH479:AL479))*'Optimal Choice'!$B$28</f>
        <v>4824279.5</v>
      </c>
      <c r="C479" s="11"/>
      <c r="D479" s="12"/>
      <c r="E479" s="12"/>
      <c r="F479" s="11"/>
      <c r="G479" s="11">
        <f>(T479/$B479)+(T479/('Optimal Choice'!$B$4*AO479))</f>
        <v>8141.294418</v>
      </c>
      <c r="H479" s="11">
        <f>(U479/$B479)+(U479/('Optimal Choice'!$B$9*AP479))</f>
        <v>8610.9979</v>
      </c>
      <c r="I479" s="11">
        <f>(V479/$B479)+(V479/('Optimal Choice'!$B$14*AQ479))</f>
        <v>7709.496844</v>
      </c>
      <c r="J479" s="11">
        <f>(W479/$B479)+(W479/('Optimal Choice'!$B$19*AR479))</f>
        <v>8144.895187</v>
      </c>
      <c r="K479" s="11">
        <f>(X479/$B479)+(X479/('Optimal Choice'!$B$24*AS479))</f>
        <v>8516.656368</v>
      </c>
      <c r="N479" s="12">
        <f t="shared" ref="N479:R479" si="1431">if(min($G478:$K478)=G478,N478+1,N478)</f>
        <v>177</v>
      </c>
      <c r="O479" s="12">
        <f t="shared" si="1431"/>
        <v>79</v>
      </c>
      <c r="P479" s="12">
        <f t="shared" si="1431"/>
        <v>76</v>
      </c>
      <c r="Q479" s="12">
        <f t="shared" si="1431"/>
        <v>73</v>
      </c>
      <c r="R479" s="12">
        <f t="shared" si="1431"/>
        <v>73</v>
      </c>
      <c r="T479" s="13">
        <f> 'Optimal Choice'!$B$5*'Optimal Choice'!$B$6^(N479+1)</f>
        <v>679786.3179</v>
      </c>
      <c r="U479" s="13">
        <f> 'Optimal Choice'!$B$10*'Optimal Choice'!$B$11^(O479+1)</f>
        <v>4305052.764</v>
      </c>
      <c r="V479" s="13">
        <f> 'Optimal Choice'!$B$15*'Optimal Choice'!$B$16^(P479+1)</f>
        <v>17338281.48</v>
      </c>
      <c r="W479" s="13">
        <f> 'Optimal Choice'!$B$20*'Optimal Choice'!$B$21^(Q479+1)</f>
        <v>73167557.96</v>
      </c>
      <c r="X479" s="13">
        <f> 'Optimal Choice'!$B$25*'Optimal Choice'!$B$26^(R479+1)</f>
        <v>454808597.8</v>
      </c>
      <c r="AA479" s="12">
        <f t="shared" ref="AA479:AE479" si="1432">if(isna(VLOOKUP(N479,$D$2:$E$10,2,false)),AA478, VLOOKUP(N479,$D$2:$E$10,2,false))</f>
        <v>50</v>
      </c>
      <c r="AB479" s="12">
        <f t="shared" si="1432"/>
        <v>25</v>
      </c>
      <c r="AC479" s="12">
        <f t="shared" si="1432"/>
        <v>25</v>
      </c>
      <c r="AD479" s="12">
        <f t="shared" si="1432"/>
        <v>25</v>
      </c>
      <c r="AE479" s="12">
        <f t="shared" si="1432"/>
        <v>25</v>
      </c>
      <c r="AH479" s="15">
        <f>N479*'Optimal Choice'!$B$4*AA479</f>
        <v>14779.5</v>
      </c>
      <c r="AI479" s="15">
        <f>O479*'Optimal Choice'!$B$9*AB479</f>
        <v>39500</v>
      </c>
      <c r="AJ479" s="15">
        <f>P479*'Optimal Choice'!$B$14*AC479</f>
        <v>171000</v>
      </c>
      <c r="AK479" s="15">
        <f>Q479*'Optimal Choice'!$B$19*AD479</f>
        <v>657000</v>
      </c>
      <c r="AL479" s="15">
        <f>R479*'Optimal Choice'!$B$24*AE479</f>
        <v>3942000</v>
      </c>
      <c r="AO479" s="12">
        <f t="shared" ref="AO479:AS479" si="1433">if(isna(VLOOKUP(N479+1,$D$2:$E$10,2,false)),AO478, VLOOKUP(N479+1,$D$2:$E$10,2,false))</f>
        <v>50</v>
      </c>
      <c r="AP479" s="12">
        <f t="shared" si="1433"/>
        <v>25</v>
      </c>
      <c r="AQ479" s="12">
        <f t="shared" si="1433"/>
        <v>25</v>
      </c>
      <c r="AR479" s="12">
        <f t="shared" si="1433"/>
        <v>25</v>
      </c>
      <c r="AS479" s="12">
        <f t="shared" si="1433"/>
        <v>25</v>
      </c>
      <c r="AU479" s="11">
        <f t="shared" si="8"/>
        <v>0.002194888419</v>
      </c>
    </row>
    <row r="480" ht="15.75" customHeight="1">
      <c r="A480" s="16">
        <f t="shared" si="4"/>
        <v>31.91292541</v>
      </c>
      <c r="B480" s="7">
        <f>(sum(AH480:AL480))*'Optimal Choice'!$B$28</f>
        <v>4826529.5</v>
      </c>
      <c r="C480" s="11"/>
      <c r="D480" s="12"/>
      <c r="E480" s="12"/>
      <c r="F480" s="11"/>
      <c r="G480" s="11">
        <f>(T480/$B480)+(T480/('Optimal Choice'!$B$4*AO480))</f>
        <v>8141.294352</v>
      </c>
      <c r="H480" s="11">
        <f>(U480/$B480)+(U480/('Optimal Choice'!$B$9*AP480))</f>
        <v>8610.997484</v>
      </c>
      <c r="I480" s="11">
        <f>(V480/$B480)+(V480/('Optimal Choice'!$B$14*AQ480))</f>
        <v>8788.824492</v>
      </c>
      <c r="J480" s="11">
        <f>(W480/$B480)+(W480/('Optimal Choice'!$B$19*AR480))</f>
        <v>8144.888117</v>
      </c>
      <c r="K480" s="11">
        <f>(X480/$B480)+(X480/('Optimal Choice'!$B$24*AS480))</f>
        <v>8516.61242</v>
      </c>
      <c r="N480" s="12">
        <f t="shared" ref="N480:R480" si="1434">if(min($G479:$K479)=G479,N479+1,N479)</f>
        <v>177</v>
      </c>
      <c r="O480" s="12">
        <f t="shared" si="1434"/>
        <v>79</v>
      </c>
      <c r="P480" s="12">
        <f t="shared" si="1434"/>
        <v>77</v>
      </c>
      <c r="Q480" s="12">
        <f t="shared" si="1434"/>
        <v>73</v>
      </c>
      <c r="R480" s="12">
        <f t="shared" si="1434"/>
        <v>73</v>
      </c>
      <c r="T480" s="13">
        <f> 'Optimal Choice'!$B$5*'Optimal Choice'!$B$6^(N480+1)</f>
        <v>679786.3179</v>
      </c>
      <c r="U480" s="13">
        <f> 'Optimal Choice'!$B$10*'Optimal Choice'!$B$11^(O480+1)</f>
        <v>4305052.764</v>
      </c>
      <c r="V480" s="13">
        <f> 'Optimal Choice'!$B$15*'Optimal Choice'!$B$16^(P480+1)</f>
        <v>19765640.89</v>
      </c>
      <c r="W480" s="13">
        <f> 'Optimal Choice'!$B$20*'Optimal Choice'!$B$21^(Q480+1)</f>
        <v>73167557.96</v>
      </c>
      <c r="X480" s="13">
        <f> 'Optimal Choice'!$B$25*'Optimal Choice'!$B$26^(R480+1)</f>
        <v>454808597.8</v>
      </c>
      <c r="AA480" s="12">
        <f t="shared" ref="AA480:AE480" si="1435">if(isna(VLOOKUP(N480,$D$2:$E$10,2,false)),AA479, VLOOKUP(N480,$D$2:$E$10,2,false))</f>
        <v>50</v>
      </c>
      <c r="AB480" s="12">
        <f t="shared" si="1435"/>
        <v>25</v>
      </c>
      <c r="AC480" s="12">
        <f t="shared" si="1435"/>
        <v>25</v>
      </c>
      <c r="AD480" s="12">
        <f t="shared" si="1435"/>
        <v>25</v>
      </c>
      <c r="AE480" s="12">
        <f t="shared" si="1435"/>
        <v>25</v>
      </c>
      <c r="AH480" s="15">
        <f>N480*'Optimal Choice'!$B$4*AA480</f>
        <v>14779.5</v>
      </c>
      <c r="AI480" s="15">
        <f>O480*'Optimal Choice'!$B$9*AB480</f>
        <v>39500</v>
      </c>
      <c r="AJ480" s="15">
        <f>P480*'Optimal Choice'!$B$14*AC480</f>
        <v>173250</v>
      </c>
      <c r="AK480" s="15">
        <f>Q480*'Optimal Choice'!$B$19*AD480</f>
        <v>657000</v>
      </c>
      <c r="AL480" s="15">
        <f>R480*'Optimal Choice'!$B$24*AE480</f>
        <v>3942000</v>
      </c>
      <c r="AO480" s="12">
        <f t="shared" ref="AO480:AS480" si="1436">if(isna(VLOOKUP(N480+1,$D$2:$E$10,2,false)),AO479, VLOOKUP(N480+1,$D$2:$E$10,2,false))</f>
        <v>50</v>
      </c>
      <c r="AP480" s="12">
        <f t="shared" si="1436"/>
        <v>25</v>
      </c>
      <c r="AQ480" s="12">
        <f t="shared" si="1436"/>
        <v>25</v>
      </c>
      <c r="AR480" s="12">
        <f t="shared" si="1436"/>
        <v>25</v>
      </c>
      <c r="AS480" s="12">
        <f t="shared" si="1436"/>
        <v>25</v>
      </c>
      <c r="AU480" s="11">
        <f t="shared" si="8"/>
        <v>0.05989938146</v>
      </c>
    </row>
    <row r="481" ht="15.75" customHeight="1">
      <c r="A481" s="16">
        <f t="shared" si="4"/>
        <v>31.91527281</v>
      </c>
      <c r="B481" s="7">
        <f>(sum(AH481:AL481))*'Optimal Choice'!$B$28</f>
        <v>4826613</v>
      </c>
      <c r="C481" s="11"/>
      <c r="D481" s="12"/>
      <c r="E481" s="12"/>
      <c r="F481" s="11"/>
      <c r="G481" s="11">
        <f>(T481/$B481)+(T481/('Optimal Choice'!$B$4*AO481))</f>
        <v>8711.184954</v>
      </c>
      <c r="H481" s="11">
        <f>(U481/$B481)+(U481/('Optimal Choice'!$B$9*AP481))</f>
        <v>8610.997469</v>
      </c>
      <c r="I481" s="11">
        <f>(V481/$B481)+(V481/('Optimal Choice'!$B$14*AQ481))</f>
        <v>8788.824422</v>
      </c>
      <c r="J481" s="11">
        <f>(W481/$B481)+(W481/('Optimal Choice'!$B$19*AR481))</f>
        <v>8144.887855</v>
      </c>
      <c r="K481" s="11">
        <f>(X481/$B481)+(X481/('Optimal Choice'!$B$24*AS481))</f>
        <v>8516.61079</v>
      </c>
      <c r="N481" s="12">
        <f t="shared" ref="N481:R481" si="1437">if(min($G480:$K480)=G480,N480+1,N480)</f>
        <v>178</v>
      </c>
      <c r="O481" s="12">
        <f t="shared" si="1437"/>
        <v>79</v>
      </c>
      <c r="P481" s="12">
        <f t="shared" si="1437"/>
        <v>77</v>
      </c>
      <c r="Q481" s="12">
        <f t="shared" si="1437"/>
        <v>73</v>
      </c>
      <c r="R481" s="12">
        <f t="shared" si="1437"/>
        <v>73</v>
      </c>
      <c r="T481" s="13">
        <f> 'Optimal Choice'!$B$5*'Optimal Choice'!$B$6^(N481+1)</f>
        <v>727371.3602</v>
      </c>
      <c r="U481" s="13">
        <f> 'Optimal Choice'!$B$10*'Optimal Choice'!$B$11^(O481+1)</f>
        <v>4305052.764</v>
      </c>
      <c r="V481" s="13">
        <f> 'Optimal Choice'!$B$15*'Optimal Choice'!$B$16^(P481+1)</f>
        <v>19765640.89</v>
      </c>
      <c r="W481" s="13">
        <f> 'Optimal Choice'!$B$20*'Optimal Choice'!$B$21^(Q481+1)</f>
        <v>73167557.96</v>
      </c>
      <c r="X481" s="13">
        <f> 'Optimal Choice'!$B$25*'Optimal Choice'!$B$26^(R481+1)</f>
        <v>454808597.8</v>
      </c>
      <c r="AA481" s="12">
        <f t="shared" ref="AA481:AE481" si="1438">if(isna(VLOOKUP(N481,$D$2:$E$10,2,false)),AA480, VLOOKUP(N481,$D$2:$E$10,2,false))</f>
        <v>50</v>
      </c>
      <c r="AB481" s="12">
        <f t="shared" si="1438"/>
        <v>25</v>
      </c>
      <c r="AC481" s="12">
        <f t="shared" si="1438"/>
        <v>25</v>
      </c>
      <c r="AD481" s="12">
        <f t="shared" si="1438"/>
        <v>25</v>
      </c>
      <c r="AE481" s="12">
        <f t="shared" si="1438"/>
        <v>25</v>
      </c>
      <c r="AH481" s="15">
        <f>N481*'Optimal Choice'!$B$4*AA481</f>
        <v>14863</v>
      </c>
      <c r="AI481" s="15">
        <f>O481*'Optimal Choice'!$B$9*AB481</f>
        <v>39500</v>
      </c>
      <c r="AJ481" s="15">
        <f>P481*'Optimal Choice'!$B$14*AC481</f>
        <v>173250</v>
      </c>
      <c r="AK481" s="15">
        <f>Q481*'Optimal Choice'!$B$19*AD481</f>
        <v>657000</v>
      </c>
      <c r="AL481" s="15">
        <f>R481*'Optimal Choice'!$B$24*AE481</f>
        <v>3942000</v>
      </c>
      <c r="AO481" s="12">
        <f t="shared" ref="AO481:AS481" si="1439">if(isna(VLOOKUP(N481+1,$D$2:$E$10,2,false)),AO480, VLOOKUP(N481+1,$D$2:$E$10,2,false))</f>
        <v>50</v>
      </c>
      <c r="AP481" s="12">
        <f t="shared" si="1439"/>
        <v>25</v>
      </c>
      <c r="AQ481" s="12">
        <f t="shared" si="1439"/>
        <v>25</v>
      </c>
      <c r="AR481" s="12">
        <f t="shared" si="1439"/>
        <v>25</v>
      </c>
      <c r="AS481" s="12">
        <f t="shared" si="1439"/>
        <v>25</v>
      </c>
      <c r="AU481" s="11">
        <f t="shared" si="8"/>
        <v>0.002347395155</v>
      </c>
    </row>
    <row r="482" ht="15.75" customHeight="1">
      <c r="A482" s="16">
        <f t="shared" si="4"/>
        <v>32.16792602</v>
      </c>
      <c r="B482" s="7">
        <f>(sum(AH482:AL482))*'Optimal Choice'!$B$28</f>
        <v>4835613</v>
      </c>
      <c r="C482" s="11"/>
      <c r="D482" s="12"/>
      <c r="E482" s="12"/>
      <c r="F482" s="11"/>
      <c r="G482" s="11">
        <f>(T482/$B482)+(T482/('Optimal Choice'!$B$4*AO482))</f>
        <v>8711.184674</v>
      </c>
      <c r="H482" s="11">
        <f>(U482/$B482)+(U482/('Optimal Choice'!$B$9*AP482))</f>
        <v>8610.995809</v>
      </c>
      <c r="I482" s="11">
        <f>(V482/$B482)+(V482/('Optimal Choice'!$B$14*AQ482))</f>
        <v>8788.8168</v>
      </c>
      <c r="J482" s="11">
        <f>(W482/$B482)+(W482/('Optimal Choice'!$B$19*AR482))</f>
        <v>9203.691394</v>
      </c>
      <c r="K482" s="11">
        <f>(X482/$B482)+(X482/('Optimal Choice'!$B$24*AS482))</f>
        <v>8516.435411</v>
      </c>
      <c r="N482" s="12">
        <f t="shared" ref="N482:R482" si="1440">if(min($G481:$K481)=G481,N481+1,N481)</f>
        <v>178</v>
      </c>
      <c r="O482" s="12">
        <f t="shared" si="1440"/>
        <v>79</v>
      </c>
      <c r="P482" s="12">
        <f t="shared" si="1440"/>
        <v>77</v>
      </c>
      <c r="Q482" s="12">
        <f t="shared" si="1440"/>
        <v>74</v>
      </c>
      <c r="R482" s="12">
        <f t="shared" si="1440"/>
        <v>73</v>
      </c>
      <c r="T482" s="13">
        <f> 'Optimal Choice'!$B$5*'Optimal Choice'!$B$6^(N482+1)</f>
        <v>727371.3602</v>
      </c>
      <c r="U482" s="13">
        <f> 'Optimal Choice'!$B$10*'Optimal Choice'!$B$11^(O482+1)</f>
        <v>4305052.764</v>
      </c>
      <c r="V482" s="13">
        <f> 'Optimal Choice'!$B$15*'Optimal Choice'!$B$16^(P482+1)</f>
        <v>19765640.89</v>
      </c>
      <c r="W482" s="13">
        <f> 'Optimal Choice'!$B$20*'Optimal Choice'!$B$21^(Q482+1)</f>
        <v>82679340.49</v>
      </c>
      <c r="X482" s="13">
        <f> 'Optimal Choice'!$B$25*'Optimal Choice'!$B$26^(R482+1)</f>
        <v>454808597.8</v>
      </c>
      <c r="AA482" s="12">
        <f t="shared" ref="AA482:AE482" si="1441">if(isna(VLOOKUP(N482,$D$2:$E$10,2,false)),AA481, VLOOKUP(N482,$D$2:$E$10,2,false))</f>
        <v>50</v>
      </c>
      <c r="AB482" s="12">
        <f t="shared" si="1441"/>
        <v>25</v>
      </c>
      <c r="AC482" s="12">
        <f t="shared" si="1441"/>
        <v>25</v>
      </c>
      <c r="AD482" s="12">
        <f t="shared" si="1441"/>
        <v>25</v>
      </c>
      <c r="AE482" s="12">
        <f t="shared" si="1441"/>
        <v>25</v>
      </c>
      <c r="AH482" s="15">
        <f>N482*'Optimal Choice'!$B$4*AA482</f>
        <v>14863</v>
      </c>
      <c r="AI482" s="15">
        <f>O482*'Optimal Choice'!$B$9*AB482</f>
        <v>39500</v>
      </c>
      <c r="AJ482" s="15">
        <f>P482*'Optimal Choice'!$B$14*AC482</f>
        <v>173250</v>
      </c>
      <c r="AK482" s="15">
        <f>Q482*'Optimal Choice'!$B$19*AD482</f>
        <v>666000</v>
      </c>
      <c r="AL482" s="15">
        <f>R482*'Optimal Choice'!$B$24*AE482</f>
        <v>3942000</v>
      </c>
      <c r="AO482" s="12">
        <f t="shared" ref="AO482:AS482" si="1442">if(isna(VLOOKUP(N482+1,$D$2:$E$10,2,false)),AO481, VLOOKUP(N482+1,$D$2:$E$10,2,false))</f>
        <v>50</v>
      </c>
      <c r="AP482" s="12">
        <f t="shared" si="1442"/>
        <v>25</v>
      </c>
      <c r="AQ482" s="12">
        <f t="shared" si="1442"/>
        <v>25</v>
      </c>
      <c r="AR482" s="12">
        <f t="shared" si="1442"/>
        <v>25</v>
      </c>
      <c r="AS482" s="12">
        <f t="shared" si="1442"/>
        <v>25</v>
      </c>
      <c r="AU482" s="11">
        <f t="shared" si="8"/>
        <v>0.2526532165</v>
      </c>
    </row>
    <row r="483" ht="15.75" customHeight="1">
      <c r="A483" s="16">
        <f t="shared" si="4"/>
        <v>33.73549218</v>
      </c>
      <c r="B483" s="7">
        <f>(sum(AH483:AL483))*'Optimal Choice'!$B$28</f>
        <v>4889613</v>
      </c>
      <c r="C483" s="11"/>
      <c r="D483" s="12"/>
      <c r="E483" s="12"/>
      <c r="F483" s="11"/>
      <c r="G483" s="11">
        <f>(T483/$B483)+(T483/('Optimal Choice'!$B$4*AO483))</f>
        <v>8711.183012</v>
      </c>
      <c r="H483" s="11">
        <f>(U483/$B483)+(U483/('Optimal Choice'!$B$9*AP483))</f>
        <v>8610.985977</v>
      </c>
      <c r="I483" s="11">
        <f>(V483/$B483)+(V483/('Optimal Choice'!$B$14*AQ483))</f>
        <v>8788.771658</v>
      </c>
      <c r="J483" s="11">
        <f>(W483/$B483)+(W483/('Optimal Choice'!$B$19*AR483))</f>
        <v>9203.502567</v>
      </c>
      <c r="K483" s="11">
        <f>(X483/$B483)+(X483/('Optimal Choice'!$B$24*AS483))</f>
        <v>9537.244299</v>
      </c>
      <c r="N483" s="12">
        <f t="shared" ref="N483:R483" si="1443">if(min($G482:$K482)=G482,N482+1,N482)</f>
        <v>178</v>
      </c>
      <c r="O483" s="12">
        <f t="shared" si="1443"/>
        <v>79</v>
      </c>
      <c r="P483" s="12">
        <f t="shared" si="1443"/>
        <v>77</v>
      </c>
      <c r="Q483" s="12">
        <f t="shared" si="1443"/>
        <v>74</v>
      </c>
      <c r="R483" s="12">
        <f t="shared" si="1443"/>
        <v>74</v>
      </c>
      <c r="T483" s="13">
        <f> 'Optimal Choice'!$B$5*'Optimal Choice'!$B$6^(N483+1)</f>
        <v>727371.3602</v>
      </c>
      <c r="U483" s="13">
        <f> 'Optimal Choice'!$B$10*'Optimal Choice'!$B$11^(O483+1)</f>
        <v>4305052.764</v>
      </c>
      <c r="V483" s="13">
        <f> 'Optimal Choice'!$B$15*'Optimal Choice'!$B$16^(P483+1)</f>
        <v>19765640.89</v>
      </c>
      <c r="W483" s="13">
        <f> 'Optimal Choice'!$B$20*'Optimal Choice'!$B$21^(Q483+1)</f>
        <v>82679340.49</v>
      </c>
      <c r="X483" s="13">
        <f> 'Optimal Choice'!$B$25*'Optimal Choice'!$B$26^(R483+1)</f>
        <v>509385629.6</v>
      </c>
      <c r="AA483" s="12">
        <f t="shared" ref="AA483:AE483" si="1444">if(isna(VLOOKUP(N483,$D$2:$E$10,2,false)),AA482, VLOOKUP(N483,$D$2:$E$10,2,false))</f>
        <v>50</v>
      </c>
      <c r="AB483" s="12">
        <f t="shared" si="1444"/>
        <v>25</v>
      </c>
      <c r="AC483" s="12">
        <f t="shared" si="1444"/>
        <v>25</v>
      </c>
      <c r="AD483" s="12">
        <f t="shared" si="1444"/>
        <v>25</v>
      </c>
      <c r="AE483" s="12">
        <f t="shared" si="1444"/>
        <v>25</v>
      </c>
      <c r="AH483" s="15">
        <f>N483*'Optimal Choice'!$B$4*AA483</f>
        <v>14863</v>
      </c>
      <c r="AI483" s="15">
        <f>O483*'Optimal Choice'!$B$9*AB483</f>
        <v>39500</v>
      </c>
      <c r="AJ483" s="15">
        <f>P483*'Optimal Choice'!$B$14*AC483</f>
        <v>173250</v>
      </c>
      <c r="AK483" s="15">
        <f>Q483*'Optimal Choice'!$B$19*AD483</f>
        <v>666000</v>
      </c>
      <c r="AL483" s="15">
        <f>R483*'Optimal Choice'!$B$24*AE483</f>
        <v>3996000</v>
      </c>
      <c r="AO483" s="12">
        <f t="shared" ref="AO483:AS483" si="1445">if(isna(VLOOKUP(N483+1,$D$2:$E$10,2,false)),AO482, VLOOKUP(N483+1,$D$2:$E$10,2,false))</f>
        <v>50</v>
      </c>
      <c r="AP483" s="12">
        <f t="shared" si="1445"/>
        <v>25</v>
      </c>
      <c r="AQ483" s="12">
        <f t="shared" si="1445"/>
        <v>25</v>
      </c>
      <c r="AR483" s="12">
        <f t="shared" si="1445"/>
        <v>25</v>
      </c>
      <c r="AS483" s="12">
        <f t="shared" si="1445"/>
        <v>25</v>
      </c>
      <c r="AU483" s="11">
        <f t="shared" si="8"/>
        <v>1.567566159</v>
      </c>
    </row>
    <row r="484" ht="15.75" customHeight="1">
      <c r="A484" s="16">
        <f t="shared" si="4"/>
        <v>33.75016633</v>
      </c>
      <c r="B484" s="7">
        <f>(sum(AH484:AL484))*'Optimal Choice'!$B$28</f>
        <v>4890113</v>
      </c>
      <c r="C484" s="11"/>
      <c r="D484" s="12"/>
      <c r="E484" s="12"/>
      <c r="F484" s="11"/>
      <c r="G484" s="11">
        <f>(T484/$B484)+(T484/('Optimal Choice'!$B$4*AO484))</f>
        <v>8711.182997</v>
      </c>
      <c r="H484" s="11">
        <f>(U484/$B484)+(U484/('Optimal Choice'!$B$9*AP484))</f>
        <v>9902.63377</v>
      </c>
      <c r="I484" s="11">
        <f>(V484/$B484)+(V484/('Optimal Choice'!$B$14*AQ484))</f>
        <v>8788.771245</v>
      </c>
      <c r="J484" s="11">
        <f>(W484/$B484)+(W484/('Optimal Choice'!$B$19*AR484))</f>
        <v>9203.500838</v>
      </c>
      <c r="K484" s="11">
        <f>(X484/$B484)+(X484/('Optimal Choice'!$B$24*AS484))</f>
        <v>9537.233648</v>
      </c>
      <c r="N484" s="12">
        <f t="shared" ref="N484:R484" si="1446">if(min($G483:$K483)=G483,N483+1,N483)</f>
        <v>178</v>
      </c>
      <c r="O484" s="12">
        <f t="shared" si="1446"/>
        <v>80</v>
      </c>
      <c r="P484" s="12">
        <f t="shared" si="1446"/>
        <v>77</v>
      </c>
      <c r="Q484" s="12">
        <f t="shared" si="1446"/>
        <v>74</v>
      </c>
      <c r="R484" s="12">
        <f t="shared" si="1446"/>
        <v>74</v>
      </c>
      <c r="T484" s="13">
        <f> 'Optimal Choice'!$B$5*'Optimal Choice'!$B$6^(N484+1)</f>
        <v>727371.3602</v>
      </c>
      <c r="U484" s="13">
        <f> 'Optimal Choice'!$B$10*'Optimal Choice'!$B$11^(O484+1)</f>
        <v>4950810.679</v>
      </c>
      <c r="V484" s="13">
        <f> 'Optimal Choice'!$B$15*'Optimal Choice'!$B$16^(P484+1)</f>
        <v>19765640.89</v>
      </c>
      <c r="W484" s="13">
        <f> 'Optimal Choice'!$B$20*'Optimal Choice'!$B$21^(Q484+1)</f>
        <v>82679340.49</v>
      </c>
      <c r="X484" s="13">
        <f> 'Optimal Choice'!$B$25*'Optimal Choice'!$B$26^(R484+1)</f>
        <v>509385629.6</v>
      </c>
      <c r="AA484" s="12">
        <f t="shared" ref="AA484:AE484" si="1447">if(isna(VLOOKUP(N484,$D$2:$E$10,2,false)),AA483, VLOOKUP(N484,$D$2:$E$10,2,false))</f>
        <v>50</v>
      </c>
      <c r="AB484" s="12">
        <f t="shared" si="1447"/>
        <v>25</v>
      </c>
      <c r="AC484" s="12">
        <f t="shared" si="1447"/>
        <v>25</v>
      </c>
      <c r="AD484" s="12">
        <f t="shared" si="1447"/>
        <v>25</v>
      </c>
      <c r="AE484" s="12">
        <f t="shared" si="1447"/>
        <v>25</v>
      </c>
      <c r="AH484" s="15">
        <f>N484*'Optimal Choice'!$B$4*AA484</f>
        <v>14863</v>
      </c>
      <c r="AI484" s="15">
        <f>O484*'Optimal Choice'!$B$9*AB484</f>
        <v>40000</v>
      </c>
      <c r="AJ484" s="15">
        <f>P484*'Optimal Choice'!$B$14*AC484</f>
        <v>173250</v>
      </c>
      <c r="AK484" s="15">
        <f>Q484*'Optimal Choice'!$B$19*AD484</f>
        <v>666000</v>
      </c>
      <c r="AL484" s="15">
        <f>R484*'Optimal Choice'!$B$24*AE484</f>
        <v>3996000</v>
      </c>
      <c r="AO484" s="12">
        <f t="shared" ref="AO484:AS484" si="1448">if(isna(VLOOKUP(N484+1,$D$2:$E$10,2,false)),AO483, VLOOKUP(N484+1,$D$2:$E$10,2,false))</f>
        <v>50</v>
      </c>
      <c r="AP484" s="12">
        <f t="shared" si="1448"/>
        <v>25</v>
      </c>
      <c r="AQ484" s="12">
        <f t="shared" si="1448"/>
        <v>25</v>
      </c>
      <c r="AR484" s="12">
        <f t="shared" si="1448"/>
        <v>25</v>
      </c>
      <c r="AS484" s="12">
        <f t="shared" si="1448"/>
        <v>25</v>
      </c>
      <c r="AU484" s="11">
        <f t="shared" si="8"/>
        <v>0.0146741428</v>
      </c>
    </row>
    <row r="485" ht="15.75" customHeight="1">
      <c r="A485" s="16">
        <f t="shared" si="4"/>
        <v>33.75264538</v>
      </c>
      <c r="B485" s="7">
        <f>(sum(AH485:AL485))*'Optimal Choice'!$B$28</f>
        <v>4890196.5</v>
      </c>
      <c r="C485" s="11"/>
      <c r="D485" s="12"/>
      <c r="E485" s="12"/>
      <c r="F485" s="11"/>
      <c r="G485" s="11">
        <f>(T485/$B485)+(T485/('Optimal Choice'!$B$4*AO485))</f>
        <v>9320.965804</v>
      </c>
      <c r="H485" s="11">
        <f>(U485/$B485)+(U485/('Optimal Choice'!$B$9*AP485))</f>
        <v>9902.633752</v>
      </c>
      <c r="I485" s="11">
        <f>(V485/$B485)+(V485/('Optimal Choice'!$B$14*AQ485))</f>
        <v>8788.771176</v>
      </c>
      <c r="J485" s="11">
        <f>(W485/$B485)+(W485/('Optimal Choice'!$B$19*AR485))</f>
        <v>9203.500549</v>
      </c>
      <c r="K485" s="11">
        <f>(X485/$B485)+(X485/('Optimal Choice'!$B$24*AS485))</f>
        <v>9537.231869</v>
      </c>
      <c r="N485" s="12">
        <f t="shared" ref="N485:R485" si="1449">if(min($G484:$K484)=G484,N484+1,N484)</f>
        <v>179</v>
      </c>
      <c r="O485" s="12">
        <f t="shared" si="1449"/>
        <v>80</v>
      </c>
      <c r="P485" s="12">
        <f t="shared" si="1449"/>
        <v>77</v>
      </c>
      <c r="Q485" s="12">
        <f t="shared" si="1449"/>
        <v>74</v>
      </c>
      <c r="R485" s="12">
        <f t="shared" si="1449"/>
        <v>74</v>
      </c>
      <c r="T485" s="13">
        <f> 'Optimal Choice'!$B$5*'Optimal Choice'!$B$6^(N485+1)</f>
        <v>778287.3554</v>
      </c>
      <c r="U485" s="13">
        <f> 'Optimal Choice'!$B$10*'Optimal Choice'!$B$11^(O485+1)</f>
        <v>4950810.679</v>
      </c>
      <c r="V485" s="13">
        <f> 'Optimal Choice'!$B$15*'Optimal Choice'!$B$16^(P485+1)</f>
        <v>19765640.89</v>
      </c>
      <c r="W485" s="13">
        <f> 'Optimal Choice'!$B$20*'Optimal Choice'!$B$21^(Q485+1)</f>
        <v>82679340.49</v>
      </c>
      <c r="X485" s="13">
        <f> 'Optimal Choice'!$B$25*'Optimal Choice'!$B$26^(R485+1)</f>
        <v>509385629.6</v>
      </c>
      <c r="AA485" s="12">
        <f t="shared" ref="AA485:AE485" si="1450">if(isna(VLOOKUP(N485,$D$2:$E$10,2,false)),AA484, VLOOKUP(N485,$D$2:$E$10,2,false))</f>
        <v>50</v>
      </c>
      <c r="AB485" s="12">
        <f t="shared" si="1450"/>
        <v>25</v>
      </c>
      <c r="AC485" s="12">
        <f t="shared" si="1450"/>
        <v>25</v>
      </c>
      <c r="AD485" s="12">
        <f t="shared" si="1450"/>
        <v>25</v>
      </c>
      <c r="AE485" s="12">
        <f t="shared" si="1450"/>
        <v>25</v>
      </c>
      <c r="AH485" s="15">
        <f>N485*'Optimal Choice'!$B$4*AA485</f>
        <v>14946.5</v>
      </c>
      <c r="AI485" s="15">
        <f>O485*'Optimal Choice'!$B$9*AB485</f>
        <v>40000</v>
      </c>
      <c r="AJ485" s="15">
        <f>P485*'Optimal Choice'!$B$14*AC485</f>
        <v>173250</v>
      </c>
      <c r="AK485" s="15">
        <f>Q485*'Optimal Choice'!$B$19*AD485</f>
        <v>666000</v>
      </c>
      <c r="AL485" s="15">
        <f>R485*'Optimal Choice'!$B$24*AE485</f>
        <v>3996000</v>
      </c>
      <c r="AO485" s="12">
        <f t="shared" ref="AO485:AS485" si="1451">if(isna(VLOOKUP(N485+1,$D$2:$E$10,2,false)),AO484, VLOOKUP(N485+1,$D$2:$E$10,2,false))</f>
        <v>50</v>
      </c>
      <c r="AP485" s="12">
        <f t="shared" si="1451"/>
        <v>25</v>
      </c>
      <c r="AQ485" s="12">
        <f t="shared" si="1451"/>
        <v>25</v>
      </c>
      <c r="AR485" s="12">
        <f t="shared" si="1451"/>
        <v>25</v>
      </c>
      <c r="AS485" s="12">
        <f t="shared" si="1451"/>
        <v>25</v>
      </c>
      <c r="AU485" s="11">
        <f t="shared" si="8"/>
        <v>0.00247905437</v>
      </c>
    </row>
    <row r="486" ht="15.75" customHeight="1">
      <c r="A486" s="16">
        <f t="shared" si="4"/>
        <v>33.82001023</v>
      </c>
      <c r="B486" s="7">
        <f>(sum(AH486:AL486))*'Optimal Choice'!$B$28</f>
        <v>4892446.5</v>
      </c>
      <c r="C486" s="11"/>
      <c r="D486" s="12"/>
      <c r="E486" s="12"/>
      <c r="F486" s="11"/>
      <c r="G486" s="11">
        <f>(T486/$B486)+(T486/('Optimal Choice'!$B$4*AO486))</f>
        <v>9320.965731</v>
      </c>
      <c r="H486" s="11">
        <f>(U486/$B486)+(U486/('Optimal Choice'!$B$9*AP486))</f>
        <v>9902.633287</v>
      </c>
      <c r="I486" s="11">
        <f>(V486/$B486)+(V486/('Optimal Choice'!$B$14*AQ486))</f>
        <v>10019.19702</v>
      </c>
      <c r="J486" s="11">
        <f>(W486/$B486)+(W486/('Optimal Choice'!$B$19*AR486))</f>
        <v>9203.492774</v>
      </c>
      <c r="K486" s="11">
        <f>(X486/$B486)+(X486/('Optimal Choice'!$B$24*AS486))</f>
        <v>9537.183964</v>
      </c>
      <c r="N486" s="12">
        <f t="shared" ref="N486:R486" si="1452">if(min($G485:$K485)=G485,N485+1,N485)</f>
        <v>179</v>
      </c>
      <c r="O486" s="12">
        <f t="shared" si="1452"/>
        <v>80</v>
      </c>
      <c r="P486" s="12">
        <f t="shared" si="1452"/>
        <v>78</v>
      </c>
      <c r="Q486" s="12">
        <f t="shared" si="1452"/>
        <v>74</v>
      </c>
      <c r="R486" s="12">
        <f t="shared" si="1452"/>
        <v>74</v>
      </c>
      <c r="T486" s="13">
        <f> 'Optimal Choice'!$B$5*'Optimal Choice'!$B$6^(N486+1)</f>
        <v>778287.3554</v>
      </c>
      <c r="U486" s="13">
        <f> 'Optimal Choice'!$B$10*'Optimal Choice'!$B$11^(O486+1)</f>
        <v>4950810.679</v>
      </c>
      <c r="V486" s="13">
        <f> 'Optimal Choice'!$B$15*'Optimal Choice'!$B$16^(P486+1)</f>
        <v>22532830.62</v>
      </c>
      <c r="W486" s="13">
        <f> 'Optimal Choice'!$B$20*'Optimal Choice'!$B$21^(Q486+1)</f>
        <v>82679340.49</v>
      </c>
      <c r="X486" s="13">
        <f> 'Optimal Choice'!$B$25*'Optimal Choice'!$B$26^(R486+1)</f>
        <v>509385629.6</v>
      </c>
      <c r="AA486" s="12">
        <f t="shared" ref="AA486:AE486" si="1453">if(isna(VLOOKUP(N486,$D$2:$E$10,2,false)),AA485, VLOOKUP(N486,$D$2:$E$10,2,false))</f>
        <v>50</v>
      </c>
      <c r="AB486" s="12">
        <f t="shared" si="1453"/>
        <v>25</v>
      </c>
      <c r="AC486" s="12">
        <f t="shared" si="1453"/>
        <v>25</v>
      </c>
      <c r="AD486" s="12">
        <f t="shared" si="1453"/>
        <v>25</v>
      </c>
      <c r="AE486" s="12">
        <f t="shared" si="1453"/>
        <v>25</v>
      </c>
      <c r="AH486" s="15">
        <f>N486*'Optimal Choice'!$B$4*AA486</f>
        <v>14946.5</v>
      </c>
      <c r="AI486" s="15">
        <f>O486*'Optimal Choice'!$B$9*AB486</f>
        <v>40000</v>
      </c>
      <c r="AJ486" s="15">
        <f>P486*'Optimal Choice'!$B$14*AC486</f>
        <v>175500</v>
      </c>
      <c r="AK486" s="15">
        <f>Q486*'Optimal Choice'!$B$19*AD486</f>
        <v>666000</v>
      </c>
      <c r="AL486" s="15">
        <f>R486*'Optimal Choice'!$B$24*AE486</f>
        <v>3996000</v>
      </c>
      <c r="AO486" s="12">
        <f t="shared" ref="AO486:AS486" si="1454">if(isna(VLOOKUP(N486+1,$D$2:$E$10,2,false)),AO485, VLOOKUP(N486+1,$D$2:$E$10,2,false))</f>
        <v>50</v>
      </c>
      <c r="AP486" s="12">
        <f t="shared" si="1454"/>
        <v>25</v>
      </c>
      <c r="AQ486" s="12">
        <f t="shared" si="1454"/>
        <v>25</v>
      </c>
      <c r="AR486" s="12">
        <f t="shared" si="1454"/>
        <v>25</v>
      </c>
      <c r="AS486" s="12">
        <f t="shared" si="1454"/>
        <v>25</v>
      </c>
      <c r="AU486" s="11">
        <f t="shared" si="8"/>
        <v>0.06736484887</v>
      </c>
    </row>
    <row r="487" ht="15.75" customHeight="1">
      <c r="A487" s="16">
        <f t="shared" si="4"/>
        <v>34.10166666</v>
      </c>
      <c r="B487" s="7">
        <f>(sum(AH487:AL487))*'Optimal Choice'!$B$28</f>
        <v>4901446.5</v>
      </c>
      <c r="C487" s="11"/>
      <c r="D487" s="12"/>
      <c r="E487" s="12"/>
      <c r="F487" s="11"/>
      <c r="G487" s="11">
        <f>(T487/$B487)+(T487/('Optimal Choice'!$B$4*AO487))</f>
        <v>9320.965439</v>
      </c>
      <c r="H487" s="11">
        <f>(U487/$B487)+(U487/('Optimal Choice'!$B$9*AP487))</f>
        <v>9902.631429</v>
      </c>
      <c r="I487" s="11">
        <f>(V487/$B487)+(V487/('Optimal Choice'!$B$14*AQ487))</f>
        <v>10019.18856</v>
      </c>
      <c r="J487" s="11">
        <f>(W487/$B487)+(W487/('Optimal Choice'!$B$19*AR487))</f>
        <v>10399.91177</v>
      </c>
      <c r="K487" s="11">
        <f>(X487/$B487)+(X487/('Optimal Choice'!$B$24*AS487))</f>
        <v>9536.992786</v>
      </c>
      <c r="N487" s="12">
        <f t="shared" ref="N487:R487" si="1455">if(min($G486:$K486)=G486,N486+1,N486)</f>
        <v>179</v>
      </c>
      <c r="O487" s="12">
        <f t="shared" si="1455"/>
        <v>80</v>
      </c>
      <c r="P487" s="12">
        <f t="shared" si="1455"/>
        <v>78</v>
      </c>
      <c r="Q487" s="12">
        <f t="shared" si="1455"/>
        <v>75</v>
      </c>
      <c r="R487" s="12">
        <f t="shared" si="1455"/>
        <v>74</v>
      </c>
      <c r="T487" s="13">
        <f> 'Optimal Choice'!$B$5*'Optimal Choice'!$B$6^(N487+1)</f>
        <v>778287.3554</v>
      </c>
      <c r="U487" s="13">
        <f> 'Optimal Choice'!$B$10*'Optimal Choice'!$B$11^(O487+1)</f>
        <v>4950810.679</v>
      </c>
      <c r="V487" s="13">
        <f> 'Optimal Choice'!$B$15*'Optimal Choice'!$B$16^(P487+1)</f>
        <v>22532830.62</v>
      </c>
      <c r="W487" s="13">
        <f> 'Optimal Choice'!$B$20*'Optimal Choice'!$B$21^(Q487+1)</f>
        <v>93427654.76</v>
      </c>
      <c r="X487" s="13">
        <f> 'Optimal Choice'!$B$25*'Optimal Choice'!$B$26^(R487+1)</f>
        <v>509385629.6</v>
      </c>
      <c r="AA487" s="12">
        <f t="shared" ref="AA487:AE487" si="1456">if(isna(VLOOKUP(N487,$D$2:$E$10,2,false)),AA486, VLOOKUP(N487,$D$2:$E$10,2,false))</f>
        <v>50</v>
      </c>
      <c r="AB487" s="12">
        <f t="shared" si="1456"/>
        <v>25</v>
      </c>
      <c r="AC487" s="12">
        <f t="shared" si="1456"/>
        <v>25</v>
      </c>
      <c r="AD487" s="12">
        <f t="shared" si="1456"/>
        <v>25</v>
      </c>
      <c r="AE487" s="12">
        <f t="shared" si="1456"/>
        <v>25</v>
      </c>
      <c r="AH487" s="15">
        <f>N487*'Optimal Choice'!$B$4*AA487</f>
        <v>14946.5</v>
      </c>
      <c r="AI487" s="15">
        <f>O487*'Optimal Choice'!$B$9*AB487</f>
        <v>40000</v>
      </c>
      <c r="AJ487" s="15">
        <f>P487*'Optimal Choice'!$B$14*AC487</f>
        <v>175500</v>
      </c>
      <c r="AK487" s="15">
        <f>Q487*'Optimal Choice'!$B$19*AD487</f>
        <v>675000</v>
      </c>
      <c r="AL487" s="15">
        <f>R487*'Optimal Choice'!$B$24*AE487</f>
        <v>3996000</v>
      </c>
      <c r="AO487" s="12">
        <f t="shared" ref="AO487:AS487" si="1457">if(isna(VLOOKUP(N487+1,$D$2:$E$10,2,false)),AO486, VLOOKUP(N487+1,$D$2:$E$10,2,false))</f>
        <v>50</v>
      </c>
      <c r="AP487" s="12">
        <f t="shared" si="1457"/>
        <v>25</v>
      </c>
      <c r="AQ487" s="12">
        <f t="shared" si="1457"/>
        <v>25</v>
      </c>
      <c r="AR487" s="12">
        <f t="shared" si="1457"/>
        <v>25</v>
      </c>
      <c r="AS487" s="12">
        <f t="shared" si="1457"/>
        <v>25</v>
      </c>
      <c r="AU487" s="11">
        <f t="shared" si="8"/>
        <v>0.2816564286</v>
      </c>
    </row>
    <row r="488" ht="15.75" customHeight="1">
      <c r="A488" s="16">
        <f t="shared" si="4"/>
        <v>34.10431311</v>
      </c>
      <c r="B488" s="7">
        <f>(sum(AH488:AL488))*'Optimal Choice'!$B$28</f>
        <v>4901530</v>
      </c>
      <c r="C488" s="11"/>
      <c r="D488" s="12"/>
      <c r="E488" s="12"/>
      <c r="F488" s="11"/>
      <c r="G488" s="11">
        <f>(T488/$B488)+(T488/('Optimal Choice'!$B$4*AO488))</f>
        <v>9973.433017</v>
      </c>
      <c r="H488" s="11">
        <f>(U488/$B488)+(U488/('Optimal Choice'!$B$9*AP488))</f>
        <v>9902.631412</v>
      </c>
      <c r="I488" s="11">
        <f>(V488/$B488)+(V488/('Optimal Choice'!$B$14*AQ488))</f>
        <v>10019.18849</v>
      </c>
      <c r="J488" s="11">
        <f>(W488/$B488)+(W488/('Optimal Choice'!$B$19*AR488))</f>
        <v>10399.91145</v>
      </c>
      <c r="K488" s="11">
        <f>(X488/$B488)+(X488/('Optimal Choice'!$B$24*AS488))</f>
        <v>9536.991016</v>
      </c>
      <c r="N488" s="12">
        <f t="shared" ref="N488:R488" si="1458">if(min($G487:$K487)=G487,N487+1,N487)</f>
        <v>180</v>
      </c>
      <c r="O488" s="12">
        <f t="shared" si="1458"/>
        <v>80</v>
      </c>
      <c r="P488" s="12">
        <f t="shared" si="1458"/>
        <v>78</v>
      </c>
      <c r="Q488" s="12">
        <f t="shared" si="1458"/>
        <v>75</v>
      </c>
      <c r="R488" s="12">
        <f t="shared" si="1458"/>
        <v>74</v>
      </c>
      <c r="T488" s="13">
        <f> 'Optimal Choice'!$B$5*'Optimal Choice'!$B$6^(N488+1)</f>
        <v>832767.4703</v>
      </c>
      <c r="U488" s="13">
        <f> 'Optimal Choice'!$B$10*'Optimal Choice'!$B$11^(O488+1)</f>
        <v>4950810.679</v>
      </c>
      <c r="V488" s="13">
        <f> 'Optimal Choice'!$B$15*'Optimal Choice'!$B$16^(P488+1)</f>
        <v>22532830.62</v>
      </c>
      <c r="W488" s="13">
        <f> 'Optimal Choice'!$B$20*'Optimal Choice'!$B$21^(Q488+1)</f>
        <v>93427654.76</v>
      </c>
      <c r="X488" s="13">
        <f> 'Optimal Choice'!$B$25*'Optimal Choice'!$B$26^(R488+1)</f>
        <v>509385629.6</v>
      </c>
      <c r="AA488" s="12">
        <f t="shared" ref="AA488:AE488" si="1459">if(isna(VLOOKUP(N488,$D$2:$E$10,2,false)),AA487, VLOOKUP(N488,$D$2:$E$10,2,false))</f>
        <v>50</v>
      </c>
      <c r="AB488" s="12">
        <f t="shared" si="1459"/>
        <v>25</v>
      </c>
      <c r="AC488" s="12">
        <f t="shared" si="1459"/>
        <v>25</v>
      </c>
      <c r="AD488" s="12">
        <f t="shared" si="1459"/>
        <v>25</v>
      </c>
      <c r="AE488" s="12">
        <f t="shared" si="1459"/>
        <v>25</v>
      </c>
      <c r="AH488" s="15">
        <f>N488*'Optimal Choice'!$B$4*AA488</f>
        <v>15030</v>
      </c>
      <c r="AI488" s="15">
        <f>O488*'Optimal Choice'!$B$9*AB488</f>
        <v>40000</v>
      </c>
      <c r="AJ488" s="15">
        <f>P488*'Optimal Choice'!$B$14*AC488</f>
        <v>175500</v>
      </c>
      <c r="AK488" s="15">
        <f>Q488*'Optimal Choice'!$B$19*AD488</f>
        <v>675000</v>
      </c>
      <c r="AL488" s="15">
        <f>R488*'Optimal Choice'!$B$24*AE488</f>
        <v>3996000</v>
      </c>
      <c r="AO488" s="12">
        <f t="shared" ref="AO488:AS488" si="1460">if(isna(VLOOKUP(N488+1,$D$2:$E$10,2,false)),AO487, VLOOKUP(N488+1,$D$2:$E$10,2,false))</f>
        <v>50</v>
      </c>
      <c r="AP488" s="12">
        <f t="shared" si="1460"/>
        <v>25</v>
      </c>
      <c r="AQ488" s="12">
        <f t="shared" si="1460"/>
        <v>25</v>
      </c>
      <c r="AR488" s="12">
        <f t="shared" si="1460"/>
        <v>25</v>
      </c>
      <c r="AS488" s="12">
        <f t="shared" si="1460"/>
        <v>25</v>
      </c>
      <c r="AU488" s="11">
        <f t="shared" si="8"/>
        <v>0.002646454659</v>
      </c>
    </row>
    <row r="489" ht="15.75" customHeight="1">
      <c r="A489" s="16">
        <f t="shared" si="4"/>
        <v>35.83637647</v>
      </c>
      <c r="B489" s="7">
        <f>(sum(AH489:AL489))*'Optimal Choice'!$B$28</f>
        <v>4955530</v>
      </c>
      <c r="C489" s="11"/>
      <c r="D489" s="12"/>
      <c r="E489" s="12"/>
      <c r="F489" s="11"/>
      <c r="G489" s="11">
        <f>(T489/$B489)+(T489/('Optimal Choice'!$B$4*AO489))</f>
        <v>9973.431165</v>
      </c>
      <c r="H489" s="11">
        <f>(U489/$B489)+(U489/('Optimal Choice'!$B$9*AP489))</f>
        <v>9902.620405</v>
      </c>
      <c r="I489" s="11">
        <f>(V489/$B489)+(V489/('Optimal Choice'!$B$14*AQ489))</f>
        <v>10019.13839</v>
      </c>
      <c r="J489" s="11">
        <f>(W489/$B489)+(W489/('Optimal Choice'!$B$19*AR489))</f>
        <v>10399.70374</v>
      </c>
      <c r="K489" s="11">
        <f>(X489/$B489)+(X489/('Optimal Choice'!$B$24*AS489))</f>
        <v>10680.16159</v>
      </c>
      <c r="N489" s="12">
        <f t="shared" ref="N489:R489" si="1461">if(min($G488:$K488)=G488,N488+1,N488)</f>
        <v>180</v>
      </c>
      <c r="O489" s="12">
        <f t="shared" si="1461"/>
        <v>80</v>
      </c>
      <c r="P489" s="12">
        <f t="shared" si="1461"/>
        <v>78</v>
      </c>
      <c r="Q489" s="12">
        <f t="shared" si="1461"/>
        <v>75</v>
      </c>
      <c r="R489" s="12">
        <f t="shared" si="1461"/>
        <v>75</v>
      </c>
      <c r="T489" s="13">
        <f> 'Optimal Choice'!$B$5*'Optimal Choice'!$B$6^(N489+1)</f>
        <v>832767.4703</v>
      </c>
      <c r="U489" s="13">
        <f> 'Optimal Choice'!$B$10*'Optimal Choice'!$B$11^(O489+1)</f>
        <v>4950810.679</v>
      </c>
      <c r="V489" s="13">
        <f> 'Optimal Choice'!$B$15*'Optimal Choice'!$B$16^(P489+1)</f>
        <v>22532830.62</v>
      </c>
      <c r="W489" s="13">
        <f> 'Optimal Choice'!$B$20*'Optimal Choice'!$B$21^(Q489+1)</f>
        <v>93427654.76</v>
      </c>
      <c r="X489" s="13">
        <f> 'Optimal Choice'!$B$25*'Optimal Choice'!$B$26^(R489+1)</f>
        <v>570511905.1</v>
      </c>
      <c r="AA489" s="12">
        <f t="shared" ref="AA489:AE489" si="1462">if(isna(VLOOKUP(N489,$D$2:$E$10,2,false)),AA488, VLOOKUP(N489,$D$2:$E$10,2,false))</f>
        <v>50</v>
      </c>
      <c r="AB489" s="12">
        <f t="shared" si="1462"/>
        <v>25</v>
      </c>
      <c r="AC489" s="12">
        <f t="shared" si="1462"/>
        <v>25</v>
      </c>
      <c r="AD489" s="12">
        <f t="shared" si="1462"/>
        <v>25</v>
      </c>
      <c r="AE489" s="12">
        <f t="shared" si="1462"/>
        <v>25</v>
      </c>
      <c r="AH489" s="15">
        <f>N489*'Optimal Choice'!$B$4*AA489</f>
        <v>15030</v>
      </c>
      <c r="AI489" s="15">
        <f>O489*'Optimal Choice'!$B$9*AB489</f>
        <v>40000</v>
      </c>
      <c r="AJ489" s="15">
        <f>P489*'Optimal Choice'!$B$14*AC489</f>
        <v>175500</v>
      </c>
      <c r="AK489" s="15">
        <f>Q489*'Optimal Choice'!$B$19*AD489</f>
        <v>675000</v>
      </c>
      <c r="AL489" s="15">
        <f>R489*'Optimal Choice'!$B$24*AE489</f>
        <v>4050000</v>
      </c>
      <c r="AO489" s="12">
        <f t="shared" ref="AO489:AS489" si="1463">if(isna(VLOOKUP(N489+1,$D$2:$E$10,2,false)),AO488, VLOOKUP(N489+1,$D$2:$E$10,2,false))</f>
        <v>50</v>
      </c>
      <c r="AP489" s="12">
        <f t="shared" si="1463"/>
        <v>25</v>
      </c>
      <c r="AQ489" s="12">
        <f t="shared" si="1463"/>
        <v>25</v>
      </c>
      <c r="AR489" s="12">
        <f t="shared" si="1463"/>
        <v>25</v>
      </c>
      <c r="AS489" s="12">
        <f t="shared" si="1463"/>
        <v>25</v>
      </c>
      <c r="AU489" s="11">
        <f t="shared" si="8"/>
        <v>1.732063354</v>
      </c>
    </row>
    <row r="490" ht="15.75" customHeight="1">
      <c r="A490" s="16">
        <f t="shared" si="4"/>
        <v>35.85302726</v>
      </c>
      <c r="B490" s="7">
        <f>(sum(AH490:AL490))*'Optimal Choice'!$B$28</f>
        <v>4956030</v>
      </c>
      <c r="C490" s="11"/>
      <c r="D490" s="12"/>
      <c r="E490" s="12"/>
      <c r="F490" s="11"/>
      <c r="G490" s="11">
        <f>(T490/$B490)+(T490/('Optimal Choice'!$B$4*AO490))</f>
        <v>9973.431149</v>
      </c>
      <c r="H490" s="11">
        <f>(U490/$B490)+(U490/('Optimal Choice'!$B$9*AP490))</f>
        <v>11388.01335</v>
      </c>
      <c r="I490" s="11">
        <f>(V490/$B490)+(V490/('Optimal Choice'!$B$14*AQ490))</f>
        <v>10019.13793</v>
      </c>
      <c r="J490" s="11">
        <f>(W490/$B490)+(W490/('Optimal Choice'!$B$19*AR490))</f>
        <v>10399.70184</v>
      </c>
      <c r="K490" s="11">
        <f>(X490/$B490)+(X490/('Optimal Choice'!$B$24*AS490))</f>
        <v>10680.14998</v>
      </c>
      <c r="N490" s="12">
        <f t="shared" ref="N490:R490" si="1464">if(min($G489:$K489)=G489,N489+1,N489)</f>
        <v>180</v>
      </c>
      <c r="O490" s="12">
        <f t="shared" si="1464"/>
        <v>81</v>
      </c>
      <c r="P490" s="12">
        <f t="shared" si="1464"/>
        <v>78</v>
      </c>
      <c r="Q490" s="12">
        <f t="shared" si="1464"/>
        <v>75</v>
      </c>
      <c r="R490" s="12">
        <f t="shared" si="1464"/>
        <v>75</v>
      </c>
      <c r="T490" s="13">
        <f> 'Optimal Choice'!$B$5*'Optimal Choice'!$B$6^(N490+1)</f>
        <v>832767.4703</v>
      </c>
      <c r="U490" s="13">
        <f> 'Optimal Choice'!$B$10*'Optimal Choice'!$B$11^(O490+1)</f>
        <v>5693432.281</v>
      </c>
      <c r="V490" s="13">
        <f> 'Optimal Choice'!$B$15*'Optimal Choice'!$B$16^(P490+1)</f>
        <v>22532830.62</v>
      </c>
      <c r="W490" s="13">
        <f> 'Optimal Choice'!$B$20*'Optimal Choice'!$B$21^(Q490+1)</f>
        <v>93427654.76</v>
      </c>
      <c r="X490" s="13">
        <f> 'Optimal Choice'!$B$25*'Optimal Choice'!$B$26^(R490+1)</f>
        <v>570511905.1</v>
      </c>
      <c r="AA490" s="12">
        <f t="shared" ref="AA490:AE490" si="1465">if(isna(VLOOKUP(N490,$D$2:$E$10,2,false)),AA489, VLOOKUP(N490,$D$2:$E$10,2,false))</f>
        <v>50</v>
      </c>
      <c r="AB490" s="12">
        <f t="shared" si="1465"/>
        <v>25</v>
      </c>
      <c r="AC490" s="12">
        <f t="shared" si="1465"/>
        <v>25</v>
      </c>
      <c r="AD490" s="12">
        <f t="shared" si="1465"/>
        <v>25</v>
      </c>
      <c r="AE490" s="12">
        <f t="shared" si="1465"/>
        <v>25</v>
      </c>
      <c r="AH490" s="15">
        <f>N490*'Optimal Choice'!$B$4*AA490</f>
        <v>15030</v>
      </c>
      <c r="AI490" s="15">
        <f>O490*'Optimal Choice'!$B$9*AB490</f>
        <v>40500</v>
      </c>
      <c r="AJ490" s="15">
        <f>P490*'Optimal Choice'!$B$14*AC490</f>
        <v>175500</v>
      </c>
      <c r="AK490" s="15">
        <f>Q490*'Optimal Choice'!$B$19*AD490</f>
        <v>675000</v>
      </c>
      <c r="AL490" s="15">
        <f>R490*'Optimal Choice'!$B$24*AE490</f>
        <v>4050000</v>
      </c>
      <c r="AO490" s="12">
        <f t="shared" ref="AO490:AS490" si="1466">if(isna(VLOOKUP(N490+1,$D$2:$E$10,2,false)),AO489, VLOOKUP(N490+1,$D$2:$E$10,2,false))</f>
        <v>50</v>
      </c>
      <c r="AP490" s="12">
        <f t="shared" si="1466"/>
        <v>25</v>
      </c>
      <c r="AQ490" s="12">
        <f t="shared" si="1466"/>
        <v>25</v>
      </c>
      <c r="AR490" s="12">
        <f t="shared" si="1466"/>
        <v>25</v>
      </c>
      <c r="AS490" s="12">
        <f t="shared" si="1466"/>
        <v>25</v>
      </c>
      <c r="AU490" s="11">
        <f t="shared" si="8"/>
        <v>0.01665079443</v>
      </c>
    </row>
    <row r="491" ht="15.75" customHeight="1">
      <c r="A491" s="16">
        <f t="shared" si="4"/>
        <v>35.85582778</v>
      </c>
      <c r="B491" s="7">
        <f>(sum(AH491:AL491))*'Optimal Choice'!$B$28</f>
        <v>4956113.5</v>
      </c>
      <c r="C491" s="11"/>
      <c r="D491" s="12"/>
      <c r="E491" s="12"/>
      <c r="F491" s="11"/>
      <c r="G491" s="11">
        <f>(T491/$B491)+(T491/('Optimal Choice'!$B$4*AO491))</f>
        <v>10671.57133</v>
      </c>
      <c r="H491" s="11">
        <f>(U491/$B491)+(U491/('Optimal Choice'!$B$9*AP491))</f>
        <v>11388.01333</v>
      </c>
      <c r="I491" s="11">
        <f>(V491/$B491)+(V491/('Optimal Choice'!$B$14*AQ491))</f>
        <v>10019.13786</v>
      </c>
      <c r="J491" s="11">
        <f>(W491/$B491)+(W491/('Optimal Choice'!$B$19*AR491))</f>
        <v>10399.70152</v>
      </c>
      <c r="K491" s="11">
        <f>(X491/$B491)+(X491/('Optimal Choice'!$B$24*AS491))</f>
        <v>10680.14804</v>
      </c>
      <c r="N491" s="12">
        <f t="shared" ref="N491:R491" si="1467">if(min($G490:$K490)=G490,N490+1,N490)</f>
        <v>181</v>
      </c>
      <c r="O491" s="12">
        <f t="shared" si="1467"/>
        <v>81</v>
      </c>
      <c r="P491" s="12">
        <f t="shared" si="1467"/>
        <v>78</v>
      </c>
      <c r="Q491" s="12">
        <f t="shared" si="1467"/>
        <v>75</v>
      </c>
      <c r="R491" s="12">
        <f t="shared" si="1467"/>
        <v>75</v>
      </c>
      <c r="T491" s="13">
        <f> 'Optimal Choice'!$B$5*'Optimal Choice'!$B$6^(N491+1)</f>
        <v>891061.1932</v>
      </c>
      <c r="U491" s="13">
        <f> 'Optimal Choice'!$B$10*'Optimal Choice'!$B$11^(O491+1)</f>
        <v>5693432.281</v>
      </c>
      <c r="V491" s="13">
        <f> 'Optimal Choice'!$B$15*'Optimal Choice'!$B$16^(P491+1)</f>
        <v>22532830.62</v>
      </c>
      <c r="W491" s="13">
        <f> 'Optimal Choice'!$B$20*'Optimal Choice'!$B$21^(Q491+1)</f>
        <v>93427654.76</v>
      </c>
      <c r="X491" s="13">
        <f> 'Optimal Choice'!$B$25*'Optimal Choice'!$B$26^(R491+1)</f>
        <v>570511905.1</v>
      </c>
      <c r="AA491" s="12">
        <f t="shared" ref="AA491:AE491" si="1468">if(isna(VLOOKUP(N491,$D$2:$E$10,2,false)),AA490, VLOOKUP(N491,$D$2:$E$10,2,false))</f>
        <v>50</v>
      </c>
      <c r="AB491" s="12">
        <f t="shared" si="1468"/>
        <v>25</v>
      </c>
      <c r="AC491" s="12">
        <f t="shared" si="1468"/>
        <v>25</v>
      </c>
      <c r="AD491" s="12">
        <f t="shared" si="1468"/>
        <v>25</v>
      </c>
      <c r="AE491" s="12">
        <f t="shared" si="1468"/>
        <v>25</v>
      </c>
      <c r="AH491" s="15">
        <f>N491*'Optimal Choice'!$B$4*AA491</f>
        <v>15113.5</v>
      </c>
      <c r="AI491" s="15">
        <f>O491*'Optimal Choice'!$B$9*AB491</f>
        <v>40500</v>
      </c>
      <c r="AJ491" s="15">
        <f>P491*'Optimal Choice'!$B$14*AC491</f>
        <v>175500</v>
      </c>
      <c r="AK491" s="15">
        <f>Q491*'Optimal Choice'!$B$19*AD491</f>
        <v>675000</v>
      </c>
      <c r="AL491" s="15">
        <f>R491*'Optimal Choice'!$B$24*AE491</f>
        <v>4050000</v>
      </c>
      <c r="AO491" s="12">
        <f t="shared" ref="AO491:AS491" si="1469">if(isna(VLOOKUP(N491+1,$D$2:$E$10,2,false)),AO490, VLOOKUP(N491+1,$D$2:$E$10,2,false))</f>
        <v>50</v>
      </c>
      <c r="AP491" s="12">
        <f t="shared" si="1469"/>
        <v>25</v>
      </c>
      <c r="AQ491" s="12">
        <f t="shared" si="1469"/>
        <v>25</v>
      </c>
      <c r="AR491" s="12">
        <f t="shared" si="1469"/>
        <v>25</v>
      </c>
      <c r="AS491" s="12">
        <f t="shared" si="1469"/>
        <v>25</v>
      </c>
      <c r="AU491" s="11">
        <f t="shared" si="8"/>
        <v>0.002800519335</v>
      </c>
    </row>
    <row r="492" ht="15.75" customHeight="1">
      <c r="A492" s="16">
        <f t="shared" si="4"/>
        <v>35.93160231</v>
      </c>
      <c r="B492" s="7">
        <f>(sum(AH492:AL492))*'Optimal Choice'!$B$28</f>
        <v>4958363.5</v>
      </c>
      <c r="C492" s="11"/>
      <c r="D492" s="12"/>
      <c r="E492" s="12"/>
      <c r="F492" s="11"/>
      <c r="G492" s="11">
        <f>(T492/$B492)+(T492/('Optimal Choice'!$B$4*AO492))</f>
        <v>10671.57124</v>
      </c>
      <c r="H492" s="11">
        <f>(U492/$B492)+(U492/('Optimal Choice'!$B$9*AP492))</f>
        <v>11388.01281</v>
      </c>
      <c r="I492" s="11">
        <f>(V492/$B492)+(V492/('Optimal Choice'!$B$14*AQ492))</f>
        <v>11421.8148</v>
      </c>
      <c r="J492" s="11">
        <f>(W492/$B492)+(W492/('Optimal Choice'!$B$19*AR492))</f>
        <v>10399.69297</v>
      </c>
      <c r="K492" s="11">
        <f>(X492/$B492)+(X492/('Optimal Choice'!$B$24*AS492))</f>
        <v>10680.0958</v>
      </c>
      <c r="N492" s="12">
        <f t="shared" ref="N492:R492" si="1470">if(min($G491:$K491)=G491,N491+1,N491)</f>
        <v>181</v>
      </c>
      <c r="O492" s="12">
        <f t="shared" si="1470"/>
        <v>81</v>
      </c>
      <c r="P492" s="12">
        <f t="shared" si="1470"/>
        <v>79</v>
      </c>
      <c r="Q492" s="12">
        <f t="shared" si="1470"/>
        <v>75</v>
      </c>
      <c r="R492" s="12">
        <f t="shared" si="1470"/>
        <v>75</v>
      </c>
      <c r="T492" s="13">
        <f> 'Optimal Choice'!$B$5*'Optimal Choice'!$B$6^(N492+1)</f>
        <v>891061.1932</v>
      </c>
      <c r="U492" s="13">
        <f> 'Optimal Choice'!$B$10*'Optimal Choice'!$B$11^(O492+1)</f>
        <v>5693432.281</v>
      </c>
      <c r="V492" s="13">
        <f> 'Optimal Choice'!$B$15*'Optimal Choice'!$B$16^(P492+1)</f>
        <v>25687426.9</v>
      </c>
      <c r="W492" s="13">
        <f> 'Optimal Choice'!$B$20*'Optimal Choice'!$B$21^(Q492+1)</f>
        <v>93427654.76</v>
      </c>
      <c r="X492" s="13">
        <f> 'Optimal Choice'!$B$25*'Optimal Choice'!$B$26^(R492+1)</f>
        <v>570511905.1</v>
      </c>
      <c r="AA492" s="12">
        <f t="shared" ref="AA492:AE492" si="1471">if(isna(VLOOKUP(N492,$D$2:$E$10,2,false)),AA491, VLOOKUP(N492,$D$2:$E$10,2,false))</f>
        <v>50</v>
      </c>
      <c r="AB492" s="12">
        <f t="shared" si="1471"/>
        <v>25</v>
      </c>
      <c r="AC492" s="12">
        <f t="shared" si="1471"/>
        <v>25</v>
      </c>
      <c r="AD492" s="12">
        <f t="shared" si="1471"/>
        <v>25</v>
      </c>
      <c r="AE492" s="12">
        <f t="shared" si="1471"/>
        <v>25</v>
      </c>
      <c r="AH492" s="15">
        <f>N492*'Optimal Choice'!$B$4*AA492</f>
        <v>15113.5</v>
      </c>
      <c r="AI492" s="15">
        <f>O492*'Optimal Choice'!$B$9*AB492</f>
        <v>40500</v>
      </c>
      <c r="AJ492" s="15">
        <f>P492*'Optimal Choice'!$B$14*AC492</f>
        <v>177750</v>
      </c>
      <c r="AK492" s="15">
        <f>Q492*'Optimal Choice'!$B$19*AD492</f>
        <v>675000</v>
      </c>
      <c r="AL492" s="15">
        <f>R492*'Optimal Choice'!$B$24*AE492</f>
        <v>4050000</v>
      </c>
      <c r="AO492" s="12">
        <f t="shared" ref="AO492:AS492" si="1472">if(isna(VLOOKUP(N492+1,$D$2:$E$10,2,false)),AO491, VLOOKUP(N492+1,$D$2:$E$10,2,false))</f>
        <v>50</v>
      </c>
      <c r="AP492" s="12">
        <f t="shared" si="1472"/>
        <v>25</v>
      </c>
      <c r="AQ492" s="12">
        <f t="shared" si="1472"/>
        <v>25</v>
      </c>
      <c r="AR492" s="12">
        <f t="shared" si="1472"/>
        <v>25</v>
      </c>
      <c r="AS492" s="12">
        <f t="shared" si="1472"/>
        <v>25</v>
      </c>
      <c r="AU492" s="11">
        <f t="shared" si="8"/>
        <v>0.07577453118</v>
      </c>
    </row>
    <row r="493" ht="15.75" customHeight="1">
      <c r="A493" s="16">
        <f t="shared" si="4"/>
        <v>36.24564294</v>
      </c>
      <c r="B493" s="7">
        <f>(sum(AH493:AL493))*'Optimal Choice'!$B$28</f>
        <v>4967363.5</v>
      </c>
      <c r="C493" s="11"/>
      <c r="D493" s="12"/>
      <c r="E493" s="12"/>
      <c r="F493" s="11"/>
      <c r="G493" s="11">
        <f>(T493/$B493)+(T493/('Optimal Choice'!$B$4*AO493))</f>
        <v>10671.57092</v>
      </c>
      <c r="H493" s="11">
        <f>(U493/$B493)+(U493/('Optimal Choice'!$B$9*AP493))</f>
        <v>11388.01073</v>
      </c>
      <c r="I493" s="11">
        <f>(V493/$B493)+(V493/('Optimal Choice'!$B$14*AQ493))</f>
        <v>11421.80542</v>
      </c>
      <c r="J493" s="11">
        <f>(W493/$B493)+(W493/('Optimal Choice'!$B$19*AR493))</f>
        <v>11751.61447</v>
      </c>
      <c r="K493" s="11">
        <f>(X493/$B493)+(X493/('Optimal Choice'!$B$24*AS493))</f>
        <v>10679.88733</v>
      </c>
      <c r="N493" s="12">
        <f t="shared" ref="N493:R493" si="1473">if(min($G492:$K492)=G492,N492+1,N492)</f>
        <v>181</v>
      </c>
      <c r="O493" s="12">
        <f t="shared" si="1473"/>
        <v>81</v>
      </c>
      <c r="P493" s="12">
        <f t="shared" si="1473"/>
        <v>79</v>
      </c>
      <c r="Q493" s="12">
        <f t="shared" si="1473"/>
        <v>76</v>
      </c>
      <c r="R493" s="12">
        <f t="shared" si="1473"/>
        <v>75</v>
      </c>
      <c r="T493" s="13">
        <f> 'Optimal Choice'!$B$5*'Optimal Choice'!$B$6^(N493+1)</f>
        <v>891061.1932</v>
      </c>
      <c r="U493" s="13">
        <f> 'Optimal Choice'!$B$10*'Optimal Choice'!$B$11^(O493+1)</f>
        <v>5693432.281</v>
      </c>
      <c r="V493" s="13">
        <f> 'Optimal Choice'!$B$15*'Optimal Choice'!$B$16^(P493+1)</f>
        <v>25687426.9</v>
      </c>
      <c r="W493" s="13">
        <f> 'Optimal Choice'!$B$20*'Optimal Choice'!$B$21^(Q493+1)</f>
        <v>105573249.9</v>
      </c>
      <c r="X493" s="13">
        <f> 'Optimal Choice'!$B$25*'Optimal Choice'!$B$26^(R493+1)</f>
        <v>570511905.1</v>
      </c>
      <c r="AA493" s="12">
        <f t="shared" ref="AA493:AE493" si="1474">if(isna(VLOOKUP(N493,$D$2:$E$10,2,false)),AA492, VLOOKUP(N493,$D$2:$E$10,2,false))</f>
        <v>50</v>
      </c>
      <c r="AB493" s="12">
        <f t="shared" si="1474"/>
        <v>25</v>
      </c>
      <c r="AC493" s="12">
        <f t="shared" si="1474"/>
        <v>25</v>
      </c>
      <c r="AD493" s="12">
        <f t="shared" si="1474"/>
        <v>25</v>
      </c>
      <c r="AE493" s="12">
        <f t="shared" si="1474"/>
        <v>25</v>
      </c>
      <c r="AH493" s="15">
        <f>N493*'Optimal Choice'!$B$4*AA493</f>
        <v>15113.5</v>
      </c>
      <c r="AI493" s="15">
        <f>O493*'Optimal Choice'!$B$9*AB493</f>
        <v>40500</v>
      </c>
      <c r="AJ493" s="15">
        <f>P493*'Optimal Choice'!$B$14*AC493</f>
        <v>177750</v>
      </c>
      <c r="AK493" s="15">
        <f>Q493*'Optimal Choice'!$B$19*AD493</f>
        <v>684000</v>
      </c>
      <c r="AL493" s="15">
        <f>R493*'Optimal Choice'!$B$24*AE493</f>
        <v>4050000</v>
      </c>
      <c r="AO493" s="12">
        <f t="shared" ref="AO493:AS493" si="1475">if(isna(VLOOKUP(N493+1,$D$2:$E$10,2,false)),AO492, VLOOKUP(N493+1,$D$2:$E$10,2,false))</f>
        <v>50</v>
      </c>
      <c r="AP493" s="12">
        <f t="shared" si="1475"/>
        <v>25</v>
      </c>
      <c r="AQ493" s="12">
        <f t="shared" si="1475"/>
        <v>25</v>
      </c>
      <c r="AR493" s="12">
        <f t="shared" si="1475"/>
        <v>25</v>
      </c>
      <c r="AS493" s="12">
        <f t="shared" si="1475"/>
        <v>25</v>
      </c>
      <c r="AU493" s="11">
        <f t="shared" si="8"/>
        <v>0.3140406264</v>
      </c>
    </row>
    <row r="494" ht="15.75" customHeight="1">
      <c r="A494" s="16">
        <f t="shared" si="4"/>
        <v>36.24863266</v>
      </c>
      <c r="B494" s="7">
        <f>(sum(AH494:AL494))*'Optimal Choice'!$B$28</f>
        <v>4967447</v>
      </c>
      <c r="C494" s="11"/>
      <c r="D494" s="12"/>
      <c r="E494" s="12"/>
      <c r="F494" s="11"/>
      <c r="G494" s="11">
        <f>(T494/$B494)+(T494/('Optimal Choice'!$B$4*AO494))</f>
        <v>11418.58088</v>
      </c>
      <c r="H494" s="11">
        <f>(U494/$B494)+(U494/('Optimal Choice'!$B$9*AP494))</f>
        <v>11388.01071</v>
      </c>
      <c r="I494" s="11">
        <f>(V494/$B494)+(V494/('Optimal Choice'!$B$14*AQ494))</f>
        <v>11421.80533</v>
      </c>
      <c r="J494" s="11">
        <f>(W494/$B494)+(W494/('Optimal Choice'!$B$19*AR494))</f>
        <v>11751.61412</v>
      </c>
      <c r="K494" s="11">
        <f>(X494/$B494)+(X494/('Optimal Choice'!$B$24*AS494))</f>
        <v>10679.8854</v>
      </c>
      <c r="N494" s="12">
        <f t="shared" ref="N494:R494" si="1476">if(min($G493:$K493)=G493,N493+1,N493)</f>
        <v>182</v>
      </c>
      <c r="O494" s="12">
        <f t="shared" si="1476"/>
        <v>81</v>
      </c>
      <c r="P494" s="12">
        <f t="shared" si="1476"/>
        <v>79</v>
      </c>
      <c r="Q494" s="12">
        <f t="shared" si="1476"/>
        <v>76</v>
      </c>
      <c r="R494" s="12">
        <f t="shared" si="1476"/>
        <v>75</v>
      </c>
      <c r="T494" s="13">
        <f> 'Optimal Choice'!$B$5*'Optimal Choice'!$B$6^(N494+1)</f>
        <v>953435.4767</v>
      </c>
      <c r="U494" s="13">
        <f> 'Optimal Choice'!$B$10*'Optimal Choice'!$B$11^(O494+1)</f>
        <v>5693432.281</v>
      </c>
      <c r="V494" s="13">
        <f> 'Optimal Choice'!$B$15*'Optimal Choice'!$B$16^(P494+1)</f>
        <v>25687426.9</v>
      </c>
      <c r="W494" s="13">
        <f> 'Optimal Choice'!$B$20*'Optimal Choice'!$B$21^(Q494+1)</f>
        <v>105573249.9</v>
      </c>
      <c r="X494" s="13">
        <f> 'Optimal Choice'!$B$25*'Optimal Choice'!$B$26^(R494+1)</f>
        <v>570511905.1</v>
      </c>
      <c r="AA494" s="12">
        <f t="shared" ref="AA494:AE494" si="1477">if(isna(VLOOKUP(N494,$D$2:$E$10,2,false)),AA493, VLOOKUP(N494,$D$2:$E$10,2,false))</f>
        <v>50</v>
      </c>
      <c r="AB494" s="12">
        <f t="shared" si="1477"/>
        <v>25</v>
      </c>
      <c r="AC494" s="12">
        <f t="shared" si="1477"/>
        <v>25</v>
      </c>
      <c r="AD494" s="12">
        <f t="shared" si="1477"/>
        <v>25</v>
      </c>
      <c r="AE494" s="12">
        <f t="shared" si="1477"/>
        <v>25</v>
      </c>
      <c r="AH494" s="15">
        <f>N494*'Optimal Choice'!$B$4*AA494</f>
        <v>15197</v>
      </c>
      <c r="AI494" s="15">
        <f>O494*'Optimal Choice'!$B$9*AB494</f>
        <v>40500</v>
      </c>
      <c r="AJ494" s="15">
        <f>P494*'Optimal Choice'!$B$14*AC494</f>
        <v>177750</v>
      </c>
      <c r="AK494" s="15">
        <f>Q494*'Optimal Choice'!$B$19*AD494</f>
        <v>684000</v>
      </c>
      <c r="AL494" s="15">
        <f>R494*'Optimal Choice'!$B$24*AE494</f>
        <v>4050000</v>
      </c>
      <c r="AO494" s="12">
        <f t="shared" ref="AO494:AS494" si="1478">if(isna(VLOOKUP(N494+1,$D$2:$E$10,2,false)),AO493, VLOOKUP(N494+1,$D$2:$E$10,2,false))</f>
        <v>50</v>
      </c>
      <c r="AP494" s="12">
        <f t="shared" si="1478"/>
        <v>25</v>
      </c>
      <c r="AQ494" s="12">
        <f t="shared" si="1478"/>
        <v>25</v>
      </c>
      <c r="AR494" s="12">
        <f t="shared" si="1478"/>
        <v>25</v>
      </c>
      <c r="AS494" s="12">
        <f t="shared" si="1478"/>
        <v>25</v>
      </c>
      <c r="AU494" s="11">
        <f t="shared" si="8"/>
        <v>0.002989718769</v>
      </c>
    </row>
    <row r="495" ht="15.75" customHeight="1">
      <c r="A495" s="16">
        <f t="shared" si="4"/>
        <v>38.16280139</v>
      </c>
      <c r="B495" s="7">
        <f>(sum(AH495:AL495))*'Optimal Choice'!$B$28</f>
        <v>5021447</v>
      </c>
      <c r="C495" s="11"/>
      <c r="D495" s="12"/>
      <c r="E495" s="12"/>
      <c r="F495" s="11"/>
      <c r="G495" s="11">
        <f>(T495/$B495)+(T495/('Optimal Choice'!$B$4*AO495))</f>
        <v>11418.57882</v>
      </c>
      <c r="H495" s="11">
        <f>(U495/$B495)+(U495/('Optimal Choice'!$B$9*AP495))</f>
        <v>11387.99838</v>
      </c>
      <c r="I495" s="11">
        <f>(V495/$B495)+(V495/('Optimal Choice'!$B$14*AQ495))</f>
        <v>11421.74972</v>
      </c>
      <c r="J495" s="11">
        <f>(W495/$B495)+(W495/('Optimal Choice'!$B$19*AR495))</f>
        <v>11751.38556</v>
      </c>
      <c r="K495" s="11">
        <f>(X495/$B495)+(X495/('Optimal Choice'!$B$24*AS495))</f>
        <v>11960.08836</v>
      </c>
      <c r="N495" s="12">
        <f t="shared" ref="N495:R495" si="1479">if(min($G494:$K494)=G494,N494+1,N494)</f>
        <v>182</v>
      </c>
      <c r="O495" s="12">
        <f t="shared" si="1479"/>
        <v>81</v>
      </c>
      <c r="P495" s="12">
        <f t="shared" si="1479"/>
        <v>79</v>
      </c>
      <c r="Q495" s="12">
        <f t="shared" si="1479"/>
        <v>76</v>
      </c>
      <c r="R495" s="12">
        <f t="shared" si="1479"/>
        <v>76</v>
      </c>
      <c r="T495" s="13">
        <f> 'Optimal Choice'!$B$5*'Optimal Choice'!$B$6^(N495+1)</f>
        <v>953435.4767</v>
      </c>
      <c r="U495" s="13">
        <f> 'Optimal Choice'!$B$10*'Optimal Choice'!$B$11^(O495+1)</f>
        <v>5693432.281</v>
      </c>
      <c r="V495" s="13">
        <f> 'Optimal Choice'!$B$15*'Optimal Choice'!$B$16^(P495+1)</f>
        <v>25687426.9</v>
      </c>
      <c r="W495" s="13">
        <f> 'Optimal Choice'!$B$20*'Optimal Choice'!$B$21^(Q495+1)</f>
        <v>105573249.9</v>
      </c>
      <c r="X495" s="13">
        <f> 'Optimal Choice'!$B$25*'Optimal Choice'!$B$26^(R495+1)</f>
        <v>638973333.7</v>
      </c>
      <c r="AA495" s="12">
        <f t="shared" ref="AA495:AE495" si="1480">if(isna(VLOOKUP(N495,$D$2:$E$10,2,false)),AA494, VLOOKUP(N495,$D$2:$E$10,2,false))</f>
        <v>50</v>
      </c>
      <c r="AB495" s="12">
        <f t="shared" si="1480"/>
        <v>25</v>
      </c>
      <c r="AC495" s="12">
        <f t="shared" si="1480"/>
        <v>25</v>
      </c>
      <c r="AD495" s="12">
        <f t="shared" si="1480"/>
        <v>25</v>
      </c>
      <c r="AE495" s="12">
        <f t="shared" si="1480"/>
        <v>25</v>
      </c>
      <c r="AH495" s="15">
        <f>N495*'Optimal Choice'!$B$4*AA495</f>
        <v>15197</v>
      </c>
      <c r="AI495" s="15">
        <f>O495*'Optimal Choice'!$B$9*AB495</f>
        <v>40500</v>
      </c>
      <c r="AJ495" s="15">
        <f>P495*'Optimal Choice'!$B$14*AC495</f>
        <v>177750</v>
      </c>
      <c r="AK495" s="15">
        <f>Q495*'Optimal Choice'!$B$19*AD495</f>
        <v>684000</v>
      </c>
      <c r="AL495" s="15">
        <f>R495*'Optimal Choice'!$B$24*AE495</f>
        <v>4104000</v>
      </c>
      <c r="AO495" s="12">
        <f t="shared" ref="AO495:AS495" si="1481">if(isna(VLOOKUP(N495+1,$D$2:$E$10,2,false)),AO494, VLOOKUP(N495+1,$D$2:$E$10,2,false))</f>
        <v>50</v>
      </c>
      <c r="AP495" s="12">
        <f t="shared" si="1481"/>
        <v>25</v>
      </c>
      <c r="AQ495" s="12">
        <f t="shared" si="1481"/>
        <v>25</v>
      </c>
      <c r="AR495" s="12">
        <f t="shared" si="1481"/>
        <v>25</v>
      </c>
      <c r="AS495" s="12">
        <f t="shared" si="1481"/>
        <v>25</v>
      </c>
      <c r="AU495" s="11">
        <f t="shared" si="8"/>
        <v>1.914168737</v>
      </c>
    </row>
    <row r="496" ht="15.75" customHeight="1">
      <c r="A496" s="16">
        <f t="shared" si="4"/>
        <v>38.18169844</v>
      </c>
      <c r="B496" s="7">
        <f>(sum(AH496:AL496))*'Optimal Choice'!$B$28</f>
        <v>5021947</v>
      </c>
      <c r="C496" s="11"/>
      <c r="D496" s="12"/>
      <c r="E496" s="12"/>
      <c r="F496" s="11"/>
      <c r="G496" s="11">
        <f>(T496/$B496)+(T496/('Optimal Choice'!$B$4*AO496))</f>
        <v>11418.5788</v>
      </c>
      <c r="H496" s="11">
        <f>(U496/$B496)+(U496/('Optimal Choice'!$B$9*AP496))</f>
        <v>13096.19801</v>
      </c>
      <c r="I496" s="11">
        <f>(V496/$B496)+(V496/('Optimal Choice'!$B$14*AQ496))</f>
        <v>11421.74921</v>
      </c>
      <c r="J496" s="11">
        <f>(W496/$B496)+(W496/('Optimal Choice'!$B$19*AR496))</f>
        <v>11751.38347</v>
      </c>
      <c r="K496" s="11">
        <f>(X496/$B496)+(X496/('Optimal Choice'!$B$24*AS496))</f>
        <v>11960.07569</v>
      </c>
      <c r="N496" s="12">
        <f t="shared" ref="N496:R496" si="1482">if(min($G495:$K495)=G495,N495+1,N495)</f>
        <v>182</v>
      </c>
      <c r="O496" s="12">
        <f t="shared" si="1482"/>
        <v>82</v>
      </c>
      <c r="P496" s="12">
        <f t="shared" si="1482"/>
        <v>79</v>
      </c>
      <c r="Q496" s="12">
        <f t="shared" si="1482"/>
        <v>76</v>
      </c>
      <c r="R496" s="12">
        <f t="shared" si="1482"/>
        <v>76</v>
      </c>
      <c r="T496" s="13">
        <f> 'Optimal Choice'!$B$5*'Optimal Choice'!$B$6^(N496+1)</f>
        <v>953435.4767</v>
      </c>
      <c r="U496" s="13">
        <f> 'Optimal Choice'!$B$10*'Optimal Choice'!$B$11^(O496+1)</f>
        <v>6547447.123</v>
      </c>
      <c r="V496" s="13">
        <f> 'Optimal Choice'!$B$15*'Optimal Choice'!$B$16^(P496+1)</f>
        <v>25687426.9</v>
      </c>
      <c r="W496" s="13">
        <f> 'Optimal Choice'!$B$20*'Optimal Choice'!$B$21^(Q496+1)</f>
        <v>105573249.9</v>
      </c>
      <c r="X496" s="13">
        <f> 'Optimal Choice'!$B$25*'Optimal Choice'!$B$26^(R496+1)</f>
        <v>638973333.7</v>
      </c>
      <c r="AA496" s="12">
        <f t="shared" ref="AA496:AE496" si="1483">if(isna(VLOOKUP(N496,$D$2:$E$10,2,false)),AA495, VLOOKUP(N496,$D$2:$E$10,2,false))</f>
        <v>50</v>
      </c>
      <c r="AB496" s="12">
        <f t="shared" si="1483"/>
        <v>25</v>
      </c>
      <c r="AC496" s="12">
        <f t="shared" si="1483"/>
        <v>25</v>
      </c>
      <c r="AD496" s="12">
        <f t="shared" si="1483"/>
        <v>25</v>
      </c>
      <c r="AE496" s="12">
        <f t="shared" si="1483"/>
        <v>25</v>
      </c>
      <c r="AH496" s="15">
        <f>N496*'Optimal Choice'!$B$4*AA496</f>
        <v>15197</v>
      </c>
      <c r="AI496" s="15">
        <f>O496*'Optimal Choice'!$B$9*AB496</f>
        <v>41000</v>
      </c>
      <c r="AJ496" s="15">
        <f>P496*'Optimal Choice'!$B$14*AC496</f>
        <v>177750</v>
      </c>
      <c r="AK496" s="15">
        <f>Q496*'Optimal Choice'!$B$19*AD496</f>
        <v>684000</v>
      </c>
      <c r="AL496" s="15">
        <f>R496*'Optimal Choice'!$B$24*AE496</f>
        <v>4104000</v>
      </c>
      <c r="AO496" s="12">
        <f t="shared" ref="AO496:AS496" si="1484">if(isna(VLOOKUP(N496+1,$D$2:$E$10,2,false)),AO495, VLOOKUP(N496+1,$D$2:$E$10,2,false))</f>
        <v>50</v>
      </c>
      <c r="AP496" s="12">
        <f t="shared" si="1484"/>
        <v>25</v>
      </c>
      <c r="AQ496" s="12">
        <f t="shared" si="1484"/>
        <v>25</v>
      </c>
      <c r="AR496" s="12">
        <f t="shared" si="1484"/>
        <v>25</v>
      </c>
      <c r="AS496" s="12">
        <f t="shared" si="1484"/>
        <v>25</v>
      </c>
      <c r="AU496" s="11">
        <f t="shared" si="8"/>
        <v>0.01889705059</v>
      </c>
    </row>
    <row r="497" ht="15.75" customHeight="1">
      <c r="A497" s="16">
        <f t="shared" si="4"/>
        <v>38.18486267</v>
      </c>
      <c r="B497" s="7">
        <f>(sum(AH497:AL497))*'Optimal Choice'!$B$28</f>
        <v>5022030.5</v>
      </c>
      <c r="C497" s="11"/>
      <c r="D497" s="12"/>
      <c r="E497" s="12"/>
      <c r="F497" s="11"/>
      <c r="G497" s="11">
        <f>(T497/$B497)+(T497/('Optimal Choice'!$B$4*AO497))</f>
        <v>12217.87931</v>
      </c>
      <c r="H497" s="11">
        <f>(U497/$B497)+(U497/('Optimal Choice'!$B$9*AP497))</f>
        <v>13096.19799</v>
      </c>
      <c r="I497" s="11">
        <f>(V497/$B497)+(V497/('Optimal Choice'!$B$14*AQ497))</f>
        <v>11421.74913</v>
      </c>
      <c r="J497" s="11">
        <f>(W497/$B497)+(W497/('Optimal Choice'!$B$19*AR497))</f>
        <v>11751.38312</v>
      </c>
      <c r="K497" s="11">
        <f>(X497/$B497)+(X497/('Optimal Choice'!$B$24*AS497))</f>
        <v>11960.07357</v>
      </c>
      <c r="N497" s="12">
        <f t="shared" ref="N497:R497" si="1485">if(min($G496:$K496)=G496,N496+1,N496)</f>
        <v>183</v>
      </c>
      <c r="O497" s="12">
        <f t="shared" si="1485"/>
        <v>82</v>
      </c>
      <c r="P497" s="12">
        <f t="shared" si="1485"/>
        <v>79</v>
      </c>
      <c r="Q497" s="12">
        <f t="shared" si="1485"/>
        <v>76</v>
      </c>
      <c r="R497" s="12">
        <f t="shared" si="1485"/>
        <v>76</v>
      </c>
      <c r="T497" s="13">
        <f> 'Optimal Choice'!$B$5*'Optimal Choice'!$B$6^(N497+1)</f>
        <v>1020175.96</v>
      </c>
      <c r="U497" s="13">
        <f> 'Optimal Choice'!$B$10*'Optimal Choice'!$B$11^(O497+1)</f>
        <v>6547447.123</v>
      </c>
      <c r="V497" s="13">
        <f> 'Optimal Choice'!$B$15*'Optimal Choice'!$B$16^(P497+1)</f>
        <v>25687426.9</v>
      </c>
      <c r="W497" s="13">
        <f> 'Optimal Choice'!$B$20*'Optimal Choice'!$B$21^(Q497+1)</f>
        <v>105573249.9</v>
      </c>
      <c r="X497" s="13">
        <f> 'Optimal Choice'!$B$25*'Optimal Choice'!$B$26^(R497+1)</f>
        <v>638973333.7</v>
      </c>
      <c r="AA497" s="12">
        <f t="shared" ref="AA497:AE497" si="1486">if(isna(VLOOKUP(N497,$D$2:$E$10,2,false)),AA496, VLOOKUP(N497,$D$2:$E$10,2,false))</f>
        <v>50</v>
      </c>
      <c r="AB497" s="12">
        <f t="shared" si="1486"/>
        <v>25</v>
      </c>
      <c r="AC497" s="12">
        <f t="shared" si="1486"/>
        <v>25</v>
      </c>
      <c r="AD497" s="12">
        <f t="shared" si="1486"/>
        <v>25</v>
      </c>
      <c r="AE497" s="12">
        <f t="shared" si="1486"/>
        <v>25</v>
      </c>
      <c r="AH497" s="15">
        <f>N497*'Optimal Choice'!$B$4*AA497</f>
        <v>15280.5</v>
      </c>
      <c r="AI497" s="15">
        <f>O497*'Optimal Choice'!$B$9*AB497</f>
        <v>41000</v>
      </c>
      <c r="AJ497" s="15">
        <f>P497*'Optimal Choice'!$B$14*AC497</f>
        <v>177750</v>
      </c>
      <c r="AK497" s="15">
        <f>Q497*'Optimal Choice'!$B$19*AD497</f>
        <v>684000</v>
      </c>
      <c r="AL497" s="15">
        <f>R497*'Optimal Choice'!$B$24*AE497</f>
        <v>4104000</v>
      </c>
      <c r="AO497" s="12">
        <f t="shared" ref="AO497:AS497" si="1487">if(isna(VLOOKUP(N497+1,$D$2:$E$10,2,false)),AO496, VLOOKUP(N497+1,$D$2:$E$10,2,false))</f>
        <v>50</v>
      </c>
      <c r="AP497" s="12">
        <f t="shared" si="1487"/>
        <v>25</v>
      </c>
      <c r="AQ497" s="12">
        <f t="shared" si="1487"/>
        <v>25</v>
      </c>
      <c r="AR497" s="12">
        <f t="shared" si="1487"/>
        <v>25</v>
      </c>
      <c r="AS497" s="12">
        <f t="shared" si="1487"/>
        <v>25</v>
      </c>
      <c r="AU497" s="11">
        <f t="shared" si="8"/>
        <v>0.003164229188</v>
      </c>
    </row>
    <row r="498" ht="15.75" customHeight="1">
      <c r="A498" s="16">
        <f t="shared" si="4"/>
        <v>38.27011181</v>
      </c>
      <c r="B498" s="7">
        <f>(sum(AH498:AL498))*'Optimal Choice'!$B$28</f>
        <v>5024280.5</v>
      </c>
      <c r="C498" s="11"/>
      <c r="D498" s="12"/>
      <c r="E498" s="12"/>
      <c r="F498" s="11"/>
      <c r="G498" s="11">
        <f>(T498/$B498)+(T498/('Optimal Choice'!$B$4*AO498))</f>
        <v>12217.87922</v>
      </c>
      <c r="H498" s="11">
        <f>(U498/$B498)+(U498/('Optimal Choice'!$B$9*AP498))</f>
        <v>13096.19741</v>
      </c>
      <c r="I498" s="11">
        <f>(V498/$B498)+(V498/('Optimal Choice'!$B$14*AQ498))</f>
        <v>13020.79139</v>
      </c>
      <c r="J498" s="11">
        <f>(W498/$B498)+(W498/('Optimal Choice'!$B$19*AR498))</f>
        <v>11751.37371</v>
      </c>
      <c r="K498" s="11">
        <f>(X498/$B498)+(X498/('Optimal Choice'!$B$24*AS498))</f>
        <v>11960.0166</v>
      </c>
      <c r="N498" s="12">
        <f t="shared" ref="N498:R498" si="1488">if(min($G497:$K497)=G497,N497+1,N497)</f>
        <v>183</v>
      </c>
      <c r="O498" s="12">
        <f t="shared" si="1488"/>
        <v>82</v>
      </c>
      <c r="P498" s="12">
        <f t="shared" si="1488"/>
        <v>80</v>
      </c>
      <c r="Q498" s="12">
        <f t="shared" si="1488"/>
        <v>76</v>
      </c>
      <c r="R498" s="12">
        <f t="shared" si="1488"/>
        <v>76</v>
      </c>
      <c r="T498" s="13">
        <f> 'Optimal Choice'!$B$5*'Optimal Choice'!$B$6^(N498+1)</f>
        <v>1020175.96</v>
      </c>
      <c r="U498" s="13">
        <f> 'Optimal Choice'!$B$10*'Optimal Choice'!$B$11^(O498+1)</f>
        <v>6547447.123</v>
      </c>
      <c r="V498" s="13">
        <f> 'Optimal Choice'!$B$15*'Optimal Choice'!$B$16^(P498+1)</f>
        <v>29283666.67</v>
      </c>
      <c r="W498" s="13">
        <f> 'Optimal Choice'!$B$20*'Optimal Choice'!$B$21^(Q498+1)</f>
        <v>105573249.9</v>
      </c>
      <c r="X498" s="13">
        <f> 'Optimal Choice'!$B$25*'Optimal Choice'!$B$26^(R498+1)</f>
        <v>638973333.7</v>
      </c>
      <c r="AA498" s="12">
        <f t="shared" ref="AA498:AE498" si="1489">if(isna(VLOOKUP(N498,$D$2:$E$10,2,false)),AA497, VLOOKUP(N498,$D$2:$E$10,2,false))</f>
        <v>50</v>
      </c>
      <c r="AB498" s="12">
        <f t="shared" si="1489"/>
        <v>25</v>
      </c>
      <c r="AC498" s="12">
        <f t="shared" si="1489"/>
        <v>25</v>
      </c>
      <c r="AD498" s="12">
        <f t="shared" si="1489"/>
        <v>25</v>
      </c>
      <c r="AE498" s="12">
        <f t="shared" si="1489"/>
        <v>25</v>
      </c>
      <c r="AH498" s="15">
        <f>N498*'Optimal Choice'!$B$4*AA498</f>
        <v>15280.5</v>
      </c>
      <c r="AI498" s="15">
        <f>O498*'Optimal Choice'!$B$9*AB498</f>
        <v>41000</v>
      </c>
      <c r="AJ498" s="15">
        <f>P498*'Optimal Choice'!$B$14*AC498</f>
        <v>180000</v>
      </c>
      <c r="AK498" s="15">
        <f>Q498*'Optimal Choice'!$B$19*AD498</f>
        <v>684000</v>
      </c>
      <c r="AL498" s="15">
        <f>R498*'Optimal Choice'!$B$24*AE498</f>
        <v>4104000</v>
      </c>
      <c r="AO498" s="12">
        <f t="shared" ref="AO498:AS498" si="1490">if(isna(VLOOKUP(N498+1,$D$2:$E$10,2,false)),AO497, VLOOKUP(N498+1,$D$2:$E$10,2,false))</f>
        <v>50</v>
      </c>
      <c r="AP498" s="12">
        <f t="shared" si="1490"/>
        <v>25</v>
      </c>
      <c r="AQ498" s="12">
        <f t="shared" si="1490"/>
        <v>25</v>
      </c>
      <c r="AR498" s="12">
        <f t="shared" si="1490"/>
        <v>25</v>
      </c>
      <c r="AS498" s="12">
        <f t="shared" si="1490"/>
        <v>25</v>
      </c>
      <c r="AU498" s="11">
        <f t="shared" si="8"/>
        <v>0.0852491401</v>
      </c>
    </row>
    <row r="499" ht="15.75" customHeight="1">
      <c r="A499" s="16">
        <f t="shared" si="4"/>
        <v>38.62032199</v>
      </c>
      <c r="B499" s="7">
        <f>(sum(AH499:AL499))*'Optimal Choice'!$B$28</f>
        <v>5033280.5</v>
      </c>
      <c r="C499" s="11"/>
      <c r="D499" s="12"/>
      <c r="E499" s="12"/>
      <c r="F499" s="11"/>
      <c r="G499" s="11">
        <f>(T499/$B499)+(T499/('Optimal Choice'!$B$4*AO499))</f>
        <v>12217.87886</v>
      </c>
      <c r="H499" s="11">
        <f>(U499/$B499)+(U499/('Optimal Choice'!$B$9*AP499))</f>
        <v>13096.19508</v>
      </c>
      <c r="I499" s="11">
        <f>(V499/$B499)+(V499/('Optimal Choice'!$B$14*AQ499))</f>
        <v>13020.78097</v>
      </c>
      <c r="J499" s="11">
        <f>(W499/$B499)+(W499/('Optimal Choice'!$B$19*AR499))</f>
        <v>13279.00983</v>
      </c>
      <c r="K499" s="11">
        <f>(X499/$B499)+(X499/('Optimal Choice'!$B$24*AS499))</f>
        <v>11959.78919</v>
      </c>
      <c r="N499" s="12">
        <f t="shared" ref="N499:R499" si="1491">if(min($G498:$K498)=G498,N498+1,N498)</f>
        <v>183</v>
      </c>
      <c r="O499" s="12">
        <f t="shared" si="1491"/>
        <v>82</v>
      </c>
      <c r="P499" s="12">
        <f t="shared" si="1491"/>
        <v>80</v>
      </c>
      <c r="Q499" s="12">
        <f t="shared" si="1491"/>
        <v>77</v>
      </c>
      <c r="R499" s="12">
        <f t="shared" si="1491"/>
        <v>76</v>
      </c>
      <c r="T499" s="13">
        <f> 'Optimal Choice'!$B$5*'Optimal Choice'!$B$6^(N499+1)</f>
        <v>1020175.96</v>
      </c>
      <c r="U499" s="13">
        <f> 'Optimal Choice'!$B$10*'Optimal Choice'!$B$11^(O499+1)</f>
        <v>6547447.123</v>
      </c>
      <c r="V499" s="13">
        <f> 'Optimal Choice'!$B$15*'Optimal Choice'!$B$16^(P499+1)</f>
        <v>29283666.67</v>
      </c>
      <c r="W499" s="13">
        <f> 'Optimal Choice'!$B$20*'Optimal Choice'!$B$21^(Q499+1)</f>
        <v>119297772.4</v>
      </c>
      <c r="X499" s="13">
        <f> 'Optimal Choice'!$B$25*'Optimal Choice'!$B$26^(R499+1)</f>
        <v>638973333.7</v>
      </c>
      <c r="AA499" s="12">
        <f t="shared" ref="AA499:AE499" si="1492">if(isna(VLOOKUP(N499,$D$2:$E$10,2,false)),AA498, VLOOKUP(N499,$D$2:$E$10,2,false))</f>
        <v>50</v>
      </c>
      <c r="AB499" s="12">
        <f t="shared" si="1492"/>
        <v>25</v>
      </c>
      <c r="AC499" s="12">
        <f t="shared" si="1492"/>
        <v>25</v>
      </c>
      <c r="AD499" s="12">
        <f t="shared" si="1492"/>
        <v>25</v>
      </c>
      <c r="AE499" s="12">
        <f t="shared" si="1492"/>
        <v>25</v>
      </c>
      <c r="AH499" s="15">
        <f>N499*'Optimal Choice'!$B$4*AA499</f>
        <v>15280.5</v>
      </c>
      <c r="AI499" s="15">
        <f>O499*'Optimal Choice'!$B$9*AB499</f>
        <v>41000</v>
      </c>
      <c r="AJ499" s="15">
        <f>P499*'Optimal Choice'!$B$14*AC499</f>
        <v>180000</v>
      </c>
      <c r="AK499" s="15">
        <f>Q499*'Optimal Choice'!$B$19*AD499</f>
        <v>693000</v>
      </c>
      <c r="AL499" s="15">
        <f>R499*'Optimal Choice'!$B$24*AE499</f>
        <v>4104000</v>
      </c>
      <c r="AO499" s="12">
        <f t="shared" ref="AO499:AS499" si="1493">if(isna(VLOOKUP(N499+1,$D$2:$E$10,2,false)),AO498, VLOOKUP(N499+1,$D$2:$E$10,2,false))</f>
        <v>50</v>
      </c>
      <c r="AP499" s="12">
        <f t="shared" si="1493"/>
        <v>25</v>
      </c>
      <c r="AQ499" s="12">
        <f t="shared" si="1493"/>
        <v>25</v>
      </c>
      <c r="AR499" s="12">
        <f t="shared" si="1493"/>
        <v>25</v>
      </c>
      <c r="AS499" s="12">
        <f t="shared" si="1493"/>
        <v>25</v>
      </c>
      <c r="AU499" s="11">
        <f t="shared" si="8"/>
        <v>0.3502101773</v>
      </c>
    </row>
    <row r="500" ht="15.75" customHeight="1">
      <c r="A500" s="16">
        <f t="shared" si="4"/>
        <v>40.73614994</v>
      </c>
      <c r="B500" s="7">
        <f>(sum(AH500:AL500))*'Optimal Choice'!$B$28</f>
        <v>5087280.5</v>
      </c>
      <c r="C500" s="11"/>
      <c r="D500" s="12"/>
      <c r="E500" s="12"/>
      <c r="F500" s="11"/>
      <c r="G500" s="11">
        <f>(T500/$B500)+(T500/('Optimal Choice'!$B$4*AO500))</f>
        <v>12217.8767</v>
      </c>
      <c r="H500" s="11">
        <f>(U500/$B500)+(U500/('Optimal Choice'!$B$9*AP500))</f>
        <v>13096.18127</v>
      </c>
      <c r="I500" s="11">
        <f>(V500/$B500)+(V500/('Optimal Choice'!$B$14*AQ500))</f>
        <v>13020.71921</v>
      </c>
      <c r="J500" s="11">
        <f>(W500/$B500)+(W500/('Optimal Choice'!$B$19*AR500))</f>
        <v>13278.75825</v>
      </c>
      <c r="K500" s="11">
        <f>(X500/$B500)+(X500/('Optimal Choice'!$B$24*AS500))</f>
        <v>13393.45466</v>
      </c>
      <c r="N500" s="12">
        <f t="shared" ref="N500:R500" si="1494">if(min($G499:$K499)=G499,N499+1,N499)</f>
        <v>183</v>
      </c>
      <c r="O500" s="12">
        <f t="shared" si="1494"/>
        <v>82</v>
      </c>
      <c r="P500" s="12">
        <f t="shared" si="1494"/>
        <v>80</v>
      </c>
      <c r="Q500" s="12">
        <f t="shared" si="1494"/>
        <v>77</v>
      </c>
      <c r="R500" s="12">
        <f t="shared" si="1494"/>
        <v>77</v>
      </c>
      <c r="T500" s="13">
        <f> 'Optimal Choice'!$B$5*'Optimal Choice'!$B$6^(N500+1)</f>
        <v>1020175.96</v>
      </c>
      <c r="U500" s="13">
        <f> 'Optimal Choice'!$B$10*'Optimal Choice'!$B$11^(O500+1)</f>
        <v>6547447.123</v>
      </c>
      <c r="V500" s="13">
        <f> 'Optimal Choice'!$B$15*'Optimal Choice'!$B$16^(P500+1)</f>
        <v>29283666.67</v>
      </c>
      <c r="W500" s="13">
        <f> 'Optimal Choice'!$B$20*'Optimal Choice'!$B$21^(Q500+1)</f>
        <v>119297772.4</v>
      </c>
      <c r="X500" s="13">
        <f> 'Optimal Choice'!$B$25*'Optimal Choice'!$B$26^(R500+1)</f>
        <v>715650133.8</v>
      </c>
      <c r="AA500" s="12">
        <f t="shared" ref="AA500:AE500" si="1495">if(isna(VLOOKUP(N500,$D$2:$E$10,2,false)),AA499, VLOOKUP(N500,$D$2:$E$10,2,false))</f>
        <v>50</v>
      </c>
      <c r="AB500" s="12">
        <f t="shared" si="1495"/>
        <v>25</v>
      </c>
      <c r="AC500" s="12">
        <f t="shared" si="1495"/>
        <v>25</v>
      </c>
      <c r="AD500" s="12">
        <f t="shared" si="1495"/>
        <v>25</v>
      </c>
      <c r="AE500" s="12">
        <f t="shared" si="1495"/>
        <v>25</v>
      </c>
      <c r="AH500" s="15">
        <f>N500*'Optimal Choice'!$B$4*AA500</f>
        <v>15280.5</v>
      </c>
      <c r="AI500" s="15">
        <f>O500*'Optimal Choice'!$B$9*AB500</f>
        <v>41000</v>
      </c>
      <c r="AJ500" s="15">
        <f>P500*'Optimal Choice'!$B$14*AC500</f>
        <v>180000</v>
      </c>
      <c r="AK500" s="15">
        <f>Q500*'Optimal Choice'!$B$19*AD500</f>
        <v>693000</v>
      </c>
      <c r="AL500" s="15">
        <f>R500*'Optimal Choice'!$B$24*AE500</f>
        <v>4158000</v>
      </c>
      <c r="AO500" s="12">
        <f t="shared" ref="AO500:AS500" si="1496">if(isna(VLOOKUP(N500+1,$D$2:$E$10,2,false)),AO499, VLOOKUP(N500+1,$D$2:$E$10,2,false))</f>
        <v>50</v>
      </c>
      <c r="AP500" s="12">
        <f t="shared" si="1496"/>
        <v>25</v>
      </c>
      <c r="AQ500" s="12">
        <f t="shared" si="1496"/>
        <v>25</v>
      </c>
      <c r="AR500" s="12">
        <f t="shared" si="1496"/>
        <v>25</v>
      </c>
      <c r="AS500" s="12">
        <f t="shared" si="1496"/>
        <v>25</v>
      </c>
      <c r="AU500" s="11">
        <f t="shared" si="8"/>
        <v>2.11582795</v>
      </c>
    </row>
    <row r="501" ht="15.75" customHeight="1">
      <c r="A501" s="16">
        <f t="shared" si="4"/>
        <v>40.73949219</v>
      </c>
      <c r="B501" s="7">
        <f>(sum(AH501:AL501))*'Optimal Choice'!$B$28</f>
        <v>5087364</v>
      </c>
      <c r="C501" s="11"/>
      <c r="D501" s="12"/>
      <c r="E501" s="12"/>
      <c r="F501" s="11"/>
      <c r="G501" s="11">
        <f>(T501/$B501)+(T501/('Optimal Choice'!$B$4*AO501))</f>
        <v>13073.12807</v>
      </c>
      <c r="H501" s="11">
        <f>(U501/$B501)+(U501/('Optimal Choice'!$B$9*AP501))</f>
        <v>13096.18125</v>
      </c>
      <c r="I501" s="11">
        <f>(V501/$B501)+(V501/('Optimal Choice'!$B$14*AQ501))</f>
        <v>13020.71912</v>
      </c>
      <c r="J501" s="11">
        <f>(W501/$B501)+(W501/('Optimal Choice'!$B$19*AR501))</f>
        <v>13278.75786</v>
      </c>
      <c r="K501" s="11">
        <f>(X501/$B501)+(X501/('Optimal Choice'!$B$24*AS501))</f>
        <v>13393.45235</v>
      </c>
      <c r="N501" s="12">
        <f t="shared" ref="N501:R501" si="1497">if(min($G500:$K500)=G500,N500+1,N500)</f>
        <v>184</v>
      </c>
      <c r="O501" s="12">
        <f t="shared" si="1497"/>
        <v>82</v>
      </c>
      <c r="P501" s="12">
        <f t="shared" si="1497"/>
        <v>80</v>
      </c>
      <c r="Q501" s="12">
        <f t="shared" si="1497"/>
        <v>77</v>
      </c>
      <c r="R501" s="12">
        <f t="shared" si="1497"/>
        <v>77</v>
      </c>
      <c r="T501" s="13">
        <f> 'Optimal Choice'!$B$5*'Optimal Choice'!$B$6^(N501+1)</f>
        <v>1091588.277</v>
      </c>
      <c r="U501" s="13">
        <f> 'Optimal Choice'!$B$10*'Optimal Choice'!$B$11^(O501+1)</f>
        <v>6547447.123</v>
      </c>
      <c r="V501" s="13">
        <f> 'Optimal Choice'!$B$15*'Optimal Choice'!$B$16^(P501+1)</f>
        <v>29283666.67</v>
      </c>
      <c r="W501" s="13">
        <f> 'Optimal Choice'!$B$20*'Optimal Choice'!$B$21^(Q501+1)</f>
        <v>119297772.4</v>
      </c>
      <c r="X501" s="13">
        <f> 'Optimal Choice'!$B$25*'Optimal Choice'!$B$26^(R501+1)</f>
        <v>715650133.8</v>
      </c>
      <c r="AA501" s="12">
        <f t="shared" ref="AA501:AE501" si="1498">if(isna(VLOOKUP(N501,$D$2:$E$10,2,false)),AA500, VLOOKUP(N501,$D$2:$E$10,2,false))</f>
        <v>50</v>
      </c>
      <c r="AB501" s="12">
        <f t="shared" si="1498"/>
        <v>25</v>
      </c>
      <c r="AC501" s="12">
        <f t="shared" si="1498"/>
        <v>25</v>
      </c>
      <c r="AD501" s="12">
        <f t="shared" si="1498"/>
        <v>25</v>
      </c>
      <c r="AE501" s="12">
        <f t="shared" si="1498"/>
        <v>25</v>
      </c>
      <c r="AH501" s="15">
        <f>N501*'Optimal Choice'!$B$4*AA501</f>
        <v>15364</v>
      </c>
      <c r="AI501" s="15">
        <f>O501*'Optimal Choice'!$B$9*AB501</f>
        <v>41000</v>
      </c>
      <c r="AJ501" s="15">
        <f>P501*'Optimal Choice'!$B$14*AC501</f>
        <v>180000</v>
      </c>
      <c r="AK501" s="15">
        <f>Q501*'Optimal Choice'!$B$19*AD501</f>
        <v>693000</v>
      </c>
      <c r="AL501" s="15">
        <f>R501*'Optimal Choice'!$B$24*AE501</f>
        <v>4158000</v>
      </c>
      <c r="AO501" s="12">
        <f t="shared" ref="AO501:AS501" si="1499">if(isna(VLOOKUP(N501+1,$D$2:$E$10,2,false)),AO500, VLOOKUP(N501+1,$D$2:$E$10,2,false))</f>
        <v>50</v>
      </c>
      <c r="AP501" s="12">
        <f t="shared" si="1499"/>
        <v>25</v>
      </c>
      <c r="AQ501" s="12">
        <f t="shared" si="1499"/>
        <v>25</v>
      </c>
      <c r="AR501" s="12">
        <f t="shared" si="1499"/>
        <v>25</v>
      </c>
      <c r="AS501" s="12">
        <f t="shared" si="1499"/>
        <v>25</v>
      </c>
      <c r="AU501" s="11">
        <f t="shared" si="8"/>
        <v>0.003342243988</v>
      </c>
    </row>
    <row r="502" ht="15.75" customHeight="1">
      <c r="A502" s="16">
        <f t="shared" si="4"/>
        <v>40.83542814</v>
      </c>
      <c r="B502" s="7">
        <f>(sum(AH502:AL502))*'Optimal Choice'!$B$28</f>
        <v>5089614</v>
      </c>
      <c r="C502" s="11"/>
      <c r="D502" s="12"/>
      <c r="E502" s="12"/>
      <c r="F502" s="11"/>
      <c r="G502" s="11">
        <f>(T502/$B502)+(T502/('Optimal Choice'!$B$4*AO502))</f>
        <v>13073.12797</v>
      </c>
      <c r="H502" s="11">
        <f>(U502/$B502)+(U502/('Optimal Choice'!$B$9*AP502))</f>
        <v>13096.18068</v>
      </c>
      <c r="I502" s="11">
        <f>(V502/$B502)+(V502/('Optimal Choice'!$B$14*AQ502))</f>
        <v>14843.6169</v>
      </c>
      <c r="J502" s="11">
        <f>(W502/$B502)+(W502/('Optimal Choice'!$B$19*AR502))</f>
        <v>13278.74749</v>
      </c>
      <c r="K502" s="11">
        <f>(X502/$B502)+(X502/('Optimal Choice'!$B$24*AS502))</f>
        <v>13393.39016</v>
      </c>
      <c r="N502" s="12">
        <f t="shared" ref="N502:R502" si="1500">if(min($G501:$K501)=G501,N501+1,N501)</f>
        <v>184</v>
      </c>
      <c r="O502" s="12">
        <f t="shared" si="1500"/>
        <v>82</v>
      </c>
      <c r="P502" s="12">
        <f t="shared" si="1500"/>
        <v>81</v>
      </c>
      <c r="Q502" s="12">
        <f t="shared" si="1500"/>
        <v>77</v>
      </c>
      <c r="R502" s="12">
        <f t="shared" si="1500"/>
        <v>77</v>
      </c>
      <c r="T502" s="13">
        <f> 'Optimal Choice'!$B$5*'Optimal Choice'!$B$6^(N502+1)</f>
        <v>1091588.277</v>
      </c>
      <c r="U502" s="13">
        <f> 'Optimal Choice'!$B$10*'Optimal Choice'!$B$11^(O502+1)</f>
        <v>6547447.123</v>
      </c>
      <c r="V502" s="13">
        <f> 'Optimal Choice'!$B$15*'Optimal Choice'!$B$16^(P502+1)</f>
        <v>33383380</v>
      </c>
      <c r="W502" s="13">
        <f> 'Optimal Choice'!$B$20*'Optimal Choice'!$B$21^(Q502+1)</f>
        <v>119297772.4</v>
      </c>
      <c r="X502" s="13">
        <f> 'Optimal Choice'!$B$25*'Optimal Choice'!$B$26^(R502+1)</f>
        <v>715650133.8</v>
      </c>
      <c r="AA502" s="12">
        <f t="shared" ref="AA502:AE502" si="1501">if(isna(VLOOKUP(N502,$D$2:$E$10,2,false)),AA501, VLOOKUP(N502,$D$2:$E$10,2,false))</f>
        <v>50</v>
      </c>
      <c r="AB502" s="12">
        <f t="shared" si="1501"/>
        <v>25</v>
      </c>
      <c r="AC502" s="12">
        <f t="shared" si="1501"/>
        <v>25</v>
      </c>
      <c r="AD502" s="12">
        <f t="shared" si="1501"/>
        <v>25</v>
      </c>
      <c r="AE502" s="12">
        <f t="shared" si="1501"/>
        <v>25</v>
      </c>
      <c r="AH502" s="15">
        <f>N502*'Optimal Choice'!$B$4*AA502</f>
        <v>15364</v>
      </c>
      <c r="AI502" s="15">
        <f>O502*'Optimal Choice'!$B$9*AB502</f>
        <v>41000</v>
      </c>
      <c r="AJ502" s="15">
        <f>P502*'Optimal Choice'!$B$14*AC502</f>
        <v>182250</v>
      </c>
      <c r="AK502" s="15">
        <f>Q502*'Optimal Choice'!$B$19*AD502</f>
        <v>693000</v>
      </c>
      <c r="AL502" s="15">
        <f>R502*'Optimal Choice'!$B$24*AE502</f>
        <v>4158000</v>
      </c>
      <c r="AO502" s="12">
        <f t="shared" ref="AO502:AS502" si="1502">if(isna(VLOOKUP(N502+1,$D$2:$E$10,2,false)),AO501, VLOOKUP(N502+1,$D$2:$E$10,2,false))</f>
        <v>50</v>
      </c>
      <c r="AP502" s="12">
        <f t="shared" si="1502"/>
        <v>25</v>
      </c>
      <c r="AQ502" s="12">
        <f t="shared" si="1502"/>
        <v>25</v>
      </c>
      <c r="AR502" s="12">
        <f t="shared" si="1502"/>
        <v>25</v>
      </c>
      <c r="AS502" s="12">
        <f t="shared" si="1502"/>
        <v>25</v>
      </c>
      <c r="AU502" s="11">
        <f t="shared" si="8"/>
        <v>0.09593595251</v>
      </c>
    </row>
    <row r="503" ht="15.75" customHeight="1">
      <c r="A503" s="16">
        <f t="shared" si="4"/>
        <v>40.8390027</v>
      </c>
      <c r="B503" s="7">
        <f>(sum(AH503:AL503))*'Optimal Choice'!$B$28</f>
        <v>5089697.5</v>
      </c>
      <c r="C503" s="11"/>
      <c r="D503" s="12"/>
      <c r="E503" s="12"/>
      <c r="F503" s="11"/>
      <c r="G503" s="11">
        <f>(T503/$B503)+(T503/('Optimal Choice'!$B$4*AO503))</f>
        <v>13988.24693</v>
      </c>
      <c r="H503" s="11">
        <f>(U503/$B503)+(U503/('Optimal Choice'!$B$9*AP503))</f>
        <v>13096.18066</v>
      </c>
      <c r="I503" s="11">
        <f>(V503/$B503)+(V503/('Optimal Choice'!$B$14*AQ503))</f>
        <v>14843.61679</v>
      </c>
      <c r="J503" s="11">
        <f>(W503/$B503)+(W503/('Optimal Choice'!$B$19*AR503))</f>
        <v>13278.74711</v>
      </c>
      <c r="K503" s="11">
        <f>(X503/$B503)+(X503/('Optimal Choice'!$B$24*AS503))</f>
        <v>13393.38785</v>
      </c>
      <c r="N503" s="12">
        <f t="shared" ref="N503:R503" si="1503">if(min($G502:$K502)=G502,N502+1,N502)</f>
        <v>185</v>
      </c>
      <c r="O503" s="12">
        <f t="shared" si="1503"/>
        <v>82</v>
      </c>
      <c r="P503" s="12">
        <f t="shared" si="1503"/>
        <v>81</v>
      </c>
      <c r="Q503" s="12">
        <f t="shared" si="1503"/>
        <v>77</v>
      </c>
      <c r="R503" s="12">
        <f t="shared" si="1503"/>
        <v>77</v>
      </c>
      <c r="T503" s="13">
        <f> 'Optimal Choice'!$B$5*'Optimal Choice'!$B$6^(N503+1)</f>
        <v>1167999.457</v>
      </c>
      <c r="U503" s="13">
        <f> 'Optimal Choice'!$B$10*'Optimal Choice'!$B$11^(O503+1)</f>
        <v>6547447.123</v>
      </c>
      <c r="V503" s="13">
        <f> 'Optimal Choice'!$B$15*'Optimal Choice'!$B$16^(P503+1)</f>
        <v>33383380</v>
      </c>
      <c r="W503" s="13">
        <f> 'Optimal Choice'!$B$20*'Optimal Choice'!$B$21^(Q503+1)</f>
        <v>119297772.4</v>
      </c>
      <c r="X503" s="13">
        <f> 'Optimal Choice'!$B$25*'Optimal Choice'!$B$26^(R503+1)</f>
        <v>715650133.8</v>
      </c>
      <c r="AA503" s="12">
        <f t="shared" ref="AA503:AE503" si="1504">if(isna(VLOOKUP(N503,$D$2:$E$10,2,false)),AA502, VLOOKUP(N503,$D$2:$E$10,2,false))</f>
        <v>50</v>
      </c>
      <c r="AB503" s="12">
        <f t="shared" si="1504"/>
        <v>25</v>
      </c>
      <c r="AC503" s="12">
        <f t="shared" si="1504"/>
        <v>25</v>
      </c>
      <c r="AD503" s="12">
        <f t="shared" si="1504"/>
        <v>25</v>
      </c>
      <c r="AE503" s="12">
        <f t="shared" si="1504"/>
        <v>25</v>
      </c>
      <c r="AH503" s="15">
        <f>N503*'Optimal Choice'!$B$4*AA503</f>
        <v>15447.5</v>
      </c>
      <c r="AI503" s="15">
        <f>O503*'Optimal Choice'!$B$9*AB503</f>
        <v>41000</v>
      </c>
      <c r="AJ503" s="15">
        <f>P503*'Optimal Choice'!$B$14*AC503</f>
        <v>182250</v>
      </c>
      <c r="AK503" s="15">
        <f>Q503*'Optimal Choice'!$B$19*AD503</f>
        <v>693000</v>
      </c>
      <c r="AL503" s="15">
        <f>R503*'Optimal Choice'!$B$24*AE503</f>
        <v>4158000</v>
      </c>
      <c r="AO503" s="12">
        <f t="shared" ref="AO503:AS503" si="1505">if(isna(VLOOKUP(N503+1,$D$2:$E$10,2,false)),AO502, VLOOKUP(N503+1,$D$2:$E$10,2,false))</f>
        <v>50</v>
      </c>
      <c r="AP503" s="12">
        <f t="shared" si="1505"/>
        <v>25</v>
      </c>
      <c r="AQ503" s="12">
        <f t="shared" si="1505"/>
        <v>25</v>
      </c>
      <c r="AR503" s="12">
        <f t="shared" si="1505"/>
        <v>25</v>
      </c>
      <c r="AS503" s="12">
        <f t="shared" si="1505"/>
        <v>25</v>
      </c>
      <c r="AU503" s="11">
        <f t="shared" si="8"/>
        <v>0.003574561441</v>
      </c>
    </row>
    <row r="504" ht="15.75" customHeight="1">
      <c r="A504" s="16">
        <f t="shared" si="4"/>
        <v>40.8604429</v>
      </c>
      <c r="B504" s="7">
        <f>(sum(AH504:AL504))*'Optimal Choice'!$B$28</f>
        <v>5090197.5</v>
      </c>
      <c r="C504" s="11"/>
      <c r="D504" s="12"/>
      <c r="E504" s="12"/>
      <c r="F504" s="11"/>
      <c r="G504" s="11">
        <f>(T504/$B504)+(T504/('Optimal Choice'!$B$4*AO504))</f>
        <v>13988.24691</v>
      </c>
      <c r="H504" s="11">
        <f>(U504/$B504)+(U504/('Optimal Choice'!$B$9*AP504))</f>
        <v>15060.60761</v>
      </c>
      <c r="I504" s="11">
        <f>(V504/$B504)+(V504/('Optimal Choice'!$B$14*AQ504))</f>
        <v>14843.61614</v>
      </c>
      <c r="J504" s="11">
        <f>(W504/$B504)+(W504/('Optimal Choice'!$B$19*AR504))</f>
        <v>13278.74481</v>
      </c>
      <c r="K504" s="11">
        <f>(X504/$B504)+(X504/('Optimal Choice'!$B$24*AS504))</f>
        <v>13393.37404</v>
      </c>
      <c r="N504" s="12">
        <f t="shared" ref="N504:R504" si="1506">if(min($G503:$K503)=G503,N503+1,N503)</f>
        <v>185</v>
      </c>
      <c r="O504" s="12">
        <f t="shared" si="1506"/>
        <v>83</v>
      </c>
      <c r="P504" s="12">
        <f t="shared" si="1506"/>
        <v>81</v>
      </c>
      <c r="Q504" s="12">
        <f t="shared" si="1506"/>
        <v>77</v>
      </c>
      <c r="R504" s="12">
        <f t="shared" si="1506"/>
        <v>77</v>
      </c>
      <c r="T504" s="13">
        <f> 'Optimal Choice'!$B$5*'Optimal Choice'!$B$6^(N504+1)</f>
        <v>1167999.457</v>
      </c>
      <c r="U504" s="13">
        <f> 'Optimal Choice'!$B$10*'Optimal Choice'!$B$11^(O504+1)</f>
        <v>7529564.191</v>
      </c>
      <c r="V504" s="13">
        <f> 'Optimal Choice'!$B$15*'Optimal Choice'!$B$16^(P504+1)</f>
        <v>33383380</v>
      </c>
      <c r="W504" s="13">
        <f> 'Optimal Choice'!$B$20*'Optimal Choice'!$B$21^(Q504+1)</f>
        <v>119297772.4</v>
      </c>
      <c r="X504" s="13">
        <f> 'Optimal Choice'!$B$25*'Optimal Choice'!$B$26^(R504+1)</f>
        <v>715650133.8</v>
      </c>
      <c r="AA504" s="12">
        <f t="shared" ref="AA504:AE504" si="1507">if(isna(VLOOKUP(N504,$D$2:$E$10,2,false)),AA503, VLOOKUP(N504,$D$2:$E$10,2,false))</f>
        <v>50</v>
      </c>
      <c r="AB504" s="12">
        <f t="shared" si="1507"/>
        <v>25</v>
      </c>
      <c r="AC504" s="12">
        <f t="shared" si="1507"/>
        <v>25</v>
      </c>
      <c r="AD504" s="12">
        <f t="shared" si="1507"/>
        <v>25</v>
      </c>
      <c r="AE504" s="12">
        <f t="shared" si="1507"/>
        <v>25</v>
      </c>
      <c r="AH504" s="15">
        <f>N504*'Optimal Choice'!$B$4*AA504</f>
        <v>15447.5</v>
      </c>
      <c r="AI504" s="15">
        <f>O504*'Optimal Choice'!$B$9*AB504</f>
        <v>41500</v>
      </c>
      <c r="AJ504" s="15">
        <f>P504*'Optimal Choice'!$B$14*AC504</f>
        <v>182250</v>
      </c>
      <c r="AK504" s="15">
        <f>Q504*'Optimal Choice'!$B$19*AD504</f>
        <v>693000</v>
      </c>
      <c r="AL504" s="15">
        <f>R504*'Optimal Choice'!$B$24*AE504</f>
        <v>4158000</v>
      </c>
      <c r="AO504" s="12">
        <f t="shared" ref="AO504:AS504" si="1508">if(isna(VLOOKUP(N504+1,$D$2:$E$10,2,false)),AO503, VLOOKUP(N504+1,$D$2:$E$10,2,false))</f>
        <v>50</v>
      </c>
      <c r="AP504" s="12">
        <f t="shared" si="1508"/>
        <v>25</v>
      </c>
      <c r="AQ504" s="12">
        <f t="shared" si="1508"/>
        <v>25</v>
      </c>
      <c r="AR504" s="12">
        <f t="shared" si="1508"/>
        <v>25</v>
      </c>
      <c r="AS504" s="12">
        <f t="shared" si="1508"/>
        <v>25</v>
      </c>
      <c r="AU504" s="11">
        <f t="shared" si="8"/>
        <v>0.02144019732</v>
      </c>
    </row>
    <row r="505" ht="15.75" customHeight="1">
      <c r="A505" s="16">
        <f t="shared" si="4"/>
        <v>41.25105568</v>
      </c>
      <c r="B505" s="7">
        <f>(sum(AH505:AL505))*'Optimal Choice'!$B$28</f>
        <v>5099197.5</v>
      </c>
      <c r="C505" s="11"/>
      <c r="D505" s="12"/>
      <c r="E505" s="12"/>
      <c r="F505" s="11"/>
      <c r="G505" s="11">
        <f>(T505/$B505)+(T505/('Optimal Choice'!$B$4*AO505))</f>
        <v>13988.2465</v>
      </c>
      <c r="H505" s="11">
        <f>(U505/$B505)+(U505/('Optimal Choice'!$B$9*AP505))</f>
        <v>15060.605</v>
      </c>
      <c r="I505" s="11">
        <f>(V505/$B505)+(V505/('Optimal Choice'!$B$14*AQ505))</f>
        <v>14843.60457</v>
      </c>
      <c r="J505" s="11">
        <f>(W505/$B505)+(W505/('Optimal Choice'!$B$19*AR505))</f>
        <v>15004.93489</v>
      </c>
      <c r="K505" s="11">
        <f>(X505/$B505)+(X505/('Optimal Choice'!$B$24*AS505))</f>
        <v>13393.12589</v>
      </c>
      <c r="N505" s="12">
        <f t="shared" ref="N505:R505" si="1509">if(min($G504:$K504)=G504,N504+1,N504)</f>
        <v>185</v>
      </c>
      <c r="O505" s="12">
        <f t="shared" si="1509"/>
        <v>83</v>
      </c>
      <c r="P505" s="12">
        <f t="shared" si="1509"/>
        <v>81</v>
      </c>
      <c r="Q505" s="12">
        <f t="shared" si="1509"/>
        <v>78</v>
      </c>
      <c r="R505" s="12">
        <f t="shared" si="1509"/>
        <v>77</v>
      </c>
      <c r="T505" s="13">
        <f> 'Optimal Choice'!$B$5*'Optimal Choice'!$B$6^(N505+1)</f>
        <v>1167999.457</v>
      </c>
      <c r="U505" s="13">
        <f> 'Optimal Choice'!$B$10*'Optimal Choice'!$B$11^(O505+1)</f>
        <v>7529564.191</v>
      </c>
      <c r="V505" s="13">
        <f> 'Optimal Choice'!$B$15*'Optimal Choice'!$B$16^(P505+1)</f>
        <v>33383380</v>
      </c>
      <c r="W505" s="13">
        <f> 'Optimal Choice'!$B$20*'Optimal Choice'!$B$21^(Q505+1)</f>
        <v>134806482.8</v>
      </c>
      <c r="X505" s="13">
        <f> 'Optimal Choice'!$B$25*'Optimal Choice'!$B$26^(R505+1)</f>
        <v>715650133.8</v>
      </c>
      <c r="AA505" s="12">
        <f t="shared" ref="AA505:AE505" si="1510">if(isna(VLOOKUP(N505,$D$2:$E$10,2,false)),AA504, VLOOKUP(N505,$D$2:$E$10,2,false))</f>
        <v>50</v>
      </c>
      <c r="AB505" s="12">
        <f t="shared" si="1510"/>
        <v>25</v>
      </c>
      <c r="AC505" s="12">
        <f t="shared" si="1510"/>
        <v>25</v>
      </c>
      <c r="AD505" s="12">
        <f t="shared" si="1510"/>
        <v>25</v>
      </c>
      <c r="AE505" s="12">
        <f t="shared" si="1510"/>
        <v>25</v>
      </c>
      <c r="AH505" s="15">
        <f>N505*'Optimal Choice'!$B$4*AA505</f>
        <v>15447.5</v>
      </c>
      <c r="AI505" s="15">
        <f>O505*'Optimal Choice'!$B$9*AB505</f>
        <v>41500</v>
      </c>
      <c r="AJ505" s="15">
        <f>P505*'Optimal Choice'!$B$14*AC505</f>
        <v>182250</v>
      </c>
      <c r="AK505" s="15">
        <f>Q505*'Optimal Choice'!$B$19*AD505</f>
        <v>702000</v>
      </c>
      <c r="AL505" s="15">
        <f>R505*'Optimal Choice'!$B$24*AE505</f>
        <v>4158000</v>
      </c>
      <c r="AO505" s="12">
        <f t="shared" ref="AO505:AS505" si="1511">if(isna(VLOOKUP(N505+1,$D$2:$E$10,2,false)),AO504, VLOOKUP(N505+1,$D$2:$E$10,2,false))</f>
        <v>50</v>
      </c>
      <c r="AP505" s="12">
        <f t="shared" si="1511"/>
        <v>25</v>
      </c>
      <c r="AQ505" s="12">
        <f t="shared" si="1511"/>
        <v>25</v>
      </c>
      <c r="AR505" s="12">
        <f t="shared" si="1511"/>
        <v>25</v>
      </c>
      <c r="AS505" s="12">
        <f t="shared" si="1511"/>
        <v>25</v>
      </c>
      <c r="AU505" s="11">
        <f t="shared" si="8"/>
        <v>0.3906127819</v>
      </c>
    </row>
    <row r="506" ht="15.75" customHeight="1">
      <c r="A506" s="16">
        <f t="shared" si="4"/>
        <v>43.59014967</v>
      </c>
      <c r="B506" s="7">
        <f>(sum(AH506:AL506))*'Optimal Choice'!$B$28</f>
        <v>5153197.5</v>
      </c>
      <c r="C506" s="11"/>
      <c r="D506" s="12"/>
      <c r="E506" s="12"/>
      <c r="F506" s="11"/>
      <c r="G506" s="11">
        <f>(T506/$B506)+(T506/('Optimal Choice'!$B$4*AO506))</f>
        <v>13988.2441</v>
      </c>
      <c r="H506" s="11">
        <f>(U506/$B506)+(U506/('Optimal Choice'!$B$9*AP506))</f>
        <v>15060.58953</v>
      </c>
      <c r="I506" s="11">
        <f>(V506/$B506)+(V506/('Optimal Choice'!$B$14*AQ506))</f>
        <v>14843.53597</v>
      </c>
      <c r="J506" s="11">
        <f>(W506/$B506)+(W506/('Optimal Choice'!$B$19*AR506))</f>
        <v>15004.65786</v>
      </c>
      <c r="K506" s="11">
        <f>(X506/$B506)+(X506/('Optimal Choice'!$B$24*AS506))</f>
        <v>14998.65385</v>
      </c>
      <c r="N506" s="12">
        <f t="shared" ref="N506:R506" si="1512">if(min($G505:$K505)=G505,N505+1,N505)</f>
        <v>185</v>
      </c>
      <c r="O506" s="12">
        <f t="shared" si="1512"/>
        <v>83</v>
      </c>
      <c r="P506" s="12">
        <f t="shared" si="1512"/>
        <v>81</v>
      </c>
      <c r="Q506" s="12">
        <f t="shared" si="1512"/>
        <v>78</v>
      </c>
      <c r="R506" s="12">
        <f t="shared" si="1512"/>
        <v>78</v>
      </c>
      <c r="T506" s="13">
        <f> 'Optimal Choice'!$B$5*'Optimal Choice'!$B$6^(N506+1)</f>
        <v>1167999.457</v>
      </c>
      <c r="U506" s="13">
        <f> 'Optimal Choice'!$B$10*'Optimal Choice'!$B$11^(O506+1)</f>
        <v>7529564.191</v>
      </c>
      <c r="V506" s="13">
        <f> 'Optimal Choice'!$B$15*'Optimal Choice'!$B$16^(P506+1)</f>
        <v>33383380</v>
      </c>
      <c r="W506" s="13">
        <f> 'Optimal Choice'!$B$20*'Optimal Choice'!$B$21^(Q506+1)</f>
        <v>134806482.8</v>
      </c>
      <c r="X506" s="13">
        <f> 'Optimal Choice'!$B$25*'Optimal Choice'!$B$26^(R506+1)</f>
        <v>801528149.8</v>
      </c>
      <c r="AA506" s="12">
        <f t="shared" ref="AA506:AE506" si="1513">if(isna(VLOOKUP(N506,$D$2:$E$10,2,false)),AA505, VLOOKUP(N506,$D$2:$E$10,2,false))</f>
        <v>50</v>
      </c>
      <c r="AB506" s="12">
        <f t="shared" si="1513"/>
        <v>25</v>
      </c>
      <c r="AC506" s="12">
        <f t="shared" si="1513"/>
        <v>25</v>
      </c>
      <c r="AD506" s="12">
        <f t="shared" si="1513"/>
        <v>25</v>
      </c>
      <c r="AE506" s="12">
        <f t="shared" si="1513"/>
        <v>25</v>
      </c>
      <c r="AH506" s="15">
        <f>N506*'Optimal Choice'!$B$4*AA506</f>
        <v>15447.5</v>
      </c>
      <c r="AI506" s="15">
        <f>O506*'Optimal Choice'!$B$9*AB506</f>
        <v>41500</v>
      </c>
      <c r="AJ506" s="15">
        <f>P506*'Optimal Choice'!$B$14*AC506</f>
        <v>182250</v>
      </c>
      <c r="AK506" s="15">
        <f>Q506*'Optimal Choice'!$B$19*AD506</f>
        <v>702000</v>
      </c>
      <c r="AL506" s="15">
        <f>R506*'Optimal Choice'!$B$24*AE506</f>
        <v>4212000</v>
      </c>
      <c r="AO506" s="12">
        <f t="shared" ref="AO506:AS506" si="1514">if(isna(VLOOKUP(N506+1,$D$2:$E$10,2,false)),AO505, VLOOKUP(N506+1,$D$2:$E$10,2,false))</f>
        <v>50</v>
      </c>
      <c r="AP506" s="12">
        <f t="shared" si="1514"/>
        <v>25</v>
      </c>
      <c r="AQ506" s="12">
        <f t="shared" si="1514"/>
        <v>25</v>
      </c>
      <c r="AR506" s="12">
        <f t="shared" si="1514"/>
        <v>25</v>
      </c>
      <c r="AS506" s="12">
        <f t="shared" si="1514"/>
        <v>25</v>
      </c>
      <c r="AU506" s="11">
        <f t="shared" si="8"/>
        <v>2.339093991</v>
      </c>
    </row>
    <row r="507" ht="15.75" customHeight="1">
      <c r="A507" s="16">
        <f t="shared" si="4"/>
        <v>43.59392726</v>
      </c>
      <c r="B507" s="7">
        <f>(sum(AH507:AL507))*'Optimal Choice'!$B$28</f>
        <v>5153281</v>
      </c>
      <c r="C507" s="11"/>
      <c r="D507" s="12"/>
      <c r="E507" s="12"/>
      <c r="F507" s="11"/>
      <c r="G507" s="11">
        <f>(T507/$B507)+(T507/('Optimal Choice'!$B$4*AO507))</f>
        <v>14967.42118</v>
      </c>
      <c r="H507" s="11">
        <f>(U507/$B507)+(U507/('Optimal Choice'!$B$9*AP507))</f>
        <v>15060.5895</v>
      </c>
      <c r="I507" s="11">
        <f>(V507/$B507)+(V507/('Optimal Choice'!$B$14*AQ507))</f>
        <v>14843.53586</v>
      </c>
      <c r="J507" s="11">
        <f>(W507/$B507)+(W507/('Optimal Choice'!$B$19*AR507))</f>
        <v>15004.65744</v>
      </c>
      <c r="K507" s="11">
        <f>(X507/$B507)+(X507/('Optimal Choice'!$B$24*AS507))</f>
        <v>14998.65133</v>
      </c>
      <c r="N507" s="12">
        <f t="shared" ref="N507:R507" si="1515">if(min($G506:$K506)=G506,N506+1,N506)</f>
        <v>186</v>
      </c>
      <c r="O507" s="12">
        <f t="shared" si="1515"/>
        <v>83</v>
      </c>
      <c r="P507" s="12">
        <f t="shared" si="1515"/>
        <v>81</v>
      </c>
      <c r="Q507" s="12">
        <f t="shared" si="1515"/>
        <v>78</v>
      </c>
      <c r="R507" s="12">
        <f t="shared" si="1515"/>
        <v>78</v>
      </c>
      <c r="T507" s="13">
        <f> 'Optimal Choice'!$B$5*'Optimal Choice'!$B$6^(N507+1)</f>
        <v>1249759.419</v>
      </c>
      <c r="U507" s="13">
        <f> 'Optimal Choice'!$B$10*'Optimal Choice'!$B$11^(O507+1)</f>
        <v>7529564.191</v>
      </c>
      <c r="V507" s="13">
        <f> 'Optimal Choice'!$B$15*'Optimal Choice'!$B$16^(P507+1)</f>
        <v>33383380</v>
      </c>
      <c r="W507" s="13">
        <f> 'Optimal Choice'!$B$20*'Optimal Choice'!$B$21^(Q507+1)</f>
        <v>134806482.8</v>
      </c>
      <c r="X507" s="13">
        <f> 'Optimal Choice'!$B$25*'Optimal Choice'!$B$26^(R507+1)</f>
        <v>801528149.8</v>
      </c>
      <c r="AA507" s="12">
        <f t="shared" ref="AA507:AE507" si="1516">if(isna(VLOOKUP(N507,$D$2:$E$10,2,false)),AA506, VLOOKUP(N507,$D$2:$E$10,2,false))</f>
        <v>50</v>
      </c>
      <c r="AB507" s="12">
        <f t="shared" si="1516"/>
        <v>25</v>
      </c>
      <c r="AC507" s="12">
        <f t="shared" si="1516"/>
        <v>25</v>
      </c>
      <c r="AD507" s="12">
        <f t="shared" si="1516"/>
        <v>25</v>
      </c>
      <c r="AE507" s="12">
        <f t="shared" si="1516"/>
        <v>25</v>
      </c>
      <c r="AH507" s="15">
        <f>N507*'Optimal Choice'!$B$4*AA507</f>
        <v>15531</v>
      </c>
      <c r="AI507" s="15">
        <f>O507*'Optimal Choice'!$B$9*AB507</f>
        <v>41500</v>
      </c>
      <c r="AJ507" s="15">
        <f>P507*'Optimal Choice'!$B$14*AC507</f>
        <v>182250</v>
      </c>
      <c r="AK507" s="15">
        <f>Q507*'Optimal Choice'!$B$19*AD507</f>
        <v>702000</v>
      </c>
      <c r="AL507" s="15">
        <f>R507*'Optimal Choice'!$B$24*AE507</f>
        <v>4212000</v>
      </c>
      <c r="AO507" s="12">
        <f t="shared" ref="AO507:AS507" si="1517">if(isna(VLOOKUP(N507+1,$D$2:$E$10,2,false)),AO506, VLOOKUP(N507+1,$D$2:$E$10,2,false))</f>
        <v>50</v>
      </c>
      <c r="AP507" s="12">
        <f t="shared" si="1517"/>
        <v>25</v>
      </c>
      <c r="AQ507" s="12">
        <f t="shared" si="1517"/>
        <v>25</v>
      </c>
      <c r="AR507" s="12">
        <f t="shared" si="1517"/>
        <v>25</v>
      </c>
      <c r="AS507" s="12">
        <f t="shared" si="1517"/>
        <v>25</v>
      </c>
      <c r="AU507" s="11">
        <f t="shared" si="8"/>
        <v>0.003777588112</v>
      </c>
    </row>
    <row r="508" ht="15.75" customHeight="1">
      <c r="A508" s="16">
        <f t="shared" si="4"/>
        <v>43.7018953</v>
      </c>
      <c r="B508" s="7">
        <f>(sum(AH508:AL508))*'Optimal Choice'!$B$28</f>
        <v>5155531</v>
      </c>
      <c r="C508" s="11"/>
      <c r="D508" s="12"/>
      <c r="E508" s="12"/>
      <c r="F508" s="11"/>
      <c r="G508" s="11">
        <f>(T508/$B508)+(T508/('Optimal Choice'!$B$4*AO508))</f>
        <v>14967.42108</v>
      </c>
      <c r="H508" s="11">
        <f>(U508/$B508)+(U508/('Optimal Choice'!$B$9*AP508))</f>
        <v>15060.58886</v>
      </c>
      <c r="I508" s="11">
        <f>(V508/$B508)+(V508/('Optimal Choice'!$B$14*AQ508))</f>
        <v>16921.62766</v>
      </c>
      <c r="J508" s="11">
        <f>(W508/$B508)+(W508/('Optimal Choice'!$B$19*AR508))</f>
        <v>15004.64602</v>
      </c>
      <c r="K508" s="11">
        <f>(X508/$B508)+(X508/('Optimal Choice'!$B$24*AS508))</f>
        <v>14998.58345</v>
      </c>
      <c r="N508" s="12">
        <f t="shared" ref="N508:R508" si="1518">if(min($G507:$K507)=G507,N507+1,N507)</f>
        <v>186</v>
      </c>
      <c r="O508" s="12">
        <f t="shared" si="1518"/>
        <v>83</v>
      </c>
      <c r="P508" s="12">
        <f t="shared" si="1518"/>
        <v>82</v>
      </c>
      <c r="Q508" s="12">
        <f t="shared" si="1518"/>
        <v>78</v>
      </c>
      <c r="R508" s="12">
        <f t="shared" si="1518"/>
        <v>78</v>
      </c>
      <c r="T508" s="13">
        <f> 'Optimal Choice'!$B$5*'Optimal Choice'!$B$6^(N508+1)</f>
        <v>1249759.419</v>
      </c>
      <c r="U508" s="13">
        <f> 'Optimal Choice'!$B$10*'Optimal Choice'!$B$11^(O508+1)</f>
        <v>7529564.191</v>
      </c>
      <c r="V508" s="13">
        <f> 'Optimal Choice'!$B$15*'Optimal Choice'!$B$16^(P508+1)</f>
        <v>38057053.2</v>
      </c>
      <c r="W508" s="13">
        <f> 'Optimal Choice'!$B$20*'Optimal Choice'!$B$21^(Q508+1)</f>
        <v>134806482.8</v>
      </c>
      <c r="X508" s="13">
        <f> 'Optimal Choice'!$B$25*'Optimal Choice'!$B$26^(R508+1)</f>
        <v>801528149.8</v>
      </c>
      <c r="AA508" s="12">
        <f t="shared" ref="AA508:AE508" si="1519">if(isna(VLOOKUP(N508,$D$2:$E$10,2,false)),AA507, VLOOKUP(N508,$D$2:$E$10,2,false))</f>
        <v>50</v>
      </c>
      <c r="AB508" s="12">
        <f t="shared" si="1519"/>
        <v>25</v>
      </c>
      <c r="AC508" s="12">
        <f t="shared" si="1519"/>
        <v>25</v>
      </c>
      <c r="AD508" s="12">
        <f t="shared" si="1519"/>
        <v>25</v>
      </c>
      <c r="AE508" s="12">
        <f t="shared" si="1519"/>
        <v>25</v>
      </c>
      <c r="AH508" s="15">
        <f>N508*'Optimal Choice'!$B$4*AA508</f>
        <v>15531</v>
      </c>
      <c r="AI508" s="15">
        <f>O508*'Optimal Choice'!$B$9*AB508</f>
        <v>41500</v>
      </c>
      <c r="AJ508" s="15">
        <f>P508*'Optimal Choice'!$B$14*AC508</f>
        <v>184500</v>
      </c>
      <c r="AK508" s="15">
        <f>Q508*'Optimal Choice'!$B$19*AD508</f>
        <v>702000</v>
      </c>
      <c r="AL508" s="15">
        <f>R508*'Optimal Choice'!$B$24*AE508</f>
        <v>4212000</v>
      </c>
      <c r="AO508" s="12">
        <f t="shared" ref="AO508:AS508" si="1520">if(isna(VLOOKUP(N508+1,$D$2:$E$10,2,false)),AO507, VLOOKUP(N508+1,$D$2:$E$10,2,false))</f>
        <v>50</v>
      </c>
      <c r="AP508" s="12">
        <f t="shared" si="1520"/>
        <v>25</v>
      </c>
      <c r="AQ508" s="12">
        <f t="shared" si="1520"/>
        <v>25</v>
      </c>
      <c r="AR508" s="12">
        <f t="shared" si="1520"/>
        <v>25</v>
      </c>
      <c r="AS508" s="12">
        <f t="shared" si="1520"/>
        <v>25</v>
      </c>
      <c r="AU508" s="11">
        <f t="shared" si="8"/>
        <v>0.1079680434</v>
      </c>
    </row>
    <row r="509" ht="15.75" customHeight="1">
      <c r="A509" s="16">
        <f t="shared" si="4"/>
        <v>43.70593549</v>
      </c>
      <c r="B509" s="7">
        <f>(sum(AH509:AL509))*'Optimal Choice'!$B$28</f>
        <v>5155614.5</v>
      </c>
      <c r="C509" s="11"/>
      <c r="D509" s="12"/>
      <c r="E509" s="12"/>
      <c r="F509" s="11"/>
      <c r="G509" s="11">
        <f>(T509/$B509)+(T509/('Optimal Choice'!$B$4*AO509))</f>
        <v>16015.14055</v>
      </c>
      <c r="H509" s="11">
        <f>(U509/$B509)+(U509/('Optimal Choice'!$B$9*AP509))</f>
        <v>15060.58884</v>
      </c>
      <c r="I509" s="11">
        <f>(V509/$B509)+(V509/('Optimal Choice'!$B$14*AQ509))</f>
        <v>16921.62754</v>
      </c>
      <c r="J509" s="11">
        <f>(W509/$B509)+(W509/('Optimal Choice'!$B$19*AR509))</f>
        <v>15004.6456</v>
      </c>
      <c r="K509" s="11">
        <f>(X509/$B509)+(X509/('Optimal Choice'!$B$24*AS509))</f>
        <v>14998.58093</v>
      </c>
      <c r="N509" s="12">
        <f t="shared" ref="N509:R509" si="1521">if(min($G508:$K508)=G508,N508+1,N508)</f>
        <v>187</v>
      </c>
      <c r="O509" s="12">
        <f t="shared" si="1521"/>
        <v>83</v>
      </c>
      <c r="P509" s="12">
        <f t="shared" si="1521"/>
        <v>82</v>
      </c>
      <c r="Q509" s="12">
        <f t="shared" si="1521"/>
        <v>78</v>
      </c>
      <c r="R509" s="12">
        <f t="shared" si="1521"/>
        <v>78</v>
      </c>
      <c r="T509" s="13">
        <f> 'Optimal Choice'!$B$5*'Optimal Choice'!$B$6^(N509+1)</f>
        <v>1337242.578</v>
      </c>
      <c r="U509" s="13">
        <f> 'Optimal Choice'!$B$10*'Optimal Choice'!$B$11^(O509+1)</f>
        <v>7529564.191</v>
      </c>
      <c r="V509" s="13">
        <f> 'Optimal Choice'!$B$15*'Optimal Choice'!$B$16^(P509+1)</f>
        <v>38057053.2</v>
      </c>
      <c r="W509" s="13">
        <f> 'Optimal Choice'!$B$20*'Optimal Choice'!$B$21^(Q509+1)</f>
        <v>134806482.8</v>
      </c>
      <c r="X509" s="13">
        <f> 'Optimal Choice'!$B$25*'Optimal Choice'!$B$26^(R509+1)</f>
        <v>801528149.8</v>
      </c>
      <c r="AA509" s="12">
        <f t="shared" ref="AA509:AE509" si="1522">if(isna(VLOOKUP(N509,$D$2:$E$10,2,false)),AA508, VLOOKUP(N509,$D$2:$E$10,2,false))</f>
        <v>50</v>
      </c>
      <c r="AB509" s="12">
        <f t="shared" si="1522"/>
        <v>25</v>
      </c>
      <c r="AC509" s="12">
        <f t="shared" si="1522"/>
        <v>25</v>
      </c>
      <c r="AD509" s="12">
        <f t="shared" si="1522"/>
        <v>25</v>
      </c>
      <c r="AE509" s="12">
        <f t="shared" si="1522"/>
        <v>25</v>
      </c>
      <c r="AH509" s="15">
        <f>N509*'Optimal Choice'!$B$4*AA509</f>
        <v>15614.5</v>
      </c>
      <c r="AI509" s="15">
        <f>O509*'Optimal Choice'!$B$9*AB509</f>
        <v>41500</v>
      </c>
      <c r="AJ509" s="15">
        <f>P509*'Optimal Choice'!$B$14*AC509</f>
        <v>184500</v>
      </c>
      <c r="AK509" s="15">
        <f>Q509*'Optimal Choice'!$B$19*AD509</f>
        <v>702000</v>
      </c>
      <c r="AL509" s="15">
        <f>R509*'Optimal Choice'!$B$24*AE509</f>
        <v>4212000</v>
      </c>
      <c r="AO509" s="12">
        <f t="shared" ref="AO509:AS509" si="1523">if(isna(VLOOKUP(N509+1,$D$2:$E$10,2,false)),AO508, VLOOKUP(N509+1,$D$2:$E$10,2,false))</f>
        <v>50</v>
      </c>
      <c r="AP509" s="12">
        <f t="shared" si="1523"/>
        <v>25</v>
      </c>
      <c r="AQ509" s="12">
        <f t="shared" si="1523"/>
        <v>25</v>
      </c>
      <c r="AR509" s="12">
        <f t="shared" si="1523"/>
        <v>25</v>
      </c>
      <c r="AS509" s="12">
        <f t="shared" si="1523"/>
        <v>25</v>
      </c>
      <c r="AU509" s="11">
        <f t="shared" si="8"/>
        <v>0.004040189778</v>
      </c>
    </row>
    <row r="510" ht="15.75" customHeight="1">
      <c r="A510" s="16">
        <f t="shared" si="4"/>
        <v>46.2970529</v>
      </c>
      <c r="B510" s="7">
        <f>(sum(AH510:AL510))*'Optimal Choice'!$B$28</f>
        <v>5209614.5</v>
      </c>
      <c r="C510" s="11"/>
      <c r="D510" s="12"/>
      <c r="E510" s="12"/>
      <c r="F510" s="11"/>
      <c r="G510" s="11">
        <f>(T510/$B510)+(T510/('Optimal Choice'!$B$4*AO510))</f>
        <v>16015.13786</v>
      </c>
      <c r="H510" s="11">
        <f>(U510/$B510)+(U510/('Optimal Choice'!$B$9*AP510))</f>
        <v>15060.5737</v>
      </c>
      <c r="I510" s="11">
        <f>(V510/$B510)+(V510/('Optimal Choice'!$B$14*AQ510))</f>
        <v>16921.55102</v>
      </c>
      <c r="J510" s="11">
        <f>(W510/$B510)+(W510/('Optimal Choice'!$B$19*AR510))</f>
        <v>15004.37456</v>
      </c>
      <c r="K510" s="11">
        <f>(X510/$B510)+(X510/('Optimal Choice'!$B$24*AS510))</f>
        <v>16796.60578</v>
      </c>
      <c r="N510" s="12">
        <f t="shared" ref="N510:R510" si="1524">if(min($G509:$K509)=G509,N509+1,N509)</f>
        <v>187</v>
      </c>
      <c r="O510" s="12">
        <f t="shared" si="1524"/>
        <v>83</v>
      </c>
      <c r="P510" s="12">
        <f t="shared" si="1524"/>
        <v>82</v>
      </c>
      <c r="Q510" s="12">
        <f t="shared" si="1524"/>
        <v>78</v>
      </c>
      <c r="R510" s="12">
        <f t="shared" si="1524"/>
        <v>79</v>
      </c>
      <c r="T510" s="13">
        <f> 'Optimal Choice'!$B$5*'Optimal Choice'!$B$6^(N510+1)</f>
        <v>1337242.578</v>
      </c>
      <c r="U510" s="13">
        <f> 'Optimal Choice'!$B$10*'Optimal Choice'!$B$11^(O510+1)</f>
        <v>7529564.191</v>
      </c>
      <c r="V510" s="13">
        <f> 'Optimal Choice'!$B$15*'Optimal Choice'!$B$16^(P510+1)</f>
        <v>38057053.2</v>
      </c>
      <c r="W510" s="13">
        <f> 'Optimal Choice'!$B$20*'Optimal Choice'!$B$21^(Q510+1)</f>
        <v>134806482.8</v>
      </c>
      <c r="X510" s="13">
        <f> 'Optimal Choice'!$B$25*'Optimal Choice'!$B$26^(R510+1)</f>
        <v>897711527.8</v>
      </c>
      <c r="AA510" s="12">
        <f t="shared" ref="AA510:AE510" si="1525">if(isna(VLOOKUP(N510,$D$2:$E$10,2,false)),AA509, VLOOKUP(N510,$D$2:$E$10,2,false))</f>
        <v>50</v>
      </c>
      <c r="AB510" s="12">
        <f t="shared" si="1525"/>
        <v>25</v>
      </c>
      <c r="AC510" s="12">
        <f t="shared" si="1525"/>
        <v>25</v>
      </c>
      <c r="AD510" s="12">
        <f t="shared" si="1525"/>
        <v>25</v>
      </c>
      <c r="AE510" s="12">
        <f t="shared" si="1525"/>
        <v>25</v>
      </c>
      <c r="AH510" s="15">
        <f>N510*'Optimal Choice'!$B$4*AA510</f>
        <v>15614.5</v>
      </c>
      <c r="AI510" s="15">
        <f>O510*'Optimal Choice'!$B$9*AB510</f>
        <v>41500</v>
      </c>
      <c r="AJ510" s="15">
        <f>P510*'Optimal Choice'!$B$14*AC510</f>
        <v>184500</v>
      </c>
      <c r="AK510" s="15">
        <f>Q510*'Optimal Choice'!$B$19*AD510</f>
        <v>702000</v>
      </c>
      <c r="AL510" s="15">
        <f>R510*'Optimal Choice'!$B$24*AE510</f>
        <v>4266000</v>
      </c>
      <c r="AO510" s="12">
        <f t="shared" ref="AO510:AS510" si="1526">if(isna(VLOOKUP(N510+1,$D$2:$E$10,2,false)),AO509, VLOOKUP(N510+1,$D$2:$E$10,2,false))</f>
        <v>50</v>
      </c>
      <c r="AP510" s="12">
        <f t="shared" si="1526"/>
        <v>25</v>
      </c>
      <c r="AQ510" s="12">
        <f t="shared" si="1526"/>
        <v>25</v>
      </c>
      <c r="AR510" s="12">
        <f t="shared" si="1526"/>
        <v>25</v>
      </c>
      <c r="AS510" s="12">
        <f t="shared" si="1526"/>
        <v>25</v>
      </c>
      <c r="AU510" s="11">
        <f t="shared" si="8"/>
        <v>2.591117411</v>
      </c>
    </row>
    <row r="511" ht="15.75" customHeight="1">
      <c r="A511" s="16">
        <f t="shared" si="4"/>
        <v>46.72832756</v>
      </c>
      <c r="B511" s="7">
        <f>(sum(AH511:AL511))*'Optimal Choice'!$B$28</f>
        <v>5218614.5</v>
      </c>
      <c r="C511" s="11"/>
      <c r="D511" s="12"/>
      <c r="E511" s="12"/>
      <c r="F511" s="11"/>
      <c r="G511" s="11">
        <f>(T511/$B511)+(T511/('Optimal Choice'!$B$4*AO511))</f>
        <v>16015.13742</v>
      </c>
      <c r="H511" s="11">
        <f>(U511/$B511)+(U511/('Optimal Choice'!$B$9*AP511))</f>
        <v>15060.57121</v>
      </c>
      <c r="I511" s="11">
        <f>(V511/$B511)+(V511/('Optimal Choice'!$B$14*AQ511))</f>
        <v>16921.53843</v>
      </c>
      <c r="J511" s="11">
        <f>(W511/$B511)+(W511/('Optimal Choice'!$B$19*AR511))</f>
        <v>16954.89283</v>
      </c>
      <c r="K511" s="11">
        <f>(X511/$B511)+(X511/('Optimal Choice'!$B$24*AS511))</f>
        <v>16796.3086</v>
      </c>
      <c r="N511" s="12">
        <f t="shared" ref="N511:R511" si="1527">if(min($G510:$K510)=G510,N510+1,N510)</f>
        <v>187</v>
      </c>
      <c r="O511" s="12">
        <f t="shared" si="1527"/>
        <v>83</v>
      </c>
      <c r="P511" s="12">
        <f t="shared" si="1527"/>
        <v>82</v>
      </c>
      <c r="Q511" s="12">
        <f t="shared" si="1527"/>
        <v>79</v>
      </c>
      <c r="R511" s="12">
        <f t="shared" si="1527"/>
        <v>79</v>
      </c>
      <c r="T511" s="13">
        <f> 'Optimal Choice'!$B$5*'Optimal Choice'!$B$6^(N511+1)</f>
        <v>1337242.578</v>
      </c>
      <c r="U511" s="13">
        <f> 'Optimal Choice'!$B$10*'Optimal Choice'!$B$11^(O511+1)</f>
        <v>7529564.191</v>
      </c>
      <c r="V511" s="13">
        <f> 'Optimal Choice'!$B$15*'Optimal Choice'!$B$16^(P511+1)</f>
        <v>38057053.2</v>
      </c>
      <c r="W511" s="13">
        <f> 'Optimal Choice'!$B$20*'Optimal Choice'!$B$21^(Q511+1)</f>
        <v>152331325.5</v>
      </c>
      <c r="X511" s="13">
        <f> 'Optimal Choice'!$B$25*'Optimal Choice'!$B$26^(R511+1)</f>
        <v>897711527.8</v>
      </c>
      <c r="AA511" s="12">
        <f t="shared" ref="AA511:AE511" si="1528">if(isna(VLOOKUP(N511,$D$2:$E$10,2,false)),AA510, VLOOKUP(N511,$D$2:$E$10,2,false))</f>
        <v>50</v>
      </c>
      <c r="AB511" s="12">
        <f t="shared" si="1528"/>
        <v>25</v>
      </c>
      <c r="AC511" s="12">
        <f t="shared" si="1528"/>
        <v>25</v>
      </c>
      <c r="AD511" s="12">
        <f t="shared" si="1528"/>
        <v>25</v>
      </c>
      <c r="AE511" s="12">
        <f t="shared" si="1528"/>
        <v>25</v>
      </c>
      <c r="AH511" s="15">
        <f>N511*'Optimal Choice'!$B$4*AA511</f>
        <v>15614.5</v>
      </c>
      <c r="AI511" s="15">
        <f>O511*'Optimal Choice'!$B$9*AB511</f>
        <v>41500</v>
      </c>
      <c r="AJ511" s="15">
        <f>P511*'Optimal Choice'!$B$14*AC511</f>
        <v>184500</v>
      </c>
      <c r="AK511" s="15">
        <f>Q511*'Optimal Choice'!$B$19*AD511</f>
        <v>711000</v>
      </c>
      <c r="AL511" s="15">
        <f>R511*'Optimal Choice'!$B$24*AE511</f>
        <v>4266000</v>
      </c>
      <c r="AO511" s="12">
        <f t="shared" ref="AO511:AS511" si="1529">if(isna(VLOOKUP(N511+1,$D$2:$E$10,2,false)),AO510, VLOOKUP(N511+1,$D$2:$E$10,2,false))</f>
        <v>50</v>
      </c>
      <c r="AP511" s="12">
        <f t="shared" si="1529"/>
        <v>25</v>
      </c>
      <c r="AQ511" s="12">
        <f t="shared" si="1529"/>
        <v>25</v>
      </c>
      <c r="AR511" s="12">
        <f t="shared" si="1529"/>
        <v>25</v>
      </c>
      <c r="AS511" s="12">
        <f t="shared" si="1529"/>
        <v>25</v>
      </c>
      <c r="AU511" s="11">
        <f t="shared" si="8"/>
        <v>0.4312746582</v>
      </c>
    </row>
    <row r="512" ht="15.75" customHeight="1">
      <c r="A512" s="16">
        <f t="shared" si="4"/>
        <v>46.7523747</v>
      </c>
      <c r="B512" s="7">
        <f>(sum(AH512:AL512))*'Optimal Choice'!$B$28</f>
        <v>5219114.5</v>
      </c>
      <c r="C512" s="11"/>
      <c r="D512" s="12"/>
      <c r="E512" s="12"/>
      <c r="F512" s="11"/>
      <c r="G512" s="11">
        <f>(T512/$B512)+(T512/('Optimal Choice'!$B$4*AO512))</f>
        <v>16015.13739</v>
      </c>
      <c r="H512" s="11">
        <f>(U512/$B512)+(U512/('Optimal Choice'!$B$9*AP512))</f>
        <v>17319.65673</v>
      </c>
      <c r="I512" s="11">
        <f>(V512/$B512)+(V512/('Optimal Choice'!$B$14*AQ512))</f>
        <v>16921.53773</v>
      </c>
      <c r="J512" s="11">
        <f>(W512/$B512)+(W512/('Optimal Choice'!$B$19*AR512))</f>
        <v>16954.89003</v>
      </c>
      <c r="K512" s="11">
        <f>(X512/$B512)+(X512/('Optimal Choice'!$B$24*AS512))</f>
        <v>16796.29212</v>
      </c>
      <c r="N512" s="12">
        <f t="shared" ref="N512:R512" si="1530">if(min($G511:$K511)=G511,N511+1,N511)</f>
        <v>187</v>
      </c>
      <c r="O512" s="12">
        <f t="shared" si="1530"/>
        <v>84</v>
      </c>
      <c r="P512" s="12">
        <f t="shared" si="1530"/>
        <v>82</v>
      </c>
      <c r="Q512" s="12">
        <f t="shared" si="1530"/>
        <v>79</v>
      </c>
      <c r="R512" s="12">
        <f t="shared" si="1530"/>
        <v>79</v>
      </c>
      <c r="T512" s="13">
        <f> 'Optimal Choice'!$B$5*'Optimal Choice'!$B$6^(N512+1)</f>
        <v>1337242.578</v>
      </c>
      <c r="U512" s="13">
        <f> 'Optimal Choice'!$B$10*'Optimal Choice'!$B$11^(O512+1)</f>
        <v>8658998.82</v>
      </c>
      <c r="V512" s="13">
        <f> 'Optimal Choice'!$B$15*'Optimal Choice'!$B$16^(P512+1)</f>
        <v>38057053.2</v>
      </c>
      <c r="W512" s="13">
        <f> 'Optimal Choice'!$B$20*'Optimal Choice'!$B$21^(Q512+1)</f>
        <v>152331325.5</v>
      </c>
      <c r="X512" s="13">
        <f> 'Optimal Choice'!$B$25*'Optimal Choice'!$B$26^(R512+1)</f>
        <v>897711527.8</v>
      </c>
      <c r="AA512" s="12">
        <f t="shared" ref="AA512:AE512" si="1531">if(isna(VLOOKUP(N512,$D$2:$E$10,2,false)),AA511, VLOOKUP(N512,$D$2:$E$10,2,false))</f>
        <v>50</v>
      </c>
      <c r="AB512" s="12">
        <f t="shared" si="1531"/>
        <v>25</v>
      </c>
      <c r="AC512" s="12">
        <f t="shared" si="1531"/>
        <v>25</v>
      </c>
      <c r="AD512" s="12">
        <f t="shared" si="1531"/>
        <v>25</v>
      </c>
      <c r="AE512" s="12">
        <f t="shared" si="1531"/>
        <v>25</v>
      </c>
      <c r="AH512" s="15">
        <f>N512*'Optimal Choice'!$B$4*AA512</f>
        <v>15614.5</v>
      </c>
      <c r="AI512" s="15">
        <f>O512*'Optimal Choice'!$B$9*AB512</f>
        <v>42000</v>
      </c>
      <c r="AJ512" s="15">
        <f>P512*'Optimal Choice'!$B$14*AC512</f>
        <v>184500</v>
      </c>
      <c r="AK512" s="15">
        <f>Q512*'Optimal Choice'!$B$19*AD512</f>
        <v>711000</v>
      </c>
      <c r="AL512" s="15">
        <f>R512*'Optimal Choice'!$B$24*AE512</f>
        <v>4266000</v>
      </c>
      <c r="AO512" s="12">
        <f t="shared" ref="AO512:AS512" si="1532">if(isna(VLOOKUP(N512+1,$D$2:$E$10,2,false)),AO511, VLOOKUP(N512+1,$D$2:$E$10,2,false))</f>
        <v>50</v>
      </c>
      <c r="AP512" s="12">
        <f t="shared" si="1532"/>
        <v>25</v>
      </c>
      <c r="AQ512" s="12">
        <f t="shared" si="1532"/>
        <v>25</v>
      </c>
      <c r="AR512" s="12">
        <f t="shared" si="1532"/>
        <v>25</v>
      </c>
      <c r="AS512" s="12">
        <f t="shared" si="1532"/>
        <v>25</v>
      </c>
      <c r="AU512" s="11">
        <f t="shared" si="8"/>
        <v>0.02404713675</v>
      </c>
    </row>
    <row r="513" ht="15.75" customHeight="1">
      <c r="A513" s="16">
        <f t="shared" si="4"/>
        <v>46.75664503</v>
      </c>
      <c r="B513" s="7">
        <f>(sum(AH513:AL513))*'Optimal Choice'!$B$28</f>
        <v>5219198</v>
      </c>
      <c r="C513" s="11"/>
      <c r="D513" s="12"/>
      <c r="E513" s="12"/>
      <c r="F513" s="11"/>
      <c r="G513" s="11">
        <f>(T513/$B513)+(T513/('Optimal Choice'!$B$4*AO513))</f>
        <v>17136.19701</v>
      </c>
      <c r="H513" s="11">
        <f>(U513/$B513)+(U513/('Optimal Choice'!$B$9*AP513))</f>
        <v>17319.65671</v>
      </c>
      <c r="I513" s="11">
        <f>(V513/$B513)+(V513/('Optimal Choice'!$B$14*AQ513))</f>
        <v>16921.53761</v>
      </c>
      <c r="J513" s="11">
        <f>(W513/$B513)+(W513/('Optimal Choice'!$B$19*AR513))</f>
        <v>16954.88957</v>
      </c>
      <c r="K513" s="11">
        <f>(X513/$B513)+(X513/('Optimal Choice'!$B$24*AS513))</f>
        <v>16796.28937</v>
      </c>
      <c r="N513" s="12">
        <f t="shared" ref="N513:R513" si="1533">if(min($G512:$K512)=G512,N512+1,N512)</f>
        <v>188</v>
      </c>
      <c r="O513" s="12">
        <f t="shared" si="1533"/>
        <v>84</v>
      </c>
      <c r="P513" s="12">
        <f t="shared" si="1533"/>
        <v>82</v>
      </c>
      <c r="Q513" s="12">
        <f t="shared" si="1533"/>
        <v>79</v>
      </c>
      <c r="R513" s="12">
        <f t="shared" si="1533"/>
        <v>79</v>
      </c>
      <c r="T513" s="13">
        <f> 'Optimal Choice'!$B$5*'Optimal Choice'!$B$6^(N513+1)</f>
        <v>1430849.558</v>
      </c>
      <c r="U513" s="13">
        <f> 'Optimal Choice'!$B$10*'Optimal Choice'!$B$11^(O513+1)</f>
        <v>8658998.82</v>
      </c>
      <c r="V513" s="13">
        <f> 'Optimal Choice'!$B$15*'Optimal Choice'!$B$16^(P513+1)</f>
        <v>38057053.2</v>
      </c>
      <c r="W513" s="13">
        <f> 'Optimal Choice'!$B$20*'Optimal Choice'!$B$21^(Q513+1)</f>
        <v>152331325.5</v>
      </c>
      <c r="X513" s="13">
        <f> 'Optimal Choice'!$B$25*'Optimal Choice'!$B$26^(R513+1)</f>
        <v>897711527.8</v>
      </c>
      <c r="AA513" s="12">
        <f t="shared" ref="AA513:AE513" si="1534">if(isna(VLOOKUP(N513,$D$2:$E$10,2,false)),AA512, VLOOKUP(N513,$D$2:$E$10,2,false))</f>
        <v>50</v>
      </c>
      <c r="AB513" s="12">
        <f t="shared" si="1534"/>
        <v>25</v>
      </c>
      <c r="AC513" s="12">
        <f t="shared" si="1534"/>
        <v>25</v>
      </c>
      <c r="AD513" s="12">
        <f t="shared" si="1534"/>
        <v>25</v>
      </c>
      <c r="AE513" s="12">
        <f t="shared" si="1534"/>
        <v>25</v>
      </c>
      <c r="AH513" s="15">
        <f>N513*'Optimal Choice'!$B$4*AA513</f>
        <v>15698</v>
      </c>
      <c r="AI513" s="15">
        <f>O513*'Optimal Choice'!$B$9*AB513</f>
        <v>42000</v>
      </c>
      <c r="AJ513" s="15">
        <f>P513*'Optimal Choice'!$B$14*AC513</f>
        <v>184500</v>
      </c>
      <c r="AK513" s="15">
        <f>Q513*'Optimal Choice'!$B$19*AD513</f>
        <v>711000</v>
      </c>
      <c r="AL513" s="15">
        <f>R513*'Optimal Choice'!$B$24*AE513</f>
        <v>4266000</v>
      </c>
      <c r="AO513" s="12">
        <f t="shared" ref="AO513:AS513" si="1535">if(isna(VLOOKUP(N513+1,$D$2:$E$10,2,false)),AO512, VLOOKUP(N513+1,$D$2:$E$10,2,false))</f>
        <v>50</v>
      </c>
      <c r="AP513" s="12">
        <f t="shared" si="1535"/>
        <v>25</v>
      </c>
      <c r="AQ513" s="12">
        <f t="shared" si="1535"/>
        <v>25</v>
      </c>
      <c r="AR513" s="12">
        <f t="shared" si="1535"/>
        <v>25</v>
      </c>
      <c r="AS513" s="12">
        <f t="shared" si="1535"/>
        <v>25</v>
      </c>
      <c r="AU513" s="11">
        <f t="shared" si="8"/>
        <v>0.004270336721</v>
      </c>
    </row>
    <row r="514" ht="15.75" customHeight="1">
      <c r="A514" s="16">
        <f t="shared" si="4"/>
        <v>49.62334195</v>
      </c>
      <c r="B514" s="7">
        <f>(sum(AH514:AL514))*'Optimal Choice'!$B$28</f>
        <v>5273198</v>
      </c>
      <c r="C514" s="11"/>
      <c r="D514" s="12"/>
      <c r="E514" s="12"/>
      <c r="F514" s="11"/>
      <c r="G514" s="11">
        <f>(T514/$B514)+(T514/('Optimal Choice'!$B$4*AO514))</f>
        <v>17136.1942</v>
      </c>
      <c r="H514" s="11">
        <f>(U514/$B514)+(U514/('Optimal Choice'!$B$9*AP514))</f>
        <v>17319.63972</v>
      </c>
      <c r="I514" s="11">
        <f>(V514/$B514)+(V514/('Optimal Choice'!$B$14*AQ514))</f>
        <v>16921.46294</v>
      </c>
      <c r="J514" s="11">
        <f>(W514/$B514)+(W514/('Optimal Choice'!$B$19*AR514))</f>
        <v>16954.59068</v>
      </c>
      <c r="K514" s="11">
        <f>(X514/$B514)+(X514/('Optimal Choice'!$B$24*AS514))</f>
        <v>18809.87135</v>
      </c>
      <c r="N514" s="12">
        <f t="shared" ref="N514:R514" si="1536">if(min($G513:$K513)=G513,N513+1,N513)</f>
        <v>188</v>
      </c>
      <c r="O514" s="12">
        <f t="shared" si="1536"/>
        <v>84</v>
      </c>
      <c r="P514" s="12">
        <f t="shared" si="1536"/>
        <v>82</v>
      </c>
      <c r="Q514" s="12">
        <f t="shared" si="1536"/>
        <v>79</v>
      </c>
      <c r="R514" s="12">
        <f t="shared" si="1536"/>
        <v>80</v>
      </c>
      <c r="T514" s="13">
        <f> 'Optimal Choice'!$B$5*'Optimal Choice'!$B$6^(N514+1)</f>
        <v>1430849.558</v>
      </c>
      <c r="U514" s="13">
        <f> 'Optimal Choice'!$B$10*'Optimal Choice'!$B$11^(O514+1)</f>
        <v>8658998.82</v>
      </c>
      <c r="V514" s="13">
        <f> 'Optimal Choice'!$B$15*'Optimal Choice'!$B$16^(P514+1)</f>
        <v>38057053.2</v>
      </c>
      <c r="W514" s="13">
        <f> 'Optimal Choice'!$B$20*'Optimal Choice'!$B$21^(Q514+1)</f>
        <v>152331325.5</v>
      </c>
      <c r="X514" s="13">
        <f> 'Optimal Choice'!$B$25*'Optimal Choice'!$B$26^(R514+1)</f>
        <v>1005436911</v>
      </c>
      <c r="AA514" s="12">
        <f t="shared" ref="AA514:AE514" si="1537">if(isna(VLOOKUP(N514,$D$2:$E$10,2,false)),AA513, VLOOKUP(N514,$D$2:$E$10,2,false))</f>
        <v>50</v>
      </c>
      <c r="AB514" s="12">
        <f t="shared" si="1537"/>
        <v>25</v>
      </c>
      <c r="AC514" s="12">
        <f t="shared" si="1537"/>
        <v>25</v>
      </c>
      <c r="AD514" s="12">
        <f t="shared" si="1537"/>
        <v>25</v>
      </c>
      <c r="AE514" s="12">
        <f t="shared" si="1537"/>
        <v>25</v>
      </c>
      <c r="AH514" s="15">
        <f>N514*'Optimal Choice'!$B$4*AA514</f>
        <v>15698</v>
      </c>
      <c r="AI514" s="15">
        <f>O514*'Optimal Choice'!$B$9*AB514</f>
        <v>42000</v>
      </c>
      <c r="AJ514" s="15">
        <f>P514*'Optimal Choice'!$B$14*AC514</f>
        <v>184500</v>
      </c>
      <c r="AK514" s="15">
        <f>Q514*'Optimal Choice'!$B$19*AD514</f>
        <v>711000</v>
      </c>
      <c r="AL514" s="15">
        <f>R514*'Optimal Choice'!$B$24*AE514</f>
        <v>4320000</v>
      </c>
      <c r="AO514" s="12">
        <f t="shared" ref="AO514:AS514" si="1538">if(isna(VLOOKUP(N514+1,$D$2:$E$10,2,false)),AO513, VLOOKUP(N514+1,$D$2:$E$10,2,false))</f>
        <v>50</v>
      </c>
      <c r="AP514" s="12">
        <f t="shared" si="1538"/>
        <v>25</v>
      </c>
      <c r="AQ514" s="12">
        <f t="shared" si="1538"/>
        <v>25</v>
      </c>
      <c r="AR514" s="12">
        <f t="shared" si="1538"/>
        <v>25</v>
      </c>
      <c r="AS514" s="12">
        <f t="shared" si="1538"/>
        <v>25</v>
      </c>
      <c r="AU514" s="11">
        <f t="shared" si="8"/>
        <v>2.866696913</v>
      </c>
    </row>
    <row r="515" ht="15.75" customHeight="1">
      <c r="A515" s="16">
        <f t="shared" si="4"/>
        <v>49.74362649</v>
      </c>
      <c r="B515" s="7">
        <f>(sum(AH515:AL515))*'Optimal Choice'!$B$28</f>
        <v>5275448</v>
      </c>
      <c r="C515" s="11"/>
      <c r="D515" s="12"/>
      <c r="E515" s="12"/>
      <c r="F515" s="11"/>
      <c r="G515" s="11">
        <f>(T515/$B515)+(T515/('Optimal Choice'!$B$4*AO515))</f>
        <v>17136.19408</v>
      </c>
      <c r="H515" s="11">
        <f>(U515/$B515)+(U515/('Optimal Choice'!$B$9*AP515))</f>
        <v>17319.63902</v>
      </c>
      <c r="I515" s="11">
        <f>(V515/$B515)+(V515/('Optimal Choice'!$B$14*AQ515))</f>
        <v>19290.46424</v>
      </c>
      <c r="J515" s="11">
        <f>(W515/$B515)+(W515/('Optimal Choice'!$B$19*AR515))</f>
        <v>16954.57836</v>
      </c>
      <c r="K515" s="11">
        <f>(X515/$B515)+(X515/('Optimal Choice'!$B$24*AS515))</f>
        <v>18809.79003</v>
      </c>
      <c r="N515" s="12">
        <f t="shared" ref="N515:R515" si="1539">if(min($G514:$K514)=G514,N514+1,N514)</f>
        <v>188</v>
      </c>
      <c r="O515" s="12">
        <f t="shared" si="1539"/>
        <v>84</v>
      </c>
      <c r="P515" s="12">
        <f t="shared" si="1539"/>
        <v>83</v>
      </c>
      <c r="Q515" s="12">
        <f t="shared" si="1539"/>
        <v>79</v>
      </c>
      <c r="R515" s="12">
        <f t="shared" si="1539"/>
        <v>80</v>
      </c>
      <c r="T515" s="13">
        <f> 'Optimal Choice'!$B$5*'Optimal Choice'!$B$6^(N515+1)</f>
        <v>1430849.558</v>
      </c>
      <c r="U515" s="13">
        <f> 'Optimal Choice'!$B$10*'Optimal Choice'!$B$11^(O515+1)</f>
        <v>8658998.82</v>
      </c>
      <c r="V515" s="13">
        <f> 'Optimal Choice'!$B$15*'Optimal Choice'!$B$16^(P515+1)</f>
        <v>43385040.65</v>
      </c>
      <c r="W515" s="13">
        <f> 'Optimal Choice'!$B$20*'Optimal Choice'!$B$21^(Q515+1)</f>
        <v>152331325.5</v>
      </c>
      <c r="X515" s="13">
        <f> 'Optimal Choice'!$B$25*'Optimal Choice'!$B$26^(R515+1)</f>
        <v>1005436911</v>
      </c>
      <c r="AA515" s="12">
        <f t="shared" ref="AA515:AE515" si="1540">if(isna(VLOOKUP(N515,$D$2:$E$10,2,false)),AA514, VLOOKUP(N515,$D$2:$E$10,2,false))</f>
        <v>50</v>
      </c>
      <c r="AB515" s="12">
        <f t="shared" si="1540"/>
        <v>25</v>
      </c>
      <c r="AC515" s="12">
        <f t="shared" si="1540"/>
        <v>25</v>
      </c>
      <c r="AD515" s="12">
        <f t="shared" si="1540"/>
        <v>25</v>
      </c>
      <c r="AE515" s="12">
        <f t="shared" si="1540"/>
        <v>25</v>
      </c>
      <c r="AH515" s="15">
        <f>N515*'Optimal Choice'!$B$4*AA515</f>
        <v>15698</v>
      </c>
      <c r="AI515" s="15">
        <f>O515*'Optimal Choice'!$B$9*AB515</f>
        <v>42000</v>
      </c>
      <c r="AJ515" s="15">
        <f>P515*'Optimal Choice'!$B$14*AC515</f>
        <v>186750</v>
      </c>
      <c r="AK515" s="15">
        <f>Q515*'Optimal Choice'!$B$19*AD515</f>
        <v>711000</v>
      </c>
      <c r="AL515" s="15">
        <f>R515*'Optimal Choice'!$B$24*AE515</f>
        <v>4320000</v>
      </c>
      <c r="AO515" s="12">
        <f t="shared" ref="AO515:AS515" si="1541">if(isna(VLOOKUP(N515+1,$D$2:$E$10,2,false)),AO514, VLOOKUP(N515+1,$D$2:$E$10,2,false))</f>
        <v>50</v>
      </c>
      <c r="AP515" s="12">
        <f t="shared" si="1541"/>
        <v>25</v>
      </c>
      <c r="AQ515" s="12">
        <f t="shared" si="1541"/>
        <v>25</v>
      </c>
      <c r="AR515" s="12">
        <f t="shared" si="1541"/>
        <v>25</v>
      </c>
      <c r="AS515" s="12">
        <f t="shared" si="1541"/>
        <v>25</v>
      </c>
      <c r="AU515" s="11">
        <f t="shared" si="8"/>
        <v>0.1202845446</v>
      </c>
    </row>
    <row r="516" ht="15.75" customHeight="1">
      <c r="A516" s="16">
        <f t="shared" si="4"/>
        <v>50.22488523</v>
      </c>
      <c r="B516" s="7">
        <f>(sum(AH516:AL516))*'Optimal Choice'!$B$28</f>
        <v>5284448</v>
      </c>
      <c r="C516" s="11"/>
      <c r="D516" s="12"/>
      <c r="E516" s="12"/>
      <c r="F516" s="11"/>
      <c r="G516" s="11">
        <f>(T516/$B516)+(T516/('Optimal Choice'!$B$4*AO516))</f>
        <v>17136.19362</v>
      </c>
      <c r="H516" s="11">
        <f>(U516/$B516)+(U516/('Optimal Choice'!$B$9*AP516))</f>
        <v>17319.63622</v>
      </c>
      <c r="I516" s="11">
        <f>(V516/$B516)+(V516/('Optimal Choice'!$B$14*AQ516))</f>
        <v>19290.45024</v>
      </c>
      <c r="J516" s="11">
        <f>(W516/$B516)+(W516/('Optimal Choice'!$B$19*AR516))</f>
        <v>19158.61798</v>
      </c>
      <c r="K516" s="11">
        <f>(X516/$B516)+(X516/('Optimal Choice'!$B$24*AS516))</f>
        <v>18809.46543</v>
      </c>
      <c r="N516" s="12">
        <f t="shared" ref="N516:R516" si="1542">if(min($G515:$K515)=G515,N515+1,N515)</f>
        <v>188</v>
      </c>
      <c r="O516" s="12">
        <f t="shared" si="1542"/>
        <v>84</v>
      </c>
      <c r="P516" s="12">
        <f t="shared" si="1542"/>
        <v>83</v>
      </c>
      <c r="Q516" s="12">
        <f t="shared" si="1542"/>
        <v>80</v>
      </c>
      <c r="R516" s="12">
        <f t="shared" si="1542"/>
        <v>80</v>
      </c>
      <c r="T516" s="13">
        <f> 'Optimal Choice'!$B$5*'Optimal Choice'!$B$6^(N516+1)</f>
        <v>1430849.558</v>
      </c>
      <c r="U516" s="13">
        <f> 'Optimal Choice'!$B$10*'Optimal Choice'!$B$11^(O516+1)</f>
        <v>8658998.82</v>
      </c>
      <c r="V516" s="13">
        <f> 'Optimal Choice'!$B$15*'Optimal Choice'!$B$16^(P516+1)</f>
        <v>43385040.65</v>
      </c>
      <c r="W516" s="13">
        <f> 'Optimal Choice'!$B$20*'Optimal Choice'!$B$21^(Q516+1)</f>
        <v>172134397.8</v>
      </c>
      <c r="X516" s="13">
        <f> 'Optimal Choice'!$B$25*'Optimal Choice'!$B$26^(R516+1)</f>
        <v>1005436911</v>
      </c>
      <c r="AA516" s="12">
        <f t="shared" ref="AA516:AE516" si="1543">if(isna(VLOOKUP(N516,$D$2:$E$10,2,false)),AA515, VLOOKUP(N516,$D$2:$E$10,2,false))</f>
        <v>50</v>
      </c>
      <c r="AB516" s="12">
        <f t="shared" si="1543"/>
        <v>25</v>
      </c>
      <c r="AC516" s="12">
        <f t="shared" si="1543"/>
        <v>25</v>
      </c>
      <c r="AD516" s="12">
        <f t="shared" si="1543"/>
        <v>25</v>
      </c>
      <c r="AE516" s="12">
        <f t="shared" si="1543"/>
        <v>25</v>
      </c>
      <c r="AH516" s="15">
        <f>N516*'Optimal Choice'!$B$4*AA516</f>
        <v>15698</v>
      </c>
      <c r="AI516" s="15">
        <f>O516*'Optimal Choice'!$B$9*AB516</f>
        <v>42000</v>
      </c>
      <c r="AJ516" s="15">
        <f>P516*'Optimal Choice'!$B$14*AC516</f>
        <v>186750</v>
      </c>
      <c r="AK516" s="15">
        <f>Q516*'Optimal Choice'!$B$19*AD516</f>
        <v>720000</v>
      </c>
      <c r="AL516" s="15">
        <f>R516*'Optimal Choice'!$B$24*AE516</f>
        <v>4320000</v>
      </c>
      <c r="AO516" s="12">
        <f t="shared" ref="AO516:AS516" si="1544">if(isna(VLOOKUP(N516+1,$D$2:$E$10,2,false)),AO515, VLOOKUP(N516+1,$D$2:$E$10,2,false))</f>
        <v>50</v>
      </c>
      <c r="AP516" s="12">
        <f t="shared" si="1544"/>
        <v>25</v>
      </c>
      <c r="AQ516" s="12">
        <f t="shared" si="1544"/>
        <v>25</v>
      </c>
      <c r="AR516" s="12">
        <f t="shared" si="1544"/>
        <v>25</v>
      </c>
      <c r="AS516" s="12">
        <f t="shared" si="1544"/>
        <v>25</v>
      </c>
      <c r="AU516" s="11">
        <f t="shared" si="8"/>
        <v>0.4812587339</v>
      </c>
    </row>
    <row r="517" ht="15.75" customHeight="1">
      <c r="A517" s="16">
        <f t="shared" si="4"/>
        <v>50.22939799</v>
      </c>
      <c r="B517" s="7">
        <f>(sum(AH517:AL517))*'Optimal Choice'!$B$28</f>
        <v>5284531.5</v>
      </c>
      <c r="C517" s="11"/>
      <c r="D517" s="12"/>
      <c r="E517" s="12"/>
      <c r="F517" s="11"/>
      <c r="G517" s="11">
        <f>(T517/$B517)+(T517/('Optimal Choice'!$B$4*AO517))</f>
        <v>18335.72717</v>
      </c>
      <c r="H517" s="11">
        <f>(U517/$B517)+(U517/('Optimal Choice'!$B$9*AP517))</f>
        <v>17319.63619</v>
      </c>
      <c r="I517" s="11">
        <f>(V517/$B517)+(V517/('Optimal Choice'!$B$14*AQ517))</f>
        <v>19290.45011</v>
      </c>
      <c r="J517" s="11">
        <f>(W517/$B517)+(W517/('Optimal Choice'!$B$19*AR517))</f>
        <v>19158.61746</v>
      </c>
      <c r="K517" s="11">
        <f>(X517/$B517)+(X517/('Optimal Choice'!$B$24*AS517))</f>
        <v>18809.46243</v>
      </c>
      <c r="N517" s="12">
        <f t="shared" ref="N517:R517" si="1545">if(min($G516:$K516)=G516,N516+1,N516)</f>
        <v>189</v>
      </c>
      <c r="O517" s="12">
        <f t="shared" si="1545"/>
        <v>84</v>
      </c>
      <c r="P517" s="12">
        <f t="shared" si="1545"/>
        <v>83</v>
      </c>
      <c r="Q517" s="12">
        <f t="shared" si="1545"/>
        <v>80</v>
      </c>
      <c r="R517" s="12">
        <f t="shared" si="1545"/>
        <v>80</v>
      </c>
      <c r="T517" s="13">
        <f> 'Optimal Choice'!$B$5*'Optimal Choice'!$B$6^(N517+1)</f>
        <v>1531009.028</v>
      </c>
      <c r="U517" s="13">
        <f> 'Optimal Choice'!$B$10*'Optimal Choice'!$B$11^(O517+1)</f>
        <v>8658998.82</v>
      </c>
      <c r="V517" s="13">
        <f> 'Optimal Choice'!$B$15*'Optimal Choice'!$B$16^(P517+1)</f>
        <v>43385040.65</v>
      </c>
      <c r="W517" s="13">
        <f> 'Optimal Choice'!$B$20*'Optimal Choice'!$B$21^(Q517+1)</f>
        <v>172134397.8</v>
      </c>
      <c r="X517" s="13">
        <f> 'Optimal Choice'!$B$25*'Optimal Choice'!$B$26^(R517+1)</f>
        <v>1005436911</v>
      </c>
      <c r="AA517" s="12">
        <f t="shared" ref="AA517:AE517" si="1546">if(isna(VLOOKUP(N517,$D$2:$E$10,2,false)),AA516, VLOOKUP(N517,$D$2:$E$10,2,false))</f>
        <v>50</v>
      </c>
      <c r="AB517" s="12">
        <f t="shared" si="1546"/>
        <v>25</v>
      </c>
      <c r="AC517" s="12">
        <f t="shared" si="1546"/>
        <v>25</v>
      </c>
      <c r="AD517" s="12">
        <f t="shared" si="1546"/>
        <v>25</v>
      </c>
      <c r="AE517" s="12">
        <f t="shared" si="1546"/>
        <v>25</v>
      </c>
      <c r="AH517" s="15">
        <f>N517*'Optimal Choice'!$B$4*AA517</f>
        <v>15781.5</v>
      </c>
      <c r="AI517" s="15">
        <f>O517*'Optimal Choice'!$B$9*AB517</f>
        <v>42000</v>
      </c>
      <c r="AJ517" s="15">
        <f>P517*'Optimal Choice'!$B$14*AC517</f>
        <v>186750</v>
      </c>
      <c r="AK517" s="15">
        <f>Q517*'Optimal Choice'!$B$19*AD517</f>
        <v>720000</v>
      </c>
      <c r="AL517" s="15">
        <f>R517*'Optimal Choice'!$B$24*AE517</f>
        <v>4320000</v>
      </c>
      <c r="AO517" s="12">
        <f t="shared" ref="AO517:AS517" si="1547">if(isna(VLOOKUP(N517+1,$D$2:$E$10,2,false)),AO516, VLOOKUP(N517+1,$D$2:$E$10,2,false))</f>
        <v>50</v>
      </c>
      <c r="AP517" s="12">
        <f t="shared" si="1547"/>
        <v>25</v>
      </c>
      <c r="AQ517" s="12">
        <f t="shared" si="1547"/>
        <v>25</v>
      </c>
      <c r="AR517" s="12">
        <f t="shared" si="1547"/>
        <v>25</v>
      </c>
      <c r="AS517" s="12">
        <f t="shared" si="1547"/>
        <v>25</v>
      </c>
      <c r="AU517" s="11">
        <f t="shared" si="8"/>
        <v>0.00451276891</v>
      </c>
    </row>
    <row r="518" ht="15.75" customHeight="1">
      <c r="A518" s="16">
        <f t="shared" si="4"/>
        <v>50.25670725</v>
      </c>
      <c r="B518" s="7">
        <f>(sum(AH518:AL518))*'Optimal Choice'!$B$28</f>
        <v>5285031.5</v>
      </c>
      <c r="C518" s="11"/>
      <c r="D518" s="12"/>
      <c r="E518" s="12"/>
      <c r="F518" s="11"/>
      <c r="G518" s="11">
        <f>(T518/$B518)+(T518/('Optimal Choice'!$B$4*AO518))</f>
        <v>18335.72714</v>
      </c>
      <c r="H518" s="11">
        <f>(U518/$B518)+(U518/('Optimal Choice'!$B$9*AP518))</f>
        <v>19917.58145</v>
      </c>
      <c r="I518" s="11">
        <f>(V518/$B518)+(V518/('Optimal Choice'!$B$14*AQ518))</f>
        <v>19290.44933</v>
      </c>
      <c r="J518" s="11">
        <f>(W518/$B518)+(W518/('Optimal Choice'!$B$19*AR518))</f>
        <v>19158.61438</v>
      </c>
      <c r="K518" s="11">
        <f>(X518/$B518)+(X518/('Optimal Choice'!$B$24*AS518))</f>
        <v>18809.44443</v>
      </c>
      <c r="N518" s="12">
        <f t="shared" ref="N518:R518" si="1548">if(min($G517:$K517)=G517,N517+1,N517)</f>
        <v>189</v>
      </c>
      <c r="O518" s="12">
        <f t="shared" si="1548"/>
        <v>85</v>
      </c>
      <c r="P518" s="12">
        <f t="shared" si="1548"/>
        <v>83</v>
      </c>
      <c r="Q518" s="12">
        <f t="shared" si="1548"/>
        <v>80</v>
      </c>
      <c r="R518" s="12">
        <f t="shared" si="1548"/>
        <v>80</v>
      </c>
      <c r="T518" s="13">
        <f> 'Optimal Choice'!$B$5*'Optimal Choice'!$B$6^(N518+1)</f>
        <v>1531009.028</v>
      </c>
      <c r="U518" s="13">
        <f> 'Optimal Choice'!$B$10*'Optimal Choice'!$B$11^(O518+1)</f>
        <v>9957848.643</v>
      </c>
      <c r="V518" s="13">
        <f> 'Optimal Choice'!$B$15*'Optimal Choice'!$B$16^(P518+1)</f>
        <v>43385040.65</v>
      </c>
      <c r="W518" s="13">
        <f> 'Optimal Choice'!$B$20*'Optimal Choice'!$B$21^(Q518+1)</f>
        <v>172134397.8</v>
      </c>
      <c r="X518" s="13">
        <f> 'Optimal Choice'!$B$25*'Optimal Choice'!$B$26^(R518+1)</f>
        <v>1005436911</v>
      </c>
      <c r="AA518" s="12">
        <f t="shared" ref="AA518:AE518" si="1549">if(isna(VLOOKUP(N518,$D$2:$E$10,2,false)),AA517, VLOOKUP(N518,$D$2:$E$10,2,false))</f>
        <v>50</v>
      </c>
      <c r="AB518" s="12">
        <f t="shared" si="1549"/>
        <v>25</v>
      </c>
      <c r="AC518" s="12">
        <f t="shared" si="1549"/>
        <v>25</v>
      </c>
      <c r="AD518" s="12">
        <f t="shared" si="1549"/>
        <v>25</v>
      </c>
      <c r="AE518" s="12">
        <f t="shared" si="1549"/>
        <v>25</v>
      </c>
      <c r="AH518" s="15">
        <f>N518*'Optimal Choice'!$B$4*AA518</f>
        <v>15781.5</v>
      </c>
      <c r="AI518" s="15">
        <f>O518*'Optimal Choice'!$B$9*AB518</f>
        <v>42500</v>
      </c>
      <c r="AJ518" s="15">
        <f>P518*'Optimal Choice'!$B$14*AC518</f>
        <v>186750</v>
      </c>
      <c r="AK518" s="15">
        <f>Q518*'Optimal Choice'!$B$19*AD518</f>
        <v>720000</v>
      </c>
      <c r="AL518" s="15">
        <f>R518*'Optimal Choice'!$B$24*AE518</f>
        <v>4320000</v>
      </c>
      <c r="AO518" s="12">
        <f t="shared" ref="AO518:AS518" si="1550">if(isna(VLOOKUP(N518+1,$D$2:$E$10,2,false)),AO517, VLOOKUP(N518+1,$D$2:$E$10,2,false))</f>
        <v>50</v>
      </c>
      <c r="AP518" s="12">
        <f t="shared" si="1550"/>
        <v>25</v>
      </c>
      <c r="AQ518" s="12">
        <f t="shared" si="1550"/>
        <v>25</v>
      </c>
      <c r="AR518" s="12">
        <f t="shared" si="1550"/>
        <v>25</v>
      </c>
      <c r="AS518" s="12">
        <f t="shared" si="1550"/>
        <v>25</v>
      </c>
      <c r="AU518" s="11">
        <f t="shared" si="8"/>
        <v>0.02730926043</v>
      </c>
    </row>
    <row r="519" ht="15.75" customHeight="1">
      <c r="A519" s="16">
        <f t="shared" si="4"/>
        <v>50.26153538</v>
      </c>
      <c r="B519" s="7">
        <f>(sum(AH519:AL519))*'Optimal Choice'!$B$28</f>
        <v>5285115</v>
      </c>
      <c r="C519" s="11"/>
      <c r="D519" s="12"/>
      <c r="E519" s="12"/>
      <c r="F519" s="11"/>
      <c r="G519" s="11">
        <f>(T519/$B519)+(T519/('Optimal Choice'!$B$4*AO519))</f>
        <v>19619.22804</v>
      </c>
      <c r="H519" s="11">
        <f>(U519/$B519)+(U519/('Optimal Choice'!$B$9*AP519))</f>
        <v>19917.58142</v>
      </c>
      <c r="I519" s="11">
        <f>(V519/$B519)+(V519/('Optimal Choice'!$B$14*AQ519))</f>
        <v>19290.4492</v>
      </c>
      <c r="J519" s="11">
        <f>(W519/$B519)+(W519/('Optimal Choice'!$B$19*AR519))</f>
        <v>19158.61386</v>
      </c>
      <c r="K519" s="11">
        <f>(X519/$B519)+(X519/('Optimal Choice'!$B$24*AS519))</f>
        <v>18809.44142</v>
      </c>
      <c r="N519" s="12">
        <f t="shared" ref="N519:R519" si="1551">if(min($G518:$K518)=G518,N518+1,N518)</f>
        <v>190</v>
      </c>
      <c r="O519" s="12">
        <f t="shared" si="1551"/>
        <v>85</v>
      </c>
      <c r="P519" s="12">
        <f t="shared" si="1551"/>
        <v>83</v>
      </c>
      <c r="Q519" s="12">
        <f t="shared" si="1551"/>
        <v>80</v>
      </c>
      <c r="R519" s="12">
        <f t="shared" si="1551"/>
        <v>80</v>
      </c>
      <c r="T519" s="13">
        <f> 'Optimal Choice'!$B$5*'Optimal Choice'!$B$6^(N519+1)</f>
        <v>1638179.66</v>
      </c>
      <c r="U519" s="13">
        <f> 'Optimal Choice'!$B$10*'Optimal Choice'!$B$11^(O519+1)</f>
        <v>9957848.643</v>
      </c>
      <c r="V519" s="13">
        <f> 'Optimal Choice'!$B$15*'Optimal Choice'!$B$16^(P519+1)</f>
        <v>43385040.65</v>
      </c>
      <c r="W519" s="13">
        <f> 'Optimal Choice'!$B$20*'Optimal Choice'!$B$21^(Q519+1)</f>
        <v>172134397.8</v>
      </c>
      <c r="X519" s="13">
        <f> 'Optimal Choice'!$B$25*'Optimal Choice'!$B$26^(R519+1)</f>
        <v>1005436911</v>
      </c>
      <c r="AA519" s="12">
        <f t="shared" ref="AA519:AE519" si="1552">if(isna(VLOOKUP(N519,$D$2:$E$10,2,false)),AA518, VLOOKUP(N519,$D$2:$E$10,2,false))</f>
        <v>50</v>
      </c>
      <c r="AB519" s="12">
        <f t="shared" si="1552"/>
        <v>25</v>
      </c>
      <c r="AC519" s="12">
        <f t="shared" si="1552"/>
        <v>25</v>
      </c>
      <c r="AD519" s="12">
        <f t="shared" si="1552"/>
        <v>25</v>
      </c>
      <c r="AE519" s="12">
        <f t="shared" si="1552"/>
        <v>25</v>
      </c>
      <c r="AH519" s="15">
        <f>N519*'Optimal Choice'!$B$4*AA519</f>
        <v>15865</v>
      </c>
      <c r="AI519" s="15">
        <f>O519*'Optimal Choice'!$B$9*AB519</f>
        <v>42500</v>
      </c>
      <c r="AJ519" s="15">
        <f>P519*'Optimal Choice'!$B$14*AC519</f>
        <v>186750</v>
      </c>
      <c r="AK519" s="15">
        <f>Q519*'Optimal Choice'!$B$19*AD519</f>
        <v>720000</v>
      </c>
      <c r="AL519" s="15">
        <f>R519*'Optimal Choice'!$B$24*AE519</f>
        <v>4320000</v>
      </c>
      <c r="AO519" s="12">
        <f t="shared" ref="AO519:AS519" si="1553">if(isna(VLOOKUP(N519+1,$D$2:$E$10,2,false)),AO518, VLOOKUP(N519+1,$D$2:$E$10,2,false))</f>
        <v>50</v>
      </c>
      <c r="AP519" s="12">
        <f t="shared" si="1553"/>
        <v>25</v>
      </c>
      <c r="AQ519" s="12">
        <f t="shared" si="1553"/>
        <v>25</v>
      </c>
      <c r="AR519" s="12">
        <f t="shared" si="1553"/>
        <v>25</v>
      </c>
      <c r="AS519" s="12">
        <f t="shared" si="1553"/>
        <v>25</v>
      </c>
      <c r="AU519" s="11">
        <f t="shared" si="8"/>
        <v>0.00482812962</v>
      </c>
    </row>
    <row r="520" ht="15.75" customHeight="1">
      <c r="A520" s="16">
        <f t="shared" si="4"/>
        <v>53.43219143</v>
      </c>
      <c r="B520" s="7">
        <f>(sum(AH520:AL520))*'Optimal Choice'!$B$28</f>
        <v>5339115</v>
      </c>
      <c r="C520" s="11"/>
      <c r="D520" s="12"/>
      <c r="E520" s="12"/>
      <c r="F520" s="11"/>
      <c r="G520" s="11">
        <f>(T520/$B520)+(T520/('Optimal Choice'!$B$4*AO520))</f>
        <v>19619.2249</v>
      </c>
      <c r="H520" s="11">
        <f>(U520/$B520)+(U520/('Optimal Choice'!$B$9*AP520))</f>
        <v>19917.56236</v>
      </c>
      <c r="I520" s="11">
        <f>(V520/$B520)+(V520/('Optimal Choice'!$B$14*AQ520))</f>
        <v>19290.36617</v>
      </c>
      <c r="J520" s="11">
        <f>(W520/$B520)+(W520/('Optimal Choice'!$B$19*AR520))</f>
        <v>19158.28445</v>
      </c>
      <c r="K520" s="11">
        <f>(X520/$B520)+(X520/('Optimal Choice'!$B$24*AS520))</f>
        <v>21064.41941</v>
      </c>
      <c r="N520" s="12">
        <f t="shared" ref="N520:R520" si="1554">if(min($G519:$K519)=G519,N519+1,N519)</f>
        <v>190</v>
      </c>
      <c r="O520" s="12">
        <f t="shared" si="1554"/>
        <v>85</v>
      </c>
      <c r="P520" s="12">
        <f t="shared" si="1554"/>
        <v>83</v>
      </c>
      <c r="Q520" s="12">
        <f t="shared" si="1554"/>
        <v>80</v>
      </c>
      <c r="R520" s="12">
        <f t="shared" si="1554"/>
        <v>81</v>
      </c>
      <c r="T520" s="13">
        <f> 'Optimal Choice'!$B$5*'Optimal Choice'!$B$6^(N520+1)</f>
        <v>1638179.66</v>
      </c>
      <c r="U520" s="13">
        <f> 'Optimal Choice'!$B$10*'Optimal Choice'!$B$11^(O520+1)</f>
        <v>9957848.643</v>
      </c>
      <c r="V520" s="13">
        <f> 'Optimal Choice'!$B$15*'Optimal Choice'!$B$16^(P520+1)</f>
        <v>43385040.65</v>
      </c>
      <c r="W520" s="13">
        <f> 'Optimal Choice'!$B$20*'Optimal Choice'!$B$21^(Q520+1)</f>
        <v>172134397.8</v>
      </c>
      <c r="X520" s="13">
        <f> 'Optimal Choice'!$B$25*'Optimal Choice'!$B$26^(R520+1)</f>
        <v>1126089340</v>
      </c>
      <c r="AA520" s="12">
        <f t="shared" ref="AA520:AE520" si="1555">if(isna(VLOOKUP(N520,$D$2:$E$10,2,false)),AA519, VLOOKUP(N520,$D$2:$E$10,2,false))</f>
        <v>50</v>
      </c>
      <c r="AB520" s="12">
        <f t="shared" si="1555"/>
        <v>25</v>
      </c>
      <c r="AC520" s="12">
        <f t="shared" si="1555"/>
        <v>25</v>
      </c>
      <c r="AD520" s="12">
        <f t="shared" si="1555"/>
        <v>25</v>
      </c>
      <c r="AE520" s="12">
        <f t="shared" si="1555"/>
        <v>25</v>
      </c>
      <c r="AH520" s="15">
        <f>N520*'Optimal Choice'!$B$4*AA520</f>
        <v>15865</v>
      </c>
      <c r="AI520" s="15">
        <f>O520*'Optimal Choice'!$B$9*AB520</f>
        <v>42500</v>
      </c>
      <c r="AJ520" s="15">
        <f>P520*'Optimal Choice'!$B$14*AC520</f>
        <v>186750</v>
      </c>
      <c r="AK520" s="15">
        <f>Q520*'Optimal Choice'!$B$19*AD520</f>
        <v>720000</v>
      </c>
      <c r="AL520" s="15">
        <f>R520*'Optimal Choice'!$B$24*AE520</f>
        <v>4374000</v>
      </c>
      <c r="AO520" s="12">
        <f t="shared" ref="AO520:AS520" si="1556">if(isna(VLOOKUP(N520+1,$D$2:$E$10,2,false)),AO519, VLOOKUP(N520+1,$D$2:$E$10,2,false))</f>
        <v>50</v>
      </c>
      <c r="AP520" s="12">
        <f t="shared" si="1556"/>
        <v>25</v>
      </c>
      <c r="AQ520" s="12">
        <f t="shared" si="1556"/>
        <v>25</v>
      </c>
      <c r="AR520" s="12">
        <f t="shared" si="1556"/>
        <v>25</v>
      </c>
      <c r="AS520" s="12">
        <f t="shared" si="1556"/>
        <v>25</v>
      </c>
      <c r="AU520" s="11">
        <f t="shared" si="8"/>
        <v>3.170656051</v>
      </c>
    </row>
    <row r="521" ht="15.75" customHeight="1">
      <c r="A521" s="16">
        <f t="shared" si="4"/>
        <v>53.96952892</v>
      </c>
      <c r="B521" s="7">
        <f>(sum(AH521:AL521))*'Optimal Choice'!$B$28</f>
        <v>5348115</v>
      </c>
      <c r="C521" s="11"/>
      <c r="D521" s="12"/>
      <c r="E521" s="12"/>
      <c r="F521" s="11"/>
      <c r="G521" s="11">
        <f>(T521/$B521)+(T521/('Optimal Choice'!$B$4*AO521))</f>
        <v>19619.22439</v>
      </c>
      <c r="H521" s="11">
        <f>(U521/$B521)+(U521/('Optimal Choice'!$B$9*AP521))</f>
        <v>19917.55922</v>
      </c>
      <c r="I521" s="11">
        <f>(V521/$B521)+(V521/('Optimal Choice'!$B$14*AQ521))</f>
        <v>19290.3525</v>
      </c>
      <c r="J521" s="11">
        <f>(W521/$B521)+(W521/('Optimal Choice'!$B$19*AR521))</f>
        <v>21648.80012</v>
      </c>
      <c r="K521" s="11">
        <f>(X521/$B521)+(X521/('Optimal Choice'!$B$24*AS521))</f>
        <v>21064.06448</v>
      </c>
      <c r="N521" s="12">
        <f t="shared" ref="N521:R521" si="1557">if(min($G520:$K520)=G520,N520+1,N520)</f>
        <v>190</v>
      </c>
      <c r="O521" s="12">
        <f t="shared" si="1557"/>
        <v>85</v>
      </c>
      <c r="P521" s="12">
        <f t="shared" si="1557"/>
        <v>83</v>
      </c>
      <c r="Q521" s="12">
        <f t="shared" si="1557"/>
        <v>81</v>
      </c>
      <c r="R521" s="12">
        <f t="shared" si="1557"/>
        <v>81</v>
      </c>
      <c r="T521" s="13">
        <f> 'Optimal Choice'!$B$5*'Optimal Choice'!$B$6^(N521+1)</f>
        <v>1638179.66</v>
      </c>
      <c r="U521" s="13">
        <f> 'Optimal Choice'!$B$10*'Optimal Choice'!$B$11^(O521+1)</f>
        <v>9957848.643</v>
      </c>
      <c r="V521" s="13">
        <f> 'Optimal Choice'!$B$15*'Optimal Choice'!$B$16^(P521+1)</f>
        <v>43385040.65</v>
      </c>
      <c r="W521" s="13">
        <f> 'Optimal Choice'!$B$20*'Optimal Choice'!$B$21^(Q521+1)</f>
        <v>194511869.6</v>
      </c>
      <c r="X521" s="13">
        <f> 'Optimal Choice'!$B$25*'Optimal Choice'!$B$26^(R521+1)</f>
        <v>1126089340</v>
      </c>
      <c r="AA521" s="12">
        <f t="shared" ref="AA521:AE521" si="1558">if(isna(VLOOKUP(N521,$D$2:$E$10,2,false)),AA520, VLOOKUP(N521,$D$2:$E$10,2,false))</f>
        <v>50</v>
      </c>
      <c r="AB521" s="12">
        <f t="shared" si="1558"/>
        <v>25</v>
      </c>
      <c r="AC521" s="12">
        <f t="shared" si="1558"/>
        <v>25</v>
      </c>
      <c r="AD521" s="12">
        <f t="shared" si="1558"/>
        <v>25</v>
      </c>
      <c r="AE521" s="12">
        <f t="shared" si="1558"/>
        <v>25</v>
      </c>
      <c r="AH521" s="15">
        <f>N521*'Optimal Choice'!$B$4*AA521</f>
        <v>15865</v>
      </c>
      <c r="AI521" s="15">
        <f>O521*'Optimal Choice'!$B$9*AB521</f>
        <v>42500</v>
      </c>
      <c r="AJ521" s="15">
        <f>P521*'Optimal Choice'!$B$14*AC521</f>
        <v>186750</v>
      </c>
      <c r="AK521" s="15">
        <f>Q521*'Optimal Choice'!$B$19*AD521</f>
        <v>729000</v>
      </c>
      <c r="AL521" s="15">
        <f>R521*'Optimal Choice'!$B$24*AE521</f>
        <v>4374000</v>
      </c>
      <c r="AO521" s="12">
        <f t="shared" ref="AO521:AS521" si="1559">if(isna(VLOOKUP(N521+1,$D$2:$E$10,2,false)),AO520, VLOOKUP(N521+1,$D$2:$E$10,2,false))</f>
        <v>50</v>
      </c>
      <c r="AP521" s="12">
        <f t="shared" si="1559"/>
        <v>25</v>
      </c>
      <c r="AQ521" s="12">
        <f t="shared" si="1559"/>
        <v>25</v>
      </c>
      <c r="AR521" s="12">
        <f t="shared" si="1559"/>
        <v>25</v>
      </c>
      <c r="AS521" s="12">
        <f t="shared" si="1559"/>
        <v>25</v>
      </c>
      <c r="AU521" s="11">
        <f t="shared" si="8"/>
        <v>0.5373374858</v>
      </c>
    </row>
    <row r="522" ht="15.75" customHeight="1">
      <c r="A522" s="16">
        <f t="shared" si="4"/>
        <v>54.10473245</v>
      </c>
      <c r="B522" s="7">
        <f>(sum(AH522:AL522))*'Optimal Choice'!$B$28</f>
        <v>5350365</v>
      </c>
      <c r="C522" s="11"/>
      <c r="D522" s="12"/>
      <c r="E522" s="12"/>
      <c r="F522" s="11"/>
      <c r="G522" s="11">
        <f>(T522/$B522)+(T522/('Optimal Choice'!$B$4*AO522))</f>
        <v>19619.22426</v>
      </c>
      <c r="H522" s="11">
        <f>(U522/$B522)+(U522/('Optimal Choice'!$B$9*AP522))</f>
        <v>19917.55844</v>
      </c>
      <c r="I522" s="11">
        <f>(V522/$B522)+(V522/('Optimal Choice'!$B$14*AQ522))</f>
        <v>21990.99796</v>
      </c>
      <c r="J522" s="11">
        <f>(W522/$B522)+(W522/('Optimal Choice'!$B$19*AR522))</f>
        <v>21648.78483</v>
      </c>
      <c r="K522" s="11">
        <f>(X522/$B522)+(X522/('Optimal Choice'!$B$24*AS522))</f>
        <v>21063.97594</v>
      </c>
      <c r="N522" s="12">
        <f t="shared" ref="N522:R522" si="1560">if(min($G521:$K521)=G521,N521+1,N521)</f>
        <v>190</v>
      </c>
      <c r="O522" s="12">
        <f t="shared" si="1560"/>
        <v>85</v>
      </c>
      <c r="P522" s="12">
        <f t="shared" si="1560"/>
        <v>84</v>
      </c>
      <c r="Q522" s="12">
        <f t="shared" si="1560"/>
        <v>81</v>
      </c>
      <c r="R522" s="12">
        <f t="shared" si="1560"/>
        <v>81</v>
      </c>
      <c r="T522" s="13">
        <f> 'Optimal Choice'!$B$5*'Optimal Choice'!$B$6^(N522+1)</f>
        <v>1638179.66</v>
      </c>
      <c r="U522" s="13">
        <f> 'Optimal Choice'!$B$10*'Optimal Choice'!$B$11^(O522+1)</f>
        <v>9957848.643</v>
      </c>
      <c r="V522" s="13">
        <f> 'Optimal Choice'!$B$15*'Optimal Choice'!$B$16^(P522+1)</f>
        <v>49458946.34</v>
      </c>
      <c r="W522" s="13">
        <f> 'Optimal Choice'!$B$20*'Optimal Choice'!$B$21^(Q522+1)</f>
        <v>194511869.6</v>
      </c>
      <c r="X522" s="13">
        <f> 'Optimal Choice'!$B$25*'Optimal Choice'!$B$26^(R522+1)</f>
        <v>1126089340</v>
      </c>
      <c r="AA522" s="12">
        <f t="shared" ref="AA522:AE522" si="1561">if(isna(VLOOKUP(N522,$D$2:$E$10,2,false)),AA521, VLOOKUP(N522,$D$2:$E$10,2,false))</f>
        <v>50</v>
      </c>
      <c r="AB522" s="12">
        <f t="shared" si="1561"/>
        <v>25</v>
      </c>
      <c r="AC522" s="12">
        <f t="shared" si="1561"/>
        <v>25</v>
      </c>
      <c r="AD522" s="12">
        <f t="shared" si="1561"/>
        <v>25</v>
      </c>
      <c r="AE522" s="12">
        <f t="shared" si="1561"/>
        <v>25</v>
      </c>
      <c r="AH522" s="15">
        <f>N522*'Optimal Choice'!$B$4*AA522</f>
        <v>15865</v>
      </c>
      <c r="AI522" s="15">
        <f>O522*'Optimal Choice'!$B$9*AB522</f>
        <v>42500</v>
      </c>
      <c r="AJ522" s="15">
        <f>P522*'Optimal Choice'!$B$14*AC522</f>
        <v>189000</v>
      </c>
      <c r="AK522" s="15">
        <f>Q522*'Optimal Choice'!$B$19*AD522</f>
        <v>729000</v>
      </c>
      <c r="AL522" s="15">
        <f>R522*'Optimal Choice'!$B$24*AE522</f>
        <v>4374000</v>
      </c>
      <c r="AO522" s="12">
        <f t="shared" ref="AO522:AS522" si="1562">if(isna(VLOOKUP(N522+1,$D$2:$E$10,2,false)),AO521, VLOOKUP(N522+1,$D$2:$E$10,2,false))</f>
        <v>50</v>
      </c>
      <c r="AP522" s="12">
        <f t="shared" si="1562"/>
        <v>25</v>
      </c>
      <c r="AQ522" s="12">
        <f t="shared" si="1562"/>
        <v>25</v>
      </c>
      <c r="AR522" s="12">
        <f t="shared" si="1562"/>
        <v>25</v>
      </c>
      <c r="AS522" s="12">
        <f t="shared" si="1562"/>
        <v>25</v>
      </c>
      <c r="AU522" s="11">
        <f t="shared" si="8"/>
        <v>0.135203527</v>
      </c>
    </row>
    <row r="523" ht="15.75" customHeight="1">
      <c r="A523" s="16">
        <f t="shared" si="4"/>
        <v>54.10983546</v>
      </c>
      <c r="B523" s="7">
        <f>(sum(AH523:AL523))*'Optimal Choice'!$B$28</f>
        <v>5350448.5</v>
      </c>
      <c r="C523" s="11"/>
      <c r="D523" s="12"/>
      <c r="E523" s="12"/>
      <c r="F523" s="11"/>
      <c r="G523" s="11">
        <f>(T523/$B523)+(T523/('Optimal Choice'!$B$4*AO523))</f>
        <v>20992.56995</v>
      </c>
      <c r="H523" s="11">
        <f>(U523/$B523)+(U523/('Optimal Choice'!$B$9*AP523))</f>
        <v>19917.55841</v>
      </c>
      <c r="I523" s="11">
        <f>(V523/$B523)+(V523/('Optimal Choice'!$B$14*AQ523))</f>
        <v>21990.99782</v>
      </c>
      <c r="J523" s="11">
        <f>(W523/$B523)+(W523/('Optimal Choice'!$B$19*AR523))</f>
        <v>21648.78426</v>
      </c>
      <c r="K523" s="11">
        <f>(X523/$B523)+(X523/('Optimal Choice'!$B$24*AS523))</f>
        <v>21063.97265</v>
      </c>
      <c r="N523" s="12">
        <f t="shared" ref="N523:R523" si="1563">if(min($G522:$K522)=G522,N522+1,N522)</f>
        <v>191</v>
      </c>
      <c r="O523" s="12">
        <f t="shared" si="1563"/>
        <v>85</v>
      </c>
      <c r="P523" s="12">
        <f t="shared" si="1563"/>
        <v>84</v>
      </c>
      <c r="Q523" s="12">
        <f t="shared" si="1563"/>
        <v>81</v>
      </c>
      <c r="R523" s="12">
        <f t="shared" si="1563"/>
        <v>81</v>
      </c>
      <c r="T523" s="13">
        <f> 'Optimal Choice'!$B$5*'Optimal Choice'!$B$6^(N523+1)</f>
        <v>1752852.236</v>
      </c>
      <c r="U523" s="13">
        <f> 'Optimal Choice'!$B$10*'Optimal Choice'!$B$11^(O523+1)</f>
        <v>9957848.643</v>
      </c>
      <c r="V523" s="13">
        <f> 'Optimal Choice'!$B$15*'Optimal Choice'!$B$16^(P523+1)</f>
        <v>49458946.34</v>
      </c>
      <c r="W523" s="13">
        <f> 'Optimal Choice'!$B$20*'Optimal Choice'!$B$21^(Q523+1)</f>
        <v>194511869.6</v>
      </c>
      <c r="X523" s="13">
        <f> 'Optimal Choice'!$B$25*'Optimal Choice'!$B$26^(R523+1)</f>
        <v>1126089340</v>
      </c>
      <c r="AA523" s="12">
        <f t="shared" ref="AA523:AE523" si="1564">if(isna(VLOOKUP(N523,$D$2:$E$10,2,false)),AA522, VLOOKUP(N523,$D$2:$E$10,2,false))</f>
        <v>50</v>
      </c>
      <c r="AB523" s="12">
        <f t="shared" si="1564"/>
        <v>25</v>
      </c>
      <c r="AC523" s="12">
        <f t="shared" si="1564"/>
        <v>25</v>
      </c>
      <c r="AD523" s="12">
        <f t="shared" si="1564"/>
        <v>25</v>
      </c>
      <c r="AE523" s="12">
        <f t="shared" si="1564"/>
        <v>25</v>
      </c>
      <c r="AH523" s="15">
        <f>N523*'Optimal Choice'!$B$4*AA523</f>
        <v>15948.5</v>
      </c>
      <c r="AI523" s="15">
        <f>O523*'Optimal Choice'!$B$9*AB523</f>
        <v>42500</v>
      </c>
      <c r="AJ523" s="15">
        <f>P523*'Optimal Choice'!$B$14*AC523</f>
        <v>189000</v>
      </c>
      <c r="AK523" s="15">
        <f>Q523*'Optimal Choice'!$B$19*AD523</f>
        <v>729000</v>
      </c>
      <c r="AL523" s="15">
        <f>R523*'Optimal Choice'!$B$24*AE523</f>
        <v>4374000</v>
      </c>
      <c r="AO523" s="12">
        <f t="shared" ref="AO523:AS523" si="1565">if(isna(VLOOKUP(N523+1,$D$2:$E$10,2,false)),AO522, VLOOKUP(N523+1,$D$2:$E$10,2,false))</f>
        <v>50</v>
      </c>
      <c r="AP523" s="12">
        <f t="shared" si="1565"/>
        <v>25</v>
      </c>
      <c r="AQ523" s="12">
        <f t="shared" si="1565"/>
        <v>25</v>
      </c>
      <c r="AR523" s="12">
        <f t="shared" si="1565"/>
        <v>25</v>
      </c>
      <c r="AS523" s="12">
        <f t="shared" si="1565"/>
        <v>25</v>
      </c>
      <c r="AU523" s="11">
        <f t="shared" si="8"/>
        <v>0.005103015276</v>
      </c>
    </row>
    <row r="524" ht="15.75" customHeight="1">
      <c r="A524" s="16">
        <f t="shared" si="4"/>
        <v>54.1408542</v>
      </c>
      <c r="B524" s="7">
        <f>(sum(AH524:AL524))*'Optimal Choice'!$B$28</f>
        <v>5350948.5</v>
      </c>
      <c r="C524" s="11"/>
      <c r="D524" s="12"/>
      <c r="E524" s="12"/>
      <c r="F524" s="11"/>
      <c r="G524" s="11">
        <f>(T524/$B524)+(T524/('Optimal Choice'!$B$4*AO524))</f>
        <v>20992.56992</v>
      </c>
      <c r="H524" s="11">
        <f>(U524/$B524)+(U524/('Optimal Choice'!$B$9*AP524))</f>
        <v>22905.19197</v>
      </c>
      <c r="I524" s="11">
        <f>(V524/$B524)+(V524/('Optimal Choice'!$B$14*AQ524))</f>
        <v>21990.99695</v>
      </c>
      <c r="J524" s="11">
        <f>(W524/$B524)+(W524/('Optimal Choice'!$B$19*AR524))</f>
        <v>21648.78087</v>
      </c>
      <c r="K524" s="11">
        <f>(X524/$B524)+(X524/('Optimal Choice'!$B$24*AS524))</f>
        <v>21063.95298</v>
      </c>
      <c r="N524" s="12">
        <f t="shared" ref="N524:R524" si="1566">if(min($G523:$K523)=G523,N523+1,N523)</f>
        <v>191</v>
      </c>
      <c r="O524" s="12">
        <f t="shared" si="1566"/>
        <v>86</v>
      </c>
      <c r="P524" s="12">
        <f t="shared" si="1566"/>
        <v>84</v>
      </c>
      <c r="Q524" s="12">
        <f t="shared" si="1566"/>
        <v>81</v>
      </c>
      <c r="R524" s="12">
        <f t="shared" si="1566"/>
        <v>81</v>
      </c>
      <c r="T524" s="13">
        <f> 'Optimal Choice'!$B$5*'Optimal Choice'!$B$6^(N524+1)</f>
        <v>1752852.236</v>
      </c>
      <c r="U524" s="13">
        <f> 'Optimal Choice'!$B$10*'Optimal Choice'!$B$11^(O524+1)</f>
        <v>11451525.94</v>
      </c>
      <c r="V524" s="13">
        <f> 'Optimal Choice'!$B$15*'Optimal Choice'!$B$16^(P524+1)</f>
        <v>49458946.34</v>
      </c>
      <c r="W524" s="13">
        <f> 'Optimal Choice'!$B$20*'Optimal Choice'!$B$21^(Q524+1)</f>
        <v>194511869.6</v>
      </c>
      <c r="X524" s="13">
        <f> 'Optimal Choice'!$B$25*'Optimal Choice'!$B$26^(R524+1)</f>
        <v>1126089340</v>
      </c>
      <c r="AA524" s="12">
        <f t="shared" ref="AA524:AE524" si="1567">if(isna(VLOOKUP(N524,$D$2:$E$10,2,false)),AA523, VLOOKUP(N524,$D$2:$E$10,2,false))</f>
        <v>50</v>
      </c>
      <c r="AB524" s="12">
        <f t="shared" si="1567"/>
        <v>25</v>
      </c>
      <c r="AC524" s="12">
        <f t="shared" si="1567"/>
        <v>25</v>
      </c>
      <c r="AD524" s="12">
        <f t="shared" si="1567"/>
        <v>25</v>
      </c>
      <c r="AE524" s="12">
        <f t="shared" si="1567"/>
        <v>25</v>
      </c>
      <c r="AH524" s="15">
        <f>N524*'Optimal Choice'!$B$4*AA524</f>
        <v>15948.5</v>
      </c>
      <c r="AI524" s="15">
        <f>O524*'Optimal Choice'!$B$9*AB524</f>
        <v>43000</v>
      </c>
      <c r="AJ524" s="15">
        <f>P524*'Optimal Choice'!$B$14*AC524</f>
        <v>189000</v>
      </c>
      <c r="AK524" s="15">
        <f>Q524*'Optimal Choice'!$B$19*AD524</f>
        <v>729000</v>
      </c>
      <c r="AL524" s="15">
        <f>R524*'Optimal Choice'!$B$24*AE524</f>
        <v>4374000</v>
      </c>
      <c r="AO524" s="12">
        <f t="shared" ref="AO524:AS524" si="1568">if(isna(VLOOKUP(N524+1,$D$2:$E$10,2,false)),AO523, VLOOKUP(N524+1,$D$2:$E$10,2,false))</f>
        <v>50</v>
      </c>
      <c r="AP524" s="12">
        <f t="shared" si="1568"/>
        <v>25</v>
      </c>
      <c r="AQ524" s="12">
        <f t="shared" si="1568"/>
        <v>25</v>
      </c>
      <c r="AR524" s="12">
        <f t="shared" si="1568"/>
        <v>25</v>
      </c>
      <c r="AS524" s="12">
        <f t="shared" si="1568"/>
        <v>25</v>
      </c>
      <c r="AU524" s="11">
        <f t="shared" si="8"/>
        <v>0.03101873498</v>
      </c>
    </row>
    <row r="525" ht="15.75" customHeight="1">
      <c r="A525" s="16">
        <f t="shared" si="4"/>
        <v>54.14631383</v>
      </c>
      <c r="B525" s="7">
        <f>(sum(AH525:AL525))*'Optimal Choice'!$B$28</f>
        <v>5351032</v>
      </c>
      <c r="C525" s="11"/>
      <c r="D525" s="12"/>
      <c r="E525" s="12"/>
      <c r="F525" s="11"/>
      <c r="G525" s="11">
        <f>(T525/$B525)+(T525/('Optimal Choice'!$B$4*AO525))</f>
        <v>22462.04981</v>
      </c>
      <c r="H525" s="11">
        <f>(U525/$B525)+(U525/('Optimal Choice'!$B$9*AP525))</f>
        <v>22905.19194</v>
      </c>
      <c r="I525" s="11">
        <f>(V525/$B525)+(V525/('Optimal Choice'!$B$14*AQ525))</f>
        <v>21990.99681</v>
      </c>
      <c r="J525" s="11">
        <f>(W525/$B525)+(W525/('Optimal Choice'!$B$19*AR525))</f>
        <v>21648.7803</v>
      </c>
      <c r="K525" s="11">
        <f>(X525/$B525)+(X525/('Optimal Choice'!$B$24*AS525))</f>
        <v>21063.9497</v>
      </c>
      <c r="N525" s="12">
        <f t="shared" ref="N525:R525" si="1569">if(min($G524:$K524)=G524,N524+1,N524)</f>
        <v>192</v>
      </c>
      <c r="O525" s="12">
        <f t="shared" si="1569"/>
        <v>86</v>
      </c>
      <c r="P525" s="12">
        <f t="shared" si="1569"/>
        <v>84</v>
      </c>
      <c r="Q525" s="12">
        <f t="shared" si="1569"/>
        <v>81</v>
      </c>
      <c r="R525" s="12">
        <f t="shared" si="1569"/>
        <v>81</v>
      </c>
      <c r="T525" s="13">
        <f> 'Optimal Choice'!$B$5*'Optimal Choice'!$B$6^(N525+1)</f>
        <v>1875551.892</v>
      </c>
      <c r="U525" s="13">
        <f> 'Optimal Choice'!$B$10*'Optimal Choice'!$B$11^(O525+1)</f>
        <v>11451525.94</v>
      </c>
      <c r="V525" s="13">
        <f> 'Optimal Choice'!$B$15*'Optimal Choice'!$B$16^(P525+1)</f>
        <v>49458946.34</v>
      </c>
      <c r="W525" s="13">
        <f> 'Optimal Choice'!$B$20*'Optimal Choice'!$B$21^(Q525+1)</f>
        <v>194511869.6</v>
      </c>
      <c r="X525" s="13">
        <f> 'Optimal Choice'!$B$25*'Optimal Choice'!$B$26^(R525+1)</f>
        <v>1126089340</v>
      </c>
      <c r="AA525" s="12">
        <f t="shared" ref="AA525:AE525" si="1570">if(isna(VLOOKUP(N525,$D$2:$E$10,2,false)),AA524, VLOOKUP(N525,$D$2:$E$10,2,false))</f>
        <v>50</v>
      </c>
      <c r="AB525" s="12">
        <f t="shared" si="1570"/>
        <v>25</v>
      </c>
      <c r="AC525" s="12">
        <f t="shared" si="1570"/>
        <v>25</v>
      </c>
      <c r="AD525" s="12">
        <f t="shared" si="1570"/>
        <v>25</v>
      </c>
      <c r="AE525" s="12">
        <f t="shared" si="1570"/>
        <v>25</v>
      </c>
      <c r="AH525" s="15">
        <f>N525*'Optimal Choice'!$B$4*AA525</f>
        <v>16032</v>
      </c>
      <c r="AI525" s="15">
        <f>O525*'Optimal Choice'!$B$9*AB525</f>
        <v>43000</v>
      </c>
      <c r="AJ525" s="15">
        <f>P525*'Optimal Choice'!$B$14*AC525</f>
        <v>189000</v>
      </c>
      <c r="AK525" s="15">
        <f>Q525*'Optimal Choice'!$B$19*AD525</f>
        <v>729000</v>
      </c>
      <c r="AL525" s="15">
        <f>R525*'Optimal Choice'!$B$24*AE525</f>
        <v>4374000</v>
      </c>
      <c r="AO525" s="12">
        <f t="shared" ref="AO525:AS525" si="1571">if(isna(VLOOKUP(N525+1,$D$2:$E$10,2,false)),AO524, VLOOKUP(N525+1,$D$2:$E$10,2,false))</f>
        <v>50</v>
      </c>
      <c r="AP525" s="12">
        <f t="shared" si="1571"/>
        <v>25</v>
      </c>
      <c r="AQ525" s="12">
        <f t="shared" si="1571"/>
        <v>25</v>
      </c>
      <c r="AR525" s="12">
        <f t="shared" si="1571"/>
        <v>25</v>
      </c>
      <c r="AS525" s="12">
        <f t="shared" si="1571"/>
        <v>25</v>
      </c>
      <c r="AU525" s="11">
        <f t="shared" si="8"/>
        <v>0.005459630929</v>
      </c>
    </row>
    <row r="526" ht="15.75" customHeight="1">
      <c r="A526" s="16">
        <f t="shared" si="4"/>
        <v>57.65370374</v>
      </c>
      <c r="B526" s="7">
        <f>(sum(AH526:AL526))*'Optimal Choice'!$B$28</f>
        <v>5405032</v>
      </c>
      <c r="C526" s="11"/>
      <c r="D526" s="12"/>
      <c r="E526" s="12"/>
      <c r="F526" s="11"/>
      <c r="G526" s="11">
        <f>(T526/$B526)+(T526/('Optimal Choice'!$B$4*AO526))</f>
        <v>22462.04631</v>
      </c>
      <c r="H526" s="11">
        <f>(U526/$B526)+(U526/('Optimal Choice'!$B$9*AP526))</f>
        <v>22905.17056</v>
      </c>
      <c r="I526" s="11">
        <f>(V526/$B526)+(V526/('Optimal Choice'!$B$14*AQ526))</f>
        <v>21990.90447</v>
      </c>
      <c r="J526" s="11">
        <f>(W526/$B526)+(W526/('Optimal Choice'!$B$19*AR526))</f>
        <v>21648.41713</v>
      </c>
      <c r="K526" s="11">
        <f>(X526/$B526)+(X526/('Optimal Choice'!$B$24*AS526))</f>
        <v>23589.26889</v>
      </c>
      <c r="N526" s="12">
        <f t="shared" ref="N526:R526" si="1572">if(min($G525:$K525)=G525,N525+1,N525)</f>
        <v>192</v>
      </c>
      <c r="O526" s="12">
        <f t="shared" si="1572"/>
        <v>86</v>
      </c>
      <c r="P526" s="12">
        <f t="shared" si="1572"/>
        <v>84</v>
      </c>
      <c r="Q526" s="12">
        <f t="shared" si="1572"/>
        <v>81</v>
      </c>
      <c r="R526" s="12">
        <f t="shared" si="1572"/>
        <v>82</v>
      </c>
      <c r="T526" s="13">
        <f> 'Optimal Choice'!$B$5*'Optimal Choice'!$B$6^(N526+1)</f>
        <v>1875551.892</v>
      </c>
      <c r="U526" s="13">
        <f> 'Optimal Choice'!$B$10*'Optimal Choice'!$B$11^(O526+1)</f>
        <v>11451525.94</v>
      </c>
      <c r="V526" s="13">
        <f> 'Optimal Choice'!$B$15*'Optimal Choice'!$B$16^(P526+1)</f>
        <v>49458946.34</v>
      </c>
      <c r="W526" s="13">
        <f> 'Optimal Choice'!$B$20*'Optimal Choice'!$B$21^(Q526+1)</f>
        <v>194511869.6</v>
      </c>
      <c r="X526" s="13">
        <f> 'Optimal Choice'!$B$25*'Optimal Choice'!$B$26^(R526+1)</f>
        <v>1261220061</v>
      </c>
      <c r="AA526" s="12">
        <f t="shared" ref="AA526:AE526" si="1573">if(isna(VLOOKUP(N526,$D$2:$E$10,2,false)),AA525, VLOOKUP(N526,$D$2:$E$10,2,false))</f>
        <v>50</v>
      </c>
      <c r="AB526" s="12">
        <f t="shared" si="1573"/>
        <v>25</v>
      </c>
      <c r="AC526" s="12">
        <f t="shared" si="1573"/>
        <v>25</v>
      </c>
      <c r="AD526" s="12">
        <f t="shared" si="1573"/>
        <v>25</v>
      </c>
      <c r="AE526" s="12">
        <f t="shared" si="1573"/>
        <v>25</v>
      </c>
      <c r="AH526" s="15">
        <f>N526*'Optimal Choice'!$B$4*AA526</f>
        <v>16032</v>
      </c>
      <c r="AI526" s="15">
        <f>O526*'Optimal Choice'!$B$9*AB526</f>
        <v>43000</v>
      </c>
      <c r="AJ526" s="15">
        <f>P526*'Optimal Choice'!$B$14*AC526</f>
        <v>189000</v>
      </c>
      <c r="AK526" s="15">
        <f>Q526*'Optimal Choice'!$B$19*AD526</f>
        <v>729000</v>
      </c>
      <c r="AL526" s="15">
        <f>R526*'Optimal Choice'!$B$24*AE526</f>
        <v>4428000</v>
      </c>
      <c r="AO526" s="12">
        <f t="shared" ref="AO526:AS526" si="1574">if(isna(VLOOKUP(N526+1,$D$2:$E$10,2,false)),AO525, VLOOKUP(N526+1,$D$2:$E$10,2,false))</f>
        <v>50</v>
      </c>
      <c r="AP526" s="12">
        <f t="shared" si="1574"/>
        <v>25</v>
      </c>
      <c r="AQ526" s="12">
        <f t="shared" si="1574"/>
        <v>25</v>
      </c>
      <c r="AR526" s="12">
        <f t="shared" si="1574"/>
        <v>25</v>
      </c>
      <c r="AS526" s="12">
        <f t="shared" si="1574"/>
        <v>25</v>
      </c>
      <c r="AU526" s="11">
        <f t="shared" si="8"/>
        <v>3.507389916</v>
      </c>
    </row>
    <row r="527" ht="15.75" customHeight="1">
      <c r="A527" s="16">
        <f t="shared" si="4"/>
        <v>58.25349011</v>
      </c>
      <c r="B527" s="7">
        <f>(sum(AH527:AL527))*'Optimal Choice'!$B$28</f>
        <v>5414032</v>
      </c>
      <c r="C527" s="11"/>
      <c r="D527" s="12"/>
      <c r="E527" s="12"/>
      <c r="F527" s="11"/>
      <c r="G527" s="11">
        <f>(T527/$B527)+(T527/('Optimal Choice'!$B$4*AO527))</f>
        <v>22462.04573</v>
      </c>
      <c r="H527" s="11">
        <f>(U527/$B527)+(U527/('Optimal Choice'!$B$9*AP527))</f>
        <v>22905.16703</v>
      </c>
      <c r="I527" s="11">
        <f>(V527/$B527)+(V527/('Optimal Choice'!$B$14*AQ527))</f>
        <v>21990.88925</v>
      </c>
      <c r="J527" s="11">
        <f>(W527/$B527)+(W527/('Optimal Choice'!$B$19*AR527))</f>
        <v>24462.64376</v>
      </c>
      <c r="K527" s="11">
        <f>(X527/$B527)+(X527/('Optimal Choice'!$B$24*AS527))</f>
        <v>23588.881</v>
      </c>
      <c r="N527" s="12">
        <f t="shared" ref="N527:R527" si="1575">if(min($G526:$K526)=G526,N526+1,N526)</f>
        <v>192</v>
      </c>
      <c r="O527" s="12">
        <f t="shared" si="1575"/>
        <v>86</v>
      </c>
      <c r="P527" s="12">
        <f t="shared" si="1575"/>
        <v>84</v>
      </c>
      <c r="Q527" s="12">
        <f t="shared" si="1575"/>
        <v>82</v>
      </c>
      <c r="R527" s="12">
        <f t="shared" si="1575"/>
        <v>82</v>
      </c>
      <c r="T527" s="13">
        <f> 'Optimal Choice'!$B$5*'Optimal Choice'!$B$6^(N527+1)</f>
        <v>1875551.892</v>
      </c>
      <c r="U527" s="13">
        <f> 'Optimal Choice'!$B$10*'Optimal Choice'!$B$11^(O527+1)</f>
        <v>11451525.94</v>
      </c>
      <c r="V527" s="13">
        <f> 'Optimal Choice'!$B$15*'Optimal Choice'!$B$16^(P527+1)</f>
        <v>49458946.34</v>
      </c>
      <c r="W527" s="13">
        <f> 'Optimal Choice'!$B$20*'Optimal Choice'!$B$21^(Q527+1)</f>
        <v>219798412.6</v>
      </c>
      <c r="X527" s="13">
        <f> 'Optimal Choice'!$B$25*'Optimal Choice'!$B$26^(R527+1)</f>
        <v>1261220061</v>
      </c>
      <c r="AA527" s="12">
        <f t="shared" ref="AA527:AE527" si="1576">if(isna(VLOOKUP(N527,$D$2:$E$10,2,false)),AA526, VLOOKUP(N527,$D$2:$E$10,2,false))</f>
        <v>50</v>
      </c>
      <c r="AB527" s="12">
        <f t="shared" si="1576"/>
        <v>25</v>
      </c>
      <c r="AC527" s="12">
        <f t="shared" si="1576"/>
        <v>25</v>
      </c>
      <c r="AD527" s="12">
        <f t="shared" si="1576"/>
        <v>25</v>
      </c>
      <c r="AE527" s="12">
        <f t="shared" si="1576"/>
        <v>25</v>
      </c>
      <c r="AH527" s="15">
        <f>N527*'Optimal Choice'!$B$4*AA527</f>
        <v>16032</v>
      </c>
      <c r="AI527" s="15">
        <f>O527*'Optimal Choice'!$B$9*AB527</f>
        <v>43000</v>
      </c>
      <c r="AJ527" s="15">
        <f>P527*'Optimal Choice'!$B$14*AC527</f>
        <v>189000</v>
      </c>
      <c r="AK527" s="15">
        <f>Q527*'Optimal Choice'!$B$19*AD527</f>
        <v>738000</v>
      </c>
      <c r="AL527" s="15">
        <f>R527*'Optimal Choice'!$B$24*AE527</f>
        <v>4428000</v>
      </c>
      <c r="AO527" s="12">
        <f t="shared" ref="AO527:AS527" si="1577">if(isna(VLOOKUP(N527+1,$D$2:$E$10,2,false)),AO526, VLOOKUP(N527+1,$D$2:$E$10,2,false))</f>
        <v>50</v>
      </c>
      <c r="AP527" s="12">
        <f t="shared" si="1577"/>
        <v>25</v>
      </c>
      <c r="AQ527" s="12">
        <f t="shared" si="1577"/>
        <v>25</v>
      </c>
      <c r="AR527" s="12">
        <f t="shared" si="1577"/>
        <v>25</v>
      </c>
      <c r="AS527" s="12">
        <f t="shared" si="1577"/>
        <v>25</v>
      </c>
      <c r="AU527" s="11">
        <f t="shared" si="8"/>
        <v>0.5997863644</v>
      </c>
    </row>
    <row r="528" ht="15.75" customHeight="1">
      <c r="A528" s="16">
        <f t="shared" si="4"/>
        <v>58.40574554</v>
      </c>
      <c r="B528" s="7">
        <f>(sum(AH528:AL528))*'Optimal Choice'!$B$28</f>
        <v>5416282</v>
      </c>
      <c r="C528" s="11"/>
      <c r="D528" s="12"/>
      <c r="E528" s="12"/>
      <c r="F528" s="11"/>
      <c r="G528" s="11">
        <f>(T528/$B528)+(T528/('Optimal Choice'!$B$4*AO528))</f>
        <v>22462.04559</v>
      </c>
      <c r="H528" s="11">
        <f>(U528/$B528)+(U528/('Optimal Choice'!$B$9*AP528))</f>
        <v>22905.16616</v>
      </c>
      <c r="I528" s="11">
        <f>(V528/$B528)+(V528/('Optimal Choice'!$B$14*AQ528))</f>
        <v>25069.60942</v>
      </c>
      <c r="J528" s="11">
        <f>(W528/$B528)+(W528/('Optimal Choice'!$B$19*AR528))</f>
        <v>24462.6269</v>
      </c>
      <c r="K528" s="11">
        <f>(X528/$B528)+(X528/('Optimal Choice'!$B$24*AS528))</f>
        <v>23588.78423</v>
      </c>
      <c r="N528" s="12">
        <f t="shared" ref="N528:R528" si="1578">if(min($G527:$K527)=G527,N527+1,N527)</f>
        <v>192</v>
      </c>
      <c r="O528" s="12">
        <f t="shared" si="1578"/>
        <v>86</v>
      </c>
      <c r="P528" s="12">
        <f t="shared" si="1578"/>
        <v>85</v>
      </c>
      <c r="Q528" s="12">
        <f t="shared" si="1578"/>
        <v>82</v>
      </c>
      <c r="R528" s="12">
        <f t="shared" si="1578"/>
        <v>82</v>
      </c>
      <c r="T528" s="13">
        <f> 'Optimal Choice'!$B$5*'Optimal Choice'!$B$6^(N528+1)</f>
        <v>1875551.892</v>
      </c>
      <c r="U528" s="13">
        <f> 'Optimal Choice'!$B$10*'Optimal Choice'!$B$11^(O528+1)</f>
        <v>11451525.94</v>
      </c>
      <c r="V528" s="13">
        <f> 'Optimal Choice'!$B$15*'Optimal Choice'!$B$16^(P528+1)</f>
        <v>56383198.83</v>
      </c>
      <c r="W528" s="13">
        <f> 'Optimal Choice'!$B$20*'Optimal Choice'!$B$21^(Q528+1)</f>
        <v>219798412.6</v>
      </c>
      <c r="X528" s="13">
        <f> 'Optimal Choice'!$B$25*'Optimal Choice'!$B$26^(R528+1)</f>
        <v>1261220061</v>
      </c>
      <c r="AA528" s="12">
        <f t="shared" ref="AA528:AE528" si="1579">if(isna(VLOOKUP(N528,$D$2:$E$10,2,false)),AA527, VLOOKUP(N528,$D$2:$E$10,2,false))</f>
        <v>50</v>
      </c>
      <c r="AB528" s="12">
        <f t="shared" si="1579"/>
        <v>25</v>
      </c>
      <c r="AC528" s="12">
        <f t="shared" si="1579"/>
        <v>25</v>
      </c>
      <c r="AD528" s="12">
        <f t="shared" si="1579"/>
        <v>25</v>
      </c>
      <c r="AE528" s="12">
        <f t="shared" si="1579"/>
        <v>25</v>
      </c>
      <c r="AH528" s="15">
        <f>N528*'Optimal Choice'!$B$4*AA528</f>
        <v>16032</v>
      </c>
      <c r="AI528" s="15">
        <f>O528*'Optimal Choice'!$B$9*AB528</f>
        <v>43000</v>
      </c>
      <c r="AJ528" s="15">
        <f>P528*'Optimal Choice'!$B$14*AC528</f>
        <v>191250</v>
      </c>
      <c r="AK528" s="15">
        <f>Q528*'Optimal Choice'!$B$19*AD528</f>
        <v>738000</v>
      </c>
      <c r="AL528" s="15">
        <f>R528*'Optimal Choice'!$B$24*AE528</f>
        <v>4428000</v>
      </c>
      <c r="AO528" s="12">
        <f t="shared" ref="AO528:AS528" si="1580">if(isna(VLOOKUP(N528+1,$D$2:$E$10,2,false)),AO527, VLOOKUP(N528+1,$D$2:$E$10,2,false))</f>
        <v>50</v>
      </c>
      <c r="AP528" s="12">
        <f t="shared" si="1580"/>
        <v>25</v>
      </c>
      <c r="AQ528" s="12">
        <f t="shared" si="1580"/>
        <v>25</v>
      </c>
      <c r="AR528" s="12">
        <f t="shared" si="1580"/>
        <v>25</v>
      </c>
      <c r="AS528" s="12">
        <f t="shared" si="1580"/>
        <v>25</v>
      </c>
      <c r="AU528" s="11">
        <f t="shared" si="8"/>
        <v>0.1522554304</v>
      </c>
    </row>
    <row r="529" ht="15.75" customHeight="1">
      <c r="A529" s="16">
        <f t="shared" si="4"/>
        <v>58.41151688</v>
      </c>
      <c r="B529" s="7">
        <f>(sum(AH529:AL529))*'Optimal Choice'!$B$28</f>
        <v>5416365.5</v>
      </c>
      <c r="C529" s="11"/>
      <c r="D529" s="12"/>
      <c r="E529" s="12"/>
      <c r="F529" s="11"/>
      <c r="G529" s="11">
        <f>(T529/$B529)+(T529/('Optimal Choice'!$B$4*AO529))</f>
        <v>24034.38877</v>
      </c>
      <c r="H529" s="11">
        <f>(U529/$B529)+(U529/('Optimal Choice'!$B$9*AP529))</f>
        <v>22905.16612</v>
      </c>
      <c r="I529" s="11">
        <f>(V529/$B529)+(V529/('Optimal Choice'!$B$14*AQ529))</f>
        <v>25069.60926</v>
      </c>
      <c r="J529" s="11">
        <f>(W529/$B529)+(W529/('Optimal Choice'!$B$19*AR529))</f>
        <v>24462.62627</v>
      </c>
      <c r="K529" s="11">
        <f>(X529/$B529)+(X529/('Optimal Choice'!$B$24*AS529))</f>
        <v>23588.78064</v>
      </c>
      <c r="N529" s="12">
        <f t="shared" ref="N529:R529" si="1581">if(min($G528:$K528)=G528,N528+1,N528)</f>
        <v>193</v>
      </c>
      <c r="O529" s="12">
        <f t="shared" si="1581"/>
        <v>86</v>
      </c>
      <c r="P529" s="12">
        <f t="shared" si="1581"/>
        <v>85</v>
      </c>
      <c r="Q529" s="12">
        <f t="shared" si="1581"/>
        <v>82</v>
      </c>
      <c r="R529" s="12">
        <f t="shared" si="1581"/>
        <v>82</v>
      </c>
      <c r="T529" s="13">
        <f> 'Optimal Choice'!$B$5*'Optimal Choice'!$B$6^(N529+1)</f>
        <v>2006840.525</v>
      </c>
      <c r="U529" s="13">
        <f> 'Optimal Choice'!$B$10*'Optimal Choice'!$B$11^(O529+1)</f>
        <v>11451525.94</v>
      </c>
      <c r="V529" s="13">
        <f> 'Optimal Choice'!$B$15*'Optimal Choice'!$B$16^(P529+1)</f>
        <v>56383198.83</v>
      </c>
      <c r="W529" s="13">
        <f> 'Optimal Choice'!$B$20*'Optimal Choice'!$B$21^(Q529+1)</f>
        <v>219798412.6</v>
      </c>
      <c r="X529" s="13">
        <f> 'Optimal Choice'!$B$25*'Optimal Choice'!$B$26^(R529+1)</f>
        <v>1261220061</v>
      </c>
      <c r="AA529" s="12">
        <f t="shared" ref="AA529:AE529" si="1582">if(isna(VLOOKUP(N529,$D$2:$E$10,2,false)),AA528, VLOOKUP(N529,$D$2:$E$10,2,false))</f>
        <v>50</v>
      </c>
      <c r="AB529" s="12">
        <f t="shared" si="1582"/>
        <v>25</v>
      </c>
      <c r="AC529" s="12">
        <f t="shared" si="1582"/>
        <v>25</v>
      </c>
      <c r="AD529" s="12">
        <f t="shared" si="1582"/>
        <v>25</v>
      </c>
      <c r="AE529" s="12">
        <f t="shared" si="1582"/>
        <v>25</v>
      </c>
      <c r="AH529" s="15">
        <f>N529*'Optimal Choice'!$B$4*AA529</f>
        <v>16115.5</v>
      </c>
      <c r="AI529" s="15">
        <f>O529*'Optimal Choice'!$B$9*AB529</f>
        <v>43000</v>
      </c>
      <c r="AJ529" s="15">
        <f>P529*'Optimal Choice'!$B$14*AC529</f>
        <v>191250</v>
      </c>
      <c r="AK529" s="15">
        <f>Q529*'Optimal Choice'!$B$19*AD529</f>
        <v>738000</v>
      </c>
      <c r="AL529" s="15">
        <f>R529*'Optimal Choice'!$B$24*AE529</f>
        <v>4428000</v>
      </c>
      <c r="AO529" s="12">
        <f t="shared" ref="AO529:AS529" si="1583">if(isna(VLOOKUP(N529+1,$D$2:$E$10,2,false)),AO528, VLOOKUP(N529+1,$D$2:$E$10,2,false))</f>
        <v>50</v>
      </c>
      <c r="AP529" s="12">
        <f t="shared" si="1583"/>
        <v>25</v>
      </c>
      <c r="AQ529" s="12">
        <f t="shared" si="1583"/>
        <v>25</v>
      </c>
      <c r="AR529" s="12">
        <f t="shared" si="1583"/>
        <v>25</v>
      </c>
      <c r="AS529" s="12">
        <f t="shared" si="1583"/>
        <v>25</v>
      </c>
      <c r="AU529" s="11">
        <f t="shared" si="8"/>
        <v>0.005771338753</v>
      </c>
    </row>
    <row r="530" ht="15.75" customHeight="1">
      <c r="A530" s="16">
        <f t="shared" si="4"/>
        <v>58.4467543</v>
      </c>
      <c r="B530" s="7">
        <f>(sum(AH530:AL530))*'Optimal Choice'!$B$28</f>
        <v>5416865.5</v>
      </c>
      <c r="C530" s="11"/>
      <c r="D530" s="12"/>
      <c r="E530" s="12"/>
      <c r="F530" s="11"/>
      <c r="G530" s="11">
        <f>(T530/$B530)+(T530/('Optimal Choice'!$B$4*AO530))</f>
        <v>24034.38874</v>
      </c>
      <c r="H530" s="11">
        <f>(U530/$B530)+(U530/('Optimal Choice'!$B$9*AP530))</f>
        <v>26340.94082</v>
      </c>
      <c r="I530" s="11">
        <f>(V530/$B530)+(V530/('Optimal Choice'!$B$14*AQ530))</f>
        <v>25069.6083</v>
      </c>
      <c r="J530" s="11">
        <f>(W530/$B530)+(W530/('Optimal Choice'!$B$19*AR530))</f>
        <v>24462.62252</v>
      </c>
      <c r="K530" s="11">
        <f>(X530/$B530)+(X530/('Optimal Choice'!$B$24*AS530))</f>
        <v>23588.75914</v>
      </c>
      <c r="N530" s="12">
        <f t="shared" ref="N530:R530" si="1584">if(min($G529:$K529)=G529,N529+1,N529)</f>
        <v>193</v>
      </c>
      <c r="O530" s="12">
        <f t="shared" si="1584"/>
        <v>87</v>
      </c>
      <c r="P530" s="12">
        <f t="shared" si="1584"/>
        <v>85</v>
      </c>
      <c r="Q530" s="12">
        <f t="shared" si="1584"/>
        <v>82</v>
      </c>
      <c r="R530" s="12">
        <f t="shared" si="1584"/>
        <v>82</v>
      </c>
      <c r="T530" s="13">
        <f> 'Optimal Choice'!$B$5*'Optimal Choice'!$B$6^(N530+1)</f>
        <v>2006840.525</v>
      </c>
      <c r="U530" s="13">
        <f> 'Optimal Choice'!$B$10*'Optimal Choice'!$B$11^(O530+1)</f>
        <v>13169254.83</v>
      </c>
      <c r="V530" s="13">
        <f> 'Optimal Choice'!$B$15*'Optimal Choice'!$B$16^(P530+1)</f>
        <v>56383198.83</v>
      </c>
      <c r="W530" s="13">
        <f> 'Optimal Choice'!$B$20*'Optimal Choice'!$B$21^(Q530+1)</f>
        <v>219798412.6</v>
      </c>
      <c r="X530" s="13">
        <f> 'Optimal Choice'!$B$25*'Optimal Choice'!$B$26^(R530+1)</f>
        <v>1261220061</v>
      </c>
      <c r="AA530" s="12">
        <f t="shared" ref="AA530:AE530" si="1585">if(isna(VLOOKUP(N530,$D$2:$E$10,2,false)),AA529, VLOOKUP(N530,$D$2:$E$10,2,false))</f>
        <v>50</v>
      </c>
      <c r="AB530" s="12">
        <f t="shared" si="1585"/>
        <v>25</v>
      </c>
      <c r="AC530" s="12">
        <f t="shared" si="1585"/>
        <v>25</v>
      </c>
      <c r="AD530" s="12">
        <f t="shared" si="1585"/>
        <v>25</v>
      </c>
      <c r="AE530" s="12">
        <f t="shared" si="1585"/>
        <v>25</v>
      </c>
      <c r="AH530" s="15">
        <f>N530*'Optimal Choice'!$B$4*AA530</f>
        <v>16115.5</v>
      </c>
      <c r="AI530" s="15">
        <f>O530*'Optimal Choice'!$B$9*AB530</f>
        <v>43500</v>
      </c>
      <c r="AJ530" s="15">
        <f>P530*'Optimal Choice'!$B$14*AC530</f>
        <v>191250</v>
      </c>
      <c r="AK530" s="15">
        <f>Q530*'Optimal Choice'!$B$19*AD530</f>
        <v>738000</v>
      </c>
      <c r="AL530" s="15">
        <f>R530*'Optimal Choice'!$B$24*AE530</f>
        <v>4428000</v>
      </c>
      <c r="AO530" s="12">
        <f t="shared" ref="AO530:AS530" si="1586">if(isna(VLOOKUP(N530+1,$D$2:$E$10,2,false)),AO529, VLOOKUP(N530+1,$D$2:$E$10,2,false))</f>
        <v>50</v>
      </c>
      <c r="AP530" s="12">
        <f t="shared" si="1586"/>
        <v>25</v>
      </c>
      <c r="AQ530" s="12">
        <f t="shared" si="1586"/>
        <v>25</v>
      </c>
      <c r="AR530" s="12">
        <f t="shared" si="1586"/>
        <v>25</v>
      </c>
      <c r="AS530" s="12">
        <f t="shared" si="1586"/>
        <v>25</v>
      </c>
      <c r="AU530" s="11">
        <f t="shared" si="8"/>
        <v>0.03523742363</v>
      </c>
    </row>
    <row r="531" ht="15.75" customHeight="1">
      <c r="A531" s="16">
        <f t="shared" si="4"/>
        <v>62.32728897</v>
      </c>
      <c r="B531" s="7">
        <f>(sum(AH531:AL531))*'Optimal Choice'!$B$28</f>
        <v>5470865.5</v>
      </c>
      <c r="C531" s="11"/>
      <c r="D531" s="12"/>
      <c r="E531" s="12"/>
      <c r="F531" s="11"/>
      <c r="G531" s="11">
        <f>(T531/$B531)+(T531/('Optimal Choice'!$B$4*AO531))</f>
        <v>24034.38508</v>
      </c>
      <c r="H531" s="11">
        <f>(U531/$B531)+(U531/('Optimal Choice'!$B$9*AP531))</f>
        <v>26340.91682</v>
      </c>
      <c r="I531" s="11">
        <f>(V531/$B531)+(V531/('Optimal Choice'!$B$14*AQ531))</f>
        <v>25069.50556</v>
      </c>
      <c r="J531" s="11">
        <f>(W531/$B531)+(W531/('Optimal Choice'!$B$19*AR531))</f>
        <v>24462.22201</v>
      </c>
      <c r="K531" s="11">
        <f>(X531/$B531)+(X531/('Optimal Choice'!$B$24*AS531))</f>
        <v>26416.8363</v>
      </c>
      <c r="N531" s="12">
        <f t="shared" ref="N531:R531" si="1587">if(min($G530:$K530)=G530,N530+1,N530)</f>
        <v>193</v>
      </c>
      <c r="O531" s="12">
        <f t="shared" si="1587"/>
        <v>87</v>
      </c>
      <c r="P531" s="12">
        <f t="shared" si="1587"/>
        <v>85</v>
      </c>
      <c r="Q531" s="12">
        <f t="shared" si="1587"/>
        <v>82</v>
      </c>
      <c r="R531" s="12">
        <f t="shared" si="1587"/>
        <v>83</v>
      </c>
      <c r="T531" s="13">
        <f> 'Optimal Choice'!$B$5*'Optimal Choice'!$B$6^(N531+1)</f>
        <v>2006840.525</v>
      </c>
      <c r="U531" s="13">
        <f> 'Optimal Choice'!$B$10*'Optimal Choice'!$B$11^(O531+1)</f>
        <v>13169254.83</v>
      </c>
      <c r="V531" s="13">
        <f> 'Optimal Choice'!$B$15*'Optimal Choice'!$B$16^(P531+1)</f>
        <v>56383198.83</v>
      </c>
      <c r="W531" s="13">
        <f> 'Optimal Choice'!$B$20*'Optimal Choice'!$B$21^(Q531+1)</f>
        <v>219798412.6</v>
      </c>
      <c r="X531" s="13">
        <f> 'Optimal Choice'!$B$25*'Optimal Choice'!$B$26^(R531+1)</f>
        <v>1412566469</v>
      </c>
      <c r="AA531" s="12">
        <f t="shared" ref="AA531:AE531" si="1588">if(isna(VLOOKUP(N531,$D$2:$E$10,2,false)),AA530, VLOOKUP(N531,$D$2:$E$10,2,false))</f>
        <v>50</v>
      </c>
      <c r="AB531" s="12">
        <f t="shared" si="1588"/>
        <v>25</v>
      </c>
      <c r="AC531" s="12">
        <f t="shared" si="1588"/>
        <v>25</v>
      </c>
      <c r="AD531" s="12">
        <f t="shared" si="1588"/>
        <v>25</v>
      </c>
      <c r="AE531" s="12">
        <f t="shared" si="1588"/>
        <v>25</v>
      </c>
      <c r="AH531" s="15">
        <f>N531*'Optimal Choice'!$B$4*AA531</f>
        <v>16115.5</v>
      </c>
      <c r="AI531" s="15">
        <f>O531*'Optimal Choice'!$B$9*AB531</f>
        <v>43500</v>
      </c>
      <c r="AJ531" s="15">
        <f>P531*'Optimal Choice'!$B$14*AC531</f>
        <v>191250</v>
      </c>
      <c r="AK531" s="15">
        <f>Q531*'Optimal Choice'!$B$19*AD531</f>
        <v>738000</v>
      </c>
      <c r="AL531" s="15">
        <f>R531*'Optimal Choice'!$B$24*AE531</f>
        <v>4482000</v>
      </c>
      <c r="AO531" s="12">
        <f t="shared" ref="AO531:AS531" si="1589">if(isna(VLOOKUP(N531+1,$D$2:$E$10,2,false)),AO530, VLOOKUP(N531+1,$D$2:$E$10,2,false))</f>
        <v>50</v>
      </c>
      <c r="AP531" s="12">
        <f t="shared" si="1589"/>
        <v>25</v>
      </c>
      <c r="AQ531" s="12">
        <f t="shared" si="1589"/>
        <v>25</v>
      </c>
      <c r="AR531" s="12">
        <f t="shared" si="1589"/>
        <v>25</v>
      </c>
      <c r="AS531" s="12">
        <f t="shared" si="1589"/>
        <v>25</v>
      </c>
      <c r="AU531" s="11">
        <f t="shared" si="8"/>
        <v>3.880534666</v>
      </c>
    </row>
    <row r="532" ht="15.75" customHeight="1">
      <c r="A532" s="16">
        <f t="shared" si="4"/>
        <v>62.33340269</v>
      </c>
      <c r="B532" s="7">
        <f>(sum(AH532:AL532))*'Optimal Choice'!$B$28</f>
        <v>5470949</v>
      </c>
      <c r="C532" s="11"/>
      <c r="D532" s="12"/>
      <c r="E532" s="12"/>
      <c r="F532" s="11"/>
      <c r="G532" s="11">
        <f>(T532/$B532)+(T532/('Optimal Choice'!$B$4*AO532))</f>
        <v>25716.79203</v>
      </c>
      <c r="H532" s="11">
        <f>(U532/$B532)+(U532/('Optimal Choice'!$B$9*AP532))</f>
        <v>26340.91678</v>
      </c>
      <c r="I532" s="11">
        <f>(V532/$B532)+(V532/('Optimal Choice'!$B$14*AQ532))</f>
        <v>25069.50541</v>
      </c>
      <c r="J532" s="11">
        <f>(W532/$B532)+(W532/('Optimal Choice'!$B$19*AR532))</f>
        <v>24462.2214</v>
      </c>
      <c r="K532" s="11">
        <f>(X532/$B532)+(X532/('Optimal Choice'!$B$24*AS532))</f>
        <v>26416.83236</v>
      </c>
      <c r="N532" s="12">
        <f t="shared" ref="N532:R532" si="1590">if(min($G531:$K531)=G531,N531+1,N531)</f>
        <v>194</v>
      </c>
      <c r="O532" s="12">
        <f t="shared" si="1590"/>
        <v>87</v>
      </c>
      <c r="P532" s="12">
        <f t="shared" si="1590"/>
        <v>85</v>
      </c>
      <c r="Q532" s="12">
        <f t="shared" si="1590"/>
        <v>82</v>
      </c>
      <c r="R532" s="12">
        <f t="shared" si="1590"/>
        <v>83</v>
      </c>
      <c r="T532" s="13">
        <f> 'Optimal Choice'!$B$5*'Optimal Choice'!$B$6^(N532+1)</f>
        <v>2147319.361</v>
      </c>
      <c r="U532" s="13">
        <f> 'Optimal Choice'!$B$10*'Optimal Choice'!$B$11^(O532+1)</f>
        <v>13169254.83</v>
      </c>
      <c r="V532" s="13">
        <f> 'Optimal Choice'!$B$15*'Optimal Choice'!$B$16^(P532+1)</f>
        <v>56383198.83</v>
      </c>
      <c r="W532" s="13">
        <f> 'Optimal Choice'!$B$20*'Optimal Choice'!$B$21^(Q532+1)</f>
        <v>219798412.6</v>
      </c>
      <c r="X532" s="13">
        <f> 'Optimal Choice'!$B$25*'Optimal Choice'!$B$26^(R532+1)</f>
        <v>1412566469</v>
      </c>
      <c r="AA532" s="12">
        <f t="shared" ref="AA532:AE532" si="1591">if(isna(VLOOKUP(N532,$D$2:$E$10,2,false)),AA531, VLOOKUP(N532,$D$2:$E$10,2,false))</f>
        <v>50</v>
      </c>
      <c r="AB532" s="12">
        <f t="shared" si="1591"/>
        <v>25</v>
      </c>
      <c r="AC532" s="12">
        <f t="shared" si="1591"/>
        <v>25</v>
      </c>
      <c r="AD532" s="12">
        <f t="shared" si="1591"/>
        <v>25</v>
      </c>
      <c r="AE532" s="12">
        <f t="shared" si="1591"/>
        <v>25</v>
      </c>
      <c r="AH532" s="15">
        <f>N532*'Optimal Choice'!$B$4*AA532</f>
        <v>16199</v>
      </c>
      <c r="AI532" s="15">
        <f>O532*'Optimal Choice'!$B$9*AB532</f>
        <v>43500</v>
      </c>
      <c r="AJ532" s="15">
        <f>P532*'Optimal Choice'!$B$14*AC532</f>
        <v>191250</v>
      </c>
      <c r="AK532" s="15">
        <f>Q532*'Optimal Choice'!$B$19*AD532</f>
        <v>738000</v>
      </c>
      <c r="AL532" s="15">
        <f>R532*'Optimal Choice'!$B$24*AE532</f>
        <v>4482000</v>
      </c>
      <c r="AO532" s="12">
        <f t="shared" ref="AO532:AS532" si="1592">if(isna(VLOOKUP(N532+1,$D$2:$E$10,2,false)),AO531, VLOOKUP(N532+1,$D$2:$E$10,2,false))</f>
        <v>50</v>
      </c>
      <c r="AP532" s="12">
        <f t="shared" si="1592"/>
        <v>25</v>
      </c>
      <c r="AQ532" s="12">
        <f t="shared" si="1592"/>
        <v>25</v>
      </c>
      <c r="AR532" s="12">
        <f t="shared" si="1592"/>
        <v>25</v>
      </c>
      <c r="AS532" s="12">
        <f t="shared" si="1592"/>
        <v>25</v>
      </c>
      <c r="AU532" s="11">
        <f t="shared" si="8"/>
        <v>0.006113720412</v>
      </c>
    </row>
    <row r="533" ht="15.75" customHeight="1">
      <c r="A533" s="16">
        <f t="shared" si="4"/>
        <v>63.00299527</v>
      </c>
      <c r="B533" s="7">
        <f>(sum(AH533:AL533))*'Optimal Choice'!$B$28</f>
        <v>5479949</v>
      </c>
      <c r="C533" s="11"/>
      <c r="D533" s="12"/>
      <c r="E533" s="12"/>
      <c r="F533" s="11"/>
      <c r="G533" s="11">
        <f>(T533/$B533)+(T533/('Optimal Choice'!$B$4*AO533))</f>
        <v>25716.79139</v>
      </c>
      <c r="H533" s="11">
        <f>(U533/$B533)+(U533/('Optimal Choice'!$B$9*AP533))</f>
        <v>26340.91283</v>
      </c>
      <c r="I533" s="11">
        <f>(V533/$B533)+(V533/('Optimal Choice'!$B$14*AQ533))</f>
        <v>25069.48848</v>
      </c>
      <c r="J533" s="11">
        <f>(W533/$B533)+(W533/('Optimal Choice'!$B$19*AR533))</f>
        <v>27642.23562</v>
      </c>
      <c r="K533" s="11">
        <f>(X533/$B533)+(X533/('Optimal Choice'!$B$24*AS533))</f>
        <v>26416.40831</v>
      </c>
      <c r="N533" s="12">
        <f t="shared" ref="N533:R533" si="1593">if(min($G532:$K532)=G532,N532+1,N532)</f>
        <v>194</v>
      </c>
      <c r="O533" s="12">
        <f t="shared" si="1593"/>
        <v>87</v>
      </c>
      <c r="P533" s="12">
        <f t="shared" si="1593"/>
        <v>85</v>
      </c>
      <c r="Q533" s="12">
        <f t="shared" si="1593"/>
        <v>83</v>
      </c>
      <c r="R533" s="12">
        <f t="shared" si="1593"/>
        <v>83</v>
      </c>
      <c r="T533" s="13">
        <f> 'Optimal Choice'!$B$5*'Optimal Choice'!$B$6^(N533+1)</f>
        <v>2147319.361</v>
      </c>
      <c r="U533" s="13">
        <f> 'Optimal Choice'!$B$10*'Optimal Choice'!$B$11^(O533+1)</f>
        <v>13169254.83</v>
      </c>
      <c r="V533" s="13">
        <f> 'Optimal Choice'!$B$15*'Optimal Choice'!$B$16^(P533+1)</f>
        <v>56383198.83</v>
      </c>
      <c r="W533" s="13">
        <f> 'Optimal Choice'!$B$20*'Optimal Choice'!$B$21^(Q533+1)</f>
        <v>248372206.2</v>
      </c>
      <c r="X533" s="13">
        <f> 'Optimal Choice'!$B$25*'Optimal Choice'!$B$26^(R533+1)</f>
        <v>1412566469</v>
      </c>
      <c r="AA533" s="12">
        <f t="shared" ref="AA533:AE533" si="1594">if(isna(VLOOKUP(N533,$D$2:$E$10,2,false)),AA532, VLOOKUP(N533,$D$2:$E$10,2,false))</f>
        <v>50</v>
      </c>
      <c r="AB533" s="12">
        <f t="shared" si="1594"/>
        <v>25</v>
      </c>
      <c r="AC533" s="12">
        <f t="shared" si="1594"/>
        <v>25</v>
      </c>
      <c r="AD533" s="12">
        <f t="shared" si="1594"/>
        <v>25</v>
      </c>
      <c r="AE533" s="12">
        <f t="shared" si="1594"/>
        <v>25</v>
      </c>
      <c r="AH533" s="15">
        <f>N533*'Optimal Choice'!$B$4*AA533</f>
        <v>16199</v>
      </c>
      <c r="AI533" s="15">
        <f>O533*'Optimal Choice'!$B$9*AB533</f>
        <v>43500</v>
      </c>
      <c r="AJ533" s="15">
        <f>P533*'Optimal Choice'!$B$14*AC533</f>
        <v>191250</v>
      </c>
      <c r="AK533" s="15">
        <f>Q533*'Optimal Choice'!$B$19*AD533</f>
        <v>747000</v>
      </c>
      <c r="AL533" s="15">
        <f>R533*'Optimal Choice'!$B$24*AE533</f>
        <v>4482000</v>
      </c>
      <c r="AO533" s="12">
        <f t="shared" ref="AO533:AS533" si="1595">if(isna(VLOOKUP(N533+1,$D$2:$E$10,2,false)),AO532, VLOOKUP(N533+1,$D$2:$E$10,2,false))</f>
        <v>50</v>
      </c>
      <c r="AP533" s="12">
        <f t="shared" si="1595"/>
        <v>25</v>
      </c>
      <c r="AQ533" s="12">
        <f t="shared" si="1595"/>
        <v>25</v>
      </c>
      <c r="AR533" s="12">
        <f t="shared" si="1595"/>
        <v>25</v>
      </c>
      <c r="AS533" s="12">
        <f t="shared" si="1595"/>
        <v>25</v>
      </c>
      <c r="AU533" s="11">
        <f t="shared" si="8"/>
        <v>0.6695925838</v>
      </c>
    </row>
    <row r="534" ht="15.75" customHeight="1">
      <c r="A534" s="16">
        <f t="shared" si="4"/>
        <v>63.17447862</v>
      </c>
      <c r="B534" s="7">
        <f>(sum(AH534:AL534))*'Optimal Choice'!$B$28</f>
        <v>5482199</v>
      </c>
      <c r="C534" s="11"/>
      <c r="D534" s="12"/>
      <c r="E534" s="12"/>
      <c r="F534" s="11"/>
      <c r="G534" s="11">
        <f>(T534/$B534)+(T534/('Optimal Choice'!$B$4*AO534))</f>
        <v>25716.79123</v>
      </c>
      <c r="H534" s="11">
        <f>(U534/$B534)+(U534/('Optimal Choice'!$B$9*AP534))</f>
        <v>26340.91184</v>
      </c>
      <c r="I534" s="11">
        <f>(V534/$B534)+(V534/('Optimal Choice'!$B$14*AQ534))</f>
        <v>28579.21205</v>
      </c>
      <c r="J534" s="11">
        <f>(W534/$B534)+(W534/('Optimal Choice'!$B$19*AR534))</f>
        <v>27642.21702</v>
      </c>
      <c r="K534" s="11">
        <f>(X534/$B534)+(X534/('Optimal Choice'!$B$24*AS534))</f>
        <v>26416.30252</v>
      </c>
      <c r="N534" s="12">
        <f t="shared" ref="N534:R534" si="1596">if(min($G533:$K533)=G533,N533+1,N533)</f>
        <v>194</v>
      </c>
      <c r="O534" s="12">
        <f t="shared" si="1596"/>
        <v>87</v>
      </c>
      <c r="P534" s="12">
        <f t="shared" si="1596"/>
        <v>86</v>
      </c>
      <c r="Q534" s="12">
        <f t="shared" si="1596"/>
        <v>83</v>
      </c>
      <c r="R534" s="12">
        <f t="shared" si="1596"/>
        <v>83</v>
      </c>
      <c r="T534" s="13">
        <f> 'Optimal Choice'!$B$5*'Optimal Choice'!$B$6^(N534+1)</f>
        <v>2147319.361</v>
      </c>
      <c r="U534" s="13">
        <f> 'Optimal Choice'!$B$10*'Optimal Choice'!$B$11^(O534+1)</f>
        <v>13169254.83</v>
      </c>
      <c r="V534" s="13">
        <f> 'Optimal Choice'!$B$15*'Optimal Choice'!$B$16^(P534+1)</f>
        <v>64276846.66</v>
      </c>
      <c r="W534" s="13">
        <f> 'Optimal Choice'!$B$20*'Optimal Choice'!$B$21^(Q534+1)</f>
        <v>248372206.2</v>
      </c>
      <c r="X534" s="13">
        <f> 'Optimal Choice'!$B$25*'Optimal Choice'!$B$26^(R534+1)</f>
        <v>1412566469</v>
      </c>
      <c r="AA534" s="12">
        <f t="shared" ref="AA534:AE534" si="1597">if(isna(VLOOKUP(N534,$D$2:$E$10,2,false)),AA533, VLOOKUP(N534,$D$2:$E$10,2,false))</f>
        <v>50</v>
      </c>
      <c r="AB534" s="12">
        <f t="shared" si="1597"/>
        <v>25</v>
      </c>
      <c r="AC534" s="12">
        <f t="shared" si="1597"/>
        <v>25</v>
      </c>
      <c r="AD534" s="12">
        <f t="shared" si="1597"/>
        <v>25</v>
      </c>
      <c r="AE534" s="12">
        <f t="shared" si="1597"/>
        <v>25</v>
      </c>
      <c r="AH534" s="15">
        <f>N534*'Optimal Choice'!$B$4*AA534</f>
        <v>16199</v>
      </c>
      <c r="AI534" s="15">
        <f>O534*'Optimal Choice'!$B$9*AB534</f>
        <v>43500</v>
      </c>
      <c r="AJ534" s="15">
        <f>P534*'Optimal Choice'!$B$14*AC534</f>
        <v>193500</v>
      </c>
      <c r="AK534" s="15">
        <f>Q534*'Optimal Choice'!$B$19*AD534</f>
        <v>747000</v>
      </c>
      <c r="AL534" s="15">
        <f>R534*'Optimal Choice'!$B$24*AE534</f>
        <v>4482000</v>
      </c>
      <c r="AO534" s="12">
        <f t="shared" ref="AO534:AS534" si="1598">if(isna(VLOOKUP(N534+1,$D$2:$E$10,2,false)),AO533, VLOOKUP(N534+1,$D$2:$E$10,2,false))</f>
        <v>50</v>
      </c>
      <c r="AP534" s="12">
        <f t="shared" si="1598"/>
        <v>25</v>
      </c>
      <c r="AQ534" s="12">
        <f t="shared" si="1598"/>
        <v>25</v>
      </c>
      <c r="AR534" s="12">
        <f t="shared" si="1598"/>
        <v>25</v>
      </c>
      <c r="AS534" s="12">
        <f t="shared" si="1598"/>
        <v>25</v>
      </c>
      <c r="AU534" s="11">
        <f t="shared" si="8"/>
        <v>0.1714833442</v>
      </c>
    </row>
    <row r="535" ht="15.75" customHeight="1">
      <c r="A535" s="16">
        <f t="shared" si="4"/>
        <v>63.18100677</v>
      </c>
      <c r="B535" s="7">
        <f>(sum(AH535:AL535))*'Optimal Choice'!$B$28</f>
        <v>5482282.5</v>
      </c>
      <c r="C535" s="11"/>
      <c r="D535" s="12"/>
      <c r="E535" s="12"/>
      <c r="F535" s="11"/>
      <c r="G535" s="11">
        <f>(T535/$B535)+(T535/('Optimal Choice'!$B$4*AO535))</f>
        <v>27516.96661</v>
      </c>
      <c r="H535" s="11">
        <f>(U535/$B535)+(U535/('Optimal Choice'!$B$9*AP535))</f>
        <v>26340.91181</v>
      </c>
      <c r="I535" s="11">
        <f>(V535/$B535)+(V535/('Optimal Choice'!$B$14*AQ535))</f>
        <v>28579.21187</v>
      </c>
      <c r="J535" s="11">
        <f>(W535/$B535)+(W535/('Optimal Choice'!$B$19*AR535))</f>
        <v>27642.21633</v>
      </c>
      <c r="K535" s="11">
        <f>(X535/$B535)+(X535/('Optimal Choice'!$B$24*AS535))</f>
        <v>26416.29859</v>
      </c>
      <c r="N535" s="12">
        <f t="shared" ref="N535:R535" si="1599">if(min($G534:$K534)=G534,N534+1,N534)</f>
        <v>195</v>
      </c>
      <c r="O535" s="12">
        <f t="shared" si="1599"/>
        <v>87</v>
      </c>
      <c r="P535" s="12">
        <f t="shared" si="1599"/>
        <v>86</v>
      </c>
      <c r="Q535" s="12">
        <f t="shared" si="1599"/>
        <v>83</v>
      </c>
      <c r="R535" s="12">
        <f t="shared" si="1599"/>
        <v>83</v>
      </c>
      <c r="T535" s="13">
        <f> 'Optimal Choice'!$B$5*'Optimal Choice'!$B$6^(N535+1)</f>
        <v>2297631.717</v>
      </c>
      <c r="U535" s="13">
        <f> 'Optimal Choice'!$B$10*'Optimal Choice'!$B$11^(O535+1)</f>
        <v>13169254.83</v>
      </c>
      <c r="V535" s="13">
        <f> 'Optimal Choice'!$B$15*'Optimal Choice'!$B$16^(P535+1)</f>
        <v>64276846.66</v>
      </c>
      <c r="W535" s="13">
        <f> 'Optimal Choice'!$B$20*'Optimal Choice'!$B$21^(Q535+1)</f>
        <v>248372206.2</v>
      </c>
      <c r="X535" s="13">
        <f> 'Optimal Choice'!$B$25*'Optimal Choice'!$B$26^(R535+1)</f>
        <v>1412566469</v>
      </c>
      <c r="AA535" s="12">
        <f t="shared" ref="AA535:AE535" si="1600">if(isna(VLOOKUP(N535,$D$2:$E$10,2,false)),AA534, VLOOKUP(N535,$D$2:$E$10,2,false))</f>
        <v>50</v>
      </c>
      <c r="AB535" s="12">
        <f t="shared" si="1600"/>
        <v>25</v>
      </c>
      <c r="AC535" s="12">
        <f t="shared" si="1600"/>
        <v>25</v>
      </c>
      <c r="AD535" s="12">
        <f t="shared" si="1600"/>
        <v>25</v>
      </c>
      <c r="AE535" s="12">
        <f t="shared" si="1600"/>
        <v>25</v>
      </c>
      <c r="AH535" s="15">
        <f>N535*'Optimal Choice'!$B$4*AA535</f>
        <v>16282.5</v>
      </c>
      <c r="AI535" s="15">
        <f>O535*'Optimal Choice'!$B$9*AB535</f>
        <v>43500</v>
      </c>
      <c r="AJ535" s="15">
        <f>P535*'Optimal Choice'!$B$14*AC535</f>
        <v>193500</v>
      </c>
      <c r="AK535" s="15">
        <f>Q535*'Optimal Choice'!$B$19*AD535</f>
        <v>747000</v>
      </c>
      <c r="AL535" s="15">
        <f>R535*'Optimal Choice'!$B$24*AE535</f>
        <v>4482000</v>
      </c>
      <c r="AO535" s="12">
        <f t="shared" ref="AO535:AS535" si="1601">if(isna(VLOOKUP(N535+1,$D$2:$E$10,2,false)),AO534, VLOOKUP(N535+1,$D$2:$E$10,2,false))</f>
        <v>50</v>
      </c>
      <c r="AP535" s="12">
        <f t="shared" si="1601"/>
        <v>25</v>
      </c>
      <c r="AQ535" s="12">
        <f t="shared" si="1601"/>
        <v>25</v>
      </c>
      <c r="AR535" s="12">
        <f t="shared" si="1601"/>
        <v>25</v>
      </c>
      <c r="AS535" s="12">
        <f t="shared" si="1601"/>
        <v>25</v>
      </c>
      <c r="AU535" s="11">
        <f t="shared" si="8"/>
        <v>0.006528157045</v>
      </c>
    </row>
    <row r="536" ht="15.75" customHeight="1">
      <c r="A536" s="16">
        <f t="shared" si="4"/>
        <v>63.22104258</v>
      </c>
      <c r="B536" s="7">
        <f>(sum(AH536:AL536))*'Optimal Choice'!$B$28</f>
        <v>5482782.5</v>
      </c>
      <c r="C536" s="11"/>
      <c r="D536" s="12"/>
      <c r="E536" s="12"/>
      <c r="F536" s="11"/>
      <c r="G536" s="11">
        <f>(T536/$B536)+(T536/('Optimal Choice'!$B$4*AO536))</f>
        <v>27516.96657</v>
      </c>
      <c r="H536" s="11">
        <f>(U536/$B536)+(U536/('Optimal Choice'!$B$9*AP536))</f>
        <v>30292.04833</v>
      </c>
      <c r="I536" s="11">
        <f>(V536/$B536)+(V536/('Optimal Choice'!$B$14*AQ536))</f>
        <v>28579.2108</v>
      </c>
      <c r="J536" s="11">
        <f>(W536/$B536)+(W536/('Optimal Choice'!$B$19*AR536))</f>
        <v>27642.2122</v>
      </c>
      <c r="K536" s="11">
        <f>(X536/$B536)+(X536/('Optimal Choice'!$B$24*AS536))</f>
        <v>26416.2751</v>
      </c>
      <c r="N536" s="12">
        <f t="shared" ref="N536:R536" si="1602">if(min($G535:$K535)=G535,N535+1,N535)</f>
        <v>195</v>
      </c>
      <c r="O536" s="12">
        <f t="shared" si="1602"/>
        <v>88</v>
      </c>
      <c r="P536" s="12">
        <f t="shared" si="1602"/>
        <v>86</v>
      </c>
      <c r="Q536" s="12">
        <f t="shared" si="1602"/>
        <v>83</v>
      </c>
      <c r="R536" s="12">
        <f t="shared" si="1602"/>
        <v>83</v>
      </c>
      <c r="T536" s="13">
        <f> 'Optimal Choice'!$B$5*'Optimal Choice'!$B$6^(N536+1)</f>
        <v>2297631.717</v>
      </c>
      <c r="U536" s="13">
        <f> 'Optimal Choice'!$B$10*'Optimal Choice'!$B$11^(O536+1)</f>
        <v>15144643.05</v>
      </c>
      <c r="V536" s="13">
        <f> 'Optimal Choice'!$B$15*'Optimal Choice'!$B$16^(P536+1)</f>
        <v>64276846.66</v>
      </c>
      <c r="W536" s="13">
        <f> 'Optimal Choice'!$B$20*'Optimal Choice'!$B$21^(Q536+1)</f>
        <v>248372206.2</v>
      </c>
      <c r="X536" s="13">
        <f> 'Optimal Choice'!$B$25*'Optimal Choice'!$B$26^(R536+1)</f>
        <v>1412566469</v>
      </c>
      <c r="AA536" s="12">
        <f t="shared" ref="AA536:AE536" si="1603">if(isna(VLOOKUP(N536,$D$2:$E$10,2,false)),AA535, VLOOKUP(N536,$D$2:$E$10,2,false))</f>
        <v>50</v>
      </c>
      <c r="AB536" s="12">
        <f t="shared" si="1603"/>
        <v>25</v>
      </c>
      <c r="AC536" s="12">
        <f t="shared" si="1603"/>
        <v>25</v>
      </c>
      <c r="AD536" s="12">
        <f t="shared" si="1603"/>
        <v>25</v>
      </c>
      <c r="AE536" s="12">
        <f t="shared" si="1603"/>
        <v>25</v>
      </c>
      <c r="AH536" s="15">
        <f>N536*'Optimal Choice'!$B$4*AA536</f>
        <v>16282.5</v>
      </c>
      <c r="AI536" s="15">
        <f>O536*'Optimal Choice'!$B$9*AB536</f>
        <v>44000</v>
      </c>
      <c r="AJ536" s="15">
        <f>P536*'Optimal Choice'!$B$14*AC536</f>
        <v>193500</v>
      </c>
      <c r="AK536" s="15">
        <f>Q536*'Optimal Choice'!$B$19*AD536</f>
        <v>747000</v>
      </c>
      <c r="AL536" s="15">
        <f>R536*'Optimal Choice'!$B$24*AE536</f>
        <v>4482000</v>
      </c>
      <c r="AO536" s="12">
        <f t="shared" ref="AO536:AS536" si="1604">if(isna(VLOOKUP(N536+1,$D$2:$E$10,2,false)),AO535, VLOOKUP(N536+1,$D$2:$E$10,2,false))</f>
        <v>50</v>
      </c>
      <c r="AP536" s="12">
        <f t="shared" si="1604"/>
        <v>25</v>
      </c>
      <c r="AQ536" s="12">
        <f t="shared" si="1604"/>
        <v>25</v>
      </c>
      <c r="AR536" s="12">
        <f t="shared" si="1604"/>
        <v>25</v>
      </c>
      <c r="AS536" s="12">
        <f t="shared" si="1604"/>
        <v>25</v>
      </c>
      <c r="AU536" s="11">
        <f t="shared" si="8"/>
        <v>0.0400358027</v>
      </c>
    </row>
    <row r="537" ht="15.75" customHeight="1">
      <c r="A537" s="16">
        <f t="shared" si="4"/>
        <v>67.51498903</v>
      </c>
      <c r="B537" s="7">
        <f>(sum(AH537:AL537))*'Optimal Choice'!$B$28</f>
        <v>5536782.5</v>
      </c>
      <c r="C537" s="11"/>
      <c r="D537" s="12"/>
      <c r="E537" s="12"/>
      <c r="F537" s="11"/>
      <c r="G537" s="11">
        <f>(T537/$B537)+(T537/('Optimal Choice'!$B$4*AO537))</f>
        <v>27516.96248</v>
      </c>
      <c r="H537" s="11">
        <f>(U537/$B537)+(U537/('Optimal Choice'!$B$9*AP537))</f>
        <v>30292.02139</v>
      </c>
      <c r="I537" s="11">
        <f>(V537/$B537)+(V537/('Optimal Choice'!$B$14*AQ537))</f>
        <v>28579.09647</v>
      </c>
      <c r="J537" s="11">
        <f>(W537/$B537)+(W537/('Optimal Choice'!$B$19*AR537))</f>
        <v>27641.77039</v>
      </c>
      <c r="K537" s="11">
        <f>(X537/$B537)+(X537/('Optimal Choice'!$B$24*AS537))</f>
        <v>29583.41386</v>
      </c>
      <c r="N537" s="12">
        <f t="shared" ref="N537:R537" si="1605">if(min($G536:$K536)=G536,N536+1,N536)</f>
        <v>195</v>
      </c>
      <c r="O537" s="12">
        <f t="shared" si="1605"/>
        <v>88</v>
      </c>
      <c r="P537" s="12">
        <f t="shared" si="1605"/>
        <v>86</v>
      </c>
      <c r="Q537" s="12">
        <f t="shared" si="1605"/>
        <v>83</v>
      </c>
      <c r="R537" s="12">
        <f t="shared" si="1605"/>
        <v>84</v>
      </c>
      <c r="T537" s="13">
        <f> 'Optimal Choice'!$B$5*'Optimal Choice'!$B$6^(N537+1)</f>
        <v>2297631.717</v>
      </c>
      <c r="U537" s="13">
        <f> 'Optimal Choice'!$B$10*'Optimal Choice'!$B$11^(O537+1)</f>
        <v>15144643.05</v>
      </c>
      <c r="V537" s="13">
        <f> 'Optimal Choice'!$B$15*'Optimal Choice'!$B$16^(P537+1)</f>
        <v>64276846.66</v>
      </c>
      <c r="W537" s="13">
        <f> 'Optimal Choice'!$B$20*'Optimal Choice'!$B$21^(Q537+1)</f>
        <v>248372206.2</v>
      </c>
      <c r="X537" s="13">
        <f> 'Optimal Choice'!$B$25*'Optimal Choice'!$B$26^(R537+1)</f>
        <v>1582074445</v>
      </c>
      <c r="AA537" s="12">
        <f t="shared" ref="AA537:AE537" si="1606">if(isna(VLOOKUP(N537,$D$2:$E$10,2,false)),AA536, VLOOKUP(N537,$D$2:$E$10,2,false))</f>
        <v>50</v>
      </c>
      <c r="AB537" s="12">
        <f t="shared" si="1606"/>
        <v>25</v>
      </c>
      <c r="AC537" s="12">
        <f t="shared" si="1606"/>
        <v>25</v>
      </c>
      <c r="AD537" s="12">
        <f t="shared" si="1606"/>
        <v>25</v>
      </c>
      <c r="AE537" s="12">
        <f t="shared" si="1606"/>
        <v>25</v>
      </c>
      <c r="AH537" s="15">
        <f>N537*'Optimal Choice'!$B$4*AA537</f>
        <v>16282.5</v>
      </c>
      <c r="AI537" s="15">
        <f>O537*'Optimal Choice'!$B$9*AB537</f>
        <v>44000</v>
      </c>
      <c r="AJ537" s="15">
        <f>P537*'Optimal Choice'!$B$14*AC537</f>
        <v>193500</v>
      </c>
      <c r="AK537" s="15">
        <f>Q537*'Optimal Choice'!$B$19*AD537</f>
        <v>747000</v>
      </c>
      <c r="AL537" s="15">
        <f>R537*'Optimal Choice'!$B$24*AE537</f>
        <v>4536000</v>
      </c>
      <c r="AO537" s="12">
        <f t="shared" ref="AO537:AS537" si="1607">if(isna(VLOOKUP(N537+1,$D$2:$E$10,2,false)),AO536, VLOOKUP(N537+1,$D$2:$E$10,2,false))</f>
        <v>50</v>
      </c>
      <c r="AP537" s="12">
        <f t="shared" si="1607"/>
        <v>25</v>
      </c>
      <c r="AQ537" s="12">
        <f t="shared" si="1607"/>
        <v>25</v>
      </c>
      <c r="AR537" s="12">
        <f t="shared" si="1607"/>
        <v>25</v>
      </c>
      <c r="AS537" s="12">
        <f t="shared" si="1607"/>
        <v>25</v>
      </c>
      <c r="AU537" s="11">
        <f t="shared" si="8"/>
        <v>4.293946455</v>
      </c>
    </row>
    <row r="538" ht="15.75" customHeight="1">
      <c r="A538" s="16">
        <f t="shared" si="4"/>
        <v>67.5219053</v>
      </c>
      <c r="B538" s="7">
        <f>(sum(AH538:AL538))*'Optimal Choice'!$B$28</f>
        <v>5536866</v>
      </c>
      <c r="C538" s="11"/>
      <c r="D538" s="12"/>
      <c r="E538" s="12"/>
      <c r="F538" s="11"/>
      <c r="G538" s="11">
        <f>(T538/$B538)+(T538/('Optimal Choice'!$B$4*AO538))</f>
        <v>29443.14985</v>
      </c>
      <c r="H538" s="11">
        <f>(U538/$B538)+(U538/('Optimal Choice'!$B$9*AP538))</f>
        <v>30292.02135</v>
      </c>
      <c r="I538" s="11">
        <f>(V538/$B538)+(V538/('Optimal Choice'!$B$14*AQ538))</f>
        <v>28579.09629</v>
      </c>
      <c r="J538" s="11">
        <f>(W538/$B538)+(W538/('Optimal Choice'!$B$19*AR538))</f>
        <v>27641.76971</v>
      </c>
      <c r="K538" s="11">
        <f>(X538/$B538)+(X538/('Optimal Choice'!$B$24*AS538))</f>
        <v>29583.40955</v>
      </c>
      <c r="N538" s="12">
        <f t="shared" ref="N538:R538" si="1608">if(min($G537:$K537)=G537,N537+1,N537)</f>
        <v>196</v>
      </c>
      <c r="O538" s="12">
        <f t="shared" si="1608"/>
        <v>88</v>
      </c>
      <c r="P538" s="12">
        <f t="shared" si="1608"/>
        <v>86</v>
      </c>
      <c r="Q538" s="12">
        <f t="shared" si="1608"/>
        <v>83</v>
      </c>
      <c r="R538" s="12">
        <f t="shared" si="1608"/>
        <v>84</v>
      </c>
      <c r="T538" s="13">
        <f> 'Optimal Choice'!$B$5*'Optimal Choice'!$B$6^(N538+1)</f>
        <v>2458465.937</v>
      </c>
      <c r="U538" s="13">
        <f> 'Optimal Choice'!$B$10*'Optimal Choice'!$B$11^(O538+1)</f>
        <v>15144643.05</v>
      </c>
      <c r="V538" s="13">
        <f> 'Optimal Choice'!$B$15*'Optimal Choice'!$B$16^(P538+1)</f>
        <v>64276846.66</v>
      </c>
      <c r="W538" s="13">
        <f> 'Optimal Choice'!$B$20*'Optimal Choice'!$B$21^(Q538+1)</f>
        <v>248372206.2</v>
      </c>
      <c r="X538" s="13">
        <f> 'Optimal Choice'!$B$25*'Optimal Choice'!$B$26^(R538+1)</f>
        <v>1582074445</v>
      </c>
      <c r="AA538" s="12">
        <f t="shared" ref="AA538:AE538" si="1609">if(isna(VLOOKUP(N538,$D$2:$E$10,2,false)),AA537, VLOOKUP(N538,$D$2:$E$10,2,false))</f>
        <v>50</v>
      </c>
      <c r="AB538" s="12">
        <f t="shared" si="1609"/>
        <v>25</v>
      </c>
      <c r="AC538" s="12">
        <f t="shared" si="1609"/>
        <v>25</v>
      </c>
      <c r="AD538" s="12">
        <f t="shared" si="1609"/>
        <v>25</v>
      </c>
      <c r="AE538" s="12">
        <f t="shared" si="1609"/>
        <v>25</v>
      </c>
      <c r="AH538" s="15">
        <f>N538*'Optimal Choice'!$B$4*AA538</f>
        <v>16366</v>
      </c>
      <c r="AI538" s="15">
        <f>O538*'Optimal Choice'!$B$9*AB538</f>
        <v>44000</v>
      </c>
      <c r="AJ538" s="15">
        <f>P538*'Optimal Choice'!$B$14*AC538</f>
        <v>193500</v>
      </c>
      <c r="AK538" s="15">
        <f>Q538*'Optimal Choice'!$B$19*AD538</f>
        <v>747000</v>
      </c>
      <c r="AL538" s="15">
        <f>R538*'Optimal Choice'!$B$24*AE538</f>
        <v>4536000</v>
      </c>
      <c r="AO538" s="12">
        <f t="shared" ref="AO538:AS538" si="1610">if(isna(VLOOKUP(N538+1,$D$2:$E$10,2,false)),AO537, VLOOKUP(N538+1,$D$2:$E$10,2,false))</f>
        <v>50</v>
      </c>
      <c r="AP538" s="12">
        <f t="shared" si="1610"/>
        <v>25</v>
      </c>
      <c r="AQ538" s="12">
        <f t="shared" si="1610"/>
        <v>25</v>
      </c>
      <c r="AR538" s="12">
        <f t="shared" si="1610"/>
        <v>25</v>
      </c>
      <c r="AS538" s="12">
        <f t="shared" si="1610"/>
        <v>25</v>
      </c>
      <c r="AU538" s="11">
        <f t="shared" si="8"/>
        <v>0.006916266251</v>
      </c>
    </row>
    <row r="539" ht="15.75" customHeight="1">
      <c r="A539" s="16">
        <f t="shared" si="4"/>
        <v>68.26953704</v>
      </c>
      <c r="B539" s="7">
        <f>(sum(AH539:AL539))*'Optimal Choice'!$B$28</f>
        <v>5545866</v>
      </c>
      <c r="C539" s="11"/>
      <c r="D539" s="12"/>
      <c r="E539" s="12"/>
      <c r="F539" s="11"/>
      <c r="G539" s="11">
        <f>(T539/$B539)+(T539/('Optimal Choice'!$B$4*AO539))</f>
        <v>29443.14913</v>
      </c>
      <c r="H539" s="11">
        <f>(U539/$B539)+(U539/('Optimal Choice'!$B$9*AP539))</f>
        <v>30292.01691</v>
      </c>
      <c r="I539" s="11">
        <f>(V539/$B539)+(V539/('Optimal Choice'!$B$14*AQ539))</f>
        <v>28579.07745</v>
      </c>
      <c r="J539" s="11">
        <f>(W539/$B539)+(W539/('Optimal Choice'!$B$19*AR539))</f>
        <v>31235.11751</v>
      </c>
      <c r="K539" s="11">
        <f>(X539/$B539)+(X539/('Optimal Choice'!$B$24*AS539))</f>
        <v>29582.94585</v>
      </c>
      <c r="N539" s="12">
        <f t="shared" ref="N539:R539" si="1611">if(min($G538:$K538)=G538,N538+1,N538)</f>
        <v>196</v>
      </c>
      <c r="O539" s="12">
        <f t="shared" si="1611"/>
        <v>88</v>
      </c>
      <c r="P539" s="12">
        <f t="shared" si="1611"/>
        <v>86</v>
      </c>
      <c r="Q539" s="12">
        <f t="shared" si="1611"/>
        <v>84</v>
      </c>
      <c r="R539" s="12">
        <f t="shared" si="1611"/>
        <v>84</v>
      </c>
      <c r="T539" s="13">
        <f> 'Optimal Choice'!$B$5*'Optimal Choice'!$B$6^(N539+1)</f>
        <v>2458465.937</v>
      </c>
      <c r="U539" s="13">
        <f> 'Optimal Choice'!$B$10*'Optimal Choice'!$B$11^(O539+1)</f>
        <v>15144643.05</v>
      </c>
      <c r="V539" s="13">
        <f> 'Optimal Choice'!$B$15*'Optimal Choice'!$B$16^(P539+1)</f>
        <v>64276846.66</v>
      </c>
      <c r="W539" s="13">
        <f> 'Optimal Choice'!$B$20*'Optimal Choice'!$B$21^(Q539+1)</f>
        <v>280660593.1</v>
      </c>
      <c r="X539" s="13">
        <f> 'Optimal Choice'!$B$25*'Optimal Choice'!$B$26^(R539+1)</f>
        <v>1582074445</v>
      </c>
      <c r="AA539" s="12">
        <f t="shared" ref="AA539:AE539" si="1612">if(isna(VLOOKUP(N539,$D$2:$E$10,2,false)),AA538, VLOOKUP(N539,$D$2:$E$10,2,false))</f>
        <v>50</v>
      </c>
      <c r="AB539" s="12">
        <f t="shared" si="1612"/>
        <v>25</v>
      </c>
      <c r="AC539" s="12">
        <f t="shared" si="1612"/>
        <v>25</v>
      </c>
      <c r="AD539" s="12">
        <f t="shared" si="1612"/>
        <v>25</v>
      </c>
      <c r="AE539" s="12">
        <f t="shared" si="1612"/>
        <v>25</v>
      </c>
      <c r="AH539" s="15">
        <f>N539*'Optimal Choice'!$B$4*AA539</f>
        <v>16366</v>
      </c>
      <c r="AI539" s="15">
        <f>O539*'Optimal Choice'!$B$9*AB539</f>
        <v>44000</v>
      </c>
      <c r="AJ539" s="15">
        <f>P539*'Optimal Choice'!$B$14*AC539</f>
        <v>193500</v>
      </c>
      <c r="AK539" s="15">
        <f>Q539*'Optimal Choice'!$B$19*AD539</f>
        <v>756000</v>
      </c>
      <c r="AL539" s="15">
        <f>R539*'Optimal Choice'!$B$24*AE539</f>
        <v>4536000</v>
      </c>
      <c r="AO539" s="12">
        <f t="shared" ref="AO539:AS539" si="1613">if(isna(VLOOKUP(N539+1,$D$2:$E$10,2,false)),AO538, VLOOKUP(N539+1,$D$2:$E$10,2,false))</f>
        <v>50</v>
      </c>
      <c r="AP539" s="12">
        <f t="shared" si="1613"/>
        <v>25</v>
      </c>
      <c r="AQ539" s="12">
        <f t="shared" si="1613"/>
        <v>25</v>
      </c>
      <c r="AR539" s="12">
        <f t="shared" si="1613"/>
        <v>25</v>
      </c>
      <c r="AS539" s="12">
        <f t="shared" si="1613"/>
        <v>25</v>
      </c>
      <c r="AU539" s="11">
        <f t="shared" si="8"/>
        <v>0.7476317416</v>
      </c>
    </row>
    <row r="540" ht="15.75" customHeight="1">
      <c r="A540" s="16">
        <f t="shared" si="4"/>
        <v>68.46270449</v>
      </c>
      <c r="B540" s="7">
        <f>(sum(AH540:AL540))*'Optimal Choice'!$B$28</f>
        <v>5548116</v>
      </c>
      <c r="C540" s="11"/>
      <c r="D540" s="12"/>
      <c r="E540" s="12"/>
      <c r="F540" s="11"/>
      <c r="G540" s="11">
        <f>(T540/$B540)+(T540/('Optimal Choice'!$B$4*AO540))</f>
        <v>29443.14895</v>
      </c>
      <c r="H540" s="11">
        <f>(U540/$B540)+(U540/('Optimal Choice'!$B$9*AP540))</f>
        <v>30292.0158</v>
      </c>
      <c r="I540" s="11">
        <f>(V540/$B540)+(V540/('Optimal Choice'!$B$14*AQ540))</f>
        <v>32580.14294</v>
      </c>
      <c r="J540" s="11">
        <f>(W540/$B540)+(W540/('Optimal Choice'!$B$19*AR540))</f>
        <v>31235.09699</v>
      </c>
      <c r="K540" s="11">
        <f>(X540/$B540)+(X540/('Optimal Choice'!$B$24*AS540))</f>
        <v>29582.83016</v>
      </c>
      <c r="N540" s="12">
        <f t="shared" ref="N540:R540" si="1614">if(min($G539:$K539)=G539,N539+1,N539)</f>
        <v>196</v>
      </c>
      <c r="O540" s="12">
        <f t="shared" si="1614"/>
        <v>88</v>
      </c>
      <c r="P540" s="12">
        <f t="shared" si="1614"/>
        <v>87</v>
      </c>
      <c r="Q540" s="12">
        <f t="shared" si="1614"/>
        <v>84</v>
      </c>
      <c r="R540" s="12">
        <f t="shared" si="1614"/>
        <v>84</v>
      </c>
      <c r="T540" s="13">
        <f> 'Optimal Choice'!$B$5*'Optimal Choice'!$B$6^(N540+1)</f>
        <v>2458465.937</v>
      </c>
      <c r="U540" s="13">
        <f> 'Optimal Choice'!$B$10*'Optimal Choice'!$B$11^(O540+1)</f>
        <v>15144643.05</v>
      </c>
      <c r="V540" s="13">
        <f> 'Optimal Choice'!$B$15*'Optimal Choice'!$B$16^(P540+1)</f>
        <v>73275605.2</v>
      </c>
      <c r="W540" s="13">
        <f> 'Optimal Choice'!$B$20*'Optimal Choice'!$B$21^(Q540+1)</f>
        <v>280660593.1</v>
      </c>
      <c r="X540" s="13">
        <f> 'Optimal Choice'!$B$25*'Optimal Choice'!$B$26^(R540+1)</f>
        <v>1582074445</v>
      </c>
      <c r="AA540" s="12">
        <f t="shared" ref="AA540:AE540" si="1615">if(isna(VLOOKUP(N540,$D$2:$E$10,2,false)),AA539, VLOOKUP(N540,$D$2:$E$10,2,false))</f>
        <v>50</v>
      </c>
      <c r="AB540" s="12">
        <f t="shared" si="1615"/>
        <v>25</v>
      </c>
      <c r="AC540" s="12">
        <f t="shared" si="1615"/>
        <v>25</v>
      </c>
      <c r="AD540" s="12">
        <f t="shared" si="1615"/>
        <v>25</v>
      </c>
      <c r="AE540" s="12">
        <f t="shared" si="1615"/>
        <v>25</v>
      </c>
      <c r="AH540" s="15">
        <f>N540*'Optimal Choice'!$B$4*AA540</f>
        <v>16366</v>
      </c>
      <c r="AI540" s="15">
        <f>O540*'Optimal Choice'!$B$9*AB540</f>
        <v>44000</v>
      </c>
      <c r="AJ540" s="15">
        <f>P540*'Optimal Choice'!$B$14*AC540</f>
        <v>195750</v>
      </c>
      <c r="AK540" s="15">
        <f>Q540*'Optimal Choice'!$B$19*AD540</f>
        <v>756000</v>
      </c>
      <c r="AL540" s="15">
        <f>R540*'Optimal Choice'!$B$24*AE540</f>
        <v>4536000</v>
      </c>
      <c r="AO540" s="12">
        <f t="shared" ref="AO540:AS540" si="1616">if(isna(VLOOKUP(N540+1,$D$2:$E$10,2,false)),AO539, VLOOKUP(N540+1,$D$2:$E$10,2,false))</f>
        <v>50</v>
      </c>
      <c r="AP540" s="12">
        <f t="shared" si="1616"/>
        <v>25</v>
      </c>
      <c r="AQ540" s="12">
        <f t="shared" si="1616"/>
        <v>25</v>
      </c>
      <c r="AR540" s="12">
        <f t="shared" si="1616"/>
        <v>25</v>
      </c>
      <c r="AS540" s="12">
        <f t="shared" si="1616"/>
        <v>25</v>
      </c>
      <c r="AU540" s="11">
        <f t="shared" si="8"/>
        <v>0.1931674472</v>
      </c>
    </row>
    <row r="541" ht="15.75" customHeight="1">
      <c r="A541" s="16">
        <f t="shared" si="4"/>
        <v>68.47008977</v>
      </c>
      <c r="B541" s="7">
        <f>(sum(AH541:AL541))*'Optimal Choice'!$B$28</f>
        <v>5548199.5</v>
      </c>
      <c r="C541" s="11"/>
      <c r="D541" s="12"/>
      <c r="E541" s="12"/>
      <c r="F541" s="11"/>
      <c r="G541" s="11">
        <f>(T541/$B541)+(T541/('Optimal Choice'!$B$4*AO541))</f>
        <v>31504.16937</v>
      </c>
      <c r="H541" s="11">
        <f>(U541/$B541)+(U541/('Optimal Choice'!$B$9*AP541))</f>
        <v>30292.01576</v>
      </c>
      <c r="I541" s="11">
        <f>(V541/$B541)+(V541/('Optimal Choice'!$B$14*AQ541))</f>
        <v>32580.14274</v>
      </c>
      <c r="J541" s="11">
        <f>(W541/$B541)+(W541/('Optimal Choice'!$B$19*AR541))</f>
        <v>31235.09623</v>
      </c>
      <c r="K541" s="11">
        <f>(X541/$B541)+(X541/('Optimal Choice'!$B$24*AS541))</f>
        <v>29582.82587</v>
      </c>
      <c r="N541" s="12">
        <f t="shared" ref="N541:R541" si="1617">if(min($G540:$K540)=G540,N540+1,N540)</f>
        <v>197</v>
      </c>
      <c r="O541" s="12">
        <f t="shared" si="1617"/>
        <v>88</v>
      </c>
      <c r="P541" s="12">
        <f t="shared" si="1617"/>
        <v>87</v>
      </c>
      <c r="Q541" s="12">
        <f t="shared" si="1617"/>
        <v>84</v>
      </c>
      <c r="R541" s="12">
        <f t="shared" si="1617"/>
        <v>84</v>
      </c>
      <c r="T541" s="13">
        <f> 'Optimal Choice'!$B$5*'Optimal Choice'!$B$6^(N541+1)</f>
        <v>2630558.552</v>
      </c>
      <c r="U541" s="13">
        <f> 'Optimal Choice'!$B$10*'Optimal Choice'!$B$11^(O541+1)</f>
        <v>15144643.05</v>
      </c>
      <c r="V541" s="13">
        <f> 'Optimal Choice'!$B$15*'Optimal Choice'!$B$16^(P541+1)</f>
        <v>73275605.2</v>
      </c>
      <c r="W541" s="13">
        <f> 'Optimal Choice'!$B$20*'Optimal Choice'!$B$21^(Q541+1)</f>
        <v>280660593.1</v>
      </c>
      <c r="X541" s="13">
        <f> 'Optimal Choice'!$B$25*'Optimal Choice'!$B$26^(R541+1)</f>
        <v>1582074445</v>
      </c>
      <c r="AA541" s="12">
        <f t="shared" ref="AA541:AE541" si="1618">if(isna(VLOOKUP(N541,$D$2:$E$10,2,false)),AA540, VLOOKUP(N541,$D$2:$E$10,2,false))</f>
        <v>50</v>
      </c>
      <c r="AB541" s="12">
        <f t="shared" si="1618"/>
        <v>25</v>
      </c>
      <c r="AC541" s="12">
        <f t="shared" si="1618"/>
        <v>25</v>
      </c>
      <c r="AD541" s="12">
        <f t="shared" si="1618"/>
        <v>25</v>
      </c>
      <c r="AE541" s="12">
        <f t="shared" si="1618"/>
        <v>25</v>
      </c>
      <c r="AH541" s="15">
        <f>N541*'Optimal Choice'!$B$4*AA541</f>
        <v>16449.5</v>
      </c>
      <c r="AI541" s="15">
        <f>O541*'Optimal Choice'!$B$9*AB541</f>
        <v>44000</v>
      </c>
      <c r="AJ541" s="15">
        <f>P541*'Optimal Choice'!$B$14*AC541</f>
        <v>195750</v>
      </c>
      <c r="AK541" s="15">
        <f>Q541*'Optimal Choice'!$B$19*AD541</f>
        <v>756000</v>
      </c>
      <c r="AL541" s="15">
        <f>R541*'Optimal Choice'!$B$24*AE541</f>
        <v>4536000</v>
      </c>
      <c r="AO541" s="12">
        <f t="shared" ref="AO541:AS541" si="1619">if(isna(VLOOKUP(N541+1,$D$2:$E$10,2,false)),AO540, VLOOKUP(N541+1,$D$2:$E$10,2,false))</f>
        <v>50</v>
      </c>
      <c r="AP541" s="12">
        <f t="shared" si="1619"/>
        <v>25</v>
      </c>
      <c r="AQ541" s="12">
        <f t="shared" si="1619"/>
        <v>25</v>
      </c>
      <c r="AR541" s="12">
        <f t="shared" si="1619"/>
        <v>25</v>
      </c>
      <c r="AS541" s="12">
        <f t="shared" si="1619"/>
        <v>25</v>
      </c>
      <c r="AU541" s="11">
        <f t="shared" si="8"/>
        <v>0.007385287597</v>
      </c>
    </row>
    <row r="542" ht="15.75" customHeight="1">
      <c r="A542" s="16">
        <f t="shared" si="4"/>
        <v>73.22260587</v>
      </c>
      <c r="B542" s="7">
        <f>(sum(AH542:AL542))*'Optimal Choice'!$B$28</f>
        <v>5602199.5</v>
      </c>
      <c r="C542" s="11"/>
      <c r="D542" s="12"/>
      <c r="E542" s="12"/>
      <c r="F542" s="11"/>
      <c r="G542" s="11">
        <f>(T542/$B542)+(T542/('Optimal Choice'!$B$4*AO542))</f>
        <v>31504.1648</v>
      </c>
      <c r="H542" s="11">
        <f>(U542/$B542)+(U542/('Optimal Choice'!$B$9*AP542))</f>
        <v>30291.98945</v>
      </c>
      <c r="I542" s="11">
        <f>(V542/$B542)+(V542/('Optimal Choice'!$B$14*AQ542))</f>
        <v>32580.01543</v>
      </c>
      <c r="J542" s="11">
        <f>(W542/$B542)+(W542/('Optimal Choice'!$B$19*AR542))</f>
        <v>31234.60863</v>
      </c>
      <c r="K542" s="11">
        <f>(X542/$B542)+(X542/('Optimal Choice'!$B$24*AS542))</f>
        <v>33129.68656</v>
      </c>
      <c r="N542" s="12">
        <f t="shared" ref="N542:R542" si="1620">if(min($G541:$K541)=G541,N541+1,N541)</f>
        <v>197</v>
      </c>
      <c r="O542" s="12">
        <f t="shared" si="1620"/>
        <v>88</v>
      </c>
      <c r="P542" s="12">
        <f t="shared" si="1620"/>
        <v>87</v>
      </c>
      <c r="Q542" s="12">
        <f t="shared" si="1620"/>
        <v>84</v>
      </c>
      <c r="R542" s="12">
        <f t="shared" si="1620"/>
        <v>85</v>
      </c>
      <c r="T542" s="13">
        <f> 'Optimal Choice'!$B$5*'Optimal Choice'!$B$6^(N542+1)</f>
        <v>2630558.552</v>
      </c>
      <c r="U542" s="13">
        <f> 'Optimal Choice'!$B$10*'Optimal Choice'!$B$11^(O542+1)</f>
        <v>15144643.05</v>
      </c>
      <c r="V542" s="13">
        <f> 'Optimal Choice'!$B$15*'Optimal Choice'!$B$16^(P542+1)</f>
        <v>73275605.2</v>
      </c>
      <c r="W542" s="13">
        <f> 'Optimal Choice'!$B$20*'Optimal Choice'!$B$21^(Q542+1)</f>
        <v>280660593.1</v>
      </c>
      <c r="X542" s="13">
        <f> 'Optimal Choice'!$B$25*'Optimal Choice'!$B$26^(R542+1)</f>
        <v>1771923378</v>
      </c>
      <c r="AA542" s="12">
        <f t="shared" ref="AA542:AE542" si="1621">if(isna(VLOOKUP(N542,$D$2:$E$10,2,false)),AA541, VLOOKUP(N542,$D$2:$E$10,2,false))</f>
        <v>50</v>
      </c>
      <c r="AB542" s="12">
        <f t="shared" si="1621"/>
        <v>25</v>
      </c>
      <c r="AC542" s="12">
        <f t="shared" si="1621"/>
        <v>25</v>
      </c>
      <c r="AD542" s="12">
        <f t="shared" si="1621"/>
        <v>25</v>
      </c>
      <c r="AE542" s="12">
        <f t="shared" si="1621"/>
        <v>25</v>
      </c>
      <c r="AH542" s="15">
        <f>N542*'Optimal Choice'!$B$4*AA542</f>
        <v>16449.5</v>
      </c>
      <c r="AI542" s="15">
        <f>O542*'Optimal Choice'!$B$9*AB542</f>
        <v>44000</v>
      </c>
      <c r="AJ542" s="15">
        <f>P542*'Optimal Choice'!$B$14*AC542</f>
        <v>195750</v>
      </c>
      <c r="AK542" s="15">
        <f>Q542*'Optimal Choice'!$B$19*AD542</f>
        <v>756000</v>
      </c>
      <c r="AL542" s="15">
        <f>R542*'Optimal Choice'!$B$24*AE542</f>
        <v>4590000</v>
      </c>
      <c r="AO542" s="12">
        <f t="shared" ref="AO542:AS542" si="1622">if(isna(VLOOKUP(N542+1,$D$2:$E$10,2,false)),AO541, VLOOKUP(N542+1,$D$2:$E$10,2,false))</f>
        <v>50</v>
      </c>
      <c r="AP542" s="12">
        <f t="shared" si="1622"/>
        <v>25</v>
      </c>
      <c r="AQ542" s="12">
        <f t="shared" si="1622"/>
        <v>25</v>
      </c>
      <c r="AR542" s="12">
        <f t="shared" si="1622"/>
        <v>25</v>
      </c>
      <c r="AS542" s="12">
        <f t="shared" si="1622"/>
        <v>25</v>
      </c>
      <c r="AU542" s="11">
        <f t="shared" si="8"/>
        <v>4.752516094</v>
      </c>
    </row>
    <row r="543" ht="15.75" customHeight="1">
      <c r="A543" s="16">
        <f t="shared" si="4"/>
        <v>73.26766151</v>
      </c>
      <c r="B543" s="7">
        <f>(sum(AH543:AL543))*'Optimal Choice'!$B$28</f>
        <v>5602699.5</v>
      </c>
      <c r="C543" s="11"/>
      <c r="D543" s="12"/>
      <c r="E543" s="12"/>
      <c r="F543" s="11"/>
      <c r="G543" s="11">
        <f>(T543/$B543)+(T543/('Optimal Choice'!$B$4*AO543))</f>
        <v>31504.16475</v>
      </c>
      <c r="H543" s="11">
        <f>(U543/$B543)+(U543/('Optimal Choice'!$B$9*AP543))</f>
        <v>34835.78759</v>
      </c>
      <c r="I543" s="11">
        <f>(V543/$B543)+(V543/('Optimal Choice'!$B$14*AQ543))</f>
        <v>32580.01427</v>
      </c>
      <c r="J543" s="11">
        <f>(W543/$B543)+(W543/('Optimal Choice'!$B$19*AR543))</f>
        <v>31234.60415</v>
      </c>
      <c r="K543" s="11">
        <f>(X543/$B543)+(X543/('Optimal Choice'!$B$24*AS543))</f>
        <v>33129.65833</v>
      </c>
      <c r="N543" s="12">
        <f t="shared" ref="N543:R543" si="1623">if(min($G542:$K542)=G542,N542+1,N542)</f>
        <v>197</v>
      </c>
      <c r="O543" s="12">
        <f t="shared" si="1623"/>
        <v>89</v>
      </c>
      <c r="P543" s="12">
        <f t="shared" si="1623"/>
        <v>87</v>
      </c>
      <c r="Q543" s="12">
        <f t="shared" si="1623"/>
        <v>84</v>
      </c>
      <c r="R543" s="12">
        <f t="shared" si="1623"/>
        <v>85</v>
      </c>
      <c r="T543" s="13">
        <f> 'Optimal Choice'!$B$5*'Optimal Choice'!$B$6^(N543+1)</f>
        <v>2630558.552</v>
      </c>
      <c r="U543" s="13">
        <f> 'Optimal Choice'!$B$10*'Optimal Choice'!$B$11^(O543+1)</f>
        <v>17416339.51</v>
      </c>
      <c r="V543" s="13">
        <f> 'Optimal Choice'!$B$15*'Optimal Choice'!$B$16^(P543+1)</f>
        <v>73275605.2</v>
      </c>
      <c r="W543" s="13">
        <f> 'Optimal Choice'!$B$20*'Optimal Choice'!$B$21^(Q543+1)</f>
        <v>280660593.1</v>
      </c>
      <c r="X543" s="13">
        <f> 'Optimal Choice'!$B$25*'Optimal Choice'!$B$26^(R543+1)</f>
        <v>1771923378</v>
      </c>
      <c r="AA543" s="12">
        <f t="shared" ref="AA543:AE543" si="1624">if(isna(VLOOKUP(N543,$D$2:$E$10,2,false)),AA542, VLOOKUP(N543,$D$2:$E$10,2,false))</f>
        <v>50</v>
      </c>
      <c r="AB543" s="12">
        <f t="shared" si="1624"/>
        <v>25</v>
      </c>
      <c r="AC543" s="12">
        <f t="shared" si="1624"/>
        <v>25</v>
      </c>
      <c r="AD543" s="12">
        <f t="shared" si="1624"/>
        <v>25</v>
      </c>
      <c r="AE543" s="12">
        <f t="shared" si="1624"/>
        <v>25</v>
      </c>
      <c r="AH543" s="15">
        <f>N543*'Optimal Choice'!$B$4*AA543</f>
        <v>16449.5</v>
      </c>
      <c r="AI543" s="15">
        <f>O543*'Optimal Choice'!$B$9*AB543</f>
        <v>44500</v>
      </c>
      <c r="AJ543" s="15">
        <f>P543*'Optimal Choice'!$B$14*AC543</f>
        <v>195750</v>
      </c>
      <c r="AK543" s="15">
        <f>Q543*'Optimal Choice'!$B$19*AD543</f>
        <v>756000</v>
      </c>
      <c r="AL543" s="15">
        <f>R543*'Optimal Choice'!$B$24*AE543</f>
        <v>4590000</v>
      </c>
      <c r="AO543" s="12">
        <f t="shared" ref="AO543:AS543" si="1625">if(isna(VLOOKUP(N543+1,$D$2:$E$10,2,false)),AO542, VLOOKUP(N543+1,$D$2:$E$10,2,false))</f>
        <v>50</v>
      </c>
      <c r="AP543" s="12">
        <f t="shared" si="1625"/>
        <v>25</v>
      </c>
      <c r="AQ543" s="12">
        <f t="shared" si="1625"/>
        <v>25</v>
      </c>
      <c r="AR543" s="12">
        <f t="shared" si="1625"/>
        <v>25</v>
      </c>
      <c r="AS543" s="12">
        <f t="shared" si="1625"/>
        <v>25</v>
      </c>
      <c r="AU543" s="11">
        <f t="shared" si="8"/>
        <v>0.04505564601</v>
      </c>
    </row>
    <row r="544" ht="15.75" customHeight="1">
      <c r="A544" s="16">
        <f t="shared" si="4"/>
        <v>74.10255843</v>
      </c>
      <c r="B544" s="7">
        <f>(sum(AH544:AL544))*'Optimal Choice'!$B$28</f>
        <v>5611699.5</v>
      </c>
      <c r="C544" s="11"/>
      <c r="D544" s="12"/>
      <c r="E544" s="12"/>
      <c r="F544" s="11"/>
      <c r="G544" s="11">
        <f>(T544/$B544)+(T544/('Optimal Choice'!$B$4*AO544))</f>
        <v>31504.164</v>
      </c>
      <c r="H544" s="11">
        <f>(U544/$B544)+(U544/('Optimal Choice'!$B$9*AP544))</f>
        <v>34835.7826</v>
      </c>
      <c r="I544" s="11">
        <f>(V544/$B544)+(V544/('Optimal Choice'!$B$14*AQ544))</f>
        <v>32579.99329</v>
      </c>
      <c r="J544" s="11">
        <f>(W544/$B544)+(W544/('Optimal Choice'!$B$19*AR544))</f>
        <v>35295.01191</v>
      </c>
      <c r="K544" s="11">
        <f>(X544/$B544)+(X544/('Optimal Choice'!$B$24*AS544))</f>
        <v>33129.15111</v>
      </c>
      <c r="N544" s="12">
        <f t="shared" ref="N544:R544" si="1626">if(min($G543:$K543)=G543,N543+1,N543)</f>
        <v>197</v>
      </c>
      <c r="O544" s="12">
        <f t="shared" si="1626"/>
        <v>89</v>
      </c>
      <c r="P544" s="12">
        <f t="shared" si="1626"/>
        <v>87</v>
      </c>
      <c r="Q544" s="12">
        <f t="shared" si="1626"/>
        <v>85</v>
      </c>
      <c r="R544" s="12">
        <f t="shared" si="1626"/>
        <v>85</v>
      </c>
      <c r="T544" s="13">
        <f> 'Optimal Choice'!$B$5*'Optimal Choice'!$B$6^(N544+1)</f>
        <v>2630558.552</v>
      </c>
      <c r="U544" s="13">
        <f> 'Optimal Choice'!$B$10*'Optimal Choice'!$B$11^(O544+1)</f>
        <v>17416339.51</v>
      </c>
      <c r="V544" s="13">
        <f> 'Optimal Choice'!$B$15*'Optimal Choice'!$B$16^(P544+1)</f>
        <v>73275605.2</v>
      </c>
      <c r="W544" s="13">
        <f> 'Optimal Choice'!$B$20*'Optimal Choice'!$B$21^(Q544+1)</f>
        <v>317146470.2</v>
      </c>
      <c r="X544" s="13">
        <f> 'Optimal Choice'!$B$25*'Optimal Choice'!$B$26^(R544+1)</f>
        <v>1771923378</v>
      </c>
      <c r="AA544" s="12">
        <f t="shared" ref="AA544:AE544" si="1627">if(isna(VLOOKUP(N544,$D$2:$E$10,2,false)),AA543, VLOOKUP(N544,$D$2:$E$10,2,false))</f>
        <v>50</v>
      </c>
      <c r="AB544" s="12">
        <f t="shared" si="1627"/>
        <v>25</v>
      </c>
      <c r="AC544" s="12">
        <f t="shared" si="1627"/>
        <v>25</v>
      </c>
      <c r="AD544" s="12">
        <f t="shared" si="1627"/>
        <v>25</v>
      </c>
      <c r="AE544" s="12">
        <f t="shared" si="1627"/>
        <v>25</v>
      </c>
      <c r="AH544" s="15">
        <f>N544*'Optimal Choice'!$B$4*AA544</f>
        <v>16449.5</v>
      </c>
      <c r="AI544" s="15">
        <f>O544*'Optimal Choice'!$B$9*AB544</f>
        <v>44500</v>
      </c>
      <c r="AJ544" s="15">
        <f>P544*'Optimal Choice'!$B$14*AC544</f>
        <v>195750</v>
      </c>
      <c r="AK544" s="15">
        <f>Q544*'Optimal Choice'!$B$19*AD544</f>
        <v>765000</v>
      </c>
      <c r="AL544" s="15">
        <f>R544*'Optimal Choice'!$B$24*AE544</f>
        <v>4590000</v>
      </c>
      <c r="AO544" s="12">
        <f t="shared" ref="AO544:AS544" si="1628">if(isna(VLOOKUP(N544+1,$D$2:$E$10,2,false)),AO543, VLOOKUP(N544+1,$D$2:$E$10,2,false))</f>
        <v>50</v>
      </c>
      <c r="AP544" s="12">
        <f t="shared" si="1628"/>
        <v>25</v>
      </c>
      <c r="AQ544" s="12">
        <f t="shared" si="1628"/>
        <v>25</v>
      </c>
      <c r="AR544" s="12">
        <f t="shared" si="1628"/>
        <v>25</v>
      </c>
      <c r="AS544" s="12">
        <f t="shared" si="1628"/>
        <v>25</v>
      </c>
      <c r="AU544" s="11">
        <f t="shared" si="8"/>
        <v>0.8348969191</v>
      </c>
    </row>
    <row r="545" ht="15.75" customHeight="1">
      <c r="A545" s="16">
        <f t="shared" si="4"/>
        <v>74.11037115</v>
      </c>
      <c r="B545" s="7">
        <f>(sum(AH545:AL545))*'Optimal Choice'!$B$28</f>
        <v>5611783</v>
      </c>
      <c r="C545" s="11"/>
      <c r="D545" s="12"/>
      <c r="E545" s="12"/>
      <c r="F545" s="11"/>
      <c r="G545" s="11">
        <f>(T545/$B545)+(T545/('Optimal Choice'!$B$4*AO545))</f>
        <v>33709.45547</v>
      </c>
      <c r="H545" s="11">
        <f>(U545/$B545)+(U545/('Optimal Choice'!$B$9*AP545))</f>
        <v>34835.78256</v>
      </c>
      <c r="I545" s="11">
        <f>(V545/$B545)+(V545/('Optimal Choice'!$B$14*AQ545))</f>
        <v>32579.9931</v>
      </c>
      <c r="J545" s="11">
        <f>(W545/$B545)+(W545/('Optimal Choice'!$B$19*AR545))</f>
        <v>35295.01107</v>
      </c>
      <c r="K545" s="11">
        <f>(X545/$B545)+(X545/('Optimal Choice'!$B$24*AS545))</f>
        <v>33129.14641</v>
      </c>
      <c r="N545" s="12">
        <f t="shared" ref="N545:R545" si="1629">if(min($G544:$K544)=G544,N544+1,N544)</f>
        <v>198</v>
      </c>
      <c r="O545" s="12">
        <f t="shared" si="1629"/>
        <v>89</v>
      </c>
      <c r="P545" s="12">
        <f t="shared" si="1629"/>
        <v>87</v>
      </c>
      <c r="Q545" s="12">
        <f t="shared" si="1629"/>
        <v>85</v>
      </c>
      <c r="R545" s="12">
        <f t="shared" si="1629"/>
        <v>85</v>
      </c>
      <c r="T545" s="13">
        <f> 'Optimal Choice'!$B$5*'Optimal Choice'!$B$6^(N545+1)</f>
        <v>2814697.651</v>
      </c>
      <c r="U545" s="13">
        <f> 'Optimal Choice'!$B$10*'Optimal Choice'!$B$11^(O545+1)</f>
        <v>17416339.51</v>
      </c>
      <c r="V545" s="13">
        <f> 'Optimal Choice'!$B$15*'Optimal Choice'!$B$16^(P545+1)</f>
        <v>73275605.2</v>
      </c>
      <c r="W545" s="13">
        <f> 'Optimal Choice'!$B$20*'Optimal Choice'!$B$21^(Q545+1)</f>
        <v>317146470.2</v>
      </c>
      <c r="X545" s="13">
        <f> 'Optimal Choice'!$B$25*'Optimal Choice'!$B$26^(R545+1)</f>
        <v>1771923378</v>
      </c>
      <c r="AA545" s="12">
        <f t="shared" ref="AA545:AE545" si="1630">if(isna(VLOOKUP(N545,$D$2:$E$10,2,false)),AA544, VLOOKUP(N545,$D$2:$E$10,2,false))</f>
        <v>50</v>
      </c>
      <c r="AB545" s="12">
        <f t="shared" si="1630"/>
        <v>25</v>
      </c>
      <c r="AC545" s="12">
        <f t="shared" si="1630"/>
        <v>25</v>
      </c>
      <c r="AD545" s="12">
        <f t="shared" si="1630"/>
        <v>25</v>
      </c>
      <c r="AE545" s="12">
        <f t="shared" si="1630"/>
        <v>25</v>
      </c>
      <c r="AH545" s="15">
        <f>N545*'Optimal Choice'!$B$4*AA545</f>
        <v>16533</v>
      </c>
      <c r="AI545" s="15">
        <f>O545*'Optimal Choice'!$B$9*AB545</f>
        <v>44500</v>
      </c>
      <c r="AJ545" s="15">
        <f>P545*'Optimal Choice'!$B$14*AC545</f>
        <v>195750</v>
      </c>
      <c r="AK545" s="15">
        <f>Q545*'Optimal Choice'!$B$19*AD545</f>
        <v>765000</v>
      </c>
      <c r="AL545" s="15">
        <f>R545*'Optimal Choice'!$B$24*AE545</f>
        <v>4590000</v>
      </c>
      <c r="AO545" s="12">
        <f t="shared" ref="AO545:AS545" si="1631">if(isna(VLOOKUP(N545+1,$D$2:$E$10,2,false)),AO544, VLOOKUP(N545+1,$D$2:$E$10,2,false))</f>
        <v>50</v>
      </c>
      <c r="AP545" s="12">
        <f t="shared" si="1631"/>
        <v>25</v>
      </c>
      <c r="AQ545" s="12">
        <f t="shared" si="1631"/>
        <v>25</v>
      </c>
      <c r="AR545" s="12">
        <f t="shared" si="1631"/>
        <v>25</v>
      </c>
      <c r="AS545" s="12">
        <f t="shared" si="1631"/>
        <v>25</v>
      </c>
      <c r="AU545" s="11">
        <f t="shared" si="8"/>
        <v>0.007812721002</v>
      </c>
    </row>
    <row r="546" ht="15.75" customHeight="1">
      <c r="A546" s="16">
        <f t="shared" si="4"/>
        <v>74.32799541</v>
      </c>
      <c r="B546" s="7">
        <f>(sum(AH546:AL546))*'Optimal Choice'!$B$28</f>
        <v>5614033</v>
      </c>
      <c r="C546" s="11"/>
      <c r="D546" s="12"/>
      <c r="E546" s="12"/>
      <c r="F546" s="11"/>
      <c r="G546" s="11">
        <f>(T546/$B546)+(T546/('Optimal Choice'!$B$4*AO546))</f>
        <v>33709.45527</v>
      </c>
      <c r="H546" s="11">
        <f>(U546/$B546)+(U546/('Optimal Choice'!$B$9*AP546))</f>
        <v>34835.78131</v>
      </c>
      <c r="I546" s="11">
        <f>(V546/$B546)+(V546/('Optimal Choice'!$B$14*AQ546))</f>
        <v>37141.18617</v>
      </c>
      <c r="J546" s="11">
        <f>(W546/$B546)+(W546/('Optimal Choice'!$B$19*AR546))</f>
        <v>35294.98842</v>
      </c>
      <c r="K546" s="11">
        <f>(X546/$B546)+(X546/('Optimal Choice'!$B$24*AS546))</f>
        <v>33129.01986</v>
      </c>
      <c r="N546" s="12">
        <f t="shared" ref="N546:R546" si="1632">if(min($G545:$K545)=G545,N545+1,N545)</f>
        <v>198</v>
      </c>
      <c r="O546" s="12">
        <f t="shared" si="1632"/>
        <v>89</v>
      </c>
      <c r="P546" s="12">
        <f t="shared" si="1632"/>
        <v>88</v>
      </c>
      <c r="Q546" s="12">
        <f t="shared" si="1632"/>
        <v>85</v>
      </c>
      <c r="R546" s="12">
        <f t="shared" si="1632"/>
        <v>85</v>
      </c>
      <c r="T546" s="13">
        <f> 'Optimal Choice'!$B$5*'Optimal Choice'!$B$6^(N546+1)</f>
        <v>2814697.651</v>
      </c>
      <c r="U546" s="13">
        <f> 'Optimal Choice'!$B$10*'Optimal Choice'!$B$11^(O546+1)</f>
        <v>17416339.51</v>
      </c>
      <c r="V546" s="13">
        <f> 'Optimal Choice'!$B$15*'Optimal Choice'!$B$16^(P546+1)</f>
        <v>83534189.92</v>
      </c>
      <c r="W546" s="13">
        <f> 'Optimal Choice'!$B$20*'Optimal Choice'!$B$21^(Q546+1)</f>
        <v>317146470.2</v>
      </c>
      <c r="X546" s="13">
        <f> 'Optimal Choice'!$B$25*'Optimal Choice'!$B$26^(R546+1)</f>
        <v>1771923378</v>
      </c>
      <c r="AA546" s="12">
        <f t="shared" ref="AA546:AE546" si="1633">if(isna(VLOOKUP(N546,$D$2:$E$10,2,false)),AA545, VLOOKUP(N546,$D$2:$E$10,2,false))</f>
        <v>50</v>
      </c>
      <c r="AB546" s="12">
        <f t="shared" si="1633"/>
        <v>25</v>
      </c>
      <c r="AC546" s="12">
        <f t="shared" si="1633"/>
        <v>25</v>
      </c>
      <c r="AD546" s="12">
        <f t="shared" si="1633"/>
        <v>25</v>
      </c>
      <c r="AE546" s="12">
        <f t="shared" si="1633"/>
        <v>25</v>
      </c>
      <c r="AH546" s="15">
        <f>N546*'Optimal Choice'!$B$4*AA546</f>
        <v>16533</v>
      </c>
      <c r="AI546" s="15">
        <f>O546*'Optimal Choice'!$B$9*AB546</f>
        <v>44500</v>
      </c>
      <c r="AJ546" s="15">
        <f>P546*'Optimal Choice'!$B$14*AC546</f>
        <v>198000</v>
      </c>
      <c r="AK546" s="15">
        <f>Q546*'Optimal Choice'!$B$19*AD546</f>
        <v>765000</v>
      </c>
      <c r="AL546" s="15">
        <f>R546*'Optimal Choice'!$B$24*AE546</f>
        <v>4590000</v>
      </c>
      <c r="AO546" s="12">
        <f t="shared" ref="AO546:AS546" si="1634">if(isna(VLOOKUP(N546+1,$D$2:$E$10,2,false)),AO545, VLOOKUP(N546+1,$D$2:$E$10,2,false))</f>
        <v>50</v>
      </c>
      <c r="AP546" s="12">
        <f t="shared" si="1634"/>
        <v>25</v>
      </c>
      <c r="AQ546" s="12">
        <f t="shared" si="1634"/>
        <v>25</v>
      </c>
      <c r="AR546" s="12">
        <f t="shared" si="1634"/>
        <v>25</v>
      </c>
      <c r="AS546" s="12">
        <f t="shared" si="1634"/>
        <v>25</v>
      </c>
      <c r="AU546" s="11">
        <f t="shared" si="8"/>
        <v>0.2176242536</v>
      </c>
    </row>
    <row r="547" ht="15.75" customHeight="1">
      <c r="A547" s="16">
        <f t="shared" si="4"/>
        <v>79.58839489</v>
      </c>
      <c r="B547" s="7">
        <f>(sum(AH547:AL547))*'Optimal Choice'!$B$28</f>
        <v>5668033</v>
      </c>
      <c r="C547" s="11"/>
      <c r="D547" s="12"/>
      <c r="E547" s="12"/>
      <c r="F547" s="11"/>
      <c r="G547" s="11">
        <f>(T547/$B547)+(T547/('Optimal Choice'!$B$4*AO547))</f>
        <v>33709.4505</v>
      </c>
      <c r="H547" s="11">
        <f>(U547/$B547)+(U547/('Optimal Choice'!$B$9*AP547))</f>
        <v>34835.75176</v>
      </c>
      <c r="I547" s="11">
        <f>(V547/$B547)+(V547/('Optimal Choice'!$B$14*AQ547))</f>
        <v>37141.04441</v>
      </c>
      <c r="J547" s="11">
        <f>(W547/$B547)+(W547/('Optimal Choice'!$B$19*AR547))</f>
        <v>35294.45022</v>
      </c>
      <c r="K547" s="11">
        <f>(X547/$B547)+(X547/('Optimal Choice'!$B$24*AS547))</f>
        <v>37101.13442</v>
      </c>
      <c r="N547" s="12">
        <f t="shared" ref="N547:R547" si="1635">if(min($G546:$K546)=G546,N546+1,N546)</f>
        <v>198</v>
      </c>
      <c r="O547" s="12">
        <f t="shared" si="1635"/>
        <v>89</v>
      </c>
      <c r="P547" s="12">
        <f t="shared" si="1635"/>
        <v>88</v>
      </c>
      <c r="Q547" s="12">
        <f t="shared" si="1635"/>
        <v>85</v>
      </c>
      <c r="R547" s="12">
        <f t="shared" si="1635"/>
        <v>86</v>
      </c>
      <c r="T547" s="13">
        <f> 'Optimal Choice'!$B$5*'Optimal Choice'!$B$6^(N547+1)</f>
        <v>2814697.651</v>
      </c>
      <c r="U547" s="13">
        <f> 'Optimal Choice'!$B$10*'Optimal Choice'!$B$11^(O547+1)</f>
        <v>17416339.51</v>
      </c>
      <c r="V547" s="13">
        <f> 'Optimal Choice'!$B$15*'Optimal Choice'!$B$16^(P547+1)</f>
        <v>83534189.92</v>
      </c>
      <c r="W547" s="13">
        <f> 'Optimal Choice'!$B$20*'Optimal Choice'!$B$21^(Q547+1)</f>
        <v>317146470.2</v>
      </c>
      <c r="X547" s="13">
        <f> 'Optimal Choice'!$B$25*'Optimal Choice'!$B$26^(R547+1)</f>
        <v>1984554184</v>
      </c>
      <c r="AA547" s="12">
        <f t="shared" ref="AA547:AE547" si="1636">if(isna(VLOOKUP(N547,$D$2:$E$10,2,false)),AA546, VLOOKUP(N547,$D$2:$E$10,2,false))</f>
        <v>50</v>
      </c>
      <c r="AB547" s="12">
        <f t="shared" si="1636"/>
        <v>25</v>
      </c>
      <c r="AC547" s="12">
        <f t="shared" si="1636"/>
        <v>25</v>
      </c>
      <c r="AD547" s="12">
        <f t="shared" si="1636"/>
        <v>25</v>
      </c>
      <c r="AE547" s="12">
        <f t="shared" si="1636"/>
        <v>25</v>
      </c>
      <c r="AH547" s="15">
        <f>N547*'Optimal Choice'!$B$4*AA547</f>
        <v>16533</v>
      </c>
      <c r="AI547" s="15">
        <f>O547*'Optimal Choice'!$B$9*AB547</f>
        <v>44500</v>
      </c>
      <c r="AJ547" s="15">
        <f>P547*'Optimal Choice'!$B$14*AC547</f>
        <v>198000</v>
      </c>
      <c r="AK547" s="15">
        <f>Q547*'Optimal Choice'!$B$19*AD547</f>
        <v>765000</v>
      </c>
      <c r="AL547" s="15">
        <f>R547*'Optimal Choice'!$B$24*AE547</f>
        <v>4644000</v>
      </c>
      <c r="AO547" s="12">
        <f t="shared" ref="AO547:AS547" si="1637">if(isna(VLOOKUP(N547+1,$D$2:$E$10,2,false)),AO546, VLOOKUP(N547+1,$D$2:$E$10,2,false))</f>
        <v>50</v>
      </c>
      <c r="AP547" s="12">
        <f t="shared" si="1637"/>
        <v>25</v>
      </c>
      <c r="AQ547" s="12">
        <f t="shared" si="1637"/>
        <v>25</v>
      </c>
      <c r="AR547" s="12">
        <f t="shared" si="1637"/>
        <v>25</v>
      </c>
      <c r="AS547" s="12">
        <f t="shared" si="1637"/>
        <v>25</v>
      </c>
      <c r="AU547" s="11">
        <f t="shared" si="8"/>
        <v>5.260399486</v>
      </c>
    </row>
    <row r="548" ht="15.75" customHeight="1">
      <c r="A548" s="16">
        <f t="shared" si="4"/>
        <v>79.59667142</v>
      </c>
      <c r="B548" s="7">
        <f>(sum(AH548:AL548))*'Optimal Choice'!$B$28</f>
        <v>5668116.5</v>
      </c>
      <c r="C548" s="11"/>
      <c r="D548" s="12"/>
      <c r="E548" s="12"/>
      <c r="F548" s="11"/>
      <c r="G548" s="11">
        <f>(T548/$B548)+(T548/('Optimal Choice'!$B$4*AO548))</f>
        <v>18034.82168</v>
      </c>
      <c r="H548" s="11">
        <f>(U548/$B548)+(U548/('Optimal Choice'!$B$9*AP548))</f>
        <v>34835.75171</v>
      </c>
      <c r="I548" s="11">
        <f>(V548/$B548)+(V548/('Optimal Choice'!$B$14*AQ548))</f>
        <v>37141.04419</v>
      </c>
      <c r="J548" s="11">
        <f>(W548/$B548)+(W548/('Optimal Choice'!$B$19*AR548))</f>
        <v>35294.44939</v>
      </c>
      <c r="K548" s="11">
        <f>(X548/$B548)+(X548/('Optimal Choice'!$B$24*AS548))</f>
        <v>37101.12927</v>
      </c>
      <c r="N548" s="12">
        <f t="shared" ref="N548:R548" si="1638">if(min($G547:$K547)=G547,N547+1,N547)</f>
        <v>199</v>
      </c>
      <c r="O548" s="12">
        <f t="shared" si="1638"/>
        <v>89</v>
      </c>
      <c r="P548" s="12">
        <f t="shared" si="1638"/>
        <v>88</v>
      </c>
      <c r="Q548" s="12">
        <f t="shared" si="1638"/>
        <v>85</v>
      </c>
      <c r="R548" s="12">
        <f t="shared" si="1638"/>
        <v>86</v>
      </c>
      <c r="T548" s="13">
        <f> 'Optimal Choice'!$B$5*'Optimal Choice'!$B$6^(N548+1)</f>
        <v>3011726.487</v>
      </c>
      <c r="U548" s="13">
        <f> 'Optimal Choice'!$B$10*'Optimal Choice'!$B$11^(O548+1)</f>
        <v>17416339.51</v>
      </c>
      <c r="V548" s="13">
        <f> 'Optimal Choice'!$B$15*'Optimal Choice'!$B$16^(P548+1)</f>
        <v>83534189.92</v>
      </c>
      <c r="W548" s="13">
        <f> 'Optimal Choice'!$B$20*'Optimal Choice'!$B$21^(Q548+1)</f>
        <v>317146470.2</v>
      </c>
      <c r="X548" s="13">
        <f> 'Optimal Choice'!$B$25*'Optimal Choice'!$B$26^(R548+1)</f>
        <v>1984554184</v>
      </c>
      <c r="AA548" s="12">
        <f t="shared" ref="AA548:AE548" si="1639">if(isna(VLOOKUP(N548,$D$2:$E$10,2,false)),AA547, VLOOKUP(N548,$D$2:$E$10,2,false))</f>
        <v>50</v>
      </c>
      <c r="AB548" s="12">
        <f t="shared" si="1639"/>
        <v>25</v>
      </c>
      <c r="AC548" s="12">
        <f t="shared" si="1639"/>
        <v>25</v>
      </c>
      <c r="AD548" s="12">
        <f t="shared" si="1639"/>
        <v>25</v>
      </c>
      <c r="AE548" s="12">
        <f t="shared" si="1639"/>
        <v>25</v>
      </c>
      <c r="AH548" s="15">
        <f>N548*'Optimal Choice'!$B$4*AA548</f>
        <v>16616.5</v>
      </c>
      <c r="AI548" s="15">
        <f>O548*'Optimal Choice'!$B$9*AB548</f>
        <v>44500</v>
      </c>
      <c r="AJ548" s="15">
        <f>P548*'Optimal Choice'!$B$14*AC548</f>
        <v>198000</v>
      </c>
      <c r="AK548" s="15">
        <f>Q548*'Optimal Choice'!$B$19*AD548</f>
        <v>765000</v>
      </c>
      <c r="AL548" s="15">
        <f>R548*'Optimal Choice'!$B$24*AE548</f>
        <v>4644000</v>
      </c>
      <c r="AO548" s="12">
        <f t="shared" ref="AO548:AS548" si="1640">if(isna(VLOOKUP(N548+1,$D$2:$E$10,2,false)),AO547, VLOOKUP(N548+1,$D$2:$E$10,2,false))</f>
        <v>100</v>
      </c>
      <c r="AP548" s="12">
        <f t="shared" si="1640"/>
        <v>25</v>
      </c>
      <c r="AQ548" s="12">
        <f t="shared" si="1640"/>
        <v>25</v>
      </c>
      <c r="AR548" s="12">
        <f t="shared" si="1640"/>
        <v>25</v>
      </c>
      <c r="AS548" s="12">
        <f t="shared" si="1640"/>
        <v>25</v>
      </c>
      <c r="AU548" s="11">
        <f t="shared" si="8"/>
        <v>0.008276526886</v>
      </c>
    </row>
    <row r="549" ht="15.75" customHeight="1">
      <c r="A549" s="16">
        <f t="shared" si="4"/>
        <v>79.60552717</v>
      </c>
      <c r="B549" s="7">
        <f>(sum(AH549:AL549))*'Optimal Choice'!$B$28</f>
        <v>5684900</v>
      </c>
      <c r="C549" s="11"/>
      <c r="D549" s="12"/>
      <c r="E549" s="12"/>
      <c r="F549" s="11"/>
      <c r="G549" s="11">
        <f>(T549/$B549)+(T549/('Optimal Choice'!$B$4*AO549))</f>
        <v>19297.25752</v>
      </c>
      <c r="H549" s="11">
        <f>(U549/$B549)+(U549/('Optimal Choice'!$B$9*AP549))</f>
        <v>34835.74264</v>
      </c>
      <c r="I549" s="11">
        <f>(V549/$B549)+(V549/('Optimal Choice'!$B$14*AQ549))</f>
        <v>37141.00068</v>
      </c>
      <c r="J549" s="11">
        <f>(W549/$B549)+(W549/('Optimal Choice'!$B$19*AR549))</f>
        <v>35294.2842</v>
      </c>
      <c r="K549" s="11">
        <f>(X549/$B549)+(X549/('Optimal Choice'!$B$24*AS549))</f>
        <v>37100.09559</v>
      </c>
      <c r="N549" s="12">
        <f t="shared" ref="N549:R549" si="1641">if(min($G548:$K548)=G548,N548+1,N548)</f>
        <v>200</v>
      </c>
      <c r="O549" s="12">
        <f t="shared" si="1641"/>
        <v>89</v>
      </c>
      <c r="P549" s="12">
        <f t="shared" si="1641"/>
        <v>88</v>
      </c>
      <c r="Q549" s="12">
        <f t="shared" si="1641"/>
        <v>85</v>
      </c>
      <c r="R549" s="12">
        <f t="shared" si="1641"/>
        <v>86</v>
      </c>
      <c r="T549" s="13">
        <f> 'Optimal Choice'!$B$5*'Optimal Choice'!$B$6^(N549+1)</f>
        <v>3222547.341</v>
      </c>
      <c r="U549" s="13">
        <f> 'Optimal Choice'!$B$10*'Optimal Choice'!$B$11^(O549+1)</f>
        <v>17416339.51</v>
      </c>
      <c r="V549" s="13">
        <f> 'Optimal Choice'!$B$15*'Optimal Choice'!$B$16^(P549+1)</f>
        <v>83534189.92</v>
      </c>
      <c r="W549" s="13">
        <f> 'Optimal Choice'!$B$20*'Optimal Choice'!$B$21^(Q549+1)</f>
        <v>317146470.2</v>
      </c>
      <c r="X549" s="13">
        <f> 'Optimal Choice'!$B$25*'Optimal Choice'!$B$26^(R549+1)</f>
        <v>1984554184</v>
      </c>
      <c r="AA549" s="12">
        <f t="shared" ref="AA549:AE549" si="1642">if(isna(VLOOKUP(N549,$D$2:$E$10,2,false)),AA548, VLOOKUP(N549,$D$2:$E$10,2,false))</f>
        <v>100</v>
      </c>
      <c r="AB549" s="12">
        <f t="shared" si="1642"/>
        <v>25</v>
      </c>
      <c r="AC549" s="12">
        <f t="shared" si="1642"/>
        <v>25</v>
      </c>
      <c r="AD549" s="12">
        <f t="shared" si="1642"/>
        <v>25</v>
      </c>
      <c r="AE549" s="12">
        <f t="shared" si="1642"/>
        <v>25</v>
      </c>
      <c r="AH549" s="15">
        <f>N549*'Optimal Choice'!$B$4*AA549</f>
        <v>33400</v>
      </c>
      <c r="AI549" s="15">
        <f>O549*'Optimal Choice'!$B$9*AB549</f>
        <v>44500</v>
      </c>
      <c r="AJ549" s="15">
        <f>P549*'Optimal Choice'!$B$14*AC549</f>
        <v>198000</v>
      </c>
      <c r="AK549" s="15">
        <f>Q549*'Optimal Choice'!$B$19*AD549</f>
        <v>765000</v>
      </c>
      <c r="AL549" s="15">
        <f>R549*'Optimal Choice'!$B$24*AE549</f>
        <v>4644000</v>
      </c>
      <c r="AO549" s="12">
        <f t="shared" ref="AO549:AS549" si="1643">if(isna(VLOOKUP(N549+1,$D$2:$E$10,2,false)),AO548, VLOOKUP(N549+1,$D$2:$E$10,2,false))</f>
        <v>100</v>
      </c>
      <c r="AP549" s="12">
        <f t="shared" si="1643"/>
        <v>25</v>
      </c>
      <c r="AQ549" s="12">
        <f t="shared" si="1643"/>
        <v>25</v>
      </c>
      <c r="AR549" s="12">
        <f t="shared" si="1643"/>
        <v>25</v>
      </c>
      <c r="AS549" s="12">
        <f t="shared" si="1643"/>
        <v>25</v>
      </c>
      <c r="AU549" s="11">
        <f t="shared" si="8"/>
        <v>0.008855753308</v>
      </c>
    </row>
    <row r="550" ht="15.75" customHeight="1">
      <c r="A550" s="16">
        <f t="shared" si="4"/>
        <v>79.61497485</v>
      </c>
      <c r="B550" s="7">
        <f>(sum(AH550:AL550))*'Optimal Choice'!$B$28</f>
        <v>5685067</v>
      </c>
      <c r="C550" s="11"/>
      <c r="D550" s="12"/>
      <c r="E550" s="12"/>
      <c r="F550" s="11"/>
      <c r="G550" s="11">
        <f>(T550/$B550)+(T550/('Optimal Choice'!$B$4*AO550))</f>
        <v>20648.06553</v>
      </c>
      <c r="H550" s="11">
        <f>(U550/$B550)+(U550/('Optimal Choice'!$B$9*AP550))</f>
        <v>34835.74255</v>
      </c>
      <c r="I550" s="11">
        <f>(V550/$B550)+(V550/('Optimal Choice'!$B$14*AQ550))</f>
        <v>37141.00025</v>
      </c>
      <c r="J550" s="11">
        <f>(W550/$B550)+(W550/('Optimal Choice'!$B$19*AR550))</f>
        <v>35294.28256</v>
      </c>
      <c r="K550" s="11">
        <f>(X550/$B550)+(X550/('Optimal Choice'!$B$24*AS550))</f>
        <v>37100.08534</v>
      </c>
      <c r="N550" s="12">
        <f t="shared" ref="N550:R550" si="1644">if(min($G549:$K549)=G549,N549+1,N549)</f>
        <v>201</v>
      </c>
      <c r="O550" s="12">
        <f t="shared" si="1644"/>
        <v>89</v>
      </c>
      <c r="P550" s="12">
        <f t="shared" si="1644"/>
        <v>88</v>
      </c>
      <c r="Q550" s="12">
        <f t="shared" si="1644"/>
        <v>85</v>
      </c>
      <c r="R550" s="12">
        <f t="shared" si="1644"/>
        <v>86</v>
      </c>
      <c r="T550" s="13">
        <f> 'Optimal Choice'!$B$5*'Optimal Choice'!$B$6^(N550+1)</f>
        <v>3448125.655</v>
      </c>
      <c r="U550" s="13">
        <f> 'Optimal Choice'!$B$10*'Optimal Choice'!$B$11^(O550+1)</f>
        <v>17416339.51</v>
      </c>
      <c r="V550" s="13">
        <f> 'Optimal Choice'!$B$15*'Optimal Choice'!$B$16^(P550+1)</f>
        <v>83534189.92</v>
      </c>
      <c r="W550" s="13">
        <f> 'Optimal Choice'!$B$20*'Optimal Choice'!$B$21^(Q550+1)</f>
        <v>317146470.2</v>
      </c>
      <c r="X550" s="13">
        <f> 'Optimal Choice'!$B$25*'Optimal Choice'!$B$26^(R550+1)</f>
        <v>1984554184</v>
      </c>
      <c r="AA550" s="12">
        <f t="shared" ref="AA550:AE550" si="1645">if(isna(VLOOKUP(N550,$D$2:$E$10,2,false)),AA549, VLOOKUP(N550,$D$2:$E$10,2,false))</f>
        <v>100</v>
      </c>
      <c r="AB550" s="12">
        <f t="shared" si="1645"/>
        <v>25</v>
      </c>
      <c r="AC550" s="12">
        <f t="shared" si="1645"/>
        <v>25</v>
      </c>
      <c r="AD550" s="12">
        <f t="shared" si="1645"/>
        <v>25</v>
      </c>
      <c r="AE550" s="12">
        <f t="shared" si="1645"/>
        <v>25</v>
      </c>
      <c r="AH550" s="15">
        <f>N550*'Optimal Choice'!$B$4*AA550</f>
        <v>33567</v>
      </c>
      <c r="AI550" s="15">
        <f>O550*'Optimal Choice'!$B$9*AB550</f>
        <v>44500</v>
      </c>
      <c r="AJ550" s="15">
        <f>P550*'Optimal Choice'!$B$14*AC550</f>
        <v>198000</v>
      </c>
      <c r="AK550" s="15">
        <f>Q550*'Optimal Choice'!$B$19*AD550</f>
        <v>765000</v>
      </c>
      <c r="AL550" s="15">
        <f>R550*'Optimal Choice'!$B$24*AE550</f>
        <v>4644000</v>
      </c>
      <c r="AO550" s="12">
        <f t="shared" ref="AO550:AS550" si="1646">if(isna(VLOOKUP(N550+1,$D$2:$E$10,2,false)),AO549, VLOOKUP(N550+1,$D$2:$E$10,2,false))</f>
        <v>100</v>
      </c>
      <c r="AP550" s="12">
        <f t="shared" si="1646"/>
        <v>25</v>
      </c>
      <c r="AQ550" s="12">
        <f t="shared" si="1646"/>
        <v>25</v>
      </c>
      <c r="AR550" s="12">
        <f t="shared" si="1646"/>
        <v>25</v>
      </c>
      <c r="AS550" s="12">
        <f t="shared" si="1646"/>
        <v>25</v>
      </c>
      <c r="AU550" s="11">
        <f t="shared" si="8"/>
        <v>0.00944768111</v>
      </c>
    </row>
    <row r="551" ht="15.75" customHeight="1">
      <c r="A551" s="16">
        <f t="shared" si="4"/>
        <v>79.62508358</v>
      </c>
      <c r="B551" s="7">
        <f>(sum(AH551:AL551))*'Optimal Choice'!$B$28</f>
        <v>5685234</v>
      </c>
      <c r="C551" s="11"/>
      <c r="D551" s="12"/>
      <c r="E551" s="12"/>
      <c r="F551" s="11"/>
      <c r="G551" s="11">
        <f>(T551/$B551)+(T551/('Optimal Choice'!$B$4*AO551))</f>
        <v>22093.4301</v>
      </c>
      <c r="H551" s="11">
        <f>(U551/$B551)+(U551/('Optimal Choice'!$B$9*AP551))</f>
        <v>34835.74246</v>
      </c>
      <c r="I551" s="11">
        <f>(V551/$B551)+(V551/('Optimal Choice'!$B$14*AQ551))</f>
        <v>37140.99982</v>
      </c>
      <c r="J551" s="11">
        <f>(W551/$B551)+(W551/('Optimal Choice'!$B$19*AR551))</f>
        <v>35294.28093</v>
      </c>
      <c r="K551" s="11">
        <f>(X551/$B551)+(X551/('Optimal Choice'!$B$24*AS551))</f>
        <v>37100.07508</v>
      </c>
      <c r="N551" s="12">
        <f t="shared" ref="N551:R551" si="1647">if(min($G550:$K550)=G550,N550+1,N550)</f>
        <v>202</v>
      </c>
      <c r="O551" s="12">
        <f t="shared" si="1647"/>
        <v>89</v>
      </c>
      <c r="P551" s="12">
        <f t="shared" si="1647"/>
        <v>88</v>
      </c>
      <c r="Q551" s="12">
        <f t="shared" si="1647"/>
        <v>85</v>
      </c>
      <c r="R551" s="12">
        <f t="shared" si="1647"/>
        <v>86</v>
      </c>
      <c r="T551" s="13">
        <f> 'Optimal Choice'!$B$5*'Optimal Choice'!$B$6^(N551+1)</f>
        <v>3689494.45</v>
      </c>
      <c r="U551" s="13">
        <f> 'Optimal Choice'!$B$10*'Optimal Choice'!$B$11^(O551+1)</f>
        <v>17416339.51</v>
      </c>
      <c r="V551" s="13">
        <f> 'Optimal Choice'!$B$15*'Optimal Choice'!$B$16^(P551+1)</f>
        <v>83534189.92</v>
      </c>
      <c r="W551" s="13">
        <f> 'Optimal Choice'!$B$20*'Optimal Choice'!$B$21^(Q551+1)</f>
        <v>317146470.2</v>
      </c>
      <c r="X551" s="13">
        <f> 'Optimal Choice'!$B$25*'Optimal Choice'!$B$26^(R551+1)</f>
        <v>1984554184</v>
      </c>
      <c r="AA551" s="12">
        <f t="shared" ref="AA551:AE551" si="1648">if(isna(VLOOKUP(N551,$D$2:$E$10,2,false)),AA550, VLOOKUP(N551,$D$2:$E$10,2,false))</f>
        <v>100</v>
      </c>
      <c r="AB551" s="12">
        <f t="shared" si="1648"/>
        <v>25</v>
      </c>
      <c r="AC551" s="12">
        <f t="shared" si="1648"/>
        <v>25</v>
      </c>
      <c r="AD551" s="12">
        <f t="shared" si="1648"/>
        <v>25</v>
      </c>
      <c r="AE551" s="12">
        <f t="shared" si="1648"/>
        <v>25</v>
      </c>
      <c r="AH551" s="15">
        <f>N551*'Optimal Choice'!$B$4*AA551</f>
        <v>33734</v>
      </c>
      <c r="AI551" s="15">
        <f>O551*'Optimal Choice'!$B$9*AB551</f>
        <v>44500</v>
      </c>
      <c r="AJ551" s="15">
        <f>P551*'Optimal Choice'!$B$14*AC551</f>
        <v>198000</v>
      </c>
      <c r="AK551" s="15">
        <f>Q551*'Optimal Choice'!$B$19*AD551</f>
        <v>765000</v>
      </c>
      <c r="AL551" s="15">
        <f>R551*'Optimal Choice'!$B$24*AE551</f>
        <v>4644000</v>
      </c>
      <c r="AO551" s="12">
        <f t="shared" ref="AO551:AS551" si="1649">if(isna(VLOOKUP(N551+1,$D$2:$E$10,2,false)),AO550, VLOOKUP(N551+1,$D$2:$E$10,2,false))</f>
        <v>100</v>
      </c>
      <c r="AP551" s="12">
        <f t="shared" si="1649"/>
        <v>25</v>
      </c>
      <c r="AQ551" s="12">
        <f t="shared" si="1649"/>
        <v>25</v>
      </c>
      <c r="AR551" s="12">
        <f t="shared" si="1649"/>
        <v>25</v>
      </c>
      <c r="AS551" s="12">
        <f t="shared" si="1649"/>
        <v>25</v>
      </c>
      <c r="AU551" s="11">
        <f t="shared" si="8"/>
        <v>0.01010872183</v>
      </c>
    </row>
    <row r="552" ht="15.75" customHeight="1">
      <c r="A552" s="16">
        <f t="shared" si="4"/>
        <v>79.63589959</v>
      </c>
      <c r="B552" s="7">
        <f>(sum(AH552:AL552))*'Optimal Choice'!$B$28</f>
        <v>5685401</v>
      </c>
      <c r="C552" s="11"/>
      <c r="D552" s="12"/>
      <c r="E552" s="12"/>
      <c r="F552" s="11"/>
      <c r="G552" s="11">
        <f>(T552/$B552)+(T552/('Optimal Choice'!$B$4*AO552))</f>
        <v>23639.97019</v>
      </c>
      <c r="H552" s="11">
        <f>(U552/$B552)+(U552/('Optimal Choice'!$B$9*AP552))</f>
        <v>34835.74237</v>
      </c>
      <c r="I552" s="11">
        <f>(V552/$B552)+(V552/('Optimal Choice'!$B$14*AQ552))</f>
        <v>37140.99939</v>
      </c>
      <c r="J552" s="11">
        <f>(W552/$B552)+(W552/('Optimal Choice'!$B$19*AR552))</f>
        <v>35294.27929</v>
      </c>
      <c r="K552" s="11">
        <f>(X552/$B552)+(X552/('Optimal Choice'!$B$24*AS552))</f>
        <v>37100.06483</v>
      </c>
      <c r="N552" s="12">
        <f t="shared" ref="N552:R552" si="1650">if(min($G551:$K551)=G551,N551+1,N551)</f>
        <v>203</v>
      </c>
      <c r="O552" s="12">
        <f t="shared" si="1650"/>
        <v>89</v>
      </c>
      <c r="P552" s="12">
        <f t="shared" si="1650"/>
        <v>88</v>
      </c>
      <c r="Q552" s="12">
        <f t="shared" si="1650"/>
        <v>85</v>
      </c>
      <c r="R552" s="12">
        <f t="shared" si="1650"/>
        <v>86</v>
      </c>
      <c r="T552" s="13">
        <f> 'Optimal Choice'!$B$5*'Optimal Choice'!$B$6^(N552+1)</f>
        <v>3947759.062</v>
      </c>
      <c r="U552" s="13">
        <f> 'Optimal Choice'!$B$10*'Optimal Choice'!$B$11^(O552+1)</f>
        <v>17416339.51</v>
      </c>
      <c r="V552" s="13">
        <f> 'Optimal Choice'!$B$15*'Optimal Choice'!$B$16^(P552+1)</f>
        <v>83534189.92</v>
      </c>
      <c r="W552" s="13">
        <f> 'Optimal Choice'!$B$20*'Optimal Choice'!$B$21^(Q552+1)</f>
        <v>317146470.2</v>
      </c>
      <c r="X552" s="13">
        <f> 'Optimal Choice'!$B$25*'Optimal Choice'!$B$26^(R552+1)</f>
        <v>1984554184</v>
      </c>
      <c r="AA552" s="12">
        <f t="shared" ref="AA552:AE552" si="1651">if(isna(VLOOKUP(N552,$D$2:$E$10,2,false)),AA551, VLOOKUP(N552,$D$2:$E$10,2,false))</f>
        <v>100</v>
      </c>
      <c r="AB552" s="12">
        <f t="shared" si="1651"/>
        <v>25</v>
      </c>
      <c r="AC552" s="12">
        <f t="shared" si="1651"/>
        <v>25</v>
      </c>
      <c r="AD552" s="12">
        <f t="shared" si="1651"/>
        <v>25</v>
      </c>
      <c r="AE552" s="12">
        <f t="shared" si="1651"/>
        <v>25</v>
      </c>
      <c r="AH552" s="15">
        <f>N552*'Optimal Choice'!$B$4*AA552</f>
        <v>33901</v>
      </c>
      <c r="AI552" s="15">
        <f>O552*'Optimal Choice'!$B$9*AB552</f>
        <v>44500</v>
      </c>
      <c r="AJ552" s="15">
        <f>P552*'Optimal Choice'!$B$14*AC552</f>
        <v>198000</v>
      </c>
      <c r="AK552" s="15">
        <f>Q552*'Optimal Choice'!$B$19*AD552</f>
        <v>765000</v>
      </c>
      <c r="AL552" s="15">
        <f>R552*'Optimal Choice'!$B$24*AE552</f>
        <v>4644000</v>
      </c>
      <c r="AO552" s="12">
        <f t="shared" ref="AO552:AS552" si="1652">if(isna(VLOOKUP(N552+1,$D$2:$E$10,2,false)),AO551, VLOOKUP(N552+1,$D$2:$E$10,2,false))</f>
        <v>100</v>
      </c>
      <c r="AP552" s="12">
        <f t="shared" si="1652"/>
        <v>25</v>
      </c>
      <c r="AQ552" s="12">
        <f t="shared" si="1652"/>
        <v>25</v>
      </c>
      <c r="AR552" s="12">
        <f t="shared" si="1652"/>
        <v>25</v>
      </c>
      <c r="AS552" s="12">
        <f t="shared" si="1652"/>
        <v>25</v>
      </c>
      <c r="AU552" s="11">
        <f t="shared" si="8"/>
        <v>0.01081601464</v>
      </c>
    </row>
    <row r="553" ht="15.75" customHeight="1">
      <c r="A553" s="16">
        <f t="shared" si="4"/>
        <v>79.64747239</v>
      </c>
      <c r="B553" s="7">
        <f>(sum(AH553:AL553))*'Optimal Choice'!$B$28</f>
        <v>5685568</v>
      </c>
      <c r="C553" s="11"/>
      <c r="D553" s="12"/>
      <c r="E553" s="12"/>
      <c r="F553" s="11"/>
      <c r="G553" s="11">
        <f>(T553/$B553)+(T553/('Optimal Choice'!$B$4*AO553))</f>
        <v>25294.76808</v>
      </c>
      <c r="H553" s="11">
        <f>(U553/$B553)+(U553/('Optimal Choice'!$B$9*AP553))</f>
        <v>34835.74228</v>
      </c>
      <c r="I553" s="11">
        <f>(V553/$B553)+(V553/('Optimal Choice'!$B$14*AQ553))</f>
        <v>37140.99895</v>
      </c>
      <c r="J553" s="11">
        <f>(W553/$B553)+(W553/('Optimal Choice'!$B$19*AR553))</f>
        <v>35294.27765</v>
      </c>
      <c r="K553" s="11">
        <f>(X553/$B553)+(X553/('Optimal Choice'!$B$24*AS553))</f>
        <v>37100.05458</v>
      </c>
      <c r="N553" s="12">
        <f t="shared" ref="N553:R553" si="1653">if(min($G552:$K552)=G552,N552+1,N552)</f>
        <v>204</v>
      </c>
      <c r="O553" s="12">
        <f t="shared" si="1653"/>
        <v>89</v>
      </c>
      <c r="P553" s="12">
        <f t="shared" si="1653"/>
        <v>88</v>
      </c>
      <c r="Q553" s="12">
        <f t="shared" si="1653"/>
        <v>85</v>
      </c>
      <c r="R553" s="12">
        <f t="shared" si="1653"/>
        <v>86</v>
      </c>
      <c r="T553" s="13">
        <f> 'Optimal Choice'!$B$5*'Optimal Choice'!$B$6^(N553+1)</f>
        <v>4224102.196</v>
      </c>
      <c r="U553" s="13">
        <f> 'Optimal Choice'!$B$10*'Optimal Choice'!$B$11^(O553+1)</f>
        <v>17416339.51</v>
      </c>
      <c r="V553" s="13">
        <f> 'Optimal Choice'!$B$15*'Optimal Choice'!$B$16^(P553+1)</f>
        <v>83534189.92</v>
      </c>
      <c r="W553" s="13">
        <f> 'Optimal Choice'!$B$20*'Optimal Choice'!$B$21^(Q553+1)</f>
        <v>317146470.2</v>
      </c>
      <c r="X553" s="13">
        <f> 'Optimal Choice'!$B$25*'Optimal Choice'!$B$26^(R553+1)</f>
        <v>1984554184</v>
      </c>
      <c r="AA553" s="12">
        <f t="shared" ref="AA553:AE553" si="1654">if(isna(VLOOKUP(N553,$D$2:$E$10,2,false)),AA552, VLOOKUP(N553,$D$2:$E$10,2,false))</f>
        <v>100</v>
      </c>
      <c r="AB553" s="12">
        <f t="shared" si="1654"/>
        <v>25</v>
      </c>
      <c r="AC553" s="12">
        <f t="shared" si="1654"/>
        <v>25</v>
      </c>
      <c r="AD553" s="12">
        <f t="shared" si="1654"/>
        <v>25</v>
      </c>
      <c r="AE553" s="12">
        <f t="shared" si="1654"/>
        <v>25</v>
      </c>
      <c r="AH553" s="15">
        <f>N553*'Optimal Choice'!$B$4*AA553</f>
        <v>34068</v>
      </c>
      <c r="AI553" s="15">
        <f>O553*'Optimal Choice'!$B$9*AB553</f>
        <v>44500</v>
      </c>
      <c r="AJ553" s="15">
        <f>P553*'Optimal Choice'!$B$14*AC553</f>
        <v>198000</v>
      </c>
      <c r="AK553" s="15">
        <f>Q553*'Optimal Choice'!$B$19*AD553</f>
        <v>765000</v>
      </c>
      <c r="AL553" s="15">
        <f>R553*'Optimal Choice'!$B$24*AE553</f>
        <v>4644000</v>
      </c>
      <c r="AO553" s="12">
        <f t="shared" ref="AO553:AS553" si="1655">if(isna(VLOOKUP(N553+1,$D$2:$E$10,2,false)),AO552, VLOOKUP(N553+1,$D$2:$E$10,2,false))</f>
        <v>100</v>
      </c>
      <c r="AP553" s="12">
        <f t="shared" si="1655"/>
        <v>25</v>
      </c>
      <c r="AQ553" s="12">
        <f t="shared" si="1655"/>
        <v>25</v>
      </c>
      <c r="AR553" s="12">
        <f t="shared" si="1655"/>
        <v>25</v>
      </c>
      <c r="AS553" s="12">
        <f t="shared" si="1655"/>
        <v>25</v>
      </c>
      <c r="AU553" s="11">
        <f t="shared" si="8"/>
        <v>0.01157279572</v>
      </c>
    </row>
    <row r="554" ht="15.75" customHeight="1">
      <c r="A554" s="16">
        <f t="shared" si="4"/>
        <v>79.65985491</v>
      </c>
      <c r="B554" s="7">
        <f>(sum(AH554:AL554))*'Optimal Choice'!$B$28</f>
        <v>5685735</v>
      </c>
      <c r="C554" s="11"/>
      <c r="D554" s="12"/>
      <c r="E554" s="12"/>
      <c r="F554" s="11"/>
      <c r="G554" s="11">
        <f>(T554/$B554)+(T554/('Optimal Choice'!$B$4*AO554))</f>
        <v>27065.40182</v>
      </c>
      <c r="H554" s="11">
        <f>(U554/$B554)+(U554/('Optimal Choice'!$B$9*AP554))</f>
        <v>34835.74219</v>
      </c>
      <c r="I554" s="11">
        <f>(V554/$B554)+(V554/('Optimal Choice'!$B$14*AQ554))</f>
        <v>37140.99852</v>
      </c>
      <c r="J554" s="11">
        <f>(W554/$B554)+(W554/('Optimal Choice'!$B$19*AR554))</f>
        <v>35294.27601</v>
      </c>
      <c r="K554" s="11">
        <f>(X554/$B554)+(X554/('Optimal Choice'!$B$24*AS554))</f>
        <v>37100.04432</v>
      </c>
      <c r="N554" s="12">
        <f t="shared" ref="N554:R554" si="1656">if(min($G553:$K553)=G553,N553+1,N553)</f>
        <v>205</v>
      </c>
      <c r="O554" s="12">
        <f t="shared" si="1656"/>
        <v>89</v>
      </c>
      <c r="P554" s="12">
        <f t="shared" si="1656"/>
        <v>88</v>
      </c>
      <c r="Q554" s="12">
        <f t="shared" si="1656"/>
        <v>85</v>
      </c>
      <c r="R554" s="12">
        <f t="shared" si="1656"/>
        <v>86</v>
      </c>
      <c r="T554" s="13">
        <f> 'Optimal Choice'!$B$5*'Optimal Choice'!$B$6^(N554+1)</f>
        <v>4519789.35</v>
      </c>
      <c r="U554" s="13">
        <f> 'Optimal Choice'!$B$10*'Optimal Choice'!$B$11^(O554+1)</f>
        <v>17416339.51</v>
      </c>
      <c r="V554" s="13">
        <f> 'Optimal Choice'!$B$15*'Optimal Choice'!$B$16^(P554+1)</f>
        <v>83534189.92</v>
      </c>
      <c r="W554" s="13">
        <f> 'Optimal Choice'!$B$20*'Optimal Choice'!$B$21^(Q554+1)</f>
        <v>317146470.2</v>
      </c>
      <c r="X554" s="13">
        <f> 'Optimal Choice'!$B$25*'Optimal Choice'!$B$26^(R554+1)</f>
        <v>1984554184</v>
      </c>
      <c r="AA554" s="12">
        <f t="shared" ref="AA554:AE554" si="1657">if(isna(VLOOKUP(N554,$D$2:$E$10,2,false)),AA553, VLOOKUP(N554,$D$2:$E$10,2,false))</f>
        <v>100</v>
      </c>
      <c r="AB554" s="12">
        <f t="shared" si="1657"/>
        <v>25</v>
      </c>
      <c r="AC554" s="12">
        <f t="shared" si="1657"/>
        <v>25</v>
      </c>
      <c r="AD554" s="12">
        <f t="shared" si="1657"/>
        <v>25</v>
      </c>
      <c r="AE554" s="12">
        <f t="shared" si="1657"/>
        <v>25</v>
      </c>
      <c r="AH554" s="15">
        <f>N554*'Optimal Choice'!$B$4*AA554</f>
        <v>34235</v>
      </c>
      <c r="AI554" s="15">
        <f>O554*'Optimal Choice'!$B$9*AB554</f>
        <v>44500</v>
      </c>
      <c r="AJ554" s="15">
        <f>P554*'Optimal Choice'!$B$14*AC554</f>
        <v>198000</v>
      </c>
      <c r="AK554" s="15">
        <f>Q554*'Optimal Choice'!$B$19*AD554</f>
        <v>765000</v>
      </c>
      <c r="AL554" s="15">
        <f>R554*'Optimal Choice'!$B$24*AE554</f>
        <v>4644000</v>
      </c>
      <c r="AO554" s="12">
        <f t="shared" ref="AO554:AS554" si="1658">if(isna(VLOOKUP(N554+1,$D$2:$E$10,2,false)),AO553, VLOOKUP(N554+1,$D$2:$E$10,2,false))</f>
        <v>100</v>
      </c>
      <c r="AP554" s="12">
        <f t="shared" si="1658"/>
        <v>25</v>
      </c>
      <c r="AQ554" s="12">
        <f t="shared" si="1658"/>
        <v>25</v>
      </c>
      <c r="AR554" s="12">
        <f t="shared" si="1658"/>
        <v>25</v>
      </c>
      <c r="AS554" s="12">
        <f t="shared" si="1658"/>
        <v>25</v>
      </c>
      <c r="AU554" s="11">
        <f t="shared" si="8"/>
        <v>0.0123825277</v>
      </c>
    </row>
    <row r="555" ht="15.75" customHeight="1">
      <c r="A555" s="16">
        <f t="shared" si="4"/>
        <v>79.67310383</v>
      </c>
      <c r="B555" s="7">
        <f>(sum(AH555:AL555))*'Optimal Choice'!$B$28</f>
        <v>5685902</v>
      </c>
      <c r="C555" s="11"/>
      <c r="D555" s="12"/>
      <c r="E555" s="12"/>
      <c r="F555" s="11"/>
      <c r="G555" s="11">
        <f>(T555/$B555)+(T555/('Optimal Choice'!$B$4*AO555))</f>
        <v>28959.97992</v>
      </c>
      <c r="H555" s="11">
        <f>(U555/$B555)+(U555/('Optimal Choice'!$B$9*AP555))</f>
        <v>34835.7421</v>
      </c>
      <c r="I555" s="11">
        <f>(V555/$B555)+(V555/('Optimal Choice'!$B$14*AQ555))</f>
        <v>37140.99809</v>
      </c>
      <c r="J555" s="11">
        <f>(W555/$B555)+(W555/('Optimal Choice'!$B$19*AR555))</f>
        <v>35294.27437</v>
      </c>
      <c r="K555" s="11">
        <f>(X555/$B555)+(X555/('Optimal Choice'!$B$24*AS555))</f>
        <v>37100.03407</v>
      </c>
      <c r="N555" s="12">
        <f t="shared" ref="N555:R555" si="1659">if(min($G554:$K554)=G554,N554+1,N554)</f>
        <v>206</v>
      </c>
      <c r="O555" s="12">
        <f t="shared" si="1659"/>
        <v>89</v>
      </c>
      <c r="P555" s="12">
        <f t="shared" si="1659"/>
        <v>88</v>
      </c>
      <c r="Q555" s="12">
        <f t="shared" si="1659"/>
        <v>85</v>
      </c>
      <c r="R555" s="12">
        <f t="shared" si="1659"/>
        <v>86</v>
      </c>
      <c r="T555" s="13">
        <f> 'Optimal Choice'!$B$5*'Optimal Choice'!$B$6^(N555+1)</f>
        <v>4836174.604</v>
      </c>
      <c r="U555" s="13">
        <f> 'Optimal Choice'!$B$10*'Optimal Choice'!$B$11^(O555+1)</f>
        <v>17416339.51</v>
      </c>
      <c r="V555" s="13">
        <f> 'Optimal Choice'!$B$15*'Optimal Choice'!$B$16^(P555+1)</f>
        <v>83534189.92</v>
      </c>
      <c r="W555" s="13">
        <f> 'Optimal Choice'!$B$20*'Optimal Choice'!$B$21^(Q555+1)</f>
        <v>317146470.2</v>
      </c>
      <c r="X555" s="13">
        <f> 'Optimal Choice'!$B$25*'Optimal Choice'!$B$26^(R555+1)</f>
        <v>1984554184</v>
      </c>
      <c r="AA555" s="12">
        <f t="shared" ref="AA555:AE555" si="1660">if(isna(VLOOKUP(N555,$D$2:$E$10,2,false)),AA554, VLOOKUP(N555,$D$2:$E$10,2,false))</f>
        <v>100</v>
      </c>
      <c r="AB555" s="12">
        <f t="shared" si="1660"/>
        <v>25</v>
      </c>
      <c r="AC555" s="12">
        <f t="shared" si="1660"/>
        <v>25</v>
      </c>
      <c r="AD555" s="12">
        <f t="shared" si="1660"/>
        <v>25</v>
      </c>
      <c r="AE555" s="12">
        <f t="shared" si="1660"/>
        <v>25</v>
      </c>
      <c r="AH555" s="15">
        <f>N555*'Optimal Choice'!$B$4*AA555</f>
        <v>34402</v>
      </c>
      <c r="AI555" s="15">
        <f>O555*'Optimal Choice'!$B$9*AB555</f>
        <v>44500</v>
      </c>
      <c r="AJ555" s="15">
        <f>P555*'Optimal Choice'!$B$14*AC555</f>
        <v>198000</v>
      </c>
      <c r="AK555" s="15">
        <f>Q555*'Optimal Choice'!$B$19*AD555</f>
        <v>765000</v>
      </c>
      <c r="AL555" s="15">
        <f>R555*'Optimal Choice'!$B$24*AE555</f>
        <v>4644000</v>
      </c>
      <c r="AO555" s="12">
        <f t="shared" ref="AO555:AS555" si="1661">if(isna(VLOOKUP(N555+1,$D$2:$E$10,2,false)),AO554, VLOOKUP(N555+1,$D$2:$E$10,2,false))</f>
        <v>100</v>
      </c>
      <c r="AP555" s="12">
        <f t="shared" si="1661"/>
        <v>25</v>
      </c>
      <c r="AQ555" s="12">
        <f t="shared" si="1661"/>
        <v>25</v>
      </c>
      <c r="AR555" s="12">
        <f t="shared" si="1661"/>
        <v>25</v>
      </c>
      <c r="AS555" s="12">
        <f t="shared" si="1661"/>
        <v>25</v>
      </c>
      <c r="AU555" s="11">
        <f t="shared" si="8"/>
        <v>0.01324891549</v>
      </c>
    </row>
    <row r="556" ht="15.75" customHeight="1">
      <c r="A556" s="16">
        <f t="shared" si="4"/>
        <v>79.68727975</v>
      </c>
      <c r="B556" s="7">
        <f>(sum(AH556:AL556))*'Optimal Choice'!$B$28</f>
        <v>5686069</v>
      </c>
      <c r="C556" s="11"/>
      <c r="D556" s="12"/>
      <c r="E556" s="12"/>
      <c r="F556" s="11"/>
      <c r="G556" s="11">
        <f>(T556/$B556)+(T556/('Optimal Choice'!$B$4*AO556))</f>
        <v>30987.17849</v>
      </c>
      <c r="H556" s="11">
        <f>(U556/$B556)+(U556/('Optimal Choice'!$B$9*AP556))</f>
        <v>34835.74201</v>
      </c>
      <c r="I556" s="11">
        <f>(V556/$B556)+(V556/('Optimal Choice'!$B$14*AQ556))</f>
        <v>37140.99766</v>
      </c>
      <c r="J556" s="11">
        <f>(W556/$B556)+(W556/('Optimal Choice'!$B$19*AR556))</f>
        <v>35294.27273</v>
      </c>
      <c r="K556" s="11">
        <f>(X556/$B556)+(X556/('Optimal Choice'!$B$24*AS556))</f>
        <v>37100.02382</v>
      </c>
      <c r="N556" s="12">
        <f t="shared" ref="N556:R556" si="1662">if(min($G555:$K555)=G555,N555+1,N555)</f>
        <v>207</v>
      </c>
      <c r="O556" s="12">
        <f t="shared" si="1662"/>
        <v>89</v>
      </c>
      <c r="P556" s="12">
        <f t="shared" si="1662"/>
        <v>88</v>
      </c>
      <c r="Q556" s="12">
        <f t="shared" si="1662"/>
        <v>85</v>
      </c>
      <c r="R556" s="12">
        <f t="shared" si="1662"/>
        <v>86</v>
      </c>
      <c r="T556" s="13">
        <f> 'Optimal Choice'!$B$5*'Optimal Choice'!$B$6^(N556+1)</f>
        <v>5174706.827</v>
      </c>
      <c r="U556" s="13">
        <f> 'Optimal Choice'!$B$10*'Optimal Choice'!$B$11^(O556+1)</f>
        <v>17416339.51</v>
      </c>
      <c r="V556" s="13">
        <f> 'Optimal Choice'!$B$15*'Optimal Choice'!$B$16^(P556+1)</f>
        <v>83534189.92</v>
      </c>
      <c r="W556" s="13">
        <f> 'Optimal Choice'!$B$20*'Optimal Choice'!$B$21^(Q556+1)</f>
        <v>317146470.2</v>
      </c>
      <c r="X556" s="13">
        <f> 'Optimal Choice'!$B$25*'Optimal Choice'!$B$26^(R556+1)</f>
        <v>1984554184</v>
      </c>
      <c r="AA556" s="12">
        <f t="shared" ref="AA556:AE556" si="1663">if(isna(VLOOKUP(N556,$D$2:$E$10,2,false)),AA555, VLOOKUP(N556,$D$2:$E$10,2,false))</f>
        <v>100</v>
      </c>
      <c r="AB556" s="12">
        <f t="shared" si="1663"/>
        <v>25</v>
      </c>
      <c r="AC556" s="12">
        <f t="shared" si="1663"/>
        <v>25</v>
      </c>
      <c r="AD556" s="12">
        <f t="shared" si="1663"/>
        <v>25</v>
      </c>
      <c r="AE556" s="12">
        <f t="shared" si="1663"/>
        <v>25</v>
      </c>
      <c r="AH556" s="15">
        <f>N556*'Optimal Choice'!$B$4*AA556</f>
        <v>34569</v>
      </c>
      <c r="AI556" s="15">
        <f>O556*'Optimal Choice'!$B$9*AB556</f>
        <v>44500</v>
      </c>
      <c r="AJ556" s="15">
        <f>P556*'Optimal Choice'!$B$14*AC556</f>
        <v>198000</v>
      </c>
      <c r="AK556" s="15">
        <f>Q556*'Optimal Choice'!$B$19*AD556</f>
        <v>765000</v>
      </c>
      <c r="AL556" s="15">
        <f>R556*'Optimal Choice'!$B$24*AE556</f>
        <v>4644000</v>
      </c>
      <c r="AO556" s="12">
        <f t="shared" ref="AO556:AS556" si="1664">if(isna(VLOOKUP(N556+1,$D$2:$E$10,2,false)),AO555, VLOOKUP(N556+1,$D$2:$E$10,2,false))</f>
        <v>100</v>
      </c>
      <c r="AP556" s="12">
        <f t="shared" si="1664"/>
        <v>25</v>
      </c>
      <c r="AQ556" s="12">
        <f t="shared" si="1664"/>
        <v>25</v>
      </c>
      <c r="AR556" s="12">
        <f t="shared" si="1664"/>
        <v>25</v>
      </c>
      <c r="AS556" s="12">
        <f t="shared" si="1664"/>
        <v>25</v>
      </c>
      <c r="AU556" s="11">
        <f t="shared" si="8"/>
        <v>0.0141759232</v>
      </c>
    </row>
    <row r="557" ht="15.75" customHeight="1">
      <c r="A557" s="16">
        <f t="shared" si="4"/>
        <v>79.70244755</v>
      </c>
      <c r="B557" s="7">
        <f>(sum(AH557:AL557))*'Optimal Choice'!$B$28</f>
        <v>5686236</v>
      </c>
      <c r="C557" s="11"/>
      <c r="D557" s="12"/>
      <c r="E557" s="12"/>
      <c r="F557" s="11"/>
      <c r="G557" s="11">
        <f>(T557/$B557)+(T557/('Optimal Choice'!$B$4*AO557))</f>
        <v>33156.28096</v>
      </c>
      <c r="H557" s="11">
        <f>(U557/$B557)+(U557/('Optimal Choice'!$B$9*AP557))</f>
        <v>34835.74192</v>
      </c>
      <c r="I557" s="11">
        <f>(V557/$B557)+(V557/('Optimal Choice'!$B$14*AQ557))</f>
        <v>37140.99723</v>
      </c>
      <c r="J557" s="11">
        <f>(W557/$B557)+(W557/('Optimal Choice'!$B$19*AR557))</f>
        <v>35294.2711</v>
      </c>
      <c r="K557" s="11">
        <f>(X557/$B557)+(X557/('Optimal Choice'!$B$24*AS557))</f>
        <v>37100.01357</v>
      </c>
      <c r="N557" s="12">
        <f t="shared" ref="N557:R557" si="1665">if(min($G556:$K556)=G556,N556+1,N556)</f>
        <v>208</v>
      </c>
      <c r="O557" s="12">
        <f t="shared" si="1665"/>
        <v>89</v>
      </c>
      <c r="P557" s="12">
        <f t="shared" si="1665"/>
        <v>88</v>
      </c>
      <c r="Q557" s="12">
        <f t="shared" si="1665"/>
        <v>85</v>
      </c>
      <c r="R557" s="12">
        <f t="shared" si="1665"/>
        <v>86</v>
      </c>
      <c r="T557" s="13">
        <f> 'Optimal Choice'!$B$5*'Optimal Choice'!$B$6^(N557+1)</f>
        <v>5536936.305</v>
      </c>
      <c r="U557" s="13">
        <f> 'Optimal Choice'!$B$10*'Optimal Choice'!$B$11^(O557+1)</f>
        <v>17416339.51</v>
      </c>
      <c r="V557" s="13">
        <f> 'Optimal Choice'!$B$15*'Optimal Choice'!$B$16^(P557+1)</f>
        <v>83534189.92</v>
      </c>
      <c r="W557" s="13">
        <f> 'Optimal Choice'!$B$20*'Optimal Choice'!$B$21^(Q557+1)</f>
        <v>317146470.2</v>
      </c>
      <c r="X557" s="13">
        <f> 'Optimal Choice'!$B$25*'Optimal Choice'!$B$26^(R557+1)</f>
        <v>1984554184</v>
      </c>
      <c r="AA557" s="12">
        <f t="shared" ref="AA557:AE557" si="1666">if(isna(VLOOKUP(N557,$D$2:$E$10,2,false)),AA556, VLOOKUP(N557,$D$2:$E$10,2,false))</f>
        <v>100</v>
      </c>
      <c r="AB557" s="12">
        <f t="shared" si="1666"/>
        <v>25</v>
      </c>
      <c r="AC557" s="12">
        <f t="shared" si="1666"/>
        <v>25</v>
      </c>
      <c r="AD557" s="12">
        <f t="shared" si="1666"/>
        <v>25</v>
      </c>
      <c r="AE557" s="12">
        <f t="shared" si="1666"/>
        <v>25</v>
      </c>
      <c r="AH557" s="15">
        <f>N557*'Optimal Choice'!$B$4*AA557</f>
        <v>34736</v>
      </c>
      <c r="AI557" s="15">
        <f>O557*'Optimal Choice'!$B$9*AB557</f>
        <v>44500</v>
      </c>
      <c r="AJ557" s="15">
        <f>P557*'Optimal Choice'!$B$14*AC557</f>
        <v>198000</v>
      </c>
      <c r="AK557" s="15">
        <f>Q557*'Optimal Choice'!$B$19*AD557</f>
        <v>765000</v>
      </c>
      <c r="AL557" s="15">
        <f>R557*'Optimal Choice'!$B$24*AE557</f>
        <v>4644000</v>
      </c>
      <c r="AO557" s="12">
        <f t="shared" ref="AO557:AS557" si="1667">if(isna(VLOOKUP(N557+1,$D$2:$E$10,2,false)),AO556, VLOOKUP(N557+1,$D$2:$E$10,2,false))</f>
        <v>100</v>
      </c>
      <c r="AP557" s="12">
        <f t="shared" si="1667"/>
        <v>25</v>
      </c>
      <c r="AQ557" s="12">
        <f t="shared" si="1667"/>
        <v>25</v>
      </c>
      <c r="AR557" s="12">
        <f t="shared" si="1667"/>
        <v>25</v>
      </c>
      <c r="AS557" s="12">
        <f t="shared" si="1667"/>
        <v>25</v>
      </c>
      <c r="AU557" s="11">
        <f t="shared" si="8"/>
        <v>0.01516779233</v>
      </c>
    </row>
    <row r="558" ht="15.75" customHeight="1">
      <c r="A558" s="16">
        <f t="shared" si="4"/>
        <v>79.71867661</v>
      </c>
      <c r="B558" s="7">
        <f>(sum(AH558:AL558))*'Optimal Choice'!$B$28</f>
        <v>5686403</v>
      </c>
      <c r="C558" s="11"/>
      <c r="D558" s="12"/>
      <c r="E558" s="12"/>
      <c r="F558" s="11"/>
      <c r="G558" s="11">
        <f>(T558/$B558)+(T558/('Optimal Choice'!$B$4*AO558))</f>
        <v>35477.22059</v>
      </c>
      <c r="H558" s="11">
        <f>(U558/$B558)+(U558/('Optimal Choice'!$B$9*AP558))</f>
        <v>34835.74183</v>
      </c>
      <c r="I558" s="11">
        <f>(V558/$B558)+(V558/('Optimal Choice'!$B$14*AQ558))</f>
        <v>37140.9968</v>
      </c>
      <c r="J558" s="11">
        <f>(W558/$B558)+(W558/('Optimal Choice'!$B$19*AR558))</f>
        <v>35294.26946</v>
      </c>
      <c r="K558" s="11">
        <f>(X558/$B558)+(X558/('Optimal Choice'!$B$24*AS558))</f>
        <v>37100.00332</v>
      </c>
      <c r="N558" s="12">
        <f t="shared" ref="N558:R558" si="1668">if(min($G557:$K557)=G557,N557+1,N557)</f>
        <v>209</v>
      </c>
      <c r="O558" s="12">
        <f t="shared" si="1668"/>
        <v>89</v>
      </c>
      <c r="P558" s="12">
        <f t="shared" si="1668"/>
        <v>88</v>
      </c>
      <c r="Q558" s="12">
        <f t="shared" si="1668"/>
        <v>85</v>
      </c>
      <c r="R558" s="12">
        <f t="shared" si="1668"/>
        <v>86</v>
      </c>
      <c r="T558" s="13">
        <f> 'Optimal Choice'!$B$5*'Optimal Choice'!$B$6^(N558+1)</f>
        <v>5924521.846</v>
      </c>
      <c r="U558" s="13">
        <f> 'Optimal Choice'!$B$10*'Optimal Choice'!$B$11^(O558+1)</f>
        <v>17416339.51</v>
      </c>
      <c r="V558" s="13">
        <f> 'Optimal Choice'!$B$15*'Optimal Choice'!$B$16^(P558+1)</f>
        <v>83534189.92</v>
      </c>
      <c r="W558" s="13">
        <f> 'Optimal Choice'!$B$20*'Optimal Choice'!$B$21^(Q558+1)</f>
        <v>317146470.2</v>
      </c>
      <c r="X558" s="13">
        <f> 'Optimal Choice'!$B$25*'Optimal Choice'!$B$26^(R558+1)</f>
        <v>1984554184</v>
      </c>
      <c r="AA558" s="12">
        <f t="shared" ref="AA558:AE558" si="1669">if(isna(VLOOKUP(N558,$D$2:$E$10,2,false)),AA557, VLOOKUP(N558,$D$2:$E$10,2,false))</f>
        <v>100</v>
      </c>
      <c r="AB558" s="12">
        <f t="shared" si="1669"/>
        <v>25</v>
      </c>
      <c r="AC558" s="12">
        <f t="shared" si="1669"/>
        <v>25</v>
      </c>
      <c r="AD558" s="12">
        <f t="shared" si="1669"/>
        <v>25</v>
      </c>
      <c r="AE558" s="12">
        <f t="shared" si="1669"/>
        <v>25</v>
      </c>
      <c r="AH558" s="15">
        <f>N558*'Optimal Choice'!$B$4*AA558</f>
        <v>34903</v>
      </c>
      <c r="AI558" s="15">
        <f>O558*'Optimal Choice'!$B$9*AB558</f>
        <v>44500</v>
      </c>
      <c r="AJ558" s="15">
        <f>P558*'Optimal Choice'!$B$14*AC558</f>
        <v>198000</v>
      </c>
      <c r="AK558" s="15">
        <f>Q558*'Optimal Choice'!$B$19*AD558</f>
        <v>765000</v>
      </c>
      <c r="AL558" s="15">
        <f>R558*'Optimal Choice'!$B$24*AE558</f>
        <v>4644000</v>
      </c>
      <c r="AO558" s="12">
        <f t="shared" ref="AO558:AS558" si="1670">if(isna(VLOOKUP(N558+1,$D$2:$E$10,2,false)),AO557, VLOOKUP(N558+1,$D$2:$E$10,2,false))</f>
        <v>100</v>
      </c>
      <c r="AP558" s="12">
        <f t="shared" si="1670"/>
        <v>25</v>
      </c>
      <c r="AQ558" s="12">
        <f t="shared" si="1670"/>
        <v>25</v>
      </c>
      <c r="AR558" s="12">
        <f t="shared" si="1670"/>
        <v>25</v>
      </c>
      <c r="AS558" s="12">
        <f t="shared" si="1670"/>
        <v>25</v>
      </c>
      <c r="AU558" s="11">
        <f t="shared" si="8"/>
        <v>0.01622906115</v>
      </c>
    </row>
    <row r="559" ht="15.75" customHeight="1">
      <c r="A559" s="16">
        <f t="shared" si="4"/>
        <v>79.76972334</v>
      </c>
      <c r="B559" s="7">
        <f>(sum(AH559:AL559))*'Optimal Choice'!$B$28</f>
        <v>5686903</v>
      </c>
      <c r="C559" s="11"/>
      <c r="D559" s="12"/>
      <c r="E559" s="12"/>
      <c r="F559" s="11"/>
      <c r="G559" s="11">
        <f>(T559/$B559)+(T559/('Optimal Choice'!$B$4*AO559))</f>
        <v>35477.2205</v>
      </c>
      <c r="H559" s="11">
        <f>(U559/$B559)+(U559/('Optimal Choice'!$B$9*AP559))</f>
        <v>40061.10279</v>
      </c>
      <c r="I559" s="11">
        <f>(V559/$B559)+(V559/('Optimal Choice'!$B$14*AQ559))</f>
        <v>37140.9955</v>
      </c>
      <c r="J559" s="11">
        <f>(W559/$B559)+(W559/('Optimal Choice'!$B$19*AR559))</f>
        <v>35294.26455</v>
      </c>
      <c r="K559" s="11">
        <f>(X559/$B559)+(X559/('Optimal Choice'!$B$24*AS559))</f>
        <v>37099.97264</v>
      </c>
      <c r="N559" s="12">
        <f t="shared" ref="N559:R559" si="1671">if(min($G558:$K558)=G558,N558+1,N558)</f>
        <v>209</v>
      </c>
      <c r="O559" s="12">
        <f t="shared" si="1671"/>
        <v>90</v>
      </c>
      <c r="P559" s="12">
        <f t="shared" si="1671"/>
        <v>88</v>
      </c>
      <c r="Q559" s="12">
        <f t="shared" si="1671"/>
        <v>85</v>
      </c>
      <c r="R559" s="12">
        <f t="shared" si="1671"/>
        <v>86</v>
      </c>
      <c r="T559" s="13">
        <f> 'Optimal Choice'!$B$5*'Optimal Choice'!$B$6^(N559+1)</f>
        <v>5924521.846</v>
      </c>
      <c r="U559" s="13">
        <f> 'Optimal Choice'!$B$10*'Optimal Choice'!$B$11^(O559+1)</f>
        <v>20028790.44</v>
      </c>
      <c r="V559" s="13">
        <f> 'Optimal Choice'!$B$15*'Optimal Choice'!$B$16^(P559+1)</f>
        <v>83534189.92</v>
      </c>
      <c r="W559" s="13">
        <f> 'Optimal Choice'!$B$20*'Optimal Choice'!$B$21^(Q559+1)</f>
        <v>317146470.2</v>
      </c>
      <c r="X559" s="13">
        <f> 'Optimal Choice'!$B$25*'Optimal Choice'!$B$26^(R559+1)</f>
        <v>1984554184</v>
      </c>
      <c r="AA559" s="12">
        <f t="shared" ref="AA559:AE559" si="1672">if(isna(VLOOKUP(N559,$D$2:$E$10,2,false)),AA558, VLOOKUP(N559,$D$2:$E$10,2,false))</f>
        <v>100</v>
      </c>
      <c r="AB559" s="12">
        <f t="shared" si="1672"/>
        <v>25</v>
      </c>
      <c r="AC559" s="12">
        <f t="shared" si="1672"/>
        <v>25</v>
      </c>
      <c r="AD559" s="12">
        <f t="shared" si="1672"/>
        <v>25</v>
      </c>
      <c r="AE559" s="12">
        <f t="shared" si="1672"/>
        <v>25</v>
      </c>
      <c r="AH559" s="15">
        <f>N559*'Optimal Choice'!$B$4*AA559</f>
        <v>34903</v>
      </c>
      <c r="AI559" s="15">
        <f>O559*'Optimal Choice'!$B$9*AB559</f>
        <v>45000</v>
      </c>
      <c r="AJ559" s="15">
        <f>P559*'Optimal Choice'!$B$14*AC559</f>
        <v>198000</v>
      </c>
      <c r="AK559" s="15">
        <f>Q559*'Optimal Choice'!$B$19*AD559</f>
        <v>765000</v>
      </c>
      <c r="AL559" s="15">
        <f>R559*'Optimal Choice'!$B$24*AE559</f>
        <v>4644000</v>
      </c>
      <c r="AO559" s="12">
        <f t="shared" ref="AO559:AS559" si="1673">if(isna(VLOOKUP(N559+1,$D$2:$E$10,2,false)),AO558, VLOOKUP(N559+1,$D$2:$E$10,2,false))</f>
        <v>100</v>
      </c>
      <c r="AP559" s="12">
        <f t="shared" si="1673"/>
        <v>25</v>
      </c>
      <c r="AQ559" s="12">
        <f t="shared" si="1673"/>
        <v>25</v>
      </c>
      <c r="AR559" s="12">
        <f t="shared" si="1673"/>
        <v>25</v>
      </c>
      <c r="AS559" s="12">
        <f t="shared" si="1673"/>
        <v>25</v>
      </c>
      <c r="AU559" s="11">
        <f t="shared" si="8"/>
        <v>0.05104673819</v>
      </c>
    </row>
    <row r="560" ht="15.75" customHeight="1">
      <c r="A560" s="16">
        <f t="shared" si="4"/>
        <v>80.69918785</v>
      </c>
      <c r="B560" s="7">
        <f>(sum(AH560:AL560))*'Optimal Choice'!$B$28</f>
        <v>5695903</v>
      </c>
      <c r="C560" s="11"/>
      <c r="D560" s="12"/>
      <c r="E560" s="12"/>
      <c r="F560" s="11"/>
      <c r="G560" s="11">
        <f>(T560/$B560)+(T560/('Optimal Choice'!$B$4*AO560))</f>
        <v>35477.21886</v>
      </c>
      <c r="H560" s="11">
        <f>(U560/$B560)+(U560/('Optimal Choice'!$B$9*AP560))</f>
        <v>40061.09723</v>
      </c>
      <c r="I560" s="11">
        <f>(V560/$B560)+(V560/('Optimal Choice'!$B$14*AQ560))</f>
        <v>37140.9723</v>
      </c>
      <c r="J560" s="11">
        <f>(W560/$B560)+(W560/('Optimal Choice'!$B$19*AR560))</f>
        <v>39882.41937</v>
      </c>
      <c r="K560" s="11">
        <f>(X560/$B560)+(X560/('Optimal Choice'!$B$24*AS560))</f>
        <v>37099.42124</v>
      </c>
      <c r="N560" s="12">
        <f t="shared" ref="N560:R560" si="1674">if(min($G559:$K559)=G559,N559+1,N559)</f>
        <v>209</v>
      </c>
      <c r="O560" s="12">
        <f t="shared" si="1674"/>
        <v>90</v>
      </c>
      <c r="P560" s="12">
        <f t="shared" si="1674"/>
        <v>88</v>
      </c>
      <c r="Q560" s="12">
        <f t="shared" si="1674"/>
        <v>86</v>
      </c>
      <c r="R560" s="12">
        <f t="shared" si="1674"/>
        <v>86</v>
      </c>
      <c r="T560" s="13">
        <f> 'Optimal Choice'!$B$5*'Optimal Choice'!$B$6^(N560+1)</f>
        <v>5924521.846</v>
      </c>
      <c r="U560" s="13">
        <f> 'Optimal Choice'!$B$10*'Optimal Choice'!$B$11^(O560+1)</f>
        <v>20028790.44</v>
      </c>
      <c r="V560" s="13">
        <f> 'Optimal Choice'!$B$15*'Optimal Choice'!$B$16^(P560+1)</f>
        <v>83534189.92</v>
      </c>
      <c r="W560" s="13">
        <f> 'Optimal Choice'!$B$20*'Optimal Choice'!$B$21^(Q560+1)</f>
        <v>358375511.3</v>
      </c>
      <c r="X560" s="13">
        <f> 'Optimal Choice'!$B$25*'Optimal Choice'!$B$26^(R560+1)</f>
        <v>1984554184</v>
      </c>
      <c r="AA560" s="12">
        <f t="shared" ref="AA560:AE560" si="1675">if(isna(VLOOKUP(N560,$D$2:$E$10,2,false)),AA559, VLOOKUP(N560,$D$2:$E$10,2,false))</f>
        <v>100</v>
      </c>
      <c r="AB560" s="12">
        <f t="shared" si="1675"/>
        <v>25</v>
      </c>
      <c r="AC560" s="12">
        <f t="shared" si="1675"/>
        <v>25</v>
      </c>
      <c r="AD560" s="12">
        <f t="shared" si="1675"/>
        <v>25</v>
      </c>
      <c r="AE560" s="12">
        <f t="shared" si="1675"/>
        <v>25</v>
      </c>
      <c r="AH560" s="15">
        <f>N560*'Optimal Choice'!$B$4*AA560</f>
        <v>34903</v>
      </c>
      <c r="AI560" s="15">
        <f>O560*'Optimal Choice'!$B$9*AB560</f>
        <v>45000</v>
      </c>
      <c r="AJ560" s="15">
        <f>P560*'Optimal Choice'!$B$14*AC560</f>
        <v>198000</v>
      </c>
      <c r="AK560" s="15">
        <f>Q560*'Optimal Choice'!$B$19*AD560</f>
        <v>774000</v>
      </c>
      <c r="AL560" s="15">
        <f>R560*'Optimal Choice'!$B$24*AE560</f>
        <v>4644000</v>
      </c>
      <c r="AO560" s="12">
        <f t="shared" ref="AO560:AS560" si="1676">if(isna(VLOOKUP(N560+1,$D$2:$E$10,2,false)),AO559, VLOOKUP(N560+1,$D$2:$E$10,2,false))</f>
        <v>100</v>
      </c>
      <c r="AP560" s="12">
        <f t="shared" si="1676"/>
        <v>25</v>
      </c>
      <c r="AQ560" s="12">
        <f t="shared" si="1676"/>
        <v>25</v>
      </c>
      <c r="AR560" s="12">
        <f t="shared" si="1676"/>
        <v>25</v>
      </c>
      <c r="AS560" s="12">
        <f t="shared" si="1676"/>
        <v>25</v>
      </c>
      <c r="AU560" s="11">
        <f t="shared" si="8"/>
        <v>0.9294645086</v>
      </c>
    </row>
    <row r="561" ht="15.75" customHeight="1">
      <c r="A561" s="16">
        <f t="shared" si="4"/>
        <v>80.71652348</v>
      </c>
      <c r="B561" s="7">
        <f>(sum(AH561:AL561))*'Optimal Choice'!$B$28</f>
        <v>5696070</v>
      </c>
      <c r="C561" s="11"/>
      <c r="D561" s="12"/>
      <c r="E561" s="12"/>
      <c r="F561" s="11"/>
      <c r="G561" s="11">
        <f>(T561/$B561)+(T561/('Optimal Choice'!$B$4*AO561))</f>
        <v>37960.62414</v>
      </c>
      <c r="H561" s="11">
        <f>(U561/$B561)+(U561/('Optimal Choice'!$B$9*AP561))</f>
        <v>40061.09713</v>
      </c>
      <c r="I561" s="11">
        <f>(V561/$B561)+(V561/('Optimal Choice'!$B$14*AQ561))</f>
        <v>37140.97187</v>
      </c>
      <c r="J561" s="11">
        <f>(W561/$B561)+(W561/('Optimal Choice'!$B$19*AR561))</f>
        <v>39882.41753</v>
      </c>
      <c r="K561" s="11">
        <f>(X561/$B561)+(X561/('Optimal Choice'!$B$24*AS561))</f>
        <v>37099.41102</v>
      </c>
      <c r="N561" s="12">
        <f t="shared" ref="N561:R561" si="1677">if(min($G560:$K560)=G560,N560+1,N560)</f>
        <v>210</v>
      </c>
      <c r="O561" s="12">
        <f t="shared" si="1677"/>
        <v>90</v>
      </c>
      <c r="P561" s="12">
        <f t="shared" si="1677"/>
        <v>88</v>
      </c>
      <c r="Q561" s="12">
        <f t="shared" si="1677"/>
        <v>86</v>
      </c>
      <c r="R561" s="12">
        <f t="shared" si="1677"/>
        <v>86</v>
      </c>
      <c r="T561" s="13">
        <f> 'Optimal Choice'!$B$5*'Optimal Choice'!$B$6^(N561+1)</f>
        <v>6339238.375</v>
      </c>
      <c r="U561" s="13">
        <f> 'Optimal Choice'!$B$10*'Optimal Choice'!$B$11^(O561+1)</f>
        <v>20028790.44</v>
      </c>
      <c r="V561" s="13">
        <f> 'Optimal Choice'!$B$15*'Optimal Choice'!$B$16^(P561+1)</f>
        <v>83534189.92</v>
      </c>
      <c r="W561" s="13">
        <f> 'Optimal Choice'!$B$20*'Optimal Choice'!$B$21^(Q561+1)</f>
        <v>358375511.3</v>
      </c>
      <c r="X561" s="13">
        <f> 'Optimal Choice'!$B$25*'Optimal Choice'!$B$26^(R561+1)</f>
        <v>1984554184</v>
      </c>
      <c r="AA561" s="12">
        <f t="shared" ref="AA561:AE561" si="1678">if(isna(VLOOKUP(N561,$D$2:$E$10,2,false)),AA560, VLOOKUP(N561,$D$2:$E$10,2,false))</f>
        <v>100</v>
      </c>
      <c r="AB561" s="12">
        <f t="shared" si="1678"/>
        <v>25</v>
      </c>
      <c r="AC561" s="12">
        <f t="shared" si="1678"/>
        <v>25</v>
      </c>
      <c r="AD561" s="12">
        <f t="shared" si="1678"/>
        <v>25</v>
      </c>
      <c r="AE561" s="12">
        <f t="shared" si="1678"/>
        <v>25</v>
      </c>
      <c r="AH561" s="15">
        <f>N561*'Optimal Choice'!$B$4*AA561</f>
        <v>35070</v>
      </c>
      <c r="AI561" s="15">
        <f>O561*'Optimal Choice'!$B$9*AB561</f>
        <v>45000</v>
      </c>
      <c r="AJ561" s="15">
        <f>P561*'Optimal Choice'!$B$14*AC561</f>
        <v>198000</v>
      </c>
      <c r="AK561" s="15">
        <f>Q561*'Optimal Choice'!$B$19*AD561</f>
        <v>774000</v>
      </c>
      <c r="AL561" s="15">
        <f>R561*'Optimal Choice'!$B$24*AE561</f>
        <v>4644000</v>
      </c>
      <c r="AO561" s="12">
        <f t="shared" ref="AO561:AS561" si="1679">if(isna(VLOOKUP(N561+1,$D$2:$E$10,2,false)),AO560, VLOOKUP(N561+1,$D$2:$E$10,2,false))</f>
        <v>100</v>
      </c>
      <c r="AP561" s="12">
        <f t="shared" si="1679"/>
        <v>25</v>
      </c>
      <c r="AQ561" s="12">
        <f t="shared" si="1679"/>
        <v>25</v>
      </c>
      <c r="AR561" s="12">
        <f t="shared" si="1679"/>
        <v>25</v>
      </c>
      <c r="AS561" s="12">
        <f t="shared" si="1679"/>
        <v>25</v>
      </c>
      <c r="AU561" s="11">
        <f t="shared" si="8"/>
        <v>0.01733562365</v>
      </c>
    </row>
    <row r="562" ht="15.75" customHeight="1">
      <c r="A562" s="16">
        <f t="shared" si="4"/>
        <v>86.52331712</v>
      </c>
      <c r="B562" s="7">
        <f>(sum(AH562:AL562))*'Optimal Choice'!$B$28</f>
        <v>5750070</v>
      </c>
      <c r="C562" s="11"/>
      <c r="D562" s="12"/>
      <c r="E562" s="12"/>
      <c r="F562" s="11"/>
      <c r="G562" s="11">
        <f>(T562/$B562)+(T562/('Optimal Choice'!$B$4*AO562))</f>
        <v>37960.61369</v>
      </c>
      <c r="H562" s="11">
        <f>(U562/$B562)+(U562/('Optimal Choice'!$B$9*AP562))</f>
        <v>40061.0641</v>
      </c>
      <c r="I562" s="11">
        <f>(V562/$B562)+(V562/('Optimal Choice'!$B$14*AQ562))</f>
        <v>37140.83414</v>
      </c>
      <c r="J562" s="11">
        <f>(W562/$B562)+(W562/('Optimal Choice'!$B$19*AR562))</f>
        <v>39881.82667</v>
      </c>
      <c r="K562" s="11">
        <f>(X562/$B562)+(X562/('Optimal Choice'!$B$24*AS562))</f>
        <v>41547.67575</v>
      </c>
      <c r="N562" s="12">
        <f t="shared" ref="N562:R562" si="1680">if(min($G561:$K561)=G561,N561+1,N561)</f>
        <v>210</v>
      </c>
      <c r="O562" s="12">
        <f t="shared" si="1680"/>
        <v>90</v>
      </c>
      <c r="P562" s="12">
        <f t="shared" si="1680"/>
        <v>88</v>
      </c>
      <c r="Q562" s="12">
        <f t="shared" si="1680"/>
        <v>86</v>
      </c>
      <c r="R562" s="12">
        <f t="shared" si="1680"/>
        <v>87</v>
      </c>
      <c r="T562" s="13">
        <f> 'Optimal Choice'!$B$5*'Optimal Choice'!$B$6^(N562+1)</f>
        <v>6339238.375</v>
      </c>
      <c r="U562" s="13">
        <f> 'Optimal Choice'!$B$10*'Optimal Choice'!$B$11^(O562+1)</f>
        <v>20028790.44</v>
      </c>
      <c r="V562" s="13">
        <f> 'Optimal Choice'!$B$15*'Optimal Choice'!$B$16^(P562+1)</f>
        <v>83534189.92</v>
      </c>
      <c r="W562" s="13">
        <f> 'Optimal Choice'!$B$20*'Optimal Choice'!$B$21^(Q562+1)</f>
        <v>358375511.3</v>
      </c>
      <c r="X562" s="13">
        <f> 'Optimal Choice'!$B$25*'Optimal Choice'!$B$26^(R562+1)</f>
        <v>2222700686</v>
      </c>
      <c r="AA562" s="12">
        <f t="shared" ref="AA562:AE562" si="1681">if(isna(VLOOKUP(N562,$D$2:$E$10,2,false)),AA561, VLOOKUP(N562,$D$2:$E$10,2,false))</f>
        <v>100</v>
      </c>
      <c r="AB562" s="12">
        <f t="shared" si="1681"/>
        <v>25</v>
      </c>
      <c r="AC562" s="12">
        <f t="shared" si="1681"/>
        <v>25</v>
      </c>
      <c r="AD562" s="12">
        <f t="shared" si="1681"/>
        <v>25</v>
      </c>
      <c r="AE562" s="12">
        <f t="shared" si="1681"/>
        <v>25</v>
      </c>
      <c r="AH562" s="15">
        <f>N562*'Optimal Choice'!$B$4*AA562</f>
        <v>35070</v>
      </c>
      <c r="AI562" s="15">
        <f>O562*'Optimal Choice'!$B$9*AB562</f>
        <v>45000</v>
      </c>
      <c r="AJ562" s="15">
        <f>P562*'Optimal Choice'!$B$14*AC562</f>
        <v>198000</v>
      </c>
      <c r="AK562" s="15">
        <f>Q562*'Optimal Choice'!$B$19*AD562</f>
        <v>774000</v>
      </c>
      <c r="AL562" s="15">
        <f>R562*'Optimal Choice'!$B$24*AE562</f>
        <v>4698000</v>
      </c>
      <c r="AO562" s="12">
        <f t="shared" ref="AO562:AS562" si="1682">if(isna(VLOOKUP(N562+1,$D$2:$E$10,2,false)),AO561, VLOOKUP(N562+1,$D$2:$E$10,2,false))</f>
        <v>100</v>
      </c>
      <c r="AP562" s="12">
        <f t="shared" si="1682"/>
        <v>25</v>
      </c>
      <c r="AQ562" s="12">
        <f t="shared" si="1682"/>
        <v>25</v>
      </c>
      <c r="AR562" s="12">
        <f t="shared" si="1682"/>
        <v>25</v>
      </c>
      <c r="AS562" s="12">
        <f t="shared" si="1682"/>
        <v>25</v>
      </c>
      <c r="AU562" s="11">
        <f t="shared" si="8"/>
        <v>5.806793642</v>
      </c>
    </row>
    <row r="563" ht="15.75" customHeight="1">
      <c r="A563" s="16">
        <f t="shared" si="4"/>
        <v>86.76544226</v>
      </c>
      <c r="B563" s="7">
        <f>(sum(AH563:AL563))*'Optimal Choice'!$B$28</f>
        <v>5752320</v>
      </c>
      <c r="C563" s="11"/>
      <c r="D563" s="12"/>
      <c r="E563" s="12"/>
      <c r="F563" s="11"/>
      <c r="G563" s="11">
        <f>(T563/$B563)+(T563/('Optimal Choice'!$B$4*AO563))</f>
        <v>37960.61326</v>
      </c>
      <c r="H563" s="11">
        <f>(U563/$B563)+(U563/('Optimal Choice'!$B$9*AP563))</f>
        <v>40061.06274</v>
      </c>
      <c r="I563" s="11">
        <f>(V563/$B563)+(V563/('Optimal Choice'!$B$14*AQ563))</f>
        <v>42340.54444</v>
      </c>
      <c r="J563" s="11">
        <f>(W563/$B563)+(W563/('Optimal Choice'!$B$19*AR563))</f>
        <v>39881.80229</v>
      </c>
      <c r="K563" s="11">
        <f>(X563/$B563)+(X563/('Optimal Choice'!$B$24*AS563))</f>
        <v>41547.52455</v>
      </c>
      <c r="N563" s="12">
        <f t="shared" ref="N563:R563" si="1683">if(min($G562:$K562)=G562,N562+1,N562)</f>
        <v>210</v>
      </c>
      <c r="O563" s="12">
        <f t="shared" si="1683"/>
        <v>90</v>
      </c>
      <c r="P563" s="12">
        <f t="shared" si="1683"/>
        <v>89</v>
      </c>
      <c r="Q563" s="12">
        <f t="shared" si="1683"/>
        <v>86</v>
      </c>
      <c r="R563" s="12">
        <f t="shared" si="1683"/>
        <v>87</v>
      </c>
      <c r="T563" s="13">
        <f> 'Optimal Choice'!$B$5*'Optimal Choice'!$B$6^(N563+1)</f>
        <v>6339238.375</v>
      </c>
      <c r="U563" s="13">
        <f> 'Optimal Choice'!$B$10*'Optimal Choice'!$B$11^(O563+1)</f>
        <v>20028790.44</v>
      </c>
      <c r="V563" s="13">
        <f> 'Optimal Choice'!$B$15*'Optimal Choice'!$B$16^(P563+1)</f>
        <v>95228976.51</v>
      </c>
      <c r="W563" s="13">
        <f> 'Optimal Choice'!$B$20*'Optimal Choice'!$B$21^(Q563+1)</f>
        <v>358375511.3</v>
      </c>
      <c r="X563" s="13">
        <f> 'Optimal Choice'!$B$25*'Optimal Choice'!$B$26^(R563+1)</f>
        <v>2222700686</v>
      </c>
      <c r="AA563" s="12">
        <f t="shared" ref="AA563:AE563" si="1684">if(isna(VLOOKUP(N563,$D$2:$E$10,2,false)),AA562, VLOOKUP(N563,$D$2:$E$10,2,false))</f>
        <v>100</v>
      </c>
      <c r="AB563" s="12">
        <f t="shared" si="1684"/>
        <v>25</v>
      </c>
      <c r="AC563" s="12">
        <f t="shared" si="1684"/>
        <v>25</v>
      </c>
      <c r="AD563" s="12">
        <f t="shared" si="1684"/>
        <v>25</v>
      </c>
      <c r="AE563" s="12">
        <f t="shared" si="1684"/>
        <v>25</v>
      </c>
      <c r="AH563" s="15">
        <f>N563*'Optimal Choice'!$B$4*AA563</f>
        <v>35070</v>
      </c>
      <c r="AI563" s="15">
        <f>O563*'Optimal Choice'!$B$9*AB563</f>
        <v>45000</v>
      </c>
      <c r="AJ563" s="15">
        <f>P563*'Optimal Choice'!$B$14*AC563</f>
        <v>200250</v>
      </c>
      <c r="AK563" s="15">
        <f>Q563*'Optimal Choice'!$B$19*AD563</f>
        <v>774000</v>
      </c>
      <c r="AL563" s="15">
        <f>R563*'Optimal Choice'!$B$24*AE563</f>
        <v>4698000</v>
      </c>
      <c r="AO563" s="12">
        <f t="shared" ref="AO563:AS563" si="1685">if(isna(VLOOKUP(N563+1,$D$2:$E$10,2,false)),AO562, VLOOKUP(N563+1,$D$2:$E$10,2,false))</f>
        <v>100</v>
      </c>
      <c r="AP563" s="12">
        <f t="shared" si="1685"/>
        <v>25</v>
      </c>
      <c r="AQ563" s="12">
        <f t="shared" si="1685"/>
        <v>25</v>
      </c>
      <c r="AR563" s="12">
        <f t="shared" si="1685"/>
        <v>25</v>
      </c>
      <c r="AS563" s="12">
        <f t="shared" si="1685"/>
        <v>25</v>
      </c>
      <c r="AU563" s="11">
        <f t="shared" si="8"/>
        <v>0.2421251391</v>
      </c>
    </row>
    <row r="564" ht="15.75" customHeight="1">
      <c r="A564" s="16">
        <f t="shared" si="4"/>
        <v>86.78380945</v>
      </c>
      <c r="B564" s="7">
        <f>(sum(AH564:AL564))*'Optimal Choice'!$B$28</f>
        <v>5752487</v>
      </c>
      <c r="C564" s="11"/>
      <c r="D564" s="12"/>
      <c r="E564" s="12"/>
      <c r="F564" s="11"/>
      <c r="G564" s="11">
        <f>(T564/$B564)+(T564/('Optimal Choice'!$B$4*AO564))</f>
        <v>40617.85615</v>
      </c>
      <c r="H564" s="11">
        <f>(U564/$B564)+(U564/('Optimal Choice'!$B$9*AP564))</f>
        <v>40061.06264</v>
      </c>
      <c r="I564" s="11">
        <f>(V564/$B564)+(V564/('Optimal Choice'!$B$14*AQ564))</f>
        <v>42340.54396</v>
      </c>
      <c r="J564" s="11">
        <f>(W564/$B564)+(W564/('Optimal Choice'!$B$19*AR564))</f>
        <v>39881.80048</v>
      </c>
      <c r="K564" s="11">
        <f>(X564/$B564)+(X564/('Optimal Choice'!$B$24*AS564))</f>
        <v>41547.51333</v>
      </c>
      <c r="N564" s="12">
        <f t="shared" ref="N564:R564" si="1686">if(min($G563:$K563)=G563,N563+1,N563)</f>
        <v>211</v>
      </c>
      <c r="O564" s="12">
        <f t="shared" si="1686"/>
        <v>90</v>
      </c>
      <c r="P564" s="12">
        <f t="shared" si="1686"/>
        <v>89</v>
      </c>
      <c r="Q564" s="12">
        <f t="shared" si="1686"/>
        <v>86</v>
      </c>
      <c r="R564" s="12">
        <f t="shared" si="1686"/>
        <v>87</v>
      </c>
      <c r="T564" s="13">
        <f> 'Optimal Choice'!$B$5*'Optimal Choice'!$B$6^(N564+1)</f>
        <v>6782985.061</v>
      </c>
      <c r="U564" s="13">
        <f> 'Optimal Choice'!$B$10*'Optimal Choice'!$B$11^(O564+1)</f>
        <v>20028790.44</v>
      </c>
      <c r="V564" s="13">
        <f> 'Optimal Choice'!$B$15*'Optimal Choice'!$B$16^(P564+1)</f>
        <v>95228976.51</v>
      </c>
      <c r="W564" s="13">
        <f> 'Optimal Choice'!$B$20*'Optimal Choice'!$B$21^(Q564+1)</f>
        <v>358375511.3</v>
      </c>
      <c r="X564" s="13">
        <f> 'Optimal Choice'!$B$25*'Optimal Choice'!$B$26^(R564+1)</f>
        <v>2222700686</v>
      </c>
      <c r="AA564" s="12">
        <f t="shared" ref="AA564:AE564" si="1687">if(isna(VLOOKUP(N564,$D$2:$E$10,2,false)),AA563, VLOOKUP(N564,$D$2:$E$10,2,false))</f>
        <v>100</v>
      </c>
      <c r="AB564" s="12">
        <f t="shared" si="1687"/>
        <v>25</v>
      </c>
      <c r="AC564" s="12">
        <f t="shared" si="1687"/>
        <v>25</v>
      </c>
      <c r="AD564" s="12">
        <f t="shared" si="1687"/>
        <v>25</v>
      </c>
      <c r="AE564" s="12">
        <f t="shared" si="1687"/>
        <v>25</v>
      </c>
      <c r="AH564" s="15">
        <f>N564*'Optimal Choice'!$B$4*AA564</f>
        <v>35237</v>
      </c>
      <c r="AI564" s="15">
        <f>O564*'Optimal Choice'!$B$9*AB564</f>
        <v>45000</v>
      </c>
      <c r="AJ564" s="15">
        <f>P564*'Optimal Choice'!$B$14*AC564</f>
        <v>200250</v>
      </c>
      <c r="AK564" s="15">
        <f>Q564*'Optimal Choice'!$B$19*AD564</f>
        <v>774000</v>
      </c>
      <c r="AL564" s="15">
        <f>R564*'Optimal Choice'!$B$24*AE564</f>
        <v>4698000</v>
      </c>
      <c r="AO564" s="12">
        <f t="shared" ref="AO564:AS564" si="1688">if(isna(VLOOKUP(N564+1,$D$2:$E$10,2,false)),AO563, VLOOKUP(N564+1,$D$2:$E$10,2,false))</f>
        <v>100</v>
      </c>
      <c r="AP564" s="12">
        <f t="shared" si="1688"/>
        <v>25</v>
      </c>
      <c r="AQ564" s="12">
        <f t="shared" si="1688"/>
        <v>25</v>
      </c>
      <c r="AR564" s="12">
        <f t="shared" si="1688"/>
        <v>25</v>
      </c>
      <c r="AS564" s="12">
        <f t="shared" si="1688"/>
        <v>25</v>
      </c>
      <c r="AU564" s="11">
        <f t="shared" si="8"/>
        <v>0.01836719322</v>
      </c>
    </row>
    <row r="565" ht="15.75" customHeight="1">
      <c r="A565" s="16">
        <f t="shared" si="4"/>
        <v>87.82212995</v>
      </c>
      <c r="B565" s="7">
        <f>(sum(AH565:AL565))*'Optimal Choice'!$B$28</f>
        <v>5761487</v>
      </c>
      <c r="C565" s="11"/>
      <c r="D565" s="12"/>
      <c r="E565" s="12"/>
      <c r="F565" s="11"/>
      <c r="G565" s="11">
        <f>(T565/$B565)+(T565/('Optimal Choice'!$B$4*AO565))</f>
        <v>40617.85431</v>
      </c>
      <c r="H565" s="11">
        <f>(U565/$B565)+(U565/('Optimal Choice'!$B$9*AP565))</f>
        <v>40061.0572</v>
      </c>
      <c r="I565" s="11">
        <f>(V565/$B565)+(V565/('Optimal Choice'!$B$14*AQ565))</f>
        <v>42340.5181</v>
      </c>
      <c r="J565" s="11">
        <f>(W565/$B565)+(W565/('Optimal Choice'!$B$19*AR565))</f>
        <v>45066.32458</v>
      </c>
      <c r="K565" s="11">
        <f>(X565/$B565)+(X565/('Optimal Choice'!$B$24*AS565))</f>
        <v>41546.90975</v>
      </c>
      <c r="N565" s="12">
        <f t="shared" ref="N565:R565" si="1689">if(min($G564:$K564)=G564,N564+1,N564)</f>
        <v>211</v>
      </c>
      <c r="O565" s="12">
        <f t="shared" si="1689"/>
        <v>90</v>
      </c>
      <c r="P565" s="12">
        <f t="shared" si="1689"/>
        <v>89</v>
      </c>
      <c r="Q565" s="12">
        <f t="shared" si="1689"/>
        <v>87</v>
      </c>
      <c r="R565" s="12">
        <f t="shared" si="1689"/>
        <v>87</v>
      </c>
      <c r="T565" s="13">
        <f> 'Optimal Choice'!$B$5*'Optimal Choice'!$B$6^(N565+1)</f>
        <v>6782985.061</v>
      </c>
      <c r="U565" s="13">
        <f> 'Optimal Choice'!$B$10*'Optimal Choice'!$B$11^(O565+1)</f>
        <v>20028790.44</v>
      </c>
      <c r="V565" s="13">
        <f> 'Optimal Choice'!$B$15*'Optimal Choice'!$B$16^(P565+1)</f>
        <v>95228976.51</v>
      </c>
      <c r="W565" s="13">
        <f> 'Optimal Choice'!$B$20*'Optimal Choice'!$B$21^(Q565+1)</f>
        <v>404964327.7</v>
      </c>
      <c r="X565" s="13">
        <f> 'Optimal Choice'!$B$25*'Optimal Choice'!$B$26^(R565+1)</f>
        <v>2222700686</v>
      </c>
      <c r="AA565" s="12">
        <f t="shared" ref="AA565:AE565" si="1690">if(isna(VLOOKUP(N565,$D$2:$E$10,2,false)),AA564, VLOOKUP(N565,$D$2:$E$10,2,false))</f>
        <v>100</v>
      </c>
      <c r="AB565" s="12">
        <f t="shared" si="1690"/>
        <v>25</v>
      </c>
      <c r="AC565" s="12">
        <f t="shared" si="1690"/>
        <v>25</v>
      </c>
      <c r="AD565" s="12">
        <f t="shared" si="1690"/>
        <v>25</v>
      </c>
      <c r="AE565" s="12">
        <f t="shared" si="1690"/>
        <v>25</v>
      </c>
      <c r="AH565" s="15">
        <f>N565*'Optimal Choice'!$B$4*AA565</f>
        <v>35237</v>
      </c>
      <c r="AI565" s="15">
        <f>O565*'Optimal Choice'!$B$9*AB565</f>
        <v>45000</v>
      </c>
      <c r="AJ565" s="15">
        <f>P565*'Optimal Choice'!$B$14*AC565</f>
        <v>200250</v>
      </c>
      <c r="AK565" s="15">
        <f>Q565*'Optimal Choice'!$B$19*AD565</f>
        <v>783000</v>
      </c>
      <c r="AL565" s="15">
        <f>R565*'Optimal Choice'!$B$24*AE565</f>
        <v>4698000</v>
      </c>
      <c r="AO565" s="12">
        <f t="shared" ref="AO565:AS565" si="1691">if(isna(VLOOKUP(N565+1,$D$2:$E$10,2,false)),AO564, VLOOKUP(N565+1,$D$2:$E$10,2,false))</f>
        <v>100</v>
      </c>
      <c r="AP565" s="12">
        <f t="shared" si="1691"/>
        <v>25</v>
      </c>
      <c r="AQ565" s="12">
        <f t="shared" si="1691"/>
        <v>25</v>
      </c>
      <c r="AR565" s="12">
        <f t="shared" si="1691"/>
        <v>25</v>
      </c>
      <c r="AS565" s="12">
        <f t="shared" si="1691"/>
        <v>25</v>
      </c>
      <c r="AU565" s="11">
        <f t="shared" si="8"/>
        <v>1.038320502</v>
      </c>
    </row>
    <row r="566" ht="15.75" customHeight="1">
      <c r="A566" s="16">
        <f t="shared" si="4"/>
        <v>87.88006867</v>
      </c>
      <c r="B566" s="7">
        <f>(sum(AH566:AL566))*'Optimal Choice'!$B$28</f>
        <v>5761987</v>
      </c>
      <c r="C566" s="11"/>
      <c r="D566" s="12"/>
      <c r="E566" s="12"/>
      <c r="F566" s="11"/>
      <c r="G566" s="11">
        <f>(T566/$B566)+(T566/('Optimal Choice'!$B$4*AO566))</f>
        <v>40617.85421</v>
      </c>
      <c r="H566" s="11">
        <f>(U566/$B566)+(U566/('Optimal Choice'!$B$9*AP566))</f>
        <v>46070.21543</v>
      </c>
      <c r="I566" s="11">
        <f>(V566/$B566)+(V566/('Optimal Choice'!$B$14*AQ566))</f>
        <v>42340.51667</v>
      </c>
      <c r="J566" s="11">
        <f>(W566/$B566)+(W566/('Optimal Choice'!$B$19*AR566))</f>
        <v>45066.31848</v>
      </c>
      <c r="K566" s="11">
        <f>(X566/$B566)+(X566/('Optimal Choice'!$B$24*AS566))</f>
        <v>41546.87628</v>
      </c>
      <c r="N566" s="12">
        <f t="shared" ref="N566:R566" si="1692">if(min($G565:$K565)=G565,N565+1,N565)</f>
        <v>211</v>
      </c>
      <c r="O566" s="12">
        <f t="shared" si="1692"/>
        <v>91</v>
      </c>
      <c r="P566" s="12">
        <f t="shared" si="1692"/>
        <v>89</v>
      </c>
      <c r="Q566" s="12">
        <f t="shared" si="1692"/>
        <v>87</v>
      </c>
      <c r="R566" s="12">
        <f t="shared" si="1692"/>
        <v>87</v>
      </c>
      <c r="T566" s="13">
        <f> 'Optimal Choice'!$B$5*'Optimal Choice'!$B$6^(N566+1)</f>
        <v>6782985.061</v>
      </c>
      <c r="U566" s="13">
        <f> 'Optimal Choice'!$B$10*'Optimal Choice'!$B$11^(O566+1)</f>
        <v>23033109.01</v>
      </c>
      <c r="V566" s="13">
        <f> 'Optimal Choice'!$B$15*'Optimal Choice'!$B$16^(P566+1)</f>
        <v>95228976.51</v>
      </c>
      <c r="W566" s="13">
        <f> 'Optimal Choice'!$B$20*'Optimal Choice'!$B$21^(Q566+1)</f>
        <v>404964327.7</v>
      </c>
      <c r="X566" s="13">
        <f> 'Optimal Choice'!$B$25*'Optimal Choice'!$B$26^(R566+1)</f>
        <v>2222700686</v>
      </c>
      <c r="AA566" s="12">
        <f t="shared" ref="AA566:AE566" si="1693">if(isna(VLOOKUP(N566,$D$2:$E$10,2,false)),AA565, VLOOKUP(N566,$D$2:$E$10,2,false))</f>
        <v>100</v>
      </c>
      <c r="AB566" s="12">
        <f t="shared" si="1693"/>
        <v>25</v>
      </c>
      <c r="AC566" s="12">
        <f t="shared" si="1693"/>
        <v>25</v>
      </c>
      <c r="AD566" s="12">
        <f t="shared" si="1693"/>
        <v>25</v>
      </c>
      <c r="AE566" s="12">
        <f t="shared" si="1693"/>
        <v>25</v>
      </c>
      <c r="AH566" s="15">
        <f>N566*'Optimal Choice'!$B$4*AA566</f>
        <v>35237</v>
      </c>
      <c r="AI566" s="15">
        <f>O566*'Optimal Choice'!$B$9*AB566</f>
        <v>45500</v>
      </c>
      <c r="AJ566" s="15">
        <f>P566*'Optimal Choice'!$B$14*AC566</f>
        <v>200250</v>
      </c>
      <c r="AK566" s="15">
        <f>Q566*'Optimal Choice'!$B$19*AD566</f>
        <v>783000</v>
      </c>
      <c r="AL566" s="15">
        <f>R566*'Optimal Choice'!$B$24*AE566</f>
        <v>4698000</v>
      </c>
      <c r="AO566" s="12">
        <f t="shared" ref="AO566:AS566" si="1694">if(isna(VLOOKUP(N566+1,$D$2:$E$10,2,false)),AO565, VLOOKUP(N566+1,$D$2:$E$10,2,false))</f>
        <v>100</v>
      </c>
      <c r="AP566" s="12">
        <f t="shared" si="1694"/>
        <v>25</v>
      </c>
      <c r="AQ566" s="12">
        <f t="shared" si="1694"/>
        <v>25</v>
      </c>
      <c r="AR566" s="12">
        <f t="shared" si="1694"/>
        <v>25</v>
      </c>
      <c r="AS566" s="12">
        <f t="shared" si="1694"/>
        <v>25</v>
      </c>
      <c r="AU566" s="11">
        <f t="shared" si="8"/>
        <v>0.0579387186</v>
      </c>
    </row>
    <row r="567" ht="15.75" customHeight="1">
      <c r="A567" s="16">
        <f t="shared" si="4"/>
        <v>87.8996886</v>
      </c>
      <c r="B567" s="7">
        <f>(sum(AH567:AL567))*'Optimal Choice'!$B$28</f>
        <v>5762154</v>
      </c>
      <c r="C567" s="11"/>
      <c r="D567" s="12"/>
      <c r="E567" s="12"/>
      <c r="F567" s="11"/>
      <c r="G567" s="11">
        <f>(T567/$B567)+(T567/('Optimal Choice'!$B$4*AO567))</f>
        <v>43461.10397</v>
      </c>
      <c r="H567" s="11">
        <f>(U567/$B567)+(U567/('Optimal Choice'!$B$9*AP567))</f>
        <v>46070.21532</v>
      </c>
      <c r="I567" s="11">
        <f>(V567/$B567)+(V567/('Optimal Choice'!$B$14*AQ567))</f>
        <v>42340.51619</v>
      </c>
      <c r="J567" s="11">
        <f>(W567/$B567)+(W567/('Optimal Choice'!$B$19*AR567))</f>
        <v>45066.31644</v>
      </c>
      <c r="K567" s="11">
        <f>(X567/$B567)+(X567/('Optimal Choice'!$B$24*AS567))</f>
        <v>41546.8651</v>
      </c>
      <c r="N567" s="12">
        <f t="shared" ref="N567:R567" si="1695">if(min($G566:$K566)=G566,N566+1,N566)</f>
        <v>212</v>
      </c>
      <c r="O567" s="12">
        <f t="shared" si="1695"/>
        <v>91</v>
      </c>
      <c r="P567" s="12">
        <f t="shared" si="1695"/>
        <v>89</v>
      </c>
      <c r="Q567" s="12">
        <f t="shared" si="1695"/>
        <v>87</v>
      </c>
      <c r="R567" s="12">
        <f t="shared" si="1695"/>
        <v>87</v>
      </c>
      <c r="T567" s="13">
        <f> 'Optimal Choice'!$B$5*'Optimal Choice'!$B$6^(N567+1)</f>
        <v>7257794.016</v>
      </c>
      <c r="U567" s="13">
        <f> 'Optimal Choice'!$B$10*'Optimal Choice'!$B$11^(O567+1)</f>
        <v>23033109.01</v>
      </c>
      <c r="V567" s="13">
        <f> 'Optimal Choice'!$B$15*'Optimal Choice'!$B$16^(P567+1)</f>
        <v>95228976.51</v>
      </c>
      <c r="W567" s="13">
        <f> 'Optimal Choice'!$B$20*'Optimal Choice'!$B$21^(Q567+1)</f>
        <v>404964327.7</v>
      </c>
      <c r="X567" s="13">
        <f> 'Optimal Choice'!$B$25*'Optimal Choice'!$B$26^(R567+1)</f>
        <v>2222700686</v>
      </c>
      <c r="AA567" s="12">
        <f t="shared" ref="AA567:AE567" si="1696">if(isna(VLOOKUP(N567,$D$2:$E$10,2,false)),AA566, VLOOKUP(N567,$D$2:$E$10,2,false))</f>
        <v>100</v>
      </c>
      <c r="AB567" s="12">
        <f t="shared" si="1696"/>
        <v>25</v>
      </c>
      <c r="AC567" s="12">
        <f t="shared" si="1696"/>
        <v>25</v>
      </c>
      <c r="AD567" s="12">
        <f t="shared" si="1696"/>
        <v>25</v>
      </c>
      <c r="AE567" s="12">
        <f t="shared" si="1696"/>
        <v>25</v>
      </c>
      <c r="AH567" s="15">
        <f>N567*'Optimal Choice'!$B$4*AA567</f>
        <v>35404</v>
      </c>
      <c r="AI567" s="15">
        <f>O567*'Optimal Choice'!$B$9*AB567</f>
        <v>45500</v>
      </c>
      <c r="AJ567" s="15">
        <f>P567*'Optimal Choice'!$B$14*AC567</f>
        <v>200250</v>
      </c>
      <c r="AK567" s="15">
        <f>Q567*'Optimal Choice'!$B$19*AD567</f>
        <v>783000</v>
      </c>
      <c r="AL567" s="15">
        <f>R567*'Optimal Choice'!$B$24*AE567</f>
        <v>4698000</v>
      </c>
      <c r="AO567" s="12">
        <f t="shared" ref="AO567:AS567" si="1697">if(isna(VLOOKUP(N567+1,$D$2:$E$10,2,false)),AO566, VLOOKUP(N567+1,$D$2:$E$10,2,false))</f>
        <v>100</v>
      </c>
      <c r="AP567" s="12">
        <f t="shared" si="1697"/>
        <v>25</v>
      </c>
      <c r="AQ567" s="12">
        <f t="shared" si="1697"/>
        <v>25</v>
      </c>
      <c r="AR567" s="12">
        <f t="shared" si="1697"/>
        <v>25</v>
      </c>
      <c r="AS567" s="12">
        <f t="shared" si="1697"/>
        <v>25</v>
      </c>
      <c r="AU567" s="11">
        <f t="shared" si="8"/>
        <v>0.01961992469</v>
      </c>
    </row>
    <row r="568" ht="15.75" customHeight="1">
      <c r="A568" s="16">
        <f t="shared" si="4"/>
        <v>94.32871001</v>
      </c>
      <c r="B568" s="7">
        <f>(sum(AH568:AL568))*'Optimal Choice'!$B$28</f>
        <v>5816154</v>
      </c>
      <c r="C568" s="11"/>
      <c r="D568" s="12"/>
      <c r="E568" s="12"/>
      <c r="F568" s="11"/>
      <c r="G568" s="11">
        <f>(T568/$B568)+(T568/('Optimal Choice'!$B$4*AO568))</f>
        <v>43461.09227</v>
      </c>
      <c r="H568" s="11">
        <f>(U568/$B568)+(U568/('Optimal Choice'!$B$9*AP568))</f>
        <v>46070.17821</v>
      </c>
      <c r="I568" s="11">
        <f>(V568/$B568)+(V568/('Optimal Choice'!$B$14*AQ568))</f>
        <v>42340.36275</v>
      </c>
      <c r="J568" s="11">
        <f>(W568/$B568)+(W568/('Optimal Choice'!$B$19*AR568))</f>
        <v>45065.66393</v>
      </c>
      <c r="K568" s="11">
        <f>(X568/$B568)+(X568/('Optimal Choice'!$B$24*AS568))</f>
        <v>46528.47773</v>
      </c>
      <c r="N568" s="12">
        <f t="shared" ref="N568:R568" si="1698">if(min($G567:$K567)=G567,N567+1,N567)</f>
        <v>212</v>
      </c>
      <c r="O568" s="12">
        <f t="shared" si="1698"/>
        <v>91</v>
      </c>
      <c r="P568" s="12">
        <f t="shared" si="1698"/>
        <v>89</v>
      </c>
      <c r="Q568" s="12">
        <f t="shared" si="1698"/>
        <v>87</v>
      </c>
      <c r="R568" s="12">
        <f t="shared" si="1698"/>
        <v>88</v>
      </c>
      <c r="T568" s="13">
        <f> 'Optimal Choice'!$B$5*'Optimal Choice'!$B$6^(N568+1)</f>
        <v>7257794.016</v>
      </c>
      <c r="U568" s="13">
        <f> 'Optimal Choice'!$B$10*'Optimal Choice'!$B$11^(O568+1)</f>
        <v>23033109.01</v>
      </c>
      <c r="V568" s="13">
        <f> 'Optimal Choice'!$B$15*'Optimal Choice'!$B$16^(P568+1)</f>
        <v>95228976.51</v>
      </c>
      <c r="W568" s="13">
        <f> 'Optimal Choice'!$B$20*'Optimal Choice'!$B$21^(Q568+1)</f>
        <v>404964327.7</v>
      </c>
      <c r="X568" s="13">
        <f> 'Optimal Choice'!$B$25*'Optimal Choice'!$B$26^(R568+1)</f>
        <v>2489424768</v>
      </c>
      <c r="AA568" s="12">
        <f t="shared" ref="AA568:AE568" si="1699">if(isna(VLOOKUP(N568,$D$2:$E$10,2,false)),AA567, VLOOKUP(N568,$D$2:$E$10,2,false))</f>
        <v>100</v>
      </c>
      <c r="AB568" s="12">
        <f t="shared" si="1699"/>
        <v>25</v>
      </c>
      <c r="AC568" s="12">
        <f t="shared" si="1699"/>
        <v>25</v>
      </c>
      <c r="AD568" s="12">
        <f t="shared" si="1699"/>
        <v>25</v>
      </c>
      <c r="AE568" s="12">
        <f t="shared" si="1699"/>
        <v>25</v>
      </c>
      <c r="AH568" s="15">
        <f>N568*'Optimal Choice'!$B$4*AA568</f>
        <v>35404</v>
      </c>
      <c r="AI568" s="15">
        <f>O568*'Optimal Choice'!$B$9*AB568</f>
        <v>45500</v>
      </c>
      <c r="AJ568" s="15">
        <f>P568*'Optimal Choice'!$B$14*AC568</f>
        <v>200250</v>
      </c>
      <c r="AK568" s="15">
        <f>Q568*'Optimal Choice'!$B$19*AD568</f>
        <v>783000</v>
      </c>
      <c r="AL568" s="15">
        <f>R568*'Optimal Choice'!$B$24*AE568</f>
        <v>4752000</v>
      </c>
      <c r="AO568" s="12">
        <f t="shared" ref="AO568:AS568" si="1700">if(isna(VLOOKUP(N568+1,$D$2:$E$10,2,false)),AO567, VLOOKUP(N568+1,$D$2:$E$10,2,false))</f>
        <v>100</v>
      </c>
      <c r="AP568" s="12">
        <f t="shared" si="1700"/>
        <v>25</v>
      </c>
      <c r="AQ568" s="12">
        <f t="shared" si="1700"/>
        <v>25</v>
      </c>
      <c r="AR568" s="12">
        <f t="shared" si="1700"/>
        <v>25</v>
      </c>
      <c r="AS568" s="12">
        <f t="shared" si="1700"/>
        <v>25</v>
      </c>
      <c r="AU568" s="11">
        <f t="shared" si="8"/>
        <v>6.429021409</v>
      </c>
    </row>
    <row r="569" ht="15.75" customHeight="1">
      <c r="A569" s="16">
        <f t="shared" si="4"/>
        <v>94.60159645</v>
      </c>
      <c r="B569" s="7">
        <f>(sum(AH569:AL569))*'Optimal Choice'!$B$28</f>
        <v>5818404</v>
      </c>
      <c r="C569" s="11"/>
      <c r="D569" s="12"/>
      <c r="E569" s="12"/>
      <c r="F569" s="11"/>
      <c r="G569" s="11">
        <f>(T569/$B569)+(T569/('Optimal Choice'!$B$4*AO569))</f>
        <v>43461.09179</v>
      </c>
      <c r="H569" s="11">
        <f>(U569/$B569)+(U569/('Optimal Choice'!$B$9*AP569))</f>
        <v>46070.17667</v>
      </c>
      <c r="I569" s="11">
        <f>(V569/$B569)+(V569/('Optimal Choice'!$B$14*AQ569))</f>
        <v>48268.00632</v>
      </c>
      <c r="J569" s="11">
        <f>(W569/$B569)+(W569/('Optimal Choice'!$B$19*AR569))</f>
        <v>45065.637</v>
      </c>
      <c r="K569" s="11">
        <f>(X569/$B569)+(X569/('Optimal Choice'!$B$24*AS569))</f>
        <v>46528.31221</v>
      </c>
      <c r="N569" s="12">
        <f t="shared" ref="N569:R569" si="1701">if(min($G568:$K568)=G568,N568+1,N568)</f>
        <v>212</v>
      </c>
      <c r="O569" s="12">
        <f t="shared" si="1701"/>
        <v>91</v>
      </c>
      <c r="P569" s="12">
        <f t="shared" si="1701"/>
        <v>90</v>
      </c>
      <c r="Q569" s="12">
        <f t="shared" si="1701"/>
        <v>87</v>
      </c>
      <c r="R569" s="12">
        <f t="shared" si="1701"/>
        <v>88</v>
      </c>
      <c r="T569" s="13">
        <f> 'Optimal Choice'!$B$5*'Optimal Choice'!$B$6^(N569+1)</f>
        <v>7257794.016</v>
      </c>
      <c r="U569" s="13">
        <f> 'Optimal Choice'!$B$10*'Optimal Choice'!$B$11^(O569+1)</f>
        <v>23033109.01</v>
      </c>
      <c r="V569" s="13">
        <f> 'Optimal Choice'!$B$15*'Optimal Choice'!$B$16^(P569+1)</f>
        <v>108561033.2</v>
      </c>
      <c r="W569" s="13">
        <f> 'Optimal Choice'!$B$20*'Optimal Choice'!$B$21^(Q569+1)</f>
        <v>404964327.7</v>
      </c>
      <c r="X569" s="13">
        <f> 'Optimal Choice'!$B$25*'Optimal Choice'!$B$26^(R569+1)</f>
        <v>2489424768</v>
      </c>
      <c r="AA569" s="12">
        <f t="shared" ref="AA569:AE569" si="1702">if(isna(VLOOKUP(N569,$D$2:$E$10,2,false)),AA568, VLOOKUP(N569,$D$2:$E$10,2,false))</f>
        <v>100</v>
      </c>
      <c r="AB569" s="12">
        <f t="shared" si="1702"/>
        <v>25</v>
      </c>
      <c r="AC569" s="12">
        <f t="shared" si="1702"/>
        <v>25</v>
      </c>
      <c r="AD569" s="12">
        <f t="shared" si="1702"/>
        <v>25</v>
      </c>
      <c r="AE569" s="12">
        <f t="shared" si="1702"/>
        <v>25</v>
      </c>
      <c r="AH569" s="15">
        <f>N569*'Optimal Choice'!$B$4*AA569</f>
        <v>35404</v>
      </c>
      <c r="AI569" s="15">
        <f>O569*'Optimal Choice'!$B$9*AB569</f>
        <v>45500</v>
      </c>
      <c r="AJ569" s="15">
        <f>P569*'Optimal Choice'!$B$14*AC569</f>
        <v>202500</v>
      </c>
      <c r="AK569" s="15">
        <f>Q569*'Optimal Choice'!$B$19*AD569</f>
        <v>783000</v>
      </c>
      <c r="AL569" s="15">
        <f>R569*'Optimal Choice'!$B$24*AE569</f>
        <v>4752000</v>
      </c>
      <c r="AO569" s="12">
        <f t="shared" ref="AO569:AS569" si="1703">if(isna(VLOOKUP(N569+1,$D$2:$E$10,2,false)),AO568, VLOOKUP(N569+1,$D$2:$E$10,2,false))</f>
        <v>100</v>
      </c>
      <c r="AP569" s="12">
        <f t="shared" si="1703"/>
        <v>25</v>
      </c>
      <c r="AQ569" s="12">
        <f t="shared" si="1703"/>
        <v>25</v>
      </c>
      <c r="AR569" s="12">
        <f t="shared" si="1703"/>
        <v>25</v>
      </c>
      <c r="AS569" s="12">
        <f t="shared" si="1703"/>
        <v>25</v>
      </c>
      <c r="AU569" s="11">
        <f t="shared" si="8"/>
        <v>0.2728864484</v>
      </c>
    </row>
    <row r="570" ht="15.75" customHeight="1">
      <c r="A570" s="16">
        <f t="shared" si="4"/>
        <v>94.62238622</v>
      </c>
      <c r="B570" s="7">
        <f>(sum(AH570:AL570))*'Optimal Choice'!$B$28</f>
        <v>5818571</v>
      </c>
      <c r="C570" s="11"/>
      <c r="D570" s="12"/>
      <c r="E570" s="12"/>
      <c r="F570" s="11"/>
      <c r="G570" s="11">
        <f>(T570/$B570)+(T570/('Optimal Choice'!$B$4*AO570))</f>
        <v>46503.36818</v>
      </c>
      <c r="H570" s="11">
        <f>(U570/$B570)+(U570/('Optimal Choice'!$B$9*AP570))</f>
        <v>46070.17656</v>
      </c>
      <c r="I570" s="11">
        <f>(V570/$B570)+(V570/('Optimal Choice'!$B$14*AQ570))</f>
        <v>48268.00578</v>
      </c>
      <c r="J570" s="11">
        <f>(W570/$B570)+(W570/('Optimal Choice'!$B$19*AR570))</f>
        <v>45065.635</v>
      </c>
      <c r="K570" s="11">
        <f>(X570/$B570)+(X570/('Optimal Choice'!$B$24*AS570))</f>
        <v>46528.29993</v>
      </c>
      <c r="N570" s="12">
        <f t="shared" ref="N570:R570" si="1704">if(min($G569:$K569)=G569,N569+1,N569)</f>
        <v>213</v>
      </c>
      <c r="O570" s="12">
        <f t="shared" si="1704"/>
        <v>91</v>
      </c>
      <c r="P570" s="12">
        <f t="shared" si="1704"/>
        <v>90</v>
      </c>
      <c r="Q570" s="12">
        <f t="shared" si="1704"/>
        <v>87</v>
      </c>
      <c r="R570" s="12">
        <f t="shared" si="1704"/>
        <v>88</v>
      </c>
      <c r="T570" s="13">
        <f> 'Optimal Choice'!$B$5*'Optimal Choice'!$B$6^(N570+1)</f>
        <v>7765839.597</v>
      </c>
      <c r="U570" s="13">
        <f> 'Optimal Choice'!$B$10*'Optimal Choice'!$B$11^(O570+1)</f>
        <v>23033109.01</v>
      </c>
      <c r="V570" s="13">
        <f> 'Optimal Choice'!$B$15*'Optimal Choice'!$B$16^(P570+1)</f>
        <v>108561033.2</v>
      </c>
      <c r="W570" s="13">
        <f> 'Optimal Choice'!$B$20*'Optimal Choice'!$B$21^(Q570+1)</f>
        <v>404964327.7</v>
      </c>
      <c r="X570" s="13">
        <f> 'Optimal Choice'!$B$25*'Optimal Choice'!$B$26^(R570+1)</f>
        <v>2489424768</v>
      </c>
      <c r="AA570" s="12">
        <f t="shared" ref="AA570:AE570" si="1705">if(isna(VLOOKUP(N570,$D$2:$E$10,2,false)),AA569, VLOOKUP(N570,$D$2:$E$10,2,false))</f>
        <v>100</v>
      </c>
      <c r="AB570" s="12">
        <f t="shared" si="1705"/>
        <v>25</v>
      </c>
      <c r="AC570" s="12">
        <f t="shared" si="1705"/>
        <v>25</v>
      </c>
      <c r="AD570" s="12">
        <f t="shared" si="1705"/>
        <v>25</v>
      </c>
      <c r="AE570" s="12">
        <f t="shared" si="1705"/>
        <v>25</v>
      </c>
      <c r="AH570" s="15">
        <f>N570*'Optimal Choice'!$B$4*AA570</f>
        <v>35571</v>
      </c>
      <c r="AI570" s="15">
        <f>O570*'Optimal Choice'!$B$9*AB570</f>
        <v>45500</v>
      </c>
      <c r="AJ570" s="15">
        <f>P570*'Optimal Choice'!$B$14*AC570</f>
        <v>202500</v>
      </c>
      <c r="AK570" s="15">
        <f>Q570*'Optimal Choice'!$B$19*AD570</f>
        <v>783000</v>
      </c>
      <c r="AL570" s="15">
        <f>R570*'Optimal Choice'!$B$24*AE570</f>
        <v>4752000</v>
      </c>
      <c r="AO570" s="12">
        <f t="shared" ref="AO570:AS570" si="1706">if(isna(VLOOKUP(N570+1,$D$2:$E$10,2,false)),AO569, VLOOKUP(N570+1,$D$2:$E$10,2,false))</f>
        <v>100</v>
      </c>
      <c r="AP570" s="12">
        <f t="shared" si="1706"/>
        <v>25</v>
      </c>
      <c r="AQ570" s="12">
        <f t="shared" si="1706"/>
        <v>25</v>
      </c>
      <c r="AR570" s="12">
        <f t="shared" si="1706"/>
        <v>25</v>
      </c>
      <c r="AS570" s="12">
        <f t="shared" si="1706"/>
        <v>25</v>
      </c>
      <c r="AU570" s="11">
        <f t="shared" si="8"/>
        <v>0.02078976187</v>
      </c>
    </row>
    <row r="571" ht="15.75" customHeight="1">
      <c r="A571" s="16">
        <f t="shared" si="4"/>
        <v>95.78236269</v>
      </c>
      <c r="B571" s="7">
        <f>(sum(AH571:AL571))*'Optimal Choice'!$B$28</f>
        <v>5827571</v>
      </c>
      <c r="C571" s="11"/>
      <c r="D571" s="12"/>
      <c r="E571" s="12"/>
      <c r="F571" s="11"/>
      <c r="G571" s="11">
        <f>(T571/$B571)+(T571/('Optimal Choice'!$B$4*AO571))</f>
        <v>46503.36612</v>
      </c>
      <c r="H571" s="11">
        <f>(U571/$B571)+(U571/('Optimal Choice'!$B$9*AP571))</f>
        <v>46070.17045</v>
      </c>
      <c r="I571" s="11">
        <f>(V571/$B571)+(V571/('Optimal Choice'!$B$14*AQ571))</f>
        <v>48267.97696</v>
      </c>
      <c r="J571" s="11">
        <f>(W571/$B571)+(W571/('Optimal Choice'!$B$19*AR571))</f>
        <v>50924.04609</v>
      </c>
      <c r="K571" s="11">
        <f>(X571/$B571)+(X571/('Optimal Choice'!$B$24*AS571))</f>
        <v>46527.63918</v>
      </c>
      <c r="N571" s="12">
        <f t="shared" ref="N571:R571" si="1707">if(min($G570:$K570)=G570,N570+1,N570)</f>
        <v>213</v>
      </c>
      <c r="O571" s="12">
        <f t="shared" si="1707"/>
        <v>91</v>
      </c>
      <c r="P571" s="12">
        <f t="shared" si="1707"/>
        <v>90</v>
      </c>
      <c r="Q571" s="12">
        <f t="shared" si="1707"/>
        <v>88</v>
      </c>
      <c r="R571" s="12">
        <f t="shared" si="1707"/>
        <v>88</v>
      </c>
      <c r="T571" s="13">
        <f> 'Optimal Choice'!$B$5*'Optimal Choice'!$B$6^(N571+1)</f>
        <v>7765839.597</v>
      </c>
      <c r="U571" s="13">
        <f> 'Optimal Choice'!$B$10*'Optimal Choice'!$B$11^(O571+1)</f>
        <v>23033109.01</v>
      </c>
      <c r="V571" s="13">
        <f> 'Optimal Choice'!$B$15*'Optimal Choice'!$B$16^(P571+1)</f>
        <v>108561033.2</v>
      </c>
      <c r="W571" s="13">
        <f> 'Optimal Choice'!$B$20*'Optimal Choice'!$B$21^(Q571+1)</f>
        <v>457609690.3</v>
      </c>
      <c r="X571" s="13">
        <f> 'Optimal Choice'!$B$25*'Optimal Choice'!$B$26^(R571+1)</f>
        <v>2489424768</v>
      </c>
      <c r="AA571" s="12">
        <f t="shared" ref="AA571:AE571" si="1708">if(isna(VLOOKUP(N571,$D$2:$E$10,2,false)),AA570, VLOOKUP(N571,$D$2:$E$10,2,false))</f>
        <v>100</v>
      </c>
      <c r="AB571" s="12">
        <f t="shared" si="1708"/>
        <v>25</v>
      </c>
      <c r="AC571" s="12">
        <f t="shared" si="1708"/>
        <v>25</v>
      </c>
      <c r="AD571" s="12">
        <f t="shared" si="1708"/>
        <v>25</v>
      </c>
      <c r="AE571" s="12">
        <f t="shared" si="1708"/>
        <v>25</v>
      </c>
      <c r="AH571" s="15">
        <f>N571*'Optimal Choice'!$B$4*AA571</f>
        <v>35571</v>
      </c>
      <c r="AI571" s="15">
        <f>O571*'Optimal Choice'!$B$9*AB571</f>
        <v>45500</v>
      </c>
      <c r="AJ571" s="15">
        <f>P571*'Optimal Choice'!$B$14*AC571</f>
        <v>202500</v>
      </c>
      <c r="AK571" s="15">
        <f>Q571*'Optimal Choice'!$B$19*AD571</f>
        <v>792000</v>
      </c>
      <c r="AL571" s="15">
        <f>R571*'Optimal Choice'!$B$24*AE571</f>
        <v>4752000</v>
      </c>
      <c r="AO571" s="12">
        <f t="shared" ref="AO571:AS571" si="1709">if(isna(VLOOKUP(N571+1,$D$2:$E$10,2,false)),AO570, VLOOKUP(N571+1,$D$2:$E$10,2,false))</f>
        <v>100</v>
      </c>
      <c r="AP571" s="12">
        <f t="shared" si="1709"/>
        <v>25</v>
      </c>
      <c r="AQ571" s="12">
        <f t="shared" si="1709"/>
        <v>25</v>
      </c>
      <c r="AR571" s="12">
        <f t="shared" si="1709"/>
        <v>25</v>
      </c>
      <c r="AS571" s="12">
        <f t="shared" si="1709"/>
        <v>25</v>
      </c>
      <c r="AU571" s="11">
        <f t="shared" si="8"/>
        <v>1.159976472</v>
      </c>
    </row>
    <row r="572" ht="15.75" customHeight="1">
      <c r="A572" s="16">
        <f t="shared" si="4"/>
        <v>95.84823664</v>
      </c>
      <c r="B572" s="7">
        <f>(sum(AH572:AL572))*'Optimal Choice'!$B$28</f>
        <v>5828071</v>
      </c>
      <c r="C572" s="11"/>
      <c r="D572" s="12"/>
      <c r="E572" s="12"/>
      <c r="F572" s="11"/>
      <c r="G572" s="11">
        <f>(T572/$B572)+(T572/('Optimal Choice'!$B$4*AO572))</f>
        <v>46503.366</v>
      </c>
      <c r="H572" s="11">
        <f>(U572/$B572)+(U572/('Optimal Choice'!$B$9*AP572))</f>
        <v>52980.69562</v>
      </c>
      <c r="I572" s="11">
        <f>(V572/$B572)+(V572/('Optimal Choice'!$B$14*AQ572))</f>
        <v>48267.97537</v>
      </c>
      <c r="J572" s="11">
        <f>(W572/$B572)+(W572/('Optimal Choice'!$B$19*AR572))</f>
        <v>50924.03936</v>
      </c>
      <c r="K572" s="11">
        <f>(X572/$B572)+(X572/('Optimal Choice'!$B$24*AS572))</f>
        <v>46527.60253</v>
      </c>
      <c r="N572" s="12">
        <f t="shared" ref="N572:R572" si="1710">if(min($G571:$K571)=G571,N571+1,N571)</f>
        <v>213</v>
      </c>
      <c r="O572" s="12">
        <f t="shared" si="1710"/>
        <v>92</v>
      </c>
      <c r="P572" s="12">
        <f t="shared" si="1710"/>
        <v>90</v>
      </c>
      <c r="Q572" s="12">
        <f t="shared" si="1710"/>
        <v>88</v>
      </c>
      <c r="R572" s="12">
        <f t="shared" si="1710"/>
        <v>88</v>
      </c>
      <c r="T572" s="13">
        <f> 'Optimal Choice'!$B$5*'Optimal Choice'!$B$6^(N572+1)</f>
        <v>7765839.597</v>
      </c>
      <c r="U572" s="13">
        <f> 'Optimal Choice'!$B$10*'Optimal Choice'!$B$11^(O572+1)</f>
        <v>26488075.36</v>
      </c>
      <c r="V572" s="13">
        <f> 'Optimal Choice'!$B$15*'Optimal Choice'!$B$16^(P572+1)</f>
        <v>108561033.2</v>
      </c>
      <c r="W572" s="13">
        <f> 'Optimal Choice'!$B$20*'Optimal Choice'!$B$21^(Q572+1)</f>
        <v>457609690.3</v>
      </c>
      <c r="X572" s="13">
        <f> 'Optimal Choice'!$B$25*'Optimal Choice'!$B$26^(R572+1)</f>
        <v>2489424768</v>
      </c>
      <c r="AA572" s="12">
        <f t="shared" ref="AA572:AE572" si="1711">if(isna(VLOOKUP(N572,$D$2:$E$10,2,false)),AA571, VLOOKUP(N572,$D$2:$E$10,2,false))</f>
        <v>100</v>
      </c>
      <c r="AB572" s="12">
        <f t="shared" si="1711"/>
        <v>25</v>
      </c>
      <c r="AC572" s="12">
        <f t="shared" si="1711"/>
        <v>25</v>
      </c>
      <c r="AD572" s="12">
        <f t="shared" si="1711"/>
        <v>25</v>
      </c>
      <c r="AE572" s="12">
        <f t="shared" si="1711"/>
        <v>25</v>
      </c>
      <c r="AH572" s="15">
        <f>N572*'Optimal Choice'!$B$4*AA572</f>
        <v>35571</v>
      </c>
      <c r="AI572" s="15">
        <f>O572*'Optimal Choice'!$B$9*AB572</f>
        <v>46000</v>
      </c>
      <c r="AJ572" s="15">
        <f>P572*'Optimal Choice'!$B$14*AC572</f>
        <v>202500</v>
      </c>
      <c r="AK572" s="15">
        <f>Q572*'Optimal Choice'!$B$19*AD572</f>
        <v>792000</v>
      </c>
      <c r="AL572" s="15">
        <f>R572*'Optimal Choice'!$B$24*AE572</f>
        <v>4752000</v>
      </c>
      <c r="AO572" s="12">
        <f t="shared" ref="AO572:AS572" si="1712">if(isna(VLOOKUP(N572+1,$D$2:$E$10,2,false)),AO571, VLOOKUP(N572+1,$D$2:$E$10,2,false))</f>
        <v>100</v>
      </c>
      <c r="AP572" s="12">
        <f t="shared" si="1712"/>
        <v>25</v>
      </c>
      <c r="AQ572" s="12">
        <f t="shared" si="1712"/>
        <v>25</v>
      </c>
      <c r="AR572" s="12">
        <f t="shared" si="1712"/>
        <v>25</v>
      </c>
      <c r="AS572" s="12">
        <f t="shared" si="1712"/>
        <v>25</v>
      </c>
      <c r="AU572" s="11">
        <f t="shared" si="8"/>
        <v>0.06587395505</v>
      </c>
    </row>
    <row r="573" ht="15.75" customHeight="1">
      <c r="A573" s="16">
        <f t="shared" si="4"/>
        <v>95.87044479</v>
      </c>
      <c r="B573" s="7">
        <f>(sum(AH573:AL573))*'Optimal Choice'!$B$28</f>
        <v>5828238</v>
      </c>
      <c r="C573" s="11"/>
      <c r="D573" s="12"/>
      <c r="E573" s="12"/>
      <c r="F573" s="11"/>
      <c r="G573" s="11">
        <f>(T573/$B573)+(T573/('Optimal Choice'!$B$4*AO573))</f>
        <v>49758.60158</v>
      </c>
      <c r="H573" s="11">
        <f>(U573/$B573)+(U573/('Optimal Choice'!$B$9*AP573))</f>
        <v>52980.69549</v>
      </c>
      <c r="I573" s="11">
        <f>(V573/$B573)+(V573/('Optimal Choice'!$B$14*AQ573))</f>
        <v>48267.97483</v>
      </c>
      <c r="J573" s="11">
        <f>(W573/$B573)+(W573/('Optimal Choice'!$B$19*AR573))</f>
        <v>50924.03711</v>
      </c>
      <c r="K573" s="11">
        <f>(X573/$B573)+(X573/('Optimal Choice'!$B$24*AS573))</f>
        <v>46527.59029</v>
      </c>
      <c r="N573" s="12">
        <f t="shared" ref="N573:R573" si="1713">if(min($G572:$K572)=G572,N572+1,N572)</f>
        <v>214</v>
      </c>
      <c r="O573" s="12">
        <f t="shared" si="1713"/>
        <v>92</v>
      </c>
      <c r="P573" s="12">
        <f t="shared" si="1713"/>
        <v>90</v>
      </c>
      <c r="Q573" s="12">
        <f t="shared" si="1713"/>
        <v>88</v>
      </c>
      <c r="R573" s="12">
        <f t="shared" si="1713"/>
        <v>88</v>
      </c>
      <c r="T573" s="13">
        <f> 'Optimal Choice'!$B$5*'Optimal Choice'!$B$6^(N573+1)</f>
        <v>8309448.369</v>
      </c>
      <c r="U573" s="13">
        <f> 'Optimal Choice'!$B$10*'Optimal Choice'!$B$11^(O573+1)</f>
        <v>26488075.36</v>
      </c>
      <c r="V573" s="13">
        <f> 'Optimal Choice'!$B$15*'Optimal Choice'!$B$16^(P573+1)</f>
        <v>108561033.2</v>
      </c>
      <c r="W573" s="13">
        <f> 'Optimal Choice'!$B$20*'Optimal Choice'!$B$21^(Q573+1)</f>
        <v>457609690.3</v>
      </c>
      <c r="X573" s="13">
        <f> 'Optimal Choice'!$B$25*'Optimal Choice'!$B$26^(R573+1)</f>
        <v>2489424768</v>
      </c>
      <c r="AA573" s="12">
        <f t="shared" ref="AA573:AE573" si="1714">if(isna(VLOOKUP(N573,$D$2:$E$10,2,false)),AA572, VLOOKUP(N573,$D$2:$E$10,2,false))</f>
        <v>100</v>
      </c>
      <c r="AB573" s="12">
        <f t="shared" si="1714"/>
        <v>25</v>
      </c>
      <c r="AC573" s="12">
        <f t="shared" si="1714"/>
        <v>25</v>
      </c>
      <c r="AD573" s="12">
        <f t="shared" si="1714"/>
        <v>25</v>
      </c>
      <c r="AE573" s="12">
        <f t="shared" si="1714"/>
        <v>25</v>
      </c>
      <c r="AH573" s="15">
        <f>N573*'Optimal Choice'!$B$4*AA573</f>
        <v>35738</v>
      </c>
      <c r="AI573" s="15">
        <f>O573*'Optimal Choice'!$B$9*AB573</f>
        <v>46000</v>
      </c>
      <c r="AJ573" s="15">
        <f>P573*'Optimal Choice'!$B$14*AC573</f>
        <v>202500</v>
      </c>
      <c r="AK573" s="15">
        <f>Q573*'Optimal Choice'!$B$19*AD573</f>
        <v>792000</v>
      </c>
      <c r="AL573" s="15">
        <f>R573*'Optimal Choice'!$B$24*AE573</f>
        <v>4752000</v>
      </c>
      <c r="AO573" s="12">
        <f t="shared" ref="AO573:AS573" si="1715">if(isna(VLOOKUP(N573+1,$D$2:$E$10,2,false)),AO572, VLOOKUP(N573+1,$D$2:$E$10,2,false))</f>
        <v>100</v>
      </c>
      <c r="AP573" s="12">
        <f t="shared" si="1715"/>
        <v>25</v>
      </c>
      <c r="AQ573" s="12">
        <f t="shared" si="1715"/>
        <v>25</v>
      </c>
      <c r="AR573" s="12">
        <f t="shared" si="1715"/>
        <v>25</v>
      </c>
      <c r="AS573" s="12">
        <f t="shared" si="1715"/>
        <v>25</v>
      </c>
      <c r="AU573" s="11">
        <f t="shared" si="8"/>
        <v>0.02220814742</v>
      </c>
    </row>
    <row r="574" ht="15.75" customHeight="1">
      <c r="A574" s="16">
        <f t="shared" si="4"/>
        <v>102.9893052</v>
      </c>
      <c r="B574" s="7">
        <f>(sum(AH574:AL574))*'Optimal Choice'!$B$28</f>
        <v>5882238</v>
      </c>
      <c r="C574" s="11"/>
      <c r="D574" s="12"/>
      <c r="E574" s="12"/>
      <c r="F574" s="11"/>
      <c r="G574" s="11">
        <f>(T574/$B574)+(T574/('Optimal Choice'!$B$4*AO574))</f>
        <v>49758.58849</v>
      </c>
      <c r="H574" s="11">
        <f>(U574/$B574)+(U574/('Optimal Choice'!$B$9*AP574))</f>
        <v>52980.65377</v>
      </c>
      <c r="I574" s="11">
        <f>(V574/$B574)+(V574/('Optimal Choice'!$B$14*AQ574))</f>
        <v>48267.80384</v>
      </c>
      <c r="J574" s="11">
        <f>(W574/$B574)+(W574/('Optimal Choice'!$B$19*AR574))</f>
        <v>50923.31632</v>
      </c>
      <c r="K574" s="11">
        <f>(X574/$B574)+(X574/('Optimal Choice'!$B$24*AS574))</f>
        <v>52106.50945</v>
      </c>
      <c r="N574" s="12">
        <f t="shared" ref="N574:R574" si="1716">if(min($G573:$K573)=G573,N573+1,N573)</f>
        <v>214</v>
      </c>
      <c r="O574" s="12">
        <f t="shared" si="1716"/>
        <v>92</v>
      </c>
      <c r="P574" s="12">
        <f t="shared" si="1716"/>
        <v>90</v>
      </c>
      <c r="Q574" s="12">
        <f t="shared" si="1716"/>
        <v>88</v>
      </c>
      <c r="R574" s="12">
        <f t="shared" si="1716"/>
        <v>89</v>
      </c>
      <c r="T574" s="13">
        <f> 'Optimal Choice'!$B$5*'Optimal Choice'!$B$6^(N574+1)</f>
        <v>8309448.369</v>
      </c>
      <c r="U574" s="13">
        <f> 'Optimal Choice'!$B$10*'Optimal Choice'!$B$11^(O574+1)</f>
        <v>26488075.36</v>
      </c>
      <c r="V574" s="13">
        <f> 'Optimal Choice'!$B$15*'Optimal Choice'!$B$16^(P574+1)</f>
        <v>108561033.2</v>
      </c>
      <c r="W574" s="13">
        <f> 'Optimal Choice'!$B$20*'Optimal Choice'!$B$21^(Q574+1)</f>
        <v>457609690.3</v>
      </c>
      <c r="X574" s="13">
        <f> 'Optimal Choice'!$B$25*'Optimal Choice'!$B$26^(R574+1)</f>
        <v>2788155740</v>
      </c>
      <c r="AA574" s="12">
        <f t="shared" ref="AA574:AE574" si="1717">if(isna(VLOOKUP(N574,$D$2:$E$10,2,false)),AA573, VLOOKUP(N574,$D$2:$E$10,2,false))</f>
        <v>100</v>
      </c>
      <c r="AB574" s="12">
        <f t="shared" si="1717"/>
        <v>25</v>
      </c>
      <c r="AC574" s="12">
        <f t="shared" si="1717"/>
        <v>25</v>
      </c>
      <c r="AD574" s="12">
        <f t="shared" si="1717"/>
        <v>25</v>
      </c>
      <c r="AE574" s="12">
        <f t="shared" si="1717"/>
        <v>25</v>
      </c>
      <c r="AH574" s="15">
        <f>N574*'Optimal Choice'!$B$4*AA574</f>
        <v>35738</v>
      </c>
      <c r="AI574" s="15">
        <f>O574*'Optimal Choice'!$B$9*AB574</f>
        <v>46000</v>
      </c>
      <c r="AJ574" s="15">
        <f>P574*'Optimal Choice'!$B$14*AC574</f>
        <v>202500</v>
      </c>
      <c r="AK574" s="15">
        <f>Q574*'Optimal Choice'!$B$19*AD574</f>
        <v>792000</v>
      </c>
      <c r="AL574" s="15">
        <f>R574*'Optimal Choice'!$B$24*AE574</f>
        <v>4806000</v>
      </c>
      <c r="AO574" s="12">
        <f t="shared" ref="AO574:AS574" si="1718">if(isna(VLOOKUP(N574+1,$D$2:$E$10,2,false)),AO573, VLOOKUP(N574+1,$D$2:$E$10,2,false))</f>
        <v>100</v>
      </c>
      <c r="AP574" s="12">
        <f t="shared" si="1718"/>
        <v>25</v>
      </c>
      <c r="AQ574" s="12">
        <f t="shared" si="1718"/>
        <v>25</v>
      </c>
      <c r="AR574" s="12">
        <f t="shared" si="1718"/>
        <v>25</v>
      </c>
      <c r="AS574" s="12">
        <f t="shared" si="1718"/>
        <v>25</v>
      </c>
      <c r="AU574" s="11">
        <f t="shared" si="8"/>
        <v>7.118860417</v>
      </c>
    </row>
    <row r="575" ht="15.75" customHeight="1">
      <c r="A575" s="16">
        <f t="shared" si="4"/>
        <v>103.2969008</v>
      </c>
      <c r="B575" s="7">
        <f>(sum(AH575:AL575))*'Optimal Choice'!$B$28</f>
        <v>5884488</v>
      </c>
      <c r="C575" s="11"/>
      <c r="D575" s="12"/>
      <c r="E575" s="12"/>
      <c r="F575" s="11"/>
      <c r="G575" s="11">
        <f>(T575/$B575)+(T575/('Optimal Choice'!$B$4*AO575))</f>
        <v>49758.58795</v>
      </c>
      <c r="H575" s="11">
        <f>(U575/$B575)+(U575/('Optimal Choice'!$B$9*AP575))</f>
        <v>52980.65205</v>
      </c>
      <c r="I575" s="11">
        <f>(V575/$B575)+(V575/('Optimal Choice'!$B$14*AQ575))</f>
        <v>55025.28833</v>
      </c>
      <c r="J575" s="11">
        <f>(W575/$B575)+(W575/('Optimal Choice'!$B$19*AR575))</f>
        <v>50923.28657</v>
      </c>
      <c r="K575" s="11">
        <f>(X575/$B575)+(X575/('Optimal Choice'!$B$24*AS575))</f>
        <v>52106.32821</v>
      </c>
      <c r="N575" s="12">
        <f t="shared" ref="N575:R575" si="1719">if(min($G574:$K574)=G574,N574+1,N574)</f>
        <v>214</v>
      </c>
      <c r="O575" s="12">
        <f t="shared" si="1719"/>
        <v>92</v>
      </c>
      <c r="P575" s="12">
        <f t="shared" si="1719"/>
        <v>91</v>
      </c>
      <c r="Q575" s="12">
        <f t="shared" si="1719"/>
        <v>88</v>
      </c>
      <c r="R575" s="12">
        <f t="shared" si="1719"/>
        <v>89</v>
      </c>
      <c r="T575" s="13">
        <f> 'Optimal Choice'!$B$5*'Optimal Choice'!$B$6^(N575+1)</f>
        <v>8309448.369</v>
      </c>
      <c r="U575" s="13">
        <f> 'Optimal Choice'!$B$10*'Optimal Choice'!$B$11^(O575+1)</f>
        <v>26488075.36</v>
      </c>
      <c r="V575" s="13">
        <f> 'Optimal Choice'!$B$15*'Optimal Choice'!$B$16^(P575+1)</f>
        <v>123759577.9</v>
      </c>
      <c r="W575" s="13">
        <f> 'Optimal Choice'!$B$20*'Optimal Choice'!$B$21^(Q575+1)</f>
        <v>457609690.3</v>
      </c>
      <c r="X575" s="13">
        <f> 'Optimal Choice'!$B$25*'Optimal Choice'!$B$26^(R575+1)</f>
        <v>2788155740</v>
      </c>
      <c r="AA575" s="12">
        <f t="shared" ref="AA575:AE575" si="1720">if(isna(VLOOKUP(N575,$D$2:$E$10,2,false)),AA574, VLOOKUP(N575,$D$2:$E$10,2,false))</f>
        <v>100</v>
      </c>
      <c r="AB575" s="12">
        <f t="shared" si="1720"/>
        <v>25</v>
      </c>
      <c r="AC575" s="12">
        <f t="shared" si="1720"/>
        <v>25</v>
      </c>
      <c r="AD575" s="12">
        <f t="shared" si="1720"/>
        <v>25</v>
      </c>
      <c r="AE575" s="12">
        <f t="shared" si="1720"/>
        <v>25</v>
      </c>
      <c r="AH575" s="15">
        <f>N575*'Optimal Choice'!$B$4*AA575</f>
        <v>35738</v>
      </c>
      <c r="AI575" s="15">
        <f>O575*'Optimal Choice'!$B$9*AB575</f>
        <v>46000</v>
      </c>
      <c r="AJ575" s="15">
        <f>P575*'Optimal Choice'!$B$14*AC575</f>
        <v>204750</v>
      </c>
      <c r="AK575" s="15">
        <f>Q575*'Optimal Choice'!$B$19*AD575</f>
        <v>792000</v>
      </c>
      <c r="AL575" s="15">
        <f>R575*'Optimal Choice'!$B$24*AE575</f>
        <v>4806000</v>
      </c>
      <c r="AO575" s="12">
        <f t="shared" ref="AO575:AS575" si="1721">if(isna(VLOOKUP(N575+1,$D$2:$E$10,2,false)),AO574, VLOOKUP(N575+1,$D$2:$E$10,2,false))</f>
        <v>100</v>
      </c>
      <c r="AP575" s="12">
        <f t="shared" si="1721"/>
        <v>25</v>
      </c>
      <c r="AQ575" s="12">
        <f t="shared" si="1721"/>
        <v>25</v>
      </c>
      <c r="AR575" s="12">
        <f t="shared" si="1721"/>
        <v>25</v>
      </c>
      <c r="AS575" s="12">
        <f t="shared" si="1721"/>
        <v>25</v>
      </c>
      <c r="AU575" s="11">
        <f t="shared" si="8"/>
        <v>0.3075956046</v>
      </c>
    </row>
    <row r="576" ht="15.75" customHeight="1">
      <c r="A576" s="16">
        <f t="shared" si="4"/>
        <v>103.3204357</v>
      </c>
      <c r="B576" s="7">
        <f>(sum(AH576:AL576))*'Optimal Choice'!$B$28</f>
        <v>5884655</v>
      </c>
      <c r="C576" s="11"/>
      <c r="D576" s="12"/>
      <c r="E576" s="12"/>
      <c r="F576" s="11"/>
      <c r="G576" s="11">
        <f>(T576/$B576)+(T576/('Optimal Choice'!$B$4*AO576))</f>
        <v>53241.68907</v>
      </c>
      <c r="H576" s="11">
        <f>(U576/$B576)+(U576/('Optimal Choice'!$B$9*AP576))</f>
        <v>52980.65192</v>
      </c>
      <c r="I576" s="11">
        <f>(V576/$B576)+(V576/('Optimal Choice'!$B$14*AQ576))</f>
        <v>55025.28773</v>
      </c>
      <c r="J576" s="11">
        <f>(W576/$B576)+(W576/('Optimal Choice'!$B$19*AR576))</f>
        <v>50923.28436</v>
      </c>
      <c r="K576" s="11">
        <f>(X576/$B576)+(X576/('Optimal Choice'!$B$24*AS576))</f>
        <v>52106.31476</v>
      </c>
      <c r="N576" s="12">
        <f t="shared" ref="N576:R576" si="1722">if(min($G575:$K575)=G575,N575+1,N575)</f>
        <v>215</v>
      </c>
      <c r="O576" s="12">
        <f t="shared" si="1722"/>
        <v>92</v>
      </c>
      <c r="P576" s="12">
        <f t="shared" si="1722"/>
        <v>91</v>
      </c>
      <c r="Q576" s="12">
        <f t="shared" si="1722"/>
        <v>88</v>
      </c>
      <c r="R576" s="12">
        <f t="shared" si="1722"/>
        <v>89</v>
      </c>
      <c r="T576" s="13">
        <f> 'Optimal Choice'!$B$5*'Optimal Choice'!$B$6^(N576+1)</f>
        <v>8891109.754</v>
      </c>
      <c r="U576" s="13">
        <f> 'Optimal Choice'!$B$10*'Optimal Choice'!$B$11^(O576+1)</f>
        <v>26488075.36</v>
      </c>
      <c r="V576" s="13">
        <f> 'Optimal Choice'!$B$15*'Optimal Choice'!$B$16^(P576+1)</f>
        <v>123759577.9</v>
      </c>
      <c r="W576" s="13">
        <f> 'Optimal Choice'!$B$20*'Optimal Choice'!$B$21^(Q576+1)</f>
        <v>457609690.3</v>
      </c>
      <c r="X576" s="13">
        <f> 'Optimal Choice'!$B$25*'Optimal Choice'!$B$26^(R576+1)</f>
        <v>2788155740</v>
      </c>
      <c r="AA576" s="12">
        <f t="shared" ref="AA576:AE576" si="1723">if(isna(VLOOKUP(N576,$D$2:$E$10,2,false)),AA575, VLOOKUP(N576,$D$2:$E$10,2,false))</f>
        <v>100</v>
      </c>
      <c r="AB576" s="12">
        <f t="shared" si="1723"/>
        <v>25</v>
      </c>
      <c r="AC576" s="12">
        <f t="shared" si="1723"/>
        <v>25</v>
      </c>
      <c r="AD576" s="12">
        <f t="shared" si="1723"/>
        <v>25</v>
      </c>
      <c r="AE576" s="12">
        <f t="shared" si="1723"/>
        <v>25</v>
      </c>
      <c r="AH576" s="15">
        <f>N576*'Optimal Choice'!$B$4*AA576</f>
        <v>35905</v>
      </c>
      <c r="AI576" s="15">
        <f>O576*'Optimal Choice'!$B$9*AB576</f>
        <v>46000</v>
      </c>
      <c r="AJ576" s="15">
        <f>P576*'Optimal Choice'!$B$14*AC576</f>
        <v>204750</v>
      </c>
      <c r="AK576" s="15">
        <f>Q576*'Optimal Choice'!$B$19*AD576</f>
        <v>792000</v>
      </c>
      <c r="AL576" s="15">
        <f>R576*'Optimal Choice'!$B$24*AE576</f>
        <v>4806000</v>
      </c>
      <c r="AO576" s="12">
        <f t="shared" ref="AO576:AS576" si="1724">if(isna(VLOOKUP(N576+1,$D$2:$E$10,2,false)),AO575, VLOOKUP(N576+1,$D$2:$E$10,2,false))</f>
        <v>100</v>
      </c>
      <c r="AP576" s="12">
        <f t="shared" si="1724"/>
        <v>25</v>
      </c>
      <c r="AQ576" s="12">
        <f t="shared" si="1724"/>
        <v>25</v>
      </c>
      <c r="AR576" s="12">
        <f t="shared" si="1724"/>
        <v>25</v>
      </c>
      <c r="AS576" s="12">
        <f t="shared" si="1724"/>
        <v>25</v>
      </c>
      <c r="AU576" s="11">
        <f t="shared" si="8"/>
        <v>0.02353489482</v>
      </c>
    </row>
    <row r="577" ht="15.75" customHeight="1">
      <c r="A577" s="16">
        <f t="shared" si="4"/>
        <v>104.6164893</v>
      </c>
      <c r="B577" s="7">
        <f>(sum(AH577:AL577))*'Optimal Choice'!$B$28</f>
        <v>5893655</v>
      </c>
      <c r="C577" s="11"/>
      <c r="D577" s="12"/>
      <c r="E577" s="12"/>
      <c r="F577" s="11"/>
      <c r="G577" s="11">
        <f>(T577/$B577)+(T577/('Optimal Choice'!$B$4*AO577))</f>
        <v>53241.68676</v>
      </c>
      <c r="H577" s="11">
        <f>(U577/$B577)+(U577/('Optimal Choice'!$B$9*AP577))</f>
        <v>52980.64505</v>
      </c>
      <c r="I577" s="11">
        <f>(V577/$B577)+(V577/('Optimal Choice'!$B$14*AQ577))</f>
        <v>55025.25562</v>
      </c>
      <c r="J577" s="11">
        <f>(W577/$B577)+(W577/('Optimal Choice'!$B$19*AR577))</f>
        <v>57543.17714</v>
      </c>
      <c r="K577" s="11">
        <f>(X577/$B577)+(X577/('Optimal Choice'!$B$24*AS577))</f>
        <v>52105.59124</v>
      </c>
      <c r="N577" s="12">
        <f t="shared" ref="N577:R577" si="1725">if(min($G576:$K576)=G576,N576+1,N576)</f>
        <v>215</v>
      </c>
      <c r="O577" s="12">
        <f t="shared" si="1725"/>
        <v>92</v>
      </c>
      <c r="P577" s="12">
        <f t="shared" si="1725"/>
        <v>91</v>
      </c>
      <c r="Q577" s="12">
        <f t="shared" si="1725"/>
        <v>89</v>
      </c>
      <c r="R577" s="12">
        <f t="shared" si="1725"/>
        <v>89</v>
      </c>
      <c r="T577" s="13">
        <f> 'Optimal Choice'!$B$5*'Optimal Choice'!$B$6^(N577+1)</f>
        <v>8891109.754</v>
      </c>
      <c r="U577" s="13">
        <f> 'Optimal Choice'!$B$10*'Optimal Choice'!$B$11^(O577+1)</f>
        <v>26488075.36</v>
      </c>
      <c r="V577" s="13">
        <f> 'Optimal Choice'!$B$15*'Optimal Choice'!$B$16^(P577+1)</f>
        <v>123759577.9</v>
      </c>
      <c r="W577" s="13">
        <f> 'Optimal Choice'!$B$20*'Optimal Choice'!$B$21^(Q577+1)</f>
        <v>517098950.1</v>
      </c>
      <c r="X577" s="13">
        <f> 'Optimal Choice'!$B$25*'Optimal Choice'!$B$26^(R577+1)</f>
        <v>2788155740</v>
      </c>
      <c r="AA577" s="12">
        <f t="shared" ref="AA577:AE577" si="1726">if(isna(VLOOKUP(N577,$D$2:$E$10,2,false)),AA576, VLOOKUP(N577,$D$2:$E$10,2,false))</f>
        <v>100</v>
      </c>
      <c r="AB577" s="12">
        <f t="shared" si="1726"/>
        <v>25</v>
      </c>
      <c r="AC577" s="12">
        <f t="shared" si="1726"/>
        <v>25</v>
      </c>
      <c r="AD577" s="12">
        <f t="shared" si="1726"/>
        <v>25</v>
      </c>
      <c r="AE577" s="12">
        <f t="shared" si="1726"/>
        <v>25</v>
      </c>
      <c r="AH577" s="15">
        <f>N577*'Optimal Choice'!$B$4*AA577</f>
        <v>35905</v>
      </c>
      <c r="AI577" s="15">
        <f>O577*'Optimal Choice'!$B$9*AB577</f>
        <v>46000</v>
      </c>
      <c r="AJ577" s="15">
        <f>P577*'Optimal Choice'!$B$14*AC577</f>
        <v>204750</v>
      </c>
      <c r="AK577" s="15">
        <f>Q577*'Optimal Choice'!$B$19*AD577</f>
        <v>801000</v>
      </c>
      <c r="AL577" s="15">
        <f>R577*'Optimal Choice'!$B$24*AE577</f>
        <v>4806000</v>
      </c>
      <c r="AO577" s="12">
        <f t="shared" ref="AO577:AS577" si="1727">if(isna(VLOOKUP(N577+1,$D$2:$E$10,2,false)),AO576, VLOOKUP(N577+1,$D$2:$E$10,2,false))</f>
        <v>100</v>
      </c>
      <c r="AP577" s="12">
        <f t="shared" si="1727"/>
        <v>25</v>
      </c>
      <c r="AQ577" s="12">
        <f t="shared" si="1727"/>
        <v>25</v>
      </c>
      <c r="AR577" s="12">
        <f t="shared" si="1727"/>
        <v>25</v>
      </c>
      <c r="AS577" s="12">
        <f t="shared" si="1727"/>
        <v>25</v>
      </c>
      <c r="AU577" s="11">
        <f t="shared" si="8"/>
        <v>1.296053579</v>
      </c>
    </row>
    <row r="578" ht="15.75" customHeight="1">
      <c r="A578" s="16">
        <f t="shared" si="4"/>
        <v>112.5011148</v>
      </c>
      <c r="B578" s="7">
        <f>(sum(AH578:AL578))*'Optimal Choice'!$B$28</f>
        <v>5947655</v>
      </c>
      <c r="C578" s="11"/>
      <c r="D578" s="12"/>
      <c r="E578" s="12"/>
      <c r="F578" s="11"/>
      <c r="G578" s="11">
        <f>(T578/$B578)+(T578/('Optimal Choice'!$B$4*AO578))</f>
        <v>53241.67306</v>
      </c>
      <c r="H578" s="11">
        <f>(U578/$B578)+(U578/('Optimal Choice'!$B$9*AP578))</f>
        <v>52980.60424</v>
      </c>
      <c r="I578" s="11">
        <f>(V578/$B578)+(V578/('Optimal Choice'!$B$14*AQ578))</f>
        <v>55025.06496</v>
      </c>
      <c r="J578" s="11">
        <f>(W578/$B578)+(W578/('Optimal Choice'!$B$19*AR578))</f>
        <v>57542.38055</v>
      </c>
      <c r="K578" s="11">
        <f>(X578/$B578)+(X578/('Optimal Choice'!$B$24*AS578))</f>
        <v>58353.4516</v>
      </c>
      <c r="N578" s="12">
        <f t="shared" ref="N578:R578" si="1728">if(min($G577:$K577)=G577,N577+1,N577)</f>
        <v>215</v>
      </c>
      <c r="O578" s="12">
        <f t="shared" si="1728"/>
        <v>92</v>
      </c>
      <c r="P578" s="12">
        <f t="shared" si="1728"/>
        <v>91</v>
      </c>
      <c r="Q578" s="12">
        <f t="shared" si="1728"/>
        <v>89</v>
      </c>
      <c r="R578" s="12">
        <f t="shared" si="1728"/>
        <v>90</v>
      </c>
      <c r="T578" s="13">
        <f> 'Optimal Choice'!$B$5*'Optimal Choice'!$B$6^(N578+1)</f>
        <v>8891109.754</v>
      </c>
      <c r="U578" s="13">
        <f> 'Optimal Choice'!$B$10*'Optimal Choice'!$B$11^(O578+1)</f>
        <v>26488075.36</v>
      </c>
      <c r="V578" s="13">
        <f> 'Optimal Choice'!$B$15*'Optimal Choice'!$B$16^(P578+1)</f>
        <v>123759577.9</v>
      </c>
      <c r="W578" s="13">
        <f> 'Optimal Choice'!$B$20*'Optimal Choice'!$B$21^(Q578+1)</f>
        <v>517098950.1</v>
      </c>
      <c r="X578" s="13">
        <f> 'Optimal Choice'!$B$25*'Optimal Choice'!$B$26^(R578+1)</f>
        <v>3122734429</v>
      </c>
      <c r="AA578" s="12">
        <f t="shared" ref="AA578:AE578" si="1729">if(isna(VLOOKUP(N578,$D$2:$E$10,2,false)),AA577, VLOOKUP(N578,$D$2:$E$10,2,false))</f>
        <v>100</v>
      </c>
      <c r="AB578" s="12">
        <f t="shared" si="1729"/>
        <v>25</v>
      </c>
      <c r="AC578" s="12">
        <f t="shared" si="1729"/>
        <v>25</v>
      </c>
      <c r="AD578" s="12">
        <f t="shared" si="1729"/>
        <v>25</v>
      </c>
      <c r="AE578" s="12">
        <f t="shared" si="1729"/>
        <v>25</v>
      </c>
      <c r="AH578" s="15">
        <f>N578*'Optimal Choice'!$B$4*AA578</f>
        <v>35905</v>
      </c>
      <c r="AI578" s="15">
        <f>O578*'Optimal Choice'!$B$9*AB578</f>
        <v>46000</v>
      </c>
      <c r="AJ578" s="15">
        <f>P578*'Optimal Choice'!$B$14*AC578</f>
        <v>204750</v>
      </c>
      <c r="AK578" s="15">
        <f>Q578*'Optimal Choice'!$B$19*AD578</f>
        <v>801000</v>
      </c>
      <c r="AL578" s="15">
        <f>R578*'Optimal Choice'!$B$24*AE578</f>
        <v>4860000</v>
      </c>
      <c r="AO578" s="12">
        <f t="shared" ref="AO578:AS578" si="1730">if(isna(VLOOKUP(N578+1,$D$2:$E$10,2,false)),AO577, VLOOKUP(N578+1,$D$2:$E$10,2,false))</f>
        <v>100</v>
      </c>
      <c r="AP578" s="12">
        <f t="shared" si="1730"/>
        <v>25</v>
      </c>
      <c r="AQ578" s="12">
        <f t="shared" si="1730"/>
        <v>25</v>
      </c>
      <c r="AR578" s="12">
        <f t="shared" si="1730"/>
        <v>25</v>
      </c>
      <c r="AS578" s="12">
        <f t="shared" si="1730"/>
        <v>25</v>
      </c>
      <c r="AU578" s="11">
        <f t="shared" si="8"/>
        <v>7.884625472</v>
      </c>
    </row>
    <row r="579" ht="15.75" customHeight="1">
      <c r="A579" s="16">
        <f t="shared" si="4"/>
        <v>112.5753403</v>
      </c>
      <c r="B579" s="7">
        <f>(sum(AH579:AL579))*'Optimal Choice'!$B$28</f>
        <v>5948155</v>
      </c>
      <c r="C579" s="11"/>
      <c r="D579" s="12"/>
      <c r="E579" s="12"/>
      <c r="F579" s="11"/>
      <c r="G579" s="11">
        <f>(T579/$B579)+(T579/('Optimal Choice'!$B$4*AO579))</f>
        <v>53241.67294</v>
      </c>
      <c r="H579" s="11">
        <f>(U579/$B579)+(U579/('Optimal Choice'!$B$9*AP579))</f>
        <v>60927.69445</v>
      </c>
      <c r="I579" s="11">
        <f>(V579/$B579)+(V579/('Optimal Choice'!$B$14*AQ579))</f>
        <v>55025.06321</v>
      </c>
      <c r="J579" s="11">
        <f>(W579/$B579)+(W579/('Optimal Choice'!$B$19*AR579))</f>
        <v>57542.37324</v>
      </c>
      <c r="K579" s="11">
        <f>(X579/$B579)+(X579/('Optimal Choice'!$B$24*AS579))</f>
        <v>58353.40746</v>
      </c>
      <c r="N579" s="12">
        <f t="shared" ref="N579:R579" si="1731">if(min($G578:$K578)=G578,N578+1,N578)</f>
        <v>215</v>
      </c>
      <c r="O579" s="12">
        <f t="shared" si="1731"/>
        <v>93</v>
      </c>
      <c r="P579" s="12">
        <f t="shared" si="1731"/>
        <v>91</v>
      </c>
      <c r="Q579" s="12">
        <f t="shared" si="1731"/>
        <v>89</v>
      </c>
      <c r="R579" s="12">
        <f t="shared" si="1731"/>
        <v>90</v>
      </c>
      <c r="T579" s="13">
        <f> 'Optimal Choice'!$B$5*'Optimal Choice'!$B$6^(N579+1)</f>
        <v>8891109.754</v>
      </c>
      <c r="U579" s="13">
        <f> 'Optimal Choice'!$B$10*'Optimal Choice'!$B$11^(O579+1)</f>
        <v>30461286.66</v>
      </c>
      <c r="V579" s="13">
        <f> 'Optimal Choice'!$B$15*'Optimal Choice'!$B$16^(P579+1)</f>
        <v>123759577.9</v>
      </c>
      <c r="W579" s="13">
        <f> 'Optimal Choice'!$B$20*'Optimal Choice'!$B$21^(Q579+1)</f>
        <v>517098950.1</v>
      </c>
      <c r="X579" s="13">
        <f> 'Optimal Choice'!$B$25*'Optimal Choice'!$B$26^(R579+1)</f>
        <v>3122734429</v>
      </c>
      <c r="AA579" s="12">
        <f t="shared" ref="AA579:AE579" si="1732">if(isna(VLOOKUP(N579,$D$2:$E$10,2,false)),AA578, VLOOKUP(N579,$D$2:$E$10,2,false))</f>
        <v>100</v>
      </c>
      <c r="AB579" s="12">
        <f t="shared" si="1732"/>
        <v>25</v>
      </c>
      <c r="AC579" s="12">
        <f t="shared" si="1732"/>
        <v>25</v>
      </c>
      <c r="AD579" s="12">
        <f t="shared" si="1732"/>
        <v>25</v>
      </c>
      <c r="AE579" s="12">
        <f t="shared" si="1732"/>
        <v>25</v>
      </c>
      <c r="AH579" s="15">
        <f>N579*'Optimal Choice'!$B$4*AA579</f>
        <v>35905</v>
      </c>
      <c r="AI579" s="15">
        <f>O579*'Optimal Choice'!$B$9*AB579</f>
        <v>46500</v>
      </c>
      <c r="AJ579" s="15">
        <f>P579*'Optimal Choice'!$B$14*AC579</f>
        <v>204750</v>
      </c>
      <c r="AK579" s="15">
        <f>Q579*'Optimal Choice'!$B$19*AD579</f>
        <v>801000</v>
      </c>
      <c r="AL579" s="15">
        <f>R579*'Optimal Choice'!$B$24*AE579</f>
        <v>4860000</v>
      </c>
      <c r="AO579" s="12">
        <f t="shared" ref="AO579:AS579" si="1733">if(isna(VLOOKUP(N579+1,$D$2:$E$10,2,false)),AO578, VLOOKUP(N579+1,$D$2:$E$10,2,false))</f>
        <v>100</v>
      </c>
      <c r="AP579" s="12">
        <f t="shared" si="1733"/>
        <v>25</v>
      </c>
      <c r="AQ579" s="12">
        <f t="shared" si="1733"/>
        <v>25</v>
      </c>
      <c r="AR579" s="12">
        <f t="shared" si="1733"/>
        <v>25</v>
      </c>
      <c r="AS579" s="12">
        <f t="shared" si="1733"/>
        <v>25</v>
      </c>
      <c r="AU579" s="11">
        <f t="shared" si="8"/>
        <v>0.07422554311</v>
      </c>
    </row>
    <row r="580" ht="15.75" customHeight="1">
      <c r="A580" s="16">
        <f t="shared" si="4"/>
        <v>112.6002531</v>
      </c>
      <c r="B580" s="7">
        <f>(sum(AH580:AL580))*'Optimal Choice'!$B$28</f>
        <v>5948322</v>
      </c>
      <c r="C580" s="11"/>
      <c r="D580" s="12"/>
      <c r="E580" s="12"/>
      <c r="F580" s="11"/>
      <c r="G580" s="11">
        <f>(T580/$B580)+(T580/('Optimal Choice'!$B$4*AO580))</f>
        <v>56968.59</v>
      </c>
      <c r="H580" s="11">
        <f>(U580/$B580)+(U580/('Optimal Choice'!$B$9*AP580))</f>
        <v>60927.69431</v>
      </c>
      <c r="I580" s="11">
        <f>(V580/$B580)+(V580/('Optimal Choice'!$B$14*AQ580))</f>
        <v>55025.06263</v>
      </c>
      <c r="J580" s="11">
        <f>(W580/$B580)+(W580/('Optimal Choice'!$B$19*AR580))</f>
        <v>57542.3708</v>
      </c>
      <c r="K580" s="11">
        <f>(X580/$B580)+(X580/('Optimal Choice'!$B$24*AS580))</f>
        <v>58353.39272</v>
      </c>
      <c r="N580" s="12">
        <f t="shared" ref="N580:R580" si="1734">if(min($G579:$K579)=G579,N579+1,N579)</f>
        <v>216</v>
      </c>
      <c r="O580" s="12">
        <f t="shared" si="1734"/>
        <v>93</v>
      </c>
      <c r="P580" s="12">
        <f t="shared" si="1734"/>
        <v>91</v>
      </c>
      <c r="Q580" s="12">
        <f t="shared" si="1734"/>
        <v>89</v>
      </c>
      <c r="R580" s="12">
        <f t="shared" si="1734"/>
        <v>90</v>
      </c>
      <c r="T580" s="13">
        <f> 'Optimal Choice'!$B$5*'Optimal Choice'!$B$6^(N580+1)</f>
        <v>9513487.437</v>
      </c>
      <c r="U580" s="13">
        <f> 'Optimal Choice'!$B$10*'Optimal Choice'!$B$11^(O580+1)</f>
        <v>30461286.66</v>
      </c>
      <c r="V580" s="13">
        <f> 'Optimal Choice'!$B$15*'Optimal Choice'!$B$16^(P580+1)</f>
        <v>123759577.9</v>
      </c>
      <c r="W580" s="13">
        <f> 'Optimal Choice'!$B$20*'Optimal Choice'!$B$21^(Q580+1)</f>
        <v>517098950.1</v>
      </c>
      <c r="X580" s="13">
        <f> 'Optimal Choice'!$B$25*'Optimal Choice'!$B$26^(R580+1)</f>
        <v>3122734429</v>
      </c>
      <c r="AA580" s="12">
        <f t="shared" ref="AA580:AE580" si="1735">if(isna(VLOOKUP(N580,$D$2:$E$10,2,false)),AA579, VLOOKUP(N580,$D$2:$E$10,2,false))</f>
        <v>100</v>
      </c>
      <c r="AB580" s="12">
        <f t="shared" si="1735"/>
        <v>25</v>
      </c>
      <c r="AC580" s="12">
        <f t="shared" si="1735"/>
        <v>25</v>
      </c>
      <c r="AD580" s="12">
        <f t="shared" si="1735"/>
        <v>25</v>
      </c>
      <c r="AE580" s="12">
        <f t="shared" si="1735"/>
        <v>25</v>
      </c>
      <c r="AH580" s="15">
        <f>N580*'Optimal Choice'!$B$4*AA580</f>
        <v>36072</v>
      </c>
      <c r="AI580" s="15">
        <f>O580*'Optimal Choice'!$B$9*AB580</f>
        <v>46500</v>
      </c>
      <c r="AJ580" s="15">
        <f>P580*'Optimal Choice'!$B$14*AC580</f>
        <v>204750</v>
      </c>
      <c r="AK580" s="15">
        <f>Q580*'Optimal Choice'!$B$19*AD580</f>
        <v>801000</v>
      </c>
      <c r="AL580" s="15">
        <f>R580*'Optimal Choice'!$B$24*AE580</f>
        <v>4860000</v>
      </c>
      <c r="AO580" s="12">
        <f t="shared" ref="AO580:AS580" si="1736">if(isna(VLOOKUP(N580+1,$D$2:$E$10,2,false)),AO579, VLOOKUP(N580+1,$D$2:$E$10,2,false))</f>
        <v>100</v>
      </c>
      <c r="AP580" s="12">
        <f t="shared" si="1736"/>
        <v>25</v>
      </c>
      <c r="AQ580" s="12">
        <f t="shared" si="1736"/>
        <v>25</v>
      </c>
      <c r="AR580" s="12">
        <f t="shared" si="1736"/>
        <v>25</v>
      </c>
      <c r="AS580" s="12">
        <f t="shared" si="1736"/>
        <v>25</v>
      </c>
      <c r="AU580" s="11">
        <f t="shared" si="8"/>
        <v>0.0249127944</v>
      </c>
    </row>
    <row r="581" ht="15.75" customHeight="1">
      <c r="A581" s="16">
        <f t="shared" si="4"/>
        <v>112.9470164</v>
      </c>
      <c r="B581" s="7">
        <f>(sum(AH581:AL581))*'Optimal Choice'!$B$28</f>
        <v>5950572</v>
      </c>
      <c r="C581" s="11"/>
      <c r="D581" s="12"/>
      <c r="E581" s="12"/>
      <c r="F581" s="11"/>
      <c r="G581" s="11">
        <f>(T581/$B581)+(T581/('Optimal Choice'!$B$4*AO581))</f>
        <v>56968.58939</v>
      </c>
      <c r="H581" s="11">
        <f>(U581/$B581)+(U581/('Optimal Choice'!$B$9*AP581))</f>
        <v>60927.69237</v>
      </c>
      <c r="I581" s="11">
        <f>(V581/$B581)+(V581/('Optimal Choice'!$B$14*AQ581))</f>
        <v>62728.56243</v>
      </c>
      <c r="J581" s="11">
        <f>(W581/$B581)+(W581/('Optimal Choice'!$B$19*AR581))</f>
        <v>57542.33793</v>
      </c>
      <c r="K581" s="11">
        <f>(X581/$B581)+(X581/('Optimal Choice'!$B$24*AS581))</f>
        <v>58353.19422</v>
      </c>
      <c r="N581" s="12">
        <f t="shared" ref="N581:R581" si="1737">if(min($G580:$K580)=G580,N580+1,N580)</f>
        <v>216</v>
      </c>
      <c r="O581" s="12">
        <f t="shared" si="1737"/>
        <v>93</v>
      </c>
      <c r="P581" s="12">
        <f t="shared" si="1737"/>
        <v>92</v>
      </c>
      <c r="Q581" s="12">
        <f t="shared" si="1737"/>
        <v>89</v>
      </c>
      <c r="R581" s="12">
        <f t="shared" si="1737"/>
        <v>90</v>
      </c>
      <c r="T581" s="13">
        <f> 'Optimal Choice'!$B$5*'Optimal Choice'!$B$6^(N581+1)</f>
        <v>9513487.437</v>
      </c>
      <c r="U581" s="13">
        <f> 'Optimal Choice'!$B$10*'Optimal Choice'!$B$11^(O581+1)</f>
        <v>30461286.66</v>
      </c>
      <c r="V581" s="13">
        <f> 'Optimal Choice'!$B$15*'Optimal Choice'!$B$16^(P581+1)</f>
        <v>141085918.8</v>
      </c>
      <c r="W581" s="13">
        <f> 'Optimal Choice'!$B$20*'Optimal Choice'!$B$21^(Q581+1)</f>
        <v>517098950.1</v>
      </c>
      <c r="X581" s="13">
        <f> 'Optimal Choice'!$B$25*'Optimal Choice'!$B$26^(R581+1)</f>
        <v>3122734429</v>
      </c>
      <c r="AA581" s="12">
        <f t="shared" ref="AA581:AE581" si="1738">if(isna(VLOOKUP(N581,$D$2:$E$10,2,false)),AA580, VLOOKUP(N581,$D$2:$E$10,2,false))</f>
        <v>100</v>
      </c>
      <c r="AB581" s="12">
        <f t="shared" si="1738"/>
        <v>25</v>
      </c>
      <c r="AC581" s="12">
        <f t="shared" si="1738"/>
        <v>25</v>
      </c>
      <c r="AD581" s="12">
        <f t="shared" si="1738"/>
        <v>25</v>
      </c>
      <c r="AE581" s="12">
        <f t="shared" si="1738"/>
        <v>25</v>
      </c>
      <c r="AH581" s="15">
        <f>N581*'Optimal Choice'!$B$4*AA581</f>
        <v>36072</v>
      </c>
      <c r="AI581" s="15">
        <f>O581*'Optimal Choice'!$B$9*AB581</f>
        <v>46500</v>
      </c>
      <c r="AJ581" s="15">
        <f>P581*'Optimal Choice'!$B$14*AC581</f>
        <v>207000</v>
      </c>
      <c r="AK581" s="15">
        <f>Q581*'Optimal Choice'!$B$19*AD581</f>
        <v>801000</v>
      </c>
      <c r="AL581" s="15">
        <f>R581*'Optimal Choice'!$B$24*AE581</f>
        <v>4860000</v>
      </c>
      <c r="AO581" s="12">
        <f t="shared" ref="AO581:AS581" si="1739">if(isna(VLOOKUP(N581+1,$D$2:$E$10,2,false)),AO580, VLOOKUP(N581+1,$D$2:$E$10,2,false))</f>
        <v>100</v>
      </c>
      <c r="AP581" s="12">
        <f t="shared" si="1739"/>
        <v>25</v>
      </c>
      <c r="AQ581" s="12">
        <f t="shared" si="1739"/>
        <v>25</v>
      </c>
      <c r="AR581" s="12">
        <f t="shared" si="1739"/>
        <v>25</v>
      </c>
      <c r="AS581" s="12">
        <f t="shared" si="1739"/>
        <v>25</v>
      </c>
      <c r="AU581" s="11">
        <f t="shared" si="8"/>
        <v>0.3467632773</v>
      </c>
    </row>
    <row r="582" ht="15.75" customHeight="1">
      <c r="A582" s="16">
        <f t="shared" si="4"/>
        <v>112.9736622</v>
      </c>
      <c r="B582" s="7">
        <f>(sum(AH582:AL582))*'Optimal Choice'!$B$28</f>
        <v>5950739</v>
      </c>
      <c r="C582" s="11"/>
      <c r="D582" s="12"/>
      <c r="E582" s="12"/>
      <c r="F582" s="11"/>
      <c r="G582" s="11">
        <f>(T582/$B582)+(T582/('Optimal Choice'!$B$4*AO582))</f>
        <v>60956.3906</v>
      </c>
      <c r="H582" s="11">
        <f>(U582/$B582)+(U582/('Optimal Choice'!$B$9*AP582))</f>
        <v>60927.69223</v>
      </c>
      <c r="I582" s="11">
        <f>(V582/$B582)+(V582/('Optimal Choice'!$B$14*AQ582))</f>
        <v>62728.56177</v>
      </c>
      <c r="J582" s="11">
        <f>(W582/$B582)+(W582/('Optimal Choice'!$B$19*AR582))</f>
        <v>57542.33549</v>
      </c>
      <c r="K582" s="11">
        <f>(X582/$B582)+(X582/('Optimal Choice'!$B$24*AS582))</f>
        <v>58353.17949</v>
      </c>
      <c r="N582" s="12">
        <f t="shared" ref="N582:R582" si="1740">if(min($G581:$K581)=G581,N581+1,N581)</f>
        <v>217</v>
      </c>
      <c r="O582" s="12">
        <f t="shared" si="1740"/>
        <v>93</v>
      </c>
      <c r="P582" s="12">
        <f t="shared" si="1740"/>
        <v>92</v>
      </c>
      <c r="Q582" s="12">
        <f t="shared" si="1740"/>
        <v>89</v>
      </c>
      <c r="R582" s="12">
        <f t="shared" si="1740"/>
        <v>90</v>
      </c>
      <c r="T582" s="13">
        <f> 'Optimal Choice'!$B$5*'Optimal Choice'!$B$6^(N582+1)</f>
        <v>10179431.56</v>
      </c>
      <c r="U582" s="13">
        <f> 'Optimal Choice'!$B$10*'Optimal Choice'!$B$11^(O582+1)</f>
        <v>30461286.66</v>
      </c>
      <c r="V582" s="13">
        <f> 'Optimal Choice'!$B$15*'Optimal Choice'!$B$16^(P582+1)</f>
        <v>141085918.8</v>
      </c>
      <c r="W582" s="13">
        <f> 'Optimal Choice'!$B$20*'Optimal Choice'!$B$21^(Q582+1)</f>
        <v>517098950.1</v>
      </c>
      <c r="X582" s="13">
        <f> 'Optimal Choice'!$B$25*'Optimal Choice'!$B$26^(R582+1)</f>
        <v>3122734429</v>
      </c>
      <c r="AA582" s="12">
        <f t="shared" ref="AA582:AE582" si="1741">if(isna(VLOOKUP(N582,$D$2:$E$10,2,false)),AA581, VLOOKUP(N582,$D$2:$E$10,2,false))</f>
        <v>100</v>
      </c>
      <c r="AB582" s="12">
        <f t="shared" si="1741"/>
        <v>25</v>
      </c>
      <c r="AC582" s="12">
        <f t="shared" si="1741"/>
        <v>25</v>
      </c>
      <c r="AD582" s="12">
        <f t="shared" si="1741"/>
        <v>25</v>
      </c>
      <c r="AE582" s="12">
        <f t="shared" si="1741"/>
        <v>25</v>
      </c>
      <c r="AH582" s="15">
        <f>N582*'Optimal Choice'!$B$4*AA582</f>
        <v>36239</v>
      </c>
      <c r="AI582" s="15">
        <f>O582*'Optimal Choice'!$B$9*AB582</f>
        <v>46500</v>
      </c>
      <c r="AJ582" s="15">
        <f>P582*'Optimal Choice'!$B$14*AC582</f>
        <v>207000</v>
      </c>
      <c r="AK582" s="15">
        <f>Q582*'Optimal Choice'!$B$19*AD582</f>
        <v>801000</v>
      </c>
      <c r="AL582" s="15">
        <f>R582*'Optimal Choice'!$B$24*AE582</f>
        <v>4860000</v>
      </c>
      <c r="AO582" s="12">
        <f t="shared" ref="AO582:AS582" si="1742">if(isna(VLOOKUP(N582+1,$D$2:$E$10,2,false)),AO581, VLOOKUP(N582+1,$D$2:$E$10,2,false))</f>
        <v>100</v>
      </c>
      <c r="AP582" s="12">
        <f t="shared" si="1742"/>
        <v>25</v>
      </c>
      <c r="AQ582" s="12">
        <f t="shared" si="1742"/>
        <v>25</v>
      </c>
      <c r="AR582" s="12">
        <f t="shared" si="1742"/>
        <v>25</v>
      </c>
      <c r="AS582" s="12">
        <f t="shared" si="1742"/>
        <v>25</v>
      </c>
      <c r="AU582" s="11">
        <f t="shared" si="8"/>
        <v>0.02664586261</v>
      </c>
    </row>
    <row r="583" ht="15.75" customHeight="1">
      <c r="A583" s="16">
        <f t="shared" si="4"/>
        <v>114.4219388</v>
      </c>
      <c r="B583" s="7">
        <f>(sum(AH583:AL583))*'Optimal Choice'!$B$28</f>
        <v>5959739</v>
      </c>
      <c r="C583" s="11"/>
      <c r="D583" s="12"/>
      <c r="E583" s="12"/>
      <c r="F583" s="11"/>
      <c r="G583" s="11">
        <f>(T583/$B583)+(T583/('Optimal Choice'!$B$4*AO583))</f>
        <v>60956.38802</v>
      </c>
      <c r="H583" s="11">
        <f>(U583/$B583)+(U583/('Optimal Choice'!$B$9*AP583))</f>
        <v>60927.6845</v>
      </c>
      <c r="I583" s="11">
        <f>(V583/$B583)+(V583/('Optimal Choice'!$B$14*AQ583))</f>
        <v>62728.52596</v>
      </c>
      <c r="J583" s="11">
        <f>(W583/$B583)+(W583/('Optimal Choice'!$B$19*AR583))</f>
        <v>65022.69082</v>
      </c>
      <c r="K583" s="11">
        <f>(X583/$B583)+(X583/('Optimal Choice'!$B$24*AS583))</f>
        <v>58352.38703</v>
      </c>
      <c r="N583" s="12">
        <f t="shared" ref="N583:R583" si="1743">if(min($G582:$K582)=G582,N582+1,N582)</f>
        <v>217</v>
      </c>
      <c r="O583" s="12">
        <f t="shared" si="1743"/>
        <v>93</v>
      </c>
      <c r="P583" s="12">
        <f t="shared" si="1743"/>
        <v>92</v>
      </c>
      <c r="Q583" s="12">
        <f t="shared" si="1743"/>
        <v>90</v>
      </c>
      <c r="R583" s="12">
        <f t="shared" si="1743"/>
        <v>90</v>
      </c>
      <c r="T583" s="13">
        <f> 'Optimal Choice'!$B$5*'Optimal Choice'!$B$6^(N583+1)</f>
        <v>10179431.56</v>
      </c>
      <c r="U583" s="13">
        <f> 'Optimal Choice'!$B$10*'Optimal Choice'!$B$11^(O583+1)</f>
        <v>30461286.66</v>
      </c>
      <c r="V583" s="13">
        <f> 'Optimal Choice'!$B$15*'Optimal Choice'!$B$16^(P583+1)</f>
        <v>141085918.8</v>
      </c>
      <c r="W583" s="13">
        <f> 'Optimal Choice'!$B$20*'Optimal Choice'!$B$21^(Q583+1)</f>
        <v>584321813.6</v>
      </c>
      <c r="X583" s="13">
        <f> 'Optimal Choice'!$B$25*'Optimal Choice'!$B$26^(R583+1)</f>
        <v>3122734429</v>
      </c>
      <c r="AA583" s="12">
        <f t="shared" ref="AA583:AE583" si="1744">if(isna(VLOOKUP(N583,$D$2:$E$10,2,false)),AA582, VLOOKUP(N583,$D$2:$E$10,2,false))</f>
        <v>100</v>
      </c>
      <c r="AB583" s="12">
        <f t="shared" si="1744"/>
        <v>25</v>
      </c>
      <c r="AC583" s="12">
        <f t="shared" si="1744"/>
        <v>25</v>
      </c>
      <c r="AD583" s="12">
        <f t="shared" si="1744"/>
        <v>25</v>
      </c>
      <c r="AE583" s="12">
        <f t="shared" si="1744"/>
        <v>25</v>
      </c>
      <c r="AH583" s="15">
        <f>N583*'Optimal Choice'!$B$4*AA583</f>
        <v>36239</v>
      </c>
      <c r="AI583" s="15">
        <f>O583*'Optimal Choice'!$B$9*AB583</f>
        <v>46500</v>
      </c>
      <c r="AJ583" s="15">
        <f>P583*'Optimal Choice'!$B$14*AC583</f>
        <v>207000</v>
      </c>
      <c r="AK583" s="15">
        <f>Q583*'Optimal Choice'!$B$19*AD583</f>
        <v>810000</v>
      </c>
      <c r="AL583" s="15">
        <f>R583*'Optimal Choice'!$B$24*AE583</f>
        <v>4860000</v>
      </c>
      <c r="AO583" s="12">
        <f t="shared" ref="AO583:AS583" si="1745">if(isna(VLOOKUP(N583+1,$D$2:$E$10,2,false)),AO582, VLOOKUP(N583+1,$D$2:$E$10,2,false))</f>
        <v>100</v>
      </c>
      <c r="AP583" s="12">
        <f t="shared" si="1745"/>
        <v>25</v>
      </c>
      <c r="AQ583" s="12">
        <f t="shared" si="1745"/>
        <v>25</v>
      </c>
      <c r="AR583" s="12">
        <f t="shared" si="1745"/>
        <v>25</v>
      </c>
      <c r="AS583" s="12">
        <f t="shared" si="1745"/>
        <v>25</v>
      </c>
      <c r="AU583" s="11">
        <f t="shared" si="8"/>
        <v>1.448276564</v>
      </c>
    </row>
    <row r="584" ht="15.75" customHeight="1">
      <c r="A584" s="16">
        <f t="shared" si="4"/>
        <v>123.1548001</v>
      </c>
      <c r="B584" s="7">
        <f>(sum(AH584:AL584))*'Optimal Choice'!$B$28</f>
        <v>6013739</v>
      </c>
      <c r="C584" s="11"/>
      <c r="D584" s="12"/>
      <c r="E584" s="12"/>
      <c r="F584" s="11"/>
      <c r="G584" s="11">
        <f>(T584/$B584)+(T584/('Optimal Choice'!$B$4*AO584))</f>
        <v>60956.37268</v>
      </c>
      <c r="H584" s="11">
        <f>(U584/$B584)+(U584/('Optimal Choice'!$B$9*AP584))</f>
        <v>60927.6386</v>
      </c>
      <c r="I584" s="11">
        <f>(V584/$B584)+(V584/('Optimal Choice'!$B$14*AQ584))</f>
        <v>62728.31339</v>
      </c>
      <c r="J584" s="11">
        <f>(W584/$B584)+(W584/('Optimal Choice'!$B$19*AR584))</f>
        <v>65021.81043</v>
      </c>
      <c r="K584" s="11">
        <f>(X584/$B584)+(X584/('Optimal Choice'!$B$24*AS584))</f>
        <v>65349.4039</v>
      </c>
      <c r="N584" s="12">
        <f t="shared" ref="N584:R584" si="1746">if(min($G583:$K583)=G583,N583+1,N583)</f>
        <v>217</v>
      </c>
      <c r="O584" s="12">
        <f t="shared" si="1746"/>
        <v>93</v>
      </c>
      <c r="P584" s="12">
        <f t="shared" si="1746"/>
        <v>92</v>
      </c>
      <c r="Q584" s="12">
        <f t="shared" si="1746"/>
        <v>90</v>
      </c>
      <c r="R584" s="12">
        <f t="shared" si="1746"/>
        <v>91</v>
      </c>
      <c r="T584" s="13">
        <f> 'Optimal Choice'!$B$5*'Optimal Choice'!$B$6^(N584+1)</f>
        <v>10179431.56</v>
      </c>
      <c r="U584" s="13">
        <f> 'Optimal Choice'!$B$10*'Optimal Choice'!$B$11^(O584+1)</f>
        <v>30461286.66</v>
      </c>
      <c r="V584" s="13">
        <f> 'Optimal Choice'!$B$15*'Optimal Choice'!$B$16^(P584+1)</f>
        <v>141085918.8</v>
      </c>
      <c r="W584" s="13">
        <f> 'Optimal Choice'!$B$20*'Optimal Choice'!$B$21^(Q584+1)</f>
        <v>584321813.6</v>
      </c>
      <c r="X584" s="13">
        <f> 'Optimal Choice'!$B$25*'Optimal Choice'!$B$26^(R584+1)</f>
        <v>3497462561</v>
      </c>
      <c r="AA584" s="12">
        <f t="shared" ref="AA584:AE584" si="1747">if(isna(VLOOKUP(N584,$D$2:$E$10,2,false)),AA583, VLOOKUP(N584,$D$2:$E$10,2,false))</f>
        <v>100</v>
      </c>
      <c r="AB584" s="12">
        <f t="shared" si="1747"/>
        <v>25</v>
      </c>
      <c r="AC584" s="12">
        <f t="shared" si="1747"/>
        <v>25</v>
      </c>
      <c r="AD584" s="12">
        <f t="shared" si="1747"/>
        <v>25</v>
      </c>
      <c r="AE584" s="12">
        <f t="shared" si="1747"/>
        <v>25</v>
      </c>
      <c r="AH584" s="15">
        <f>N584*'Optimal Choice'!$B$4*AA584</f>
        <v>36239</v>
      </c>
      <c r="AI584" s="15">
        <f>O584*'Optimal Choice'!$B$9*AB584</f>
        <v>46500</v>
      </c>
      <c r="AJ584" s="15">
        <f>P584*'Optimal Choice'!$B$14*AC584</f>
        <v>207000</v>
      </c>
      <c r="AK584" s="15">
        <f>Q584*'Optimal Choice'!$B$19*AD584</f>
        <v>810000</v>
      </c>
      <c r="AL584" s="15">
        <f>R584*'Optimal Choice'!$B$24*AE584</f>
        <v>4914000</v>
      </c>
      <c r="AO584" s="12">
        <f t="shared" ref="AO584:AS584" si="1748">if(isna(VLOOKUP(N584+1,$D$2:$E$10,2,false)),AO583, VLOOKUP(N584+1,$D$2:$E$10,2,false))</f>
        <v>100</v>
      </c>
      <c r="AP584" s="12">
        <f t="shared" si="1748"/>
        <v>25</v>
      </c>
      <c r="AQ584" s="12">
        <f t="shared" si="1748"/>
        <v>25</v>
      </c>
      <c r="AR584" s="12">
        <f t="shared" si="1748"/>
        <v>25</v>
      </c>
      <c r="AS584" s="12">
        <f t="shared" si="1748"/>
        <v>25</v>
      </c>
      <c r="AU584" s="11">
        <f t="shared" si="8"/>
        <v>8.732861258</v>
      </c>
    </row>
    <row r="585" ht="15.75" customHeight="1">
      <c r="A585" s="16">
        <f t="shared" si="4"/>
        <v>123.2392214</v>
      </c>
      <c r="B585" s="7">
        <f>(sum(AH585:AL585))*'Optimal Choice'!$B$28</f>
        <v>6014239</v>
      </c>
      <c r="C585" s="11"/>
      <c r="D585" s="12"/>
      <c r="E585" s="12"/>
      <c r="F585" s="11"/>
      <c r="G585" s="11">
        <f>(T585/$B585)+(T585/('Optimal Choice'!$B$4*AO585))</f>
        <v>60956.37254</v>
      </c>
      <c r="H585" s="11">
        <f>(U585/$B585)+(U585/('Optimal Choice'!$B$9*AP585))</f>
        <v>70066.78391</v>
      </c>
      <c r="I585" s="11">
        <f>(V585/$B585)+(V585/('Optimal Choice'!$B$14*AQ585))</f>
        <v>62728.31144</v>
      </c>
      <c r="J585" s="11">
        <f>(W585/$B585)+(W585/('Optimal Choice'!$B$19*AR585))</f>
        <v>65021.80236</v>
      </c>
      <c r="K585" s="11">
        <f>(X585/$B585)+(X585/('Optimal Choice'!$B$24*AS585))</f>
        <v>65349.35555</v>
      </c>
      <c r="N585" s="12">
        <f t="shared" ref="N585:R585" si="1749">if(min($G584:$K584)=G584,N584+1,N584)</f>
        <v>217</v>
      </c>
      <c r="O585" s="12">
        <f t="shared" si="1749"/>
        <v>94</v>
      </c>
      <c r="P585" s="12">
        <f t="shared" si="1749"/>
        <v>92</v>
      </c>
      <c r="Q585" s="12">
        <f t="shared" si="1749"/>
        <v>90</v>
      </c>
      <c r="R585" s="12">
        <f t="shared" si="1749"/>
        <v>91</v>
      </c>
      <c r="T585" s="13">
        <f> 'Optimal Choice'!$B$5*'Optimal Choice'!$B$6^(N585+1)</f>
        <v>10179431.56</v>
      </c>
      <c r="U585" s="13">
        <f> 'Optimal Choice'!$B$10*'Optimal Choice'!$B$11^(O585+1)</f>
        <v>35030479.66</v>
      </c>
      <c r="V585" s="13">
        <f> 'Optimal Choice'!$B$15*'Optimal Choice'!$B$16^(P585+1)</f>
        <v>141085918.8</v>
      </c>
      <c r="W585" s="13">
        <f> 'Optimal Choice'!$B$20*'Optimal Choice'!$B$21^(Q585+1)</f>
        <v>584321813.6</v>
      </c>
      <c r="X585" s="13">
        <f> 'Optimal Choice'!$B$25*'Optimal Choice'!$B$26^(R585+1)</f>
        <v>3497462561</v>
      </c>
      <c r="AA585" s="12">
        <f t="shared" ref="AA585:AE585" si="1750">if(isna(VLOOKUP(N585,$D$2:$E$10,2,false)),AA584, VLOOKUP(N585,$D$2:$E$10,2,false))</f>
        <v>100</v>
      </c>
      <c r="AB585" s="12">
        <f t="shared" si="1750"/>
        <v>25</v>
      </c>
      <c r="AC585" s="12">
        <f t="shared" si="1750"/>
        <v>25</v>
      </c>
      <c r="AD585" s="12">
        <f t="shared" si="1750"/>
        <v>25</v>
      </c>
      <c r="AE585" s="12">
        <f t="shared" si="1750"/>
        <v>25</v>
      </c>
      <c r="AH585" s="15">
        <f>N585*'Optimal Choice'!$B$4*AA585</f>
        <v>36239</v>
      </c>
      <c r="AI585" s="15">
        <f>O585*'Optimal Choice'!$B$9*AB585</f>
        <v>47000</v>
      </c>
      <c r="AJ585" s="15">
        <f>P585*'Optimal Choice'!$B$14*AC585</f>
        <v>207000</v>
      </c>
      <c r="AK585" s="15">
        <f>Q585*'Optimal Choice'!$B$19*AD585</f>
        <v>810000</v>
      </c>
      <c r="AL585" s="15">
        <f>R585*'Optimal Choice'!$B$24*AE585</f>
        <v>4914000</v>
      </c>
      <c r="AO585" s="12">
        <f t="shared" ref="AO585:AS585" si="1751">if(isna(VLOOKUP(N585+1,$D$2:$E$10,2,false)),AO584, VLOOKUP(N585+1,$D$2:$E$10,2,false))</f>
        <v>100</v>
      </c>
      <c r="AP585" s="12">
        <f t="shared" si="1751"/>
        <v>25</v>
      </c>
      <c r="AQ585" s="12">
        <f t="shared" si="1751"/>
        <v>25</v>
      </c>
      <c r="AR585" s="12">
        <f t="shared" si="1751"/>
        <v>25</v>
      </c>
      <c r="AS585" s="12">
        <f t="shared" si="1751"/>
        <v>25</v>
      </c>
      <c r="AU585" s="11">
        <f t="shared" si="8"/>
        <v>0.08442137429</v>
      </c>
    </row>
    <row r="586" ht="15.75" customHeight="1">
      <c r="A586" s="16">
        <f t="shared" si="4"/>
        <v>123.2674307</v>
      </c>
      <c r="B586" s="7">
        <f>(sum(AH586:AL586))*'Optimal Choice'!$B$28</f>
        <v>6014406</v>
      </c>
      <c r="C586" s="11"/>
      <c r="D586" s="12"/>
      <c r="E586" s="12"/>
      <c r="F586" s="11"/>
      <c r="G586" s="11">
        <f>(T586/$B586)+(T586/('Optimal Choice'!$B$4*AO586))</f>
        <v>65223.31857</v>
      </c>
      <c r="H586" s="11">
        <f>(U586/$B586)+(U586/('Optimal Choice'!$B$9*AP586))</f>
        <v>70066.78375</v>
      </c>
      <c r="I586" s="11">
        <f>(V586/$B586)+(V586/('Optimal Choice'!$B$14*AQ586))</f>
        <v>62728.31079</v>
      </c>
      <c r="J586" s="11">
        <f>(W586/$B586)+(W586/('Optimal Choice'!$B$19*AR586))</f>
        <v>65021.79966</v>
      </c>
      <c r="K586" s="11">
        <f>(X586/$B586)+(X586/('Optimal Choice'!$B$24*AS586))</f>
        <v>65349.33941</v>
      </c>
      <c r="N586" s="12">
        <f t="shared" ref="N586:R586" si="1752">if(min($G585:$K585)=G585,N585+1,N585)</f>
        <v>218</v>
      </c>
      <c r="O586" s="12">
        <f t="shared" si="1752"/>
        <v>94</v>
      </c>
      <c r="P586" s="12">
        <f t="shared" si="1752"/>
        <v>92</v>
      </c>
      <c r="Q586" s="12">
        <f t="shared" si="1752"/>
        <v>90</v>
      </c>
      <c r="R586" s="12">
        <f t="shared" si="1752"/>
        <v>91</v>
      </c>
      <c r="T586" s="13">
        <f> 'Optimal Choice'!$B$5*'Optimal Choice'!$B$6^(N586+1)</f>
        <v>10891991.77</v>
      </c>
      <c r="U586" s="13">
        <f> 'Optimal Choice'!$B$10*'Optimal Choice'!$B$11^(O586+1)</f>
        <v>35030479.66</v>
      </c>
      <c r="V586" s="13">
        <f> 'Optimal Choice'!$B$15*'Optimal Choice'!$B$16^(P586+1)</f>
        <v>141085918.8</v>
      </c>
      <c r="W586" s="13">
        <f> 'Optimal Choice'!$B$20*'Optimal Choice'!$B$21^(Q586+1)</f>
        <v>584321813.6</v>
      </c>
      <c r="X586" s="13">
        <f> 'Optimal Choice'!$B$25*'Optimal Choice'!$B$26^(R586+1)</f>
        <v>3497462561</v>
      </c>
      <c r="AA586" s="12">
        <f t="shared" ref="AA586:AE586" si="1753">if(isna(VLOOKUP(N586,$D$2:$E$10,2,false)),AA585, VLOOKUP(N586,$D$2:$E$10,2,false))</f>
        <v>100</v>
      </c>
      <c r="AB586" s="12">
        <f t="shared" si="1753"/>
        <v>25</v>
      </c>
      <c r="AC586" s="12">
        <f t="shared" si="1753"/>
        <v>25</v>
      </c>
      <c r="AD586" s="12">
        <f t="shared" si="1753"/>
        <v>25</v>
      </c>
      <c r="AE586" s="12">
        <f t="shared" si="1753"/>
        <v>25</v>
      </c>
      <c r="AH586" s="15">
        <f>N586*'Optimal Choice'!$B$4*AA586</f>
        <v>36406</v>
      </c>
      <c r="AI586" s="15">
        <f>O586*'Optimal Choice'!$B$9*AB586</f>
        <v>47000</v>
      </c>
      <c r="AJ586" s="15">
        <f>P586*'Optimal Choice'!$B$14*AC586</f>
        <v>207000</v>
      </c>
      <c r="AK586" s="15">
        <f>Q586*'Optimal Choice'!$B$19*AD586</f>
        <v>810000</v>
      </c>
      <c r="AL586" s="15">
        <f>R586*'Optimal Choice'!$B$24*AE586</f>
        <v>4914000</v>
      </c>
      <c r="AO586" s="12">
        <f t="shared" ref="AO586:AS586" si="1754">if(isna(VLOOKUP(N586+1,$D$2:$E$10,2,false)),AO585, VLOOKUP(N586+1,$D$2:$E$10,2,false))</f>
        <v>100</v>
      </c>
      <c r="AP586" s="12">
        <f t="shared" si="1754"/>
        <v>25</v>
      </c>
      <c r="AQ586" s="12">
        <f t="shared" si="1754"/>
        <v>25</v>
      </c>
      <c r="AR586" s="12">
        <f t="shared" si="1754"/>
        <v>25</v>
      </c>
      <c r="AS586" s="12">
        <f t="shared" si="1754"/>
        <v>25</v>
      </c>
      <c r="AU586" s="11">
        <f t="shared" si="8"/>
        <v>0.02820925351</v>
      </c>
    </row>
    <row r="587" ht="15.75" customHeight="1">
      <c r="A587" s="16">
        <f t="shared" si="4"/>
        <v>123.6583973</v>
      </c>
      <c r="B587" s="7">
        <f>(sum(AH587:AL587))*'Optimal Choice'!$B$28</f>
        <v>6016656</v>
      </c>
      <c r="C587" s="11"/>
      <c r="D587" s="12"/>
      <c r="E587" s="12"/>
      <c r="F587" s="11"/>
      <c r="G587" s="11">
        <f>(T587/$B587)+(T587/('Optimal Choice'!$B$4*AO587))</f>
        <v>65223.31789</v>
      </c>
      <c r="H587" s="11">
        <f>(U587/$B587)+(U587/('Optimal Choice'!$B$9*AP587))</f>
        <v>70066.78157</v>
      </c>
      <c r="I587" s="11">
        <f>(V587/$B587)+(V587/('Optimal Choice'!$B$14*AQ587))</f>
        <v>71510.2643</v>
      </c>
      <c r="J587" s="11">
        <f>(W587/$B587)+(W587/('Optimal Choice'!$B$19*AR587))</f>
        <v>65021.76333</v>
      </c>
      <c r="K587" s="11">
        <f>(X587/$B587)+(X587/('Optimal Choice'!$B$24*AS587))</f>
        <v>65349.12194</v>
      </c>
      <c r="N587" s="12">
        <f t="shared" ref="N587:R587" si="1755">if(min($G586:$K586)=G586,N586+1,N586)</f>
        <v>218</v>
      </c>
      <c r="O587" s="12">
        <f t="shared" si="1755"/>
        <v>94</v>
      </c>
      <c r="P587" s="12">
        <f t="shared" si="1755"/>
        <v>93</v>
      </c>
      <c r="Q587" s="12">
        <f t="shared" si="1755"/>
        <v>90</v>
      </c>
      <c r="R587" s="12">
        <f t="shared" si="1755"/>
        <v>91</v>
      </c>
      <c r="T587" s="13">
        <f> 'Optimal Choice'!$B$5*'Optimal Choice'!$B$6^(N587+1)</f>
        <v>10891991.77</v>
      </c>
      <c r="U587" s="13">
        <f> 'Optimal Choice'!$B$10*'Optimal Choice'!$B$11^(O587+1)</f>
        <v>35030479.66</v>
      </c>
      <c r="V587" s="13">
        <f> 'Optimal Choice'!$B$15*'Optimal Choice'!$B$16^(P587+1)</f>
        <v>160837947.4</v>
      </c>
      <c r="W587" s="13">
        <f> 'Optimal Choice'!$B$20*'Optimal Choice'!$B$21^(Q587+1)</f>
        <v>584321813.6</v>
      </c>
      <c r="X587" s="13">
        <f> 'Optimal Choice'!$B$25*'Optimal Choice'!$B$26^(R587+1)</f>
        <v>3497462561</v>
      </c>
      <c r="AA587" s="12">
        <f t="shared" ref="AA587:AE587" si="1756">if(isna(VLOOKUP(N587,$D$2:$E$10,2,false)),AA586, VLOOKUP(N587,$D$2:$E$10,2,false))</f>
        <v>100</v>
      </c>
      <c r="AB587" s="12">
        <f t="shared" si="1756"/>
        <v>25</v>
      </c>
      <c r="AC587" s="12">
        <f t="shared" si="1756"/>
        <v>25</v>
      </c>
      <c r="AD587" s="12">
        <f t="shared" si="1756"/>
        <v>25</v>
      </c>
      <c r="AE587" s="12">
        <f t="shared" si="1756"/>
        <v>25</v>
      </c>
      <c r="AH587" s="15">
        <f>N587*'Optimal Choice'!$B$4*AA587</f>
        <v>36406</v>
      </c>
      <c r="AI587" s="15">
        <f>O587*'Optimal Choice'!$B$9*AB587</f>
        <v>47000</v>
      </c>
      <c r="AJ587" s="15">
        <f>P587*'Optimal Choice'!$B$14*AC587</f>
        <v>209250</v>
      </c>
      <c r="AK587" s="15">
        <f>Q587*'Optimal Choice'!$B$19*AD587</f>
        <v>810000</v>
      </c>
      <c r="AL587" s="15">
        <f>R587*'Optimal Choice'!$B$24*AE587</f>
        <v>4914000</v>
      </c>
      <c r="AO587" s="12">
        <f t="shared" ref="AO587:AS587" si="1757">if(isna(VLOOKUP(N587+1,$D$2:$E$10,2,false)),AO586, VLOOKUP(N587+1,$D$2:$E$10,2,false))</f>
        <v>100</v>
      </c>
      <c r="AP587" s="12">
        <f t="shared" si="1757"/>
        <v>25</v>
      </c>
      <c r="AQ587" s="12">
        <f t="shared" si="1757"/>
        <v>25</v>
      </c>
      <c r="AR587" s="12">
        <f t="shared" si="1757"/>
        <v>25</v>
      </c>
      <c r="AS587" s="12">
        <f t="shared" si="1757"/>
        <v>25</v>
      </c>
      <c r="AU587" s="11">
        <f t="shared" si="8"/>
        <v>0.3909666191</v>
      </c>
    </row>
    <row r="588" ht="15.75" customHeight="1">
      <c r="A588" s="16">
        <f t="shared" si="4"/>
        <v>125.2770202</v>
      </c>
      <c r="B588" s="7">
        <f>(sum(AH588:AL588))*'Optimal Choice'!$B$28</f>
        <v>6025656</v>
      </c>
      <c r="C588" s="11"/>
      <c r="D588" s="12"/>
      <c r="E588" s="12"/>
      <c r="F588" s="11"/>
      <c r="G588" s="11">
        <f>(T588/$B588)+(T588/('Optimal Choice'!$B$4*AO588))</f>
        <v>65223.31519</v>
      </c>
      <c r="H588" s="11">
        <f>(U588/$B588)+(U588/('Optimal Choice'!$B$9*AP588))</f>
        <v>70066.77287</v>
      </c>
      <c r="I588" s="11">
        <f>(V588/$B588)+(V588/('Optimal Choice'!$B$14*AQ588))</f>
        <v>71510.22437</v>
      </c>
      <c r="J588" s="11">
        <f>(W588/$B588)+(W588/('Optimal Choice'!$B$19*AR588))</f>
        <v>73474.42865</v>
      </c>
      <c r="K588" s="11">
        <f>(X588/$B588)+(X588/('Optimal Choice'!$B$24*AS588))</f>
        <v>65348.25371</v>
      </c>
      <c r="N588" s="12">
        <f t="shared" ref="N588:R588" si="1758">if(min($G587:$K587)=G587,N587+1,N587)</f>
        <v>218</v>
      </c>
      <c r="O588" s="12">
        <f t="shared" si="1758"/>
        <v>94</v>
      </c>
      <c r="P588" s="12">
        <f t="shared" si="1758"/>
        <v>93</v>
      </c>
      <c r="Q588" s="12">
        <f t="shared" si="1758"/>
        <v>91</v>
      </c>
      <c r="R588" s="12">
        <f t="shared" si="1758"/>
        <v>91</v>
      </c>
      <c r="T588" s="13">
        <f> 'Optimal Choice'!$B$5*'Optimal Choice'!$B$6^(N588+1)</f>
        <v>10891991.77</v>
      </c>
      <c r="U588" s="13">
        <f> 'Optimal Choice'!$B$10*'Optimal Choice'!$B$11^(O588+1)</f>
        <v>35030479.66</v>
      </c>
      <c r="V588" s="13">
        <f> 'Optimal Choice'!$B$15*'Optimal Choice'!$B$16^(P588+1)</f>
        <v>160837947.4</v>
      </c>
      <c r="W588" s="13">
        <f> 'Optimal Choice'!$B$20*'Optimal Choice'!$B$21^(Q588+1)</f>
        <v>660283649.4</v>
      </c>
      <c r="X588" s="13">
        <f> 'Optimal Choice'!$B$25*'Optimal Choice'!$B$26^(R588+1)</f>
        <v>3497462561</v>
      </c>
      <c r="AA588" s="12">
        <f t="shared" ref="AA588:AE588" si="1759">if(isna(VLOOKUP(N588,$D$2:$E$10,2,false)),AA587, VLOOKUP(N588,$D$2:$E$10,2,false))</f>
        <v>100</v>
      </c>
      <c r="AB588" s="12">
        <f t="shared" si="1759"/>
        <v>25</v>
      </c>
      <c r="AC588" s="12">
        <f t="shared" si="1759"/>
        <v>25</v>
      </c>
      <c r="AD588" s="12">
        <f t="shared" si="1759"/>
        <v>25</v>
      </c>
      <c r="AE588" s="12">
        <f t="shared" si="1759"/>
        <v>25</v>
      </c>
      <c r="AH588" s="15">
        <f>N588*'Optimal Choice'!$B$4*AA588</f>
        <v>36406</v>
      </c>
      <c r="AI588" s="15">
        <f>O588*'Optimal Choice'!$B$9*AB588</f>
        <v>47000</v>
      </c>
      <c r="AJ588" s="15">
        <f>P588*'Optimal Choice'!$B$14*AC588</f>
        <v>209250</v>
      </c>
      <c r="AK588" s="15">
        <f>Q588*'Optimal Choice'!$B$19*AD588</f>
        <v>819000</v>
      </c>
      <c r="AL588" s="15">
        <f>R588*'Optimal Choice'!$B$24*AE588</f>
        <v>4914000</v>
      </c>
      <c r="AO588" s="12">
        <f t="shared" ref="AO588:AS588" si="1760">if(isna(VLOOKUP(N588+1,$D$2:$E$10,2,false)),AO587, VLOOKUP(N588+1,$D$2:$E$10,2,false))</f>
        <v>100</v>
      </c>
      <c r="AP588" s="12">
        <f t="shared" si="1760"/>
        <v>25</v>
      </c>
      <c r="AQ588" s="12">
        <f t="shared" si="1760"/>
        <v>25</v>
      </c>
      <c r="AR588" s="12">
        <f t="shared" si="1760"/>
        <v>25</v>
      </c>
      <c r="AS588" s="12">
        <f t="shared" si="1760"/>
        <v>25</v>
      </c>
      <c r="AU588" s="11">
        <f t="shared" si="8"/>
        <v>1.618622852</v>
      </c>
    </row>
    <row r="589" ht="15.75" customHeight="1">
      <c r="A589" s="16">
        <f t="shared" si="4"/>
        <v>125.3071469</v>
      </c>
      <c r="B589" s="7">
        <f>(sum(AH589:AL589))*'Optimal Choice'!$B$28</f>
        <v>6025823</v>
      </c>
      <c r="C589" s="11"/>
      <c r="D589" s="12"/>
      <c r="E589" s="12"/>
      <c r="F589" s="11"/>
      <c r="G589" s="11">
        <f>(T589/$B589)+(T589/('Optimal Choice'!$B$4*AO589))</f>
        <v>69788.9472</v>
      </c>
      <c r="H589" s="11">
        <f>(U589/$B589)+(U589/('Optimal Choice'!$B$9*AP589))</f>
        <v>70066.77271</v>
      </c>
      <c r="I589" s="11">
        <f>(V589/$B589)+(V589/('Optimal Choice'!$B$14*AQ589))</f>
        <v>71510.22363</v>
      </c>
      <c r="J589" s="11">
        <f>(W589/$B589)+(W589/('Optimal Choice'!$B$19*AR589))</f>
        <v>73474.42561</v>
      </c>
      <c r="K589" s="11">
        <f>(X589/$B589)+(X589/('Optimal Choice'!$B$24*AS589))</f>
        <v>65348.23762</v>
      </c>
      <c r="N589" s="12">
        <f t="shared" ref="N589:R589" si="1761">if(min($G588:$K588)=G588,N588+1,N588)</f>
        <v>219</v>
      </c>
      <c r="O589" s="12">
        <f t="shared" si="1761"/>
        <v>94</v>
      </c>
      <c r="P589" s="12">
        <f t="shared" si="1761"/>
        <v>93</v>
      </c>
      <c r="Q589" s="12">
        <f t="shared" si="1761"/>
        <v>91</v>
      </c>
      <c r="R589" s="12">
        <f t="shared" si="1761"/>
        <v>91</v>
      </c>
      <c r="T589" s="13">
        <f> 'Optimal Choice'!$B$5*'Optimal Choice'!$B$6^(N589+1)</f>
        <v>11654431.19</v>
      </c>
      <c r="U589" s="13">
        <f> 'Optimal Choice'!$B$10*'Optimal Choice'!$B$11^(O589+1)</f>
        <v>35030479.66</v>
      </c>
      <c r="V589" s="13">
        <f> 'Optimal Choice'!$B$15*'Optimal Choice'!$B$16^(P589+1)</f>
        <v>160837947.4</v>
      </c>
      <c r="W589" s="13">
        <f> 'Optimal Choice'!$B$20*'Optimal Choice'!$B$21^(Q589+1)</f>
        <v>660283649.4</v>
      </c>
      <c r="X589" s="13">
        <f> 'Optimal Choice'!$B$25*'Optimal Choice'!$B$26^(R589+1)</f>
        <v>3497462561</v>
      </c>
      <c r="AA589" s="12">
        <f t="shared" ref="AA589:AE589" si="1762">if(isna(VLOOKUP(N589,$D$2:$E$10,2,false)),AA588, VLOOKUP(N589,$D$2:$E$10,2,false))</f>
        <v>100</v>
      </c>
      <c r="AB589" s="12">
        <f t="shared" si="1762"/>
        <v>25</v>
      </c>
      <c r="AC589" s="12">
        <f t="shared" si="1762"/>
        <v>25</v>
      </c>
      <c r="AD589" s="12">
        <f t="shared" si="1762"/>
        <v>25</v>
      </c>
      <c r="AE589" s="12">
        <f t="shared" si="1762"/>
        <v>25</v>
      </c>
      <c r="AH589" s="15">
        <f>N589*'Optimal Choice'!$B$4*AA589</f>
        <v>36573</v>
      </c>
      <c r="AI589" s="15">
        <f>O589*'Optimal Choice'!$B$9*AB589</f>
        <v>47000</v>
      </c>
      <c r="AJ589" s="15">
        <f>P589*'Optimal Choice'!$B$14*AC589</f>
        <v>209250</v>
      </c>
      <c r="AK589" s="15">
        <f>Q589*'Optimal Choice'!$B$19*AD589</f>
        <v>819000</v>
      </c>
      <c r="AL589" s="15">
        <f>R589*'Optimal Choice'!$B$24*AE589</f>
        <v>4914000</v>
      </c>
      <c r="AO589" s="12">
        <f t="shared" ref="AO589:AS589" si="1763">if(isna(VLOOKUP(N589+1,$D$2:$E$10,2,false)),AO588, VLOOKUP(N589+1,$D$2:$E$10,2,false))</f>
        <v>100</v>
      </c>
      <c r="AP589" s="12">
        <f t="shared" si="1763"/>
        <v>25</v>
      </c>
      <c r="AQ589" s="12">
        <f t="shared" si="1763"/>
        <v>25</v>
      </c>
      <c r="AR589" s="12">
        <f t="shared" si="1763"/>
        <v>25</v>
      </c>
      <c r="AS589" s="12">
        <f t="shared" si="1763"/>
        <v>25</v>
      </c>
      <c r="AU589" s="11">
        <f t="shared" si="8"/>
        <v>0.03012671087</v>
      </c>
    </row>
    <row r="590" ht="15.75" customHeight="1">
      <c r="A590" s="16">
        <f t="shared" si="4"/>
        <v>134.9806873</v>
      </c>
      <c r="B590" s="7">
        <f>(sum(AH590:AL590))*'Optimal Choice'!$B$28</f>
        <v>6079823</v>
      </c>
      <c r="C590" s="11"/>
      <c r="D590" s="12"/>
      <c r="E590" s="12"/>
      <c r="F590" s="11"/>
      <c r="G590" s="11">
        <f>(T590/$B590)+(T590/('Optimal Choice'!$B$4*AO590))</f>
        <v>69788.93002</v>
      </c>
      <c r="H590" s="11">
        <f>(U590/$B590)+(U590/('Optimal Choice'!$B$9*AP590))</f>
        <v>70066.72108</v>
      </c>
      <c r="I590" s="11">
        <f>(V590/$B590)+(V590/('Optimal Choice'!$B$14*AQ590))</f>
        <v>71509.98656</v>
      </c>
      <c r="J590" s="11">
        <f>(W590/$B590)+(W590/('Optimal Choice'!$B$19*AR590))</f>
        <v>73473.45238</v>
      </c>
      <c r="K590" s="11">
        <f>(X590/$B590)+(X590/('Optimal Choice'!$B$24*AS590))</f>
        <v>73184.2524</v>
      </c>
      <c r="N590" s="12">
        <f t="shared" ref="N590:R590" si="1764">if(min($G589:$K589)=G589,N589+1,N589)</f>
        <v>219</v>
      </c>
      <c r="O590" s="12">
        <f t="shared" si="1764"/>
        <v>94</v>
      </c>
      <c r="P590" s="12">
        <f t="shared" si="1764"/>
        <v>93</v>
      </c>
      <c r="Q590" s="12">
        <f t="shared" si="1764"/>
        <v>91</v>
      </c>
      <c r="R590" s="12">
        <f t="shared" si="1764"/>
        <v>92</v>
      </c>
      <c r="T590" s="13">
        <f> 'Optimal Choice'!$B$5*'Optimal Choice'!$B$6^(N590+1)</f>
        <v>11654431.19</v>
      </c>
      <c r="U590" s="13">
        <f> 'Optimal Choice'!$B$10*'Optimal Choice'!$B$11^(O590+1)</f>
        <v>35030479.66</v>
      </c>
      <c r="V590" s="13">
        <f> 'Optimal Choice'!$B$15*'Optimal Choice'!$B$16^(P590+1)</f>
        <v>160837947.4</v>
      </c>
      <c r="W590" s="13">
        <f> 'Optimal Choice'!$B$20*'Optimal Choice'!$B$21^(Q590+1)</f>
        <v>660283649.4</v>
      </c>
      <c r="X590" s="13">
        <f> 'Optimal Choice'!$B$25*'Optimal Choice'!$B$26^(R590+1)</f>
        <v>3917158068</v>
      </c>
      <c r="AA590" s="12">
        <f t="shared" ref="AA590:AE590" si="1765">if(isna(VLOOKUP(N590,$D$2:$E$10,2,false)),AA589, VLOOKUP(N590,$D$2:$E$10,2,false))</f>
        <v>100</v>
      </c>
      <c r="AB590" s="12">
        <f t="shared" si="1765"/>
        <v>25</v>
      </c>
      <c r="AC590" s="12">
        <f t="shared" si="1765"/>
        <v>25</v>
      </c>
      <c r="AD590" s="12">
        <f t="shared" si="1765"/>
        <v>25</v>
      </c>
      <c r="AE590" s="12">
        <f t="shared" si="1765"/>
        <v>25</v>
      </c>
      <c r="AH590" s="15">
        <f>N590*'Optimal Choice'!$B$4*AA590</f>
        <v>36573</v>
      </c>
      <c r="AI590" s="15">
        <f>O590*'Optimal Choice'!$B$9*AB590</f>
        <v>47000</v>
      </c>
      <c r="AJ590" s="15">
        <f>P590*'Optimal Choice'!$B$14*AC590</f>
        <v>209250</v>
      </c>
      <c r="AK590" s="15">
        <f>Q590*'Optimal Choice'!$B$19*AD590</f>
        <v>819000</v>
      </c>
      <c r="AL590" s="15">
        <f>R590*'Optimal Choice'!$B$24*AE590</f>
        <v>4968000</v>
      </c>
      <c r="AO590" s="12">
        <f t="shared" ref="AO590:AS590" si="1766">if(isna(VLOOKUP(N590+1,$D$2:$E$10,2,false)),AO589, VLOOKUP(N590+1,$D$2:$E$10,2,false))</f>
        <v>100</v>
      </c>
      <c r="AP590" s="12">
        <f t="shared" si="1766"/>
        <v>25</v>
      </c>
      <c r="AQ590" s="12">
        <f t="shared" si="1766"/>
        <v>25</v>
      </c>
      <c r="AR590" s="12">
        <f t="shared" si="1766"/>
        <v>25</v>
      </c>
      <c r="AS590" s="12">
        <f t="shared" si="1766"/>
        <v>25</v>
      </c>
      <c r="AU590" s="11">
        <f t="shared" si="8"/>
        <v>9.673540474</v>
      </c>
    </row>
    <row r="591" ht="15.75" customHeight="1">
      <c r="A591" s="16">
        <f t="shared" si="4"/>
        <v>135.0126357</v>
      </c>
      <c r="B591" s="7">
        <f>(sum(AH591:AL591))*'Optimal Choice'!$B$28</f>
        <v>6079990</v>
      </c>
      <c r="C591" s="11"/>
      <c r="D591" s="12"/>
      <c r="E591" s="12"/>
      <c r="F591" s="11"/>
      <c r="G591" s="11">
        <f>(T591/$B591)+(T591/('Optimal Choice'!$B$4*AO591))</f>
        <v>74674.15507</v>
      </c>
      <c r="H591" s="11">
        <f>(U591/$B591)+(U591/('Optimal Choice'!$B$9*AP591))</f>
        <v>70066.72092</v>
      </c>
      <c r="I591" s="11">
        <f>(V591/$B591)+(V591/('Optimal Choice'!$B$14*AQ591))</f>
        <v>71509.98583</v>
      </c>
      <c r="J591" s="11">
        <f>(W591/$B591)+(W591/('Optimal Choice'!$B$19*AR591))</f>
        <v>73473.44939</v>
      </c>
      <c r="K591" s="11">
        <f>(X591/$B591)+(X591/('Optimal Choice'!$B$24*AS591))</f>
        <v>73184.2347</v>
      </c>
      <c r="N591" s="12">
        <f t="shared" ref="N591:R591" si="1767">if(min($G590:$K590)=G590,N590+1,N590)</f>
        <v>220</v>
      </c>
      <c r="O591" s="12">
        <f t="shared" si="1767"/>
        <v>94</v>
      </c>
      <c r="P591" s="12">
        <f t="shared" si="1767"/>
        <v>93</v>
      </c>
      <c r="Q591" s="12">
        <f t="shared" si="1767"/>
        <v>91</v>
      </c>
      <c r="R591" s="12">
        <f t="shared" si="1767"/>
        <v>92</v>
      </c>
      <c r="T591" s="13">
        <f> 'Optimal Choice'!$B$5*'Optimal Choice'!$B$6^(N591+1)</f>
        <v>12470241.37</v>
      </c>
      <c r="U591" s="13">
        <f> 'Optimal Choice'!$B$10*'Optimal Choice'!$B$11^(O591+1)</f>
        <v>35030479.66</v>
      </c>
      <c r="V591" s="13">
        <f> 'Optimal Choice'!$B$15*'Optimal Choice'!$B$16^(P591+1)</f>
        <v>160837947.4</v>
      </c>
      <c r="W591" s="13">
        <f> 'Optimal Choice'!$B$20*'Optimal Choice'!$B$21^(Q591+1)</f>
        <v>660283649.4</v>
      </c>
      <c r="X591" s="13">
        <f> 'Optimal Choice'!$B$25*'Optimal Choice'!$B$26^(R591+1)</f>
        <v>3917158068</v>
      </c>
      <c r="AA591" s="12">
        <f t="shared" ref="AA591:AE591" si="1768">if(isna(VLOOKUP(N591,$D$2:$E$10,2,false)),AA590, VLOOKUP(N591,$D$2:$E$10,2,false))</f>
        <v>100</v>
      </c>
      <c r="AB591" s="12">
        <f t="shared" si="1768"/>
        <v>25</v>
      </c>
      <c r="AC591" s="12">
        <f t="shared" si="1768"/>
        <v>25</v>
      </c>
      <c r="AD591" s="12">
        <f t="shared" si="1768"/>
        <v>25</v>
      </c>
      <c r="AE591" s="12">
        <f t="shared" si="1768"/>
        <v>25</v>
      </c>
      <c r="AH591" s="15">
        <f>N591*'Optimal Choice'!$B$4*AA591</f>
        <v>36740</v>
      </c>
      <c r="AI591" s="15">
        <f>O591*'Optimal Choice'!$B$9*AB591</f>
        <v>47000</v>
      </c>
      <c r="AJ591" s="15">
        <f>P591*'Optimal Choice'!$B$14*AC591</f>
        <v>209250</v>
      </c>
      <c r="AK591" s="15">
        <f>Q591*'Optimal Choice'!$B$19*AD591</f>
        <v>819000</v>
      </c>
      <c r="AL591" s="15">
        <f>R591*'Optimal Choice'!$B$24*AE591</f>
        <v>4968000</v>
      </c>
      <c r="AO591" s="12">
        <f t="shared" ref="AO591:AS591" si="1769">if(isna(VLOOKUP(N591+1,$D$2:$E$10,2,false)),AO590, VLOOKUP(N591+1,$D$2:$E$10,2,false))</f>
        <v>100</v>
      </c>
      <c r="AP591" s="12">
        <f t="shared" si="1769"/>
        <v>25</v>
      </c>
      <c r="AQ591" s="12">
        <f t="shared" si="1769"/>
        <v>25</v>
      </c>
      <c r="AR591" s="12">
        <f t="shared" si="1769"/>
        <v>25</v>
      </c>
      <c r="AS591" s="12">
        <f t="shared" si="1769"/>
        <v>25</v>
      </c>
      <c r="AU591" s="11">
        <f t="shared" si="8"/>
        <v>0.031948384</v>
      </c>
    </row>
    <row r="592" ht="15.75" customHeight="1">
      <c r="A592" s="16">
        <f t="shared" si="4"/>
        <v>135.1086624</v>
      </c>
      <c r="B592" s="7">
        <f>(sum(AH592:AL592))*'Optimal Choice'!$B$28</f>
        <v>6080490</v>
      </c>
      <c r="C592" s="11"/>
      <c r="D592" s="12"/>
      <c r="E592" s="12"/>
      <c r="F592" s="11"/>
      <c r="G592" s="11">
        <f>(T592/$B592)+(T592/('Optimal Choice'!$B$4*AO592))</f>
        <v>74674.1549</v>
      </c>
      <c r="H592" s="11">
        <f>(U592/$B592)+(U592/('Optimal Choice'!$B$9*AP592))</f>
        <v>80576.72851</v>
      </c>
      <c r="I592" s="11">
        <f>(V592/$B592)+(V592/('Optimal Choice'!$B$14*AQ592))</f>
        <v>71509.98366</v>
      </c>
      <c r="J592" s="11">
        <f>(W592/$B592)+(W592/('Optimal Choice'!$B$19*AR592))</f>
        <v>73473.44046</v>
      </c>
      <c r="K592" s="11">
        <f>(X592/$B592)+(X592/('Optimal Choice'!$B$24*AS592))</f>
        <v>73184.18172</v>
      </c>
      <c r="N592" s="12">
        <f t="shared" ref="N592:R592" si="1770">if(min($G591:$K591)=G591,N591+1,N591)</f>
        <v>220</v>
      </c>
      <c r="O592" s="12">
        <f t="shared" si="1770"/>
        <v>95</v>
      </c>
      <c r="P592" s="12">
        <f t="shared" si="1770"/>
        <v>93</v>
      </c>
      <c r="Q592" s="12">
        <f t="shared" si="1770"/>
        <v>91</v>
      </c>
      <c r="R592" s="12">
        <f t="shared" si="1770"/>
        <v>92</v>
      </c>
      <c r="T592" s="13">
        <f> 'Optimal Choice'!$B$5*'Optimal Choice'!$B$6^(N592+1)</f>
        <v>12470241.37</v>
      </c>
      <c r="U592" s="13">
        <f> 'Optimal Choice'!$B$10*'Optimal Choice'!$B$11^(O592+1)</f>
        <v>40285051.61</v>
      </c>
      <c r="V592" s="13">
        <f> 'Optimal Choice'!$B$15*'Optimal Choice'!$B$16^(P592+1)</f>
        <v>160837947.4</v>
      </c>
      <c r="W592" s="13">
        <f> 'Optimal Choice'!$B$20*'Optimal Choice'!$B$21^(Q592+1)</f>
        <v>660283649.4</v>
      </c>
      <c r="X592" s="13">
        <f> 'Optimal Choice'!$B$25*'Optimal Choice'!$B$26^(R592+1)</f>
        <v>3917158068</v>
      </c>
      <c r="AA592" s="12">
        <f t="shared" ref="AA592:AE592" si="1771">if(isna(VLOOKUP(N592,$D$2:$E$10,2,false)),AA591, VLOOKUP(N592,$D$2:$E$10,2,false))</f>
        <v>100</v>
      </c>
      <c r="AB592" s="12">
        <f t="shared" si="1771"/>
        <v>25</v>
      </c>
      <c r="AC592" s="12">
        <f t="shared" si="1771"/>
        <v>25</v>
      </c>
      <c r="AD592" s="12">
        <f t="shared" si="1771"/>
        <v>25</v>
      </c>
      <c r="AE592" s="12">
        <f t="shared" si="1771"/>
        <v>25</v>
      </c>
      <c r="AH592" s="15">
        <f>N592*'Optimal Choice'!$B$4*AA592</f>
        <v>36740</v>
      </c>
      <c r="AI592" s="15">
        <f>O592*'Optimal Choice'!$B$9*AB592</f>
        <v>47500</v>
      </c>
      <c r="AJ592" s="15">
        <f>P592*'Optimal Choice'!$B$14*AC592</f>
        <v>209250</v>
      </c>
      <c r="AK592" s="15">
        <f>Q592*'Optimal Choice'!$B$19*AD592</f>
        <v>819000</v>
      </c>
      <c r="AL592" s="15">
        <f>R592*'Optimal Choice'!$B$24*AE592</f>
        <v>4968000</v>
      </c>
      <c r="AO592" s="12">
        <f t="shared" ref="AO592:AS592" si="1772">if(isna(VLOOKUP(N592+1,$D$2:$E$10,2,false)),AO591, VLOOKUP(N592+1,$D$2:$E$10,2,false))</f>
        <v>100</v>
      </c>
      <c r="AP592" s="12">
        <f t="shared" si="1772"/>
        <v>25</v>
      </c>
      <c r="AQ592" s="12">
        <f t="shared" si="1772"/>
        <v>25</v>
      </c>
      <c r="AR592" s="12">
        <f t="shared" si="1772"/>
        <v>25</v>
      </c>
      <c r="AS592" s="12">
        <f t="shared" si="1772"/>
        <v>25</v>
      </c>
      <c r="AU592" s="11">
        <f t="shared" si="8"/>
        <v>0.09602669209</v>
      </c>
    </row>
    <row r="593" ht="15.75" customHeight="1">
      <c r="A593" s="16">
        <f t="shared" si="4"/>
        <v>135.5495204</v>
      </c>
      <c r="B593" s="7">
        <f>(sum(AH593:AL593))*'Optimal Choice'!$B$28</f>
        <v>6082740</v>
      </c>
      <c r="C593" s="11"/>
      <c r="D593" s="12"/>
      <c r="E593" s="12"/>
      <c r="F593" s="11"/>
      <c r="G593" s="11">
        <f>(T593/$B593)+(T593/('Optimal Choice'!$B$4*AO593))</f>
        <v>74674.15414</v>
      </c>
      <c r="H593" s="11">
        <f>(U593/$B593)+(U593/('Optimal Choice'!$B$9*AP593))</f>
        <v>80576.72606</v>
      </c>
      <c r="I593" s="11">
        <f>(V593/$B593)+(V593/('Optimal Choice'!$B$14*AQ593))</f>
        <v>81521.37022</v>
      </c>
      <c r="J593" s="11">
        <f>(W593/$B593)+(W593/('Optimal Choice'!$B$19*AR593))</f>
        <v>73473.4003</v>
      </c>
      <c r="K593" s="11">
        <f>(X593/$B593)+(X593/('Optimal Choice'!$B$24*AS593))</f>
        <v>73183.94342</v>
      </c>
      <c r="N593" s="12">
        <f t="shared" ref="N593:R593" si="1773">if(min($G592:$K592)=G592,N592+1,N592)</f>
        <v>220</v>
      </c>
      <c r="O593" s="12">
        <f t="shared" si="1773"/>
        <v>95</v>
      </c>
      <c r="P593" s="12">
        <f t="shared" si="1773"/>
        <v>94</v>
      </c>
      <c r="Q593" s="12">
        <f t="shared" si="1773"/>
        <v>91</v>
      </c>
      <c r="R593" s="12">
        <f t="shared" si="1773"/>
        <v>92</v>
      </c>
      <c r="T593" s="13">
        <f> 'Optimal Choice'!$B$5*'Optimal Choice'!$B$6^(N593+1)</f>
        <v>12470241.37</v>
      </c>
      <c r="U593" s="13">
        <f> 'Optimal Choice'!$B$10*'Optimal Choice'!$B$11^(O593+1)</f>
        <v>40285051.61</v>
      </c>
      <c r="V593" s="13">
        <f> 'Optimal Choice'!$B$15*'Optimal Choice'!$B$16^(P593+1)</f>
        <v>183355260</v>
      </c>
      <c r="W593" s="13">
        <f> 'Optimal Choice'!$B$20*'Optimal Choice'!$B$21^(Q593+1)</f>
        <v>660283649.4</v>
      </c>
      <c r="X593" s="13">
        <f> 'Optimal Choice'!$B$25*'Optimal Choice'!$B$26^(R593+1)</f>
        <v>3917158068</v>
      </c>
      <c r="AA593" s="12">
        <f t="shared" ref="AA593:AE593" si="1774">if(isna(VLOOKUP(N593,$D$2:$E$10,2,false)),AA592, VLOOKUP(N593,$D$2:$E$10,2,false))</f>
        <v>100</v>
      </c>
      <c r="AB593" s="12">
        <f t="shared" si="1774"/>
        <v>25</v>
      </c>
      <c r="AC593" s="12">
        <f t="shared" si="1774"/>
        <v>25</v>
      </c>
      <c r="AD593" s="12">
        <f t="shared" si="1774"/>
        <v>25</v>
      </c>
      <c r="AE593" s="12">
        <f t="shared" si="1774"/>
        <v>25</v>
      </c>
      <c r="AH593" s="15">
        <f>N593*'Optimal Choice'!$B$4*AA593</f>
        <v>36740</v>
      </c>
      <c r="AI593" s="15">
        <f>O593*'Optimal Choice'!$B$9*AB593</f>
        <v>47500</v>
      </c>
      <c r="AJ593" s="15">
        <f>P593*'Optimal Choice'!$B$14*AC593</f>
        <v>211500</v>
      </c>
      <c r="AK593" s="15">
        <f>Q593*'Optimal Choice'!$B$19*AD593</f>
        <v>819000</v>
      </c>
      <c r="AL593" s="15">
        <f>R593*'Optimal Choice'!$B$24*AE593</f>
        <v>4968000</v>
      </c>
      <c r="AO593" s="12">
        <f t="shared" ref="AO593:AS593" si="1775">if(isna(VLOOKUP(N593+1,$D$2:$E$10,2,false)),AO592, VLOOKUP(N593+1,$D$2:$E$10,2,false))</f>
        <v>100</v>
      </c>
      <c r="AP593" s="12">
        <f t="shared" si="1775"/>
        <v>25</v>
      </c>
      <c r="AQ593" s="12">
        <f t="shared" si="1775"/>
        <v>25</v>
      </c>
      <c r="AR593" s="12">
        <f t="shared" si="1775"/>
        <v>25</v>
      </c>
      <c r="AS593" s="12">
        <f t="shared" si="1775"/>
        <v>25</v>
      </c>
      <c r="AU593" s="11">
        <f t="shared" si="8"/>
        <v>0.4408579665</v>
      </c>
    </row>
    <row r="594" ht="15.75" customHeight="1">
      <c r="A594" s="16">
        <f t="shared" si="4"/>
        <v>146.2825071</v>
      </c>
      <c r="B594" s="7">
        <f>(sum(AH594:AL594))*'Optimal Choice'!$B$28</f>
        <v>6136740</v>
      </c>
      <c r="C594" s="11"/>
      <c r="D594" s="12"/>
      <c r="E594" s="12"/>
      <c r="F594" s="11"/>
      <c r="G594" s="11">
        <f>(T594/$B594)+(T594/('Optimal Choice'!$B$4*AO594))</f>
        <v>74674.1361</v>
      </c>
      <c r="H594" s="11">
        <f>(U594/$B594)+(U594/('Optimal Choice'!$B$9*AP594))</f>
        <v>80576.66778</v>
      </c>
      <c r="I594" s="11">
        <f>(V594/$B594)+(V594/('Optimal Choice'!$B$14*AQ594))</f>
        <v>81521.10497</v>
      </c>
      <c r="J594" s="11">
        <f>(W594/$B594)+(W594/('Optimal Choice'!$B$19*AR594))</f>
        <v>73472.44511</v>
      </c>
      <c r="K594" s="11">
        <f>(X594/$B594)+(X594/('Optimal Choice'!$B$24*AS594))</f>
        <v>81959.66997</v>
      </c>
      <c r="N594" s="12">
        <f t="shared" ref="N594:R594" si="1776">if(min($G593:$K593)=G593,N593+1,N593)</f>
        <v>220</v>
      </c>
      <c r="O594" s="12">
        <f t="shared" si="1776"/>
        <v>95</v>
      </c>
      <c r="P594" s="12">
        <f t="shared" si="1776"/>
        <v>94</v>
      </c>
      <c r="Q594" s="12">
        <f t="shared" si="1776"/>
        <v>91</v>
      </c>
      <c r="R594" s="12">
        <f t="shared" si="1776"/>
        <v>93</v>
      </c>
      <c r="T594" s="13">
        <f> 'Optimal Choice'!$B$5*'Optimal Choice'!$B$6^(N594+1)</f>
        <v>12470241.37</v>
      </c>
      <c r="U594" s="13">
        <f> 'Optimal Choice'!$B$10*'Optimal Choice'!$B$11^(O594+1)</f>
        <v>40285051.61</v>
      </c>
      <c r="V594" s="13">
        <f> 'Optimal Choice'!$B$15*'Optimal Choice'!$B$16^(P594+1)</f>
        <v>183355260</v>
      </c>
      <c r="W594" s="13">
        <f> 'Optimal Choice'!$B$20*'Optimal Choice'!$B$21^(Q594+1)</f>
        <v>660283649.4</v>
      </c>
      <c r="X594" s="13">
        <f> 'Optimal Choice'!$B$25*'Optimal Choice'!$B$26^(R594+1)</f>
        <v>4387217036</v>
      </c>
      <c r="AA594" s="12">
        <f t="shared" ref="AA594:AE594" si="1777">if(isna(VLOOKUP(N594,$D$2:$E$10,2,false)),AA593, VLOOKUP(N594,$D$2:$E$10,2,false))</f>
        <v>100</v>
      </c>
      <c r="AB594" s="12">
        <f t="shared" si="1777"/>
        <v>25</v>
      </c>
      <c r="AC594" s="12">
        <f t="shared" si="1777"/>
        <v>25</v>
      </c>
      <c r="AD594" s="12">
        <f t="shared" si="1777"/>
        <v>25</v>
      </c>
      <c r="AE594" s="12">
        <f t="shared" si="1777"/>
        <v>25</v>
      </c>
      <c r="AH594" s="15">
        <f>N594*'Optimal Choice'!$B$4*AA594</f>
        <v>36740</v>
      </c>
      <c r="AI594" s="15">
        <f>O594*'Optimal Choice'!$B$9*AB594</f>
        <v>47500</v>
      </c>
      <c r="AJ594" s="15">
        <f>P594*'Optimal Choice'!$B$14*AC594</f>
        <v>211500</v>
      </c>
      <c r="AK594" s="15">
        <f>Q594*'Optimal Choice'!$B$19*AD594</f>
        <v>819000</v>
      </c>
      <c r="AL594" s="15">
        <f>R594*'Optimal Choice'!$B$24*AE594</f>
        <v>5022000</v>
      </c>
      <c r="AO594" s="12">
        <f t="shared" ref="AO594:AS594" si="1778">if(isna(VLOOKUP(N594+1,$D$2:$E$10,2,false)),AO593, VLOOKUP(N594+1,$D$2:$E$10,2,false))</f>
        <v>100</v>
      </c>
      <c r="AP594" s="12">
        <f t="shared" si="1778"/>
        <v>25</v>
      </c>
      <c r="AQ594" s="12">
        <f t="shared" si="1778"/>
        <v>25</v>
      </c>
      <c r="AR594" s="12">
        <f t="shared" si="1778"/>
        <v>25</v>
      </c>
      <c r="AS594" s="12">
        <f t="shared" si="1778"/>
        <v>25</v>
      </c>
      <c r="AU594" s="11">
        <f t="shared" si="8"/>
        <v>10.73298675</v>
      </c>
    </row>
    <row r="595" ht="15.75" customHeight="1">
      <c r="A595" s="16">
        <f t="shared" si="4"/>
        <v>148.0757601</v>
      </c>
      <c r="B595" s="7">
        <f>(sum(AH595:AL595))*'Optimal Choice'!$B$28</f>
        <v>6145740</v>
      </c>
      <c r="C595" s="11"/>
      <c r="D595" s="12"/>
      <c r="E595" s="12"/>
      <c r="F595" s="11"/>
      <c r="G595" s="11">
        <f>(T595/$B595)+(T595/('Optimal Choice'!$B$4*AO595))</f>
        <v>74674.13312</v>
      </c>
      <c r="H595" s="11">
        <f>(U595/$B595)+(U595/('Optimal Choice'!$B$9*AP595))</f>
        <v>80576.65817</v>
      </c>
      <c r="I595" s="11">
        <f>(V595/$B595)+(V595/('Optimal Choice'!$B$14*AQ595))</f>
        <v>81521.06122</v>
      </c>
      <c r="J595" s="11">
        <f>(W595/$B595)+(W595/('Optimal Choice'!$B$19*AR595))</f>
        <v>83023.68493</v>
      </c>
      <c r="K595" s="11">
        <f>(X595/$B595)+(X595/('Optimal Choice'!$B$24*AS595))</f>
        <v>81958.62303</v>
      </c>
      <c r="N595" s="12">
        <f t="shared" ref="N595:R595" si="1779">if(min($G594:$K594)=G594,N594+1,N594)</f>
        <v>220</v>
      </c>
      <c r="O595" s="12">
        <f t="shared" si="1779"/>
        <v>95</v>
      </c>
      <c r="P595" s="12">
        <f t="shared" si="1779"/>
        <v>94</v>
      </c>
      <c r="Q595" s="12">
        <f t="shared" si="1779"/>
        <v>92</v>
      </c>
      <c r="R595" s="12">
        <f t="shared" si="1779"/>
        <v>93</v>
      </c>
      <c r="T595" s="13">
        <f> 'Optimal Choice'!$B$5*'Optimal Choice'!$B$6^(N595+1)</f>
        <v>12470241.37</v>
      </c>
      <c r="U595" s="13">
        <f> 'Optimal Choice'!$B$10*'Optimal Choice'!$B$11^(O595+1)</f>
        <v>40285051.61</v>
      </c>
      <c r="V595" s="13">
        <f> 'Optimal Choice'!$B$15*'Optimal Choice'!$B$16^(P595+1)</f>
        <v>183355260</v>
      </c>
      <c r="W595" s="13">
        <f> 'Optimal Choice'!$B$20*'Optimal Choice'!$B$21^(Q595+1)</f>
        <v>746120523.8</v>
      </c>
      <c r="X595" s="13">
        <f> 'Optimal Choice'!$B$25*'Optimal Choice'!$B$26^(R595+1)</f>
        <v>4387217036</v>
      </c>
      <c r="AA595" s="12">
        <f t="shared" ref="AA595:AE595" si="1780">if(isna(VLOOKUP(N595,$D$2:$E$10,2,false)),AA594, VLOOKUP(N595,$D$2:$E$10,2,false))</f>
        <v>100</v>
      </c>
      <c r="AB595" s="12">
        <f t="shared" si="1780"/>
        <v>25</v>
      </c>
      <c r="AC595" s="12">
        <f t="shared" si="1780"/>
        <v>25</v>
      </c>
      <c r="AD595" s="12">
        <f t="shared" si="1780"/>
        <v>25</v>
      </c>
      <c r="AE595" s="12">
        <f t="shared" si="1780"/>
        <v>25</v>
      </c>
      <c r="AH595" s="15">
        <f>N595*'Optimal Choice'!$B$4*AA595</f>
        <v>36740</v>
      </c>
      <c r="AI595" s="15">
        <f>O595*'Optimal Choice'!$B$9*AB595</f>
        <v>47500</v>
      </c>
      <c r="AJ595" s="15">
        <f>P595*'Optimal Choice'!$B$14*AC595</f>
        <v>211500</v>
      </c>
      <c r="AK595" s="15">
        <f>Q595*'Optimal Choice'!$B$19*AD595</f>
        <v>828000</v>
      </c>
      <c r="AL595" s="15">
        <f>R595*'Optimal Choice'!$B$24*AE595</f>
        <v>5022000</v>
      </c>
      <c r="AO595" s="12">
        <f t="shared" ref="AO595:AS595" si="1781">if(isna(VLOOKUP(N595+1,$D$2:$E$10,2,false)),AO594, VLOOKUP(N595+1,$D$2:$E$10,2,false))</f>
        <v>100</v>
      </c>
      <c r="AP595" s="12">
        <f t="shared" si="1781"/>
        <v>25</v>
      </c>
      <c r="AQ595" s="12">
        <f t="shared" si="1781"/>
        <v>25</v>
      </c>
      <c r="AR595" s="12">
        <f t="shared" si="1781"/>
        <v>25</v>
      </c>
      <c r="AS595" s="12">
        <f t="shared" si="1781"/>
        <v>25</v>
      </c>
      <c r="AU595" s="11">
        <f t="shared" si="8"/>
        <v>1.793253012</v>
      </c>
    </row>
    <row r="596" ht="15.75" customHeight="1">
      <c r="A596" s="16">
        <f t="shared" si="4"/>
        <v>148.1095783</v>
      </c>
      <c r="B596" s="7">
        <f>(sum(AH596:AL596))*'Optimal Choice'!$B$28</f>
        <v>6145907</v>
      </c>
      <c r="C596" s="11"/>
      <c r="D596" s="12"/>
      <c r="E596" s="12"/>
      <c r="F596" s="11"/>
      <c r="G596" s="11">
        <f>(T596/$B596)+(T596/('Optimal Choice'!$B$4*AO596))</f>
        <v>79901.32238</v>
      </c>
      <c r="H596" s="11">
        <f>(U596/$B596)+(U596/('Optimal Choice'!$B$9*AP596))</f>
        <v>80576.65799</v>
      </c>
      <c r="I596" s="11">
        <f>(V596/$B596)+(V596/('Optimal Choice'!$B$14*AQ596))</f>
        <v>81521.06041</v>
      </c>
      <c r="J596" s="11">
        <f>(W596/$B596)+(W596/('Optimal Choice'!$B$19*AR596))</f>
        <v>83023.68163</v>
      </c>
      <c r="K596" s="11">
        <f>(X596/$B596)+(X596/('Optimal Choice'!$B$24*AS596))</f>
        <v>81958.60363</v>
      </c>
      <c r="N596" s="12">
        <f t="shared" ref="N596:R596" si="1782">if(min($G595:$K595)=G595,N595+1,N595)</f>
        <v>221</v>
      </c>
      <c r="O596" s="12">
        <f t="shared" si="1782"/>
        <v>95</v>
      </c>
      <c r="P596" s="12">
        <f t="shared" si="1782"/>
        <v>94</v>
      </c>
      <c r="Q596" s="12">
        <f t="shared" si="1782"/>
        <v>92</v>
      </c>
      <c r="R596" s="12">
        <f t="shared" si="1782"/>
        <v>93</v>
      </c>
      <c r="T596" s="13">
        <f> 'Optimal Choice'!$B$5*'Optimal Choice'!$B$6^(N596+1)</f>
        <v>13343158.27</v>
      </c>
      <c r="U596" s="13">
        <f> 'Optimal Choice'!$B$10*'Optimal Choice'!$B$11^(O596+1)</f>
        <v>40285051.61</v>
      </c>
      <c r="V596" s="13">
        <f> 'Optimal Choice'!$B$15*'Optimal Choice'!$B$16^(P596+1)</f>
        <v>183355260</v>
      </c>
      <c r="W596" s="13">
        <f> 'Optimal Choice'!$B$20*'Optimal Choice'!$B$21^(Q596+1)</f>
        <v>746120523.8</v>
      </c>
      <c r="X596" s="13">
        <f> 'Optimal Choice'!$B$25*'Optimal Choice'!$B$26^(R596+1)</f>
        <v>4387217036</v>
      </c>
      <c r="AA596" s="12">
        <f t="shared" ref="AA596:AE596" si="1783">if(isna(VLOOKUP(N596,$D$2:$E$10,2,false)),AA595, VLOOKUP(N596,$D$2:$E$10,2,false))</f>
        <v>100</v>
      </c>
      <c r="AB596" s="12">
        <f t="shared" si="1783"/>
        <v>25</v>
      </c>
      <c r="AC596" s="12">
        <f t="shared" si="1783"/>
        <v>25</v>
      </c>
      <c r="AD596" s="12">
        <f t="shared" si="1783"/>
        <v>25</v>
      </c>
      <c r="AE596" s="12">
        <f t="shared" si="1783"/>
        <v>25</v>
      </c>
      <c r="AH596" s="15">
        <f>N596*'Optimal Choice'!$B$4*AA596</f>
        <v>36907</v>
      </c>
      <c r="AI596" s="15">
        <f>O596*'Optimal Choice'!$B$9*AB596</f>
        <v>47500</v>
      </c>
      <c r="AJ596" s="15">
        <f>P596*'Optimal Choice'!$B$14*AC596</f>
        <v>211500</v>
      </c>
      <c r="AK596" s="15">
        <f>Q596*'Optimal Choice'!$B$19*AD596</f>
        <v>828000</v>
      </c>
      <c r="AL596" s="15">
        <f>R596*'Optimal Choice'!$B$24*AE596</f>
        <v>5022000</v>
      </c>
      <c r="AO596" s="12">
        <f t="shared" ref="AO596:AS596" si="1784">if(isna(VLOOKUP(N596+1,$D$2:$E$10,2,false)),AO595, VLOOKUP(N596+1,$D$2:$E$10,2,false))</f>
        <v>100</v>
      </c>
      <c r="AP596" s="12">
        <f t="shared" si="1784"/>
        <v>25</v>
      </c>
      <c r="AQ596" s="12">
        <f t="shared" si="1784"/>
        <v>25</v>
      </c>
      <c r="AR596" s="12">
        <f t="shared" si="1784"/>
        <v>25</v>
      </c>
      <c r="AS596" s="12">
        <f t="shared" si="1784"/>
        <v>25</v>
      </c>
      <c r="AU596" s="11">
        <f t="shared" si="8"/>
        <v>0.0338181173</v>
      </c>
    </row>
    <row r="597" ht="15.75" customHeight="1">
      <c r="A597" s="16">
        <f t="shared" si="4"/>
        <v>148.1457627</v>
      </c>
      <c r="B597" s="7">
        <f>(sum(AH597:AL597))*'Optimal Choice'!$B$28</f>
        <v>6146074</v>
      </c>
      <c r="C597" s="11"/>
      <c r="D597" s="12"/>
      <c r="E597" s="12"/>
      <c r="F597" s="11"/>
      <c r="G597" s="11">
        <f>(T597/$B597)+(T597/('Optimal Choice'!$B$4*AO597))</f>
        <v>85494.41489</v>
      </c>
      <c r="H597" s="11">
        <f>(U597/$B597)+(U597/('Optimal Choice'!$B$9*AP597))</f>
        <v>80576.65781</v>
      </c>
      <c r="I597" s="11">
        <f>(V597/$B597)+(V597/('Optimal Choice'!$B$14*AQ597))</f>
        <v>81521.05959</v>
      </c>
      <c r="J597" s="11">
        <f>(W597/$B597)+(W597/('Optimal Choice'!$B$19*AR597))</f>
        <v>83023.67833</v>
      </c>
      <c r="K597" s="11">
        <f>(X597/$B597)+(X597/('Optimal Choice'!$B$24*AS597))</f>
        <v>81958.58424</v>
      </c>
      <c r="N597" s="12">
        <f t="shared" ref="N597:R597" si="1785">if(min($G596:$K596)=G596,N596+1,N596)</f>
        <v>222</v>
      </c>
      <c r="O597" s="12">
        <f t="shared" si="1785"/>
        <v>95</v>
      </c>
      <c r="P597" s="12">
        <f t="shared" si="1785"/>
        <v>94</v>
      </c>
      <c r="Q597" s="12">
        <f t="shared" si="1785"/>
        <v>92</v>
      </c>
      <c r="R597" s="12">
        <f t="shared" si="1785"/>
        <v>93</v>
      </c>
      <c r="T597" s="13">
        <f> 'Optimal Choice'!$B$5*'Optimal Choice'!$B$6^(N597+1)</f>
        <v>14277179.35</v>
      </c>
      <c r="U597" s="13">
        <f> 'Optimal Choice'!$B$10*'Optimal Choice'!$B$11^(O597+1)</f>
        <v>40285051.61</v>
      </c>
      <c r="V597" s="13">
        <f> 'Optimal Choice'!$B$15*'Optimal Choice'!$B$16^(P597+1)</f>
        <v>183355260</v>
      </c>
      <c r="W597" s="13">
        <f> 'Optimal Choice'!$B$20*'Optimal Choice'!$B$21^(Q597+1)</f>
        <v>746120523.8</v>
      </c>
      <c r="X597" s="13">
        <f> 'Optimal Choice'!$B$25*'Optimal Choice'!$B$26^(R597+1)</f>
        <v>4387217036</v>
      </c>
      <c r="AA597" s="12">
        <f t="shared" ref="AA597:AE597" si="1786">if(isna(VLOOKUP(N597,$D$2:$E$10,2,false)),AA596, VLOOKUP(N597,$D$2:$E$10,2,false))</f>
        <v>100</v>
      </c>
      <c r="AB597" s="12">
        <f t="shared" si="1786"/>
        <v>25</v>
      </c>
      <c r="AC597" s="12">
        <f t="shared" si="1786"/>
        <v>25</v>
      </c>
      <c r="AD597" s="12">
        <f t="shared" si="1786"/>
        <v>25</v>
      </c>
      <c r="AE597" s="12">
        <f t="shared" si="1786"/>
        <v>25</v>
      </c>
      <c r="AH597" s="15">
        <f>N597*'Optimal Choice'!$B$4*AA597</f>
        <v>37074</v>
      </c>
      <c r="AI597" s="15">
        <f>O597*'Optimal Choice'!$B$9*AB597</f>
        <v>47500</v>
      </c>
      <c r="AJ597" s="15">
        <f>P597*'Optimal Choice'!$B$14*AC597</f>
        <v>211500</v>
      </c>
      <c r="AK597" s="15">
        <f>Q597*'Optimal Choice'!$B$19*AD597</f>
        <v>828000</v>
      </c>
      <c r="AL597" s="15">
        <f>R597*'Optimal Choice'!$B$24*AE597</f>
        <v>5022000</v>
      </c>
      <c r="AO597" s="12">
        <f t="shared" ref="AO597:AS597" si="1787">if(isna(VLOOKUP(N597+1,$D$2:$E$10,2,false)),AO596, VLOOKUP(N597+1,$D$2:$E$10,2,false))</f>
        <v>100</v>
      </c>
      <c r="AP597" s="12">
        <f t="shared" si="1787"/>
        <v>25</v>
      </c>
      <c r="AQ597" s="12">
        <f t="shared" si="1787"/>
        <v>25</v>
      </c>
      <c r="AR597" s="12">
        <f t="shared" si="1787"/>
        <v>25</v>
      </c>
      <c r="AS597" s="12">
        <f t="shared" si="1787"/>
        <v>25</v>
      </c>
      <c r="AU597" s="11">
        <f t="shared" si="8"/>
        <v>0.03618440226</v>
      </c>
    </row>
    <row r="598" ht="15.75" customHeight="1">
      <c r="A598" s="16">
        <f t="shared" si="4"/>
        <v>148.255006</v>
      </c>
      <c r="B598" s="7">
        <f>(sum(AH598:AL598))*'Optimal Choice'!$B$28</f>
        <v>6146574</v>
      </c>
      <c r="C598" s="11"/>
      <c r="D598" s="12"/>
      <c r="E598" s="12"/>
      <c r="F598" s="11"/>
      <c r="G598" s="11">
        <f>(T598/$B598)+(T598/('Optimal Choice'!$B$4*AO598))</f>
        <v>85494.4147</v>
      </c>
      <c r="H598" s="11">
        <f>(U598/$B598)+(U598/('Optimal Choice'!$B$9*AP598))</f>
        <v>92663.15587</v>
      </c>
      <c r="I598" s="11">
        <f>(V598/$B598)+(V598/('Optimal Choice'!$B$14*AQ598))</f>
        <v>81521.05717</v>
      </c>
      <c r="J598" s="11">
        <f>(W598/$B598)+(W598/('Optimal Choice'!$B$19*AR598))</f>
        <v>83023.66845</v>
      </c>
      <c r="K598" s="11">
        <f>(X598/$B598)+(X598/('Optimal Choice'!$B$24*AS598))</f>
        <v>81958.52617</v>
      </c>
      <c r="N598" s="12">
        <f t="shared" ref="N598:R598" si="1788">if(min($G597:$K597)=G597,N597+1,N597)</f>
        <v>222</v>
      </c>
      <c r="O598" s="12">
        <f t="shared" si="1788"/>
        <v>96</v>
      </c>
      <c r="P598" s="12">
        <f t="shared" si="1788"/>
        <v>94</v>
      </c>
      <c r="Q598" s="12">
        <f t="shared" si="1788"/>
        <v>92</v>
      </c>
      <c r="R598" s="12">
        <f t="shared" si="1788"/>
        <v>93</v>
      </c>
      <c r="T598" s="13">
        <f> 'Optimal Choice'!$B$5*'Optimal Choice'!$B$6^(N598+1)</f>
        <v>14277179.35</v>
      </c>
      <c r="U598" s="13">
        <f> 'Optimal Choice'!$B$10*'Optimal Choice'!$B$11^(O598+1)</f>
        <v>46327809.35</v>
      </c>
      <c r="V598" s="13">
        <f> 'Optimal Choice'!$B$15*'Optimal Choice'!$B$16^(P598+1)</f>
        <v>183355260</v>
      </c>
      <c r="W598" s="13">
        <f> 'Optimal Choice'!$B$20*'Optimal Choice'!$B$21^(Q598+1)</f>
        <v>746120523.8</v>
      </c>
      <c r="X598" s="13">
        <f> 'Optimal Choice'!$B$25*'Optimal Choice'!$B$26^(R598+1)</f>
        <v>4387217036</v>
      </c>
      <c r="AA598" s="12">
        <f t="shared" ref="AA598:AE598" si="1789">if(isna(VLOOKUP(N598,$D$2:$E$10,2,false)),AA597, VLOOKUP(N598,$D$2:$E$10,2,false))</f>
        <v>100</v>
      </c>
      <c r="AB598" s="12">
        <f t="shared" si="1789"/>
        <v>25</v>
      </c>
      <c r="AC598" s="12">
        <f t="shared" si="1789"/>
        <v>25</v>
      </c>
      <c r="AD598" s="12">
        <f t="shared" si="1789"/>
        <v>25</v>
      </c>
      <c r="AE598" s="12">
        <f t="shared" si="1789"/>
        <v>25</v>
      </c>
      <c r="AH598" s="15">
        <f>N598*'Optimal Choice'!$B$4*AA598</f>
        <v>37074</v>
      </c>
      <c r="AI598" s="15">
        <f>O598*'Optimal Choice'!$B$9*AB598</f>
        <v>48000</v>
      </c>
      <c r="AJ598" s="15">
        <f>P598*'Optimal Choice'!$B$14*AC598</f>
        <v>211500</v>
      </c>
      <c r="AK598" s="15">
        <f>Q598*'Optimal Choice'!$B$19*AD598</f>
        <v>828000</v>
      </c>
      <c r="AL598" s="15">
        <f>R598*'Optimal Choice'!$B$24*AE598</f>
        <v>5022000</v>
      </c>
      <c r="AO598" s="12">
        <f t="shared" ref="AO598:AS598" si="1790">if(isna(VLOOKUP(N598+1,$D$2:$E$10,2,false)),AO597, VLOOKUP(N598+1,$D$2:$E$10,2,false))</f>
        <v>100</v>
      </c>
      <c r="AP598" s="12">
        <f t="shared" si="1790"/>
        <v>25</v>
      </c>
      <c r="AQ598" s="12">
        <f t="shared" si="1790"/>
        <v>25</v>
      </c>
      <c r="AR598" s="12">
        <f t="shared" si="1790"/>
        <v>25</v>
      </c>
      <c r="AS598" s="12">
        <f t="shared" si="1790"/>
        <v>25</v>
      </c>
      <c r="AU598" s="11">
        <f t="shared" si="8"/>
        <v>0.1092433197</v>
      </c>
    </row>
    <row r="599" ht="15.75" customHeight="1">
      <c r="A599" s="16">
        <f t="shared" si="4"/>
        <v>148.7521807</v>
      </c>
      <c r="B599" s="7">
        <f>(sum(AH599:AL599))*'Optimal Choice'!$B$28</f>
        <v>6148824</v>
      </c>
      <c r="C599" s="11"/>
      <c r="D599" s="12"/>
      <c r="E599" s="12"/>
      <c r="F599" s="11"/>
      <c r="G599" s="11">
        <f>(T599/$B599)+(T599/('Optimal Choice'!$B$4*AO599))</f>
        <v>85494.41385</v>
      </c>
      <c r="H599" s="11">
        <f>(U599/$B599)+(U599/('Optimal Choice'!$B$9*AP599))</f>
        <v>92663.15311</v>
      </c>
      <c r="I599" s="11">
        <f>(V599/$B599)+(V599/('Optimal Choice'!$B$14*AQ599))</f>
        <v>92933.99273</v>
      </c>
      <c r="J599" s="11">
        <f>(W599/$B599)+(W599/('Optimal Choice'!$B$19*AR599))</f>
        <v>83023.62403</v>
      </c>
      <c r="K599" s="11">
        <f>(X599/$B599)+(X599/('Optimal Choice'!$B$24*AS599))</f>
        <v>81958.26499</v>
      </c>
      <c r="N599" s="12">
        <f t="shared" ref="N599:R599" si="1791">if(min($G598:$K598)=G598,N598+1,N598)</f>
        <v>222</v>
      </c>
      <c r="O599" s="12">
        <f t="shared" si="1791"/>
        <v>96</v>
      </c>
      <c r="P599" s="12">
        <f t="shared" si="1791"/>
        <v>95</v>
      </c>
      <c r="Q599" s="12">
        <f t="shared" si="1791"/>
        <v>92</v>
      </c>
      <c r="R599" s="12">
        <f t="shared" si="1791"/>
        <v>93</v>
      </c>
      <c r="T599" s="13">
        <f> 'Optimal Choice'!$B$5*'Optimal Choice'!$B$6^(N599+1)</f>
        <v>14277179.35</v>
      </c>
      <c r="U599" s="13">
        <f> 'Optimal Choice'!$B$10*'Optimal Choice'!$B$11^(O599+1)</f>
        <v>46327809.35</v>
      </c>
      <c r="V599" s="13">
        <f> 'Optimal Choice'!$B$15*'Optimal Choice'!$B$16^(P599+1)</f>
        <v>209024996.5</v>
      </c>
      <c r="W599" s="13">
        <f> 'Optimal Choice'!$B$20*'Optimal Choice'!$B$21^(Q599+1)</f>
        <v>746120523.8</v>
      </c>
      <c r="X599" s="13">
        <f> 'Optimal Choice'!$B$25*'Optimal Choice'!$B$26^(R599+1)</f>
        <v>4387217036</v>
      </c>
      <c r="AA599" s="12">
        <f t="shared" ref="AA599:AE599" si="1792">if(isna(VLOOKUP(N599,$D$2:$E$10,2,false)),AA598, VLOOKUP(N599,$D$2:$E$10,2,false))</f>
        <v>100</v>
      </c>
      <c r="AB599" s="12">
        <f t="shared" si="1792"/>
        <v>25</v>
      </c>
      <c r="AC599" s="12">
        <f t="shared" si="1792"/>
        <v>25</v>
      </c>
      <c r="AD599" s="12">
        <f t="shared" si="1792"/>
        <v>25</v>
      </c>
      <c r="AE599" s="12">
        <f t="shared" si="1792"/>
        <v>25</v>
      </c>
      <c r="AH599" s="15">
        <f>N599*'Optimal Choice'!$B$4*AA599</f>
        <v>37074</v>
      </c>
      <c r="AI599" s="15">
        <f>O599*'Optimal Choice'!$B$9*AB599</f>
        <v>48000</v>
      </c>
      <c r="AJ599" s="15">
        <f>P599*'Optimal Choice'!$B$14*AC599</f>
        <v>213750</v>
      </c>
      <c r="AK599" s="15">
        <f>Q599*'Optimal Choice'!$B$19*AD599</f>
        <v>828000</v>
      </c>
      <c r="AL599" s="15">
        <f>R599*'Optimal Choice'!$B$24*AE599</f>
        <v>5022000</v>
      </c>
      <c r="AO599" s="12">
        <f t="shared" ref="AO599:AS599" si="1793">if(isna(VLOOKUP(N599+1,$D$2:$E$10,2,false)),AO598, VLOOKUP(N599+1,$D$2:$E$10,2,false))</f>
        <v>100</v>
      </c>
      <c r="AP599" s="12">
        <f t="shared" si="1793"/>
        <v>25</v>
      </c>
      <c r="AQ599" s="12">
        <f t="shared" si="1793"/>
        <v>25</v>
      </c>
      <c r="AR599" s="12">
        <f t="shared" si="1793"/>
        <v>25</v>
      </c>
      <c r="AS599" s="12">
        <f t="shared" si="1793"/>
        <v>25</v>
      </c>
      <c r="AU599" s="11">
        <f t="shared" si="8"/>
        <v>0.4971746864</v>
      </c>
    </row>
    <row r="600" ht="15.75" customHeight="1">
      <c r="A600" s="16">
        <f t="shared" si="4"/>
        <v>160.6439317</v>
      </c>
      <c r="B600" s="7">
        <f>(sum(AH600:AL600))*'Optimal Choice'!$B$28</f>
        <v>6202824</v>
      </c>
      <c r="C600" s="11"/>
      <c r="D600" s="12"/>
      <c r="E600" s="12"/>
      <c r="F600" s="11"/>
      <c r="G600" s="11">
        <f>(T600/$B600)+(T600/('Optimal Choice'!$B$4*AO600))</f>
        <v>85494.39363</v>
      </c>
      <c r="H600" s="11">
        <f>(U600/$B600)+(U600/('Optimal Choice'!$B$9*AP600))</f>
        <v>92663.08752</v>
      </c>
      <c r="I600" s="11">
        <f>(V600/$B600)+(V600/('Optimal Choice'!$B$14*AQ600))</f>
        <v>92933.69678</v>
      </c>
      <c r="J600" s="11">
        <f>(W600/$B600)+(W600/('Optimal Choice'!$B$19*AR600))</f>
        <v>83022.56765</v>
      </c>
      <c r="K600" s="11">
        <f>(X600/$B600)+(X600/('Optimal Choice'!$B$24*AS600))</f>
        <v>91786.29983</v>
      </c>
      <c r="N600" s="12">
        <f t="shared" ref="N600:R600" si="1794">if(min($G599:$K599)=G599,N599+1,N599)</f>
        <v>222</v>
      </c>
      <c r="O600" s="12">
        <f t="shared" si="1794"/>
        <v>96</v>
      </c>
      <c r="P600" s="12">
        <f t="shared" si="1794"/>
        <v>95</v>
      </c>
      <c r="Q600" s="12">
        <f t="shared" si="1794"/>
        <v>92</v>
      </c>
      <c r="R600" s="12">
        <f t="shared" si="1794"/>
        <v>94</v>
      </c>
      <c r="T600" s="13">
        <f> 'Optimal Choice'!$B$5*'Optimal Choice'!$B$6^(N600+1)</f>
        <v>14277179.35</v>
      </c>
      <c r="U600" s="13">
        <f> 'Optimal Choice'!$B$10*'Optimal Choice'!$B$11^(O600+1)</f>
        <v>46327809.35</v>
      </c>
      <c r="V600" s="13">
        <f> 'Optimal Choice'!$B$15*'Optimal Choice'!$B$16^(P600+1)</f>
        <v>209024996.5</v>
      </c>
      <c r="W600" s="13">
        <f> 'Optimal Choice'!$B$20*'Optimal Choice'!$B$21^(Q600+1)</f>
        <v>746120523.8</v>
      </c>
      <c r="X600" s="13">
        <f> 'Optimal Choice'!$B$25*'Optimal Choice'!$B$26^(R600+1)</f>
        <v>4913683080</v>
      </c>
      <c r="AA600" s="12">
        <f t="shared" ref="AA600:AE600" si="1795">if(isna(VLOOKUP(N600,$D$2:$E$10,2,false)),AA599, VLOOKUP(N600,$D$2:$E$10,2,false))</f>
        <v>100</v>
      </c>
      <c r="AB600" s="12">
        <f t="shared" si="1795"/>
        <v>25</v>
      </c>
      <c r="AC600" s="12">
        <f t="shared" si="1795"/>
        <v>25</v>
      </c>
      <c r="AD600" s="12">
        <f t="shared" si="1795"/>
        <v>25</v>
      </c>
      <c r="AE600" s="12">
        <f t="shared" si="1795"/>
        <v>25</v>
      </c>
      <c r="AH600" s="15">
        <f>N600*'Optimal Choice'!$B$4*AA600</f>
        <v>37074</v>
      </c>
      <c r="AI600" s="15">
        <f>O600*'Optimal Choice'!$B$9*AB600</f>
        <v>48000</v>
      </c>
      <c r="AJ600" s="15">
        <f>P600*'Optimal Choice'!$B$14*AC600</f>
        <v>213750</v>
      </c>
      <c r="AK600" s="15">
        <f>Q600*'Optimal Choice'!$B$19*AD600</f>
        <v>828000</v>
      </c>
      <c r="AL600" s="15">
        <f>R600*'Optimal Choice'!$B$24*AE600</f>
        <v>5076000</v>
      </c>
      <c r="AO600" s="12">
        <f t="shared" ref="AO600:AS600" si="1796">if(isna(VLOOKUP(N600+1,$D$2:$E$10,2,false)),AO599, VLOOKUP(N600+1,$D$2:$E$10,2,false))</f>
        <v>100</v>
      </c>
      <c r="AP600" s="12">
        <f t="shared" si="1796"/>
        <v>25</v>
      </c>
      <c r="AQ600" s="12">
        <f t="shared" si="1796"/>
        <v>25</v>
      </c>
      <c r="AR600" s="12">
        <f t="shared" si="1796"/>
        <v>25</v>
      </c>
      <c r="AS600" s="12">
        <f t="shared" si="1796"/>
        <v>25</v>
      </c>
      <c r="AU600" s="11">
        <f t="shared" si="8"/>
        <v>11.891751</v>
      </c>
    </row>
    <row r="601" ht="15.75" customHeight="1">
      <c r="A601" s="16"/>
      <c r="B601" s="7"/>
      <c r="C601" s="11"/>
      <c r="D601" s="12"/>
      <c r="E601" s="12"/>
      <c r="F601" s="11"/>
      <c r="G601" s="11"/>
      <c r="H601" s="11"/>
      <c r="I601" s="11"/>
      <c r="J601" s="11"/>
      <c r="K601" s="11"/>
      <c r="N601" s="12"/>
      <c r="O601" s="12"/>
      <c r="P601" s="12"/>
      <c r="Q601" s="12"/>
      <c r="R601" s="12"/>
      <c r="T601" s="13"/>
      <c r="U601" s="13"/>
      <c r="V601" s="13"/>
      <c r="W601" s="13"/>
      <c r="X601" s="13"/>
    </row>
    <row r="602" ht="15.75" customHeight="1">
      <c r="A602" s="16"/>
      <c r="B602" s="7"/>
      <c r="C602" s="11"/>
      <c r="D602" s="12"/>
      <c r="E602" s="12"/>
      <c r="F602" s="11"/>
      <c r="G602" s="11"/>
      <c r="H602" s="11"/>
      <c r="I602" s="11"/>
      <c r="J602" s="11"/>
      <c r="K602" s="11"/>
      <c r="N602" s="12"/>
      <c r="O602" s="12"/>
      <c r="P602" s="12"/>
      <c r="Q602" s="12"/>
      <c r="R602" s="12"/>
      <c r="T602" s="13"/>
      <c r="U602" s="13"/>
      <c r="V602" s="13"/>
      <c r="W602" s="13"/>
      <c r="X602" s="13"/>
    </row>
    <row r="603" ht="15.75" customHeight="1">
      <c r="A603" s="16"/>
      <c r="B603" s="7"/>
      <c r="C603" s="11"/>
      <c r="D603" s="12"/>
      <c r="E603" s="12"/>
      <c r="F603" s="11"/>
      <c r="G603" s="11"/>
      <c r="H603" s="11"/>
      <c r="I603" s="11"/>
      <c r="J603" s="11"/>
      <c r="K603" s="11"/>
      <c r="N603" s="12"/>
      <c r="O603" s="12"/>
      <c r="P603" s="12"/>
      <c r="Q603" s="12"/>
      <c r="R603" s="12"/>
      <c r="T603" s="13"/>
      <c r="U603" s="13"/>
      <c r="V603" s="13"/>
      <c r="W603" s="13"/>
      <c r="X603" s="13"/>
    </row>
    <row r="604" ht="15.75" customHeight="1">
      <c r="A604" s="16"/>
      <c r="B604" s="7"/>
      <c r="C604" s="11"/>
      <c r="D604" s="12"/>
      <c r="E604" s="12"/>
      <c r="F604" s="11"/>
      <c r="G604" s="11"/>
      <c r="H604" s="11"/>
      <c r="I604" s="11"/>
      <c r="J604" s="11"/>
      <c r="K604" s="11"/>
      <c r="N604" s="12"/>
      <c r="O604" s="12"/>
      <c r="P604" s="12"/>
      <c r="Q604" s="12"/>
      <c r="R604" s="12"/>
      <c r="T604" s="13"/>
      <c r="U604" s="13"/>
      <c r="V604" s="13"/>
      <c r="W604" s="13"/>
      <c r="X604" s="13"/>
    </row>
    <row r="605" ht="15.75" customHeight="1">
      <c r="A605" s="16"/>
      <c r="B605" s="7"/>
      <c r="C605" s="11"/>
      <c r="D605" s="12"/>
      <c r="E605" s="12"/>
      <c r="F605" s="11"/>
      <c r="G605" s="11"/>
      <c r="H605" s="11"/>
      <c r="I605" s="11"/>
      <c r="J605" s="11"/>
      <c r="K605" s="11"/>
      <c r="N605" s="12"/>
      <c r="O605" s="12"/>
      <c r="P605" s="12"/>
      <c r="Q605" s="12"/>
      <c r="R605" s="12"/>
      <c r="T605" s="13"/>
      <c r="U605" s="13"/>
      <c r="V605" s="13"/>
      <c r="W605" s="13"/>
      <c r="X605" s="13"/>
    </row>
    <row r="606" ht="15.75" customHeight="1">
      <c r="A606" s="16"/>
      <c r="B606" s="7"/>
      <c r="C606" s="11"/>
      <c r="D606" s="12"/>
      <c r="E606" s="12"/>
      <c r="F606" s="11"/>
      <c r="G606" s="11"/>
      <c r="H606" s="11"/>
      <c r="I606" s="11"/>
      <c r="J606" s="11"/>
      <c r="K606" s="11"/>
      <c r="N606" s="12"/>
      <c r="O606" s="12"/>
      <c r="P606" s="12"/>
      <c r="Q606" s="12"/>
      <c r="R606" s="12"/>
      <c r="T606" s="13"/>
      <c r="U606" s="13"/>
      <c r="V606" s="13"/>
      <c r="W606" s="13"/>
      <c r="X606" s="13"/>
    </row>
    <row r="607" ht="15.75" customHeight="1">
      <c r="A607" s="16"/>
      <c r="B607" s="7"/>
      <c r="C607" s="11"/>
      <c r="D607" s="12"/>
      <c r="E607" s="12"/>
      <c r="F607" s="11"/>
      <c r="G607" s="11"/>
      <c r="H607" s="11"/>
      <c r="I607" s="11"/>
      <c r="J607" s="11"/>
      <c r="K607" s="11"/>
      <c r="N607" s="12"/>
      <c r="O607" s="12"/>
      <c r="P607" s="12"/>
      <c r="Q607" s="12"/>
      <c r="R607" s="12"/>
      <c r="T607" s="13"/>
      <c r="U607" s="13"/>
      <c r="V607" s="13"/>
      <c r="W607" s="13"/>
      <c r="X607" s="13"/>
    </row>
    <row r="608" ht="15.75" customHeight="1">
      <c r="A608" s="16"/>
      <c r="B608" s="7"/>
      <c r="C608" s="11"/>
      <c r="D608" s="12"/>
      <c r="E608" s="12"/>
      <c r="F608" s="11"/>
      <c r="G608" s="11"/>
      <c r="H608" s="11"/>
      <c r="I608" s="11"/>
      <c r="J608" s="11"/>
      <c r="K608" s="11"/>
      <c r="N608" s="12"/>
      <c r="O608" s="12"/>
      <c r="P608" s="12"/>
      <c r="Q608" s="12"/>
      <c r="R608" s="12"/>
      <c r="T608" s="13"/>
      <c r="U608" s="13"/>
      <c r="V608" s="13"/>
      <c r="W608" s="13"/>
      <c r="X608" s="13"/>
    </row>
    <row r="609" ht="15.75" customHeight="1">
      <c r="A609" s="16"/>
      <c r="B609" s="7"/>
      <c r="C609" s="11"/>
      <c r="D609" s="12"/>
      <c r="E609" s="12"/>
      <c r="F609" s="11"/>
      <c r="G609" s="11"/>
      <c r="H609" s="11"/>
      <c r="I609" s="11"/>
      <c r="J609" s="11"/>
      <c r="K609" s="11"/>
      <c r="N609" s="12"/>
      <c r="O609" s="12"/>
      <c r="P609" s="12"/>
      <c r="Q609" s="12"/>
      <c r="R609" s="12"/>
      <c r="T609" s="13"/>
      <c r="U609" s="13"/>
      <c r="V609" s="13"/>
      <c r="W609" s="13"/>
      <c r="X609" s="13"/>
    </row>
    <row r="610" ht="15.75" customHeight="1">
      <c r="A610" s="16"/>
      <c r="B610" s="7"/>
      <c r="C610" s="11"/>
      <c r="D610" s="12"/>
      <c r="E610" s="12"/>
      <c r="F610" s="11"/>
      <c r="G610" s="11"/>
      <c r="H610" s="11"/>
      <c r="I610" s="11"/>
      <c r="J610" s="11"/>
      <c r="K610" s="11"/>
      <c r="N610" s="12"/>
      <c r="O610" s="12"/>
      <c r="P610" s="12"/>
      <c r="Q610" s="12"/>
      <c r="R610" s="12"/>
      <c r="T610" s="13"/>
      <c r="U610" s="13"/>
      <c r="V610" s="13"/>
      <c r="W610" s="13"/>
      <c r="X610" s="13"/>
    </row>
    <row r="611" ht="15.75" customHeight="1">
      <c r="A611" s="16"/>
      <c r="B611" s="7"/>
      <c r="C611" s="11"/>
      <c r="D611" s="12"/>
      <c r="E611" s="12"/>
      <c r="F611" s="11"/>
      <c r="G611" s="11"/>
      <c r="H611" s="11"/>
      <c r="I611" s="11"/>
      <c r="J611" s="11"/>
      <c r="K611" s="11"/>
      <c r="N611" s="12"/>
      <c r="O611" s="12"/>
      <c r="P611" s="12"/>
      <c r="Q611" s="12"/>
      <c r="R611" s="12"/>
      <c r="T611" s="13"/>
      <c r="U611" s="13"/>
      <c r="V611" s="13"/>
      <c r="W611" s="13"/>
      <c r="X611" s="13"/>
    </row>
    <row r="612" ht="15.75" customHeight="1">
      <c r="A612" s="16"/>
      <c r="B612" s="7"/>
      <c r="C612" s="11"/>
      <c r="D612" s="12"/>
      <c r="E612" s="12"/>
      <c r="F612" s="11"/>
      <c r="G612" s="11"/>
      <c r="H612" s="11"/>
      <c r="I612" s="11"/>
      <c r="J612" s="11"/>
      <c r="K612" s="11"/>
      <c r="N612" s="12"/>
      <c r="O612" s="12"/>
      <c r="P612" s="12"/>
      <c r="Q612" s="12"/>
      <c r="R612" s="12"/>
      <c r="T612" s="13"/>
      <c r="U612" s="13"/>
      <c r="V612" s="13"/>
      <c r="W612" s="13"/>
      <c r="X612" s="13"/>
    </row>
    <row r="613" ht="15.75" customHeight="1">
      <c r="A613" s="16"/>
      <c r="B613" s="7"/>
      <c r="C613" s="11"/>
      <c r="D613" s="12"/>
      <c r="E613" s="12"/>
      <c r="F613" s="11"/>
      <c r="G613" s="11"/>
      <c r="H613" s="11"/>
      <c r="I613" s="11"/>
      <c r="J613" s="11"/>
      <c r="K613" s="11"/>
      <c r="N613" s="12"/>
      <c r="O613" s="12"/>
      <c r="P613" s="12"/>
      <c r="Q613" s="12"/>
      <c r="R613" s="12"/>
      <c r="T613" s="13"/>
      <c r="U613" s="13"/>
      <c r="V613" s="13"/>
      <c r="W613" s="13"/>
      <c r="X613" s="13"/>
    </row>
    <row r="614" ht="15.75" customHeight="1">
      <c r="A614" s="16"/>
      <c r="B614" s="7"/>
      <c r="C614" s="11"/>
      <c r="D614" s="12"/>
      <c r="E614" s="12"/>
      <c r="F614" s="11"/>
      <c r="G614" s="11"/>
      <c r="H614" s="11"/>
      <c r="I614" s="11"/>
      <c r="J614" s="11"/>
      <c r="K614" s="11"/>
      <c r="N614" s="12"/>
      <c r="O614" s="12"/>
      <c r="P614" s="12"/>
      <c r="Q614" s="12"/>
      <c r="R614" s="12"/>
      <c r="T614" s="13"/>
      <c r="U614" s="13"/>
      <c r="V614" s="13"/>
      <c r="W614" s="13"/>
      <c r="X614" s="13"/>
    </row>
    <row r="615" ht="15.75" customHeight="1">
      <c r="A615" s="16"/>
      <c r="B615" s="7"/>
      <c r="C615" s="11"/>
      <c r="D615" s="12"/>
      <c r="E615" s="12"/>
      <c r="F615" s="11"/>
      <c r="G615" s="11"/>
      <c r="H615" s="11"/>
      <c r="I615" s="11"/>
      <c r="J615" s="11"/>
      <c r="K615" s="11"/>
      <c r="N615" s="12"/>
      <c r="O615" s="12"/>
      <c r="P615" s="12"/>
      <c r="Q615" s="12"/>
      <c r="R615" s="12"/>
      <c r="T615" s="13"/>
      <c r="U615" s="13"/>
      <c r="V615" s="13"/>
      <c r="W615" s="13"/>
      <c r="X615" s="13"/>
    </row>
    <row r="616" ht="15.75" customHeight="1">
      <c r="A616" s="16"/>
      <c r="B616" s="7"/>
      <c r="C616" s="11"/>
      <c r="D616" s="12"/>
      <c r="E616" s="12"/>
      <c r="F616" s="11"/>
      <c r="G616" s="11"/>
      <c r="H616" s="11"/>
      <c r="I616" s="11"/>
      <c r="J616" s="11"/>
      <c r="K616" s="11"/>
      <c r="N616" s="12"/>
      <c r="O616" s="12"/>
      <c r="P616" s="12"/>
      <c r="Q616" s="12"/>
      <c r="R616" s="12"/>
      <c r="T616" s="13"/>
      <c r="U616" s="13"/>
      <c r="V616" s="13"/>
      <c r="W616" s="13"/>
      <c r="X616" s="13"/>
    </row>
    <row r="617" ht="15.75" customHeight="1">
      <c r="A617" s="16"/>
      <c r="B617" s="7"/>
      <c r="C617" s="11"/>
      <c r="D617" s="12"/>
      <c r="E617" s="12"/>
      <c r="F617" s="11"/>
      <c r="G617" s="11"/>
      <c r="H617" s="11"/>
      <c r="I617" s="11"/>
      <c r="J617" s="11"/>
      <c r="K617" s="11"/>
      <c r="N617" s="12"/>
      <c r="O617" s="12"/>
      <c r="P617" s="12"/>
      <c r="Q617" s="12"/>
      <c r="R617" s="12"/>
      <c r="T617" s="13"/>
      <c r="U617" s="13"/>
      <c r="V617" s="13"/>
      <c r="W617" s="13"/>
      <c r="X617" s="13"/>
    </row>
    <row r="618" ht="15.75" customHeight="1">
      <c r="A618" s="16"/>
      <c r="B618" s="7"/>
      <c r="C618" s="11"/>
      <c r="D618" s="12"/>
      <c r="E618" s="12"/>
      <c r="F618" s="11"/>
      <c r="G618" s="11"/>
      <c r="H618" s="11"/>
      <c r="I618" s="11"/>
      <c r="J618" s="11"/>
      <c r="K618" s="11"/>
      <c r="N618" s="12"/>
      <c r="O618" s="12"/>
      <c r="P618" s="12"/>
      <c r="Q618" s="12"/>
      <c r="R618" s="12"/>
      <c r="T618" s="13"/>
      <c r="U618" s="13"/>
      <c r="V618" s="13"/>
      <c r="W618" s="13"/>
      <c r="X618" s="13"/>
    </row>
    <row r="619" ht="15.75" customHeight="1">
      <c r="A619" s="16"/>
      <c r="B619" s="7"/>
      <c r="C619" s="11"/>
      <c r="D619" s="12"/>
      <c r="E619" s="12"/>
      <c r="F619" s="11"/>
      <c r="G619" s="11"/>
      <c r="H619" s="11"/>
      <c r="I619" s="11"/>
      <c r="J619" s="11"/>
      <c r="K619" s="11"/>
      <c r="N619" s="12"/>
      <c r="O619" s="12"/>
      <c r="P619" s="12"/>
      <c r="Q619" s="12"/>
      <c r="R619" s="12"/>
      <c r="T619" s="13"/>
      <c r="U619" s="13"/>
      <c r="V619" s="13"/>
      <c r="W619" s="13"/>
      <c r="X619" s="13"/>
    </row>
    <row r="620" ht="15.75" customHeight="1">
      <c r="A620" s="16"/>
      <c r="B620" s="7"/>
      <c r="C620" s="11"/>
      <c r="D620" s="12"/>
      <c r="E620" s="12"/>
      <c r="F620" s="11"/>
      <c r="G620" s="11"/>
      <c r="H620" s="11"/>
      <c r="I620" s="11"/>
      <c r="J620" s="11"/>
      <c r="K620" s="11"/>
      <c r="N620" s="12"/>
      <c r="O620" s="12"/>
      <c r="P620" s="12"/>
      <c r="Q620" s="12"/>
      <c r="R620" s="12"/>
      <c r="T620" s="13"/>
      <c r="U620" s="13"/>
      <c r="V620" s="13"/>
      <c r="W620" s="13"/>
      <c r="X620" s="13"/>
    </row>
    <row r="621" ht="15.75" customHeight="1">
      <c r="A621" s="16"/>
      <c r="B621" s="7"/>
      <c r="C621" s="11"/>
      <c r="D621" s="12"/>
      <c r="E621" s="12"/>
      <c r="F621" s="11"/>
      <c r="G621" s="11"/>
      <c r="H621" s="11"/>
      <c r="I621" s="11"/>
      <c r="J621" s="11"/>
      <c r="K621" s="11"/>
      <c r="N621" s="12"/>
      <c r="O621" s="12"/>
      <c r="P621" s="12"/>
      <c r="Q621" s="12"/>
      <c r="R621" s="12"/>
      <c r="T621" s="13"/>
      <c r="U621" s="13"/>
      <c r="V621" s="13"/>
      <c r="W621" s="13"/>
      <c r="X621" s="13"/>
    </row>
    <row r="622" ht="15.75" customHeight="1">
      <c r="A622" s="16"/>
      <c r="B622" s="7"/>
      <c r="C622" s="11"/>
      <c r="D622" s="12"/>
      <c r="E622" s="12"/>
      <c r="F622" s="11"/>
      <c r="G622" s="11"/>
      <c r="H622" s="11"/>
      <c r="I622" s="11"/>
      <c r="J622" s="11"/>
      <c r="K622" s="11"/>
      <c r="N622" s="12"/>
      <c r="O622" s="12"/>
      <c r="P622" s="12"/>
      <c r="Q622" s="12"/>
      <c r="R622" s="12"/>
      <c r="T622" s="13"/>
      <c r="U622" s="13"/>
      <c r="V622" s="13"/>
      <c r="W622" s="13"/>
      <c r="X622" s="13"/>
    </row>
    <row r="623" ht="15.75" customHeight="1">
      <c r="A623" s="16"/>
      <c r="B623" s="7"/>
      <c r="C623" s="11"/>
      <c r="D623" s="12"/>
      <c r="E623" s="12"/>
      <c r="F623" s="11"/>
      <c r="G623" s="11"/>
      <c r="H623" s="11"/>
      <c r="I623" s="11"/>
      <c r="J623" s="11"/>
      <c r="K623" s="11"/>
      <c r="N623" s="12"/>
      <c r="O623" s="12"/>
      <c r="P623" s="12"/>
      <c r="Q623" s="12"/>
      <c r="R623" s="12"/>
      <c r="T623" s="13"/>
      <c r="U623" s="13"/>
      <c r="V623" s="13"/>
      <c r="W623" s="13"/>
      <c r="X623" s="13"/>
    </row>
    <row r="624" ht="15.75" customHeight="1">
      <c r="A624" s="16"/>
      <c r="B624" s="7"/>
      <c r="C624" s="11"/>
      <c r="D624" s="12"/>
      <c r="E624" s="12"/>
      <c r="F624" s="11"/>
      <c r="G624" s="11"/>
      <c r="H624" s="11"/>
      <c r="I624" s="11"/>
      <c r="J624" s="11"/>
      <c r="K624" s="11"/>
      <c r="N624" s="12"/>
      <c r="O624" s="12"/>
      <c r="P624" s="12"/>
      <c r="Q624" s="12"/>
      <c r="R624" s="12"/>
      <c r="T624" s="13"/>
      <c r="U624" s="13"/>
      <c r="V624" s="13"/>
      <c r="W624" s="13"/>
      <c r="X624" s="13"/>
    </row>
    <row r="625" ht="15.75" customHeight="1">
      <c r="A625" s="16"/>
      <c r="B625" s="7"/>
      <c r="C625" s="11"/>
      <c r="D625" s="12"/>
      <c r="E625" s="12"/>
      <c r="F625" s="11"/>
      <c r="G625" s="11"/>
      <c r="H625" s="11"/>
      <c r="I625" s="11"/>
      <c r="J625" s="11"/>
      <c r="K625" s="11"/>
      <c r="N625" s="12"/>
      <c r="O625" s="12"/>
      <c r="P625" s="12"/>
      <c r="Q625" s="12"/>
      <c r="R625" s="12"/>
      <c r="T625" s="13"/>
      <c r="U625" s="13"/>
      <c r="V625" s="13"/>
      <c r="W625" s="13"/>
      <c r="X625" s="13"/>
    </row>
    <row r="626" ht="15.75" customHeight="1">
      <c r="A626" s="16"/>
      <c r="B626" s="7"/>
      <c r="C626" s="11"/>
      <c r="D626" s="12"/>
      <c r="E626" s="12"/>
      <c r="F626" s="11"/>
      <c r="G626" s="11"/>
      <c r="H626" s="11"/>
      <c r="I626" s="11"/>
      <c r="J626" s="11"/>
      <c r="K626" s="11"/>
      <c r="N626" s="12"/>
      <c r="O626" s="12"/>
      <c r="P626" s="12"/>
      <c r="Q626" s="12"/>
      <c r="R626" s="12"/>
      <c r="T626" s="13"/>
      <c r="U626" s="13"/>
      <c r="V626" s="13"/>
      <c r="W626" s="13"/>
      <c r="X626" s="13"/>
    </row>
    <row r="627" ht="15.75" customHeight="1">
      <c r="A627" s="16"/>
      <c r="B627" s="7"/>
      <c r="C627" s="11"/>
      <c r="D627" s="12"/>
      <c r="E627" s="12"/>
      <c r="F627" s="11"/>
      <c r="G627" s="11"/>
      <c r="H627" s="11"/>
      <c r="I627" s="11"/>
      <c r="J627" s="11"/>
      <c r="K627" s="11"/>
      <c r="N627" s="12"/>
      <c r="O627" s="12"/>
      <c r="P627" s="12"/>
      <c r="Q627" s="12"/>
      <c r="R627" s="12"/>
      <c r="T627" s="13"/>
      <c r="U627" s="13"/>
      <c r="V627" s="13"/>
      <c r="W627" s="13"/>
      <c r="X627" s="13"/>
    </row>
    <row r="628" ht="15.75" customHeight="1">
      <c r="A628" s="16"/>
      <c r="B628" s="7"/>
      <c r="C628" s="11"/>
      <c r="D628" s="12"/>
      <c r="E628" s="12"/>
      <c r="F628" s="11"/>
      <c r="G628" s="11"/>
      <c r="H628" s="11"/>
      <c r="I628" s="11"/>
      <c r="J628" s="11"/>
      <c r="K628" s="11"/>
      <c r="N628" s="12"/>
      <c r="O628" s="12"/>
      <c r="P628" s="12"/>
      <c r="Q628" s="12"/>
      <c r="R628" s="12"/>
      <c r="T628" s="13"/>
      <c r="U628" s="13"/>
      <c r="V628" s="13"/>
      <c r="W628" s="13"/>
      <c r="X628" s="13"/>
    </row>
    <row r="629" ht="15.75" customHeight="1">
      <c r="A629" s="16"/>
      <c r="B629" s="7"/>
      <c r="C629" s="11"/>
      <c r="D629" s="12"/>
      <c r="E629" s="12"/>
      <c r="F629" s="11"/>
      <c r="G629" s="11"/>
      <c r="H629" s="11"/>
      <c r="I629" s="11"/>
      <c r="J629" s="11"/>
      <c r="K629" s="11"/>
      <c r="N629" s="12"/>
      <c r="O629" s="12"/>
      <c r="P629" s="12"/>
      <c r="Q629" s="12"/>
      <c r="R629" s="12"/>
      <c r="T629" s="13"/>
      <c r="U629" s="13"/>
      <c r="V629" s="13"/>
      <c r="W629" s="13"/>
      <c r="X629" s="13"/>
    </row>
    <row r="630" ht="15.75" customHeight="1">
      <c r="A630" s="16"/>
      <c r="B630" s="7"/>
      <c r="C630" s="11"/>
      <c r="D630" s="12"/>
      <c r="E630" s="12"/>
      <c r="F630" s="11"/>
      <c r="G630" s="11"/>
      <c r="H630" s="11"/>
      <c r="I630" s="11"/>
      <c r="J630" s="11"/>
      <c r="K630" s="11"/>
      <c r="N630" s="12"/>
      <c r="O630" s="12"/>
      <c r="P630" s="12"/>
      <c r="Q630" s="12"/>
      <c r="R630" s="12"/>
      <c r="T630" s="13"/>
      <c r="U630" s="13"/>
      <c r="V630" s="13"/>
      <c r="W630" s="13"/>
      <c r="X630" s="13"/>
    </row>
    <row r="631" ht="15.75" customHeight="1">
      <c r="A631" s="16"/>
      <c r="B631" s="7"/>
      <c r="C631" s="11"/>
      <c r="D631" s="12"/>
      <c r="E631" s="12"/>
      <c r="F631" s="11"/>
      <c r="G631" s="11"/>
      <c r="H631" s="11"/>
      <c r="I631" s="11"/>
      <c r="J631" s="11"/>
      <c r="K631" s="11"/>
      <c r="N631" s="12"/>
      <c r="O631" s="12"/>
      <c r="P631" s="12"/>
      <c r="Q631" s="12"/>
      <c r="R631" s="12"/>
      <c r="T631" s="13"/>
      <c r="U631" s="13"/>
      <c r="V631" s="13"/>
      <c r="W631" s="13"/>
      <c r="X631" s="13"/>
    </row>
    <row r="632" ht="15.75" customHeight="1">
      <c r="A632" s="16"/>
      <c r="B632" s="7"/>
      <c r="C632" s="11"/>
      <c r="D632" s="12"/>
      <c r="E632" s="12"/>
      <c r="F632" s="11"/>
      <c r="G632" s="11"/>
      <c r="H632" s="11"/>
      <c r="I632" s="11"/>
      <c r="J632" s="11"/>
      <c r="K632" s="11"/>
      <c r="N632" s="12"/>
      <c r="O632" s="12"/>
      <c r="P632" s="12"/>
      <c r="Q632" s="12"/>
      <c r="R632" s="12"/>
      <c r="T632" s="13"/>
      <c r="U632" s="13"/>
      <c r="V632" s="13"/>
      <c r="W632" s="13"/>
      <c r="X632" s="13"/>
    </row>
    <row r="633" ht="15.75" customHeight="1">
      <c r="A633" s="16"/>
      <c r="B633" s="7"/>
      <c r="C633" s="11"/>
      <c r="D633" s="12"/>
      <c r="E633" s="12"/>
      <c r="F633" s="11"/>
      <c r="G633" s="11"/>
      <c r="H633" s="11"/>
      <c r="I633" s="11"/>
      <c r="J633" s="11"/>
      <c r="K633" s="11"/>
      <c r="N633" s="12"/>
      <c r="O633" s="12"/>
      <c r="P633" s="12"/>
      <c r="Q633" s="12"/>
      <c r="R633" s="12"/>
      <c r="T633" s="13"/>
      <c r="U633" s="13"/>
      <c r="V633" s="13"/>
      <c r="W633" s="13"/>
      <c r="X633" s="13"/>
    </row>
    <row r="634" ht="15.75" customHeight="1">
      <c r="A634" s="16"/>
      <c r="B634" s="7"/>
      <c r="C634" s="11"/>
      <c r="D634" s="12"/>
      <c r="E634" s="12"/>
      <c r="F634" s="11"/>
      <c r="G634" s="11"/>
      <c r="H634" s="11"/>
      <c r="I634" s="11"/>
      <c r="J634" s="11"/>
      <c r="K634" s="11"/>
      <c r="N634" s="12"/>
      <c r="O634" s="12"/>
      <c r="P634" s="12"/>
      <c r="Q634" s="12"/>
      <c r="R634" s="12"/>
      <c r="T634" s="13"/>
      <c r="U634" s="13"/>
      <c r="V634" s="13"/>
      <c r="W634" s="13"/>
      <c r="X634" s="13"/>
    </row>
    <row r="635" ht="15.75" customHeight="1">
      <c r="A635" s="16"/>
      <c r="B635" s="7"/>
      <c r="C635" s="11"/>
      <c r="D635" s="12"/>
      <c r="E635" s="12"/>
      <c r="F635" s="11"/>
      <c r="G635" s="11"/>
      <c r="H635" s="11"/>
      <c r="I635" s="11"/>
      <c r="J635" s="11"/>
      <c r="K635" s="11"/>
      <c r="N635" s="12"/>
      <c r="O635" s="12"/>
      <c r="P635" s="12"/>
      <c r="Q635" s="12"/>
      <c r="R635" s="12"/>
      <c r="T635" s="13"/>
      <c r="U635" s="13"/>
      <c r="V635" s="13"/>
      <c r="W635" s="13"/>
      <c r="X635" s="13"/>
    </row>
    <row r="636" ht="15.75" customHeight="1">
      <c r="A636" s="16"/>
      <c r="B636" s="7"/>
      <c r="C636" s="11"/>
      <c r="D636" s="12"/>
      <c r="E636" s="12"/>
      <c r="F636" s="11"/>
      <c r="G636" s="11"/>
      <c r="H636" s="11"/>
      <c r="I636" s="11"/>
      <c r="J636" s="11"/>
      <c r="K636" s="11"/>
      <c r="N636" s="12"/>
      <c r="O636" s="12"/>
      <c r="P636" s="12"/>
      <c r="Q636" s="12"/>
      <c r="R636" s="12"/>
      <c r="T636" s="13"/>
      <c r="U636" s="13"/>
      <c r="V636" s="13"/>
      <c r="W636" s="13"/>
      <c r="X636" s="13"/>
    </row>
    <row r="637" ht="15.75" customHeight="1">
      <c r="A637" s="16"/>
      <c r="B637" s="7"/>
      <c r="C637" s="11"/>
      <c r="D637" s="12"/>
      <c r="E637" s="12"/>
      <c r="F637" s="11"/>
      <c r="G637" s="11"/>
      <c r="H637" s="11"/>
      <c r="I637" s="11"/>
      <c r="J637" s="11"/>
      <c r="K637" s="11"/>
      <c r="N637" s="12"/>
      <c r="O637" s="12"/>
      <c r="P637" s="12"/>
      <c r="Q637" s="12"/>
      <c r="R637" s="12"/>
      <c r="T637" s="13"/>
      <c r="U637" s="13"/>
      <c r="V637" s="13"/>
      <c r="W637" s="13"/>
      <c r="X637" s="13"/>
    </row>
    <row r="638" ht="15.75" customHeight="1">
      <c r="A638" s="16"/>
      <c r="B638" s="7"/>
      <c r="C638" s="11"/>
      <c r="D638" s="12"/>
      <c r="E638" s="12"/>
      <c r="F638" s="11"/>
      <c r="G638" s="11"/>
      <c r="H638" s="11"/>
      <c r="I638" s="11"/>
      <c r="J638" s="11"/>
      <c r="K638" s="11"/>
      <c r="N638" s="12"/>
      <c r="O638" s="12"/>
      <c r="P638" s="12"/>
      <c r="Q638" s="12"/>
      <c r="R638" s="12"/>
      <c r="T638" s="13"/>
      <c r="U638" s="13"/>
      <c r="V638" s="13"/>
      <c r="W638" s="13"/>
      <c r="X638" s="13"/>
    </row>
    <row r="639" ht="15.75" customHeight="1">
      <c r="A639" s="16"/>
      <c r="B639" s="7"/>
      <c r="C639" s="11"/>
      <c r="D639" s="12"/>
      <c r="E639" s="12"/>
      <c r="F639" s="11"/>
      <c r="G639" s="11"/>
      <c r="H639" s="11"/>
      <c r="I639" s="11"/>
      <c r="J639" s="11"/>
      <c r="K639" s="11"/>
      <c r="N639" s="12"/>
      <c r="O639" s="12"/>
      <c r="P639" s="12"/>
      <c r="Q639" s="12"/>
      <c r="R639" s="12"/>
      <c r="T639" s="13"/>
      <c r="U639" s="13"/>
      <c r="V639" s="13"/>
      <c r="W639" s="13"/>
      <c r="X639" s="13"/>
    </row>
    <row r="640" ht="15.75" customHeight="1">
      <c r="A640" s="16"/>
      <c r="B640" s="7"/>
      <c r="C640" s="11"/>
      <c r="D640" s="12"/>
      <c r="E640" s="12"/>
      <c r="F640" s="11"/>
      <c r="G640" s="11"/>
      <c r="H640" s="11"/>
      <c r="I640" s="11"/>
      <c r="J640" s="11"/>
      <c r="K640" s="11"/>
      <c r="N640" s="12"/>
      <c r="O640" s="12"/>
      <c r="P640" s="12"/>
      <c r="Q640" s="12"/>
      <c r="R640" s="12"/>
      <c r="T640" s="13"/>
      <c r="U640" s="13"/>
      <c r="V640" s="13"/>
      <c r="W640" s="13"/>
      <c r="X640" s="13"/>
    </row>
    <row r="641" ht="15.75" customHeight="1">
      <c r="A641" s="16"/>
      <c r="B641" s="7"/>
      <c r="C641" s="11"/>
      <c r="D641" s="12"/>
      <c r="E641" s="12"/>
      <c r="F641" s="11"/>
      <c r="G641" s="11"/>
      <c r="H641" s="11"/>
      <c r="I641" s="11"/>
      <c r="J641" s="11"/>
      <c r="K641" s="11"/>
      <c r="N641" s="12"/>
      <c r="O641" s="12"/>
      <c r="P641" s="12"/>
      <c r="Q641" s="12"/>
      <c r="R641" s="12"/>
      <c r="T641" s="13"/>
      <c r="U641" s="13"/>
      <c r="V641" s="13"/>
      <c r="W641" s="13"/>
      <c r="X641" s="13"/>
    </row>
    <row r="642" ht="15.75" customHeight="1">
      <c r="A642" s="16"/>
      <c r="B642" s="7"/>
      <c r="C642" s="11"/>
      <c r="D642" s="12"/>
      <c r="E642" s="12"/>
      <c r="F642" s="11"/>
      <c r="G642" s="11"/>
      <c r="H642" s="11"/>
      <c r="I642" s="11"/>
      <c r="J642" s="11"/>
      <c r="K642" s="11"/>
      <c r="N642" s="12"/>
      <c r="O642" s="12"/>
      <c r="P642" s="12"/>
      <c r="Q642" s="12"/>
      <c r="R642" s="12"/>
      <c r="T642" s="13"/>
      <c r="U642" s="13"/>
      <c r="V642" s="13"/>
      <c r="W642" s="13"/>
      <c r="X642" s="13"/>
    </row>
    <row r="643" ht="15.75" customHeight="1">
      <c r="A643" s="16"/>
      <c r="B643" s="7"/>
      <c r="C643" s="11"/>
      <c r="D643" s="12"/>
      <c r="E643" s="12"/>
      <c r="F643" s="11"/>
      <c r="G643" s="11"/>
      <c r="H643" s="11"/>
      <c r="I643" s="11"/>
      <c r="J643" s="11"/>
      <c r="K643" s="11"/>
      <c r="N643" s="12"/>
      <c r="O643" s="12"/>
      <c r="P643" s="12"/>
      <c r="Q643" s="12"/>
      <c r="R643" s="12"/>
      <c r="T643" s="13"/>
      <c r="U643" s="13"/>
      <c r="V643" s="13"/>
      <c r="W643" s="13"/>
      <c r="X643" s="13"/>
    </row>
    <row r="644" ht="15.75" customHeight="1">
      <c r="A644" s="16"/>
      <c r="B644" s="7"/>
      <c r="C644" s="11"/>
      <c r="D644" s="12"/>
      <c r="E644" s="12"/>
      <c r="F644" s="11"/>
      <c r="G644" s="11"/>
      <c r="H644" s="11"/>
      <c r="I644" s="11"/>
      <c r="J644" s="11"/>
      <c r="K644" s="11"/>
      <c r="N644" s="12"/>
      <c r="O644" s="12"/>
      <c r="P644" s="12"/>
      <c r="Q644" s="12"/>
      <c r="R644" s="12"/>
      <c r="T644" s="13"/>
      <c r="U644" s="13"/>
      <c r="V644" s="13"/>
      <c r="W644" s="13"/>
      <c r="X644" s="13"/>
    </row>
    <row r="645" ht="15.75" customHeight="1">
      <c r="A645" s="16"/>
      <c r="B645" s="7"/>
      <c r="C645" s="11"/>
      <c r="D645" s="12"/>
      <c r="E645" s="12"/>
      <c r="F645" s="11"/>
      <c r="G645" s="11"/>
      <c r="H645" s="11"/>
      <c r="I645" s="11"/>
      <c r="J645" s="11"/>
      <c r="K645" s="11"/>
      <c r="N645" s="12"/>
      <c r="O645" s="12"/>
      <c r="P645" s="12"/>
      <c r="Q645" s="12"/>
      <c r="R645" s="12"/>
      <c r="T645" s="13"/>
      <c r="U645" s="13"/>
      <c r="V645" s="13"/>
      <c r="W645" s="13"/>
      <c r="X645" s="13"/>
    </row>
    <row r="646" ht="15.75" customHeight="1">
      <c r="A646" s="16"/>
      <c r="B646" s="7"/>
      <c r="C646" s="11"/>
      <c r="D646" s="12"/>
      <c r="E646" s="12"/>
      <c r="F646" s="11"/>
      <c r="G646" s="11"/>
      <c r="H646" s="11"/>
      <c r="I646" s="11"/>
      <c r="J646" s="11"/>
      <c r="K646" s="11"/>
      <c r="N646" s="12"/>
      <c r="O646" s="12"/>
      <c r="P646" s="12"/>
      <c r="Q646" s="12"/>
      <c r="R646" s="12"/>
      <c r="T646" s="13"/>
      <c r="U646" s="13"/>
      <c r="V646" s="13"/>
      <c r="W646" s="13"/>
      <c r="X646" s="13"/>
    </row>
    <row r="647" ht="15.75" customHeight="1">
      <c r="A647" s="16"/>
      <c r="B647" s="7"/>
      <c r="C647" s="11"/>
      <c r="D647" s="12"/>
      <c r="E647" s="12"/>
      <c r="F647" s="11"/>
      <c r="G647" s="11"/>
      <c r="H647" s="11"/>
      <c r="I647" s="11"/>
      <c r="J647" s="11"/>
      <c r="K647" s="11"/>
      <c r="N647" s="12"/>
      <c r="O647" s="12"/>
      <c r="P647" s="12"/>
      <c r="Q647" s="12"/>
      <c r="R647" s="12"/>
      <c r="T647" s="13"/>
      <c r="U647" s="13"/>
      <c r="V647" s="13"/>
      <c r="W647" s="13"/>
      <c r="X647" s="13"/>
    </row>
    <row r="648" ht="15.75" customHeight="1">
      <c r="A648" s="16"/>
      <c r="B648" s="7"/>
      <c r="C648" s="11"/>
      <c r="D648" s="12"/>
      <c r="E648" s="12"/>
      <c r="F648" s="11"/>
      <c r="G648" s="11"/>
      <c r="H648" s="11"/>
      <c r="I648" s="11"/>
      <c r="J648" s="11"/>
      <c r="K648" s="11"/>
      <c r="N648" s="12"/>
      <c r="O648" s="12"/>
      <c r="P648" s="12"/>
      <c r="Q648" s="12"/>
      <c r="R648" s="12"/>
      <c r="T648" s="13"/>
      <c r="U648" s="13"/>
      <c r="V648" s="13"/>
      <c r="W648" s="13"/>
      <c r="X648" s="13"/>
    </row>
    <row r="649" ht="15.75" customHeight="1">
      <c r="A649" s="16"/>
      <c r="B649" s="7"/>
      <c r="C649" s="11"/>
      <c r="D649" s="12"/>
      <c r="E649" s="12"/>
      <c r="F649" s="11"/>
      <c r="G649" s="11"/>
      <c r="H649" s="11"/>
      <c r="I649" s="11"/>
      <c r="J649" s="11"/>
      <c r="K649" s="11"/>
      <c r="N649" s="12"/>
      <c r="O649" s="12"/>
      <c r="P649" s="12"/>
      <c r="Q649" s="12"/>
      <c r="R649" s="12"/>
      <c r="T649" s="13"/>
      <c r="U649" s="13"/>
      <c r="V649" s="13"/>
      <c r="W649" s="13"/>
      <c r="X649" s="13"/>
    </row>
    <row r="650" ht="15.75" customHeight="1">
      <c r="A650" s="16"/>
      <c r="B650" s="7"/>
      <c r="C650" s="11"/>
      <c r="D650" s="12"/>
      <c r="E650" s="12"/>
      <c r="F650" s="11"/>
      <c r="G650" s="11"/>
      <c r="H650" s="11"/>
      <c r="I650" s="11"/>
      <c r="J650" s="11"/>
      <c r="K650" s="11"/>
      <c r="N650" s="12"/>
      <c r="O650" s="12"/>
      <c r="P650" s="12"/>
      <c r="Q650" s="12"/>
      <c r="R650" s="12"/>
      <c r="T650" s="13"/>
      <c r="U650" s="13"/>
      <c r="V650" s="13"/>
      <c r="W650" s="13"/>
      <c r="X650" s="13"/>
    </row>
    <row r="651" ht="15.75" customHeight="1">
      <c r="A651" s="16"/>
      <c r="B651" s="7"/>
      <c r="C651" s="11"/>
      <c r="D651" s="12"/>
      <c r="E651" s="12"/>
      <c r="F651" s="11"/>
      <c r="G651" s="11"/>
      <c r="H651" s="11"/>
      <c r="I651" s="11"/>
      <c r="J651" s="11"/>
      <c r="K651" s="11"/>
      <c r="N651" s="12"/>
      <c r="O651" s="12"/>
      <c r="P651" s="12"/>
      <c r="Q651" s="12"/>
      <c r="R651" s="12"/>
      <c r="T651" s="13"/>
      <c r="U651" s="13"/>
      <c r="V651" s="13"/>
      <c r="W651" s="13"/>
      <c r="X651" s="13"/>
    </row>
    <row r="652" ht="15.75" customHeight="1">
      <c r="A652" s="16"/>
      <c r="B652" s="7"/>
      <c r="C652" s="11"/>
      <c r="D652" s="12"/>
      <c r="E652" s="12"/>
      <c r="F652" s="11"/>
      <c r="G652" s="11"/>
      <c r="H652" s="11"/>
      <c r="I652" s="11"/>
      <c r="J652" s="11"/>
      <c r="K652" s="11"/>
      <c r="N652" s="12"/>
      <c r="O652" s="12"/>
      <c r="P652" s="12"/>
      <c r="Q652" s="12"/>
      <c r="R652" s="12"/>
      <c r="T652" s="13"/>
      <c r="U652" s="13"/>
      <c r="V652" s="13"/>
      <c r="W652" s="13"/>
      <c r="X652" s="13"/>
    </row>
    <row r="653" ht="15.75" customHeight="1">
      <c r="A653" s="16"/>
      <c r="B653" s="7"/>
      <c r="C653" s="11"/>
      <c r="D653" s="12"/>
      <c r="E653" s="12"/>
      <c r="F653" s="11"/>
      <c r="G653" s="11"/>
      <c r="H653" s="11"/>
      <c r="I653" s="11"/>
      <c r="J653" s="11"/>
      <c r="K653" s="11"/>
      <c r="N653" s="12"/>
      <c r="O653" s="12"/>
      <c r="P653" s="12"/>
      <c r="Q653" s="12"/>
      <c r="R653" s="12"/>
      <c r="T653" s="13"/>
      <c r="U653" s="13"/>
      <c r="V653" s="13"/>
      <c r="W653" s="13"/>
      <c r="X653" s="13"/>
    </row>
    <row r="654" ht="15.75" customHeight="1">
      <c r="A654" s="16"/>
      <c r="B654" s="7"/>
      <c r="C654" s="11"/>
      <c r="D654" s="12"/>
      <c r="E654" s="12"/>
      <c r="F654" s="11"/>
      <c r="G654" s="11"/>
      <c r="H654" s="11"/>
      <c r="I654" s="11"/>
      <c r="J654" s="11"/>
      <c r="K654" s="11"/>
      <c r="N654" s="12"/>
      <c r="O654" s="12"/>
      <c r="P654" s="12"/>
      <c r="Q654" s="12"/>
      <c r="R654" s="12"/>
      <c r="T654" s="13"/>
      <c r="U654" s="13"/>
      <c r="V654" s="13"/>
      <c r="W654" s="13"/>
      <c r="X654" s="13"/>
    </row>
    <row r="655" ht="15.75" customHeight="1">
      <c r="A655" s="16"/>
      <c r="B655" s="7"/>
      <c r="C655" s="11"/>
      <c r="D655" s="12"/>
      <c r="E655" s="12"/>
      <c r="F655" s="11"/>
      <c r="G655" s="11"/>
      <c r="H655" s="11"/>
      <c r="I655" s="11"/>
      <c r="J655" s="11"/>
      <c r="K655" s="11"/>
      <c r="N655" s="12"/>
      <c r="O655" s="12"/>
      <c r="P655" s="12"/>
      <c r="Q655" s="12"/>
      <c r="R655" s="12"/>
      <c r="T655" s="13"/>
      <c r="U655" s="13"/>
      <c r="V655" s="13"/>
      <c r="W655" s="13"/>
      <c r="X655" s="13"/>
    </row>
    <row r="656" ht="15.75" customHeight="1">
      <c r="A656" s="16"/>
      <c r="B656" s="7"/>
      <c r="C656" s="11"/>
      <c r="D656" s="12"/>
      <c r="E656" s="12"/>
      <c r="F656" s="11"/>
      <c r="G656" s="11"/>
      <c r="H656" s="11"/>
      <c r="I656" s="11"/>
      <c r="J656" s="11"/>
      <c r="K656" s="11"/>
      <c r="N656" s="12"/>
      <c r="O656" s="12"/>
      <c r="P656" s="12"/>
      <c r="Q656" s="12"/>
      <c r="R656" s="12"/>
      <c r="T656" s="13"/>
      <c r="U656" s="13"/>
      <c r="V656" s="13"/>
      <c r="W656" s="13"/>
      <c r="X656" s="13"/>
    </row>
    <row r="657" ht="15.75" customHeight="1">
      <c r="A657" s="16"/>
      <c r="B657" s="7"/>
      <c r="C657" s="11"/>
      <c r="D657" s="12"/>
      <c r="E657" s="12"/>
      <c r="F657" s="11"/>
      <c r="G657" s="11"/>
      <c r="H657" s="11"/>
      <c r="I657" s="11"/>
      <c r="J657" s="11"/>
      <c r="K657" s="11"/>
      <c r="N657" s="12"/>
      <c r="O657" s="12"/>
      <c r="P657" s="12"/>
      <c r="Q657" s="12"/>
      <c r="R657" s="12"/>
      <c r="T657" s="13"/>
      <c r="U657" s="13"/>
      <c r="V657" s="13"/>
      <c r="W657" s="13"/>
      <c r="X657" s="13"/>
    </row>
    <row r="658" ht="15.75" customHeight="1">
      <c r="A658" s="16"/>
      <c r="B658" s="7"/>
      <c r="C658" s="11"/>
      <c r="D658" s="12"/>
      <c r="E658" s="12"/>
      <c r="F658" s="11"/>
      <c r="G658" s="11"/>
      <c r="H658" s="11"/>
      <c r="I658" s="11"/>
      <c r="J658" s="11"/>
      <c r="K658" s="11"/>
      <c r="N658" s="12"/>
      <c r="O658" s="12"/>
      <c r="P658" s="12"/>
      <c r="Q658" s="12"/>
      <c r="R658" s="12"/>
      <c r="T658" s="13"/>
      <c r="U658" s="13"/>
      <c r="V658" s="13"/>
      <c r="W658" s="13"/>
      <c r="X658" s="13"/>
    </row>
    <row r="659" ht="15.75" customHeight="1">
      <c r="A659" s="16"/>
      <c r="B659" s="7"/>
      <c r="C659" s="11"/>
      <c r="D659" s="12"/>
      <c r="E659" s="12"/>
      <c r="F659" s="11"/>
      <c r="G659" s="11"/>
      <c r="H659" s="11"/>
      <c r="I659" s="11"/>
      <c r="J659" s="11"/>
      <c r="K659" s="11"/>
      <c r="N659" s="12"/>
      <c r="O659" s="12"/>
      <c r="P659" s="12"/>
      <c r="Q659" s="12"/>
      <c r="R659" s="12"/>
      <c r="T659" s="13"/>
      <c r="U659" s="13"/>
      <c r="V659" s="13"/>
      <c r="W659" s="13"/>
      <c r="X659" s="13"/>
    </row>
    <row r="660" ht="15.75" customHeight="1">
      <c r="A660" s="16"/>
      <c r="B660" s="7"/>
      <c r="C660" s="11"/>
      <c r="D660" s="12"/>
      <c r="E660" s="12"/>
      <c r="F660" s="11"/>
      <c r="G660" s="11"/>
      <c r="H660" s="11"/>
      <c r="I660" s="11"/>
      <c r="J660" s="11"/>
      <c r="K660" s="11"/>
      <c r="N660" s="12"/>
      <c r="O660" s="12"/>
      <c r="P660" s="12"/>
      <c r="Q660" s="12"/>
      <c r="R660" s="12"/>
      <c r="T660" s="13"/>
      <c r="U660" s="13"/>
      <c r="V660" s="13"/>
      <c r="W660" s="13"/>
      <c r="X660" s="13"/>
    </row>
    <row r="661" ht="15.75" customHeight="1">
      <c r="A661" s="16"/>
      <c r="B661" s="7"/>
      <c r="C661" s="11"/>
      <c r="D661" s="12"/>
      <c r="E661" s="12"/>
      <c r="F661" s="11"/>
      <c r="G661" s="11"/>
      <c r="H661" s="11"/>
      <c r="I661" s="11"/>
      <c r="J661" s="11"/>
      <c r="K661" s="11"/>
      <c r="N661" s="12"/>
      <c r="O661" s="12"/>
      <c r="P661" s="12"/>
      <c r="Q661" s="12"/>
      <c r="R661" s="12"/>
      <c r="T661" s="13"/>
      <c r="U661" s="13"/>
      <c r="V661" s="13"/>
      <c r="W661" s="13"/>
      <c r="X661" s="13"/>
    </row>
    <row r="662" ht="15.75" customHeight="1">
      <c r="A662" s="16"/>
      <c r="B662" s="7"/>
      <c r="C662" s="11"/>
      <c r="D662" s="12"/>
      <c r="E662" s="12"/>
      <c r="F662" s="11"/>
      <c r="G662" s="11"/>
      <c r="H662" s="11"/>
      <c r="I662" s="11"/>
      <c r="J662" s="11"/>
      <c r="K662" s="11"/>
      <c r="N662" s="12"/>
      <c r="O662" s="12"/>
      <c r="P662" s="12"/>
      <c r="Q662" s="12"/>
      <c r="R662" s="12"/>
      <c r="T662" s="13"/>
      <c r="U662" s="13"/>
      <c r="V662" s="13"/>
      <c r="W662" s="13"/>
      <c r="X662" s="13"/>
    </row>
    <row r="663" ht="15.75" customHeight="1">
      <c r="A663" s="16"/>
      <c r="B663" s="7"/>
      <c r="C663" s="11"/>
      <c r="D663" s="12"/>
      <c r="E663" s="12"/>
      <c r="F663" s="11"/>
      <c r="G663" s="11"/>
      <c r="H663" s="11"/>
      <c r="I663" s="11"/>
      <c r="J663" s="11"/>
      <c r="K663" s="11"/>
      <c r="N663" s="12"/>
      <c r="O663" s="12"/>
      <c r="P663" s="12"/>
      <c r="Q663" s="12"/>
      <c r="R663" s="12"/>
      <c r="T663" s="13"/>
      <c r="U663" s="13"/>
      <c r="V663" s="13"/>
      <c r="W663" s="13"/>
      <c r="X663" s="13"/>
    </row>
    <row r="664" ht="15.75" customHeight="1">
      <c r="A664" s="16"/>
      <c r="B664" s="7"/>
      <c r="C664" s="11"/>
      <c r="D664" s="12"/>
      <c r="E664" s="12"/>
      <c r="F664" s="11"/>
      <c r="G664" s="11"/>
      <c r="H664" s="11"/>
      <c r="I664" s="11"/>
      <c r="J664" s="11"/>
      <c r="K664" s="11"/>
      <c r="N664" s="12"/>
      <c r="O664" s="12"/>
      <c r="P664" s="12"/>
      <c r="Q664" s="12"/>
      <c r="R664" s="12"/>
      <c r="T664" s="13"/>
      <c r="U664" s="13"/>
      <c r="V664" s="13"/>
      <c r="W664" s="13"/>
      <c r="X664" s="13"/>
    </row>
    <row r="665" ht="15.75" customHeight="1">
      <c r="A665" s="16"/>
      <c r="B665" s="7"/>
      <c r="C665" s="11"/>
      <c r="D665" s="12"/>
      <c r="E665" s="12"/>
      <c r="F665" s="11"/>
      <c r="G665" s="11"/>
      <c r="H665" s="11"/>
      <c r="I665" s="11"/>
      <c r="J665" s="11"/>
      <c r="K665" s="11"/>
      <c r="N665" s="12"/>
      <c r="O665" s="12"/>
      <c r="P665" s="12"/>
      <c r="Q665" s="12"/>
      <c r="R665" s="12"/>
      <c r="T665" s="13"/>
      <c r="U665" s="13"/>
      <c r="V665" s="13"/>
      <c r="W665" s="13"/>
      <c r="X665" s="13"/>
    </row>
    <row r="666" ht="15.75" customHeight="1">
      <c r="A666" s="16"/>
      <c r="B666" s="7"/>
      <c r="C666" s="11"/>
      <c r="D666" s="12"/>
      <c r="E666" s="12"/>
      <c r="F666" s="11"/>
      <c r="G666" s="11"/>
      <c r="H666" s="11"/>
      <c r="I666" s="11"/>
      <c r="J666" s="11"/>
      <c r="K666" s="11"/>
      <c r="N666" s="12"/>
      <c r="O666" s="12"/>
      <c r="P666" s="12"/>
      <c r="Q666" s="12"/>
      <c r="R666" s="12"/>
      <c r="T666" s="13"/>
      <c r="U666" s="13"/>
      <c r="V666" s="13"/>
      <c r="W666" s="13"/>
      <c r="X666" s="13"/>
    </row>
    <row r="667" ht="15.75" customHeight="1">
      <c r="A667" s="16"/>
      <c r="B667" s="7"/>
      <c r="C667" s="11"/>
      <c r="D667" s="12"/>
      <c r="E667" s="12"/>
      <c r="F667" s="11"/>
      <c r="G667" s="11"/>
      <c r="H667" s="11"/>
      <c r="I667" s="11"/>
      <c r="J667" s="11"/>
      <c r="K667" s="11"/>
      <c r="N667" s="12"/>
      <c r="O667" s="12"/>
      <c r="P667" s="12"/>
      <c r="Q667" s="12"/>
      <c r="R667" s="12"/>
      <c r="T667" s="13"/>
      <c r="U667" s="13"/>
      <c r="V667" s="13"/>
      <c r="W667" s="13"/>
      <c r="X667" s="13"/>
    </row>
    <row r="668" ht="15.75" customHeight="1">
      <c r="A668" s="16"/>
      <c r="B668" s="7"/>
      <c r="C668" s="11"/>
      <c r="D668" s="12"/>
      <c r="E668" s="12"/>
      <c r="F668" s="11"/>
      <c r="G668" s="11"/>
      <c r="H668" s="11"/>
      <c r="I668" s="11"/>
      <c r="J668" s="11"/>
      <c r="K668" s="11"/>
      <c r="N668" s="12"/>
      <c r="O668" s="12"/>
      <c r="P668" s="12"/>
      <c r="Q668" s="12"/>
      <c r="R668" s="12"/>
      <c r="T668" s="13"/>
      <c r="U668" s="13"/>
      <c r="V668" s="13"/>
      <c r="W668" s="13"/>
      <c r="X668" s="13"/>
    </row>
    <row r="669" ht="15.75" customHeight="1">
      <c r="A669" s="16"/>
      <c r="B669" s="7"/>
      <c r="C669" s="11"/>
      <c r="D669" s="12"/>
      <c r="E669" s="12"/>
      <c r="F669" s="11"/>
      <c r="G669" s="11"/>
      <c r="H669" s="11"/>
      <c r="I669" s="11"/>
      <c r="J669" s="11"/>
      <c r="K669" s="11"/>
      <c r="N669" s="12"/>
      <c r="O669" s="12"/>
      <c r="P669" s="12"/>
      <c r="Q669" s="12"/>
      <c r="R669" s="12"/>
      <c r="T669" s="13"/>
      <c r="U669" s="13"/>
      <c r="V669" s="13"/>
      <c r="W669" s="13"/>
      <c r="X669" s="13"/>
    </row>
    <row r="670" ht="15.75" customHeight="1">
      <c r="A670" s="16"/>
      <c r="B670" s="7"/>
      <c r="C670" s="11"/>
      <c r="D670" s="12"/>
      <c r="E670" s="12"/>
      <c r="F670" s="11"/>
      <c r="G670" s="11"/>
      <c r="H670" s="11"/>
      <c r="I670" s="11"/>
      <c r="J670" s="11"/>
      <c r="K670" s="11"/>
      <c r="N670" s="12"/>
      <c r="O670" s="12"/>
      <c r="P670" s="12"/>
      <c r="Q670" s="12"/>
      <c r="R670" s="12"/>
      <c r="T670" s="13"/>
      <c r="U670" s="13"/>
      <c r="V670" s="13"/>
      <c r="W670" s="13"/>
      <c r="X670" s="13"/>
    </row>
    <row r="671" ht="15.75" customHeight="1">
      <c r="A671" s="16"/>
      <c r="B671" s="7"/>
      <c r="C671" s="11"/>
      <c r="D671" s="12"/>
      <c r="E671" s="12"/>
      <c r="F671" s="11"/>
      <c r="G671" s="11"/>
      <c r="H671" s="11"/>
      <c r="I671" s="11"/>
      <c r="J671" s="11"/>
      <c r="K671" s="11"/>
      <c r="N671" s="12"/>
      <c r="O671" s="12"/>
      <c r="P671" s="12"/>
      <c r="Q671" s="12"/>
      <c r="R671" s="12"/>
      <c r="T671" s="13"/>
      <c r="U671" s="13"/>
      <c r="V671" s="13"/>
      <c r="W671" s="13"/>
      <c r="X671" s="13"/>
    </row>
    <row r="672" ht="15.75" customHeight="1">
      <c r="A672" s="16"/>
      <c r="B672" s="7"/>
      <c r="C672" s="11"/>
      <c r="D672" s="12"/>
      <c r="E672" s="12"/>
      <c r="F672" s="11"/>
      <c r="G672" s="11"/>
      <c r="H672" s="11"/>
      <c r="I672" s="11"/>
      <c r="J672" s="11"/>
      <c r="K672" s="11"/>
      <c r="N672" s="12"/>
      <c r="O672" s="12"/>
      <c r="P672" s="12"/>
      <c r="Q672" s="12"/>
      <c r="R672" s="12"/>
      <c r="T672" s="13"/>
      <c r="U672" s="13"/>
      <c r="V672" s="13"/>
      <c r="W672" s="13"/>
      <c r="X672" s="13"/>
    </row>
    <row r="673" ht="15.75" customHeight="1">
      <c r="A673" s="16"/>
      <c r="B673" s="7"/>
      <c r="C673" s="11"/>
      <c r="D673" s="12"/>
      <c r="E673" s="12"/>
      <c r="F673" s="11"/>
      <c r="G673" s="11"/>
      <c r="H673" s="11"/>
      <c r="I673" s="11"/>
      <c r="J673" s="11"/>
      <c r="K673" s="11"/>
      <c r="N673" s="12"/>
      <c r="O673" s="12"/>
      <c r="P673" s="12"/>
      <c r="Q673" s="12"/>
      <c r="R673" s="12"/>
      <c r="T673" s="13"/>
      <c r="U673" s="13"/>
      <c r="V673" s="13"/>
      <c r="W673" s="13"/>
      <c r="X673" s="13"/>
    </row>
    <row r="674" ht="15.75" customHeight="1">
      <c r="A674" s="16"/>
      <c r="B674" s="7"/>
      <c r="C674" s="11"/>
      <c r="D674" s="12"/>
      <c r="E674" s="12"/>
      <c r="F674" s="11"/>
      <c r="G674" s="11"/>
      <c r="H674" s="11"/>
      <c r="I674" s="11"/>
      <c r="J674" s="11"/>
      <c r="K674" s="11"/>
      <c r="N674" s="12"/>
      <c r="O674" s="12"/>
      <c r="P674" s="12"/>
      <c r="Q674" s="12"/>
      <c r="R674" s="12"/>
      <c r="T674" s="13"/>
      <c r="U674" s="13"/>
      <c r="V674" s="13"/>
      <c r="W674" s="13"/>
      <c r="X674" s="13"/>
    </row>
    <row r="675" ht="15.75" customHeight="1">
      <c r="A675" s="16"/>
      <c r="B675" s="7"/>
      <c r="C675" s="11"/>
      <c r="D675" s="12"/>
      <c r="E675" s="12"/>
      <c r="F675" s="11"/>
      <c r="G675" s="11"/>
      <c r="H675" s="11"/>
      <c r="I675" s="11"/>
      <c r="J675" s="11"/>
      <c r="K675" s="11"/>
      <c r="N675" s="12"/>
      <c r="O675" s="12"/>
      <c r="P675" s="12"/>
      <c r="Q675" s="12"/>
      <c r="R675" s="12"/>
      <c r="T675" s="13"/>
      <c r="U675" s="13"/>
      <c r="V675" s="13"/>
      <c r="W675" s="13"/>
      <c r="X675" s="13"/>
    </row>
    <row r="676" ht="15.75" customHeight="1">
      <c r="A676" s="16"/>
      <c r="B676" s="7"/>
      <c r="C676" s="11"/>
      <c r="D676" s="12"/>
      <c r="E676" s="12"/>
      <c r="F676" s="11"/>
      <c r="G676" s="11"/>
      <c r="H676" s="11"/>
      <c r="I676" s="11"/>
      <c r="J676" s="11"/>
      <c r="K676" s="11"/>
      <c r="N676" s="12"/>
      <c r="O676" s="12"/>
      <c r="P676" s="12"/>
      <c r="Q676" s="12"/>
      <c r="R676" s="12"/>
      <c r="T676" s="13"/>
      <c r="U676" s="13"/>
      <c r="V676" s="13"/>
      <c r="W676" s="13"/>
      <c r="X676" s="13"/>
    </row>
    <row r="677" ht="15.75" customHeight="1">
      <c r="A677" s="16"/>
      <c r="B677" s="7"/>
      <c r="C677" s="11"/>
      <c r="D677" s="12"/>
      <c r="E677" s="12"/>
      <c r="F677" s="11"/>
      <c r="G677" s="11"/>
      <c r="H677" s="11"/>
      <c r="I677" s="11"/>
      <c r="J677" s="11"/>
      <c r="K677" s="11"/>
      <c r="N677" s="12"/>
      <c r="O677" s="12"/>
      <c r="P677" s="12"/>
      <c r="Q677" s="12"/>
      <c r="R677" s="12"/>
      <c r="T677" s="13"/>
      <c r="U677" s="13"/>
      <c r="V677" s="13"/>
      <c r="W677" s="13"/>
      <c r="X677" s="13"/>
    </row>
    <row r="678" ht="15.75" customHeight="1">
      <c r="A678" s="16"/>
      <c r="B678" s="7"/>
      <c r="C678" s="11"/>
      <c r="D678" s="12"/>
      <c r="E678" s="12"/>
      <c r="F678" s="11"/>
      <c r="G678" s="11"/>
      <c r="H678" s="11"/>
      <c r="I678" s="11"/>
      <c r="J678" s="11"/>
      <c r="K678" s="11"/>
      <c r="N678" s="12"/>
      <c r="O678" s="12"/>
      <c r="P678" s="12"/>
      <c r="Q678" s="12"/>
      <c r="R678" s="12"/>
      <c r="T678" s="13"/>
      <c r="U678" s="13"/>
      <c r="V678" s="13"/>
      <c r="W678" s="13"/>
      <c r="X678" s="13"/>
    </row>
    <row r="679" ht="15.75" customHeight="1">
      <c r="A679" s="16"/>
      <c r="B679" s="7"/>
      <c r="C679" s="11"/>
      <c r="D679" s="12"/>
      <c r="E679" s="12"/>
      <c r="F679" s="11"/>
      <c r="G679" s="11"/>
      <c r="H679" s="11"/>
      <c r="I679" s="11"/>
      <c r="J679" s="11"/>
      <c r="K679" s="11"/>
      <c r="N679" s="12"/>
      <c r="O679" s="12"/>
      <c r="P679" s="12"/>
      <c r="Q679" s="12"/>
      <c r="R679" s="12"/>
      <c r="T679" s="13"/>
      <c r="U679" s="13"/>
      <c r="V679" s="13"/>
      <c r="W679" s="13"/>
      <c r="X679" s="13"/>
    </row>
    <row r="680" ht="15.75" customHeight="1">
      <c r="A680" s="16"/>
      <c r="B680" s="7"/>
      <c r="C680" s="11"/>
      <c r="D680" s="12"/>
      <c r="E680" s="12"/>
      <c r="F680" s="11"/>
      <c r="G680" s="11"/>
      <c r="H680" s="11"/>
      <c r="I680" s="11"/>
      <c r="J680" s="11"/>
      <c r="K680" s="11"/>
      <c r="N680" s="12"/>
      <c r="O680" s="12"/>
      <c r="P680" s="12"/>
      <c r="Q680" s="12"/>
      <c r="R680" s="12"/>
      <c r="T680" s="13"/>
      <c r="U680" s="13"/>
      <c r="V680" s="13"/>
      <c r="W680" s="13"/>
      <c r="X680" s="13"/>
    </row>
    <row r="681" ht="15.75" customHeight="1">
      <c r="A681" s="16"/>
      <c r="B681" s="7"/>
      <c r="C681" s="11"/>
      <c r="D681" s="12"/>
      <c r="E681" s="12"/>
      <c r="F681" s="11"/>
      <c r="G681" s="11"/>
      <c r="H681" s="11"/>
      <c r="I681" s="11"/>
      <c r="J681" s="11"/>
      <c r="K681" s="11"/>
      <c r="N681" s="12"/>
      <c r="O681" s="12"/>
      <c r="P681" s="12"/>
      <c r="Q681" s="12"/>
      <c r="R681" s="12"/>
      <c r="T681" s="13"/>
      <c r="U681" s="13"/>
      <c r="V681" s="13"/>
      <c r="W681" s="13"/>
      <c r="X681" s="13"/>
    </row>
    <row r="682" ht="15.75" customHeight="1">
      <c r="A682" s="16"/>
      <c r="B682" s="7"/>
      <c r="C682" s="11"/>
      <c r="D682" s="12"/>
      <c r="E682" s="12"/>
      <c r="F682" s="11"/>
      <c r="G682" s="11"/>
      <c r="H682" s="11"/>
      <c r="I682" s="11"/>
      <c r="J682" s="11"/>
      <c r="K682" s="11"/>
      <c r="N682" s="12"/>
      <c r="O682" s="12"/>
      <c r="P682" s="12"/>
      <c r="Q682" s="12"/>
      <c r="R682" s="12"/>
      <c r="T682" s="13"/>
      <c r="U682" s="13"/>
      <c r="V682" s="13"/>
      <c r="W682" s="13"/>
      <c r="X682" s="13"/>
    </row>
    <row r="683" ht="15.75" customHeight="1">
      <c r="A683" s="16"/>
      <c r="B683" s="7"/>
      <c r="C683" s="11"/>
      <c r="D683" s="12"/>
      <c r="E683" s="12"/>
      <c r="F683" s="11"/>
      <c r="G683" s="11"/>
      <c r="H683" s="11"/>
      <c r="I683" s="11"/>
      <c r="J683" s="11"/>
      <c r="K683" s="11"/>
      <c r="N683" s="12"/>
      <c r="O683" s="12"/>
      <c r="P683" s="12"/>
      <c r="Q683" s="12"/>
      <c r="R683" s="12"/>
      <c r="T683" s="13"/>
      <c r="U683" s="13"/>
      <c r="V683" s="13"/>
      <c r="W683" s="13"/>
      <c r="X683" s="13"/>
    </row>
    <row r="684" ht="15.75" customHeight="1">
      <c r="A684" s="16"/>
      <c r="B684" s="7"/>
      <c r="C684" s="11"/>
      <c r="D684" s="12"/>
      <c r="E684" s="12"/>
      <c r="F684" s="11"/>
      <c r="G684" s="11"/>
      <c r="H684" s="11"/>
      <c r="I684" s="11"/>
      <c r="J684" s="11"/>
      <c r="K684" s="11"/>
      <c r="N684" s="12"/>
      <c r="O684" s="12"/>
      <c r="P684" s="12"/>
      <c r="Q684" s="12"/>
      <c r="R684" s="12"/>
      <c r="T684" s="13"/>
      <c r="U684" s="13"/>
      <c r="V684" s="13"/>
      <c r="W684" s="13"/>
      <c r="X684" s="13"/>
    </row>
    <row r="685" ht="15.75" customHeight="1">
      <c r="A685" s="16"/>
      <c r="B685" s="7"/>
      <c r="C685" s="11"/>
      <c r="D685" s="12"/>
      <c r="E685" s="12"/>
      <c r="F685" s="11"/>
      <c r="G685" s="11"/>
      <c r="H685" s="11"/>
      <c r="I685" s="11"/>
      <c r="J685" s="11"/>
      <c r="K685" s="11"/>
      <c r="N685" s="12"/>
      <c r="O685" s="12"/>
      <c r="P685" s="12"/>
      <c r="Q685" s="12"/>
      <c r="R685" s="12"/>
      <c r="T685" s="13"/>
      <c r="U685" s="13"/>
      <c r="V685" s="13"/>
      <c r="W685" s="13"/>
      <c r="X685" s="13"/>
    </row>
    <row r="686" ht="15.75" customHeight="1">
      <c r="A686" s="16"/>
      <c r="B686" s="7"/>
      <c r="C686" s="11"/>
      <c r="D686" s="12"/>
      <c r="E686" s="12"/>
      <c r="F686" s="11"/>
      <c r="G686" s="11"/>
      <c r="H686" s="11"/>
      <c r="I686" s="11"/>
      <c r="J686" s="11"/>
      <c r="K686" s="11"/>
      <c r="N686" s="12"/>
      <c r="O686" s="12"/>
      <c r="P686" s="12"/>
      <c r="Q686" s="12"/>
      <c r="R686" s="12"/>
      <c r="T686" s="13"/>
      <c r="U686" s="13"/>
      <c r="V686" s="13"/>
      <c r="W686" s="13"/>
      <c r="X686" s="13"/>
    </row>
    <row r="687" ht="15.75" customHeight="1">
      <c r="A687" s="16"/>
      <c r="B687" s="7"/>
      <c r="C687" s="11"/>
      <c r="D687" s="12"/>
      <c r="E687" s="12"/>
      <c r="F687" s="11"/>
      <c r="G687" s="11"/>
      <c r="H687" s="11"/>
      <c r="I687" s="11"/>
      <c r="J687" s="11"/>
      <c r="K687" s="11"/>
      <c r="N687" s="12"/>
      <c r="O687" s="12"/>
      <c r="P687" s="12"/>
      <c r="Q687" s="12"/>
      <c r="R687" s="12"/>
      <c r="T687" s="13"/>
      <c r="U687" s="13"/>
      <c r="V687" s="13"/>
      <c r="W687" s="13"/>
      <c r="X687" s="13"/>
    </row>
    <row r="688" ht="15.75" customHeight="1">
      <c r="A688" s="16"/>
      <c r="B688" s="7"/>
      <c r="C688" s="11"/>
      <c r="D688" s="12"/>
      <c r="E688" s="12"/>
      <c r="F688" s="11"/>
      <c r="G688" s="11"/>
      <c r="H688" s="11"/>
      <c r="I688" s="11"/>
      <c r="J688" s="11"/>
      <c r="K688" s="11"/>
      <c r="N688" s="12"/>
      <c r="O688" s="12"/>
      <c r="P688" s="12"/>
      <c r="Q688" s="12"/>
      <c r="R688" s="12"/>
      <c r="T688" s="13"/>
      <c r="U688" s="13"/>
      <c r="V688" s="13"/>
      <c r="W688" s="13"/>
      <c r="X688" s="13"/>
    </row>
    <row r="689" ht="15.75" customHeight="1">
      <c r="A689" s="16"/>
      <c r="B689" s="7"/>
      <c r="C689" s="11"/>
      <c r="D689" s="12"/>
      <c r="E689" s="12"/>
      <c r="F689" s="11"/>
      <c r="G689" s="11"/>
      <c r="H689" s="11"/>
      <c r="I689" s="11"/>
      <c r="J689" s="11"/>
      <c r="K689" s="11"/>
      <c r="N689" s="12"/>
      <c r="O689" s="12"/>
      <c r="P689" s="12"/>
      <c r="Q689" s="12"/>
      <c r="R689" s="12"/>
      <c r="T689" s="13"/>
      <c r="U689" s="13"/>
      <c r="V689" s="13"/>
      <c r="W689" s="13"/>
      <c r="X689" s="13"/>
    </row>
    <row r="690" ht="15.75" customHeight="1">
      <c r="A690" s="16"/>
      <c r="B690" s="7"/>
      <c r="C690" s="11"/>
      <c r="D690" s="12"/>
      <c r="E690" s="12"/>
      <c r="F690" s="11"/>
      <c r="G690" s="11"/>
      <c r="H690" s="11"/>
      <c r="I690" s="11"/>
      <c r="J690" s="11"/>
      <c r="K690" s="11"/>
      <c r="N690" s="12"/>
      <c r="O690" s="12"/>
      <c r="P690" s="12"/>
      <c r="Q690" s="12"/>
      <c r="R690" s="12"/>
      <c r="T690" s="13"/>
      <c r="U690" s="13"/>
      <c r="V690" s="13"/>
      <c r="W690" s="13"/>
      <c r="X690" s="13"/>
    </row>
    <row r="691" ht="15.75" customHeight="1">
      <c r="A691" s="16"/>
      <c r="B691" s="7"/>
      <c r="C691" s="11"/>
      <c r="D691" s="12"/>
      <c r="E691" s="12"/>
      <c r="F691" s="11"/>
      <c r="G691" s="11"/>
      <c r="H691" s="11"/>
      <c r="I691" s="11"/>
      <c r="J691" s="11"/>
      <c r="K691" s="11"/>
      <c r="N691" s="12"/>
      <c r="O691" s="12"/>
      <c r="P691" s="12"/>
      <c r="Q691" s="12"/>
      <c r="R691" s="12"/>
      <c r="T691" s="13"/>
      <c r="U691" s="13"/>
      <c r="V691" s="13"/>
      <c r="W691" s="13"/>
      <c r="X691" s="13"/>
    </row>
    <row r="692" ht="15.75" customHeight="1">
      <c r="A692" s="16"/>
      <c r="B692" s="7"/>
      <c r="C692" s="11"/>
      <c r="D692" s="12"/>
      <c r="E692" s="12"/>
      <c r="F692" s="11"/>
      <c r="G692" s="11"/>
      <c r="H692" s="11"/>
      <c r="I692" s="11"/>
      <c r="J692" s="11"/>
      <c r="K692" s="11"/>
      <c r="N692" s="12"/>
      <c r="O692" s="12"/>
      <c r="P692" s="12"/>
      <c r="Q692" s="12"/>
      <c r="R692" s="12"/>
      <c r="T692" s="13"/>
      <c r="U692" s="13"/>
      <c r="V692" s="13"/>
      <c r="W692" s="13"/>
      <c r="X692" s="13"/>
    </row>
    <row r="693" ht="15.75" customHeight="1">
      <c r="A693" s="16"/>
      <c r="B693" s="7"/>
      <c r="C693" s="11"/>
      <c r="D693" s="12"/>
      <c r="E693" s="12"/>
      <c r="F693" s="11"/>
      <c r="G693" s="11"/>
      <c r="H693" s="11"/>
      <c r="I693" s="11"/>
      <c r="J693" s="11"/>
      <c r="K693" s="11"/>
      <c r="N693" s="12"/>
      <c r="O693" s="12"/>
      <c r="P693" s="12"/>
      <c r="Q693" s="12"/>
      <c r="R693" s="12"/>
      <c r="T693" s="13"/>
      <c r="U693" s="13"/>
      <c r="V693" s="13"/>
      <c r="W693" s="13"/>
      <c r="X693" s="13"/>
    </row>
    <row r="694" ht="15.75" customHeight="1">
      <c r="A694" s="16"/>
      <c r="B694" s="7"/>
      <c r="C694" s="11"/>
      <c r="D694" s="12"/>
      <c r="E694" s="12"/>
      <c r="F694" s="11"/>
      <c r="G694" s="11"/>
      <c r="H694" s="11"/>
      <c r="I694" s="11"/>
      <c r="J694" s="11"/>
      <c r="K694" s="11"/>
      <c r="N694" s="12"/>
      <c r="O694" s="12"/>
      <c r="P694" s="12"/>
      <c r="Q694" s="12"/>
      <c r="R694" s="12"/>
      <c r="T694" s="13"/>
      <c r="U694" s="13"/>
      <c r="V694" s="13"/>
      <c r="W694" s="13"/>
      <c r="X694" s="13"/>
    </row>
    <row r="695" ht="15.75" customHeight="1">
      <c r="A695" s="16"/>
      <c r="B695" s="7"/>
      <c r="C695" s="11"/>
      <c r="D695" s="12"/>
      <c r="E695" s="12"/>
      <c r="F695" s="11"/>
      <c r="G695" s="11"/>
      <c r="H695" s="11"/>
      <c r="I695" s="11"/>
      <c r="J695" s="11"/>
      <c r="K695" s="11"/>
      <c r="N695" s="12"/>
      <c r="O695" s="12"/>
      <c r="P695" s="12"/>
      <c r="Q695" s="12"/>
      <c r="R695" s="12"/>
      <c r="T695" s="13"/>
      <c r="U695" s="13"/>
      <c r="V695" s="13"/>
      <c r="W695" s="13"/>
      <c r="X695" s="13"/>
    </row>
    <row r="696" ht="15.75" customHeight="1">
      <c r="A696" s="16"/>
      <c r="B696" s="7"/>
      <c r="C696" s="11"/>
      <c r="D696" s="12"/>
      <c r="E696" s="12"/>
      <c r="F696" s="11"/>
      <c r="G696" s="11"/>
      <c r="H696" s="11"/>
      <c r="I696" s="11"/>
      <c r="J696" s="11"/>
      <c r="K696" s="11"/>
      <c r="N696" s="12"/>
      <c r="O696" s="12"/>
      <c r="P696" s="12"/>
      <c r="Q696" s="12"/>
      <c r="R696" s="12"/>
      <c r="T696" s="13"/>
      <c r="U696" s="13"/>
      <c r="V696" s="13"/>
      <c r="W696" s="13"/>
      <c r="X696" s="13"/>
    </row>
    <row r="697" ht="15.75" customHeight="1">
      <c r="A697" s="16"/>
      <c r="B697" s="7"/>
      <c r="C697" s="11"/>
      <c r="D697" s="12"/>
      <c r="E697" s="12"/>
      <c r="F697" s="11"/>
      <c r="G697" s="11"/>
      <c r="H697" s="11"/>
      <c r="I697" s="11"/>
      <c r="J697" s="11"/>
      <c r="K697" s="11"/>
      <c r="N697" s="12"/>
      <c r="O697" s="12"/>
      <c r="P697" s="12"/>
      <c r="Q697" s="12"/>
      <c r="R697" s="12"/>
      <c r="T697" s="13"/>
      <c r="U697" s="13"/>
      <c r="V697" s="13"/>
      <c r="W697" s="13"/>
      <c r="X697" s="13"/>
    </row>
    <row r="698" ht="15.75" customHeight="1">
      <c r="A698" s="16"/>
      <c r="B698" s="7"/>
      <c r="C698" s="11"/>
      <c r="D698" s="12"/>
      <c r="E698" s="12"/>
      <c r="F698" s="11"/>
      <c r="G698" s="11"/>
      <c r="H698" s="11"/>
      <c r="I698" s="11"/>
      <c r="J698" s="11"/>
      <c r="K698" s="11"/>
      <c r="N698" s="12"/>
      <c r="O698" s="12"/>
      <c r="P698" s="12"/>
      <c r="Q698" s="12"/>
      <c r="R698" s="12"/>
      <c r="T698" s="13"/>
      <c r="U698" s="13"/>
      <c r="V698" s="13"/>
      <c r="W698" s="13"/>
      <c r="X698" s="13"/>
    </row>
    <row r="699" ht="15.75" customHeight="1">
      <c r="A699" s="16"/>
      <c r="B699" s="7"/>
      <c r="C699" s="11"/>
      <c r="D699" s="12"/>
      <c r="E699" s="12"/>
      <c r="F699" s="11"/>
      <c r="G699" s="11"/>
      <c r="H699" s="11"/>
      <c r="I699" s="11"/>
      <c r="J699" s="11"/>
      <c r="K699" s="11"/>
      <c r="N699" s="12"/>
      <c r="O699" s="12"/>
      <c r="P699" s="12"/>
      <c r="Q699" s="12"/>
      <c r="R699" s="12"/>
      <c r="T699" s="13"/>
      <c r="U699" s="13"/>
      <c r="V699" s="13"/>
      <c r="W699" s="13"/>
      <c r="X699" s="13"/>
    </row>
    <row r="700" ht="15.75" customHeight="1">
      <c r="A700" s="16"/>
      <c r="B700" s="7"/>
      <c r="C700" s="11"/>
      <c r="D700" s="12"/>
      <c r="E700" s="12"/>
      <c r="F700" s="11"/>
      <c r="G700" s="11"/>
      <c r="H700" s="11"/>
      <c r="I700" s="11"/>
      <c r="J700" s="11"/>
      <c r="K700" s="11"/>
      <c r="N700" s="12"/>
      <c r="O700" s="12"/>
      <c r="P700" s="12"/>
      <c r="Q700" s="12"/>
      <c r="R700" s="12"/>
      <c r="T700" s="13"/>
      <c r="U700" s="13"/>
      <c r="V700" s="13"/>
      <c r="W700" s="13"/>
      <c r="X700" s="13"/>
    </row>
    <row r="701" ht="15.75" customHeight="1">
      <c r="A701" s="16"/>
      <c r="B701" s="7"/>
      <c r="C701" s="11"/>
      <c r="D701" s="12"/>
      <c r="E701" s="12"/>
      <c r="F701" s="11"/>
      <c r="G701" s="11"/>
      <c r="H701" s="11"/>
      <c r="I701" s="11"/>
      <c r="J701" s="11"/>
      <c r="K701" s="11"/>
      <c r="N701" s="12"/>
      <c r="O701" s="12"/>
      <c r="P701" s="12"/>
      <c r="Q701" s="12"/>
      <c r="R701" s="12"/>
      <c r="T701" s="13"/>
      <c r="U701" s="13"/>
      <c r="V701" s="13"/>
      <c r="W701" s="13"/>
      <c r="X701" s="13"/>
    </row>
    <row r="702" ht="15.75" customHeight="1">
      <c r="A702" s="16"/>
      <c r="B702" s="7"/>
      <c r="C702" s="11"/>
      <c r="D702" s="12"/>
      <c r="E702" s="12"/>
      <c r="F702" s="11"/>
      <c r="G702" s="11"/>
      <c r="H702" s="11"/>
      <c r="I702" s="11"/>
      <c r="J702" s="11"/>
      <c r="K702" s="11"/>
      <c r="N702" s="12"/>
      <c r="O702" s="12"/>
      <c r="P702" s="12"/>
      <c r="Q702" s="12"/>
      <c r="R702" s="12"/>
      <c r="T702" s="13"/>
      <c r="U702" s="13"/>
      <c r="V702" s="13"/>
      <c r="W702" s="13"/>
      <c r="X702" s="13"/>
    </row>
    <row r="703" ht="15.75" customHeight="1">
      <c r="A703" s="16"/>
      <c r="B703" s="7"/>
      <c r="C703" s="11"/>
      <c r="D703" s="12"/>
      <c r="E703" s="12"/>
      <c r="F703" s="11"/>
      <c r="G703" s="11"/>
      <c r="H703" s="11"/>
      <c r="I703" s="11"/>
      <c r="J703" s="11"/>
      <c r="K703" s="11"/>
      <c r="N703" s="12"/>
      <c r="O703" s="12"/>
      <c r="P703" s="12"/>
      <c r="Q703" s="12"/>
      <c r="R703" s="12"/>
      <c r="T703" s="13"/>
      <c r="U703" s="13"/>
      <c r="V703" s="13"/>
      <c r="W703" s="13"/>
      <c r="X703" s="13"/>
    </row>
    <row r="704" ht="15.75" customHeight="1">
      <c r="A704" s="16"/>
      <c r="B704" s="7"/>
      <c r="C704" s="11"/>
      <c r="D704" s="12"/>
      <c r="E704" s="12"/>
      <c r="F704" s="11"/>
      <c r="G704" s="11"/>
      <c r="H704" s="11"/>
      <c r="I704" s="11"/>
      <c r="J704" s="11"/>
      <c r="K704" s="11"/>
      <c r="N704" s="12"/>
      <c r="O704" s="12"/>
      <c r="P704" s="12"/>
      <c r="Q704" s="12"/>
      <c r="R704" s="12"/>
      <c r="T704" s="13"/>
      <c r="U704" s="13"/>
      <c r="V704" s="13"/>
      <c r="W704" s="13"/>
      <c r="X704" s="13"/>
    </row>
    <row r="705" ht="15.75" customHeight="1">
      <c r="A705" s="16"/>
      <c r="B705" s="7"/>
      <c r="C705" s="11"/>
      <c r="D705" s="12"/>
      <c r="E705" s="12"/>
      <c r="F705" s="11"/>
      <c r="G705" s="11"/>
      <c r="H705" s="11"/>
      <c r="I705" s="11"/>
      <c r="J705" s="11"/>
      <c r="K705" s="11"/>
      <c r="N705" s="12"/>
      <c r="O705" s="12"/>
      <c r="P705" s="12"/>
      <c r="Q705" s="12"/>
      <c r="R705" s="12"/>
      <c r="T705" s="13"/>
      <c r="U705" s="13"/>
      <c r="V705" s="13"/>
      <c r="W705" s="13"/>
      <c r="X705" s="13"/>
    </row>
    <row r="706" ht="15.75" customHeight="1">
      <c r="A706" s="16"/>
      <c r="B706" s="7"/>
      <c r="C706" s="11"/>
      <c r="D706" s="12"/>
      <c r="E706" s="12"/>
      <c r="F706" s="11"/>
      <c r="G706" s="11"/>
      <c r="H706" s="11"/>
      <c r="I706" s="11"/>
      <c r="J706" s="11"/>
      <c r="K706" s="11"/>
      <c r="N706" s="12"/>
      <c r="O706" s="12"/>
      <c r="P706" s="12"/>
      <c r="Q706" s="12"/>
      <c r="R706" s="12"/>
      <c r="T706" s="13"/>
      <c r="U706" s="13"/>
      <c r="V706" s="13"/>
      <c r="W706" s="13"/>
      <c r="X706" s="13"/>
    </row>
    <row r="707" ht="15.75" customHeight="1">
      <c r="A707" s="16"/>
      <c r="B707" s="7"/>
      <c r="C707" s="11"/>
      <c r="D707" s="12"/>
      <c r="E707" s="12"/>
      <c r="F707" s="11"/>
      <c r="G707" s="11"/>
      <c r="H707" s="11"/>
      <c r="I707" s="11"/>
      <c r="J707" s="11"/>
      <c r="K707" s="11"/>
      <c r="N707" s="12"/>
      <c r="O707" s="12"/>
      <c r="P707" s="12"/>
      <c r="Q707" s="12"/>
      <c r="R707" s="12"/>
      <c r="T707" s="13"/>
      <c r="U707" s="13"/>
      <c r="V707" s="13"/>
      <c r="W707" s="13"/>
      <c r="X707" s="13"/>
    </row>
    <row r="708" ht="15.75" customHeight="1">
      <c r="A708" s="16"/>
      <c r="B708" s="7"/>
      <c r="C708" s="11"/>
      <c r="D708" s="12"/>
      <c r="E708" s="12"/>
      <c r="F708" s="11"/>
      <c r="G708" s="11"/>
      <c r="H708" s="11"/>
      <c r="I708" s="11"/>
      <c r="J708" s="11"/>
      <c r="K708" s="11"/>
      <c r="N708" s="12"/>
      <c r="O708" s="12"/>
      <c r="P708" s="12"/>
      <c r="Q708" s="12"/>
      <c r="R708" s="12"/>
      <c r="T708" s="13"/>
      <c r="U708" s="13"/>
      <c r="V708" s="13"/>
      <c r="W708" s="13"/>
      <c r="X708" s="13"/>
    </row>
    <row r="709" ht="15.75" customHeight="1">
      <c r="A709" s="16"/>
      <c r="B709" s="7"/>
      <c r="C709" s="11"/>
      <c r="D709" s="12"/>
      <c r="E709" s="12"/>
      <c r="F709" s="11"/>
      <c r="G709" s="11"/>
      <c r="H709" s="11"/>
      <c r="I709" s="11"/>
      <c r="J709" s="11"/>
      <c r="K709" s="11"/>
      <c r="N709" s="12"/>
      <c r="O709" s="12"/>
      <c r="P709" s="12"/>
      <c r="Q709" s="12"/>
      <c r="R709" s="12"/>
      <c r="T709" s="13"/>
      <c r="U709" s="13"/>
      <c r="V709" s="13"/>
      <c r="W709" s="13"/>
      <c r="X709" s="13"/>
    </row>
    <row r="710" ht="15.75" customHeight="1">
      <c r="A710" s="16"/>
      <c r="B710" s="7"/>
      <c r="C710" s="11"/>
      <c r="D710" s="12"/>
      <c r="E710" s="12"/>
      <c r="F710" s="11"/>
      <c r="G710" s="11"/>
      <c r="H710" s="11"/>
      <c r="I710" s="11"/>
      <c r="J710" s="11"/>
      <c r="K710" s="11"/>
      <c r="N710" s="12"/>
      <c r="O710" s="12"/>
      <c r="P710" s="12"/>
      <c r="Q710" s="12"/>
      <c r="R710" s="12"/>
      <c r="T710" s="13"/>
      <c r="U710" s="13"/>
      <c r="V710" s="13"/>
      <c r="W710" s="13"/>
      <c r="X710" s="13"/>
    </row>
    <row r="711" ht="15.75" customHeight="1">
      <c r="A711" s="16"/>
      <c r="B711" s="7"/>
      <c r="C711" s="11"/>
      <c r="D711" s="12"/>
      <c r="E711" s="12"/>
      <c r="F711" s="11"/>
      <c r="G711" s="11"/>
      <c r="H711" s="11"/>
      <c r="I711" s="11"/>
      <c r="J711" s="11"/>
      <c r="K711" s="11"/>
      <c r="N711" s="12"/>
      <c r="O711" s="12"/>
      <c r="P711" s="12"/>
      <c r="Q711" s="12"/>
      <c r="R711" s="12"/>
      <c r="T711" s="13"/>
      <c r="U711" s="13"/>
      <c r="V711" s="13"/>
      <c r="W711" s="13"/>
      <c r="X711" s="13"/>
    </row>
    <row r="712" ht="15.75" customHeight="1">
      <c r="A712" s="16"/>
      <c r="B712" s="7"/>
      <c r="C712" s="11"/>
      <c r="D712" s="12"/>
      <c r="E712" s="12"/>
      <c r="F712" s="11"/>
      <c r="G712" s="11"/>
      <c r="H712" s="11"/>
      <c r="I712" s="11"/>
      <c r="J712" s="11"/>
      <c r="K712" s="11"/>
      <c r="N712" s="12"/>
      <c r="O712" s="12"/>
      <c r="P712" s="12"/>
      <c r="Q712" s="12"/>
      <c r="R712" s="12"/>
      <c r="T712" s="13"/>
      <c r="U712" s="13"/>
      <c r="V712" s="13"/>
      <c r="W712" s="13"/>
      <c r="X712" s="13"/>
    </row>
    <row r="713" ht="15.75" customHeight="1">
      <c r="A713" s="16"/>
      <c r="B713" s="7"/>
      <c r="C713" s="11"/>
      <c r="D713" s="12"/>
      <c r="E713" s="12"/>
      <c r="F713" s="11"/>
      <c r="G713" s="11"/>
      <c r="H713" s="11"/>
      <c r="I713" s="11"/>
      <c r="J713" s="11"/>
      <c r="K713" s="11"/>
      <c r="N713" s="12"/>
      <c r="O713" s="12"/>
      <c r="P713" s="12"/>
      <c r="Q713" s="12"/>
      <c r="R713" s="12"/>
      <c r="T713" s="13"/>
      <c r="U713" s="13"/>
      <c r="V713" s="13"/>
      <c r="W713" s="13"/>
      <c r="X713" s="13"/>
    </row>
    <row r="714" ht="15.75" customHeight="1">
      <c r="A714" s="16"/>
      <c r="B714" s="7"/>
      <c r="C714" s="11"/>
      <c r="D714" s="12"/>
      <c r="E714" s="12"/>
      <c r="F714" s="11"/>
      <c r="G714" s="11"/>
      <c r="H714" s="11"/>
      <c r="I714" s="11"/>
      <c r="J714" s="11"/>
      <c r="K714" s="11"/>
      <c r="N714" s="12"/>
      <c r="O714" s="12"/>
      <c r="P714" s="12"/>
      <c r="Q714" s="12"/>
      <c r="R714" s="12"/>
      <c r="T714" s="13"/>
      <c r="U714" s="13"/>
      <c r="V714" s="13"/>
      <c r="W714" s="13"/>
      <c r="X714" s="13"/>
    </row>
    <row r="715" ht="15.75" customHeight="1">
      <c r="A715" s="16"/>
      <c r="B715" s="7"/>
      <c r="C715" s="11"/>
      <c r="D715" s="12"/>
      <c r="E715" s="12"/>
      <c r="F715" s="11"/>
      <c r="G715" s="11"/>
      <c r="H715" s="11"/>
      <c r="I715" s="11"/>
      <c r="J715" s="11"/>
      <c r="K715" s="11"/>
      <c r="N715" s="12"/>
      <c r="O715" s="12"/>
      <c r="P715" s="12"/>
      <c r="Q715" s="12"/>
      <c r="R715" s="12"/>
      <c r="T715" s="13"/>
      <c r="U715" s="13"/>
      <c r="V715" s="13"/>
      <c r="W715" s="13"/>
      <c r="X715" s="13"/>
    </row>
    <row r="716" ht="15.75" customHeight="1">
      <c r="A716" s="16"/>
      <c r="B716" s="7"/>
      <c r="C716" s="11"/>
      <c r="D716" s="12"/>
      <c r="E716" s="12"/>
      <c r="F716" s="11"/>
      <c r="G716" s="11"/>
      <c r="H716" s="11"/>
      <c r="I716" s="11"/>
      <c r="J716" s="11"/>
      <c r="K716" s="11"/>
      <c r="N716" s="12"/>
      <c r="O716" s="12"/>
      <c r="P716" s="12"/>
      <c r="Q716" s="12"/>
      <c r="R716" s="12"/>
      <c r="T716" s="13"/>
      <c r="U716" s="13"/>
      <c r="V716" s="13"/>
      <c r="W716" s="13"/>
      <c r="X716" s="13"/>
    </row>
    <row r="717" ht="15.75" customHeight="1">
      <c r="A717" s="16"/>
      <c r="B717" s="7"/>
      <c r="C717" s="11"/>
      <c r="D717" s="12"/>
      <c r="E717" s="12"/>
      <c r="F717" s="11"/>
      <c r="G717" s="11"/>
      <c r="H717" s="11"/>
      <c r="I717" s="11"/>
      <c r="J717" s="11"/>
      <c r="K717" s="11"/>
      <c r="N717" s="12"/>
      <c r="O717" s="12"/>
      <c r="P717" s="12"/>
      <c r="Q717" s="12"/>
      <c r="R717" s="12"/>
      <c r="T717" s="13"/>
      <c r="U717" s="13"/>
      <c r="V717" s="13"/>
      <c r="W717" s="13"/>
      <c r="X717" s="13"/>
    </row>
    <row r="718" ht="15.75" customHeight="1">
      <c r="A718" s="16"/>
      <c r="B718" s="7"/>
      <c r="C718" s="11"/>
      <c r="D718" s="12"/>
      <c r="E718" s="12"/>
      <c r="F718" s="11"/>
      <c r="G718" s="11"/>
      <c r="H718" s="11"/>
      <c r="I718" s="11"/>
      <c r="J718" s="11"/>
      <c r="K718" s="11"/>
      <c r="N718" s="12"/>
      <c r="O718" s="12"/>
      <c r="P718" s="12"/>
      <c r="Q718" s="12"/>
      <c r="R718" s="12"/>
      <c r="T718" s="13"/>
      <c r="U718" s="13"/>
      <c r="V718" s="13"/>
      <c r="W718" s="13"/>
      <c r="X718" s="13"/>
    </row>
    <row r="719" ht="15.75" customHeight="1">
      <c r="A719" s="16"/>
      <c r="B719" s="7"/>
      <c r="C719" s="11"/>
      <c r="D719" s="12"/>
      <c r="E719" s="12"/>
      <c r="F719" s="11"/>
      <c r="G719" s="11"/>
      <c r="H719" s="11"/>
      <c r="I719" s="11"/>
      <c r="J719" s="11"/>
      <c r="K719" s="11"/>
      <c r="N719" s="12"/>
      <c r="O719" s="12"/>
      <c r="P719" s="12"/>
      <c r="Q719" s="12"/>
      <c r="R719" s="12"/>
      <c r="T719" s="13"/>
      <c r="U719" s="13"/>
      <c r="V719" s="13"/>
      <c r="W719" s="13"/>
      <c r="X719" s="13"/>
    </row>
    <row r="720" ht="15.75" customHeight="1">
      <c r="A720" s="16"/>
      <c r="B720" s="7"/>
      <c r="C720" s="11"/>
      <c r="D720" s="12"/>
      <c r="E720" s="12"/>
      <c r="F720" s="11"/>
      <c r="G720" s="11"/>
      <c r="H720" s="11"/>
      <c r="I720" s="11"/>
      <c r="J720" s="11"/>
      <c r="K720" s="11"/>
      <c r="N720" s="12"/>
      <c r="O720" s="12"/>
      <c r="P720" s="12"/>
      <c r="Q720" s="12"/>
      <c r="R720" s="12"/>
      <c r="T720" s="13"/>
      <c r="U720" s="13"/>
      <c r="V720" s="13"/>
      <c r="W720" s="13"/>
      <c r="X720" s="13"/>
    </row>
    <row r="721" ht="15.75" customHeight="1">
      <c r="A721" s="16"/>
      <c r="B721" s="7"/>
      <c r="C721" s="11"/>
      <c r="D721" s="12"/>
      <c r="E721" s="12"/>
      <c r="F721" s="11"/>
      <c r="G721" s="11"/>
      <c r="H721" s="11"/>
      <c r="I721" s="11"/>
      <c r="J721" s="11"/>
      <c r="K721" s="11"/>
      <c r="N721" s="12"/>
      <c r="O721" s="12"/>
      <c r="P721" s="12"/>
      <c r="Q721" s="12"/>
      <c r="R721" s="12"/>
      <c r="T721" s="13"/>
      <c r="U721" s="13"/>
      <c r="V721" s="13"/>
      <c r="W721" s="13"/>
      <c r="X721" s="13"/>
    </row>
    <row r="722" ht="15.75" customHeight="1">
      <c r="A722" s="16"/>
      <c r="B722" s="7"/>
      <c r="C722" s="11"/>
      <c r="D722" s="12"/>
      <c r="E722" s="12"/>
      <c r="F722" s="11"/>
      <c r="G722" s="11"/>
      <c r="H722" s="11"/>
      <c r="I722" s="11"/>
      <c r="J722" s="11"/>
      <c r="K722" s="11"/>
      <c r="N722" s="12"/>
      <c r="O722" s="12"/>
      <c r="P722" s="12"/>
      <c r="Q722" s="12"/>
      <c r="R722" s="12"/>
      <c r="T722" s="13"/>
      <c r="U722" s="13"/>
      <c r="V722" s="13"/>
      <c r="W722" s="13"/>
      <c r="X722" s="13"/>
    </row>
    <row r="723" ht="15.75" customHeight="1">
      <c r="A723" s="16"/>
      <c r="B723" s="7"/>
      <c r="C723" s="11"/>
      <c r="D723" s="12"/>
      <c r="E723" s="12"/>
      <c r="F723" s="11"/>
      <c r="G723" s="11"/>
      <c r="H723" s="11"/>
      <c r="I723" s="11"/>
      <c r="J723" s="11"/>
      <c r="K723" s="11"/>
      <c r="N723" s="12"/>
      <c r="O723" s="12"/>
      <c r="P723" s="12"/>
      <c r="Q723" s="12"/>
      <c r="R723" s="12"/>
      <c r="T723" s="13"/>
      <c r="U723" s="13"/>
      <c r="V723" s="13"/>
      <c r="W723" s="13"/>
      <c r="X723" s="13"/>
    </row>
    <row r="724" ht="15.75" customHeight="1">
      <c r="A724" s="16"/>
      <c r="B724" s="7"/>
      <c r="C724" s="11"/>
      <c r="D724" s="12"/>
      <c r="E724" s="12"/>
      <c r="F724" s="11"/>
      <c r="G724" s="11"/>
      <c r="H724" s="11"/>
      <c r="I724" s="11"/>
      <c r="J724" s="11"/>
      <c r="K724" s="11"/>
      <c r="N724" s="12"/>
      <c r="O724" s="12"/>
      <c r="P724" s="12"/>
      <c r="Q724" s="12"/>
      <c r="R724" s="12"/>
      <c r="T724" s="13"/>
      <c r="U724" s="13"/>
      <c r="V724" s="13"/>
      <c r="W724" s="13"/>
      <c r="X724" s="13"/>
    </row>
    <row r="725" ht="15.75" customHeight="1">
      <c r="A725" s="16"/>
      <c r="B725" s="7"/>
      <c r="C725" s="11"/>
      <c r="D725" s="12"/>
      <c r="E725" s="12"/>
      <c r="F725" s="11"/>
      <c r="G725" s="11"/>
      <c r="H725" s="11"/>
      <c r="I725" s="11"/>
      <c r="J725" s="11"/>
      <c r="K725" s="11"/>
      <c r="N725" s="12"/>
      <c r="O725" s="12"/>
      <c r="P725" s="12"/>
      <c r="Q725" s="12"/>
      <c r="R725" s="12"/>
      <c r="T725" s="13"/>
      <c r="U725" s="13"/>
      <c r="V725" s="13"/>
      <c r="W725" s="13"/>
      <c r="X725" s="13"/>
    </row>
    <row r="726" ht="15.75" customHeight="1">
      <c r="A726" s="16"/>
      <c r="B726" s="7"/>
      <c r="C726" s="11"/>
      <c r="D726" s="12"/>
      <c r="E726" s="12"/>
      <c r="F726" s="11"/>
      <c r="G726" s="11"/>
      <c r="H726" s="11"/>
      <c r="I726" s="11"/>
      <c r="J726" s="11"/>
      <c r="K726" s="11"/>
      <c r="N726" s="12"/>
      <c r="O726" s="12"/>
      <c r="P726" s="12"/>
      <c r="Q726" s="12"/>
      <c r="R726" s="12"/>
      <c r="T726" s="13"/>
      <c r="U726" s="13"/>
      <c r="V726" s="13"/>
      <c r="W726" s="13"/>
      <c r="X726" s="13"/>
    </row>
    <row r="727" ht="15.75" customHeight="1">
      <c r="A727" s="16"/>
      <c r="B727" s="7"/>
      <c r="C727" s="11"/>
      <c r="D727" s="12"/>
      <c r="E727" s="12"/>
      <c r="F727" s="11"/>
      <c r="G727" s="11"/>
      <c r="H727" s="11"/>
      <c r="I727" s="11"/>
      <c r="J727" s="11"/>
      <c r="K727" s="11"/>
      <c r="N727" s="12"/>
      <c r="O727" s="12"/>
      <c r="P727" s="12"/>
      <c r="Q727" s="12"/>
      <c r="R727" s="12"/>
      <c r="T727" s="13"/>
      <c r="U727" s="13"/>
      <c r="V727" s="13"/>
      <c r="W727" s="13"/>
      <c r="X727" s="13"/>
    </row>
    <row r="728" ht="15.75" customHeight="1">
      <c r="A728" s="16"/>
      <c r="B728" s="7"/>
      <c r="C728" s="11"/>
      <c r="D728" s="12"/>
      <c r="E728" s="12"/>
      <c r="F728" s="11"/>
      <c r="G728" s="11"/>
      <c r="H728" s="11"/>
      <c r="I728" s="11"/>
      <c r="J728" s="11"/>
      <c r="K728" s="11"/>
      <c r="N728" s="12"/>
      <c r="O728" s="12"/>
      <c r="P728" s="12"/>
      <c r="Q728" s="12"/>
      <c r="R728" s="12"/>
      <c r="T728" s="13"/>
      <c r="U728" s="13"/>
      <c r="V728" s="13"/>
      <c r="W728" s="13"/>
      <c r="X728" s="13"/>
    </row>
    <row r="729" ht="15.75" customHeight="1">
      <c r="A729" s="16"/>
      <c r="B729" s="7"/>
      <c r="C729" s="11"/>
      <c r="D729" s="12"/>
      <c r="E729" s="12"/>
      <c r="F729" s="11"/>
      <c r="G729" s="11"/>
      <c r="H729" s="11"/>
      <c r="I729" s="11"/>
      <c r="J729" s="11"/>
      <c r="K729" s="11"/>
      <c r="N729" s="12"/>
      <c r="O729" s="12"/>
      <c r="P729" s="12"/>
      <c r="Q729" s="12"/>
      <c r="R729" s="12"/>
      <c r="T729" s="13"/>
      <c r="U729" s="13"/>
      <c r="V729" s="13"/>
      <c r="W729" s="13"/>
      <c r="X729" s="13"/>
    </row>
    <row r="730" ht="15.75" customHeight="1">
      <c r="A730" s="16"/>
      <c r="B730" s="7"/>
      <c r="C730" s="11"/>
      <c r="D730" s="12"/>
      <c r="E730" s="12"/>
      <c r="F730" s="11"/>
      <c r="G730" s="11"/>
      <c r="H730" s="11"/>
      <c r="I730" s="11"/>
      <c r="J730" s="11"/>
      <c r="K730" s="11"/>
      <c r="N730" s="12"/>
      <c r="O730" s="12"/>
      <c r="P730" s="12"/>
      <c r="Q730" s="12"/>
      <c r="R730" s="12"/>
      <c r="T730" s="13"/>
      <c r="U730" s="13"/>
      <c r="V730" s="13"/>
      <c r="W730" s="13"/>
      <c r="X730" s="13"/>
    </row>
    <row r="731" ht="15.75" customHeight="1">
      <c r="A731" s="16"/>
      <c r="B731" s="7"/>
      <c r="C731" s="11"/>
      <c r="D731" s="12"/>
      <c r="E731" s="12"/>
      <c r="F731" s="11"/>
      <c r="G731" s="11"/>
      <c r="H731" s="11"/>
      <c r="I731" s="11"/>
      <c r="J731" s="11"/>
      <c r="K731" s="11"/>
      <c r="N731" s="12"/>
      <c r="O731" s="12"/>
      <c r="P731" s="12"/>
      <c r="Q731" s="12"/>
      <c r="R731" s="12"/>
      <c r="T731" s="13"/>
      <c r="U731" s="13"/>
      <c r="V731" s="13"/>
      <c r="W731" s="13"/>
      <c r="X731" s="13"/>
    </row>
    <row r="732" ht="15.75" customHeight="1">
      <c r="A732" s="16"/>
      <c r="B732" s="7"/>
      <c r="C732" s="11"/>
      <c r="D732" s="12"/>
      <c r="E732" s="12"/>
      <c r="F732" s="11"/>
      <c r="G732" s="11"/>
      <c r="H732" s="11"/>
      <c r="I732" s="11"/>
      <c r="J732" s="11"/>
      <c r="K732" s="11"/>
      <c r="N732" s="12"/>
      <c r="O732" s="12"/>
      <c r="P732" s="12"/>
      <c r="Q732" s="12"/>
      <c r="R732" s="12"/>
      <c r="T732" s="13"/>
      <c r="U732" s="13"/>
      <c r="V732" s="13"/>
      <c r="W732" s="13"/>
      <c r="X732" s="13"/>
    </row>
    <row r="733" ht="15.75" customHeight="1">
      <c r="A733" s="16"/>
      <c r="B733" s="7"/>
      <c r="C733" s="11"/>
      <c r="D733" s="12"/>
      <c r="E733" s="12"/>
      <c r="F733" s="11"/>
      <c r="G733" s="11"/>
      <c r="H733" s="11"/>
      <c r="I733" s="11"/>
      <c r="J733" s="11"/>
      <c r="K733" s="11"/>
      <c r="N733" s="12"/>
      <c r="O733" s="12"/>
      <c r="P733" s="12"/>
      <c r="Q733" s="12"/>
      <c r="R733" s="12"/>
      <c r="T733" s="13"/>
      <c r="U733" s="13"/>
      <c r="V733" s="13"/>
      <c r="W733" s="13"/>
      <c r="X733" s="13"/>
    </row>
    <row r="734" ht="15.75" customHeight="1">
      <c r="A734" s="16"/>
      <c r="B734" s="7"/>
      <c r="C734" s="11"/>
      <c r="D734" s="12"/>
      <c r="E734" s="12"/>
      <c r="F734" s="11"/>
      <c r="G734" s="11"/>
      <c r="H734" s="11"/>
      <c r="I734" s="11"/>
      <c r="J734" s="11"/>
      <c r="K734" s="11"/>
      <c r="N734" s="12"/>
      <c r="O734" s="12"/>
      <c r="P734" s="12"/>
      <c r="Q734" s="12"/>
      <c r="R734" s="12"/>
      <c r="T734" s="13"/>
      <c r="U734" s="13"/>
      <c r="V734" s="13"/>
      <c r="W734" s="13"/>
      <c r="X734" s="13"/>
    </row>
    <row r="735" ht="15.75" customHeight="1">
      <c r="A735" s="16"/>
      <c r="B735" s="7"/>
      <c r="C735" s="11"/>
      <c r="D735" s="12"/>
      <c r="E735" s="12"/>
      <c r="F735" s="11"/>
      <c r="G735" s="11"/>
      <c r="H735" s="11"/>
      <c r="I735" s="11"/>
      <c r="J735" s="11"/>
      <c r="K735" s="11"/>
      <c r="N735" s="12"/>
      <c r="O735" s="12"/>
      <c r="P735" s="12"/>
      <c r="Q735" s="12"/>
      <c r="R735" s="12"/>
      <c r="T735" s="13"/>
      <c r="U735" s="13"/>
      <c r="V735" s="13"/>
      <c r="W735" s="13"/>
      <c r="X735" s="13"/>
    </row>
    <row r="736" ht="15.75" customHeight="1">
      <c r="A736" s="16"/>
      <c r="B736" s="7"/>
      <c r="C736" s="11"/>
      <c r="D736" s="12"/>
      <c r="E736" s="12"/>
      <c r="F736" s="11"/>
      <c r="G736" s="11"/>
      <c r="H736" s="11"/>
      <c r="I736" s="11"/>
      <c r="J736" s="11"/>
      <c r="K736" s="11"/>
      <c r="N736" s="12"/>
      <c r="O736" s="12"/>
      <c r="P736" s="12"/>
      <c r="Q736" s="12"/>
      <c r="R736" s="12"/>
      <c r="T736" s="13"/>
      <c r="U736" s="13"/>
      <c r="V736" s="13"/>
      <c r="W736" s="13"/>
      <c r="X736" s="13"/>
    </row>
    <row r="737" ht="15.75" customHeight="1">
      <c r="A737" s="16"/>
      <c r="B737" s="7"/>
      <c r="C737" s="11"/>
      <c r="D737" s="12"/>
      <c r="E737" s="12"/>
      <c r="F737" s="11"/>
      <c r="G737" s="11"/>
      <c r="H737" s="11"/>
      <c r="I737" s="11"/>
      <c r="J737" s="11"/>
      <c r="K737" s="11"/>
      <c r="N737" s="12"/>
      <c r="O737" s="12"/>
      <c r="P737" s="12"/>
      <c r="Q737" s="12"/>
      <c r="R737" s="12"/>
      <c r="T737" s="13"/>
      <c r="U737" s="13"/>
      <c r="V737" s="13"/>
      <c r="W737" s="13"/>
      <c r="X737" s="13"/>
    </row>
    <row r="738" ht="15.75" customHeight="1">
      <c r="A738" s="16"/>
      <c r="B738" s="7"/>
      <c r="C738" s="11"/>
      <c r="D738" s="12"/>
      <c r="E738" s="12"/>
      <c r="F738" s="11"/>
      <c r="G738" s="11"/>
      <c r="H738" s="11"/>
      <c r="I738" s="11"/>
      <c r="J738" s="11"/>
      <c r="K738" s="11"/>
      <c r="N738" s="12"/>
      <c r="O738" s="12"/>
      <c r="P738" s="12"/>
      <c r="Q738" s="12"/>
      <c r="R738" s="12"/>
      <c r="T738" s="13"/>
      <c r="U738" s="13"/>
      <c r="V738" s="13"/>
      <c r="W738" s="13"/>
      <c r="X738" s="13"/>
    </row>
    <row r="739" ht="15.75" customHeight="1">
      <c r="A739" s="16"/>
      <c r="B739" s="7"/>
      <c r="C739" s="11"/>
      <c r="D739" s="12"/>
      <c r="E739" s="12"/>
      <c r="F739" s="11"/>
      <c r="G739" s="11"/>
      <c r="H739" s="11"/>
      <c r="I739" s="11"/>
      <c r="J739" s="11"/>
      <c r="K739" s="11"/>
      <c r="N739" s="12"/>
      <c r="O739" s="12"/>
      <c r="P739" s="12"/>
      <c r="Q739" s="12"/>
      <c r="R739" s="12"/>
      <c r="T739" s="13"/>
      <c r="U739" s="13"/>
      <c r="V739" s="13"/>
      <c r="W739" s="13"/>
      <c r="X739" s="13"/>
    </row>
    <row r="740" ht="15.75" customHeight="1">
      <c r="A740" s="16"/>
      <c r="B740" s="7"/>
      <c r="C740" s="11"/>
      <c r="D740" s="12"/>
      <c r="E740" s="12"/>
      <c r="F740" s="11"/>
      <c r="G740" s="11"/>
      <c r="H740" s="11"/>
      <c r="I740" s="11"/>
      <c r="J740" s="11"/>
      <c r="K740" s="11"/>
      <c r="N740" s="12"/>
      <c r="O740" s="12"/>
      <c r="P740" s="12"/>
      <c r="Q740" s="12"/>
      <c r="R740" s="12"/>
      <c r="T740" s="13"/>
      <c r="U740" s="13"/>
      <c r="V740" s="13"/>
      <c r="W740" s="13"/>
      <c r="X740" s="13"/>
    </row>
    <row r="741" ht="15.75" customHeight="1">
      <c r="A741" s="16"/>
      <c r="B741" s="7"/>
      <c r="C741" s="11"/>
      <c r="D741" s="12"/>
      <c r="E741" s="12"/>
      <c r="F741" s="11"/>
      <c r="G741" s="11"/>
      <c r="H741" s="11"/>
      <c r="I741" s="11"/>
      <c r="J741" s="11"/>
      <c r="K741" s="11"/>
      <c r="N741" s="12"/>
      <c r="O741" s="12"/>
      <c r="P741" s="12"/>
      <c r="Q741" s="12"/>
      <c r="R741" s="12"/>
      <c r="T741" s="13"/>
      <c r="U741" s="13"/>
      <c r="V741" s="13"/>
      <c r="W741" s="13"/>
      <c r="X741" s="13"/>
    </row>
    <row r="742" ht="15.75" customHeight="1">
      <c r="A742" s="16"/>
      <c r="B742" s="7"/>
      <c r="C742" s="11"/>
      <c r="D742" s="12"/>
      <c r="E742" s="12"/>
      <c r="F742" s="11"/>
      <c r="G742" s="11"/>
      <c r="H742" s="11"/>
      <c r="I742" s="11"/>
      <c r="J742" s="11"/>
      <c r="K742" s="11"/>
      <c r="N742" s="12"/>
      <c r="O742" s="12"/>
      <c r="P742" s="12"/>
      <c r="Q742" s="12"/>
      <c r="R742" s="12"/>
      <c r="T742" s="13"/>
      <c r="U742" s="13"/>
      <c r="V742" s="13"/>
      <c r="W742" s="13"/>
      <c r="X742" s="13"/>
    </row>
    <row r="743" ht="15.75" customHeight="1">
      <c r="A743" s="16"/>
      <c r="B743" s="7"/>
      <c r="C743" s="11"/>
      <c r="D743" s="12"/>
      <c r="E743" s="12"/>
      <c r="F743" s="11"/>
      <c r="G743" s="11"/>
      <c r="H743" s="11"/>
      <c r="I743" s="11"/>
      <c r="J743" s="11"/>
      <c r="K743" s="11"/>
      <c r="N743" s="12"/>
      <c r="O743" s="12"/>
      <c r="P743" s="12"/>
      <c r="Q743" s="12"/>
      <c r="R743" s="12"/>
      <c r="T743" s="13"/>
      <c r="U743" s="13"/>
      <c r="V743" s="13"/>
      <c r="W743" s="13"/>
      <c r="X743" s="13"/>
    </row>
    <row r="744" ht="15.75" customHeight="1">
      <c r="A744" s="16"/>
      <c r="B744" s="7"/>
      <c r="C744" s="11"/>
      <c r="D744" s="12"/>
      <c r="E744" s="12"/>
      <c r="F744" s="11"/>
      <c r="G744" s="11"/>
      <c r="H744" s="11"/>
      <c r="I744" s="11"/>
      <c r="J744" s="11"/>
      <c r="K744" s="11"/>
      <c r="N744" s="12"/>
      <c r="O744" s="12"/>
      <c r="P744" s="12"/>
      <c r="Q744" s="12"/>
      <c r="R744" s="12"/>
      <c r="T744" s="13"/>
      <c r="U744" s="13"/>
      <c r="V744" s="13"/>
      <c r="W744" s="13"/>
      <c r="X744" s="13"/>
    </row>
    <row r="745" ht="15.75" customHeight="1">
      <c r="A745" s="16"/>
      <c r="B745" s="7"/>
      <c r="C745" s="11"/>
      <c r="D745" s="12"/>
      <c r="E745" s="12"/>
      <c r="F745" s="11"/>
      <c r="G745" s="11"/>
      <c r="H745" s="11"/>
      <c r="I745" s="11"/>
      <c r="J745" s="11"/>
      <c r="K745" s="11"/>
      <c r="N745" s="12"/>
      <c r="O745" s="12"/>
      <c r="P745" s="12"/>
      <c r="Q745" s="12"/>
      <c r="R745" s="12"/>
      <c r="T745" s="13"/>
      <c r="U745" s="13"/>
      <c r="V745" s="13"/>
      <c r="W745" s="13"/>
      <c r="X745" s="13"/>
    </row>
    <row r="746" ht="15.75" customHeight="1">
      <c r="A746" s="16"/>
      <c r="B746" s="7"/>
      <c r="C746" s="11"/>
      <c r="D746" s="12"/>
      <c r="E746" s="12"/>
      <c r="F746" s="11"/>
      <c r="G746" s="11"/>
      <c r="H746" s="11"/>
      <c r="I746" s="11"/>
      <c r="J746" s="11"/>
      <c r="K746" s="11"/>
      <c r="N746" s="12"/>
      <c r="O746" s="12"/>
      <c r="P746" s="12"/>
      <c r="Q746" s="12"/>
      <c r="R746" s="12"/>
      <c r="T746" s="13"/>
      <c r="U746" s="13"/>
      <c r="V746" s="13"/>
      <c r="W746" s="13"/>
      <c r="X746" s="13"/>
    </row>
    <row r="747" ht="15.75" customHeight="1">
      <c r="A747" s="16"/>
      <c r="B747" s="7"/>
      <c r="C747" s="11"/>
      <c r="D747" s="12"/>
      <c r="E747" s="12"/>
      <c r="F747" s="11"/>
      <c r="G747" s="11"/>
      <c r="H747" s="11"/>
      <c r="I747" s="11"/>
      <c r="J747" s="11"/>
      <c r="K747" s="11"/>
      <c r="N747" s="12"/>
      <c r="O747" s="12"/>
      <c r="P747" s="12"/>
      <c r="Q747" s="12"/>
      <c r="R747" s="12"/>
      <c r="T747" s="13"/>
      <c r="U747" s="13"/>
      <c r="V747" s="13"/>
      <c r="W747" s="13"/>
      <c r="X747" s="13"/>
    </row>
    <row r="748" ht="15.75" customHeight="1">
      <c r="A748" s="16"/>
      <c r="B748" s="7"/>
      <c r="C748" s="11"/>
      <c r="D748" s="12"/>
      <c r="E748" s="12"/>
      <c r="F748" s="11"/>
      <c r="G748" s="11"/>
      <c r="H748" s="11"/>
      <c r="I748" s="11"/>
      <c r="J748" s="11"/>
      <c r="K748" s="11"/>
      <c r="N748" s="12"/>
      <c r="O748" s="12"/>
      <c r="P748" s="12"/>
      <c r="Q748" s="12"/>
      <c r="R748" s="12"/>
      <c r="T748" s="13"/>
      <c r="U748" s="13"/>
      <c r="V748" s="13"/>
      <c r="W748" s="13"/>
      <c r="X748" s="13"/>
    </row>
    <row r="749" ht="15.75" customHeight="1">
      <c r="A749" s="16"/>
      <c r="B749" s="7"/>
      <c r="C749" s="11"/>
      <c r="D749" s="12"/>
      <c r="E749" s="12"/>
      <c r="F749" s="11"/>
      <c r="G749" s="11"/>
      <c r="H749" s="11"/>
      <c r="I749" s="11"/>
      <c r="J749" s="11"/>
      <c r="K749" s="11"/>
      <c r="N749" s="12"/>
      <c r="O749" s="12"/>
      <c r="P749" s="12"/>
      <c r="Q749" s="12"/>
      <c r="R749" s="12"/>
      <c r="T749" s="13"/>
      <c r="U749" s="13"/>
      <c r="V749" s="13"/>
      <c r="W749" s="13"/>
      <c r="X749" s="13"/>
    </row>
    <row r="750" ht="15.75" customHeight="1">
      <c r="A750" s="16"/>
      <c r="B750" s="7"/>
      <c r="C750" s="11"/>
      <c r="D750" s="12"/>
      <c r="E750" s="12"/>
      <c r="F750" s="11"/>
      <c r="G750" s="11"/>
      <c r="H750" s="11"/>
      <c r="I750" s="11"/>
      <c r="J750" s="11"/>
      <c r="K750" s="11"/>
      <c r="N750" s="12"/>
      <c r="O750" s="12"/>
      <c r="P750" s="12"/>
      <c r="Q750" s="12"/>
      <c r="R750" s="12"/>
      <c r="T750" s="13"/>
      <c r="U750" s="13"/>
      <c r="V750" s="13"/>
      <c r="W750" s="13"/>
      <c r="X750" s="13"/>
    </row>
    <row r="751" ht="15.75" customHeight="1">
      <c r="A751" s="11"/>
      <c r="B751" s="7"/>
      <c r="C751" s="11"/>
      <c r="D751" s="12"/>
      <c r="E751" s="12"/>
      <c r="F751" s="11"/>
      <c r="G751" s="11"/>
      <c r="H751" s="11"/>
      <c r="I751" s="11"/>
      <c r="J751" s="11"/>
      <c r="K751" s="11"/>
      <c r="N751" s="12"/>
      <c r="O751" s="12"/>
      <c r="P751" s="12"/>
      <c r="Q751" s="12"/>
      <c r="R751" s="12"/>
      <c r="T751" s="13"/>
      <c r="U751" s="13"/>
      <c r="V751" s="13"/>
      <c r="W751" s="13"/>
      <c r="X751" s="13"/>
    </row>
    <row r="752" ht="15.75" customHeight="1">
      <c r="A752" s="11"/>
      <c r="B752" s="7"/>
      <c r="C752" s="11"/>
      <c r="D752" s="12"/>
      <c r="E752" s="12"/>
      <c r="F752" s="11"/>
      <c r="G752" s="11"/>
      <c r="H752" s="11"/>
      <c r="I752" s="11"/>
      <c r="J752" s="11"/>
      <c r="K752" s="11"/>
      <c r="N752" s="12"/>
      <c r="O752" s="12"/>
      <c r="P752" s="12"/>
      <c r="Q752" s="12"/>
      <c r="R752" s="12"/>
      <c r="T752" s="13"/>
      <c r="U752" s="13"/>
      <c r="V752" s="13"/>
      <c r="W752" s="13"/>
      <c r="X752" s="13"/>
    </row>
    <row r="753" ht="15.75" customHeight="1">
      <c r="A753" s="11"/>
      <c r="B753" s="7"/>
      <c r="C753" s="11"/>
      <c r="D753" s="12"/>
      <c r="E753" s="12"/>
      <c r="F753" s="11"/>
      <c r="G753" s="11"/>
      <c r="H753" s="11"/>
      <c r="I753" s="11"/>
      <c r="J753" s="11"/>
      <c r="K753" s="11"/>
      <c r="N753" s="12"/>
      <c r="O753" s="12"/>
      <c r="P753" s="12"/>
      <c r="Q753" s="12"/>
      <c r="R753" s="12"/>
      <c r="T753" s="13"/>
      <c r="U753" s="13"/>
      <c r="V753" s="13"/>
      <c r="W753" s="13"/>
      <c r="X753" s="13"/>
    </row>
    <row r="754" ht="15.75" customHeight="1">
      <c r="A754" s="11"/>
      <c r="B754" s="7"/>
      <c r="C754" s="11"/>
      <c r="D754" s="12"/>
      <c r="E754" s="12"/>
      <c r="F754" s="11"/>
      <c r="G754" s="11"/>
      <c r="H754" s="11"/>
      <c r="I754" s="11"/>
      <c r="J754" s="11"/>
      <c r="K754" s="11"/>
      <c r="N754" s="12"/>
      <c r="O754" s="12"/>
      <c r="P754" s="12"/>
      <c r="Q754" s="12"/>
      <c r="R754" s="12"/>
      <c r="T754" s="13"/>
      <c r="U754" s="13"/>
      <c r="V754" s="13"/>
      <c r="W754" s="13"/>
      <c r="X754" s="13"/>
    </row>
    <row r="755" ht="15.75" customHeight="1">
      <c r="A755" s="11"/>
      <c r="B755" s="7"/>
      <c r="C755" s="11"/>
      <c r="D755" s="12"/>
      <c r="E755" s="12"/>
      <c r="F755" s="11"/>
      <c r="G755" s="11"/>
      <c r="H755" s="11"/>
      <c r="I755" s="11"/>
      <c r="J755" s="11"/>
      <c r="K755" s="11"/>
      <c r="N755" s="12"/>
      <c r="O755" s="12"/>
      <c r="P755" s="12"/>
      <c r="Q755" s="12"/>
      <c r="R755" s="12"/>
      <c r="T755" s="13"/>
      <c r="U755" s="13"/>
      <c r="V755" s="13"/>
      <c r="W755" s="13"/>
      <c r="X755" s="13"/>
    </row>
    <row r="756" ht="15.75" customHeight="1">
      <c r="A756" s="11"/>
      <c r="B756" s="7"/>
      <c r="C756" s="11"/>
      <c r="D756" s="12"/>
      <c r="E756" s="12"/>
      <c r="F756" s="11"/>
      <c r="G756" s="11"/>
      <c r="H756" s="11"/>
      <c r="I756" s="11"/>
      <c r="J756" s="11"/>
      <c r="K756" s="11"/>
      <c r="N756" s="12"/>
      <c r="O756" s="12"/>
      <c r="P756" s="12"/>
      <c r="Q756" s="12"/>
      <c r="R756" s="12"/>
      <c r="T756" s="13"/>
      <c r="U756" s="13"/>
      <c r="V756" s="13"/>
      <c r="W756" s="13"/>
      <c r="X756" s="13"/>
    </row>
    <row r="757" ht="15.75" customHeight="1">
      <c r="A757" s="11"/>
      <c r="B757" s="7"/>
      <c r="C757" s="11"/>
      <c r="D757" s="12"/>
      <c r="E757" s="12"/>
      <c r="F757" s="11"/>
      <c r="G757" s="11"/>
      <c r="H757" s="11"/>
      <c r="I757" s="11"/>
      <c r="J757" s="11"/>
      <c r="K757" s="11"/>
      <c r="N757" s="12"/>
      <c r="O757" s="12"/>
      <c r="P757" s="12"/>
      <c r="Q757" s="12"/>
      <c r="R757" s="12"/>
      <c r="T757" s="13"/>
      <c r="U757" s="13"/>
      <c r="V757" s="13"/>
      <c r="W757" s="13"/>
      <c r="X757" s="13"/>
    </row>
    <row r="758" ht="15.75" customHeight="1">
      <c r="A758" s="11"/>
      <c r="B758" s="7"/>
      <c r="C758" s="11"/>
      <c r="D758" s="12"/>
      <c r="E758" s="12"/>
      <c r="F758" s="11"/>
      <c r="G758" s="11"/>
      <c r="H758" s="11"/>
      <c r="I758" s="11"/>
      <c r="J758" s="11"/>
      <c r="K758" s="11"/>
      <c r="N758" s="12"/>
      <c r="O758" s="12"/>
      <c r="P758" s="12"/>
      <c r="Q758" s="12"/>
      <c r="R758" s="12"/>
      <c r="T758" s="13"/>
      <c r="U758" s="13"/>
      <c r="V758" s="13"/>
      <c r="W758" s="13"/>
      <c r="X758" s="13"/>
    </row>
    <row r="759" ht="15.75" customHeight="1">
      <c r="A759" s="11"/>
      <c r="B759" s="7"/>
      <c r="C759" s="11"/>
      <c r="D759" s="12"/>
      <c r="E759" s="12"/>
      <c r="F759" s="11"/>
      <c r="G759" s="11"/>
      <c r="H759" s="11"/>
      <c r="I759" s="11"/>
      <c r="J759" s="11"/>
      <c r="K759" s="11"/>
      <c r="N759" s="12"/>
      <c r="O759" s="12"/>
      <c r="P759" s="12"/>
      <c r="Q759" s="12"/>
      <c r="R759" s="12"/>
      <c r="T759" s="13"/>
      <c r="U759" s="13"/>
      <c r="V759" s="13"/>
      <c r="W759" s="13"/>
      <c r="X759" s="13"/>
    </row>
    <row r="760" ht="15.75" customHeight="1">
      <c r="A760" s="11"/>
      <c r="B760" s="7"/>
      <c r="C760" s="11"/>
      <c r="D760" s="12"/>
      <c r="E760" s="12"/>
      <c r="F760" s="11"/>
      <c r="G760" s="11"/>
      <c r="H760" s="11"/>
      <c r="I760" s="11"/>
      <c r="J760" s="11"/>
      <c r="K760" s="11"/>
      <c r="N760" s="12"/>
      <c r="O760" s="12"/>
      <c r="P760" s="12"/>
      <c r="Q760" s="12"/>
      <c r="R760" s="12"/>
      <c r="T760" s="13"/>
      <c r="U760" s="13"/>
      <c r="V760" s="13"/>
      <c r="W760" s="13"/>
      <c r="X760" s="13"/>
    </row>
    <row r="761" ht="15.75" customHeight="1">
      <c r="A761" s="11"/>
      <c r="B761" s="7"/>
      <c r="C761" s="11"/>
      <c r="D761" s="12"/>
      <c r="E761" s="12"/>
      <c r="F761" s="11"/>
      <c r="G761" s="11"/>
      <c r="H761" s="11"/>
      <c r="I761" s="11"/>
      <c r="J761" s="11"/>
      <c r="K761" s="11"/>
      <c r="N761" s="12"/>
      <c r="O761" s="12"/>
      <c r="P761" s="12"/>
      <c r="Q761" s="12"/>
      <c r="R761" s="12"/>
      <c r="T761" s="13"/>
      <c r="U761" s="13"/>
      <c r="V761" s="13"/>
      <c r="W761" s="13"/>
      <c r="X761" s="13"/>
    </row>
    <row r="762" ht="15.75" customHeight="1">
      <c r="A762" s="11"/>
      <c r="B762" s="7"/>
      <c r="C762" s="11"/>
      <c r="D762" s="12"/>
      <c r="E762" s="12"/>
      <c r="F762" s="11"/>
      <c r="G762" s="11"/>
      <c r="H762" s="11"/>
      <c r="I762" s="11"/>
      <c r="J762" s="11"/>
      <c r="K762" s="11"/>
      <c r="N762" s="12"/>
      <c r="O762" s="12"/>
      <c r="P762" s="12"/>
      <c r="Q762" s="12"/>
      <c r="R762" s="12"/>
      <c r="T762" s="13"/>
      <c r="U762" s="13"/>
      <c r="V762" s="13"/>
      <c r="W762" s="13"/>
      <c r="X762" s="13"/>
    </row>
    <row r="763" ht="15.75" customHeight="1">
      <c r="A763" s="11"/>
      <c r="B763" s="7"/>
      <c r="C763" s="11"/>
      <c r="D763" s="12"/>
      <c r="E763" s="12"/>
      <c r="F763" s="11"/>
      <c r="G763" s="11"/>
      <c r="H763" s="11"/>
      <c r="I763" s="11"/>
      <c r="J763" s="11"/>
      <c r="K763" s="11"/>
      <c r="N763" s="12"/>
      <c r="O763" s="12"/>
      <c r="P763" s="12"/>
      <c r="Q763" s="12"/>
      <c r="R763" s="12"/>
      <c r="T763" s="13"/>
      <c r="U763" s="13"/>
      <c r="V763" s="13"/>
      <c r="W763" s="13"/>
      <c r="X763" s="13"/>
    </row>
    <row r="764" ht="15.75" customHeight="1">
      <c r="A764" s="11"/>
      <c r="B764" s="7"/>
      <c r="C764" s="11"/>
      <c r="D764" s="12"/>
      <c r="E764" s="12"/>
      <c r="F764" s="11"/>
      <c r="G764" s="11"/>
      <c r="H764" s="11"/>
      <c r="I764" s="11"/>
      <c r="J764" s="11"/>
      <c r="K764" s="11"/>
      <c r="N764" s="12"/>
      <c r="O764" s="12"/>
      <c r="P764" s="12"/>
      <c r="Q764" s="12"/>
      <c r="R764" s="12"/>
      <c r="T764" s="13"/>
      <c r="U764" s="13"/>
      <c r="V764" s="13"/>
      <c r="W764" s="13"/>
      <c r="X764" s="13"/>
    </row>
    <row r="765" ht="15.75" customHeight="1">
      <c r="A765" s="11"/>
      <c r="B765" s="7"/>
      <c r="C765" s="11"/>
      <c r="D765" s="12"/>
      <c r="E765" s="12"/>
      <c r="F765" s="11"/>
      <c r="G765" s="11"/>
      <c r="H765" s="11"/>
      <c r="I765" s="11"/>
      <c r="J765" s="11"/>
      <c r="K765" s="11"/>
      <c r="N765" s="12"/>
      <c r="O765" s="12"/>
      <c r="P765" s="12"/>
      <c r="Q765" s="12"/>
      <c r="R765" s="12"/>
      <c r="T765" s="13"/>
      <c r="U765" s="13"/>
      <c r="V765" s="13"/>
      <c r="W765" s="13"/>
      <c r="X765" s="13"/>
    </row>
    <row r="766" ht="15.75" customHeight="1">
      <c r="A766" s="11"/>
      <c r="B766" s="7"/>
      <c r="C766" s="11"/>
      <c r="D766" s="12"/>
      <c r="E766" s="12"/>
      <c r="F766" s="11"/>
      <c r="G766" s="11"/>
      <c r="H766" s="11"/>
      <c r="I766" s="11"/>
      <c r="J766" s="11"/>
      <c r="K766" s="11"/>
      <c r="N766" s="12"/>
      <c r="O766" s="12"/>
      <c r="P766" s="12"/>
      <c r="Q766" s="12"/>
      <c r="R766" s="12"/>
      <c r="T766" s="13"/>
      <c r="U766" s="13"/>
      <c r="V766" s="13"/>
      <c r="W766" s="13"/>
      <c r="X766" s="13"/>
    </row>
    <row r="767" ht="15.75" customHeight="1">
      <c r="A767" s="11"/>
      <c r="B767" s="7"/>
      <c r="C767" s="11"/>
      <c r="D767" s="12"/>
      <c r="E767" s="12"/>
      <c r="F767" s="11"/>
      <c r="G767" s="11"/>
      <c r="H767" s="11"/>
      <c r="I767" s="11"/>
      <c r="J767" s="11"/>
      <c r="K767" s="11"/>
      <c r="N767" s="12"/>
      <c r="O767" s="12"/>
      <c r="P767" s="12"/>
      <c r="Q767" s="12"/>
      <c r="R767" s="12"/>
      <c r="T767" s="13"/>
      <c r="U767" s="13"/>
      <c r="V767" s="13"/>
      <c r="W767" s="13"/>
      <c r="X767" s="13"/>
    </row>
    <row r="768" ht="15.75" customHeight="1">
      <c r="A768" s="11"/>
      <c r="B768" s="7"/>
      <c r="C768" s="11"/>
      <c r="D768" s="12"/>
      <c r="E768" s="12"/>
      <c r="F768" s="11"/>
      <c r="G768" s="11"/>
      <c r="H768" s="11"/>
      <c r="I768" s="11"/>
      <c r="J768" s="11"/>
      <c r="K768" s="11"/>
      <c r="N768" s="12"/>
      <c r="O768" s="12"/>
      <c r="P768" s="12"/>
      <c r="Q768" s="12"/>
      <c r="R768" s="12"/>
      <c r="T768" s="13"/>
      <c r="U768" s="13"/>
      <c r="V768" s="13"/>
      <c r="W768" s="13"/>
      <c r="X768" s="13"/>
    </row>
    <row r="769" ht="15.75" customHeight="1">
      <c r="A769" s="11"/>
      <c r="B769" s="7"/>
      <c r="C769" s="11"/>
      <c r="D769" s="12"/>
      <c r="E769" s="12"/>
      <c r="F769" s="11"/>
      <c r="G769" s="11"/>
      <c r="H769" s="11"/>
      <c r="I769" s="11"/>
      <c r="J769" s="11"/>
      <c r="K769" s="11"/>
      <c r="N769" s="12"/>
      <c r="O769" s="12"/>
      <c r="P769" s="12"/>
      <c r="Q769" s="12"/>
      <c r="R769" s="12"/>
      <c r="T769" s="13"/>
      <c r="U769" s="13"/>
      <c r="V769" s="13"/>
      <c r="W769" s="13"/>
      <c r="X769" s="13"/>
    </row>
    <row r="770" ht="15.75" customHeight="1">
      <c r="A770" s="11"/>
      <c r="B770" s="7"/>
      <c r="C770" s="11"/>
      <c r="D770" s="12"/>
      <c r="E770" s="12"/>
      <c r="F770" s="11"/>
      <c r="G770" s="11"/>
      <c r="H770" s="11"/>
      <c r="I770" s="11"/>
      <c r="J770" s="11"/>
      <c r="K770" s="11"/>
      <c r="N770" s="12"/>
      <c r="O770" s="12"/>
      <c r="P770" s="12"/>
      <c r="Q770" s="12"/>
      <c r="R770" s="12"/>
      <c r="T770" s="13"/>
      <c r="U770" s="13"/>
      <c r="V770" s="13"/>
      <c r="W770" s="13"/>
      <c r="X770" s="13"/>
    </row>
    <row r="771" ht="15.75" customHeight="1">
      <c r="A771" s="11"/>
      <c r="B771" s="7"/>
      <c r="C771" s="11"/>
      <c r="D771" s="12"/>
      <c r="E771" s="12"/>
      <c r="F771" s="11"/>
      <c r="G771" s="11"/>
      <c r="H771" s="11"/>
      <c r="I771" s="11"/>
      <c r="J771" s="11"/>
      <c r="K771" s="11"/>
      <c r="N771" s="12"/>
      <c r="O771" s="12"/>
      <c r="P771" s="12"/>
      <c r="Q771" s="12"/>
      <c r="R771" s="12"/>
      <c r="T771" s="13"/>
      <c r="U771" s="13"/>
      <c r="V771" s="13"/>
      <c r="W771" s="13"/>
      <c r="X771" s="13"/>
    </row>
    <row r="772" ht="15.75" customHeight="1">
      <c r="A772" s="11"/>
      <c r="B772" s="7"/>
      <c r="C772" s="11"/>
      <c r="D772" s="12"/>
      <c r="E772" s="12"/>
      <c r="F772" s="11"/>
      <c r="G772" s="11"/>
      <c r="H772" s="11"/>
      <c r="I772" s="11"/>
      <c r="J772" s="11"/>
      <c r="K772" s="11"/>
      <c r="N772" s="12"/>
      <c r="O772" s="12"/>
      <c r="P772" s="12"/>
      <c r="Q772" s="12"/>
      <c r="R772" s="12"/>
      <c r="T772" s="13"/>
      <c r="U772" s="13"/>
      <c r="V772" s="13"/>
      <c r="W772" s="13"/>
      <c r="X772" s="13"/>
    </row>
    <row r="773" ht="15.75" customHeight="1">
      <c r="A773" s="11"/>
      <c r="B773" s="7"/>
      <c r="C773" s="11"/>
      <c r="D773" s="12"/>
      <c r="E773" s="12"/>
      <c r="F773" s="11"/>
      <c r="G773" s="11"/>
      <c r="H773" s="11"/>
      <c r="I773" s="11"/>
      <c r="J773" s="11"/>
      <c r="K773" s="11"/>
      <c r="N773" s="12"/>
      <c r="O773" s="12"/>
      <c r="P773" s="12"/>
      <c r="Q773" s="12"/>
      <c r="R773" s="12"/>
      <c r="T773" s="13"/>
      <c r="U773" s="13"/>
      <c r="V773" s="13"/>
      <c r="W773" s="13"/>
      <c r="X773" s="13"/>
    </row>
    <row r="774" ht="15.75" customHeight="1">
      <c r="A774" s="11"/>
      <c r="B774" s="7"/>
      <c r="C774" s="11"/>
      <c r="D774" s="12"/>
      <c r="E774" s="12"/>
      <c r="F774" s="11"/>
      <c r="G774" s="11"/>
      <c r="H774" s="11"/>
      <c r="I774" s="11"/>
      <c r="J774" s="11"/>
      <c r="K774" s="11"/>
      <c r="N774" s="12"/>
      <c r="O774" s="12"/>
      <c r="P774" s="12"/>
      <c r="Q774" s="12"/>
      <c r="R774" s="12"/>
      <c r="T774" s="13"/>
      <c r="U774" s="13"/>
      <c r="V774" s="13"/>
      <c r="W774" s="13"/>
      <c r="X774" s="13"/>
    </row>
    <row r="775" ht="15.75" customHeight="1">
      <c r="A775" s="11"/>
      <c r="B775" s="7"/>
      <c r="C775" s="11"/>
      <c r="D775" s="12"/>
      <c r="E775" s="12"/>
      <c r="F775" s="11"/>
      <c r="G775" s="11"/>
      <c r="H775" s="11"/>
      <c r="I775" s="11"/>
      <c r="J775" s="11"/>
      <c r="K775" s="11"/>
      <c r="N775" s="12"/>
      <c r="O775" s="12"/>
      <c r="P775" s="12"/>
      <c r="Q775" s="12"/>
      <c r="R775" s="12"/>
      <c r="T775" s="13"/>
      <c r="U775" s="13"/>
      <c r="V775" s="13"/>
      <c r="W775" s="13"/>
      <c r="X775" s="13"/>
    </row>
    <row r="776" ht="15.75" customHeight="1">
      <c r="A776" s="11"/>
      <c r="B776" s="7"/>
      <c r="C776" s="11"/>
      <c r="D776" s="12"/>
      <c r="E776" s="12"/>
      <c r="F776" s="11"/>
      <c r="G776" s="11"/>
      <c r="H776" s="11"/>
      <c r="I776" s="11"/>
      <c r="J776" s="11"/>
      <c r="K776" s="11"/>
      <c r="N776" s="12"/>
      <c r="O776" s="12"/>
      <c r="P776" s="12"/>
      <c r="Q776" s="12"/>
      <c r="R776" s="12"/>
      <c r="T776" s="13"/>
      <c r="U776" s="13"/>
      <c r="V776" s="13"/>
      <c r="W776" s="13"/>
      <c r="X776" s="13"/>
    </row>
    <row r="777" ht="15.75" customHeight="1">
      <c r="A777" s="11"/>
      <c r="B777" s="7"/>
      <c r="C777" s="11"/>
      <c r="D777" s="12"/>
      <c r="E777" s="12"/>
      <c r="F777" s="11"/>
      <c r="G777" s="11"/>
      <c r="H777" s="11"/>
      <c r="I777" s="11"/>
      <c r="J777" s="11"/>
      <c r="K777" s="11"/>
      <c r="N777" s="12"/>
      <c r="O777" s="12"/>
      <c r="P777" s="12"/>
      <c r="Q777" s="12"/>
      <c r="R777" s="12"/>
      <c r="T777" s="13"/>
      <c r="U777" s="13"/>
      <c r="V777" s="13"/>
      <c r="W777" s="13"/>
      <c r="X777" s="13"/>
    </row>
    <row r="778" ht="15.75" customHeight="1">
      <c r="A778" s="11"/>
      <c r="B778" s="7"/>
      <c r="C778" s="11"/>
      <c r="D778" s="12"/>
      <c r="E778" s="12"/>
      <c r="F778" s="11"/>
      <c r="G778" s="11"/>
      <c r="H778" s="11"/>
      <c r="I778" s="11"/>
      <c r="J778" s="11"/>
      <c r="K778" s="11"/>
      <c r="N778" s="12"/>
      <c r="O778" s="12"/>
      <c r="P778" s="12"/>
      <c r="Q778" s="12"/>
      <c r="R778" s="12"/>
      <c r="T778" s="13"/>
      <c r="U778" s="13"/>
      <c r="V778" s="13"/>
      <c r="W778" s="13"/>
      <c r="X778" s="13"/>
    </row>
    <row r="779" ht="15.75" customHeight="1">
      <c r="A779" s="11"/>
      <c r="B779" s="7"/>
      <c r="C779" s="11"/>
      <c r="D779" s="12"/>
      <c r="E779" s="12"/>
      <c r="F779" s="11"/>
      <c r="G779" s="11"/>
      <c r="H779" s="11"/>
      <c r="I779" s="11"/>
      <c r="J779" s="11"/>
      <c r="K779" s="11"/>
      <c r="N779" s="12"/>
      <c r="O779" s="12"/>
      <c r="P779" s="12"/>
      <c r="Q779" s="12"/>
      <c r="R779" s="12"/>
      <c r="T779" s="13"/>
      <c r="U779" s="13"/>
      <c r="V779" s="13"/>
      <c r="W779" s="13"/>
      <c r="X779" s="13"/>
    </row>
    <row r="780" ht="15.75" customHeight="1">
      <c r="A780" s="11"/>
      <c r="B780" s="7"/>
      <c r="C780" s="11"/>
      <c r="D780" s="12"/>
      <c r="E780" s="12"/>
      <c r="F780" s="11"/>
      <c r="G780" s="11"/>
      <c r="H780" s="11"/>
      <c r="I780" s="11"/>
      <c r="J780" s="11"/>
      <c r="K780" s="11"/>
      <c r="N780" s="12"/>
      <c r="O780" s="12"/>
      <c r="P780" s="12"/>
      <c r="Q780" s="12"/>
      <c r="R780" s="12"/>
      <c r="T780" s="13"/>
      <c r="U780" s="13"/>
      <c r="V780" s="13"/>
      <c r="W780" s="13"/>
      <c r="X780" s="13"/>
    </row>
    <row r="781" ht="15.75" customHeight="1">
      <c r="A781" s="11"/>
      <c r="B781" s="7"/>
      <c r="C781" s="11"/>
      <c r="D781" s="12"/>
      <c r="E781" s="12"/>
      <c r="F781" s="11"/>
      <c r="G781" s="11"/>
      <c r="H781" s="11"/>
      <c r="I781" s="11"/>
      <c r="J781" s="11"/>
      <c r="K781" s="11"/>
      <c r="N781" s="12"/>
      <c r="O781" s="12"/>
      <c r="P781" s="12"/>
      <c r="Q781" s="12"/>
      <c r="R781" s="12"/>
      <c r="T781" s="13"/>
      <c r="U781" s="13"/>
      <c r="V781" s="13"/>
      <c r="W781" s="13"/>
      <c r="X781" s="13"/>
    </row>
    <row r="782" ht="15.75" customHeight="1">
      <c r="A782" s="11"/>
      <c r="B782" s="7"/>
      <c r="C782" s="11"/>
      <c r="D782" s="12"/>
      <c r="E782" s="12"/>
      <c r="F782" s="11"/>
      <c r="G782" s="11"/>
      <c r="H782" s="11"/>
      <c r="I782" s="11"/>
      <c r="J782" s="11"/>
      <c r="K782" s="11"/>
      <c r="N782" s="12"/>
      <c r="O782" s="12"/>
      <c r="P782" s="12"/>
      <c r="Q782" s="12"/>
      <c r="R782" s="12"/>
      <c r="T782" s="13"/>
      <c r="U782" s="13"/>
      <c r="V782" s="13"/>
      <c r="W782" s="13"/>
      <c r="X782" s="13"/>
    </row>
    <row r="783" ht="15.75" customHeight="1">
      <c r="A783" s="11"/>
      <c r="B783" s="7"/>
      <c r="C783" s="11"/>
      <c r="D783" s="12"/>
      <c r="E783" s="12"/>
      <c r="F783" s="11"/>
      <c r="G783" s="11"/>
      <c r="H783" s="11"/>
      <c r="I783" s="11"/>
      <c r="J783" s="11"/>
      <c r="K783" s="11"/>
      <c r="N783" s="12"/>
      <c r="O783" s="12"/>
      <c r="P783" s="12"/>
      <c r="Q783" s="12"/>
      <c r="R783" s="12"/>
      <c r="T783" s="13"/>
      <c r="U783" s="13"/>
      <c r="V783" s="13"/>
      <c r="W783" s="13"/>
      <c r="X783" s="13"/>
    </row>
    <row r="784" ht="15.75" customHeight="1">
      <c r="A784" s="11"/>
      <c r="B784" s="7"/>
      <c r="C784" s="11"/>
      <c r="D784" s="12"/>
      <c r="E784" s="12"/>
      <c r="F784" s="11"/>
      <c r="G784" s="11"/>
      <c r="H784" s="11"/>
      <c r="I784" s="11"/>
      <c r="J784" s="11"/>
      <c r="K784" s="11"/>
      <c r="N784" s="12"/>
      <c r="O784" s="12"/>
      <c r="P784" s="12"/>
      <c r="Q784" s="12"/>
      <c r="R784" s="12"/>
      <c r="T784" s="13"/>
      <c r="U784" s="13"/>
      <c r="V784" s="13"/>
      <c r="W784" s="13"/>
      <c r="X784" s="13"/>
    </row>
    <row r="785" ht="15.75" customHeight="1">
      <c r="A785" s="11"/>
      <c r="B785" s="7"/>
      <c r="C785" s="11"/>
      <c r="D785" s="12"/>
      <c r="E785" s="12"/>
      <c r="F785" s="11"/>
      <c r="G785" s="11"/>
      <c r="H785" s="11"/>
      <c r="I785" s="11"/>
      <c r="J785" s="11"/>
      <c r="K785" s="11"/>
      <c r="N785" s="12"/>
      <c r="O785" s="12"/>
      <c r="P785" s="12"/>
      <c r="Q785" s="12"/>
      <c r="R785" s="12"/>
      <c r="T785" s="13"/>
      <c r="U785" s="13"/>
      <c r="V785" s="13"/>
      <c r="W785" s="13"/>
      <c r="X785" s="13"/>
    </row>
    <row r="786" ht="15.75" customHeight="1">
      <c r="A786" s="11"/>
      <c r="B786" s="7"/>
      <c r="C786" s="11"/>
      <c r="D786" s="12"/>
      <c r="E786" s="12"/>
      <c r="F786" s="11"/>
      <c r="G786" s="11"/>
      <c r="H786" s="11"/>
      <c r="I786" s="11"/>
      <c r="J786" s="11"/>
      <c r="K786" s="11"/>
      <c r="N786" s="12"/>
      <c r="O786" s="12"/>
      <c r="P786" s="12"/>
      <c r="Q786" s="12"/>
      <c r="R786" s="12"/>
      <c r="T786" s="13"/>
      <c r="U786" s="13"/>
      <c r="V786" s="13"/>
      <c r="W786" s="13"/>
      <c r="X786" s="13"/>
    </row>
    <row r="787" ht="15.75" customHeight="1">
      <c r="A787" s="11"/>
      <c r="B787" s="7"/>
      <c r="C787" s="11"/>
      <c r="D787" s="12"/>
      <c r="E787" s="12"/>
      <c r="F787" s="11"/>
      <c r="G787" s="11"/>
      <c r="H787" s="11"/>
      <c r="I787" s="11"/>
      <c r="J787" s="11"/>
      <c r="K787" s="11"/>
      <c r="N787" s="12"/>
      <c r="O787" s="12"/>
      <c r="P787" s="12"/>
      <c r="Q787" s="12"/>
      <c r="R787" s="12"/>
      <c r="T787" s="13"/>
      <c r="U787" s="13"/>
      <c r="V787" s="13"/>
      <c r="W787" s="13"/>
      <c r="X787" s="13"/>
    </row>
    <row r="788" ht="15.75" customHeight="1">
      <c r="A788" s="11"/>
      <c r="B788" s="7"/>
      <c r="C788" s="11"/>
      <c r="D788" s="12"/>
      <c r="E788" s="12"/>
      <c r="F788" s="11"/>
      <c r="G788" s="11"/>
      <c r="H788" s="11"/>
      <c r="I788" s="11"/>
      <c r="J788" s="11"/>
      <c r="K788" s="11"/>
      <c r="N788" s="12"/>
      <c r="O788" s="12"/>
      <c r="P788" s="12"/>
      <c r="Q788" s="12"/>
      <c r="R788" s="12"/>
      <c r="T788" s="13"/>
      <c r="U788" s="13"/>
      <c r="V788" s="13"/>
      <c r="W788" s="13"/>
      <c r="X788" s="13"/>
    </row>
    <row r="789" ht="15.75" customHeight="1">
      <c r="A789" s="11"/>
      <c r="B789" s="7"/>
      <c r="C789" s="11"/>
      <c r="D789" s="12"/>
      <c r="E789" s="12"/>
      <c r="F789" s="11"/>
      <c r="G789" s="11"/>
      <c r="H789" s="11"/>
      <c r="I789" s="11"/>
      <c r="J789" s="11"/>
      <c r="K789" s="11"/>
      <c r="N789" s="12"/>
      <c r="O789" s="12"/>
      <c r="P789" s="12"/>
      <c r="Q789" s="12"/>
      <c r="R789" s="12"/>
      <c r="T789" s="13"/>
      <c r="U789" s="13"/>
      <c r="V789" s="13"/>
      <c r="W789" s="13"/>
      <c r="X789" s="13"/>
    </row>
    <row r="790" ht="15.75" customHeight="1">
      <c r="A790" s="11"/>
      <c r="B790" s="7"/>
      <c r="C790" s="11"/>
      <c r="D790" s="12"/>
      <c r="E790" s="12"/>
      <c r="F790" s="11"/>
      <c r="G790" s="11"/>
      <c r="H790" s="11"/>
      <c r="I790" s="11"/>
      <c r="J790" s="11"/>
      <c r="K790" s="11"/>
      <c r="N790" s="12"/>
      <c r="O790" s="12"/>
      <c r="P790" s="12"/>
      <c r="Q790" s="12"/>
      <c r="R790" s="12"/>
      <c r="T790" s="13"/>
      <c r="U790" s="13"/>
      <c r="V790" s="13"/>
      <c r="W790" s="13"/>
      <c r="X790" s="13"/>
    </row>
    <row r="791" ht="15.75" customHeight="1">
      <c r="A791" s="11"/>
      <c r="B791" s="7"/>
      <c r="C791" s="11"/>
      <c r="D791" s="12"/>
      <c r="E791" s="12"/>
      <c r="F791" s="11"/>
      <c r="G791" s="11"/>
      <c r="H791" s="11"/>
      <c r="I791" s="11"/>
      <c r="J791" s="11"/>
      <c r="K791" s="11"/>
      <c r="N791" s="12"/>
      <c r="O791" s="12"/>
      <c r="P791" s="12"/>
      <c r="Q791" s="12"/>
      <c r="R791" s="12"/>
      <c r="T791" s="13"/>
      <c r="U791" s="13"/>
      <c r="V791" s="13"/>
      <c r="W791" s="13"/>
      <c r="X791" s="13"/>
    </row>
    <row r="792" ht="15.75" customHeight="1">
      <c r="A792" s="11"/>
      <c r="B792" s="7"/>
      <c r="C792" s="11"/>
      <c r="D792" s="12"/>
      <c r="E792" s="12"/>
      <c r="F792" s="11"/>
      <c r="G792" s="11"/>
      <c r="H792" s="11"/>
      <c r="I792" s="11"/>
      <c r="J792" s="11"/>
      <c r="K792" s="11"/>
      <c r="N792" s="12"/>
      <c r="O792" s="12"/>
      <c r="P792" s="12"/>
      <c r="Q792" s="12"/>
      <c r="R792" s="12"/>
      <c r="T792" s="13"/>
      <c r="U792" s="13"/>
      <c r="V792" s="13"/>
      <c r="W792" s="13"/>
      <c r="X792" s="13"/>
    </row>
    <row r="793" ht="15.75" customHeight="1">
      <c r="A793" s="11"/>
      <c r="B793" s="7"/>
      <c r="C793" s="11"/>
      <c r="D793" s="12"/>
      <c r="E793" s="12"/>
      <c r="F793" s="11"/>
      <c r="G793" s="11"/>
      <c r="H793" s="11"/>
      <c r="I793" s="11"/>
      <c r="J793" s="11"/>
      <c r="K793" s="11"/>
      <c r="N793" s="12"/>
      <c r="O793" s="12"/>
      <c r="P793" s="12"/>
      <c r="Q793" s="12"/>
      <c r="R793" s="12"/>
      <c r="T793" s="13"/>
      <c r="U793" s="13"/>
      <c r="V793" s="13"/>
      <c r="W793" s="13"/>
      <c r="X793" s="13"/>
    </row>
    <row r="794" ht="15.75" customHeight="1">
      <c r="A794" s="11"/>
      <c r="B794" s="7"/>
      <c r="C794" s="11"/>
      <c r="D794" s="12"/>
      <c r="E794" s="12"/>
      <c r="F794" s="11"/>
      <c r="G794" s="11"/>
      <c r="H794" s="11"/>
      <c r="I794" s="11"/>
      <c r="J794" s="11"/>
      <c r="K794" s="11"/>
      <c r="N794" s="12"/>
      <c r="O794" s="12"/>
      <c r="P794" s="12"/>
      <c r="Q794" s="12"/>
      <c r="R794" s="12"/>
      <c r="T794" s="13"/>
      <c r="U794" s="13"/>
      <c r="V794" s="13"/>
      <c r="W794" s="13"/>
      <c r="X794" s="13"/>
    </row>
    <row r="795" ht="15.75" customHeight="1">
      <c r="A795" s="11"/>
      <c r="B795" s="7"/>
      <c r="C795" s="11"/>
      <c r="D795" s="12"/>
      <c r="E795" s="12"/>
      <c r="F795" s="11"/>
      <c r="G795" s="11"/>
      <c r="H795" s="11"/>
      <c r="I795" s="11"/>
      <c r="J795" s="11"/>
      <c r="K795" s="11"/>
      <c r="N795" s="12"/>
      <c r="O795" s="12"/>
      <c r="P795" s="12"/>
      <c r="Q795" s="12"/>
      <c r="R795" s="12"/>
      <c r="T795" s="13"/>
      <c r="U795" s="13"/>
      <c r="V795" s="13"/>
      <c r="W795" s="13"/>
      <c r="X795" s="13"/>
    </row>
    <row r="796" ht="15.75" customHeight="1">
      <c r="A796" s="11"/>
      <c r="B796" s="7"/>
      <c r="C796" s="11"/>
      <c r="D796" s="12"/>
      <c r="E796" s="12"/>
      <c r="F796" s="11"/>
      <c r="G796" s="11"/>
      <c r="H796" s="11"/>
      <c r="I796" s="11"/>
      <c r="J796" s="11"/>
      <c r="K796" s="11"/>
      <c r="N796" s="12"/>
      <c r="O796" s="12"/>
      <c r="P796" s="12"/>
      <c r="Q796" s="12"/>
      <c r="R796" s="12"/>
      <c r="T796" s="13"/>
      <c r="U796" s="13"/>
      <c r="V796" s="13"/>
      <c r="W796" s="13"/>
      <c r="X796" s="13"/>
    </row>
    <row r="797" ht="15.75" customHeight="1">
      <c r="A797" s="11"/>
      <c r="B797" s="7"/>
      <c r="C797" s="11"/>
      <c r="D797" s="12"/>
      <c r="E797" s="12"/>
      <c r="F797" s="11"/>
      <c r="G797" s="11"/>
      <c r="H797" s="11"/>
      <c r="I797" s="11"/>
      <c r="J797" s="11"/>
      <c r="K797" s="11"/>
      <c r="N797" s="12"/>
      <c r="O797" s="12"/>
      <c r="P797" s="12"/>
      <c r="Q797" s="12"/>
      <c r="R797" s="12"/>
      <c r="T797" s="13"/>
      <c r="U797" s="13"/>
      <c r="V797" s="13"/>
      <c r="W797" s="13"/>
      <c r="X797" s="13"/>
    </row>
    <row r="798" ht="15.75" customHeight="1">
      <c r="A798" s="11"/>
      <c r="B798" s="7"/>
      <c r="C798" s="11"/>
      <c r="D798" s="12"/>
      <c r="E798" s="12"/>
      <c r="F798" s="11"/>
      <c r="G798" s="11"/>
      <c r="H798" s="11"/>
      <c r="I798" s="11"/>
      <c r="J798" s="11"/>
      <c r="K798" s="11"/>
      <c r="N798" s="12"/>
      <c r="O798" s="12"/>
      <c r="P798" s="12"/>
      <c r="Q798" s="12"/>
      <c r="R798" s="12"/>
      <c r="T798" s="13"/>
      <c r="U798" s="13"/>
      <c r="V798" s="13"/>
      <c r="W798" s="13"/>
      <c r="X798" s="13"/>
    </row>
    <row r="799" ht="15.75" customHeight="1">
      <c r="A799" s="11"/>
      <c r="B799" s="7"/>
      <c r="C799" s="11"/>
      <c r="D799" s="12"/>
      <c r="E799" s="12"/>
      <c r="F799" s="11"/>
      <c r="G799" s="11"/>
      <c r="H799" s="11"/>
      <c r="I799" s="11"/>
      <c r="J799" s="11"/>
      <c r="K799" s="11"/>
      <c r="N799" s="12"/>
      <c r="O799" s="12"/>
      <c r="P799" s="12"/>
      <c r="Q799" s="12"/>
      <c r="R799" s="12"/>
      <c r="T799" s="13"/>
      <c r="U799" s="13"/>
      <c r="V799" s="13"/>
      <c r="W799" s="13"/>
      <c r="X799" s="13"/>
    </row>
    <row r="800" ht="15.75" customHeight="1">
      <c r="A800" s="11"/>
      <c r="B800" s="7"/>
      <c r="C800" s="11"/>
      <c r="D800" s="12"/>
      <c r="E800" s="12"/>
      <c r="F800" s="11"/>
      <c r="G800" s="11"/>
      <c r="H800" s="11"/>
      <c r="I800" s="11"/>
      <c r="J800" s="11"/>
      <c r="K800" s="11"/>
      <c r="N800" s="12"/>
      <c r="O800" s="12"/>
      <c r="P800" s="12"/>
      <c r="Q800" s="12"/>
      <c r="R800" s="12"/>
      <c r="T800" s="13"/>
      <c r="U800" s="13"/>
      <c r="V800" s="13"/>
      <c r="W800" s="13"/>
      <c r="X800" s="13"/>
    </row>
  </sheetData>
  <drawing r:id="rId1"/>
</worksheet>
</file>